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3 pensamiento literario" sheetId="1" r:id="rId5"/>
    <sheet state="visible" name="2-3 ingles iv" sheetId="2" r:id="rId6"/>
    <sheet state="visible" name="2-3 temas selectos de matematic" sheetId="3" r:id="rId7"/>
    <sheet state="visible" name="2-3 conciencia historica i" sheetId="4" r:id="rId8"/>
    <sheet state="visible" name="2-3 taller de cultura digital" sheetId="5" r:id="rId9"/>
    <sheet state="visible" name="2-3 reacciones quimicas y conse" sheetId="6" r:id="rId10"/>
    <sheet state="visible" name="2-3 espacio y sociedad" sheetId="7" r:id="rId11"/>
    <sheet state="visible" name="2-3 ciencias sociales iii" sheetId="8" r:id="rId12"/>
    <sheet state="visible" name="2-3 comunidades virtuales" sheetId="9" r:id="rId13"/>
    <sheet state="visible" name="2-3 mantenimiento de redes de c" sheetId="10" r:id="rId14"/>
    <sheet state="visible" name="2-3 actividades artisticas y cu" sheetId="11" r:id="rId15"/>
    <sheet state="visible" name="2-3 educacion integral en sexua" sheetId="12" r:id="rId16"/>
    <sheet state="visible" name="2-3 temas selectos de igualdad " sheetId="13" r:id="rId17"/>
  </sheets>
  <definedNames/>
  <calcPr/>
</workbook>
</file>

<file path=xl/sharedStrings.xml><?xml version="1.0" encoding="utf-8"?>
<sst xmlns="http://schemas.openxmlformats.org/spreadsheetml/2006/main" count="2080" uniqueCount="152">
  <si>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</si>
  <si>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</si>
  <si>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</si>
  <si>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</si>
  <si>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</si>
  <si>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</si>
  <si>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</si>
  <si>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CUARTO SEMESTRE
VESPERTINO</t>
  </si>
  <si>
    <t>UAC</t>
  </si>
  <si>
    <t>PENSAMIENTO LITERARIO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</si>
  <si>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</si>
  <si>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</si>
  <si>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</si>
  <si>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</si>
  <si>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</si>
  <si>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</si>
  <si>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</si>
  <si>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</si>
  <si>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</si>
  <si>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</si>
  <si>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</si>
  <si>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</si>
  <si>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CALZADA</t>
  </si>
  <si>
    <t>SOTO</t>
  </si>
  <si>
    <t>ANDRE SEBASTIAN</t>
  </si>
  <si>
    <t>CERON</t>
  </si>
  <si>
    <t>MARTINEZ</t>
  </si>
  <si>
    <t>ERICK</t>
  </si>
  <si>
    <t>ELIZALDE</t>
  </si>
  <si>
    <t>KARLA VALENTINA</t>
  </si>
  <si>
    <t>FLORES</t>
  </si>
  <si>
    <t>ROBLES</t>
  </si>
  <si>
    <t>SUSANA MIRANDA</t>
  </si>
  <si>
    <t>FUENTES</t>
  </si>
  <si>
    <t>GUTIERREZ</t>
  </si>
  <si>
    <t>ESTEFANIA DANAE</t>
  </si>
  <si>
    <t>ROMERO</t>
  </si>
  <si>
    <t>CESAR ALEXIS</t>
  </si>
  <si>
    <t>GALVAN</t>
  </si>
  <si>
    <t>CUEVAS</t>
  </si>
  <si>
    <t xml:space="preserve">IVANNA </t>
  </si>
  <si>
    <t>GARCIA</t>
  </si>
  <si>
    <t>ALBOR</t>
  </si>
  <si>
    <t>NAHUM SEBASTIAN</t>
  </si>
  <si>
    <t>CABRERA</t>
  </si>
  <si>
    <t>BEATRIZ</t>
  </si>
  <si>
    <t>VILLANUEVA</t>
  </si>
  <si>
    <t>MEREDITH SOFIA</t>
  </si>
  <si>
    <t>GUZMAN</t>
  </si>
  <si>
    <t>MARIA FERNANDA</t>
  </si>
  <si>
    <t>HERNANDEZ</t>
  </si>
  <si>
    <t>CARRANZA</t>
  </si>
  <si>
    <t>AXEL GAEL</t>
  </si>
  <si>
    <t>GONZALEZ</t>
  </si>
  <si>
    <t>ANDREA SALIM</t>
  </si>
  <si>
    <t>KRAULLES</t>
  </si>
  <si>
    <t>JOSE ALBERTO</t>
  </si>
  <si>
    <t>PEREZ</t>
  </si>
  <si>
    <t>AXEL KHOTAN</t>
  </si>
  <si>
    <t>SANCHEZ</t>
  </si>
  <si>
    <t>DANIEL</t>
  </si>
  <si>
    <t>JUAREZ</t>
  </si>
  <si>
    <t>RODRIGO</t>
  </si>
  <si>
    <t>LAGUNAS</t>
  </si>
  <si>
    <t>VALDERRAMA</t>
  </si>
  <si>
    <t>DAVID ADRIAN</t>
  </si>
  <si>
    <t>LOPEZ</t>
  </si>
  <si>
    <t>RAMIREZ</t>
  </si>
  <si>
    <t>GENESIS AURORA</t>
  </si>
  <si>
    <t>MENDOZA</t>
  </si>
  <si>
    <t>ANNETTE PAOLA</t>
  </si>
  <si>
    <t>MIRANDA</t>
  </si>
  <si>
    <t>ALVAREZ</t>
  </si>
  <si>
    <t>CESAR</t>
  </si>
  <si>
    <t>MORALES</t>
  </si>
  <si>
    <t>ENRIQUEZ</t>
  </si>
  <si>
    <t>VALENTINA</t>
  </si>
  <si>
    <t>MORENO</t>
  </si>
  <si>
    <t>IRINEO</t>
  </si>
  <si>
    <t>ANGEL ENRIQUE</t>
  </si>
  <si>
    <t>MUCIÑO</t>
  </si>
  <si>
    <t>TELLEZ</t>
  </si>
  <si>
    <t>ROMINA</t>
  </si>
  <si>
    <t>MUÑIZ</t>
  </si>
  <si>
    <t>ZARCO</t>
  </si>
  <si>
    <t>SARAHI</t>
  </si>
  <si>
    <t>NAVARRETE</t>
  </si>
  <si>
    <t>BAUTISTA</t>
  </si>
  <si>
    <t>LESLIE JAZMIN</t>
  </si>
  <si>
    <t>ORTIZ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</si>
  <si>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</si>
  <si>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</si>
  <si>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</si>
  <si>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</si>
  <si>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</si>
  <si>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</si>
  <si>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</si>
  <si>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RODRIGUEZ</t>
  </si>
  <si>
    <t>XIMENA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</si>
  <si>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</si>
  <si>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</si>
  <si>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</si>
  <si>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</si>
  <si>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</si>
  <si>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</si>
  <si>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</si>
  <si>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</si>
  <si>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</si>
  <si>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</si>
  <si>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</si>
  <si>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</si>
  <si>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TORRES</t>
  </si>
  <si>
    <t>LECONA</t>
  </si>
  <si>
    <t>HECTOR EDUARDO</t>
  </si>
  <si>
    <t>ULLOA</t>
  </si>
  <si>
    <t>DELGADO</t>
  </si>
  <si>
    <t>PAOLA</t>
  </si>
  <si>
    <t>VARGAS</t>
  </si>
  <si>
    <t>RIVERA</t>
  </si>
  <si>
    <t>ANTHOAN RICARDO</t>
  </si>
  <si>
    <t>VAZQUEZ</t>
  </si>
  <si>
    <t>MARQUEZ</t>
  </si>
  <si>
    <t>DANIELA</t>
  </si>
  <si>
    <t>ZAYAS</t>
  </si>
  <si>
    <t>CASTILLO</t>
  </si>
  <si>
    <t>JESUS RAFAEL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</si>
  <si>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</si>
  <si>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</si>
  <si>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</si>
  <si>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</si>
  <si>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</si>
  <si>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</si>
  <si>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</si>
  <si>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</si>
  <si>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</si>
  <si>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</si>
  <si>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</si>
  <si>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OCTAVIO VÁZQUEZ BARRETO</t>
  </si>
  <si>
    <t xml:space="preserve">PROFR. ROBERTO PALOMARES MEJÍA </t>
  </si>
  <si>
    <t>PROMEDIO</t>
  </si>
  <si>
    <t>INGLÉS IV</t>
  </si>
  <si>
    <t>TEMAS SELECTOS DE MATEMÁTICAS I</t>
  </si>
  <si>
    <t>CONCIENCIA HISTÓRICA I</t>
  </si>
  <si>
    <t>TALLER DE CULTURA DIGITAL</t>
  </si>
  <si>
    <t>REACCIONES QUÍMICAS Y CONSERVACIÓN DE LA MATERIA</t>
  </si>
  <si>
    <t>ESPACIO Y SOCIEDAD</t>
  </si>
  <si>
    <t>CIENCIAS SOCIALES</t>
  </si>
  <si>
    <t xml:space="preserve">COMUNIDADES VIRTUALES </t>
  </si>
  <si>
    <t>MANTENIMIENTO DE REDES DE CÓMPUTO</t>
  </si>
  <si>
    <t>ACTIVIDADES ARTÍSTICAS Y CULTURALES I</t>
  </si>
  <si>
    <t>EDUCACIÓN INTEGRAL EN SEXUALIDAD Y GÉNERO II</t>
  </si>
  <si>
    <t>TEMAS SELECTOS DE IGUALDAD Y DERECHOS HUMANOS 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</si>
</sst>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3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1.0"/>
      <color theme="1"/>
      <name val="Century Gothic"/>
    </font>
    <font>
      <sz val="11.0"/>
      <color theme="1"/>
      <name val="Arial"/>
    </font>
    <font>
      <b/>
      <sz val="12.0"/>
      <color theme="1"/>
      <name val="Gotham Book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vertical="center"/>
    </xf>
    <xf borderId="23" fillId="2" fontId="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2" numFmtId="1" xfId="0" applyAlignment="1" applyBorder="1" applyFont="1" applyNumberFormat="1">
      <alignment vertical="bottom"/>
    </xf>
    <xf borderId="23" fillId="0" fontId="12" numFmtId="0" xfId="0" applyAlignment="1" applyBorder="1" applyFont="1">
      <alignment vertical="bottom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29" fillId="0" fontId="15" numFmtId="0" xfId="0" applyAlignment="1" applyBorder="1" applyFont="1">
      <alignment horizontal="right" shrinkToFit="1" vertical="center" wrapText="0"/>
    </xf>
    <xf borderId="30" fillId="0" fontId="3" numFmtId="0" xfId="0" applyBorder="1" applyFont="1"/>
    <xf borderId="31" fillId="0" fontId="16" numFmtId="0" xfId="0" applyAlignment="1" applyBorder="1" applyFont="1">
      <alignment shrinkToFit="1" vertical="center" wrapText="0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32" fillId="0" fontId="19" numFmtId="0" xfId="0" applyAlignment="1" applyBorder="1" applyFont="1">
      <alignment horizontal="right" shrinkToFit="1" vertical="center" wrapText="0"/>
    </xf>
    <xf borderId="33" fillId="0" fontId="3" numFmtId="0" xfId="0" applyBorder="1" applyFont="1"/>
    <xf borderId="34" fillId="0" fontId="16" numFmtId="0" xfId="0" applyAlignment="1" applyBorder="1" applyFont="1">
      <alignment shrinkToFit="1" vertical="center" wrapText="0"/>
    </xf>
    <xf borderId="35" fillId="0" fontId="16" numFmtId="0" xfId="0" applyAlignment="1" applyBorder="1" applyFont="1">
      <alignment shrinkToFit="1" vertical="center" wrapText="0"/>
    </xf>
    <xf borderId="0" fillId="0" fontId="19" numFmtId="0" xfId="0" applyAlignment="1" applyFont="1">
      <alignment shrinkToFit="1" vertical="center" wrapText="0"/>
    </xf>
    <xf borderId="0" fillId="0" fontId="19" numFmtId="0" xfId="0" applyAlignment="1" applyFont="1">
      <alignment horizontal="center" vertical="center"/>
    </xf>
    <xf borderId="0" fillId="0" fontId="19" numFmtId="0" xfId="0" applyFont="1"/>
    <xf borderId="5" fillId="0" fontId="19" numFmtId="0" xfId="0" applyBorder="1" applyFont="1"/>
    <xf borderId="35" fillId="0" fontId="16" numFmtId="1" xfId="0" applyAlignment="1" applyBorder="1" applyFont="1" applyNumberFormat="1">
      <alignment shrinkToFit="1" vertical="center" wrapText="0"/>
    </xf>
    <xf borderId="20" fillId="0" fontId="19" numFmtId="0" xfId="0" applyAlignment="1" applyBorder="1" applyFont="1">
      <alignment shrinkToFit="1" vertical="center" wrapText="0"/>
    </xf>
    <xf borderId="20" fillId="0" fontId="19" numFmtId="0" xfId="0" applyBorder="1" applyFont="1"/>
    <xf borderId="21" fillId="0" fontId="19" numFmtId="0" xfId="0" applyBorder="1" applyFont="1"/>
    <xf borderId="35" fillId="0" fontId="16" numFmtId="2" xfId="0" applyAlignment="1" applyBorder="1" applyFont="1" applyNumberFormat="1">
      <alignment shrinkToFit="1" vertical="center" wrapText="0"/>
    </xf>
    <xf borderId="36" fillId="0" fontId="5" numFmtId="0" xfId="0" applyAlignment="1" applyBorder="1" applyFont="1">
      <alignment horizontal="center" shrinkToFit="0" vertical="top" wrapText="1"/>
    </xf>
    <xf borderId="0" fillId="0" fontId="19" numFmtId="0" xfId="0" applyAlignment="1" applyFont="1">
      <alignment horizontal="center" vertical="top"/>
    </xf>
    <xf borderId="0" fillId="0" fontId="5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0" fillId="0" fontId="17" numFmtId="0" xfId="0" applyFont="1"/>
    <xf borderId="37" fillId="0" fontId="15" numFmtId="0" xfId="0" applyAlignment="1" applyBorder="1" applyFont="1">
      <alignment horizontal="right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3" fontId="1" numFmtId="0" xfId="0" applyAlignment="1" applyBorder="1" applyFill="1" applyFont="1">
      <alignment vertical="center"/>
    </xf>
    <xf borderId="41" fillId="3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1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2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14" fillId="2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142875</xdr:rowOff>
    </xdr:from>
    <xdr:ext cx="6781800" cy="1047750"/>
    <xdr:sp>
      <xdr:nvSpPr>
        <xdr:cNvPr id="3" name="Shape 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67</xdr:row>
      <xdr:rowOff>47625</xdr:rowOff>
    </xdr:from>
    <xdr:ext cx="10706100" cy="381000"/>
    <xdr:sp>
      <xdr:nvSpPr>
        <xdr:cNvPr id="4" name="Shape 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65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514350</xdr:colOff>
      <xdr:row>1</xdr:row>
      <xdr:rowOff>123825</xdr:rowOff>
    </xdr:from>
    <xdr:ext cx="6781800" cy="1047750"/>
    <xdr:sp>
      <xdr:nvSpPr>
        <xdr:cNvPr id="5" name="Shape 5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476250</xdr:colOff>
      <xdr:row>67</xdr:row>
      <xdr:rowOff>47625</xdr:rowOff>
    </xdr:from>
    <xdr:ext cx="10706100" cy="381000"/>
    <xdr:sp>
      <xdr:nvSpPr>
        <xdr:cNvPr id="6" name="Shape 6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65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142875</xdr:rowOff>
    </xdr:from>
    <xdr:ext cx="6781800" cy="1047750"/>
    <xdr:sp>
      <xdr:nvSpPr>
        <xdr:cNvPr id="7" name="Shape 7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67</xdr:row>
      <xdr:rowOff>28575</xdr:rowOff>
    </xdr:from>
    <xdr:ext cx="10706100" cy="381000"/>
    <xdr:sp>
      <xdr:nvSpPr>
        <xdr:cNvPr id="8" name="Shape 8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65</xdr:row>
      <xdr:rowOff>133350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552450</xdr:colOff>
      <xdr:row>1</xdr:row>
      <xdr:rowOff>180975</xdr:rowOff>
    </xdr:from>
    <xdr:ext cx="6781800" cy="1047750"/>
    <xdr:sp>
      <xdr:nvSpPr>
        <xdr:cNvPr id="9" name="Shape 9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67</xdr:row>
      <xdr:rowOff>47625</xdr:rowOff>
    </xdr:from>
    <xdr:ext cx="10706100" cy="381000"/>
    <xdr:sp>
      <xdr:nvSpPr>
        <xdr:cNvPr id="10" name="Shape 10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65</xdr:row>
      <xdr:rowOff>142875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161925</xdr:rowOff>
    </xdr:from>
    <xdr:ext cx="6781800" cy="1047750"/>
    <xdr:sp>
      <xdr:nvSpPr>
        <xdr:cNvPr id="11" name="Shape 11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67</xdr:row>
      <xdr:rowOff>38100</xdr:rowOff>
    </xdr:from>
    <xdr:ext cx="10706100" cy="381000"/>
    <xdr:sp>
      <xdr:nvSpPr>
        <xdr:cNvPr id="12" name="Shape 12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65</xdr:row>
      <xdr:rowOff>133350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514350</xdr:colOff>
      <xdr:row>1</xdr:row>
      <xdr:rowOff>142875</xdr:rowOff>
    </xdr:from>
    <xdr:ext cx="6781800" cy="1047750"/>
    <xdr:sp>
      <xdr:nvSpPr>
        <xdr:cNvPr id="13" name="Shape 1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447675</xdr:colOff>
      <xdr:row>67</xdr:row>
      <xdr:rowOff>57150</xdr:rowOff>
    </xdr:from>
    <xdr:ext cx="10706100" cy="381000"/>
    <xdr:sp>
      <xdr:nvSpPr>
        <xdr:cNvPr id="14" name="Shape 1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65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161925</xdr:rowOff>
    </xdr:from>
    <xdr:ext cx="6781800" cy="1047750"/>
    <xdr:sp>
      <xdr:nvSpPr>
        <xdr:cNvPr id="15" name="Shape 15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67</xdr:row>
      <xdr:rowOff>76200</xdr:rowOff>
    </xdr:from>
    <xdr:ext cx="10706100" cy="381000"/>
    <xdr:sp>
      <xdr:nvSpPr>
        <xdr:cNvPr id="16" name="Shape 16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142875</xdr:rowOff>
    </xdr:from>
    <xdr:ext cx="6781800" cy="1047750"/>
    <xdr:sp>
      <xdr:nvSpPr>
        <xdr:cNvPr id="17" name="Shape 17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457200</xdr:colOff>
      <xdr:row>67</xdr:row>
      <xdr:rowOff>19050</xdr:rowOff>
    </xdr:from>
    <xdr:ext cx="10706100" cy="381000"/>
    <xdr:sp>
      <xdr:nvSpPr>
        <xdr:cNvPr id="18" name="Shape 18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65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152400</xdr:rowOff>
    </xdr:from>
    <xdr:ext cx="6781800" cy="1047750"/>
    <xdr:sp>
      <xdr:nvSpPr>
        <xdr:cNvPr id="19" name="Shape 19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447675</xdr:colOff>
      <xdr:row>67</xdr:row>
      <xdr:rowOff>57150</xdr:rowOff>
    </xdr:from>
    <xdr:ext cx="10706100" cy="381000"/>
    <xdr:sp>
      <xdr:nvSpPr>
        <xdr:cNvPr id="20" name="Shape 20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65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542925</xdr:colOff>
      <xdr:row>1</xdr:row>
      <xdr:rowOff>161925</xdr:rowOff>
    </xdr:from>
    <xdr:ext cx="6781800" cy="1047750"/>
    <xdr:sp>
      <xdr:nvSpPr>
        <xdr:cNvPr id="21" name="Shape 21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466725</xdr:colOff>
      <xdr:row>67</xdr:row>
      <xdr:rowOff>57150</xdr:rowOff>
    </xdr:from>
    <xdr:ext cx="10706100" cy="381000"/>
    <xdr:sp>
      <xdr:nvSpPr>
        <xdr:cNvPr id="22" name="Shape 22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65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152400</xdr:rowOff>
    </xdr:from>
    <xdr:ext cx="6781800" cy="1047750"/>
    <xdr:sp>
      <xdr:nvSpPr>
        <xdr:cNvPr id="23" name="Shape 23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66</xdr:row>
      <xdr:rowOff>152400</xdr:rowOff>
    </xdr:from>
    <xdr:ext cx="10706100" cy="381000"/>
    <xdr:sp>
      <xdr:nvSpPr>
        <xdr:cNvPr id="24" name="Shape 24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65</xdr:row>
      <xdr:rowOff>85725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152400</xdr:rowOff>
    </xdr:from>
    <xdr:ext cx="6781800" cy="1047750"/>
    <xdr:sp>
      <xdr:nvSpPr>
        <xdr:cNvPr id="25" name="Shape 25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66</xdr:row>
      <xdr:rowOff>171450</xdr:rowOff>
    </xdr:from>
    <xdr:ext cx="10706100" cy="381000"/>
    <xdr:sp>
      <xdr:nvSpPr>
        <xdr:cNvPr id="26" name="Shape 26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65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152400</xdr:rowOff>
    </xdr:from>
    <xdr:ext cx="6781800" cy="1047750"/>
    <xdr:sp>
      <xdr:nvSpPr>
        <xdr:cNvPr id="27" name="Shape 27"/>
        <xdr:cNvSpPr txBox="1"/>
      </xdr:nvSpPr>
      <xdr:spPr>
        <a:xfrm>
          <a:off x="1959863" y="3260888"/>
          <a:ext cx="6772275" cy="10382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67</xdr:row>
      <xdr:rowOff>19050</xdr:rowOff>
    </xdr:from>
    <xdr:ext cx="10706100" cy="381000"/>
    <xdr:sp>
      <xdr:nvSpPr>
        <xdr:cNvPr id="28" name="Shape 28"/>
        <xdr:cNvSpPr txBox="1"/>
      </xdr:nvSpPr>
      <xdr:spPr>
        <a:xfrm>
          <a:off x="0" y="3594263"/>
          <a:ext cx="10692000" cy="3714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65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7" si="1">SUM(E17:H17)</f>
        <v>0</v>
      </c>
      <c r="J17" s="57"/>
      <c r="K17" s="58">
        <f t="shared" ref="K17:K57" si="2">IF(M17&lt;6,5,M17)</f>
        <v>5</v>
      </c>
      <c r="L17" s="59"/>
      <c r="M17" s="60">
        <f t="shared" ref="M17:M57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23</v>
      </c>
      <c r="D19" s="54" t="s">
        <v>29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30</v>
      </c>
      <c r="C20" s="53" t="s">
        <v>31</v>
      </c>
      <c r="D20" s="54" t="s">
        <v>32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41</v>
      </c>
      <c r="C25" s="53" t="s">
        <v>44</v>
      </c>
      <c r="D25" s="54" t="s">
        <v>45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41</v>
      </c>
      <c r="C26" s="53" t="s">
        <v>46</v>
      </c>
      <c r="D26" s="54" t="s">
        <v>47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41</v>
      </c>
      <c r="D27" s="54" t="s">
        <v>49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50</v>
      </c>
      <c r="C28" s="53" t="s">
        <v>51</v>
      </c>
      <c r="D28" s="54" t="s">
        <v>52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50</v>
      </c>
      <c r="C29" s="53" t="s">
        <v>53</v>
      </c>
      <c r="D29" s="54" t="s">
        <v>54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50</v>
      </c>
      <c r="C30" s="53" t="s">
        <v>55</v>
      </c>
      <c r="D30" s="54" t="s">
        <v>56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50</v>
      </c>
      <c r="C31" s="53" t="s">
        <v>57</v>
      </c>
      <c r="D31" s="54" t="s">
        <v>58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50</v>
      </c>
      <c r="C32" s="53" t="s">
        <v>59</v>
      </c>
      <c r="D32" s="54" t="s">
        <v>60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61</v>
      </c>
      <c r="C33" s="53" t="s">
        <v>50</v>
      </c>
      <c r="D33" s="54" t="s">
        <v>62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64</v>
      </c>
      <c r="D34" s="54" t="s">
        <v>65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66</v>
      </c>
      <c r="C35" s="53" t="s">
        <v>67</v>
      </c>
      <c r="D35" s="54" t="s">
        <v>68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26</v>
      </c>
      <c r="C36" s="53" t="s">
        <v>69</v>
      </c>
      <c r="D36" s="54" t="s">
        <v>70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71</v>
      </c>
      <c r="C37" s="53" t="s">
        <v>72</v>
      </c>
      <c r="D37" s="54" t="s">
        <v>73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74</v>
      </c>
      <c r="C38" s="53" t="s">
        <v>75</v>
      </c>
      <c r="D38" s="54" t="s">
        <v>76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77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81</v>
      </c>
      <c r="D40" s="54" t="s">
        <v>82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83</v>
      </c>
      <c r="C41" s="53" t="s">
        <v>84</v>
      </c>
      <c r="D41" s="54" t="s">
        <v>85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31</v>
      </c>
      <c r="C45" s="53" t="s">
        <v>95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41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36</v>
      </c>
      <c r="C47" s="53" t="s">
        <v>99</v>
      </c>
      <c r="D47" s="54" t="s">
        <v>100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101</v>
      </c>
      <c r="C48" s="53" t="s">
        <v>102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59</v>
      </c>
      <c r="C49" s="53" t="s">
        <v>53</v>
      </c>
      <c r="D49" s="54" t="s">
        <v>104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59</v>
      </c>
      <c r="C50" s="53" t="s">
        <v>50</v>
      </c>
      <c r="D50" s="54" t="s">
        <v>105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93</v>
      </c>
      <c r="C51" s="53" t="s">
        <v>106</v>
      </c>
      <c r="D51" s="54" t="s">
        <v>107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108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112</v>
      </c>
      <c r="D53" s="54" t="s">
        <v>113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115</v>
      </c>
      <c r="D54" s="54" t="s">
        <v>116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117</v>
      </c>
      <c r="C55" s="53" t="s">
        <v>118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120</v>
      </c>
      <c r="C56" s="53" t="s">
        <v>121</v>
      </c>
      <c r="D56" s="54" t="s">
        <v>122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123</v>
      </c>
      <c r="C57" s="53" t="s">
        <v>124</v>
      </c>
      <c r="D57" s="54" t="s">
        <v>125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6"/>
      <c r="B58" s="61"/>
      <c r="C58" s="61"/>
      <c r="D58" s="61"/>
      <c r="E58" s="62"/>
      <c r="F58" s="62"/>
      <c r="G58" s="61"/>
      <c r="H58" s="61"/>
      <c r="I58" s="61"/>
      <c r="J58" s="61"/>
      <c r="K58" s="1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3" t="s">
        <v>126</v>
      </c>
      <c r="C59" s="64"/>
      <c r="D59" s="65">
        <f>COUNT(A17:A57)</f>
        <v>41</v>
      </c>
      <c r="E59" s="61"/>
      <c r="F59" s="61"/>
      <c r="G59" s="66" t="s">
        <v>127</v>
      </c>
      <c r="H59" s="66"/>
      <c r="I59" s="66" t="s">
        <v>128</v>
      </c>
      <c r="K59" s="67" t="s">
        <v>129</v>
      </c>
      <c r="L59" s="68" t="s">
        <v>130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131</v>
      </c>
      <c r="C60" s="70"/>
      <c r="D60" s="71">
        <f>COUNTIF(K17:K57,"BAJA")</f>
        <v>0</v>
      </c>
      <c r="E60" s="61"/>
      <c r="F60" s="61"/>
      <c r="H60" s="66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132</v>
      </c>
      <c r="C61" s="70"/>
      <c r="D61" s="72">
        <f>D59-D60</f>
        <v>41</v>
      </c>
      <c r="E61" s="61"/>
      <c r="F61" s="61"/>
      <c r="G61" s="73"/>
      <c r="H61" s="74"/>
      <c r="I61" s="73"/>
      <c r="J61" s="73"/>
      <c r="K61" s="75"/>
      <c r="L61" s="7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69" t="s">
        <v>133</v>
      </c>
      <c r="C62" s="70"/>
      <c r="D62" s="77">
        <f>COUNTIF(K17:K57,"&gt;=6")</f>
        <v>0</v>
      </c>
      <c r="E62" s="61"/>
      <c r="F62" s="61"/>
      <c r="G62" s="73"/>
      <c r="H62" s="74"/>
      <c r="I62" s="73"/>
      <c r="J62" s="73"/>
      <c r="K62" s="75"/>
      <c r="L62" s="7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69" t="s">
        <v>134</v>
      </c>
      <c r="C63" s="70"/>
      <c r="D63" s="77">
        <f>D61-D62</f>
        <v>41</v>
      </c>
      <c r="E63" s="61"/>
      <c r="F63" s="61"/>
      <c r="G63" s="78"/>
      <c r="H63" s="74"/>
      <c r="I63" s="78"/>
      <c r="J63" s="78"/>
      <c r="K63" s="79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B64" s="69" t="s">
        <v>135</v>
      </c>
      <c r="C64" s="70"/>
      <c r="D64" s="81">
        <f>D62*100/D61</f>
        <v>0</v>
      </c>
      <c r="E64" s="61"/>
      <c r="F64" s="61"/>
      <c r="G64" s="82" t="s">
        <v>136</v>
      </c>
      <c r="H64" s="83"/>
      <c r="I64" s="84"/>
      <c r="K64" s="85" t="s">
        <v>137</v>
      </c>
      <c r="L64" s="86" t="s">
        <v>138</v>
      </c>
      <c r="M64" s="8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88" t="s">
        <v>139</v>
      </c>
      <c r="C65" s="89"/>
      <c r="D65" s="90">
        <f>AVERAGE(K17:K57)</f>
        <v>5</v>
      </c>
      <c r="E65" s="61"/>
      <c r="F65" s="61"/>
      <c r="H65" s="83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1"/>
      <c r="B67" s="92"/>
      <c r="C67" s="93"/>
      <c r="D67" s="93"/>
      <c r="E67" s="61"/>
      <c r="H67" s="7"/>
      <c r="I67" s="7"/>
      <c r="J67" s="7"/>
      <c r="K67" s="7"/>
      <c r="L67" s="94"/>
      <c r="M67" s="9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6"/>
      <c r="B68" s="61"/>
      <c r="C68" s="61"/>
      <c r="D68" s="61"/>
      <c r="E68" s="7"/>
      <c r="F68" s="7"/>
      <c r="G68" s="1"/>
      <c r="H68" s="1"/>
      <c r="I68" s="1"/>
      <c r="J68" s="1"/>
      <c r="K68" s="1"/>
      <c r="L68" s="8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6"/>
      <c r="B69" s="61"/>
      <c r="C69" s="61"/>
      <c r="D69" s="61"/>
      <c r="E69" s="7"/>
      <c r="F69" s="7"/>
      <c r="G69" s="1"/>
      <c r="H69" s="1"/>
      <c r="I69" s="1"/>
      <c r="J69" s="1"/>
      <c r="K69" s="1"/>
      <c r="L69" s="8"/>
      <c r="M69" s="9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99"/>
      <c r="C70" s="99"/>
      <c r="D70" s="99"/>
      <c r="E70" s="100"/>
      <c r="F70" s="100"/>
      <c r="G70" s="101"/>
      <c r="H70" s="101"/>
      <c r="I70" s="101"/>
      <c r="J70" s="101"/>
      <c r="K70" s="101"/>
      <c r="L70" s="102"/>
      <c r="M70" s="9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04"/>
      <c r="L73" s="104"/>
      <c r="M73" s="10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04"/>
      <c r="L74" s="104"/>
      <c r="M74" s="10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3"/>
      <c r="C81" s="103"/>
      <c r="D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3"/>
      <c r="C82" s="103"/>
      <c r="D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9">
    <mergeCell ref="F14:F15"/>
    <mergeCell ref="G14:G15"/>
    <mergeCell ref="G59:G60"/>
    <mergeCell ref="I59:J60"/>
    <mergeCell ref="K59:K60"/>
    <mergeCell ref="L59:L60"/>
    <mergeCell ref="A9:L9"/>
    <mergeCell ref="E10:L10"/>
    <mergeCell ref="A13:B13"/>
    <mergeCell ref="C13:D13"/>
    <mergeCell ref="H13:H15"/>
    <mergeCell ref="I13:I14"/>
    <mergeCell ref="J13:L14"/>
    <mergeCell ref="J15:L15"/>
    <mergeCell ref="B63:C63"/>
    <mergeCell ref="B64:C64"/>
    <mergeCell ref="G64:G65"/>
    <mergeCell ref="I64:J65"/>
    <mergeCell ref="K64:K65"/>
    <mergeCell ref="L64:L65"/>
    <mergeCell ref="B65:C65"/>
    <mergeCell ref="E67:G67"/>
    <mergeCell ref="B14:D14"/>
    <mergeCell ref="E14:E15"/>
    <mergeCell ref="B16:D16"/>
    <mergeCell ref="B59:C59"/>
    <mergeCell ref="B60:C60"/>
    <mergeCell ref="B61:C61"/>
    <mergeCell ref="B62:C62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57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140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7" si="1">SUM(E17:H17)</f>
        <v>0</v>
      </c>
      <c r="J17" s="57"/>
      <c r="K17" s="58">
        <f t="shared" ref="K17:K57" si="2">IF(M17&lt;6,5,M17)</f>
        <v>5</v>
      </c>
      <c r="L17" s="59"/>
      <c r="M17" s="60">
        <f t="shared" ref="M17:M57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23</v>
      </c>
      <c r="D19" s="54" t="s">
        <v>29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30</v>
      </c>
      <c r="C20" s="53" t="s">
        <v>31</v>
      </c>
      <c r="D20" s="54" t="s">
        <v>32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41</v>
      </c>
      <c r="C25" s="53" t="s">
        <v>44</v>
      </c>
      <c r="D25" s="54" t="s">
        <v>45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41</v>
      </c>
      <c r="C26" s="53" t="s">
        <v>46</v>
      </c>
      <c r="D26" s="54" t="s">
        <v>47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41</v>
      </c>
      <c r="D27" s="54" t="s">
        <v>49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50</v>
      </c>
      <c r="C28" s="53" t="s">
        <v>51</v>
      </c>
      <c r="D28" s="54" t="s">
        <v>52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50</v>
      </c>
      <c r="C29" s="53" t="s">
        <v>53</v>
      </c>
      <c r="D29" s="54" t="s">
        <v>54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50</v>
      </c>
      <c r="C30" s="53" t="s">
        <v>55</v>
      </c>
      <c r="D30" s="54" t="s">
        <v>56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50</v>
      </c>
      <c r="C31" s="53" t="s">
        <v>57</v>
      </c>
      <c r="D31" s="54" t="s">
        <v>58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50</v>
      </c>
      <c r="C32" s="53" t="s">
        <v>59</v>
      </c>
      <c r="D32" s="54" t="s">
        <v>60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61</v>
      </c>
      <c r="C33" s="53" t="s">
        <v>50</v>
      </c>
      <c r="D33" s="54" t="s">
        <v>62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64</v>
      </c>
      <c r="D34" s="54" t="s">
        <v>65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66</v>
      </c>
      <c r="C35" s="53" t="s">
        <v>67</v>
      </c>
      <c r="D35" s="54" t="s">
        <v>68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26</v>
      </c>
      <c r="C36" s="53" t="s">
        <v>69</v>
      </c>
      <c r="D36" s="54" t="s">
        <v>70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71</v>
      </c>
      <c r="C37" s="53" t="s">
        <v>72</v>
      </c>
      <c r="D37" s="54" t="s">
        <v>73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74</v>
      </c>
      <c r="C38" s="53" t="s">
        <v>75</v>
      </c>
      <c r="D38" s="54" t="s">
        <v>76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77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81</v>
      </c>
      <c r="D40" s="54" t="s">
        <v>82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83</v>
      </c>
      <c r="C41" s="53" t="s">
        <v>84</v>
      </c>
      <c r="D41" s="54" t="s">
        <v>85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31</v>
      </c>
      <c r="C45" s="53" t="s">
        <v>95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41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36</v>
      </c>
      <c r="C47" s="53" t="s">
        <v>99</v>
      </c>
      <c r="D47" s="54" t="s">
        <v>100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101</v>
      </c>
      <c r="C48" s="53" t="s">
        <v>102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59</v>
      </c>
      <c r="C49" s="53" t="s">
        <v>53</v>
      </c>
      <c r="D49" s="54" t="s">
        <v>104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59</v>
      </c>
      <c r="C50" s="53" t="s">
        <v>50</v>
      </c>
      <c r="D50" s="54" t="s">
        <v>105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93</v>
      </c>
      <c r="C51" s="53" t="s">
        <v>106</v>
      </c>
      <c r="D51" s="54" t="s">
        <v>107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108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112</v>
      </c>
      <c r="D53" s="54" t="s">
        <v>113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115</v>
      </c>
      <c r="D54" s="54" t="s">
        <v>116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117</v>
      </c>
      <c r="C55" s="53" t="s">
        <v>118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120</v>
      </c>
      <c r="C56" s="53" t="s">
        <v>121</v>
      </c>
      <c r="D56" s="54" t="s">
        <v>122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123</v>
      </c>
      <c r="C57" s="53" t="s">
        <v>124</v>
      </c>
      <c r="D57" s="54" t="s">
        <v>125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6"/>
      <c r="B58" s="61"/>
      <c r="C58" s="61"/>
      <c r="D58" s="61"/>
      <c r="E58" s="62"/>
      <c r="F58" s="62"/>
      <c r="G58" s="61"/>
      <c r="H58" s="61"/>
      <c r="I58" s="61"/>
      <c r="J58" s="61"/>
      <c r="K58" s="1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3" t="s">
        <v>126</v>
      </c>
      <c r="C59" s="64"/>
      <c r="D59" s="65">
        <f>COUNT(A17:A57)</f>
        <v>41</v>
      </c>
      <c r="E59" s="61"/>
      <c r="F59" s="61"/>
      <c r="G59" s="66" t="s">
        <v>127</v>
      </c>
      <c r="H59" s="66"/>
      <c r="I59" s="66" t="s">
        <v>128</v>
      </c>
      <c r="K59" s="67" t="s">
        <v>129</v>
      </c>
      <c r="L59" s="68" t="s">
        <v>130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131</v>
      </c>
      <c r="C60" s="70"/>
      <c r="D60" s="71">
        <f>COUNTIF(K17:K57,"BAJA")</f>
        <v>0</v>
      </c>
      <c r="E60" s="61"/>
      <c r="F60" s="61"/>
      <c r="H60" s="66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132</v>
      </c>
      <c r="C61" s="70"/>
      <c r="D61" s="72">
        <f>D59-D60</f>
        <v>41</v>
      </c>
      <c r="E61" s="61"/>
      <c r="F61" s="61"/>
      <c r="G61" s="73"/>
      <c r="H61" s="74"/>
      <c r="I61" s="73"/>
      <c r="J61" s="73"/>
      <c r="K61" s="75"/>
      <c r="L61" s="7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69" t="s">
        <v>133</v>
      </c>
      <c r="C62" s="70"/>
      <c r="D62" s="77">
        <f>COUNTIF(K17:K57,"&gt;=6")</f>
        <v>0</v>
      </c>
      <c r="E62" s="61"/>
      <c r="F62" s="61"/>
      <c r="G62" s="73"/>
      <c r="H62" s="74"/>
      <c r="I62" s="73"/>
      <c r="J62" s="73"/>
      <c r="K62" s="75"/>
      <c r="L62" s="7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69" t="s">
        <v>134</v>
      </c>
      <c r="C63" s="70"/>
      <c r="D63" s="77">
        <f>D61-D62</f>
        <v>41</v>
      </c>
      <c r="E63" s="61"/>
      <c r="F63" s="61"/>
      <c r="G63" s="78"/>
      <c r="H63" s="74"/>
      <c r="I63" s="78"/>
      <c r="J63" s="78"/>
      <c r="K63" s="79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B64" s="69" t="s">
        <v>135</v>
      </c>
      <c r="C64" s="70"/>
      <c r="D64" s="81">
        <f>D62*100/D61</f>
        <v>0</v>
      </c>
      <c r="E64" s="61"/>
      <c r="F64" s="61"/>
      <c r="G64" s="82" t="s">
        <v>136</v>
      </c>
      <c r="H64" s="83"/>
      <c r="I64" s="84"/>
      <c r="K64" s="85" t="s">
        <v>137</v>
      </c>
      <c r="L64" s="86" t="s">
        <v>138</v>
      </c>
      <c r="M64" s="8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88" t="s">
        <v>139</v>
      </c>
      <c r="C65" s="89"/>
      <c r="D65" s="90">
        <f>AVERAGE(K17:K57)</f>
        <v>5</v>
      </c>
      <c r="E65" s="61"/>
      <c r="F65" s="61"/>
      <c r="H65" s="83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1"/>
      <c r="B67" s="92"/>
      <c r="C67" s="93"/>
      <c r="D67" s="93"/>
      <c r="E67" s="61"/>
      <c r="H67" s="7"/>
      <c r="I67" s="7"/>
      <c r="J67" s="7"/>
      <c r="K67" s="7"/>
      <c r="L67" s="94"/>
      <c r="M67" s="9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6"/>
      <c r="B68" s="61"/>
      <c r="C68" s="61"/>
      <c r="D68" s="61"/>
      <c r="E68" s="7"/>
      <c r="F68" s="7"/>
      <c r="G68" s="1"/>
      <c r="H68" s="1"/>
      <c r="I68" s="1"/>
      <c r="J68" s="1"/>
      <c r="K68" s="1"/>
      <c r="L68" s="8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6"/>
      <c r="B69" s="61"/>
      <c r="C69" s="61"/>
      <c r="D69" s="61"/>
      <c r="E69" s="7"/>
      <c r="F69" s="7"/>
      <c r="G69" s="1"/>
      <c r="H69" s="1"/>
      <c r="I69" s="1"/>
      <c r="J69" s="1"/>
      <c r="K69" s="1"/>
      <c r="L69" s="8"/>
      <c r="M69" s="9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99"/>
      <c r="C70" s="99"/>
      <c r="D70" s="99"/>
      <c r="E70" s="100"/>
      <c r="F70" s="100"/>
      <c r="G70" s="101"/>
      <c r="H70" s="101"/>
      <c r="I70" s="101"/>
      <c r="J70" s="101"/>
      <c r="K70" s="101"/>
      <c r="L70" s="102"/>
      <c r="M70" s="9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04"/>
      <c r="L73" s="104"/>
      <c r="M73" s="10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04"/>
      <c r="L74" s="104"/>
      <c r="M74" s="10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3"/>
      <c r="C81" s="103"/>
      <c r="D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3"/>
      <c r="C82" s="103"/>
      <c r="D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9:G60"/>
    <mergeCell ref="I59:J60"/>
    <mergeCell ref="K59:K60"/>
    <mergeCell ref="L59:L60"/>
    <mergeCell ref="A9:L9"/>
    <mergeCell ref="E10:L10"/>
    <mergeCell ref="A13:B13"/>
    <mergeCell ref="C13:D13"/>
    <mergeCell ref="H13:H15"/>
    <mergeCell ref="I13:I14"/>
    <mergeCell ref="J13:L14"/>
    <mergeCell ref="J15:L15"/>
    <mergeCell ref="B63:C63"/>
    <mergeCell ref="B64:C64"/>
    <mergeCell ref="G64:G65"/>
    <mergeCell ref="I64:J65"/>
    <mergeCell ref="K64:K65"/>
    <mergeCell ref="L64:L65"/>
    <mergeCell ref="B65:C65"/>
    <mergeCell ref="E67:G67"/>
    <mergeCell ref="B14:D14"/>
    <mergeCell ref="E14:E15"/>
    <mergeCell ref="B16:D16"/>
    <mergeCell ref="B59:C59"/>
    <mergeCell ref="B60:C60"/>
    <mergeCell ref="B61:C61"/>
    <mergeCell ref="B62:C62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9 L17:L67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141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7" si="1">SUM(E17:H17)</f>
        <v>0</v>
      </c>
      <c r="J17" s="57"/>
      <c r="K17" s="58">
        <f t="shared" ref="K17:K57" si="2">IF(M17&lt;6,5,M17)</f>
        <v>5</v>
      </c>
      <c r="L17" s="59"/>
      <c r="M17" s="60">
        <f t="shared" ref="M17:M57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23</v>
      </c>
      <c r="D19" s="54" t="s">
        <v>29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30</v>
      </c>
      <c r="C20" s="53" t="s">
        <v>31</v>
      </c>
      <c r="D20" s="54" t="s">
        <v>32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41</v>
      </c>
      <c r="C25" s="53" t="s">
        <v>44</v>
      </c>
      <c r="D25" s="54" t="s">
        <v>45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41</v>
      </c>
      <c r="C26" s="53" t="s">
        <v>46</v>
      </c>
      <c r="D26" s="54" t="s">
        <v>47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41</v>
      </c>
      <c r="D27" s="54" t="s">
        <v>49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50</v>
      </c>
      <c r="C28" s="53" t="s">
        <v>51</v>
      </c>
      <c r="D28" s="54" t="s">
        <v>52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50</v>
      </c>
      <c r="C29" s="53" t="s">
        <v>53</v>
      </c>
      <c r="D29" s="54" t="s">
        <v>54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50</v>
      </c>
      <c r="C30" s="53" t="s">
        <v>55</v>
      </c>
      <c r="D30" s="54" t="s">
        <v>56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50</v>
      </c>
      <c r="C31" s="53" t="s">
        <v>57</v>
      </c>
      <c r="D31" s="54" t="s">
        <v>58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50</v>
      </c>
      <c r="C32" s="53" t="s">
        <v>59</v>
      </c>
      <c r="D32" s="54" t="s">
        <v>60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61</v>
      </c>
      <c r="C33" s="53" t="s">
        <v>50</v>
      </c>
      <c r="D33" s="54" t="s">
        <v>62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64</v>
      </c>
      <c r="D34" s="54" t="s">
        <v>65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66</v>
      </c>
      <c r="C35" s="53" t="s">
        <v>67</v>
      </c>
      <c r="D35" s="54" t="s">
        <v>68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26</v>
      </c>
      <c r="C36" s="53" t="s">
        <v>69</v>
      </c>
      <c r="D36" s="54" t="s">
        <v>70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71</v>
      </c>
      <c r="C37" s="53" t="s">
        <v>72</v>
      </c>
      <c r="D37" s="54" t="s">
        <v>73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74</v>
      </c>
      <c r="C38" s="53" t="s">
        <v>75</v>
      </c>
      <c r="D38" s="54" t="s">
        <v>76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77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81</v>
      </c>
      <c r="D40" s="54" t="s">
        <v>82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83</v>
      </c>
      <c r="C41" s="53" t="s">
        <v>84</v>
      </c>
      <c r="D41" s="54" t="s">
        <v>85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31</v>
      </c>
      <c r="C45" s="53" t="s">
        <v>95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41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36</v>
      </c>
      <c r="C47" s="53" t="s">
        <v>99</v>
      </c>
      <c r="D47" s="54" t="s">
        <v>100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101</v>
      </c>
      <c r="C48" s="53" t="s">
        <v>102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59</v>
      </c>
      <c r="C49" s="53" t="s">
        <v>53</v>
      </c>
      <c r="D49" s="54" t="s">
        <v>104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59</v>
      </c>
      <c r="C50" s="53" t="s">
        <v>50</v>
      </c>
      <c r="D50" s="54" t="s">
        <v>105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93</v>
      </c>
      <c r="C51" s="53" t="s">
        <v>106</v>
      </c>
      <c r="D51" s="54" t="s">
        <v>107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108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112</v>
      </c>
      <c r="D53" s="54" t="s">
        <v>113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115</v>
      </c>
      <c r="D54" s="54" t="s">
        <v>116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117</v>
      </c>
      <c r="C55" s="53" t="s">
        <v>118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120</v>
      </c>
      <c r="C56" s="53" t="s">
        <v>121</v>
      </c>
      <c r="D56" s="54" t="s">
        <v>122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123</v>
      </c>
      <c r="C57" s="53" t="s">
        <v>124</v>
      </c>
      <c r="D57" s="54" t="s">
        <v>125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6"/>
      <c r="B58" s="61"/>
      <c r="C58" s="61"/>
      <c r="D58" s="61"/>
      <c r="E58" s="62"/>
      <c r="F58" s="62"/>
      <c r="G58" s="61"/>
      <c r="H58" s="61"/>
      <c r="I58" s="61"/>
      <c r="J58" s="61"/>
      <c r="K58" s="1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3" t="s">
        <v>126</v>
      </c>
      <c r="C59" s="64"/>
      <c r="D59" s="65">
        <f>COUNT(A17:A57)</f>
        <v>41</v>
      </c>
      <c r="E59" s="61"/>
      <c r="F59" s="61"/>
      <c r="G59" s="66" t="s">
        <v>127</v>
      </c>
      <c r="H59" s="66"/>
      <c r="I59" s="66" t="s">
        <v>128</v>
      </c>
      <c r="K59" s="67" t="s">
        <v>129</v>
      </c>
      <c r="L59" s="68" t="s">
        <v>130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131</v>
      </c>
      <c r="C60" s="70"/>
      <c r="D60" s="71">
        <f>COUNTIF(K17:K57,"BAJA")</f>
        <v>0</v>
      </c>
      <c r="E60" s="61"/>
      <c r="F60" s="61"/>
      <c r="H60" s="66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132</v>
      </c>
      <c r="C61" s="70"/>
      <c r="D61" s="72">
        <f>D59-D60</f>
        <v>41</v>
      </c>
      <c r="E61" s="61"/>
      <c r="F61" s="61"/>
      <c r="G61" s="73"/>
      <c r="H61" s="74"/>
      <c r="I61" s="73"/>
      <c r="J61" s="73"/>
      <c r="K61" s="75"/>
      <c r="L61" s="7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69" t="s">
        <v>133</v>
      </c>
      <c r="C62" s="70"/>
      <c r="D62" s="77">
        <f>COUNTIF(K17:K57,"&gt;=6")</f>
        <v>0</v>
      </c>
      <c r="E62" s="61"/>
      <c r="F62" s="61"/>
      <c r="G62" s="73"/>
      <c r="H62" s="74"/>
      <c r="I62" s="73"/>
      <c r="J62" s="73"/>
      <c r="K62" s="75"/>
      <c r="L62" s="7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69" t="s">
        <v>134</v>
      </c>
      <c r="C63" s="70"/>
      <c r="D63" s="77">
        <f>D61-D62</f>
        <v>41</v>
      </c>
      <c r="E63" s="61"/>
      <c r="F63" s="61"/>
      <c r="G63" s="78"/>
      <c r="H63" s="74"/>
      <c r="I63" s="78"/>
      <c r="J63" s="78"/>
      <c r="K63" s="79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B64" s="69" t="s">
        <v>135</v>
      </c>
      <c r="C64" s="70"/>
      <c r="D64" s="81">
        <f>D62*100/D61</f>
        <v>0</v>
      </c>
      <c r="E64" s="61"/>
      <c r="F64" s="61"/>
      <c r="G64" s="82" t="s">
        <v>136</v>
      </c>
      <c r="H64" s="83"/>
      <c r="I64" s="84"/>
      <c r="K64" s="85" t="s">
        <v>137</v>
      </c>
      <c r="L64" s="86" t="s">
        <v>138</v>
      </c>
      <c r="M64" s="8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88" t="s">
        <v>139</v>
      </c>
      <c r="C65" s="89"/>
      <c r="D65" s="90">
        <f>AVERAGE(K17:K57)</f>
        <v>5</v>
      </c>
      <c r="E65" s="61"/>
      <c r="F65" s="61"/>
      <c r="H65" s="83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1"/>
      <c r="B67" s="92"/>
      <c r="C67" s="93"/>
      <c r="D67" s="93"/>
      <c r="E67" s="61"/>
      <c r="H67" s="7"/>
      <c r="I67" s="7"/>
      <c r="J67" s="7"/>
      <c r="K67" s="7"/>
      <c r="L67" s="94"/>
      <c r="M67" s="9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6"/>
      <c r="B68" s="61"/>
      <c r="C68" s="61"/>
      <c r="D68" s="61"/>
      <c r="E68" s="7"/>
      <c r="F68" s="7"/>
      <c r="G68" s="1"/>
      <c r="H68" s="1"/>
      <c r="I68" s="1"/>
      <c r="J68" s="1"/>
      <c r="K68" s="1"/>
      <c r="L68" s="8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6"/>
      <c r="B69" s="61"/>
      <c r="C69" s="61"/>
      <c r="D69" s="61"/>
      <c r="E69" s="7"/>
      <c r="F69" s="7"/>
      <c r="G69" s="1"/>
      <c r="H69" s="1"/>
      <c r="I69" s="1"/>
      <c r="J69" s="1"/>
      <c r="K69" s="1"/>
      <c r="L69" s="8"/>
      <c r="M69" s="9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99"/>
      <c r="C70" s="99"/>
      <c r="D70" s="99"/>
      <c r="E70" s="100"/>
      <c r="F70" s="100"/>
      <c r="G70" s="101"/>
      <c r="H70" s="101"/>
      <c r="I70" s="101"/>
      <c r="J70" s="101"/>
      <c r="K70" s="101"/>
      <c r="L70" s="102"/>
      <c r="M70" s="9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04"/>
      <c r="L73" s="104"/>
      <c r="M73" s="10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04"/>
      <c r="L74" s="104"/>
      <c r="M74" s="10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3"/>
      <c r="C81" s="103"/>
      <c r="D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3"/>
      <c r="C82" s="103"/>
      <c r="D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9:G60"/>
    <mergeCell ref="I59:J60"/>
    <mergeCell ref="K59:K60"/>
    <mergeCell ref="L59:L60"/>
    <mergeCell ref="A9:L9"/>
    <mergeCell ref="E10:L10"/>
    <mergeCell ref="A13:B13"/>
    <mergeCell ref="C13:D13"/>
    <mergeCell ref="H13:H15"/>
    <mergeCell ref="I13:I14"/>
    <mergeCell ref="J13:L14"/>
    <mergeCell ref="J15:L15"/>
    <mergeCell ref="B63:C63"/>
    <mergeCell ref="B64:C64"/>
    <mergeCell ref="G64:G65"/>
    <mergeCell ref="I64:J65"/>
    <mergeCell ref="K64:K65"/>
    <mergeCell ref="L64:L65"/>
    <mergeCell ref="B65:C65"/>
    <mergeCell ref="E67:G67"/>
    <mergeCell ref="B14:D14"/>
    <mergeCell ref="E14:E15"/>
    <mergeCell ref="B16:D16"/>
    <mergeCell ref="B59:C59"/>
    <mergeCell ref="B60:C60"/>
    <mergeCell ref="B61:C61"/>
    <mergeCell ref="B62:C62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9 L17:L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142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7" si="1">SUM(E17:H17)</f>
        <v>0</v>
      </c>
      <c r="J17" s="57"/>
      <c r="K17" s="58">
        <f t="shared" ref="K17:K57" si="2">IF(M17&lt;6,5,M17)</f>
        <v>5</v>
      </c>
      <c r="L17" s="59"/>
      <c r="M17" s="60">
        <f t="shared" ref="M17:M57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23</v>
      </c>
      <c r="D19" s="54" t="s">
        <v>29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30</v>
      </c>
      <c r="C20" s="53" t="s">
        <v>31</v>
      </c>
      <c r="D20" s="54" t="s">
        <v>32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41</v>
      </c>
      <c r="C25" s="53" t="s">
        <v>44</v>
      </c>
      <c r="D25" s="54" t="s">
        <v>45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41</v>
      </c>
      <c r="C26" s="53" t="s">
        <v>46</v>
      </c>
      <c r="D26" s="54" t="s">
        <v>47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41</v>
      </c>
      <c r="D27" s="54" t="s">
        <v>49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50</v>
      </c>
      <c r="C28" s="53" t="s">
        <v>51</v>
      </c>
      <c r="D28" s="54" t="s">
        <v>52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50</v>
      </c>
      <c r="C29" s="53" t="s">
        <v>53</v>
      </c>
      <c r="D29" s="54" t="s">
        <v>54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50</v>
      </c>
      <c r="C30" s="53" t="s">
        <v>55</v>
      </c>
      <c r="D30" s="54" t="s">
        <v>56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50</v>
      </c>
      <c r="C31" s="53" t="s">
        <v>57</v>
      </c>
      <c r="D31" s="54" t="s">
        <v>58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50</v>
      </c>
      <c r="C32" s="53" t="s">
        <v>59</v>
      </c>
      <c r="D32" s="54" t="s">
        <v>60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61</v>
      </c>
      <c r="C33" s="53" t="s">
        <v>50</v>
      </c>
      <c r="D33" s="54" t="s">
        <v>62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64</v>
      </c>
      <c r="D34" s="54" t="s">
        <v>65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66</v>
      </c>
      <c r="C35" s="53" t="s">
        <v>67</v>
      </c>
      <c r="D35" s="54" t="s">
        <v>68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26</v>
      </c>
      <c r="C36" s="53" t="s">
        <v>69</v>
      </c>
      <c r="D36" s="54" t="s">
        <v>70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71</v>
      </c>
      <c r="C37" s="53" t="s">
        <v>72</v>
      </c>
      <c r="D37" s="54" t="s">
        <v>73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74</v>
      </c>
      <c r="C38" s="53" t="s">
        <v>75</v>
      </c>
      <c r="D38" s="54" t="s">
        <v>76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77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81</v>
      </c>
      <c r="D40" s="54" t="s">
        <v>82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83</v>
      </c>
      <c r="C41" s="53" t="s">
        <v>84</v>
      </c>
      <c r="D41" s="54" t="s">
        <v>85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31</v>
      </c>
      <c r="C45" s="53" t="s">
        <v>95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41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36</v>
      </c>
      <c r="C47" s="53" t="s">
        <v>99</v>
      </c>
      <c r="D47" s="54" t="s">
        <v>100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101</v>
      </c>
      <c r="C48" s="53" t="s">
        <v>102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59</v>
      </c>
      <c r="C49" s="53" t="s">
        <v>53</v>
      </c>
      <c r="D49" s="54" t="s">
        <v>104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59</v>
      </c>
      <c r="C50" s="53" t="s">
        <v>50</v>
      </c>
      <c r="D50" s="54" t="s">
        <v>105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93</v>
      </c>
      <c r="C51" s="53" t="s">
        <v>106</v>
      </c>
      <c r="D51" s="54" t="s">
        <v>107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108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112</v>
      </c>
      <c r="D53" s="54" t="s">
        <v>113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115</v>
      </c>
      <c r="D54" s="54" t="s">
        <v>116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117</v>
      </c>
      <c r="C55" s="53" t="s">
        <v>118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120</v>
      </c>
      <c r="C56" s="53" t="s">
        <v>121</v>
      </c>
      <c r="D56" s="54" t="s">
        <v>122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123</v>
      </c>
      <c r="C57" s="53" t="s">
        <v>124</v>
      </c>
      <c r="D57" s="54" t="s">
        <v>125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6"/>
      <c r="B58" s="61"/>
      <c r="C58" s="61"/>
      <c r="D58" s="61"/>
      <c r="E58" s="62"/>
      <c r="F58" s="62"/>
      <c r="G58" s="61"/>
      <c r="H58" s="61"/>
      <c r="I58" s="61"/>
      <c r="J58" s="61"/>
      <c r="K58" s="1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3" t="s">
        <v>126</v>
      </c>
      <c r="C59" s="64"/>
      <c r="D59" s="65">
        <f>COUNT(A17:A57)</f>
        <v>41</v>
      </c>
      <c r="E59" s="61"/>
      <c r="F59" s="61"/>
      <c r="G59" s="66" t="s">
        <v>127</v>
      </c>
      <c r="H59" s="66"/>
      <c r="I59" s="66" t="s">
        <v>128</v>
      </c>
      <c r="K59" s="67" t="s">
        <v>129</v>
      </c>
      <c r="L59" s="68" t="s">
        <v>130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131</v>
      </c>
      <c r="C60" s="70"/>
      <c r="D60" s="71">
        <f>COUNTIF(K17:K57,"BAJA")</f>
        <v>0</v>
      </c>
      <c r="E60" s="61"/>
      <c r="F60" s="61"/>
      <c r="H60" s="66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132</v>
      </c>
      <c r="C61" s="70"/>
      <c r="D61" s="72">
        <f>D59-D60</f>
        <v>41</v>
      </c>
      <c r="E61" s="61"/>
      <c r="F61" s="61"/>
      <c r="G61" s="73"/>
      <c r="H61" s="74"/>
      <c r="I61" s="73"/>
      <c r="J61" s="73"/>
      <c r="K61" s="75"/>
      <c r="L61" s="7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69" t="s">
        <v>133</v>
      </c>
      <c r="C62" s="70"/>
      <c r="D62" s="77">
        <f>COUNTIF(K17:K57,"&gt;=6")</f>
        <v>0</v>
      </c>
      <c r="E62" s="61"/>
      <c r="F62" s="61"/>
      <c r="G62" s="73"/>
      <c r="H62" s="74"/>
      <c r="I62" s="73"/>
      <c r="J62" s="73"/>
      <c r="K62" s="75"/>
      <c r="L62" s="7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69" t="s">
        <v>134</v>
      </c>
      <c r="C63" s="70"/>
      <c r="D63" s="77">
        <f>D61-D62</f>
        <v>41</v>
      </c>
      <c r="E63" s="61"/>
      <c r="F63" s="61"/>
      <c r="G63" s="78"/>
      <c r="H63" s="74"/>
      <c r="I63" s="78"/>
      <c r="J63" s="78"/>
      <c r="K63" s="79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B64" s="69" t="s">
        <v>135</v>
      </c>
      <c r="C64" s="70"/>
      <c r="D64" s="81">
        <f>D62*100/D61</f>
        <v>0</v>
      </c>
      <c r="E64" s="61"/>
      <c r="F64" s="61"/>
      <c r="G64" s="82" t="s">
        <v>136</v>
      </c>
      <c r="H64" s="83"/>
      <c r="I64" s="84"/>
      <c r="K64" s="85" t="s">
        <v>137</v>
      </c>
      <c r="L64" s="86" t="s">
        <v>138</v>
      </c>
      <c r="M64" s="8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88" t="s">
        <v>139</v>
      </c>
      <c r="C65" s="89"/>
      <c r="D65" s="90">
        <f>AVERAGE(K17:K57)</f>
        <v>5</v>
      </c>
      <c r="E65" s="61"/>
      <c r="F65" s="61"/>
      <c r="H65" s="83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1"/>
      <c r="B67" s="92"/>
      <c r="C67" s="93"/>
      <c r="D67" s="93"/>
      <c r="E67" s="61"/>
      <c r="H67" s="7"/>
      <c r="I67" s="7"/>
      <c r="J67" s="7"/>
      <c r="K67" s="7"/>
      <c r="L67" s="94"/>
      <c r="M67" s="9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6"/>
      <c r="B68" s="61"/>
      <c r="C68" s="61"/>
      <c r="D68" s="61"/>
      <c r="E68" s="7"/>
      <c r="F68" s="7"/>
      <c r="G68" s="1"/>
      <c r="H68" s="1"/>
      <c r="I68" s="1"/>
      <c r="J68" s="1"/>
      <c r="K68" s="1"/>
      <c r="L68" s="8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6"/>
      <c r="B69" s="61"/>
      <c r="C69" s="61"/>
      <c r="D69" s="61"/>
      <c r="E69" s="7"/>
      <c r="F69" s="7"/>
      <c r="G69" s="1"/>
      <c r="H69" s="1"/>
      <c r="I69" s="1"/>
      <c r="J69" s="1"/>
      <c r="K69" s="1"/>
      <c r="L69" s="8"/>
      <c r="M69" s="9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99"/>
      <c r="C70" s="99"/>
      <c r="D70" s="99"/>
      <c r="E70" s="100"/>
      <c r="F70" s="100"/>
      <c r="G70" s="101"/>
      <c r="H70" s="101"/>
      <c r="I70" s="101"/>
      <c r="J70" s="101"/>
      <c r="K70" s="101"/>
      <c r="L70" s="102"/>
      <c r="M70" s="9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04"/>
      <c r="L73" s="104"/>
      <c r="M73" s="10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04"/>
      <c r="L74" s="104"/>
      <c r="M74" s="10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3"/>
      <c r="C81" s="103"/>
      <c r="D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3"/>
      <c r="C82" s="103"/>
      <c r="D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9:G60"/>
    <mergeCell ref="I59:J60"/>
    <mergeCell ref="K59:K60"/>
    <mergeCell ref="L59:L60"/>
    <mergeCell ref="A9:L9"/>
    <mergeCell ref="E10:L10"/>
    <mergeCell ref="A13:B13"/>
    <mergeCell ref="C13:D13"/>
    <mergeCell ref="H13:H15"/>
    <mergeCell ref="I13:I14"/>
    <mergeCell ref="J13:L14"/>
    <mergeCell ref="J15:L15"/>
    <mergeCell ref="B63:C63"/>
    <mergeCell ref="B64:C64"/>
    <mergeCell ref="G64:G65"/>
    <mergeCell ref="I64:J65"/>
    <mergeCell ref="K64:K65"/>
    <mergeCell ref="L64:L65"/>
    <mergeCell ref="B65:C65"/>
    <mergeCell ref="E67:G67"/>
    <mergeCell ref="B14:D14"/>
    <mergeCell ref="E14:E15"/>
    <mergeCell ref="B16:D16"/>
    <mergeCell ref="B59:C59"/>
    <mergeCell ref="B60:C60"/>
    <mergeCell ref="B61:C61"/>
    <mergeCell ref="B62:C62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9 L17:L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143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7" si="1">SUM(E17:H17)</f>
        <v>0</v>
      </c>
      <c r="J17" s="57"/>
      <c r="K17" s="58">
        <f t="shared" ref="K17:K57" si="2">IF(M17&lt;6,5,M17)</f>
        <v>5</v>
      </c>
      <c r="L17" s="59"/>
      <c r="M17" s="60">
        <f t="shared" ref="M17:M57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23</v>
      </c>
      <c r="D19" s="54" t="s">
        <v>29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30</v>
      </c>
      <c r="C20" s="53" t="s">
        <v>31</v>
      </c>
      <c r="D20" s="54" t="s">
        <v>32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41</v>
      </c>
      <c r="C25" s="53" t="s">
        <v>44</v>
      </c>
      <c r="D25" s="54" t="s">
        <v>45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41</v>
      </c>
      <c r="C26" s="53" t="s">
        <v>46</v>
      </c>
      <c r="D26" s="54" t="s">
        <v>47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41</v>
      </c>
      <c r="D27" s="54" t="s">
        <v>49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50</v>
      </c>
      <c r="C28" s="53" t="s">
        <v>51</v>
      </c>
      <c r="D28" s="54" t="s">
        <v>52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50</v>
      </c>
      <c r="C29" s="53" t="s">
        <v>53</v>
      </c>
      <c r="D29" s="54" t="s">
        <v>54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50</v>
      </c>
      <c r="C30" s="53" t="s">
        <v>55</v>
      </c>
      <c r="D30" s="54" t="s">
        <v>56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50</v>
      </c>
      <c r="C31" s="53" t="s">
        <v>57</v>
      </c>
      <c r="D31" s="54" t="s">
        <v>58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50</v>
      </c>
      <c r="C32" s="53" t="s">
        <v>59</v>
      </c>
      <c r="D32" s="54" t="s">
        <v>60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61</v>
      </c>
      <c r="C33" s="53" t="s">
        <v>50</v>
      </c>
      <c r="D33" s="54" t="s">
        <v>62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64</v>
      </c>
      <c r="D34" s="54" t="s">
        <v>65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66</v>
      </c>
      <c r="C35" s="53" t="s">
        <v>67</v>
      </c>
      <c r="D35" s="54" t="s">
        <v>68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26</v>
      </c>
      <c r="C36" s="53" t="s">
        <v>69</v>
      </c>
      <c r="D36" s="54" t="s">
        <v>70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71</v>
      </c>
      <c r="C37" s="53" t="s">
        <v>72</v>
      </c>
      <c r="D37" s="54" t="s">
        <v>73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74</v>
      </c>
      <c r="C38" s="53" t="s">
        <v>75</v>
      </c>
      <c r="D38" s="54" t="s">
        <v>76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77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81</v>
      </c>
      <c r="D40" s="54" t="s">
        <v>82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83</v>
      </c>
      <c r="C41" s="53" t="s">
        <v>84</v>
      </c>
      <c r="D41" s="54" t="s">
        <v>85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31</v>
      </c>
      <c r="C45" s="53" t="s">
        <v>95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41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36</v>
      </c>
      <c r="C47" s="53" t="s">
        <v>99</v>
      </c>
      <c r="D47" s="54" t="s">
        <v>100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101</v>
      </c>
      <c r="C48" s="53" t="s">
        <v>102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59</v>
      </c>
      <c r="C49" s="53" t="s">
        <v>53</v>
      </c>
      <c r="D49" s="54" t="s">
        <v>104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59</v>
      </c>
      <c r="C50" s="53" t="s">
        <v>50</v>
      </c>
      <c r="D50" s="54" t="s">
        <v>105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93</v>
      </c>
      <c r="C51" s="53" t="s">
        <v>106</v>
      </c>
      <c r="D51" s="54" t="s">
        <v>107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108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112</v>
      </c>
      <c r="D53" s="54" t="s">
        <v>113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115</v>
      </c>
      <c r="D54" s="54" t="s">
        <v>116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117</v>
      </c>
      <c r="C55" s="53" t="s">
        <v>118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120</v>
      </c>
      <c r="C56" s="53" t="s">
        <v>121</v>
      </c>
      <c r="D56" s="54" t="s">
        <v>122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123</v>
      </c>
      <c r="C57" s="53" t="s">
        <v>124</v>
      </c>
      <c r="D57" s="54" t="s">
        <v>125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6"/>
      <c r="B58" s="61"/>
      <c r="C58" s="61"/>
      <c r="D58" s="61"/>
      <c r="E58" s="62"/>
      <c r="F58" s="62"/>
      <c r="G58" s="61"/>
      <c r="H58" s="61"/>
      <c r="I58" s="61"/>
      <c r="J58" s="61"/>
      <c r="K58" s="1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3" t="s">
        <v>126</v>
      </c>
      <c r="C59" s="64"/>
      <c r="D59" s="65">
        <f>COUNT(A17:A57)</f>
        <v>41</v>
      </c>
      <c r="E59" s="61"/>
      <c r="F59" s="61"/>
      <c r="G59" s="66" t="s">
        <v>127</v>
      </c>
      <c r="H59" s="66"/>
      <c r="I59" s="66" t="s">
        <v>128</v>
      </c>
      <c r="K59" s="67" t="s">
        <v>129</v>
      </c>
      <c r="L59" s="68" t="s">
        <v>130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131</v>
      </c>
      <c r="C60" s="70"/>
      <c r="D60" s="71">
        <f>COUNTIF(K17:K57,"BAJA")</f>
        <v>0</v>
      </c>
      <c r="E60" s="61"/>
      <c r="F60" s="61"/>
      <c r="H60" s="66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132</v>
      </c>
      <c r="C61" s="70"/>
      <c r="D61" s="72">
        <f>D59-D60</f>
        <v>41</v>
      </c>
      <c r="E61" s="61"/>
      <c r="F61" s="61"/>
      <c r="G61" s="73"/>
      <c r="H61" s="74"/>
      <c r="I61" s="73"/>
      <c r="J61" s="73"/>
      <c r="K61" s="75"/>
      <c r="L61" s="7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69" t="s">
        <v>133</v>
      </c>
      <c r="C62" s="70"/>
      <c r="D62" s="77">
        <f>COUNTIF(K17:K57,"&gt;=6")</f>
        <v>0</v>
      </c>
      <c r="E62" s="61"/>
      <c r="F62" s="61"/>
      <c r="G62" s="73"/>
      <c r="H62" s="74"/>
      <c r="I62" s="73"/>
      <c r="J62" s="73"/>
      <c r="K62" s="75"/>
      <c r="L62" s="7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69" t="s">
        <v>134</v>
      </c>
      <c r="C63" s="70"/>
      <c r="D63" s="77">
        <f>D61-D62</f>
        <v>41</v>
      </c>
      <c r="E63" s="61"/>
      <c r="F63" s="61"/>
      <c r="G63" s="78"/>
      <c r="H63" s="74"/>
      <c r="I63" s="78"/>
      <c r="J63" s="78"/>
      <c r="K63" s="79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B64" s="69" t="s">
        <v>135</v>
      </c>
      <c r="C64" s="70"/>
      <c r="D64" s="81">
        <f>D62*100/D61</f>
        <v>0</v>
      </c>
      <c r="E64" s="61"/>
      <c r="F64" s="61"/>
      <c r="G64" s="82" t="s">
        <v>136</v>
      </c>
      <c r="H64" s="83"/>
      <c r="I64" s="84"/>
      <c r="K64" s="85" t="s">
        <v>137</v>
      </c>
      <c r="L64" s="86" t="s">
        <v>138</v>
      </c>
      <c r="M64" s="8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88" t="s">
        <v>139</v>
      </c>
      <c r="C65" s="89"/>
      <c r="D65" s="90">
        <f>AVERAGE(K17:K57)</f>
        <v>5</v>
      </c>
      <c r="E65" s="61"/>
      <c r="F65" s="61"/>
      <c r="H65" s="83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1"/>
      <c r="B67" s="92"/>
      <c r="C67" s="93"/>
      <c r="D67" s="93"/>
      <c r="E67" s="61"/>
      <c r="H67" s="7"/>
      <c r="I67" s="7"/>
      <c r="J67" s="7"/>
      <c r="K67" s="7"/>
      <c r="L67" s="94"/>
      <c r="M67" s="9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6"/>
      <c r="B68" s="61"/>
      <c r="C68" s="61"/>
      <c r="D68" s="61"/>
      <c r="E68" s="7"/>
      <c r="F68" s="7"/>
      <c r="G68" s="1"/>
      <c r="H68" s="1"/>
      <c r="I68" s="1"/>
      <c r="J68" s="1"/>
      <c r="K68" s="1"/>
      <c r="L68" s="8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6"/>
      <c r="B69" s="61"/>
      <c r="C69" s="61"/>
      <c r="D69" s="61"/>
      <c r="E69" s="7"/>
      <c r="F69" s="7"/>
      <c r="G69" s="1"/>
      <c r="H69" s="1"/>
      <c r="I69" s="1"/>
      <c r="J69" s="1"/>
      <c r="K69" s="1"/>
      <c r="L69" s="8"/>
      <c r="M69" s="9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99"/>
      <c r="C70" s="99"/>
      <c r="D70" s="99"/>
      <c r="E70" s="100"/>
      <c r="F70" s="100"/>
      <c r="G70" s="101"/>
      <c r="H70" s="101"/>
      <c r="I70" s="101"/>
      <c r="J70" s="101"/>
      <c r="K70" s="101"/>
      <c r="L70" s="102"/>
      <c r="M70" s="9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04"/>
      <c r="L73" s="104"/>
      <c r="M73" s="10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04"/>
      <c r="L74" s="104"/>
      <c r="M74" s="10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3"/>
      <c r="C81" s="103"/>
      <c r="D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3"/>
      <c r="C82" s="103"/>
      <c r="D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9:G60"/>
    <mergeCell ref="I59:J60"/>
    <mergeCell ref="K59:K60"/>
    <mergeCell ref="L59:L60"/>
    <mergeCell ref="A9:L9"/>
    <mergeCell ref="E10:L10"/>
    <mergeCell ref="A13:B13"/>
    <mergeCell ref="C13:D13"/>
    <mergeCell ref="H13:H15"/>
    <mergeCell ref="I13:I14"/>
    <mergeCell ref="J13:L14"/>
    <mergeCell ref="J15:L15"/>
    <mergeCell ref="B63:C63"/>
    <mergeCell ref="B64:C64"/>
    <mergeCell ref="G64:G65"/>
    <mergeCell ref="I64:J65"/>
    <mergeCell ref="K64:K65"/>
    <mergeCell ref="L64:L65"/>
    <mergeCell ref="B65:C65"/>
    <mergeCell ref="E67:G67"/>
    <mergeCell ref="B14:D14"/>
    <mergeCell ref="E14:E15"/>
    <mergeCell ref="B16:D16"/>
    <mergeCell ref="B59:C59"/>
    <mergeCell ref="B60:C60"/>
    <mergeCell ref="B61:C61"/>
    <mergeCell ref="B62:C62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9 L17:L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144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7" si="1">SUM(E17:H17)</f>
        <v>0</v>
      </c>
      <c r="J17" s="57"/>
      <c r="K17" s="58">
        <f t="shared" ref="K17:K57" si="2">IF(M17&lt;6,5,M17)</f>
        <v>5</v>
      </c>
      <c r="L17" s="59"/>
      <c r="M17" s="60">
        <f t="shared" ref="M17:M57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23</v>
      </c>
      <c r="D19" s="54" t="s">
        <v>29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30</v>
      </c>
      <c r="C20" s="53" t="s">
        <v>31</v>
      </c>
      <c r="D20" s="54" t="s">
        <v>32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41</v>
      </c>
      <c r="C25" s="53" t="s">
        <v>44</v>
      </c>
      <c r="D25" s="54" t="s">
        <v>45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41</v>
      </c>
      <c r="C26" s="53" t="s">
        <v>46</v>
      </c>
      <c r="D26" s="54" t="s">
        <v>47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41</v>
      </c>
      <c r="D27" s="54" t="s">
        <v>49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50</v>
      </c>
      <c r="C28" s="53" t="s">
        <v>51</v>
      </c>
      <c r="D28" s="54" t="s">
        <v>52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50</v>
      </c>
      <c r="C29" s="53" t="s">
        <v>53</v>
      </c>
      <c r="D29" s="54" t="s">
        <v>54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50</v>
      </c>
      <c r="C30" s="53" t="s">
        <v>55</v>
      </c>
      <c r="D30" s="54" t="s">
        <v>56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50</v>
      </c>
      <c r="C31" s="53" t="s">
        <v>57</v>
      </c>
      <c r="D31" s="54" t="s">
        <v>58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50</v>
      </c>
      <c r="C32" s="53" t="s">
        <v>59</v>
      </c>
      <c r="D32" s="54" t="s">
        <v>60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61</v>
      </c>
      <c r="C33" s="53" t="s">
        <v>50</v>
      </c>
      <c r="D33" s="54" t="s">
        <v>62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64</v>
      </c>
      <c r="D34" s="54" t="s">
        <v>65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66</v>
      </c>
      <c r="C35" s="53" t="s">
        <v>67</v>
      </c>
      <c r="D35" s="54" t="s">
        <v>68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26</v>
      </c>
      <c r="C36" s="53" t="s">
        <v>69</v>
      </c>
      <c r="D36" s="54" t="s">
        <v>70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71</v>
      </c>
      <c r="C37" s="53" t="s">
        <v>72</v>
      </c>
      <c r="D37" s="54" t="s">
        <v>73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74</v>
      </c>
      <c r="C38" s="53" t="s">
        <v>75</v>
      </c>
      <c r="D38" s="54" t="s">
        <v>76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77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81</v>
      </c>
      <c r="D40" s="54" t="s">
        <v>82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83</v>
      </c>
      <c r="C41" s="53" t="s">
        <v>84</v>
      </c>
      <c r="D41" s="54" t="s">
        <v>85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31</v>
      </c>
      <c r="C45" s="53" t="s">
        <v>95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41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36</v>
      </c>
      <c r="C47" s="53" t="s">
        <v>99</v>
      </c>
      <c r="D47" s="54" t="s">
        <v>100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101</v>
      </c>
      <c r="C48" s="53" t="s">
        <v>102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59</v>
      </c>
      <c r="C49" s="53" t="s">
        <v>53</v>
      </c>
      <c r="D49" s="54" t="s">
        <v>104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59</v>
      </c>
      <c r="C50" s="53" t="s">
        <v>50</v>
      </c>
      <c r="D50" s="54" t="s">
        <v>105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93</v>
      </c>
      <c r="C51" s="53" t="s">
        <v>106</v>
      </c>
      <c r="D51" s="54" t="s">
        <v>107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108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112</v>
      </c>
      <c r="D53" s="54" t="s">
        <v>113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115</v>
      </c>
      <c r="D54" s="54" t="s">
        <v>116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117</v>
      </c>
      <c r="C55" s="53" t="s">
        <v>118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120</v>
      </c>
      <c r="C56" s="53" t="s">
        <v>121</v>
      </c>
      <c r="D56" s="54" t="s">
        <v>122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123</v>
      </c>
      <c r="C57" s="53" t="s">
        <v>124</v>
      </c>
      <c r="D57" s="54" t="s">
        <v>125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6"/>
      <c r="B58" s="61"/>
      <c r="C58" s="61"/>
      <c r="D58" s="61"/>
      <c r="E58" s="62"/>
      <c r="F58" s="62"/>
      <c r="G58" s="61"/>
      <c r="H58" s="61"/>
      <c r="I58" s="61"/>
      <c r="J58" s="61"/>
      <c r="K58" s="1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3" t="s">
        <v>126</v>
      </c>
      <c r="C59" s="64"/>
      <c r="D59" s="65">
        <f>COUNT(A17:A57)</f>
        <v>41</v>
      </c>
      <c r="E59" s="61"/>
      <c r="F59" s="61"/>
      <c r="G59" s="66" t="s">
        <v>127</v>
      </c>
      <c r="H59" s="66"/>
      <c r="I59" s="66" t="s">
        <v>128</v>
      </c>
      <c r="K59" s="67" t="s">
        <v>129</v>
      </c>
      <c r="L59" s="68" t="s">
        <v>130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131</v>
      </c>
      <c r="C60" s="70"/>
      <c r="D60" s="71">
        <f>COUNTIF(K17:K57,"BAJA")</f>
        <v>0</v>
      </c>
      <c r="E60" s="61"/>
      <c r="F60" s="61"/>
      <c r="H60" s="66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132</v>
      </c>
      <c r="C61" s="70"/>
      <c r="D61" s="72">
        <f>D59-D60</f>
        <v>41</v>
      </c>
      <c r="E61" s="61"/>
      <c r="F61" s="61"/>
      <c r="G61" s="73"/>
      <c r="H61" s="74"/>
      <c r="I61" s="73"/>
      <c r="J61" s="73"/>
      <c r="K61" s="75"/>
      <c r="L61" s="7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69" t="s">
        <v>133</v>
      </c>
      <c r="C62" s="70"/>
      <c r="D62" s="77">
        <f>COUNTIF(K17:K57,"&gt;=6")</f>
        <v>0</v>
      </c>
      <c r="E62" s="61"/>
      <c r="F62" s="61"/>
      <c r="G62" s="73"/>
      <c r="H62" s="74"/>
      <c r="I62" s="73"/>
      <c r="J62" s="73"/>
      <c r="K62" s="75"/>
      <c r="L62" s="7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69" t="s">
        <v>134</v>
      </c>
      <c r="C63" s="70"/>
      <c r="D63" s="77">
        <f>D61-D62</f>
        <v>41</v>
      </c>
      <c r="E63" s="61"/>
      <c r="F63" s="61"/>
      <c r="G63" s="78"/>
      <c r="H63" s="74"/>
      <c r="I63" s="78"/>
      <c r="J63" s="78"/>
      <c r="K63" s="79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B64" s="69" t="s">
        <v>135</v>
      </c>
      <c r="C64" s="70"/>
      <c r="D64" s="81">
        <f>D62*100/D61</f>
        <v>0</v>
      </c>
      <c r="E64" s="61"/>
      <c r="F64" s="61"/>
      <c r="G64" s="82" t="s">
        <v>136</v>
      </c>
      <c r="H64" s="83"/>
      <c r="I64" s="84"/>
      <c r="K64" s="85" t="s">
        <v>137</v>
      </c>
      <c r="L64" s="86" t="s">
        <v>138</v>
      </c>
      <c r="M64" s="8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88" t="s">
        <v>139</v>
      </c>
      <c r="C65" s="89"/>
      <c r="D65" s="90">
        <f>AVERAGE(K17:K57)</f>
        <v>5</v>
      </c>
      <c r="E65" s="61"/>
      <c r="F65" s="61"/>
      <c r="H65" s="83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1"/>
      <c r="B67" s="92"/>
      <c r="C67" s="93"/>
      <c r="D67" s="93"/>
      <c r="E67" s="61"/>
      <c r="H67" s="7"/>
      <c r="I67" s="7"/>
      <c r="J67" s="7"/>
      <c r="K67" s="7"/>
      <c r="L67" s="94"/>
      <c r="M67" s="9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6"/>
      <c r="B68" s="61"/>
      <c r="C68" s="61"/>
      <c r="D68" s="61"/>
      <c r="E68" s="7"/>
      <c r="F68" s="7"/>
      <c r="G68" s="1"/>
      <c r="H68" s="1"/>
      <c r="I68" s="1"/>
      <c r="J68" s="1"/>
      <c r="K68" s="1"/>
      <c r="L68" s="8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6"/>
      <c r="B69" s="61"/>
      <c r="C69" s="61"/>
      <c r="D69" s="61"/>
      <c r="E69" s="7"/>
      <c r="F69" s="7"/>
      <c r="G69" s="1"/>
      <c r="H69" s="1"/>
      <c r="I69" s="1"/>
      <c r="J69" s="1"/>
      <c r="K69" s="1"/>
      <c r="L69" s="8"/>
      <c r="M69" s="9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99"/>
      <c r="C70" s="99"/>
      <c r="D70" s="99"/>
      <c r="E70" s="100"/>
      <c r="F70" s="100"/>
      <c r="G70" s="101"/>
      <c r="H70" s="101"/>
      <c r="I70" s="101"/>
      <c r="J70" s="101"/>
      <c r="K70" s="101"/>
      <c r="L70" s="102"/>
      <c r="M70" s="9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04"/>
      <c r="L73" s="104"/>
      <c r="M73" s="10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04"/>
      <c r="L74" s="104"/>
      <c r="M74" s="10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3"/>
      <c r="C81" s="103"/>
      <c r="D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3"/>
      <c r="C82" s="103"/>
      <c r="D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9:G60"/>
    <mergeCell ref="I59:J60"/>
    <mergeCell ref="K59:K60"/>
    <mergeCell ref="L59:L60"/>
    <mergeCell ref="A9:L9"/>
    <mergeCell ref="E10:L10"/>
    <mergeCell ref="A13:B13"/>
    <mergeCell ref="C13:D13"/>
    <mergeCell ref="H13:H15"/>
    <mergeCell ref="I13:I14"/>
    <mergeCell ref="J13:L14"/>
    <mergeCell ref="J15:L15"/>
    <mergeCell ref="B63:C63"/>
    <mergeCell ref="B64:C64"/>
    <mergeCell ref="G64:G65"/>
    <mergeCell ref="I64:J65"/>
    <mergeCell ref="K64:K65"/>
    <mergeCell ref="L64:L65"/>
    <mergeCell ref="B65:C65"/>
    <mergeCell ref="E67:G67"/>
    <mergeCell ref="B14:D14"/>
    <mergeCell ref="E14:E15"/>
    <mergeCell ref="B16:D16"/>
    <mergeCell ref="B59:C59"/>
    <mergeCell ref="B60:C60"/>
    <mergeCell ref="B61:C61"/>
    <mergeCell ref="B62:C62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9 L17:L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145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7" si="1">SUM(E17:H17)</f>
        <v>0</v>
      </c>
      <c r="J17" s="57"/>
      <c r="K17" s="58">
        <f t="shared" ref="K17:K57" si="2">IF(M17&lt;6,5,M17)</f>
        <v>5</v>
      </c>
      <c r="L17" s="59"/>
      <c r="M17" s="60">
        <f t="shared" ref="M17:M57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23</v>
      </c>
      <c r="D19" s="54" t="s">
        <v>29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30</v>
      </c>
      <c r="C20" s="53" t="s">
        <v>31</v>
      </c>
      <c r="D20" s="54" t="s">
        <v>32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41</v>
      </c>
      <c r="C25" s="53" t="s">
        <v>44</v>
      </c>
      <c r="D25" s="54" t="s">
        <v>45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41</v>
      </c>
      <c r="C26" s="53" t="s">
        <v>46</v>
      </c>
      <c r="D26" s="54" t="s">
        <v>47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41</v>
      </c>
      <c r="D27" s="54" t="s">
        <v>49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50</v>
      </c>
      <c r="C28" s="53" t="s">
        <v>51</v>
      </c>
      <c r="D28" s="54" t="s">
        <v>52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50</v>
      </c>
      <c r="C29" s="53" t="s">
        <v>53</v>
      </c>
      <c r="D29" s="54" t="s">
        <v>54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50</v>
      </c>
      <c r="C30" s="53" t="s">
        <v>55</v>
      </c>
      <c r="D30" s="54" t="s">
        <v>56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50</v>
      </c>
      <c r="C31" s="53" t="s">
        <v>57</v>
      </c>
      <c r="D31" s="54" t="s">
        <v>58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50</v>
      </c>
      <c r="C32" s="53" t="s">
        <v>59</v>
      </c>
      <c r="D32" s="54" t="s">
        <v>60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61</v>
      </c>
      <c r="C33" s="53" t="s">
        <v>50</v>
      </c>
      <c r="D33" s="54" t="s">
        <v>62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64</v>
      </c>
      <c r="D34" s="54" t="s">
        <v>65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66</v>
      </c>
      <c r="C35" s="53" t="s">
        <v>67</v>
      </c>
      <c r="D35" s="54" t="s">
        <v>68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26</v>
      </c>
      <c r="C36" s="53" t="s">
        <v>69</v>
      </c>
      <c r="D36" s="54" t="s">
        <v>70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71</v>
      </c>
      <c r="C37" s="53" t="s">
        <v>72</v>
      </c>
      <c r="D37" s="54" t="s">
        <v>73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74</v>
      </c>
      <c r="C38" s="53" t="s">
        <v>75</v>
      </c>
      <c r="D38" s="54" t="s">
        <v>76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77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81</v>
      </c>
      <c r="D40" s="54" t="s">
        <v>82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83</v>
      </c>
      <c r="C41" s="53" t="s">
        <v>84</v>
      </c>
      <c r="D41" s="54" t="s">
        <v>85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31</v>
      </c>
      <c r="C45" s="53" t="s">
        <v>95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41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36</v>
      </c>
      <c r="C47" s="53" t="s">
        <v>99</v>
      </c>
      <c r="D47" s="54" t="s">
        <v>100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101</v>
      </c>
      <c r="C48" s="53" t="s">
        <v>102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59</v>
      </c>
      <c r="C49" s="53" t="s">
        <v>53</v>
      </c>
      <c r="D49" s="54" t="s">
        <v>104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59</v>
      </c>
      <c r="C50" s="53" t="s">
        <v>50</v>
      </c>
      <c r="D50" s="54" t="s">
        <v>105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93</v>
      </c>
      <c r="C51" s="53" t="s">
        <v>106</v>
      </c>
      <c r="D51" s="54" t="s">
        <v>107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108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112</v>
      </c>
      <c r="D53" s="54" t="s">
        <v>113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115</v>
      </c>
      <c r="D54" s="54" t="s">
        <v>116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117</v>
      </c>
      <c r="C55" s="53" t="s">
        <v>118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120</v>
      </c>
      <c r="C56" s="53" t="s">
        <v>121</v>
      </c>
      <c r="D56" s="54" t="s">
        <v>122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123</v>
      </c>
      <c r="C57" s="53" t="s">
        <v>124</v>
      </c>
      <c r="D57" s="54" t="s">
        <v>125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6"/>
      <c r="B58" s="61"/>
      <c r="C58" s="61"/>
      <c r="D58" s="61"/>
      <c r="E58" s="62"/>
      <c r="F58" s="62"/>
      <c r="G58" s="61"/>
      <c r="H58" s="61"/>
      <c r="I58" s="61"/>
      <c r="J58" s="61"/>
      <c r="K58" s="1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3" t="s">
        <v>126</v>
      </c>
      <c r="C59" s="64"/>
      <c r="D59" s="65">
        <f>COUNT(A17:A57)</f>
        <v>41</v>
      </c>
      <c r="E59" s="61"/>
      <c r="F59" s="61"/>
      <c r="G59" s="66" t="s">
        <v>127</v>
      </c>
      <c r="H59" s="66"/>
      <c r="I59" s="66" t="s">
        <v>128</v>
      </c>
      <c r="K59" s="67" t="s">
        <v>129</v>
      </c>
      <c r="L59" s="68" t="s">
        <v>130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131</v>
      </c>
      <c r="C60" s="70"/>
      <c r="D60" s="71">
        <f>COUNTIF(K17:K57,"BAJA")</f>
        <v>0</v>
      </c>
      <c r="E60" s="61"/>
      <c r="F60" s="61"/>
      <c r="H60" s="66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132</v>
      </c>
      <c r="C61" s="70"/>
      <c r="D61" s="72">
        <f>D59-D60</f>
        <v>41</v>
      </c>
      <c r="E61" s="61"/>
      <c r="F61" s="61"/>
      <c r="G61" s="73"/>
      <c r="H61" s="74"/>
      <c r="I61" s="73"/>
      <c r="J61" s="73"/>
      <c r="K61" s="75"/>
      <c r="L61" s="7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69" t="s">
        <v>133</v>
      </c>
      <c r="C62" s="70"/>
      <c r="D62" s="77">
        <f>COUNTIF(K17:K57,"&gt;=6")</f>
        <v>0</v>
      </c>
      <c r="E62" s="61"/>
      <c r="F62" s="61"/>
      <c r="G62" s="73"/>
      <c r="H62" s="74"/>
      <c r="I62" s="73"/>
      <c r="J62" s="73"/>
      <c r="K62" s="75"/>
      <c r="L62" s="7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69" t="s">
        <v>134</v>
      </c>
      <c r="C63" s="70"/>
      <c r="D63" s="77">
        <f>D61-D62</f>
        <v>41</v>
      </c>
      <c r="E63" s="61"/>
      <c r="F63" s="61"/>
      <c r="G63" s="78"/>
      <c r="H63" s="74"/>
      <c r="I63" s="78"/>
      <c r="J63" s="78"/>
      <c r="K63" s="79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B64" s="69" t="s">
        <v>135</v>
      </c>
      <c r="C64" s="70"/>
      <c r="D64" s="81">
        <f>D62*100/D61</f>
        <v>0</v>
      </c>
      <c r="E64" s="61"/>
      <c r="F64" s="61"/>
      <c r="G64" s="82" t="s">
        <v>136</v>
      </c>
      <c r="H64" s="83"/>
      <c r="I64" s="84"/>
      <c r="K64" s="85" t="s">
        <v>137</v>
      </c>
      <c r="L64" s="86" t="s">
        <v>138</v>
      </c>
      <c r="M64" s="8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88" t="s">
        <v>139</v>
      </c>
      <c r="C65" s="89"/>
      <c r="D65" s="90">
        <f>AVERAGE(K17:K57)</f>
        <v>5</v>
      </c>
      <c r="E65" s="61"/>
      <c r="F65" s="61"/>
      <c r="H65" s="83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1"/>
      <c r="B67" s="92"/>
      <c r="C67" s="93"/>
      <c r="D67" s="93"/>
      <c r="E67" s="61"/>
      <c r="H67" s="7"/>
      <c r="I67" s="7"/>
      <c r="J67" s="7"/>
      <c r="K67" s="7"/>
      <c r="L67" s="94"/>
      <c r="M67" s="9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6"/>
      <c r="B68" s="61"/>
      <c r="C68" s="61"/>
      <c r="D68" s="61"/>
      <c r="E68" s="7"/>
      <c r="F68" s="7"/>
      <c r="G68" s="1"/>
      <c r="H68" s="1"/>
      <c r="I68" s="1"/>
      <c r="J68" s="1"/>
      <c r="K68" s="1"/>
      <c r="L68" s="8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6"/>
      <c r="B69" s="61"/>
      <c r="C69" s="61"/>
      <c r="D69" s="61"/>
      <c r="E69" s="7"/>
      <c r="F69" s="7"/>
      <c r="G69" s="1"/>
      <c r="H69" s="1"/>
      <c r="I69" s="1"/>
      <c r="J69" s="1"/>
      <c r="K69" s="1"/>
      <c r="L69" s="8"/>
      <c r="M69" s="9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99"/>
      <c r="C70" s="99"/>
      <c r="D70" s="99"/>
      <c r="E70" s="100"/>
      <c r="F70" s="100"/>
      <c r="G70" s="101"/>
      <c r="H70" s="101"/>
      <c r="I70" s="101"/>
      <c r="J70" s="101"/>
      <c r="K70" s="101"/>
      <c r="L70" s="102"/>
      <c r="M70" s="9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04"/>
      <c r="L73" s="104"/>
      <c r="M73" s="10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04"/>
      <c r="L74" s="104"/>
      <c r="M74" s="10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3"/>
      <c r="C81" s="103"/>
      <c r="D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3"/>
      <c r="C82" s="103"/>
      <c r="D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9:G60"/>
    <mergeCell ref="I59:J60"/>
    <mergeCell ref="K59:K60"/>
    <mergeCell ref="L59:L60"/>
    <mergeCell ref="A9:L9"/>
    <mergeCell ref="E10:L10"/>
    <mergeCell ref="A13:B13"/>
    <mergeCell ref="C13:D13"/>
    <mergeCell ref="H13:H15"/>
    <mergeCell ref="I13:I14"/>
    <mergeCell ref="J13:L14"/>
    <mergeCell ref="J15:L15"/>
    <mergeCell ref="B63:C63"/>
    <mergeCell ref="B64:C64"/>
    <mergeCell ref="G64:G65"/>
    <mergeCell ref="I64:J65"/>
    <mergeCell ref="K64:K65"/>
    <mergeCell ref="L64:L65"/>
    <mergeCell ref="B65:C65"/>
    <mergeCell ref="E67:G67"/>
    <mergeCell ref="B14:D14"/>
    <mergeCell ref="E14:E15"/>
    <mergeCell ref="B16:D16"/>
    <mergeCell ref="B59:C59"/>
    <mergeCell ref="B60:C60"/>
    <mergeCell ref="B61:C61"/>
    <mergeCell ref="B62:C62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9 L17:L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146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7" si="1">SUM(E17:H17)</f>
        <v>0</v>
      </c>
      <c r="J17" s="57"/>
      <c r="K17" s="58">
        <f t="shared" ref="K17:K57" si="2">IF(M17&lt;6,5,M17)</f>
        <v>5</v>
      </c>
      <c r="L17" s="59"/>
      <c r="M17" s="60">
        <f t="shared" ref="M17:M57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23</v>
      </c>
      <c r="D19" s="54" t="s">
        <v>29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30</v>
      </c>
      <c r="C20" s="53" t="s">
        <v>31</v>
      </c>
      <c r="D20" s="54" t="s">
        <v>32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41</v>
      </c>
      <c r="C25" s="53" t="s">
        <v>44</v>
      </c>
      <c r="D25" s="54" t="s">
        <v>45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41</v>
      </c>
      <c r="C26" s="53" t="s">
        <v>46</v>
      </c>
      <c r="D26" s="54" t="s">
        <v>47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41</v>
      </c>
      <c r="D27" s="54" t="s">
        <v>49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50</v>
      </c>
      <c r="C28" s="53" t="s">
        <v>51</v>
      </c>
      <c r="D28" s="54" t="s">
        <v>52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50</v>
      </c>
      <c r="C29" s="53" t="s">
        <v>53</v>
      </c>
      <c r="D29" s="54" t="s">
        <v>54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50</v>
      </c>
      <c r="C30" s="53" t="s">
        <v>55</v>
      </c>
      <c r="D30" s="54" t="s">
        <v>56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50</v>
      </c>
      <c r="C31" s="53" t="s">
        <v>57</v>
      </c>
      <c r="D31" s="54" t="s">
        <v>58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50</v>
      </c>
      <c r="C32" s="53" t="s">
        <v>59</v>
      </c>
      <c r="D32" s="54" t="s">
        <v>60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61</v>
      </c>
      <c r="C33" s="53" t="s">
        <v>50</v>
      </c>
      <c r="D33" s="54" t="s">
        <v>62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64</v>
      </c>
      <c r="D34" s="54" t="s">
        <v>65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66</v>
      </c>
      <c r="C35" s="53" t="s">
        <v>67</v>
      </c>
      <c r="D35" s="54" t="s">
        <v>68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26</v>
      </c>
      <c r="C36" s="53" t="s">
        <v>69</v>
      </c>
      <c r="D36" s="54" t="s">
        <v>70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71</v>
      </c>
      <c r="C37" s="53" t="s">
        <v>72</v>
      </c>
      <c r="D37" s="54" t="s">
        <v>73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74</v>
      </c>
      <c r="C38" s="53" t="s">
        <v>75</v>
      </c>
      <c r="D38" s="54" t="s">
        <v>76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77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81</v>
      </c>
      <c r="D40" s="54" t="s">
        <v>82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83</v>
      </c>
      <c r="C41" s="53" t="s">
        <v>84</v>
      </c>
      <c r="D41" s="54" t="s">
        <v>85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31</v>
      </c>
      <c r="C45" s="53" t="s">
        <v>95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41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36</v>
      </c>
      <c r="C47" s="53" t="s">
        <v>99</v>
      </c>
      <c r="D47" s="54" t="s">
        <v>100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101</v>
      </c>
      <c r="C48" s="53" t="s">
        <v>102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59</v>
      </c>
      <c r="C49" s="53" t="s">
        <v>53</v>
      </c>
      <c r="D49" s="54" t="s">
        <v>104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59</v>
      </c>
      <c r="C50" s="53" t="s">
        <v>50</v>
      </c>
      <c r="D50" s="54" t="s">
        <v>105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93</v>
      </c>
      <c r="C51" s="53" t="s">
        <v>106</v>
      </c>
      <c r="D51" s="54" t="s">
        <v>107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108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112</v>
      </c>
      <c r="D53" s="54" t="s">
        <v>113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115</v>
      </c>
      <c r="D54" s="54" t="s">
        <v>116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117</v>
      </c>
      <c r="C55" s="53" t="s">
        <v>118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120</v>
      </c>
      <c r="C56" s="53" t="s">
        <v>121</v>
      </c>
      <c r="D56" s="54" t="s">
        <v>122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123</v>
      </c>
      <c r="C57" s="53" t="s">
        <v>124</v>
      </c>
      <c r="D57" s="54" t="s">
        <v>125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6"/>
      <c r="B58" s="61"/>
      <c r="C58" s="61"/>
      <c r="D58" s="61"/>
      <c r="E58" s="62"/>
      <c r="F58" s="62"/>
      <c r="G58" s="61"/>
      <c r="H58" s="61"/>
      <c r="I58" s="61"/>
      <c r="J58" s="61"/>
      <c r="K58" s="1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3" t="s">
        <v>126</v>
      </c>
      <c r="C59" s="64"/>
      <c r="D59" s="65">
        <f>COUNT(A17:A57)</f>
        <v>41</v>
      </c>
      <c r="E59" s="61"/>
      <c r="F59" s="61"/>
      <c r="G59" s="66" t="s">
        <v>127</v>
      </c>
      <c r="H59" s="66"/>
      <c r="I59" s="66" t="s">
        <v>128</v>
      </c>
      <c r="K59" s="67" t="s">
        <v>129</v>
      </c>
      <c r="L59" s="68" t="s">
        <v>130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131</v>
      </c>
      <c r="C60" s="70"/>
      <c r="D60" s="71">
        <f>COUNTIF(K17:K57,"BAJA")</f>
        <v>0</v>
      </c>
      <c r="E60" s="61"/>
      <c r="F60" s="61"/>
      <c r="H60" s="66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132</v>
      </c>
      <c r="C61" s="70"/>
      <c r="D61" s="72">
        <f>D59-D60</f>
        <v>41</v>
      </c>
      <c r="E61" s="61"/>
      <c r="F61" s="61"/>
      <c r="G61" s="73"/>
      <c r="H61" s="74"/>
      <c r="I61" s="73"/>
      <c r="J61" s="73"/>
      <c r="K61" s="75"/>
      <c r="L61" s="7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69" t="s">
        <v>133</v>
      </c>
      <c r="C62" s="70"/>
      <c r="D62" s="77">
        <f>COUNTIF(K17:K57,"&gt;=6")</f>
        <v>0</v>
      </c>
      <c r="E62" s="61"/>
      <c r="F62" s="61"/>
      <c r="G62" s="73"/>
      <c r="H62" s="74"/>
      <c r="I62" s="73"/>
      <c r="J62" s="73"/>
      <c r="K62" s="75"/>
      <c r="L62" s="7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69" t="s">
        <v>134</v>
      </c>
      <c r="C63" s="70"/>
      <c r="D63" s="77">
        <f>D61-D62</f>
        <v>41</v>
      </c>
      <c r="E63" s="61"/>
      <c r="F63" s="61"/>
      <c r="G63" s="78"/>
      <c r="H63" s="74"/>
      <c r="I63" s="78"/>
      <c r="J63" s="78"/>
      <c r="K63" s="79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B64" s="69" t="s">
        <v>135</v>
      </c>
      <c r="C64" s="70"/>
      <c r="D64" s="81">
        <f>D62*100/D61</f>
        <v>0</v>
      </c>
      <c r="E64" s="61"/>
      <c r="F64" s="61"/>
      <c r="G64" s="82" t="s">
        <v>136</v>
      </c>
      <c r="H64" s="83"/>
      <c r="I64" s="84"/>
      <c r="K64" s="85" t="s">
        <v>137</v>
      </c>
      <c r="L64" s="86" t="s">
        <v>138</v>
      </c>
      <c r="M64" s="8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88" t="s">
        <v>139</v>
      </c>
      <c r="C65" s="89"/>
      <c r="D65" s="90">
        <f>AVERAGE(K17:K57)</f>
        <v>5</v>
      </c>
      <c r="E65" s="61"/>
      <c r="F65" s="61"/>
      <c r="H65" s="83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1"/>
      <c r="B67" s="92"/>
      <c r="C67" s="93"/>
      <c r="D67" s="93"/>
      <c r="E67" s="61"/>
      <c r="H67" s="7"/>
      <c r="I67" s="7"/>
      <c r="J67" s="7"/>
      <c r="K67" s="7"/>
      <c r="L67" s="94"/>
      <c r="M67" s="9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6"/>
      <c r="B68" s="61"/>
      <c r="C68" s="61"/>
      <c r="D68" s="61"/>
      <c r="E68" s="7"/>
      <c r="F68" s="7"/>
      <c r="G68" s="1"/>
      <c r="H68" s="1"/>
      <c r="I68" s="1"/>
      <c r="J68" s="1"/>
      <c r="K68" s="1"/>
      <c r="L68" s="8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6"/>
      <c r="B69" s="61"/>
      <c r="C69" s="61"/>
      <c r="D69" s="61"/>
      <c r="E69" s="7"/>
      <c r="F69" s="7"/>
      <c r="G69" s="1"/>
      <c r="H69" s="1"/>
      <c r="I69" s="1"/>
      <c r="J69" s="1"/>
      <c r="K69" s="1"/>
      <c r="L69" s="8"/>
      <c r="M69" s="9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99"/>
      <c r="C70" s="99"/>
      <c r="D70" s="99"/>
      <c r="E70" s="100"/>
      <c r="F70" s="100"/>
      <c r="G70" s="101"/>
      <c r="H70" s="101"/>
      <c r="I70" s="101"/>
      <c r="J70" s="101"/>
      <c r="K70" s="101"/>
      <c r="L70" s="102"/>
      <c r="M70" s="9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04"/>
      <c r="L73" s="104"/>
      <c r="M73" s="10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04"/>
      <c r="L74" s="104"/>
      <c r="M74" s="10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3"/>
      <c r="C81" s="103"/>
      <c r="D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3"/>
      <c r="C82" s="103"/>
      <c r="D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9:G60"/>
    <mergeCell ref="I59:J60"/>
    <mergeCell ref="K59:K60"/>
    <mergeCell ref="L59:L60"/>
    <mergeCell ref="A9:L9"/>
    <mergeCell ref="E10:L10"/>
    <mergeCell ref="A13:B13"/>
    <mergeCell ref="C13:D13"/>
    <mergeCell ref="H13:H15"/>
    <mergeCell ref="I13:I14"/>
    <mergeCell ref="J13:L14"/>
    <mergeCell ref="J15:L15"/>
    <mergeCell ref="B63:C63"/>
    <mergeCell ref="B64:C64"/>
    <mergeCell ref="G64:G65"/>
    <mergeCell ref="I64:J65"/>
    <mergeCell ref="K64:K65"/>
    <mergeCell ref="L64:L65"/>
    <mergeCell ref="B65:C65"/>
    <mergeCell ref="E67:G67"/>
    <mergeCell ref="B14:D14"/>
    <mergeCell ref="E14:E15"/>
    <mergeCell ref="B16:D16"/>
    <mergeCell ref="B59:C59"/>
    <mergeCell ref="B60:C60"/>
    <mergeCell ref="B61:C61"/>
    <mergeCell ref="B62:C62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9 L17:L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147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7" si="1">SUM(E17:H17)</f>
        <v>0</v>
      </c>
      <c r="J17" s="57"/>
      <c r="K17" s="58">
        <f t="shared" ref="K17:K57" si="2">IF(M17&lt;6,5,M17)</f>
        <v>5</v>
      </c>
      <c r="L17" s="59"/>
      <c r="M17" s="60">
        <f t="shared" ref="M17:M57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23</v>
      </c>
      <c r="D19" s="54" t="s">
        <v>29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30</v>
      </c>
      <c r="C20" s="53" t="s">
        <v>31</v>
      </c>
      <c r="D20" s="54" t="s">
        <v>32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41</v>
      </c>
      <c r="C25" s="53" t="s">
        <v>44</v>
      </c>
      <c r="D25" s="54" t="s">
        <v>45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41</v>
      </c>
      <c r="C26" s="53" t="s">
        <v>46</v>
      </c>
      <c r="D26" s="54" t="s">
        <v>47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41</v>
      </c>
      <c r="D27" s="54" t="s">
        <v>49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50</v>
      </c>
      <c r="C28" s="53" t="s">
        <v>51</v>
      </c>
      <c r="D28" s="54" t="s">
        <v>52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50</v>
      </c>
      <c r="C29" s="53" t="s">
        <v>53</v>
      </c>
      <c r="D29" s="54" t="s">
        <v>54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50</v>
      </c>
      <c r="C30" s="53" t="s">
        <v>55</v>
      </c>
      <c r="D30" s="54" t="s">
        <v>56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50</v>
      </c>
      <c r="C31" s="53" t="s">
        <v>57</v>
      </c>
      <c r="D31" s="54" t="s">
        <v>58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50</v>
      </c>
      <c r="C32" s="53" t="s">
        <v>59</v>
      </c>
      <c r="D32" s="54" t="s">
        <v>60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61</v>
      </c>
      <c r="C33" s="53" t="s">
        <v>50</v>
      </c>
      <c r="D33" s="54" t="s">
        <v>62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64</v>
      </c>
      <c r="D34" s="54" t="s">
        <v>65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66</v>
      </c>
      <c r="C35" s="53" t="s">
        <v>67</v>
      </c>
      <c r="D35" s="54" t="s">
        <v>68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26</v>
      </c>
      <c r="C36" s="53" t="s">
        <v>69</v>
      </c>
      <c r="D36" s="54" t="s">
        <v>70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71</v>
      </c>
      <c r="C37" s="53" t="s">
        <v>72</v>
      </c>
      <c r="D37" s="54" t="s">
        <v>73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74</v>
      </c>
      <c r="C38" s="53" t="s">
        <v>75</v>
      </c>
      <c r="D38" s="54" t="s">
        <v>76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77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81</v>
      </c>
      <c r="D40" s="54" t="s">
        <v>82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83</v>
      </c>
      <c r="C41" s="53" t="s">
        <v>84</v>
      </c>
      <c r="D41" s="54" t="s">
        <v>85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31</v>
      </c>
      <c r="C45" s="53" t="s">
        <v>95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41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36</v>
      </c>
      <c r="C47" s="53" t="s">
        <v>99</v>
      </c>
      <c r="D47" s="54" t="s">
        <v>100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101</v>
      </c>
      <c r="C48" s="53" t="s">
        <v>102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59</v>
      </c>
      <c r="C49" s="53" t="s">
        <v>53</v>
      </c>
      <c r="D49" s="54" t="s">
        <v>104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59</v>
      </c>
      <c r="C50" s="53" t="s">
        <v>50</v>
      </c>
      <c r="D50" s="54" t="s">
        <v>105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93</v>
      </c>
      <c r="C51" s="53" t="s">
        <v>106</v>
      </c>
      <c r="D51" s="54" t="s">
        <v>107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108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112</v>
      </c>
      <c r="D53" s="54" t="s">
        <v>113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115</v>
      </c>
      <c r="D54" s="54" t="s">
        <v>116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117</v>
      </c>
      <c r="C55" s="53" t="s">
        <v>118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120</v>
      </c>
      <c r="C56" s="53" t="s">
        <v>121</v>
      </c>
      <c r="D56" s="54" t="s">
        <v>122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123</v>
      </c>
      <c r="C57" s="53" t="s">
        <v>124</v>
      </c>
      <c r="D57" s="54" t="s">
        <v>125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6"/>
      <c r="B58" s="61"/>
      <c r="C58" s="61"/>
      <c r="D58" s="61"/>
      <c r="E58" s="62"/>
      <c r="F58" s="62"/>
      <c r="G58" s="61"/>
      <c r="H58" s="61"/>
      <c r="I58" s="61"/>
      <c r="J58" s="61"/>
      <c r="K58" s="1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3" t="s">
        <v>126</v>
      </c>
      <c r="C59" s="64"/>
      <c r="D59" s="65">
        <f>COUNT(A17:A57)</f>
        <v>41</v>
      </c>
      <c r="E59" s="61"/>
      <c r="F59" s="61"/>
      <c r="G59" s="66" t="s">
        <v>127</v>
      </c>
      <c r="H59" s="66"/>
      <c r="I59" s="66" t="s">
        <v>128</v>
      </c>
      <c r="K59" s="67" t="s">
        <v>129</v>
      </c>
      <c r="L59" s="68" t="s">
        <v>130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131</v>
      </c>
      <c r="C60" s="70"/>
      <c r="D60" s="71">
        <f>COUNTIF(K17:K57,"BAJA")</f>
        <v>0</v>
      </c>
      <c r="E60" s="61"/>
      <c r="F60" s="61"/>
      <c r="H60" s="66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132</v>
      </c>
      <c r="C61" s="70"/>
      <c r="D61" s="72">
        <f>D59-D60</f>
        <v>41</v>
      </c>
      <c r="E61" s="61"/>
      <c r="F61" s="61"/>
      <c r="G61" s="73"/>
      <c r="H61" s="74"/>
      <c r="I61" s="73"/>
      <c r="J61" s="73"/>
      <c r="K61" s="75"/>
      <c r="L61" s="7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69" t="s">
        <v>133</v>
      </c>
      <c r="C62" s="70"/>
      <c r="D62" s="77">
        <f>COUNTIF(K17:K57,"&gt;=6")</f>
        <v>0</v>
      </c>
      <c r="E62" s="61"/>
      <c r="F62" s="61"/>
      <c r="G62" s="73"/>
      <c r="H62" s="74"/>
      <c r="I62" s="73"/>
      <c r="J62" s="73"/>
      <c r="K62" s="75"/>
      <c r="L62" s="7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69" t="s">
        <v>134</v>
      </c>
      <c r="C63" s="70"/>
      <c r="D63" s="77">
        <f>D61-D62</f>
        <v>41</v>
      </c>
      <c r="E63" s="61"/>
      <c r="F63" s="61"/>
      <c r="G63" s="78"/>
      <c r="H63" s="74"/>
      <c r="I63" s="78"/>
      <c r="J63" s="78"/>
      <c r="K63" s="79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B64" s="69" t="s">
        <v>135</v>
      </c>
      <c r="C64" s="70"/>
      <c r="D64" s="81">
        <f>D62*100/D61</f>
        <v>0</v>
      </c>
      <c r="E64" s="61"/>
      <c r="F64" s="61"/>
      <c r="G64" s="82" t="s">
        <v>136</v>
      </c>
      <c r="H64" s="83"/>
      <c r="I64" s="84"/>
      <c r="K64" s="85" t="s">
        <v>137</v>
      </c>
      <c r="L64" s="86" t="s">
        <v>138</v>
      </c>
      <c r="M64" s="8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88" t="s">
        <v>139</v>
      </c>
      <c r="C65" s="89"/>
      <c r="D65" s="90">
        <f>AVERAGE(K17:K57)</f>
        <v>5</v>
      </c>
      <c r="E65" s="61"/>
      <c r="F65" s="61"/>
      <c r="H65" s="83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1"/>
      <c r="B67" s="92"/>
      <c r="C67" s="93"/>
      <c r="D67" s="93"/>
      <c r="E67" s="61"/>
      <c r="H67" s="7"/>
      <c r="I67" s="7"/>
      <c r="J67" s="7"/>
      <c r="K67" s="7"/>
      <c r="L67" s="94"/>
      <c r="M67" s="9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6"/>
      <c r="B68" s="61"/>
      <c r="C68" s="61"/>
      <c r="D68" s="61"/>
      <c r="E68" s="7"/>
      <c r="F68" s="7"/>
      <c r="G68" s="1"/>
      <c r="H68" s="1"/>
      <c r="I68" s="1"/>
      <c r="J68" s="1"/>
      <c r="K68" s="1"/>
      <c r="L68" s="8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6"/>
      <c r="B69" s="61"/>
      <c r="C69" s="61"/>
      <c r="D69" s="61"/>
      <c r="E69" s="7"/>
      <c r="F69" s="7"/>
      <c r="G69" s="1"/>
      <c r="H69" s="1"/>
      <c r="I69" s="1"/>
      <c r="J69" s="1"/>
      <c r="K69" s="1"/>
      <c r="L69" s="8"/>
      <c r="M69" s="9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99"/>
      <c r="C70" s="99"/>
      <c r="D70" s="99"/>
      <c r="E70" s="100"/>
      <c r="F70" s="100"/>
      <c r="G70" s="101"/>
      <c r="H70" s="101"/>
      <c r="I70" s="101"/>
      <c r="J70" s="101"/>
      <c r="K70" s="101"/>
      <c r="L70" s="102"/>
      <c r="M70" s="9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04"/>
      <c r="L73" s="104"/>
      <c r="M73" s="10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04"/>
      <c r="L74" s="104"/>
      <c r="M74" s="10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3"/>
      <c r="C81" s="103"/>
      <c r="D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3"/>
      <c r="C82" s="103"/>
      <c r="D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9:G60"/>
    <mergeCell ref="I59:J60"/>
    <mergeCell ref="K59:K60"/>
    <mergeCell ref="L59:L60"/>
    <mergeCell ref="A9:L9"/>
    <mergeCell ref="E10:L10"/>
    <mergeCell ref="A13:B13"/>
    <mergeCell ref="C13:D13"/>
    <mergeCell ref="H13:H15"/>
    <mergeCell ref="I13:I14"/>
    <mergeCell ref="J13:L14"/>
    <mergeCell ref="J15:L15"/>
    <mergeCell ref="B63:C63"/>
    <mergeCell ref="B64:C64"/>
    <mergeCell ref="G64:G65"/>
    <mergeCell ref="I64:J65"/>
    <mergeCell ref="K64:K65"/>
    <mergeCell ref="L64:L65"/>
    <mergeCell ref="B65:C65"/>
    <mergeCell ref="E67:G67"/>
    <mergeCell ref="B14:D14"/>
    <mergeCell ref="E14:E15"/>
    <mergeCell ref="B16:D16"/>
    <mergeCell ref="B59:C59"/>
    <mergeCell ref="B60:C60"/>
    <mergeCell ref="B61:C61"/>
    <mergeCell ref="B62:C62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69 L17:L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148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7" si="1">SUM(E17:H17)</f>
        <v>0</v>
      </c>
      <c r="J17" s="57"/>
      <c r="K17" s="58">
        <f t="shared" ref="K17:K57" si="2">IF(M17&lt;6,5,M17)</f>
        <v>5</v>
      </c>
      <c r="L17" s="59"/>
      <c r="M17" s="60">
        <f t="shared" ref="M17:M57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23</v>
      </c>
      <c r="D19" s="54" t="s">
        <v>29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30</v>
      </c>
      <c r="C20" s="53" t="s">
        <v>31</v>
      </c>
      <c r="D20" s="54" t="s">
        <v>32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41</v>
      </c>
      <c r="C25" s="53" t="s">
        <v>44</v>
      </c>
      <c r="D25" s="54" t="s">
        <v>45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41</v>
      </c>
      <c r="C26" s="53" t="s">
        <v>46</v>
      </c>
      <c r="D26" s="54" t="s">
        <v>47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41</v>
      </c>
      <c r="D27" s="54" t="s">
        <v>49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50</v>
      </c>
      <c r="C28" s="53" t="s">
        <v>51</v>
      </c>
      <c r="D28" s="54" t="s">
        <v>52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50</v>
      </c>
      <c r="C29" s="53" t="s">
        <v>53</v>
      </c>
      <c r="D29" s="54" t="s">
        <v>54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50</v>
      </c>
      <c r="C30" s="53" t="s">
        <v>55</v>
      </c>
      <c r="D30" s="54" t="s">
        <v>56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50</v>
      </c>
      <c r="C31" s="53" t="s">
        <v>57</v>
      </c>
      <c r="D31" s="54" t="s">
        <v>58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50</v>
      </c>
      <c r="C32" s="53" t="s">
        <v>59</v>
      </c>
      <c r="D32" s="54" t="s">
        <v>60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61</v>
      </c>
      <c r="C33" s="53" t="s">
        <v>50</v>
      </c>
      <c r="D33" s="54" t="s">
        <v>62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64</v>
      </c>
      <c r="D34" s="54" t="s">
        <v>65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66</v>
      </c>
      <c r="C35" s="53" t="s">
        <v>67</v>
      </c>
      <c r="D35" s="54" t="s">
        <v>68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26</v>
      </c>
      <c r="C36" s="53" t="s">
        <v>69</v>
      </c>
      <c r="D36" s="54" t="s">
        <v>70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71</v>
      </c>
      <c r="C37" s="53" t="s">
        <v>72</v>
      </c>
      <c r="D37" s="54" t="s">
        <v>73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74</v>
      </c>
      <c r="C38" s="53" t="s">
        <v>75</v>
      </c>
      <c r="D38" s="54" t="s">
        <v>76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77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81</v>
      </c>
      <c r="D40" s="54" t="s">
        <v>82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83</v>
      </c>
      <c r="C41" s="53" t="s">
        <v>84</v>
      </c>
      <c r="D41" s="54" t="s">
        <v>85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31</v>
      </c>
      <c r="C45" s="53" t="s">
        <v>95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41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36</v>
      </c>
      <c r="C47" s="53" t="s">
        <v>99</v>
      </c>
      <c r="D47" s="54" t="s">
        <v>100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101</v>
      </c>
      <c r="C48" s="53" t="s">
        <v>102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59</v>
      </c>
      <c r="C49" s="53" t="s">
        <v>53</v>
      </c>
      <c r="D49" s="54" t="s">
        <v>104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59</v>
      </c>
      <c r="C50" s="53" t="s">
        <v>50</v>
      </c>
      <c r="D50" s="54" t="s">
        <v>105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93</v>
      </c>
      <c r="C51" s="53" t="s">
        <v>106</v>
      </c>
      <c r="D51" s="54" t="s">
        <v>107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108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112</v>
      </c>
      <c r="D53" s="54" t="s">
        <v>113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115</v>
      </c>
      <c r="D54" s="54" t="s">
        <v>116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117</v>
      </c>
      <c r="C55" s="53" t="s">
        <v>118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120</v>
      </c>
      <c r="C56" s="53" t="s">
        <v>121</v>
      </c>
      <c r="D56" s="54" t="s">
        <v>122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123</v>
      </c>
      <c r="C57" s="53" t="s">
        <v>124</v>
      </c>
      <c r="D57" s="54" t="s">
        <v>125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6"/>
      <c r="B58" s="61"/>
      <c r="C58" s="61"/>
      <c r="D58" s="61"/>
      <c r="E58" s="62"/>
      <c r="F58" s="62"/>
      <c r="G58" s="61"/>
      <c r="H58" s="61"/>
      <c r="I58" s="61"/>
      <c r="J58" s="61"/>
      <c r="K58" s="1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3" t="s">
        <v>126</v>
      </c>
      <c r="C59" s="64"/>
      <c r="D59" s="65">
        <f>COUNT(A17:A57)</f>
        <v>41</v>
      </c>
      <c r="E59" s="61"/>
      <c r="F59" s="61"/>
      <c r="G59" s="66" t="s">
        <v>127</v>
      </c>
      <c r="H59" s="66"/>
      <c r="I59" s="66" t="s">
        <v>128</v>
      </c>
      <c r="K59" s="67" t="s">
        <v>129</v>
      </c>
      <c r="L59" s="68" t="s">
        <v>130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131</v>
      </c>
      <c r="C60" s="70"/>
      <c r="D60" s="71">
        <f>COUNTIF(K17:K57,"BAJA")</f>
        <v>0</v>
      </c>
      <c r="E60" s="61"/>
      <c r="F60" s="61"/>
      <c r="H60" s="66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132</v>
      </c>
      <c r="C61" s="70"/>
      <c r="D61" s="72">
        <f>D59-D60</f>
        <v>41</v>
      </c>
      <c r="E61" s="61"/>
      <c r="F61" s="61"/>
      <c r="G61" s="73"/>
      <c r="H61" s="74"/>
      <c r="I61" s="73"/>
      <c r="J61" s="73"/>
      <c r="K61" s="75"/>
      <c r="L61" s="7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69" t="s">
        <v>133</v>
      </c>
      <c r="C62" s="70"/>
      <c r="D62" s="77">
        <f>COUNTIF(K17:K57,"&gt;=6")</f>
        <v>0</v>
      </c>
      <c r="E62" s="61"/>
      <c r="F62" s="61"/>
      <c r="G62" s="73"/>
      <c r="H62" s="74"/>
      <c r="I62" s="73"/>
      <c r="J62" s="73"/>
      <c r="K62" s="75"/>
      <c r="L62" s="7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69" t="s">
        <v>134</v>
      </c>
      <c r="C63" s="70"/>
      <c r="D63" s="77">
        <f>D61-D62</f>
        <v>41</v>
      </c>
      <c r="E63" s="61"/>
      <c r="F63" s="61"/>
      <c r="G63" s="78"/>
      <c r="H63" s="74"/>
      <c r="I63" s="78"/>
      <c r="J63" s="78"/>
      <c r="K63" s="79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B64" s="69" t="s">
        <v>135</v>
      </c>
      <c r="C64" s="70"/>
      <c r="D64" s="81">
        <f>D62*100/D61</f>
        <v>0</v>
      </c>
      <c r="E64" s="61"/>
      <c r="F64" s="61"/>
      <c r="G64" s="82" t="s">
        <v>136</v>
      </c>
      <c r="H64" s="83"/>
      <c r="I64" s="84"/>
      <c r="K64" s="85" t="s">
        <v>137</v>
      </c>
      <c r="L64" s="86" t="s">
        <v>138</v>
      </c>
      <c r="M64" s="8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88" t="s">
        <v>139</v>
      </c>
      <c r="C65" s="89"/>
      <c r="D65" s="90">
        <f>AVERAGE(K17:K57)</f>
        <v>5</v>
      </c>
      <c r="E65" s="61"/>
      <c r="F65" s="61"/>
      <c r="H65" s="83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1"/>
      <c r="B67" s="92"/>
      <c r="C67" s="93"/>
      <c r="D67" s="93"/>
      <c r="E67" s="61"/>
      <c r="H67" s="7"/>
      <c r="I67" s="7"/>
      <c r="J67" s="7"/>
      <c r="K67" s="7"/>
      <c r="L67" s="94"/>
      <c r="M67" s="9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6"/>
      <c r="B68" s="61"/>
      <c r="C68" s="61"/>
      <c r="D68" s="61"/>
      <c r="E68" s="7"/>
      <c r="F68" s="7"/>
      <c r="G68" s="1"/>
      <c r="H68" s="1"/>
      <c r="I68" s="1"/>
      <c r="J68" s="1"/>
      <c r="K68" s="1"/>
      <c r="L68" s="8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6"/>
      <c r="B69" s="61"/>
      <c r="C69" s="61"/>
      <c r="D69" s="61"/>
      <c r="E69" s="7"/>
      <c r="F69" s="7"/>
      <c r="G69" s="1"/>
      <c r="H69" s="1"/>
      <c r="I69" s="1"/>
      <c r="J69" s="1"/>
      <c r="K69" s="1"/>
      <c r="L69" s="8"/>
      <c r="M69" s="9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99"/>
      <c r="C70" s="99"/>
      <c r="D70" s="99"/>
      <c r="E70" s="100"/>
      <c r="F70" s="100"/>
      <c r="G70" s="101"/>
      <c r="H70" s="101"/>
      <c r="I70" s="101"/>
      <c r="J70" s="101"/>
      <c r="K70" s="101"/>
      <c r="L70" s="102"/>
      <c r="M70" s="9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04"/>
      <c r="L73" s="104"/>
      <c r="M73" s="10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04"/>
      <c r="L74" s="104"/>
      <c r="M74" s="10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3"/>
      <c r="C81" s="103"/>
      <c r="D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3"/>
      <c r="C82" s="103"/>
      <c r="D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9:G60"/>
    <mergeCell ref="I59:J60"/>
    <mergeCell ref="K59:K60"/>
    <mergeCell ref="L59:L60"/>
    <mergeCell ref="A9:L9"/>
    <mergeCell ref="E10:L10"/>
    <mergeCell ref="A13:B13"/>
    <mergeCell ref="C13:D13"/>
    <mergeCell ref="H13:H15"/>
    <mergeCell ref="I13:I14"/>
    <mergeCell ref="J13:L14"/>
    <mergeCell ref="J15:L15"/>
    <mergeCell ref="B63:C63"/>
    <mergeCell ref="B64:C64"/>
    <mergeCell ref="G64:G65"/>
    <mergeCell ref="I64:J65"/>
    <mergeCell ref="K64:K65"/>
    <mergeCell ref="L64:L65"/>
    <mergeCell ref="B65:C65"/>
    <mergeCell ref="E67:G67"/>
    <mergeCell ref="B14:D14"/>
    <mergeCell ref="E14:E15"/>
    <mergeCell ref="B16:D16"/>
    <mergeCell ref="B59:C59"/>
    <mergeCell ref="B60:C60"/>
    <mergeCell ref="B61:C61"/>
    <mergeCell ref="B62:C62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69 L18:L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149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7" si="1">SUM(E17:H17)</f>
        <v>0</v>
      </c>
      <c r="J17" s="57"/>
      <c r="K17" s="58">
        <f t="shared" ref="K17:K57" si="2">IF(M17&lt;6,5,M17)</f>
        <v>5</v>
      </c>
      <c r="L17" s="59"/>
      <c r="M17" s="60">
        <f t="shared" ref="M17:M57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23</v>
      </c>
      <c r="D19" s="54" t="s">
        <v>29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30</v>
      </c>
      <c r="C20" s="53" t="s">
        <v>31</v>
      </c>
      <c r="D20" s="54" t="s">
        <v>32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41</v>
      </c>
      <c r="C25" s="53" t="s">
        <v>44</v>
      </c>
      <c r="D25" s="54" t="s">
        <v>45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41</v>
      </c>
      <c r="C26" s="53" t="s">
        <v>46</v>
      </c>
      <c r="D26" s="54" t="s">
        <v>47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41</v>
      </c>
      <c r="D27" s="54" t="s">
        <v>49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50</v>
      </c>
      <c r="C28" s="53" t="s">
        <v>51</v>
      </c>
      <c r="D28" s="54" t="s">
        <v>52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50</v>
      </c>
      <c r="C29" s="53" t="s">
        <v>53</v>
      </c>
      <c r="D29" s="54" t="s">
        <v>54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50</v>
      </c>
      <c r="C30" s="53" t="s">
        <v>55</v>
      </c>
      <c r="D30" s="54" t="s">
        <v>56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50</v>
      </c>
      <c r="C31" s="53" t="s">
        <v>57</v>
      </c>
      <c r="D31" s="54" t="s">
        <v>58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50</v>
      </c>
      <c r="C32" s="53" t="s">
        <v>59</v>
      </c>
      <c r="D32" s="54" t="s">
        <v>60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61</v>
      </c>
      <c r="C33" s="53" t="s">
        <v>50</v>
      </c>
      <c r="D33" s="54" t="s">
        <v>62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64</v>
      </c>
      <c r="D34" s="54" t="s">
        <v>65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66</v>
      </c>
      <c r="C35" s="53" t="s">
        <v>67</v>
      </c>
      <c r="D35" s="54" t="s">
        <v>68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26</v>
      </c>
      <c r="C36" s="53" t="s">
        <v>69</v>
      </c>
      <c r="D36" s="54" t="s">
        <v>70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71</v>
      </c>
      <c r="C37" s="53" t="s">
        <v>72</v>
      </c>
      <c r="D37" s="54" t="s">
        <v>73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74</v>
      </c>
      <c r="C38" s="53" t="s">
        <v>75</v>
      </c>
      <c r="D38" s="54" t="s">
        <v>76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77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81</v>
      </c>
      <c r="D40" s="54" t="s">
        <v>82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83</v>
      </c>
      <c r="C41" s="53" t="s">
        <v>84</v>
      </c>
      <c r="D41" s="54" t="s">
        <v>85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31</v>
      </c>
      <c r="C45" s="53" t="s">
        <v>95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41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36</v>
      </c>
      <c r="C47" s="53" t="s">
        <v>99</v>
      </c>
      <c r="D47" s="54" t="s">
        <v>100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101</v>
      </c>
      <c r="C48" s="53" t="s">
        <v>102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59</v>
      </c>
      <c r="C49" s="53" t="s">
        <v>53</v>
      </c>
      <c r="D49" s="54" t="s">
        <v>104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59</v>
      </c>
      <c r="C50" s="53" t="s">
        <v>50</v>
      </c>
      <c r="D50" s="54" t="s">
        <v>105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93</v>
      </c>
      <c r="C51" s="53" t="s">
        <v>106</v>
      </c>
      <c r="D51" s="54" t="s">
        <v>107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108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112</v>
      </c>
      <c r="D53" s="54" t="s">
        <v>113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115</v>
      </c>
      <c r="D54" s="54" t="s">
        <v>116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117</v>
      </c>
      <c r="C55" s="53" t="s">
        <v>118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120</v>
      </c>
      <c r="C56" s="53" t="s">
        <v>121</v>
      </c>
      <c r="D56" s="54" t="s">
        <v>122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123</v>
      </c>
      <c r="C57" s="53" t="s">
        <v>124</v>
      </c>
      <c r="D57" s="54" t="s">
        <v>125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6"/>
      <c r="B58" s="61"/>
      <c r="C58" s="61"/>
      <c r="D58" s="61"/>
      <c r="E58" s="62"/>
      <c r="F58" s="62"/>
      <c r="G58" s="61"/>
      <c r="H58" s="61"/>
      <c r="I58" s="61"/>
      <c r="J58" s="61"/>
      <c r="K58" s="1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3" t="s">
        <v>126</v>
      </c>
      <c r="C59" s="64"/>
      <c r="D59" s="65">
        <f>COUNT(A17:A57)</f>
        <v>41</v>
      </c>
      <c r="E59" s="61"/>
      <c r="F59" s="61"/>
      <c r="G59" s="66" t="s">
        <v>127</v>
      </c>
      <c r="H59" s="66"/>
      <c r="I59" s="66" t="s">
        <v>128</v>
      </c>
      <c r="K59" s="67" t="s">
        <v>129</v>
      </c>
      <c r="L59" s="68" t="s">
        <v>130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131</v>
      </c>
      <c r="C60" s="70"/>
      <c r="D60" s="71">
        <f>COUNTIF(K17:K57,"BAJA")</f>
        <v>0</v>
      </c>
      <c r="E60" s="61"/>
      <c r="F60" s="61"/>
      <c r="H60" s="66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132</v>
      </c>
      <c r="C61" s="70"/>
      <c r="D61" s="72">
        <f>D59-D60</f>
        <v>41</v>
      </c>
      <c r="E61" s="61"/>
      <c r="F61" s="61"/>
      <c r="G61" s="73"/>
      <c r="H61" s="74"/>
      <c r="I61" s="73"/>
      <c r="J61" s="73"/>
      <c r="K61" s="75"/>
      <c r="L61" s="7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69" t="s">
        <v>133</v>
      </c>
      <c r="C62" s="70"/>
      <c r="D62" s="77">
        <f>COUNTIF(K17:K57,"&gt;=6")</f>
        <v>0</v>
      </c>
      <c r="E62" s="61"/>
      <c r="F62" s="61"/>
      <c r="G62" s="73"/>
      <c r="H62" s="74"/>
      <c r="I62" s="73"/>
      <c r="J62" s="73"/>
      <c r="K62" s="75"/>
      <c r="L62" s="7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69" t="s">
        <v>134</v>
      </c>
      <c r="C63" s="70"/>
      <c r="D63" s="77">
        <f>D61-D62</f>
        <v>41</v>
      </c>
      <c r="E63" s="61"/>
      <c r="F63" s="61"/>
      <c r="G63" s="78"/>
      <c r="H63" s="74"/>
      <c r="I63" s="78"/>
      <c r="J63" s="78"/>
      <c r="K63" s="79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B64" s="69" t="s">
        <v>135</v>
      </c>
      <c r="C64" s="70"/>
      <c r="D64" s="81">
        <f>D62*100/D61</f>
        <v>0</v>
      </c>
      <c r="E64" s="61"/>
      <c r="F64" s="61"/>
      <c r="G64" s="82" t="s">
        <v>136</v>
      </c>
      <c r="H64" s="83"/>
      <c r="I64" s="84"/>
      <c r="K64" s="85" t="s">
        <v>137</v>
      </c>
      <c r="L64" s="86" t="s">
        <v>138</v>
      </c>
      <c r="M64" s="8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88" t="s">
        <v>139</v>
      </c>
      <c r="C65" s="89"/>
      <c r="D65" s="90">
        <f>AVERAGE(K17:K57)</f>
        <v>5</v>
      </c>
      <c r="E65" s="61"/>
      <c r="F65" s="61"/>
      <c r="H65" s="83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1"/>
      <c r="B67" s="92"/>
      <c r="C67" s="93"/>
      <c r="D67" s="93"/>
      <c r="E67" s="61"/>
      <c r="H67" s="7"/>
      <c r="I67" s="7"/>
      <c r="J67" s="7"/>
      <c r="K67" s="7"/>
      <c r="L67" s="94"/>
      <c r="M67" s="9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6"/>
      <c r="B68" s="61"/>
      <c r="C68" s="61"/>
      <c r="D68" s="61"/>
      <c r="E68" s="7"/>
      <c r="F68" s="7"/>
      <c r="G68" s="1"/>
      <c r="H68" s="1"/>
      <c r="I68" s="1"/>
      <c r="J68" s="1"/>
      <c r="K68" s="1"/>
      <c r="L68" s="8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6"/>
      <c r="B69" s="61"/>
      <c r="C69" s="61"/>
      <c r="D69" s="61"/>
      <c r="E69" s="7"/>
      <c r="F69" s="7"/>
      <c r="G69" s="1"/>
      <c r="H69" s="1"/>
      <c r="I69" s="1"/>
      <c r="J69" s="1"/>
      <c r="K69" s="1"/>
      <c r="L69" s="8"/>
      <c r="M69" s="9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99"/>
      <c r="C70" s="99"/>
      <c r="D70" s="99"/>
      <c r="E70" s="100"/>
      <c r="F70" s="100"/>
      <c r="G70" s="101"/>
      <c r="H70" s="101"/>
      <c r="I70" s="101"/>
      <c r="J70" s="101"/>
      <c r="K70" s="101"/>
      <c r="L70" s="102"/>
      <c r="M70" s="9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04"/>
      <c r="L73" s="104"/>
      <c r="M73" s="10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04"/>
      <c r="L74" s="104"/>
      <c r="M74" s="10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3"/>
      <c r="C81" s="103"/>
      <c r="D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3"/>
      <c r="C82" s="103"/>
      <c r="D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9:G60"/>
    <mergeCell ref="I59:J60"/>
    <mergeCell ref="K59:K60"/>
    <mergeCell ref="L59:L60"/>
    <mergeCell ref="A9:L9"/>
    <mergeCell ref="E10:L10"/>
    <mergeCell ref="A13:B13"/>
    <mergeCell ref="C13:D13"/>
    <mergeCell ref="H13:H15"/>
    <mergeCell ref="I13:I14"/>
    <mergeCell ref="J13:L14"/>
    <mergeCell ref="J15:L15"/>
    <mergeCell ref="B63:C63"/>
    <mergeCell ref="B64:C64"/>
    <mergeCell ref="G64:G65"/>
    <mergeCell ref="I64:J65"/>
    <mergeCell ref="K64:K65"/>
    <mergeCell ref="L64:L65"/>
    <mergeCell ref="B65:C65"/>
    <mergeCell ref="E67:G67"/>
    <mergeCell ref="B14:D14"/>
    <mergeCell ref="E14:E15"/>
    <mergeCell ref="B16:D16"/>
    <mergeCell ref="B59:C59"/>
    <mergeCell ref="B60:C60"/>
    <mergeCell ref="B61:C61"/>
    <mergeCell ref="B62:C62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69 L18:L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150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7" si="1">SUM(E17:H17)</f>
        <v>0</v>
      </c>
      <c r="J17" s="57"/>
      <c r="K17" s="58">
        <f t="shared" ref="K17:K57" si="2">IF(M17&lt;6,5,M17)</f>
        <v>5</v>
      </c>
      <c r="L17" s="59"/>
      <c r="M17" s="60">
        <f t="shared" ref="M17:M57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23</v>
      </c>
      <c r="D19" s="54" t="s">
        <v>29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30</v>
      </c>
      <c r="C20" s="53" t="s">
        <v>31</v>
      </c>
      <c r="D20" s="54" t="s">
        <v>32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41</v>
      </c>
      <c r="C25" s="53" t="s">
        <v>44</v>
      </c>
      <c r="D25" s="54" t="s">
        <v>45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41</v>
      </c>
      <c r="C26" s="53" t="s">
        <v>46</v>
      </c>
      <c r="D26" s="54" t="s">
        <v>47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41</v>
      </c>
      <c r="D27" s="54" t="s">
        <v>49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50</v>
      </c>
      <c r="C28" s="53" t="s">
        <v>51</v>
      </c>
      <c r="D28" s="54" t="s">
        <v>52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50</v>
      </c>
      <c r="C29" s="53" t="s">
        <v>53</v>
      </c>
      <c r="D29" s="54" t="s">
        <v>54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50</v>
      </c>
      <c r="C30" s="53" t="s">
        <v>55</v>
      </c>
      <c r="D30" s="54" t="s">
        <v>56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50</v>
      </c>
      <c r="C31" s="53" t="s">
        <v>57</v>
      </c>
      <c r="D31" s="54" t="s">
        <v>58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50</v>
      </c>
      <c r="C32" s="53" t="s">
        <v>59</v>
      </c>
      <c r="D32" s="54" t="s">
        <v>60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61</v>
      </c>
      <c r="C33" s="53" t="s">
        <v>50</v>
      </c>
      <c r="D33" s="54" t="s">
        <v>62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64</v>
      </c>
      <c r="D34" s="54" t="s">
        <v>65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66</v>
      </c>
      <c r="C35" s="53" t="s">
        <v>67</v>
      </c>
      <c r="D35" s="54" t="s">
        <v>68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26</v>
      </c>
      <c r="C36" s="53" t="s">
        <v>69</v>
      </c>
      <c r="D36" s="54" t="s">
        <v>70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71</v>
      </c>
      <c r="C37" s="53" t="s">
        <v>72</v>
      </c>
      <c r="D37" s="54" t="s">
        <v>73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74</v>
      </c>
      <c r="C38" s="53" t="s">
        <v>75</v>
      </c>
      <c r="D38" s="54" t="s">
        <v>76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77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81</v>
      </c>
      <c r="D40" s="54" t="s">
        <v>82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83</v>
      </c>
      <c r="C41" s="53" t="s">
        <v>84</v>
      </c>
      <c r="D41" s="54" t="s">
        <v>85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31</v>
      </c>
      <c r="C45" s="53" t="s">
        <v>95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41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36</v>
      </c>
      <c r="C47" s="53" t="s">
        <v>99</v>
      </c>
      <c r="D47" s="54" t="s">
        <v>100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101</v>
      </c>
      <c r="C48" s="53" t="s">
        <v>102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59</v>
      </c>
      <c r="C49" s="53" t="s">
        <v>53</v>
      </c>
      <c r="D49" s="54" t="s">
        <v>104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59</v>
      </c>
      <c r="C50" s="53" t="s">
        <v>50</v>
      </c>
      <c r="D50" s="54" t="s">
        <v>105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93</v>
      </c>
      <c r="C51" s="53" t="s">
        <v>106</v>
      </c>
      <c r="D51" s="54" t="s">
        <v>107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108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112</v>
      </c>
      <c r="D53" s="54" t="s">
        <v>113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115</v>
      </c>
      <c r="D54" s="54" t="s">
        <v>116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117</v>
      </c>
      <c r="C55" s="53" t="s">
        <v>118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120</v>
      </c>
      <c r="C56" s="53" t="s">
        <v>121</v>
      </c>
      <c r="D56" s="54" t="s">
        <v>122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123</v>
      </c>
      <c r="C57" s="53" t="s">
        <v>124</v>
      </c>
      <c r="D57" s="54" t="s">
        <v>125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6"/>
      <c r="B58" s="61"/>
      <c r="C58" s="61"/>
      <c r="D58" s="61"/>
      <c r="E58" s="62"/>
      <c r="F58" s="62"/>
      <c r="G58" s="61"/>
      <c r="H58" s="61"/>
      <c r="I58" s="61"/>
      <c r="J58" s="61"/>
      <c r="K58" s="1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3" t="s">
        <v>126</v>
      </c>
      <c r="C59" s="64"/>
      <c r="D59" s="65">
        <f>COUNT(A17:A57)</f>
        <v>41</v>
      </c>
      <c r="E59" s="61"/>
      <c r="F59" s="61"/>
      <c r="G59" s="66" t="s">
        <v>127</v>
      </c>
      <c r="H59" s="66"/>
      <c r="I59" s="66" t="s">
        <v>128</v>
      </c>
      <c r="K59" s="67" t="s">
        <v>129</v>
      </c>
      <c r="L59" s="68" t="s">
        <v>130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131</v>
      </c>
      <c r="C60" s="70"/>
      <c r="D60" s="71">
        <f>COUNTIF(K17:K57,"BAJA")</f>
        <v>0</v>
      </c>
      <c r="E60" s="61"/>
      <c r="F60" s="61"/>
      <c r="H60" s="66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132</v>
      </c>
      <c r="C61" s="70"/>
      <c r="D61" s="72">
        <f>D59-D60</f>
        <v>41</v>
      </c>
      <c r="E61" s="61"/>
      <c r="F61" s="61"/>
      <c r="G61" s="73"/>
      <c r="H61" s="74"/>
      <c r="I61" s="73"/>
      <c r="J61" s="73"/>
      <c r="K61" s="75"/>
      <c r="L61" s="7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69" t="s">
        <v>133</v>
      </c>
      <c r="C62" s="70"/>
      <c r="D62" s="77">
        <f>COUNTIF(K17:K57,"&gt;=6")</f>
        <v>0</v>
      </c>
      <c r="E62" s="61"/>
      <c r="F62" s="61"/>
      <c r="G62" s="73"/>
      <c r="H62" s="74"/>
      <c r="I62" s="73"/>
      <c r="J62" s="73"/>
      <c r="K62" s="75"/>
      <c r="L62" s="7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69" t="s">
        <v>134</v>
      </c>
      <c r="C63" s="70"/>
      <c r="D63" s="77">
        <f>D61-D62</f>
        <v>41</v>
      </c>
      <c r="E63" s="61"/>
      <c r="F63" s="61"/>
      <c r="G63" s="78"/>
      <c r="H63" s="74"/>
      <c r="I63" s="78"/>
      <c r="J63" s="78"/>
      <c r="K63" s="79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B64" s="69" t="s">
        <v>135</v>
      </c>
      <c r="C64" s="70"/>
      <c r="D64" s="81">
        <f>D62*100/D61</f>
        <v>0</v>
      </c>
      <c r="E64" s="61"/>
      <c r="F64" s="61"/>
      <c r="G64" s="82" t="s">
        <v>136</v>
      </c>
      <c r="H64" s="83"/>
      <c r="I64" s="84"/>
      <c r="K64" s="85" t="s">
        <v>137</v>
      </c>
      <c r="L64" s="86" t="s">
        <v>138</v>
      </c>
      <c r="M64" s="8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88" t="s">
        <v>139</v>
      </c>
      <c r="C65" s="89"/>
      <c r="D65" s="90">
        <f>AVERAGE(K17:K57)</f>
        <v>5</v>
      </c>
      <c r="E65" s="61"/>
      <c r="F65" s="61"/>
      <c r="H65" s="83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1"/>
      <c r="B67" s="92"/>
      <c r="C67" s="93"/>
      <c r="D67" s="93"/>
      <c r="E67" s="61"/>
      <c r="H67" s="7"/>
      <c r="I67" s="7"/>
      <c r="J67" s="7"/>
      <c r="K67" s="7"/>
      <c r="L67" s="94"/>
      <c r="M67" s="9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6"/>
      <c r="B68" s="61"/>
      <c r="C68" s="61"/>
      <c r="D68" s="61"/>
      <c r="E68" s="7"/>
      <c r="F68" s="7"/>
      <c r="G68" s="1"/>
      <c r="H68" s="1"/>
      <c r="I68" s="1"/>
      <c r="J68" s="1"/>
      <c r="K68" s="1"/>
      <c r="L68" s="8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6"/>
      <c r="B69" s="61"/>
      <c r="C69" s="61"/>
      <c r="D69" s="61"/>
      <c r="E69" s="7"/>
      <c r="F69" s="7"/>
      <c r="G69" s="1"/>
      <c r="H69" s="1"/>
      <c r="I69" s="1"/>
      <c r="J69" s="1"/>
      <c r="K69" s="1"/>
      <c r="L69" s="8"/>
      <c r="M69" s="9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99"/>
      <c r="C70" s="99"/>
      <c r="D70" s="99"/>
      <c r="E70" s="100"/>
      <c r="F70" s="100"/>
      <c r="G70" s="101"/>
      <c r="H70" s="101"/>
      <c r="I70" s="101"/>
      <c r="J70" s="101"/>
      <c r="K70" s="101"/>
      <c r="L70" s="102"/>
      <c r="M70" s="9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04"/>
      <c r="L73" s="104"/>
      <c r="M73" s="10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04"/>
      <c r="L74" s="104"/>
      <c r="M74" s="10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3"/>
      <c r="C81" s="103"/>
      <c r="D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3"/>
      <c r="C82" s="103"/>
      <c r="D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9:G60"/>
    <mergeCell ref="I59:J60"/>
    <mergeCell ref="K59:K60"/>
    <mergeCell ref="L59:L60"/>
    <mergeCell ref="A9:L9"/>
    <mergeCell ref="E10:L10"/>
    <mergeCell ref="A13:B13"/>
    <mergeCell ref="C13:D13"/>
    <mergeCell ref="H13:H15"/>
    <mergeCell ref="I13:I14"/>
    <mergeCell ref="J13:L14"/>
    <mergeCell ref="J15:L15"/>
    <mergeCell ref="B63:C63"/>
    <mergeCell ref="B64:C64"/>
    <mergeCell ref="G64:G65"/>
    <mergeCell ref="I64:J65"/>
    <mergeCell ref="K64:K65"/>
    <mergeCell ref="L64:L65"/>
    <mergeCell ref="B65:C65"/>
    <mergeCell ref="E67:G67"/>
    <mergeCell ref="B14:D14"/>
    <mergeCell ref="E14:E15"/>
    <mergeCell ref="B16:D16"/>
    <mergeCell ref="B59:C59"/>
    <mergeCell ref="B60:C60"/>
    <mergeCell ref="B61:C61"/>
    <mergeCell ref="B62:C62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69 L18:L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106" t="s">
        <v>151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39">
        <v>3.0</v>
      </c>
      <c r="E15" s="33"/>
      <c r="F15" s="33"/>
      <c r="G15" s="33"/>
      <c r="H15" s="40"/>
      <c r="I15" s="41"/>
      <c r="J15" s="42"/>
      <c r="K15" s="28"/>
      <c r="L15" s="43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4" t="s">
        <v>16</v>
      </c>
      <c r="B16" s="45" t="s">
        <v>17</v>
      </c>
      <c r="C16" s="28"/>
      <c r="D16" s="29"/>
      <c r="E16" s="46"/>
      <c r="F16" s="46"/>
      <c r="G16" s="47"/>
      <c r="H16" s="48"/>
      <c r="I16" s="49" t="s">
        <v>18</v>
      </c>
      <c r="J16" s="50" t="s">
        <v>19</v>
      </c>
      <c r="K16" s="50" t="s">
        <v>20</v>
      </c>
      <c r="L16" s="51" t="s">
        <v>21</v>
      </c>
      <c r="M16" s="50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2">
        <v>1.0</v>
      </c>
      <c r="B17" s="53" t="s">
        <v>22</v>
      </c>
      <c r="C17" s="53" t="s">
        <v>23</v>
      </c>
      <c r="D17" s="54" t="s">
        <v>24</v>
      </c>
      <c r="E17" s="55"/>
      <c r="F17" s="55"/>
      <c r="G17" s="55"/>
      <c r="H17" s="55"/>
      <c r="I17" s="56">
        <f t="shared" ref="I17:I57" si="1">SUM(E17:H17)</f>
        <v>0</v>
      </c>
      <c r="J17" s="57"/>
      <c r="K17" s="58">
        <f t="shared" ref="K17:K57" si="2">IF(M17&lt;6,5,M17)</f>
        <v>5</v>
      </c>
      <c r="L17" s="59"/>
      <c r="M17" s="60">
        <f t="shared" ref="M17:M57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2">
        <v>2.0</v>
      </c>
      <c r="B18" s="53" t="s">
        <v>25</v>
      </c>
      <c r="C18" s="53" t="s">
        <v>26</v>
      </c>
      <c r="D18" s="54" t="s">
        <v>27</v>
      </c>
      <c r="E18" s="55"/>
      <c r="F18" s="55"/>
      <c r="G18" s="55"/>
      <c r="H18" s="55"/>
      <c r="I18" s="56">
        <f t="shared" si="1"/>
        <v>0</v>
      </c>
      <c r="J18" s="57"/>
      <c r="K18" s="58">
        <f t="shared" si="2"/>
        <v>5</v>
      </c>
      <c r="L18" s="52"/>
      <c r="M18" s="60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2">
        <v>3.0</v>
      </c>
      <c r="B19" s="53" t="s">
        <v>28</v>
      </c>
      <c r="C19" s="53" t="s">
        <v>23</v>
      </c>
      <c r="D19" s="54" t="s">
        <v>29</v>
      </c>
      <c r="E19" s="55"/>
      <c r="F19" s="55"/>
      <c r="G19" s="55"/>
      <c r="H19" s="55"/>
      <c r="I19" s="56">
        <f t="shared" si="1"/>
        <v>0</v>
      </c>
      <c r="J19" s="57"/>
      <c r="K19" s="58">
        <f t="shared" si="2"/>
        <v>5</v>
      </c>
      <c r="L19" s="52"/>
      <c r="M19" s="60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2">
        <v>4.0</v>
      </c>
      <c r="B20" s="53" t="s">
        <v>30</v>
      </c>
      <c r="C20" s="53" t="s">
        <v>31</v>
      </c>
      <c r="D20" s="54" t="s">
        <v>32</v>
      </c>
      <c r="E20" s="55"/>
      <c r="F20" s="55"/>
      <c r="G20" s="55"/>
      <c r="H20" s="55"/>
      <c r="I20" s="56">
        <f t="shared" si="1"/>
        <v>0</v>
      </c>
      <c r="J20" s="57"/>
      <c r="K20" s="58">
        <f t="shared" si="2"/>
        <v>5</v>
      </c>
      <c r="L20" s="52"/>
      <c r="M20" s="60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2">
        <v>5.0</v>
      </c>
      <c r="B21" s="53" t="s">
        <v>33</v>
      </c>
      <c r="C21" s="53" t="s">
        <v>34</v>
      </c>
      <c r="D21" s="54" t="s">
        <v>35</v>
      </c>
      <c r="E21" s="55"/>
      <c r="F21" s="55"/>
      <c r="G21" s="55"/>
      <c r="H21" s="55"/>
      <c r="I21" s="56">
        <f t="shared" si="1"/>
        <v>0</v>
      </c>
      <c r="J21" s="57"/>
      <c r="K21" s="58">
        <f t="shared" si="2"/>
        <v>5</v>
      </c>
      <c r="L21" s="52"/>
      <c r="M21" s="60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2">
        <v>6.0</v>
      </c>
      <c r="B22" s="53" t="s">
        <v>33</v>
      </c>
      <c r="C22" s="53" t="s">
        <v>36</v>
      </c>
      <c r="D22" s="54" t="s">
        <v>37</v>
      </c>
      <c r="E22" s="55"/>
      <c r="F22" s="55"/>
      <c r="G22" s="55"/>
      <c r="H22" s="55"/>
      <c r="I22" s="56">
        <f t="shared" si="1"/>
        <v>0</v>
      </c>
      <c r="J22" s="57"/>
      <c r="K22" s="58">
        <f t="shared" si="2"/>
        <v>5</v>
      </c>
      <c r="L22" s="52"/>
      <c r="M22" s="60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2">
        <v>7.0</v>
      </c>
      <c r="B23" s="53" t="s">
        <v>38</v>
      </c>
      <c r="C23" s="53" t="s">
        <v>39</v>
      </c>
      <c r="D23" s="54" t="s">
        <v>40</v>
      </c>
      <c r="E23" s="55"/>
      <c r="F23" s="55"/>
      <c r="G23" s="55"/>
      <c r="H23" s="55"/>
      <c r="I23" s="56">
        <f t="shared" si="1"/>
        <v>0</v>
      </c>
      <c r="J23" s="57"/>
      <c r="K23" s="58">
        <f t="shared" si="2"/>
        <v>5</v>
      </c>
      <c r="L23" s="52"/>
      <c r="M23" s="60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2">
        <v>8.0</v>
      </c>
      <c r="B24" s="53" t="s">
        <v>41</v>
      </c>
      <c r="C24" s="53" t="s">
        <v>42</v>
      </c>
      <c r="D24" s="54" t="s">
        <v>43</v>
      </c>
      <c r="E24" s="55"/>
      <c r="F24" s="55"/>
      <c r="G24" s="55"/>
      <c r="H24" s="55"/>
      <c r="I24" s="56">
        <f t="shared" si="1"/>
        <v>0</v>
      </c>
      <c r="J24" s="57"/>
      <c r="K24" s="58">
        <f t="shared" si="2"/>
        <v>5</v>
      </c>
      <c r="L24" s="52"/>
      <c r="M24" s="60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2">
        <v>9.0</v>
      </c>
      <c r="B25" s="53" t="s">
        <v>41</v>
      </c>
      <c r="C25" s="53" t="s">
        <v>44</v>
      </c>
      <c r="D25" s="54" t="s">
        <v>45</v>
      </c>
      <c r="E25" s="55"/>
      <c r="F25" s="55"/>
      <c r="G25" s="55"/>
      <c r="H25" s="55"/>
      <c r="I25" s="56">
        <f t="shared" si="1"/>
        <v>0</v>
      </c>
      <c r="J25" s="57"/>
      <c r="K25" s="58">
        <f t="shared" si="2"/>
        <v>5</v>
      </c>
      <c r="L25" s="52"/>
      <c r="M25" s="60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2">
        <v>10.0</v>
      </c>
      <c r="B26" s="53" t="s">
        <v>41</v>
      </c>
      <c r="C26" s="53" t="s">
        <v>46</v>
      </c>
      <c r="D26" s="54" t="s">
        <v>47</v>
      </c>
      <c r="E26" s="55"/>
      <c r="F26" s="55"/>
      <c r="G26" s="55"/>
      <c r="H26" s="55"/>
      <c r="I26" s="56">
        <f t="shared" si="1"/>
        <v>0</v>
      </c>
      <c r="J26" s="57"/>
      <c r="K26" s="58">
        <f t="shared" si="2"/>
        <v>5</v>
      </c>
      <c r="L26" s="52"/>
      <c r="M26" s="60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2">
        <v>11.0</v>
      </c>
      <c r="B27" s="53" t="s">
        <v>48</v>
      </c>
      <c r="C27" s="53" t="s">
        <v>41</v>
      </c>
      <c r="D27" s="54" t="s">
        <v>49</v>
      </c>
      <c r="E27" s="55"/>
      <c r="F27" s="55"/>
      <c r="G27" s="55"/>
      <c r="H27" s="55"/>
      <c r="I27" s="56">
        <f t="shared" si="1"/>
        <v>0</v>
      </c>
      <c r="J27" s="57"/>
      <c r="K27" s="58">
        <f t="shared" si="2"/>
        <v>5</v>
      </c>
      <c r="L27" s="52"/>
      <c r="M27" s="60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2">
        <v>12.0</v>
      </c>
      <c r="B28" s="53" t="s">
        <v>50</v>
      </c>
      <c r="C28" s="53" t="s">
        <v>51</v>
      </c>
      <c r="D28" s="54" t="s">
        <v>52</v>
      </c>
      <c r="E28" s="55"/>
      <c r="F28" s="55"/>
      <c r="G28" s="55"/>
      <c r="H28" s="55"/>
      <c r="I28" s="56">
        <f t="shared" si="1"/>
        <v>0</v>
      </c>
      <c r="J28" s="57"/>
      <c r="K28" s="58">
        <f t="shared" si="2"/>
        <v>5</v>
      </c>
      <c r="L28" s="52"/>
      <c r="M28" s="60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2">
        <v>13.0</v>
      </c>
      <c r="B29" s="53" t="s">
        <v>50</v>
      </c>
      <c r="C29" s="53" t="s">
        <v>53</v>
      </c>
      <c r="D29" s="54" t="s">
        <v>54</v>
      </c>
      <c r="E29" s="55"/>
      <c r="F29" s="55"/>
      <c r="G29" s="55"/>
      <c r="H29" s="55"/>
      <c r="I29" s="56">
        <f t="shared" si="1"/>
        <v>0</v>
      </c>
      <c r="J29" s="57"/>
      <c r="K29" s="58">
        <f t="shared" si="2"/>
        <v>5</v>
      </c>
      <c r="L29" s="52"/>
      <c r="M29" s="60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2">
        <v>14.0</v>
      </c>
      <c r="B30" s="53" t="s">
        <v>50</v>
      </c>
      <c r="C30" s="53" t="s">
        <v>55</v>
      </c>
      <c r="D30" s="54" t="s">
        <v>56</v>
      </c>
      <c r="E30" s="55"/>
      <c r="F30" s="55"/>
      <c r="G30" s="55"/>
      <c r="H30" s="55"/>
      <c r="I30" s="56">
        <f t="shared" si="1"/>
        <v>0</v>
      </c>
      <c r="J30" s="57"/>
      <c r="K30" s="58">
        <f t="shared" si="2"/>
        <v>5</v>
      </c>
      <c r="L30" s="52"/>
      <c r="M30" s="60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2">
        <v>15.0</v>
      </c>
      <c r="B31" s="53" t="s">
        <v>50</v>
      </c>
      <c r="C31" s="53" t="s">
        <v>57</v>
      </c>
      <c r="D31" s="54" t="s">
        <v>58</v>
      </c>
      <c r="E31" s="55"/>
      <c r="F31" s="55"/>
      <c r="G31" s="55"/>
      <c r="H31" s="55"/>
      <c r="I31" s="56">
        <f t="shared" si="1"/>
        <v>0</v>
      </c>
      <c r="J31" s="57"/>
      <c r="K31" s="58">
        <f t="shared" si="2"/>
        <v>5</v>
      </c>
      <c r="L31" s="52"/>
      <c r="M31" s="60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2">
        <v>16.0</v>
      </c>
      <c r="B32" s="53" t="s">
        <v>50</v>
      </c>
      <c r="C32" s="53" t="s">
        <v>59</v>
      </c>
      <c r="D32" s="54" t="s">
        <v>60</v>
      </c>
      <c r="E32" s="55"/>
      <c r="F32" s="55"/>
      <c r="G32" s="55"/>
      <c r="H32" s="55"/>
      <c r="I32" s="56">
        <f t="shared" si="1"/>
        <v>0</v>
      </c>
      <c r="J32" s="57"/>
      <c r="K32" s="58">
        <f t="shared" si="2"/>
        <v>5</v>
      </c>
      <c r="L32" s="52"/>
      <c r="M32" s="60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2">
        <v>17.0</v>
      </c>
      <c r="B33" s="53" t="s">
        <v>61</v>
      </c>
      <c r="C33" s="53" t="s">
        <v>50</v>
      </c>
      <c r="D33" s="54" t="s">
        <v>62</v>
      </c>
      <c r="E33" s="55"/>
      <c r="F33" s="55"/>
      <c r="G33" s="55"/>
      <c r="H33" s="55"/>
      <c r="I33" s="56">
        <f t="shared" si="1"/>
        <v>0</v>
      </c>
      <c r="J33" s="57"/>
      <c r="K33" s="58">
        <f t="shared" si="2"/>
        <v>5</v>
      </c>
      <c r="L33" s="52"/>
      <c r="M33" s="60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2">
        <v>18.0</v>
      </c>
      <c r="B34" s="53" t="s">
        <v>63</v>
      </c>
      <c r="C34" s="53" t="s">
        <v>64</v>
      </c>
      <c r="D34" s="54" t="s">
        <v>65</v>
      </c>
      <c r="E34" s="55"/>
      <c r="F34" s="55"/>
      <c r="G34" s="55"/>
      <c r="H34" s="55"/>
      <c r="I34" s="56">
        <f t="shared" si="1"/>
        <v>0</v>
      </c>
      <c r="J34" s="57"/>
      <c r="K34" s="58">
        <f t="shared" si="2"/>
        <v>5</v>
      </c>
      <c r="L34" s="52"/>
      <c r="M34" s="60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2">
        <v>19.0</v>
      </c>
      <c r="B35" s="53" t="s">
        <v>66</v>
      </c>
      <c r="C35" s="53" t="s">
        <v>67</v>
      </c>
      <c r="D35" s="54" t="s">
        <v>68</v>
      </c>
      <c r="E35" s="55"/>
      <c r="F35" s="55"/>
      <c r="G35" s="55"/>
      <c r="H35" s="55"/>
      <c r="I35" s="56">
        <f t="shared" si="1"/>
        <v>0</v>
      </c>
      <c r="J35" s="57"/>
      <c r="K35" s="58">
        <f t="shared" si="2"/>
        <v>5</v>
      </c>
      <c r="L35" s="52"/>
      <c r="M35" s="60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2">
        <v>20.0</v>
      </c>
      <c r="B36" s="53" t="s">
        <v>26</v>
      </c>
      <c r="C36" s="53" t="s">
        <v>69</v>
      </c>
      <c r="D36" s="54" t="s">
        <v>70</v>
      </c>
      <c r="E36" s="55"/>
      <c r="F36" s="55"/>
      <c r="G36" s="55"/>
      <c r="H36" s="55"/>
      <c r="I36" s="56">
        <f t="shared" si="1"/>
        <v>0</v>
      </c>
      <c r="J36" s="57"/>
      <c r="K36" s="58">
        <f t="shared" si="2"/>
        <v>5</v>
      </c>
      <c r="L36" s="52"/>
      <c r="M36" s="60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2">
        <v>21.0</v>
      </c>
      <c r="B37" s="53" t="s">
        <v>71</v>
      </c>
      <c r="C37" s="53" t="s">
        <v>72</v>
      </c>
      <c r="D37" s="54" t="s">
        <v>73</v>
      </c>
      <c r="E37" s="55"/>
      <c r="F37" s="55"/>
      <c r="G37" s="55"/>
      <c r="H37" s="55"/>
      <c r="I37" s="56">
        <f t="shared" si="1"/>
        <v>0</v>
      </c>
      <c r="J37" s="57"/>
      <c r="K37" s="58">
        <f t="shared" si="2"/>
        <v>5</v>
      </c>
      <c r="L37" s="52"/>
      <c r="M37" s="60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2">
        <v>22.0</v>
      </c>
      <c r="B38" s="53" t="s">
        <v>74</v>
      </c>
      <c r="C38" s="53" t="s">
        <v>75</v>
      </c>
      <c r="D38" s="54" t="s">
        <v>76</v>
      </c>
      <c r="E38" s="55"/>
      <c r="F38" s="55"/>
      <c r="G38" s="55"/>
      <c r="H38" s="55"/>
      <c r="I38" s="56">
        <f t="shared" si="1"/>
        <v>0</v>
      </c>
      <c r="J38" s="57"/>
      <c r="K38" s="58">
        <f t="shared" si="2"/>
        <v>5</v>
      </c>
      <c r="L38" s="52"/>
      <c r="M38" s="60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2">
        <v>23.0</v>
      </c>
      <c r="B39" s="53" t="s">
        <v>77</v>
      </c>
      <c r="C39" s="53" t="s">
        <v>78</v>
      </c>
      <c r="D39" s="54" t="s">
        <v>79</v>
      </c>
      <c r="E39" s="55"/>
      <c r="F39" s="55"/>
      <c r="G39" s="55"/>
      <c r="H39" s="55"/>
      <c r="I39" s="56">
        <f t="shared" si="1"/>
        <v>0</v>
      </c>
      <c r="J39" s="57"/>
      <c r="K39" s="58">
        <f t="shared" si="2"/>
        <v>5</v>
      </c>
      <c r="L39" s="52"/>
      <c r="M39" s="60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2">
        <v>24.0</v>
      </c>
      <c r="B40" s="53" t="s">
        <v>80</v>
      </c>
      <c r="C40" s="53" t="s">
        <v>81</v>
      </c>
      <c r="D40" s="54" t="s">
        <v>82</v>
      </c>
      <c r="E40" s="55"/>
      <c r="F40" s="55"/>
      <c r="G40" s="55"/>
      <c r="H40" s="55"/>
      <c r="I40" s="56">
        <f t="shared" si="1"/>
        <v>0</v>
      </c>
      <c r="J40" s="57"/>
      <c r="K40" s="58">
        <f t="shared" si="2"/>
        <v>5</v>
      </c>
      <c r="L40" s="52"/>
      <c r="M40" s="60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2">
        <v>25.0</v>
      </c>
      <c r="B41" s="53" t="s">
        <v>83</v>
      </c>
      <c r="C41" s="53" t="s">
        <v>84</v>
      </c>
      <c r="D41" s="54" t="s">
        <v>85</v>
      </c>
      <c r="E41" s="55"/>
      <c r="F41" s="55"/>
      <c r="G41" s="55"/>
      <c r="H41" s="55"/>
      <c r="I41" s="56">
        <f t="shared" si="1"/>
        <v>0</v>
      </c>
      <c r="J41" s="57"/>
      <c r="K41" s="58">
        <f t="shared" si="2"/>
        <v>5</v>
      </c>
      <c r="L41" s="52"/>
      <c r="M41" s="60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2">
        <v>26.0</v>
      </c>
      <c r="B42" s="53" t="s">
        <v>86</v>
      </c>
      <c r="C42" s="53" t="s">
        <v>87</v>
      </c>
      <c r="D42" s="54" t="s">
        <v>88</v>
      </c>
      <c r="E42" s="55"/>
      <c r="F42" s="55"/>
      <c r="G42" s="55"/>
      <c r="H42" s="55"/>
      <c r="I42" s="56">
        <f t="shared" si="1"/>
        <v>0</v>
      </c>
      <c r="J42" s="57"/>
      <c r="K42" s="58">
        <f t="shared" si="2"/>
        <v>5</v>
      </c>
      <c r="L42" s="52"/>
      <c r="M42" s="60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2">
        <v>27.0</v>
      </c>
      <c r="B43" s="53" t="s">
        <v>89</v>
      </c>
      <c r="C43" s="53" t="s">
        <v>90</v>
      </c>
      <c r="D43" s="54" t="s">
        <v>91</v>
      </c>
      <c r="E43" s="55"/>
      <c r="F43" s="55"/>
      <c r="G43" s="55"/>
      <c r="H43" s="55"/>
      <c r="I43" s="56">
        <f t="shared" si="1"/>
        <v>0</v>
      </c>
      <c r="J43" s="57"/>
      <c r="K43" s="58">
        <f t="shared" si="2"/>
        <v>5</v>
      </c>
      <c r="L43" s="52"/>
      <c r="M43" s="60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2">
        <v>28.0</v>
      </c>
      <c r="B44" s="53" t="s">
        <v>92</v>
      </c>
      <c r="C44" s="53" t="s">
        <v>93</v>
      </c>
      <c r="D44" s="54" t="s">
        <v>94</v>
      </c>
      <c r="E44" s="55"/>
      <c r="F44" s="55"/>
      <c r="G44" s="55"/>
      <c r="H44" s="55"/>
      <c r="I44" s="56">
        <f t="shared" si="1"/>
        <v>0</v>
      </c>
      <c r="J44" s="57"/>
      <c r="K44" s="58">
        <f t="shared" si="2"/>
        <v>5</v>
      </c>
      <c r="L44" s="52"/>
      <c r="M44" s="60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2">
        <v>29.0</v>
      </c>
      <c r="B45" s="53" t="s">
        <v>31</v>
      </c>
      <c r="C45" s="53" t="s">
        <v>95</v>
      </c>
      <c r="D45" s="54" t="s">
        <v>96</v>
      </c>
      <c r="E45" s="55"/>
      <c r="F45" s="55"/>
      <c r="G45" s="55"/>
      <c r="H45" s="55"/>
      <c r="I45" s="56">
        <f t="shared" si="1"/>
        <v>0</v>
      </c>
      <c r="J45" s="57"/>
      <c r="K45" s="58">
        <f t="shared" si="2"/>
        <v>5</v>
      </c>
      <c r="L45" s="52"/>
      <c r="M45" s="60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2">
        <v>30.0</v>
      </c>
      <c r="B46" s="53" t="s">
        <v>97</v>
      </c>
      <c r="C46" s="53" t="s">
        <v>41</v>
      </c>
      <c r="D46" s="54" t="s">
        <v>98</v>
      </c>
      <c r="E46" s="55"/>
      <c r="F46" s="55"/>
      <c r="G46" s="55"/>
      <c r="H46" s="55"/>
      <c r="I46" s="56">
        <f t="shared" si="1"/>
        <v>0</v>
      </c>
      <c r="J46" s="57"/>
      <c r="K46" s="58">
        <f t="shared" si="2"/>
        <v>5</v>
      </c>
      <c r="L46" s="52"/>
      <c r="M46" s="60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2">
        <v>31.0</v>
      </c>
      <c r="B47" s="53" t="s">
        <v>36</v>
      </c>
      <c r="C47" s="53" t="s">
        <v>99</v>
      </c>
      <c r="D47" s="54" t="s">
        <v>100</v>
      </c>
      <c r="E47" s="55"/>
      <c r="F47" s="55"/>
      <c r="G47" s="55"/>
      <c r="H47" s="55"/>
      <c r="I47" s="56">
        <f t="shared" si="1"/>
        <v>0</v>
      </c>
      <c r="J47" s="57"/>
      <c r="K47" s="58">
        <f t="shared" si="2"/>
        <v>5</v>
      </c>
      <c r="L47" s="52"/>
      <c r="M47" s="60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2">
        <v>32.0</v>
      </c>
      <c r="B48" s="53" t="s">
        <v>101</v>
      </c>
      <c r="C48" s="53" t="s">
        <v>102</v>
      </c>
      <c r="D48" s="54" t="s">
        <v>103</v>
      </c>
      <c r="E48" s="55"/>
      <c r="F48" s="55"/>
      <c r="G48" s="55"/>
      <c r="H48" s="55"/>
      <c r="I48" s="56">
        <f t="shared" si="1"/>
        <v>0</v>
      </c>
      <c r="J48" s="57"/>
      <c r="K48" s="58">
        <f t="shared" si="2"/>
        <v>5</v>
      </c>
      <c r="L48" s="52"/>
      <c r="M48" s="60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2">
        <v>33.0</v>
      </c>
      <c r="B49" s="53" t="s">
        <v>59</v>
      </c>
      <c r="C49" s="53" t="s">
        <v>53</v>
      </c>
      <c r="D49" s="54" t="s">
        <v>104</v>
      </c>
      <c r="E49" s="55"/>
      <c r="F49" s="55"/>
      <c r="G49" s="55"/>
      <c r="H49" s="55"/>
      <c r="I49" s="56">
        <f t="shared" si="1"/>
        <v>0</v>
      </c>
      <c r="J49" s="57"/>
      <c r="K49" s="58">
        <f t="shared" si="2"/>
        <v>5</v>
      </c>
      <c r="L49" s="52"/>
      <c r="M49" s="60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2">
        <v>34.0</v>
      </c>
      <c r="B50" s="53" t="s">
        <v>59</v>
      </c>
      <c r="C50" s="53" t="s">
        <v>50</v>
      </c>
      <c r="D50" s="54" t="s">
        <v>105</v>
      </c>
      <c r="E50" s="55"/>
      <c r="F50" s="55"/>
      <c r="G50" s="55"/>
      <c r="H50" s="55"/>
      <c r="I50" s="56">
        <f t="shared" si="1"/>
        <v>0</v>
      </c>
      <c r="J50" s="57"/>
      <c r="K50" s="58">
        <f t="shared" si="2"/>
        <v>5</v>
      </c>
      <c r="L50" s="52"/>
      <c r="M50" s="60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2">
        <v>35.0</v>
      </c>
      <c r="B51" s="53" t="s">
        <v>93</v>
      </c>
      <c r="C51" s="53" t="s">
        <v>106</v>
      </c>
      <c r="D51" s="54" t="s">
        <v>107</v>
      </c>
      <c r="E51" s="55"/>
      <c r="F51" s="55"/>
      <c r="G51" s="55"/>
      <c r="H51" s="55"/>
      <c r="I51" s="56">
        <f t="shared" si="1"/>
        <v>0</v>
      </c>
      <c r="J51" s="57"/>
      <c r="K51" s="58">
        <f t="shared" si="2"/>
        <v>5</v>
      </c>
      <c r="L51" s="52"/>
      <c r="M51" s="60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2">
        <v>36.0</v>
      </c>
      <c r="B52" s="53" t="s">
        <v>108</v>
      </c>
      <c r="C52" s="53" t="s">
        <v>109</v>
      </c>
      <c r="D52" s="54" t="s">
        <v>110</v>
      </c>
      <c r="E52" s="55"/>
      <c r="F52" s="55"/>
      <c r="G52" s="55"/>
      <c r="H52" s="55"/>
      <c r="I52" s="56">
        <f t="shared" si="1"/>
        <v>0</v>
      </c>
      <c r="J52" s="57"/>
      <c r="K52" s="58">
        <f t="shared" si="2"/>
        <v>5</v>
      </c>
      <c r="L52" s="52"/>
      <c r="M52" s="59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2">
        <v>37.0</v>
      </c>
      <c r="B53" s="53" t="s">
        <v>111</v>
      </c>
      <c r="C53" s="53" t="s">
        <v>112</v>
      </c>
      <c r="D53" s="54" t="s">
        <v>113</v>
      </c>
      <c r="E53" s="55"/>
      <c r="F53" s="55"/>
      <c r="G53" s="55"/>
      <c r="H53" s="55"/>
      <c r="I53" s="56">
        <f t="shared" si="1"/>
        <v>0</v>
      </c>
      <c r="J53" s="57"/>
      <c r="K53" s="58">
        <f t="shared" si="2"/>
        <v>5</v>
      </c>
      <c r="L53" s="52"/>
      <c r="M53" s="59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2">
        <v>38.0</v>
      </c>
      <c r="B54" s="53" t="s">
        <v>114</v>
      </c>
      <c r="C54" s="53" t="s">
        <v>115</v>
      </c>
      <c r="D54" s="54" t="s">
        <v>116</v>
      </c>
      <c r="E54" s="55"/>
      <c r="F54" s="55"/>
      <c r="G54" s="55"/>
      <c r="H54" s="55"/>
      <c r="I54" s="56">
        <f t="shared" si="1"/>
        <v>0</v>
      </c>
      <c r="J54" s="57"/>
      <c r="K54" s="58">
        <f t="shared" si="2"/>
        <v>5</v>
      </c>
      <c r="L54" s="52"/>
      <c r="M54" s="59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2">
        <v>39.0</v>
      </c>
      <c r="B55" s="53" t="s">
        <v>117</v>
      </c>
      <c r="C55" s="53" t="s">
        <v>118</v>
      </c>
      <c r="D55" s="54" t="s">
        <v>119</v>
      </c>
      <c r="E55" s="55"/>
      <c r="F55" s="55"/>
      <c r="G55" s="55"/>
      <c r="H55" s="55"/>
      <c r="I55" s="56">
        <f t="shared" si="1"/>
        <v>0</v>
      </c>
      <c r="J55" s="57"/>
      <c r="K55" s="58">
        <f t="shared" si="2"/>
        <v>5</v>
      </c>
      <c r="L55" s="52"/>
      <c r="M55" s="59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2">
        <v>40.0</v>
      </c>
      <c r="B56" s="53" t="s">
        <v>120</v>
      </c>
      <c r="C56" s="53" t="s">
        <v>121</v>
      </c>
      <c r="D56" s="54" t="s">
        <v>122</v>
      </c>
      <c r="E56" s="55"/>
      <c r="F56" s="55"/>
      <c r="G56" s="55"/>
      <c r="H56" s="55"/>
      <c r="I56" s="56">
        <f t="shared" si="1"/>
        <v>0</v>
      </c>
      <c r="J56" s="57"/>
      <c r="K56" s="58">
        <f t="shared" si="2"/>
        <v>5</v>
      </c>
      <c r="L56" s="52"/>
      <c r="M56" s="59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2">
        <v>41.0</v>
      </c>
      <c r="B57" s="53" t="s">
        <v>123</v>
      </c>
      <c r="C57" s="53" t="s">
        <v>124</v>
      </c>
      <c r="D57" s="54" t="s">
        <v>125</v>
      </c>
      <c r="E57" s="55"/>
      <c r="F57" s="55"/>
      <c r="G57" s="55"/>
      <c r="H57" s="55"/>
      <c r="I57" s="56">
        <f t="shared" si="1"/>
        <v>0</v>
      </c>
      <c r="J57" s="57"/>
      <c r="K57" s="58">
        <f t="shared" si="2"/>
        <v>5</v>
      </c>
      <c r="L57" s="52"/>
      <c r="M57" s="59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6"/>
      <c r="B58" s="61"/>
      <c r="C58" s="61"/>
      <c r="D58" s="61"/>
      <c r="E58" s="62"/>
      <c r="F58" s="62"/>
      <c r="G58" s="61"/>
      <c r="H58" s="61"/>
      <c r="I58" s="61"/>
      <c r="J58" s="61"/>
      <c r="K58" s="1"/>
      <c r="L58" s="8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1.75" customHeight="1">
      <c r="B59" s="63" t="s">
        <v>126</v>
      </c>
      <c r="C59" s="64"/>
      <c r="D59" s="65">
        <f>COUNT(A17:A57)</f>
        <v>41</v>
      </c>
      <c r="E59" s="61"/>
      <c r="F59" s="61"/>
      <c r="G59" s="66" t="s">
        <v>127</v>
      </c>
      <c r="H59" s="66"/>
      <c r="I59" s="66" t="s">
        <v>128</v>
      </c>
      <c r="K59" s="67" t="s">
        <v>129</v>
      </c>
      <c r="L59" s="68" t="s">
        <v>130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9" t="s">
        <v>131</v>
      </c>
      <c r="C60" s="70"/>
      <c r="D60" s="71">
        <f>COUNTIF(K17:K57,"BAJA")</f>
        <v>0</v>
      </c>
      <c r="E60" s="61"/>
      <c r="F60" s="61"/>
      <c r="H60" s="66"/>
      <c r="L60" s="1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69" t="s">
        <v>132</v>
      </c>
      <c r="C61" s="70"/>
      <c r="D61" s="72">
        <f>D59-D60</f>
        <v>41</v>
      </c>
      <c r="E61" s="61"/>
      <c r="F61" s="61"/>
      <c r="G61" s="73"/>
      <c r="H61" s="74"/>
      <c r="I61" s="73"/>
      <c r="J61" s="73"/>
      <c r="K61" s="75"/>
      <c r="L61" s="76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69" t="s">
        <v>133</v>
      </c>
      <c r="C62" s="70"/>
      <c r="D62" s="77">
        <f>COUNTIF(K17:K57,"&gt;=6")</f>
        <v>0</v>
      </c>
      <c r="E62" s="61"/>
      <c r="F62" s="61"/>
      <c r="G62" s="73"/>
      <c r="H62" s="74"/>
      <c r="I62" s="73"/>
      <c r="J62" s="73"/>
      <c r="K62" s="75"/>
      <c r="L62" s="76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69" t="s">
        <v>134</v>
      </c>
      <c r="C63" s="70"/>
      <c r="D63" s="77">
        <f>D61-D62</f>
        <v>41</v>
      </c>
      <c r="E63" s="61"/>
      <c r="F63" s="61"/>
      <c r="G63" s="78"/>
      <c r="H63" s="74"/>
      <c r="I63" s="78"/>
      <c r="J63" s="78"/>
      <c r="K63" s="79"/>
      <c r="L63" s="8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B64" s="69" t="s">
        <v>135</v>
      </c>
      <c r="C64" s="70"/>
      <c r="D64" s="81">
        <f>D62*100/D61</f>
        <v>0</v>
      </c>
      <c r="E64" s="61"/>
      <c r="F64" s="61"/>
      <c r="G64" s="82" t="s">
        <v>136</v>
      </c>
      <c r="H64" s="83"/>
      <c r="I64" s="84"/>
      <c r="K64" s="85" t="s">
        <v>137</v>
      </c>
      <c r="L64" s="86" t="s">
        <v>138</v>
      </c>
      <c r="M64" s="87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B65" s="88" t="s">
        <v>139</v>
      </c>
      <c r="C65" s="89"/>
      <c r="D65" s="90">
        <f>AVERAGE(K17:K57)</f>
        <v>5</v>
      </c>
      <c r="E65" s="61"/>
      <c r="F65" s="61"/>
      <c r="H65" s="83"/>
      <c r="L65" s="10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6"/>
      <c r="B66" s="1"/>
      <c r="C66" s="1"/>
      <c r="D66" s="1"/>
      <c r="E66" s="1"/>
      <c r="F66" s="1"/>
      <c r="G66" s="1"/>
      <c r="H66" s="1"/>
      <c r="I66" s="1"/>
      <c r="J66" s="1"/>
      <c r="K66" s="1"/>
      <c r="L66" s="8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91"/>
      <c r="B67" s="92"/>
      <c r="C67" s="93"/>
      <c r="D67" s="93"/>
      <c r="E67" s="61"/>
      <c r="H67" s="7"/>
      <c r="I67" s="7"/>
      <c r="J67" s="7"/>
      <c r="K67" s="7"/>
      <c r="L67" s="94"/>
      <c r="M67" s="95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6"/>
      <c r="B68" s="61"/>
      <c r="C68" s="61"/>
      <c r="D68" s="61"/>
      <c r="E68" s="7"/>
      <c r="F68" s="7"/>
      <c r="G68" s="1"/>
      <c r="H68" s="1"/>
      <c r="I68" s="1"/>
      <c r="J68" s="1"/>
      <c r="K68" s="1"/>
      <c r="L68" s="8"/>
      <c r="M68" s="97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6"/>
      <c r="B69" s="61"/>
      <c r="C69" s="61"/>
      <c r="D69" s="61"/>
      <c r="E69" s="7"/>
      <c r="F69" s="7"/>
      <c r="G69" s="1"/>
      <c r="H69" s="1"/>
      <c r="I69" s="1"/>
      <c r="J69" s="1"/>
      <c r="K69" s="1"/>
      <c r="L69" s="8"/>
      <c r="M69" s="97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8"/>
      <c r="B70" s="99"/>
      <c r="C70" s="99"/>
      <c r="D70" s="99"/>
      <c r="E70" s="100"/>
      <c r="F70" s="100"/>
      <c r="G70" s="101"/>
      <c r="H70" s="101"/>
      <c r="I70" s="101"/>
      <c r="J70" s="101"/>
      <c r="K70" s="101"/>
      <c r="L70" s="102"/>
      <c r="M70" s="97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03"/>
      <c r="C71" s="103"/>
      <c r="D71" s="103"/>
      <c r="E71" s="103"/>
      <c r="F71" s="103"/>
      <c r="G71" s="1"/>
      <c r="H71" s="1"/>
      <c r="I71" s="1"/>
      <c r="J71" s="1"/>
      <c r="K71" s="104"/>
      <c r="L71" s="104"/>
      <c r="M71" s="10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3"/>
      <c r="C72" s="103"/>
      <c r="D72" s="103"/>
      <c r="E72" s="103"/>
      <c r="F72" s="103"/>
      <c r="G72" s="1"/>
      <c r="H72" s="1"/>
      <c r="I72" s="1"/>
      <c r="J72" s="1"/>
      <c r="K72" s="104"/>
      <c r="L72" s="104"/>
      <c r="M72" s="10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3"/>
      <c r="C73" s="103"/>
      <c r="D73" s="103"/>
      <c r="E73" s="103"/>
      <c r="F73" s="103"/>
      <c r="G73" s="1"/>
      <c r="H73" s="1"/>
      <c r="I73" s="1"/>
      <c r="J73" s="1"/>
      <c r="K73" s="104"/>
      <c r="L73" s="104"/>
      <c r="M73" s="104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3"/>
      <c r="C74" s="103"/>
      <c r="D74" s="103"/>
      <c r="E74" s="103"/>
      <c r="F74" s="103"/>
      <c r="G74" s="1"/>
      <c r="H74" s="1"/>
      <c r="I74" s="1"/>
      <c r="J74" s="1"/>
      <c r="K74" s="104"/>
      <c r="L74" s="104"/>
      <c r="M74" s="104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3"/>
      <c r="C75" s="103"/>
      <c r="D75" s="103"/>
      <c r="E75" s="103"/>
      <c r="F75" s="10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3"/>
      <c r="C76" s="103"/>
      <c r="D76" s="103"/>
      <c r="E76" s="103"/>
      <c r="F76" s="103"/>
      <c r="G76" s="1"/>
      <c r="H76" s="1"/>
      <c r="I76" s="1"/>
      <c r="J76" s="1"/>
      <c r="K76" s="1"/>
      <c r="L76" s="10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3"/>
      <c r="C77" s="103"/>
      <c r="D77" s="103"/>
      <c r="E77" s="103"/>
      <c r="F77" s="10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3"/>
      <c r="C78" s="103"/>
      <c r="D78" s="103"/>
      <c r="E78" s="103"/>
      <c r="F78" s="10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3"/>
      <c r="C79" s="103"/>
      <c r="D79" s="103"/>
      <c r="E79" s="103"/>
      <c r="F79" s="10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3"/>
      <c r="C80" s="103"/>
      <c r="D80" s="103"/>
      <c r="E80" s="103"/>
      <c r="F80" s="10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3"/>
      <c r="C81" s="103"/>
      <c r="D81" s="103"/>
      <c r="E81" s="103"/>
      <c r="F81" s="10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3"/>
      <c r="C82" s="103"/>
      <c r="D82" s="103"/>
      <c r="E82" s="103"/>
      <c r="F82" s="10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F14:F15"/>
    <mergeCell ref="G14:G15"/>
    <mergeCell ref="G59:G60"/>
    <mergeCell ref="I59:J60"/>
    <mergeCell ref="K59:K60"/>
    <mergeCell ref="L59:L60"/>
    <mergeCell ref="A9:L9"/>
    <mergeCell ref="E10:L10"/>
    <mergeCell ref="A13:B13"/>
    <mergeCell ref="C13:D13"/>
    <mergeCell ref="H13:H15"/>
    <mergeCell ref="I13:I14"/>
    <mergeCell ref="J13:L14"/>
    <mergeCell ref="J15:L15"/>
    <mergeCell ref="B63:C63"/>
    <mergeCell ref="B64:C64"/>
    <mergeCell ref="G64:G65"/>
    <mergeCell ref="I64:J65"/>
    <mergeCell ref="K64:K65"/>
    <mergeCell ref="L64:L65"/>
    <mergeCell ref="B65:C65"/>
    <mergeCell ref="E67:G67"/>
    <mergeCell ref="B14:D14"/>
    <mergeCell ref="E14:E15"/>
    <mergeCell ref="B16:D16"/>
    <mergeCell ref="B59:C59"/>
    <mergeCell ref="B60:C60"/>
    <mergeCell ref="B61:C61"/>
    <mergeCell ref="B62:C62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69 L18:L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