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pensamiento literario" sheetId="1" r:id="rId5"/>
    <sheet state="visible" name="2-1 ingles iv" sheetId="2" r:id="rId6"/>
    <sheet state="visible" name="2-1 temas selectos de matematic" sheetId="3" r:id="rId7"/>
    <sheet state="visible" name="2-1 conciencia historica i" sheetId="4" r:id="rId8"/>
    <sheet state="visible" name="2-1 taller de cultura digital" sheetId="5" r:id="rId9"/>
    <sheet state="visible" name="2-1 reacciones quimicas y conse" sheetId="6" r:id="rId10"/>
    <sheet state="visible" name="2-1 espacio y sociedad" sheetId="7" r:id="rId11"/>
    <sheet state="visible" name="2-1 ciencias sociales iii" sheetId="8" r:id="rId12"/>
    <sheet state="visible" name="2-1 comunidades virtuales" sheetId="9" r:id="rId13"/>
    <sheet state="visible" name="2-1 mantenimiento de redes de c" sheetId="10" r:id="rId14"/>
    <sheet state="visible" name="2-1 actividades artisticas y cu" sheetId="11" r:id="rId15"/>
    <sheet state="visible" name="2-1 educacion integral en sexua" sheetId="12" r:id="rId16"/>
    <sheet state="visible" name="2-1 temas selectos de igualdad " sheetId="13" r:id="rId17"/>
  </sheets>
  <definedNames/>
  <calcPr/>
</workbook>
</file>

<file path=xl/sharedStrings.xml><?xml version="1.0" encoding="utf-8"?>
<sst xmlns="http://schemas.openxmlformats.org/spreadsheetml/2006/main" count="2016" uniqueCount="148">
  <si>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</si>
  <si>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</si>
  <si>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</si>
  <si>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</si>
  <si>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</si>
  <si>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</si>
  <si>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</si>
  <si>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</si>
  <si>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</si>
  <si>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</si>
  <si>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</si>
  <si>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</si>
  <si>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</si>
  <si>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</si>
  <si>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</si>
  <si>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</si>
  <si>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</si>
  <si>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</si>
  <si>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</si>
  <si>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</si>
  <si>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</si>
  <si>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</si>
  <si>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</si>
  <si>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</si>
  <si>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</si>
  <si>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BADILLO</t>
  </si>
  <si>
    <t>ROSAS</t>
  </si>
  <si>
    <t>MELANIE</t>
  </si>
  <si>
    <t>BARRON</t>
  </si>
  <si>
    <t>MARQUEZ</t>
  </si>
  <si>
    <t>NATALY GISELL</t>
  </si>
  <si>
    <t>CALDERON</t>
  </si>
  <si>
    <t>HERNANDEZ</t>
  </si>
  <si>
    <t>PATRICIA VALENTINA</t>
  </si>
  <si>
    <t xml:space="preserve">CAMACHO </t>
  </si>
  <si>
    <t>CABRERA</t>
  </si>
  <si>
    <t>ALLISON DANAE</t>
  </si>
  <si>
    <t>CRUZ</t>
  </si>
  <si>
    <t>GIRON</t>
  </si>
  <si>
    <t>XIMENA PATRICIA</t>
  </si>
  <si>
    <t>DIAZ</t>
  </si>
  <si>
    <t>MARTINEZ</t>
  </si>
  <si>
    <t>SINAI ADRIANA</t>
  </si>
  <si>
    <t>FLORES</t>
  </si>
  <si>
    <t>BARRAGAN</t>
  </si>
  <si>
    <t>LUIS ANTONIO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</si>
  <si>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</si>
  <si>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</si>
  <si>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</si>
  <si>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</si>
  <si>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</si>
  <si>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</si>
  <si>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</si>
  <si>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</si>
  <si>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</si>
  <si>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</si>
  <si>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</si>
  <si>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</si>
  <si>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</si>
  <si>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</si>
  <si>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</si>
  <si>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</si>
  <si>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</si>
  <si>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</si>
  <si>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</si>
  <si>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</si>
  <si>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</si>
  <si>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</si>
  <si>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</si>
  <si>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</si>
  <si>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</si>
  <si>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</si>
  <si>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</si>
  <si>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</si>
  <si>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</si>
  <si>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</si>
  <si>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</si>
  <si>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</si>
  <si>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</si>
  <si>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</si>
  <si>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</si>
  <si>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</si>
  <si>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</si>
  <si>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</si>
  <si>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</si>
  <si>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</si>
  <si>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</si>
  <si>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</si>
  <si>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</si>
  <si>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</si>
  <si>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</si>
  <si>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</si>
  <si>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</si>
  <si>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</si>
  <si>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</si>
  <si>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</si>
  <si>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</si>
  <si>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</si>
  <si>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</si>
  <si>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</si>
  <si>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</si>
  <si>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</si>
  <si>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</si>
  <si>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</si>
  <si>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</si>
  <si>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</si>
  <si>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</si>
  <si>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</si>
  <si>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</si>
  <si>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</si>
  <si>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</si>
  <si>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</si>
  <si>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</si>
  <si>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</si>
  <si>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</si>
  <si>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</si>
  <si>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</si>
  <si>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</si>
  <si>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</si>
  <si>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</si>
  <si>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</si>
  <si>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</si>
  <si>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</si>
  <si>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</si>
  <si>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</si>
  <si>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</si>
  <si>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</si>
  <si>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</si>
  <si>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</si>
  <si>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</si>
  <si>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</si>
  <si>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</si>
  <si>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</si>
  <si>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</si>
  <si>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</si>
  <si>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>INGLÉS IV</t>
  </si>
  <si>
    <t>TEMAS SELECTOS DE MATEMÁTICAS I</t>
  </si>
  <si>
    <t>CONCIENCIA HISTÓRICA I</t>
  </si>
  <si>
    <t>TALLER DE CULTURA DIGITAL</t>
  </si>
  <si>
    <t>OLIVIA PEÑA RAMÍREZ</t>
  </si>
  <si>
    <t>REACCIONES QUÍMICAS Y CONSERVACIÓN DE LA MATERIA</t>
  </si>
  <si>
    <t>ESPACIO Y SOCIEDAD</t>
  </si>
  <si>
    <t>CIENCIAS SOCIALES III</t>
  </si>
  <si>
    <t>COMUNIDADES VIRTUALES</t>
  </si>
  <si>
    <t>MANTENIMIENTO DE REDES DE CÓMPUTO</t>
  </si>
  <si>
    <t>ACTIVIDADES ARTÍSTICAS Y CULTURALES I</t>
  </si>
  <si>
    <t>EDUCACIÓN INTEGRAL EN SEXUALIDAD Y GÉNERO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</si>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</sst>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  <font>
      <b/>
      <color theme="1"/>
      <name val="Arial"/>
    </font>
    <font>
      <b/>
      <color theme="1"/>
      <name val="Gotham Book"/>
    </font>
    <font>
      <color theme="1"/>
      <name val="Arial"/>
    </font>
    <font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0" fillId="0" fontId="11" numFmtId="0" xfId="0" applyAlignment="1" applyFont="1">
      <alignment vertical="bottom"/>
    </xf>
    <xf borderId="1" fillId="0" fontId="11" numFmtId="0" xfId="0" applyAlignment="1" applyBorder="1" applyFont="1">
      <alignment vertical="bottom"/>
    </xf>
    <xf borderId="2" fillId="0" fontId="11" numFmtId="0" xfId="0" applyBorder="1" applyFont="1"/>
    <xf borderId="2" fillId="0" fontId="11" numFmtId="0" xfId="0" applyAlignment="1" applyBorder="1" applyFon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0" fillId="0" fontId="11" numFmtId="0" xfId="0" applyFont="1"/>
    <xf borderId="5" fillId="0" fontId="11" numFmtId="0" xfId="0" applyAlignment="1" applyBorder="1" applyFont="1">
      <alignment vertical="bottom"/>
    </xf>
    <xf borderId="4" fillId="0" fontId="2" numFmtId="0" xfId="0" applyAlignment="1" applyBorder="1" applyFont="1">
      <alignment horizontal="center" shrinkToFit="0" wrapText="1"/>
    </xf>
    <xf borderId="0" fillId="0" fontId="11" numFmtId="0" xfId="0" applyAlignment="1" applyFont="1">
      <alignment vertical="top"/>
    </xf>
    <xf borderId="0" fillId="0" fontId="2" numFmtId="0" xfId="0" applyFont="1"/>
    <xf borderId="6" fillId="2" fontId="23" numFmtId="0" xfId="0" applyAlignment="1" applyBorder="1" applyFont="1">
      <alignment horizontal="center"/>
    </xf>
    <xf borderId="8" fillId="2" fontId="11" numFmtId="0" xfId="0" applyBorder="1" applyFont="1"/>
    <xf borderId="10" fillId="2" fontId="4" numFmtId="0" xfId="0" applyAlignment="1" applyBorder="1" applyFont="1">
      <alignment horizontal="center" shrinkToFit="0" wrapText="1"/>
    </xf>
    <xf borderId="11" fillId="2" fontId="4" numFmtId="9" xfId="0" applyAlignment="1" applyBorder="1" applyFont="1" applyNumberFormat="1">
      <alignment horizontal="center"/>
    </xf>
    <xf borderId="13" fillId="2" fontId="23" numFmtId="0" xfId="0" applyAlignment="1" applyBorder="1" applyFont="1">
      <alignment horizontal="center" shrinkToFit="0" wrapText="1"/>
    </xf>
    <xf borderId="14" fillId="2" fontId="23" numFmtId="0" xfId="0" applyAlignment="1" applyBorder="1" applyFont="1">
      <alignment horizontal="center" shrinkToFit="0" wrapText="1"/>
    </xf>
    <xf borderId="22" fillId="2" fontId="23" numFmtId="0" xfId="0" applyAlignment="1" applyBorder="1" applyFont="1">
      <alignment horizontal="center"/>
    </xf>
    <xf borderId="23" fillId="2" fontId="23" numFmtId="0" xfId="0" applyAlignment="1" applyBorder="1" applyFont="1">
      <alignment horizontal="center"/>
    </xf>
    <xf borderId="15" fillId="2" fontId="23" numFmtId="0" xfId="0" applyAlignment="1" applyBorder="1" applyFont="1">
      <alignment horizontal="center"/>
    </xf>
    <xf borderId="18" fillId="2" fontId="11" numFmtId="0" xfId="0" applyBorder="1" applyFont="1"/>
    <xf borderId="25" fillId="2" fontId="11" numFmtId="0" xfId="0" applyBorder="1" applyFont="1"/>
    <xf borderId="22" fillId="2" fontId="24" numFmtId="0" xfId="0" applyAlignment="1" applyBorder="1" applyFont="1">
      <alignment horizontal="center"/>
    </xf>
    <xf borderId="27" fillId="2" fontId="24" numFmtId="0" xfId="0" applyAlignment="1" applyBorder="1" applyFont="1">
      <alignment horizontal="center"/>
    </xf>
    <xf borderId="23" fillId="2" fontId="11" numFmtId="0" xfId="0" applyBorder="1" applyFont="1"/>
    <xf borderId="23" fillId="2" fontId="6" numFmtId="0" xfId="0" applyAlignment="1" applyBorder="1" applyFont="1">
      <alignment horizontal="center" shrinkToFit="0" wrapText="1"/>
    </xf>
    <xf borderId="23" fillId="2" fontId="4" numFmtId="0" xfId="0" applyAlignment="1" applyBorder="1" applyFont="1">
      <alignment horizontal="center" shrinkToFit="0" wrapText="1"/>
    </xf>
    <xf borderId="28" fillId="2" fontId="4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1" numFmtId="164" xfId="0" applyBorder="1" applyFont="1" applyNumberFormat="1"/>
    <xf borderId="23" fillId="0" fontId="1" numFmtId="164" xfId="0" applyAlignment="1" applyBorder="1" applyFont="1" applyNumberFormat="1">
      <alignment horizontal="center"/>
    </xf>
    <xf borderId="23" fillId="0" fontId="11" numFmtId="0" xfId="0" applyBorder="1" applyFont="1"/>
    <xf borderId="23" fillId="2" fontId="14" numFmtId="1" xfId="0" applyAlignment="1" applyBorder="1" applyFont="1" applyNumberFormat="1">
      <alignment horizontal="center"/>
    </xf>
    <xf borderId="23" fillId="0" fontId="11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3" fillId="0" fontId="1" numFmtId="1" xfId="0" applyAlignment="1" applyBorder="1" applyFont="1" applyNumberFormat="1">
      <alignment horizontal="center"/>
    </xf>
    <xf borderId="0" fillId="0" fontId="11" numFmtId="1" xfId="0" applyFont="1" applyNumberFormat="1"/>
    <xf borderId="0" fillId="0" fontId="11" numFmtId="164" xfId="0" applyFont="1" applyNumberFormat="1"/>
    <xf borderId="0" fillId="0" fontId="11" numFmtId="1" xfId="0" applyAlignment="1" applyFont="1" applyNumberFormat="1">
      <alignment vertical="bottom"/>
    </xf>
    <xf borderId="29" fillId="0" fontId="25" numFmtId="1" xfId="0" applyAlignment="1" applyBorder="1" applyFont="1" applyNumberFormat="1">
      <alignment horizontal="right"/>
    </xf>
    <xf borderId="31" fillId="0" fontId="16" numFmtId="0" xfId="0" applyAlignment="1" applyBorder="1" applyFont="1">
      <alignment horizontal="right"/>
    </xf>
    <xf borderId="0" fillId="0" fontId="17" numFmtId="164" xfId="0" applyAlignment="1" applyFont="1" applyNumberFormat="1">
      <alignment horizontal="center" shrinkToFit="0" wrapText="1"/>
    </xf>
    <xf borderId="0" fillId="0" fontId="18" numFmtId="1" xfId="0" applyAlignment="1" applyFont="1" applyNumberFormat="1">
      <alignment horizontal="center" shrinkToFit="0" wrapText="1"/>
    </xf>
    <xf borderId="5" fillId="0" fontId="17" numFmtId="0" xfId="0" applyAlignment="1" applyBorder="1" applyFont="1">
      <alignment horizontal="center" shrinkToFit="0" wrapText="1"/>
    </xf>
    <xf borderId="32" fillId="0" fontId="26" numFmtId="1" xfId="0" applyAlignment="1" applyBorder="1" applyFont="1" applyNumberFormat="1">
      <alignment horizontal="right"/>
    </xf>
    <xf borderId="34" fillId="0" fontId="16" numFmtId="0" xfId="0" applyAlignment="1" applyBorder="1" applyFont="1">
      <alignment horizontal="right"/>
    </xf>
    <xf borderId="35" fillId="0" fontId="16" numFmtId="0" xfId="0" applyAlignment="1" applyBorder="1" applyFont="1">
      <alignment horizontal="right"/>
    </xf>
    <xf borderId="35" fillId="0" fontId="16" numFmtId="1" xfId="0" applyAlignment="1" applyBorder="1" applyFont="1" applyNumberFormat="1">
      <alignment horizontal="right"/>
    </xf>
    <xf borderId="32" fillId="0" fontId="26" numFmtId="0" xfId="0" applyAlignment="1" applyBorder="1" applyFont="1">
      <alignment horizontal="right"/>
    </xf>
    <xf borderId="20" fillId="0" fontId="11" numFmtId="0" xfId="0" applyBorder="1" applyFont="1"/>
    <xf borderId="20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35" fillId="0" fontId="16" numFmtId="2" xfId="0" applyAlignment="1" applyBorder="1" applyFont="1" applyNumberFormat="1">
      <alignment horizontal="right"/>
    </xf>
    <xf borderId="36" fillId="0" fontId="23" numFmtId="0" xfId="0" applyAlignment="1" applyBorder="1" applyFont="1">
      <alignment horizontal="center" shrinkToFit="0" vertical="top" wrapText="1"/>
    </xf>
    <xf borderId="37" fillId="0" fontId="25" numFmtId="0" xfId="0" applyAlignment="1" applyBorder="1" applyFont="1">
      <alignment horizontal="right"/>
    </xf>
    <xf borderId="39" fillId="0" fontId="14" numFmtId="2" xfId="0" applyAlignment="1" applyBorder="1" applyFont="1" applyNumberFormat="1">
      <alignment horizontal="right"/>
    </xf>
    <xf borderId="40" fillId="4" fontId="11" numFmtId="0" xfId="0" applyBorder="1" applyFill="1" applyFont="1"/>
    <xf borderId="41" fillId="4" fontId="11" numFmtId="0" xfId="0" applyBorder="1" applyFont="1"/>
    <xf borderId="0" fillId="4" fontId="11" numFmtId="0" xfId="0" applyFont="1"/>
    <xf borderId="0" fillId="4" fontId="11" numFmtId="1" xfId="0" applyFont="1" applyNumberFormat="1"/>
    <xf borderId="5" fillId="0" fontId="11" numFmtId="0" xfId="0" applyBorder="1" applyFont="1"/>
    <xf borderId="4" fillId="0" fontId="11" numFmtId="0" xfId="0" applyBorder="1" applyFont="1"/>
    <xf borderId="0" fillId="0" fontId="11" numFmtId="2" xfId="0" applyFont="1" applyNumberFormat="1"/>
    <xf borderId="42" fillId="0" fontId="11" numFmtId="0" xfId="0" applyBorder="1" applyFont="1"/>
    <xf borderId="43" fillId="0" fontId="11" numFmtId="0" xfId="0" applyBorder="1" applyFont="1"/>
    <xf borderId="43" fillId="0" fontId="11" numFmtId="2" xfId="0" applyBorder="1" applyFont="1" applyNumberFormat="1"/>
    <xf borderId="43" fillId="0" fontId="11" numFmtId="0" xfId="0" applyAlignment="1" applyBorder="1" applyFont="1">
      <alignment vertical="bottom"/>
    </xf>
    <xf borderId="44" fillId="0" fontId="11" numFmtId="0" xfId="0" applyAlignment="1" applyBorder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65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63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123825</xdr:rowOff>
    </xdr:from>
    <xdr:ext cx="6781800" cy="1047750"/>
    <xdr:sp>
      <xdr:nvSpPr>
        <xdr:cNvPr id="5" name="Shape 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65</xdr:row>
      <xdr:rowOff>9525</xdr:rowOff>
    </xdr:from>
    <xdr:ext cx="10706100" cy="381000"/>
    <xdr:sp>
      <xdr:nvSpPr>
        <xdr:cNvPr id="6" name="Shape 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142875</xdr:rowOff>
    </xdr:from>
    <xdr:ext cx="6781800" cy="1047750"/>
    <xdr:sp>
      <xdr:nvSpPr>
        <xdr:cNvPr id="7" name="Shape 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65</xdr:row>
      <xdr:rowOff>9525</xdr:rowOff>
    </xdr:from>
    <xdr:ext cx="10706100" cy="381000"/>
    <xdr:sp>
      <xdr:nvSpPr>
        <xdr:cNvPr id="8" name="Shape 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63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1</xdr:row>
      <xdr:rowOff>180975</xdr:rowOff>
    </xdr:from>
    <xdr:ext cx="6781800" cy="1047750"/>
    <xdr:sp>
      <xdr:nvSpPr>
        <xdr:cNvPr id="9" name="Shape 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65</xdr:row>
      <xdr:rowOff>38100</xdr:rowOff>
    </xdr:from>
    <xdr:ext cx="10706100" cy="381000"/>
    <xdr:sp>
      <xdr:nvSpPr>
        <xdr:cNvPr id="10" name="Shape 1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161925</xdr:rowOff>
    </xdr:from>
    <xdr:ext cx="6781800" cy="1047750"/>
    <xdr:sp>
      <xdr:nvSpPr>
        <xdr:cNvPr id="11" name="Shape 1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65</xdr:row>
      <xdr:rowOff>19050</xdr:rowOff>
    </xdr:from>
    <xdr:ext cx="10706100" cy="381000"/>
    <xdr:sp>
      <xdr:nvSpPr>
        <xdr:cNvPr id="12" name="Shape 1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133350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142875</xdr:rowOff>
    </xdr:from>
    <xdr:ext cx="6781800" cy="1047750"/>
    <xdr:sp>
      <xdr:nvSpPr>
        <xdr:cNvPr id="13" name="Shape 1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64</xdr:row>
      <xdr:rowOff>161925</xdr:rowOff>
    </xdr:from>
    <xdr:ext cx="10706100" cy="381000"/>
    <xdr:sp>
      <xdr:nvSpPr>
        <xdr:cNvPr id="14" name="Shape 1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63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15" name="Shape 1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65</xdr:row>
      <xdr:rowOff>38100</xdr:rowOff>
    </xdr:from>
    <xdr:ext cx="10706100" cy="381000"/>
    <xdr:sp>
      <xdr:nvSpPr>
        <xdr:cNvPr id="16" name="Shape 1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63</xdr:row>
      <xdr:rowOff>152400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142875</xdr:rowOff>
    </xdr:from>
    <xdr:ext cx="6781800" cy="1047750"/>
    <xdr:sp>
      <xdr:nvSpPr>
        <xdr:cNvPr id="17" name="Shape 1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64</xdr:row>
      <xdr:rowOff>190500</xdr:rowOff>
    </xdr:from>
    <xdr:ext cx="10706100" cy="381000"/>
    <xdr:sp>
      <xdr:nvSpPr>
        <xdr:cNvPr id="18" name="Shape 1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63</xdr:row>
      <xdr:rowOff>238125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81800" cy="1047750"/>
    <xdr:sp>
      <xdr:nvSpPr>
        <xdr:cNvPr id="19" name="Shape 1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371475</xdr:colOff>
      <xdr:row>64</xdr:row>
      <xdr:rowOff>266700</xdr:rowOff>
    </xdr:from>
    <xdr:ext cx="10706100" cy="381000"/>
    <xdr:sp>
      <xdr:nvSpPr>
        <xdr:cNvPr id="20" name="Shape 2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266700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21" name="Shape 2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65</xdr:row>
      <xdr:rowOff>38100</xdr:rowOff>
    </xdr:from>
    <xdr:ext cx="10706100" cy="381000"/>
    <xdr:sp>
      <xdr:nvSpPr>
        <xdr:cNvPr id="22" name="Shape 2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3" name="Shape 2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65</xdr:row>
      <xdr:rowOff>0</xdr:rowOff>
    </xdr:from>
    <xdr:ext cx="10706100" cy="381000"/>
    <xdr:sp>
      <xdr:nvSpPr>
        <xdr:cNvPr id="24" name="Shape 2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238125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5" name="Shape 2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64</xdr:row>
      <xdr:rowOff>219075</xdr:rowOff>
    </xdr:from>
    <xdr:ext cx="10706100" cy="381000"/>
    <xdr:sp>
      <xdr:nvSpPr>
        <xdr:cNvPr id="26" name="Shape 2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63</xdr:row>
      <xdr:rowOff>219075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7" name="Shape 2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64</xdr:row>
      <xdr:rowOff>95250</xdr:rowOff>
    </xdr:from>
    <xdr:ext cx="10706100" cy="381000"/>
    <xdr:sp>
      <xdr:nvSpPr>
        <xdr:cNvPr id="28" name="Shape 2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142875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5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138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 t="s">
        <v>139</v>
      </c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1.0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5" si="1">SUM(E17:H17)</f>
        <v>0</v>
      </c>
      <c r="J17" s="57"/>
      <c r="K17" s="58">
        <f t="shared" ref="K17:K55" si="2">IF(M17&lt;6,5,M17)</f>
        <v>5</v>
      </c>
      <c r="L17" s="59"/>
      <c r="M17" s="60">
        <f t="shared" ref="M17:M55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2">
        <v>3.0</v>
      </c>
      <c r="B19" s="53" t="s">
        <v>28</v>
      </c>
      <c r="C19" s="53" t="s">
        <v>29</v>
      </c>
      <c r="D19" s="54" t="s">
        <v>30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2">
        <v>4.0</v>
      </c>
      <c r="B20" s="53" t="s">
        <v>31</v>
      </c>
      <c r="C20" s="53" t="s">
        <v>32</v>
      </c>
      <c r="D20" s="54" t="s">
        <v>33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2">
        <v>5.0</v>
      </c>
      <c r="B21" s="53" t="s">
        <v>34</v>
      </c>
      <c r="C21" s="53" t="s">
        <v>35</v>
      </c>
      <c r="D21" s="54" t="s">
        <v>36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2">
        <v>6.0</v>
      </c>
      <c r="B22" s="53" t="s">
        <v>37</v>
      </c>
      <c r="C22" s="53" t="s">
        <v>38</v>
      </c>
      <c r="D22" s="54" t="s">
        <v>39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2">
        <v>7.0</v>
      </c>
      <c r="B23" s="53" t="s">
        <v>40</v>
      </c>
      <c r="C23" s="53" t="s">
        <v>41</v>
      </c>
      <c r="D23" s="54" t="s">
        <v>42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2">
        <v>8.0</v>
      </c>
      <c r="B24" s="53" t="s">
        <v>43</v>
      </c>
      <c r="C24" s="53" t="s">
        <v>44</v>
      </c>
      <c r="D24" s="54" t="s">
        <v>45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2">
        <v>9.0</v>
      </c>
      <c r="B25" s="53" t="s">
        <v>46</v>
      </c>
      <c r="C25" s="53" t="s">
        <v>47</v>
      </c>
      <c r="D25" s="54" t="s">
        <v>48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2">
        <v>10.0</v>
      </c>
      <c r="B26" s="53" t="s">
        <v>49</v>
      </c>
      <c r="C26" s="53" t="s">
        <v>50</v>
      </c>
      <c r="D26" s="54" t="s">
        <v>51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2">
        <v>11.0</v>
      </c>
      <c r="B27" s="53" t="s">
        <v>52</v>
      </c>
      <c r="C27" s="53" t="s">
        <v>46</v>
      </c>
      <c r="D27" s="54" t="s">
        <v>53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2">
        <v>12.0</v>
      </c>
      <c r="B28" s="53" t="s">
        <v>32</v>
      </c>
      <c r="C28" s="53" t="s">
        <v>32</v>
      </c>
      <c r="D28" s="54" t="s">
        <v>54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2">
        <v>13.0</v>
      </c>
      <c r="B29" s="53" t="s">
        <v>32</v>
      </c>
      <c r="C29" s="53" t="s">
        <v>55</v>
      </c>
      <c r="D29" s="54" t="s">
        <v>56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2">
        <v>14.0</v>
      </c>
      <c r="B30" s="53" t="s">
        <v>57</v>
      </c>
      <c r="C30" s="53" t="s">
        <v>49</v>
      </c>
      <c r="D30" s="54" t="s">
        <v>58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2">
        <v>15.0</v>
      </c>
      <c r="B31" s="53" t="s">
        <v>59</v>
      </c>
      <c r="C31" s="53" t="s">
        <v>60</v>
      </c>
      <c r="D31" s="54" t="s">
        <v>61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2">
        <v>16.0</v>
      </c>
      <c r="B32" s="53" t="s">
        <v>62</v>
      </c>
      <c r="C32" s="53" t="s">
        <v>37</v>
      </c>
      <c r="D32" s="54" t="s">
        <v>63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2">
        <v>17.0</v>
      </c>
      <c r="B33" s="53" t="s">
        <v>64</v>
      </c>
      <c r="C33" s="53" t="s">
        <v>65</v>
      </c>
      <c r="D33" s="54" t="s">
        <v>66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2">
        <v>18.0</v>
      </c>
      <c r="B34" s="53" t="s">
        <v>67</v>
      </c>
      <c r="C34" s="53" t="s">
        <v>68</v>
      </c>
      <c r="D34" s="54" t="s">
        <v>69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2">
        <v>19.0</v>
      </c>
      <c r="B35" s="53" t="s">
        <v>67</v>
      </c>
      <c r="C35" s="53" t="s">
        <v>43</v>
      </c>
      <c r="D35" s="54" t="s">
        <v>70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2">
        <v>20.0</v>
      </c>
      <c r="B36" s="53" t="s">
        <v>71</v>
      </c>
      <c r="C36" s="53" t="s">
        <v>72</v>
      </c>
      <c r="D36" s="54" t="s">
        <v>73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2">
        <v>21.0</v>
      </c>
      <c r="B37" s="53" t="s">
        <v>74</v>
      </c>
      <c r="C37" s="53" t="s">
        <v>41</v>
      </c>
      <c r="D37" s="54" t="s">
        <v>75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2">
        <v>22.0</v>
      </c>
      <c r="B38" s="53" t="s">
        <v>41</v>
      </c>
      <c r="C38" s="53" t="s">
        <v>76</v>
      </c>
      <c r="D38" s="54" t="s">
        <v>77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2">
        <v>23.0</v>
      </c>
      <c r="B39" s="53" t="s">
        <v>41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2">
        <v>24.0</v>
      </c>
      <c r="B40" s="53" t="s">
        <v>41</v>
      </c>
      <c r="C40" s="53" t="s">
        <v>80</v>
      </c>
      <c r="D40" s="54" t="s">
        <v>81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2">
        <v>25.0</v>
      </c>
      <c r="B41" s="53" t="s">
        <v>41</v>
      </c>
      <c r="C41" s="53" t="s">
        <v>82</v>
      </c>
      <c r="D41" s="54" t="s">
        <v>83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2">
        <v>26.0</v>
      </c>
      <c r="B42" s="53" t="s">
        <v>84</v>
      </c>
      <c r="C42" s="53" t="s">
        <v>85</v>
      </c>
      <c r="D42" s="54" t="s">
        <v>86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2">
        <v>27.0</v>
      </c>
      <c r="B43" s="53" t="s">
        <v>87</v>
      </c>
      <c r="C43" s="53" t="s">
        <v>46</v>
      </c>
      <c r="D43" s="54" t="s">
        <v>88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2">
        <v>28.0</v>
      </c>
      <c r="B44" s="53" t="s">
        <v>89</v>
      </c>
      <c r="C44" s="53" t="s">
        <v>90</v>
      </c>
      <c r="D44" s="54" t="s">
        <v>91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2">
        <v>29.0</v>
      </c>
      <c r="B45" s="53" t="s">
        <v>92</v>
      </c>
      <c r="C45" s="53" t="s">
        <v>93</v>
      </c>
      <c r="D45" s="54" t="s">
        <v>94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2">
        <v>30.0</v>
      </c>
      <c r="B46" s="53" t="s">
        <v>65</v>
      </c>
      <c r="C46" s="53" t="s">
        <v>41</v>
      </c>
      <c r="D46" s="54" t="s">
        <v>95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2">
        <v>31.0</v>
      </c>
      <c r="B47" s="53" t="s">
        <v>96</v>
      </c>
      <c r="C47" s="53" t="s">
        <v>57</v>
      </c>
      <c r="D47" s="54" t="s">
        <v>97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2">
        <v>32.0</v>
      </c>
      <c r="B48" s="53" t="s">
        <v>98</v>
      </c>
      <c r="C48" s="53" t="s">
        <v>99</v>
      </c>
      <c r="D48" s="54" t="s">
        <v>100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2">
        <v>33.0</v>
      </c>
      <c r="B49" s="53" t="s">
        <v>101</v>
      </c>
      <c r="C49" s="53" t="s">
        <v>102</v>
      </c>
      <c r="D49" s="54" t="s">
        <v>103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2">
        <v>34.0</v>
      </c>
      <c r="B50" s="53" t="s">
        <v>104</v>
      </c>
      <c r="C50" s="53" t="s">
        <v>105</v>
      </c>
      <c r="D50" s="54" t="s">
        <v>106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2">
        <v>35.0</v>
      </c>
      <c r="B51" s="53" t="s">
        <v>72</v>
      </c>
      <c r="C51" s="53" t="s">
        <v>107</v>
      </c>
      <c r="D51" s="54" t="s">
        <v>108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2">
        <v>36.0</v>
      </c>
      <c r="B52" s="53" t="s">
        <v>109</v>
      </c>
      <c r="C52" s="53" t="s">
        <v>110</v>
      </c>
      <c r="D52" s="54" t="s">
        <v>111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2">
        <v>37.0</v>
      </c>
      <c r="B53" s="53" t="s">
        <v>112</v>
      </c>
      <c r="C53" s="53" t="s">
        <v>113</v>
      </c>
      <c r="D53" s="54" t="s">
        <v>114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2">
        <v>38.0</v>
      </c>
      <c r="B54" s="53" t="s">
        <v>115</v>
      </c>
      <c r="C54" s="53" t="s">
        <v>116</v>
      </c>
      <c r="D54" s="54" t="s">
        <v>117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2">
        <v>39.0</v>
      </c>
      <c r="B55" s="53" t="s">
        <v>118</v>
      </c>
      <c r="C55" s="53" t="s">
        <v>35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3.5" customHeight="1">
      <c r="A56" s="6"/>
      <c r="B56" s="61"/>
      <c r="C56" s="61"/>
      <c r="D56" s="61"/>
      <c r="E56" s="62"/>
      <c r="F56" s="62"/>
      <c r="G56" s="61"/>
      <c r="H56" s="61"/>
      <c r="I56" s="61"/>
      <c r="J56" s="61"/>
      <c r="K56" s="1"/>
      <c r="L56" s="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1.75" customHeight="1">
      <c r="B57" s="63" t="s">
        <v>120</v>
      </c>
      <c r="C57" s="64"/>
      <c r="D57" s="65">
        <f>COUNT(A17:A55)</f>
        <v>39</v>
      </c>
      <c r="E57" s="61"/>
      <c r="F57" s="61"/>
      <c r="G57" s="66" t="s">
        <v>121</v>
      </c>
      <c r="H57" s="66"/>
      <c r="I57" s="66" t="s">
        <v>122</v>
      </c>
      <c r="K57" s="67" t="s">
        <v>123</v>
      </c>
      <c r="L57" s="68" t="s">
        <v>124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1.75" customHeight="1">
      <c r="B58" s="69" t="s">
        <v>125</v>
      </c>
      <c r="C58" s="70"/>
      <c r="D58" s="71">
        <f>COUNTIF(K17:K55,"BAJA")</f>
        <v>0</v>
      </c>
      <c r="E58" s="61"/>
      <c r="F58" s="61"/>
      <c r="H58" s="66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21.75" customHeight="1">
      <c r="B59" s="69" t="s">
        <v>126</v>
      </c>
      <c r="C59" s="70"/>
      <c r="D59" s="72">
        <f>D57-D58</f>
        <v>39</v>
      </c>
      <c r="E59" s="61"/>
      <c r="F59" s="61"/>
      <c r="G59" s="73"/>
      <c r="H59" s="74"/>
      <c r="I59" s="73"/>
      <c r="J59" s="73"/>
      <c r="K59" s="75"/>
      <c r="L59" s="7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9" t="s">
        <v>127</v>
      </c>
      <c r="C60" s="70"/>
      <c r="D60" s="77">
        <f>COUNTIF(K17:K55,"&gt;=6")</f>
        <v>0</v>
      </c>
      <c r="E60" s="61"/>
      <c r="F60" s="61"/>
      <c r="G60" s="73"/>
      <c r="H60" s="74"/>
      <c r="I60" s="73"/>
      <c r="J60" s="73"/>
      <c r="K60" s="75"/>
      <c r="L60" s="7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69" t="s">
        <v>128</v>
      </c>
      <c r="C61" s="70"/>
      <c r="D61" s="77">
        <f>D59-D60</f>
        <v>39</v>
      </c>
      <c r="E61" s="61"/>
      <c r="F61" s="61"/>
      <c r="G61" s="78"/>
      <c r="H61" s="74"/>
      <c r="I61" s="78"/>
      <c r="J61" s="78"/>
      <c r="K61" s="79"/>
      <c r="L61" s="8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7.75" customHeight="1">
      <c r="B62" s="69" t="s">
        <v>129</v>
      </c>
      <c r="C62" s="70"/>
      <c r="D62" s="81">
        <f>D60*100/D59</f>
        <v>0</v>
      </c>
      <c r="E62" s="61"/>
      <c r="F62" s="61"/>
      <c r="G62" s="82" t="s">
        <v>130</v>
      </c>
      <c r="H62" s="83"/>
      <c r="I62" s="84" t="s">
        <v>131</v>
      </c>
      <c r="K62" s="85" t="s">
        <v>132</v>
      </c>
      <c r="L62" s="86" t="s">
        <v>133</v>
      </c>
      <c r="M62" s="87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88" t="s">
        <v>134</v>
      </c>
      <c r="C63" s="89"/>
      <c r="D63" s="90">
        <f>AVERAGE(K17:K55)</f>
        <v>5</v>
      </c>
      <c r="E63" s="61"/>
      <c r="F63" s="61"/>
      <c r="H63" s="83"/>
      <c r="L63" s="1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3.5" customHeight="1">
      <c r="A64" s="6"/>
      <c r="B64" s="1"/>
      <c r="C64" s="1"/>
      <c r="D64" s="1"/>
      <c r="E64" s="1"/>
      <c r="F64" s="1"/>
      <c r="G64" s="1"/>
      <c r="H64" s="1"/>
      <c r="I64" s="1"/>
      <c r="J64" s="1"/>
      <c r="K64" s="1"/>
      <c r="L64" s="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3.5" customHeight="1">
      <c r="A65" s="91"/>
      <c r="B65" s="92"/>
      <c r="C65" s="93"/>
      <c r="D65" s="93"/>
      <c r="E65" s="61"/>
      <c r="H65" s="7"/>
      <c r="I65" s="7"/>
      <c r="J65" s="7"/>
      <c r="K65" s="7"/>
      <c r="L65" s="94"/>
      <c r="M65" s="9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3.5" customHeight="1">
      <c r="A66" s="96"/>
      <c r="B66" s="61"/>
      <c r="C66" s="61"/>
      <c r="D66" s="61"/>
      <c r="E66" s="7"/>
      <c r="F66" s="7"/>
      <c r="G66" s="1"/>
      <c r="H66" s="1"/>
      <c r="I66" s="1"/>
      <c r="J66" s="1"/>
      <c r="K66" s="1"/>
      <c r="L66" s="8"/>
      <c r="M66" s="97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96"/>
      <c r="B67" s="61"/>
      <c r="C67" s="61"/>
      <c r="D67" s="61"/>
      <c r="E67" s="7"/>
      <c r="F67" s="7"/>
      <c r="G67" s="1"/>
      <c r="H67" s="1"/>
      <c r="I67" s="1"/>
      <c r="J67" s="1"/>
      <c r="K67" s="1"/>
      <c r="L67" s="8"/>
      <c r="M67" s="97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8"/>
      <c r="B68" s="99"/>
      <c r="C68" s="99"/>
      <c r="D68" s="99"/>
      <c r="E68" s="100"/>
      <c r="F68" s="100"/>
      <c r="G68" s="101"/>
      <c r="H68" s="101"/>
      <c r="I68" s="101"/>
      <c r="J68" s="101"/>
      <c r="K68" s="101"/>
      <c r="L68" s="102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03"/>
      <c r="C69" s="103"/>
      <c r="D69" s="103"/>
      <c r="E69" s="103"/>
      <c r="F69" s="103"/>
      <c r="G69" s="1"/>
      <c r="H69" s="1"/>
      <c r="I69" s="1"/>
      <c r="J69" s="1"/>
      <c r="K69" s="104"/>
      <c r="L69" s="104"/>
      <c r="M69" s="10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03"/>
      <c r="C70" s="103"/>
      <c r="D70" s="103"/>
      <c r="E70" s="103"/>
      <c r="F70" s="103"/>
      <c r="G70" s="1"/>
      <c r="H70" s="1"/>
      <c r="I70" s="1"/>
      <c r="J70" s="1"/>
      <c r="K70" s="104"/>
      <c r="L70" s="104"/>
      <c r="M70" s="10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"/>
      <c r="L74" s="1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0 L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0 L18:L5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0 L18:L5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0 L18:L5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"/>
    </row>
    <row r="2" ht="15.0" customHeight="1">
      <c r="A2" s="107"/>
      <c r="B2" s="108"/>
      <c r="C2" s="108"/>
      <c r="D2" s="108"/>
      <c r="E2" s="109"/>
      <c r="F2" s="109"/>
      <c r="G2" s="109"/>
      <c r="H2" s="109"/>
      <c r="I2" s="109"/>
      <c r="J2" s="109"/>
      <c r="K2" s="109"/>
      <c r="L2" s="110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"/>
    </row>
    <row r="3" ht="15.0" customHeight="1">
      <c r="A3" s="111"/>
      <c r="B3" s="112"/>
      <c r="C3" s="112"/>
      <c r="D3" s="112"/>
      <c r="E3" s="106"/>
      <c r="F3" s="106"/>
      <c r="G3" s="106"/>
      <c r="H3" s="106"/>
      <c r="I3" s="106"/>
      <c r="J3" s="106"/>
      <c r="K3" s="106"/>
      <c r="L3" s="113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"/>
    </row>
    <row r="4" ht="15.0" customHeight="1">
      <c r="A4" s="111"/>
      <c r="B4" s="112"/>
      <c r="C4" s="112"/>
      <c r="D4" s="112"/>
      <c r="E4" s="106"/>
      <c r="F4" s="106"/>
      <c r="G4" s="106"/>
      <c r="H4" s="106"/>
      <c r="I4" s="106"/>
      <c r="J4" s="106"/>
      <c r="K4" s="106"/>
      <c r="L4" s="113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"/>
    </row>
    <row r="5" ht="15.0" customHeight="1">
      <c r="A5" s="111"/>
      <c r="B5" s="112"/>
      <c r="C5" s="112"/>
      <c r="D5" s="112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"/>
    </row>
    <row r="6" ht="15.0" customHeight="1">
      <c r="A6" s="111"/>
      <c r="B6" s="112"/>
      <c r="C6" s="112"/>
      <c r="D6" s="112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"/>
    </row>
    <row r="7" ht="15.0" customHeight="1">
      <c r="A7" s="111"/>
      <c r="B7" s="112"/>
      <c r="C7" s="112"/>
      <c r="D7" s="112"/>
      <c r="E7" s="106"/>
      <c r="F7" s="106"/>
      <c r="G7" s="106"/>
      <c r="H7" s="106"/>
      <c r="I7" s="106"/>
      <c r="J7" s="106"/>
      <c r="K7" s="106"/>
      <c r="L7" s="113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"/>
    </row>
    <row r="8" ht="9.75" customHeight="1">
      <c r="A8" s="111"/>
      <c r="B8" s="112"/>
      <c r="C8" s="112"/>
      <c r="D8" s="112"/>
      <c r="E8" s="106"/>
      <c r="F8" s="106"/>
      <c r="G8" s="106"/>
      <c r="H8" s="106"/>
      <c r="I8" s="106"/>
      <c r="J8" s="106"/>
      <c r="K8" s="106"/>
      <c r="L8" s="113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"/>
    </row>
    <row r="9" ht="23.25" customHeight="1">
      <c r="A9" s="114" t="s">
        <v>0</v>
      </c>
      <c r="L9" s="10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"/>
    </row>
    <row r="10" ht="9.75" customHeight="1">
      <c r="A10" s="111"/>
      <c r="B10" s="112"/>
      <c r="C10" s="112"/>
      <c r="D10" s="112"/>
      <c r="E10" s="115"/>
      <c r="L10" s="10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"/>
    </row>
    <row r="11" ht="19.5" customHeight="1">
      <c r="A11" s="111"/>
      <c r="B11" s="116" t="s">
        <v>1</v>
      </c>
      <c r="C11" s="112"/>
      <c r="D11" s="112"/>
      <c r="E11" s="106"/>
      <c r="F11" s="106"/>
      <c r="G11" s="106"/>
      <c r="H11" s="106"/>
      <c r="I11" s="106"/>
      <c r="J11" s="106"/>
      <c r="K11" s="106"/>
      <c r="L11" s="113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"/>
    </row>
    <row r="12" ht="12.75" customHeight="1">
      <c r="A12" s="111"/>
      <c r="B12" s="112"/>
      <c r="C12" s="112"/>
      <c r="D12" s="112"/>
      <c r="E12" s="106"/>
      <c r="F12" s="106"/>
      <c r="G12" s="106"/>
      <c r="H12" s="106"/>
      <c r="I12" s="106"/>
      <c r="J12" s="106"/>
      <c r="K12" s="106"/>
      <c r="L12" s="113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"/>
    </row>
    <row r="13" ht="32.25" customHeight="1">
      <c r="A13" s="117" t="s">
        <v>2</v>
      </c>
      <c r="B13" s="17"/>
      <c r="C13" s="118"/>
      <c r="D13" s="17"/>
      <c r="E13" s="19" t="s">
        <v>3</v>
      </c>
      <c r="F13" s="19" t="s">
        <v>4</v>
      </c>
      <c r="G13" s="20" t="s">
        <v>5</v>
      </c>
      <c r="H13" s="119" t="s">
        <v>6</v>
      </c>
      <c r="I13" s="120">
        <v>1.0</v>
      </c>
      <c r="J13" s="23" t="s">
        <v>7</v>
      </c>
      <c r="K13" s="24"/>
      <c r="L13" s="25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"/>
    </row>
    <row r="14" ht="35.25" customHeight="1">
      <c r="A14" s="121" t="s">
        <v>8</v>
      </c>
      <c r="B14" s="122" t="s">
        <v>147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"/>
    </row>
    <row r="15" ht="24.75" customHeight="1">
      <c r="A15" s="123" t="s">
        <v>13</v>
      </c>
      <c r="B15" s="124" t="s">
        <v>14</v>
      </c>
      <c r="C15" s="125" t="s">
        <v>15</v>
      </c>
      <c r="D15" s="125">
        <v>1.0</v>
      </c>
      <c r="E15" s="33"/>
      <c r="F15" s="33"/>
      <c r="G15" s="33"/>
      <c r="H15" s="40"/>
      <c r="I15" s="126"/>
      <c r="J15" s="127"/>
      <c r="K15" s="28"/>
      <c r="L15" s="43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"/>
    </row>
    <row r="16" ht="40.5" customHeight="1">
      <c r="A16" s="128" t="s">
        <v>16</v>
      </c>
      <c r="B16" s="129" t="s">
        <v>17</v>
      </c>
      <c r="C16" s="28"/>
      <c r="D16" s="29"/>
      <c r="E16" s="47"/>
      <c r="F16" s="47"/>
      <c r="G16" s="47"/>
      <c r="H16" s="130"/>
      <c r="I16" s="131" t="s">
        <v>18</v>
      </c>
      <c r="J16" s="132" t="s">
        <v>19</v>
      </c>
      <c r="K16" s="132" t="s">
        <v>20</v>
      </c>
      <c r="L16" s="133" t="s">
        <v>21</v>
      </c>
      <c r="M16" s="132" t="s">
        <v>20</v>
      </c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"/>
    </row>
    <row r="17" ht="24.75" customHeight="1">
      <c r="A17" s="134">
        <v>1.0</v>
      </c>
      <c r="B17" s="53" t="s">
        <v>22</v>
      </c>
      <c r="C17" s="53" t="s">
        <v>23</v>
      </c>
      <c r="D17" s="54" t="s">
        <v>24</v>
      </c>
      <c r="E17" s="135"/>
      <c r="F17" s="135"/>
      <c r="G17" s="135"/>
      <c r="H17" s="135"/>
      <c r="I17" s="136">
        <f t="shared" ref="I17:I55" si="1">SUM(E17:H17)</f>
        <v>0</v>
      </c>
      <c r="J17" s="137"/>
      <c r="K17" s="138">
        <f t="shared" ref="K17:K55" si="2">IF(M17&lt;6,5,M17)</f>
        <v>5</v>
      </c>
      <c r="L17" s="139"/>
      <c r="M17" s="140">
        <f t="shared" ref="M17:M55" si="3">IF(I17&gt;=6,ROUND(I17,0),TRUNC(I17,0))</f>
        <v>0</v>
      </c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"/>
    </row>
    <row r="18" ht="24.75" customHeight="1">
      <c r="A18" s="134">
        <v>2.0</v>
      </c>
      <c r="B18" s="53" t="s">
        <v>25</v>
      </c>
      <c r="C18" s="53" t="s">
        <v>26</v>
      </c>
      <c r="D18" s="54" t="s">
        <v>27</v>
      </c>
      <c r="E18" s="135"/>
      <c r="F18" s="135"/>
      <c r="G18" s="135"/>
      <c r="H18" s="135"/>
      <c r="I18" s="136">
        <f t="shared" si="1"/>
        <v>0</v>
      </c>
      <c r="J18" s="137"/>
      <c r="K18" s="138">
        <f t="shared" si="2"/>
        <v>5</v>
      </c>
      <c r="L18" s="137"/>
      <c r="M18" s="140">
        <f t="shared" si="3"/>
        <v>0</v>
      </c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"/>
    </row>
    <row r="19" ht="24.75" customHeight="1">
      <c r="A19" s="134">
        <v>3.0</v>
      </c>
      <c r="B19" s="53" t="s">
        <v>28</v>
      </c>
      <c r="C19" s="53" t="s">
        <v>29</v>
      </c>
      <c r="D19" s="54" t="s">
        <v>30</v>
      </c>
      <c r="E19" s="135"/>
      <c r="F19" s="135"/>
      <c r="G19" s="135"/>
      <c r="H19" s="135"/>
      <c r="I19" s="136">
        <f t="shared" si="1"/>
        <v>0</v>
      </c>
      <c r="J19" s="137"/>
      <c r="K19" s="138">
        <f t="shared" si="2"/>
        <v>5</v>
      </c>
      <c r="L19" s="137"/>
      <c r="M19" s="140">
        <f t="shared" si="3"/>
        <v>0</v>
      </c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"/>
    </row>
    <row r="20" ht="24.75" customHeight="1">
      <c r="A20" s="134">
        <v>4.0</v>
      </c>
      <c r="B20" s="53" t="s">
        <v>31</v>
      </c>
      <c r="C20" s="53" t="s">
        <v>32</v>
      </c>
      <c r="D20" s="54" t="s">
        <v>33</v>
      </c>
      <c r="E20" s="135"/>
      <c r="F20" s="135"/>
      <c r="G20" s="135"/>
      <c r="H20" s="135"/>
      <c r="I20" s="136">
        <f t="shared" si="1"/>
        <v>0</v>
      </c>
      <c r="J20" s="137"/>
      <c r="K20" s="138">
        <f t="shared" si="2"/>
        <v>5</v>
      </c>
      <c r="L20" s="137"/>
      <c r="M20" s="140">
        <f t="shared" si="3"/>
        <v>0</v>
      </c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"/>
    </row>
    <row r="21" ht="24.75" customHeight="1">
      <c r="A21" s="134">
        <v>5.0</v>
      </c>
      <c r="B21" s="53" t="s">
        <v>34</v>
      </c>
      <c r="C21" s="53" t="s">
        <v>35</v>
      </c>
      <c r="D21" s="54" t="s">
        <v>36</v>
      </c>
      <c r="E21" s="135"/>
      <c r="F21" s="135"/>
      <c r="G21" s="135"/>
      <c r="H21" s="135"/>
      <c r="I21" s="136">
        <f t="shared" si="1"/>
        <v>0</v>
      </c>
      <c r="J21" s="137"/>
      <c r="K21" s="138">
        <f t="shared" si="2"/>
        <v>5</v>
      </c>
      <c r="L21" s="137"/>
      <c r="M21" s="140">
        <f t="shared" si="3"/>
        <v>0</v>
      </c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"/>
    </row>
    <row r="22" ht="24.75" customHeight="1">
      <c r="A22" s="134">
        <v>6.0</v>
      </c>
      <c r="B22" s="53" t="s">
        <v>37</v>
      </c>
      <c r="C22" s="53" t="s">
        <v>38</v>
      </c>
      <c r="D22" s="54" t="s">
        <v>39</v>
      </c>
      <c r="E22" s="135"/>
      <c r="F22" s="135"/>
      <c r="G22" s="135"/>
      <c r="H22" s="135"/>
      <c r="I22" s="136">
        <f t="shared" si="1"/>
        <v>0</v>
      </c>
      <c r="J22" s="137"/>
      <c r="K22" s="138">
        <f t="shared" si="2"/>
        <v>5</v>
      </c>
      <c r="L22" s="137"/>
      <c r="M22" s="140">
        <f t="shared" si="3"/>
        <v>0</v>
      </c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"/>
    </row>
    <row r="23" ht="24.75" customHeight="1">
      <c r="A23" s="134">
        <v>7.0</v>
      </c>
      <c r="B23" s="53" t="s">
        <v>40</v>
      </c>
      <c r="C23" s="53" t="s">
        <v>41</v>
      </c>
      <c r="D23" s="54" t="s">
        <v>42</v>
      </c>
      <c r="E23" s="135"/>
      <c r="F23" s="135"/>
      <c r="G23" s="135"/>
      <c r="H23" s="135"/>
      <c r="I23" s="136">
        <f t="shared" si="1"/>
        <v>0</v>
      </c>
      <c r="J23" s="137"/>
      <c r="K23" s="138">
        <f t="shared" si="2"/>
        <v>5</v>
      </c>
      <c r="L23" s="137"/>
      <c r="M23" s="140">
        <f t="shared" si="3"/>
        <v>0</v>
      </c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"/>
    </row>
    <row r="24" ht="24.75" customHeight="1">
      <c r="A24" s="134">
        <v>8.0</v>
      </c>
      <c r="B24" s="53" t="s">
        <v>43</v>
      </c>
      <c r="C24" s="53" t="s">
        <v>44</v>
      </c>
      <c r="D24" s="54" t="s">
        <v>45</v>
      </c>
      <c r="E24" s="135"/>
      <c r="F24" s="135"/>
      <c r="G24" s="135"/>
      <c r="H24" s="135"/>
      <c r="I24" s="136">
        <f t="shared" si="1"/>
        <v>0</v>
      </c>
      <c r="J24" s="137"/>
      <c r="K24" s="138">
        <f t="shared" si="2"/>
        <v>5</v>
      </c>
      <c r="L24" s="137"/>
      <c r="M24" s="140">
        <f t="shared" si="3"/>
        <v>0</v>
      </c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"/>
    </row>
    <row r="25" ht="24.75" customHeight="1">
      <c r="A25" s="134">
        <v>9.0</v>
      </c>
      <c r="B25" s="53" t="s">
        <v>46</v>
      </c>
      <c r="C25" s="53" t="s">
        <v>47</v>
      </c>
      <c r="D25" s="54" t="s">
        <v>48</v>
      </c>
      <c r="E25" s="135"/>
      <c r="F25" s="135"/>
      <c r="G25" s="135"/>
      <c r="H25" s="135"/>
      <c r="I25" s="136">
        <f t="shared" si="1"/>
        <v>0</v>
      </c>
      <c r="J25" s="137"/>
      <c r="K25" s="138">
        <f t="shared" si="2"/>
        <v>5</v>
      </c>
      <c r="L25" s="137"/>
      <c r="M25" s="140">
        <f t="shared" si="3"/>
        <v>0</v>
      </c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"/>
    </row>
    <row r="26" ht="24.75" customHeight="1">
      <c r="A26" s="134">
        <v>10.0</v>
      </c>
      <c r="B26" s="53" t="s">
        <v>49</v>
      </c>
      <c r="C26" s="53" t="s">
        <v>50</v>
      </c>
      <c r="D26" s="54" t="s">
        <v>51</v>
      </c>
      <c r="E26" s="135"/>
      <c r="F26" s="135"/>
      <c r="G26" s="135"/>
      <c r="H26" s="135"/>
      <c r="I26" s="136">
        <f t="shared" si="1"/>
        <v>0</v>
      </c>
      <c r="J26" s="137"/>
      <c r="K26" s="138">
        <f t="shared" si="2"/>
        <v>5</v>
      </c>
      <c r="L26" s="137"/>
      <c r="M26" s="140">
        <f t="shared" si="3"/>
        <v>0</v>
      </c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"/>
    </row>
    <row r="27" ht="24.75" customHeight="1">
      <c r="A27" s="134">
        <v>11.0</v>
      </c>
      <c r="B27" s="53" t="s">
        <v>52</v>
      </c>
      <c r="C27" s="53" t="s">
        <v>46</v>
      </c>
      <c r="D27" s="54" t="s">
        <v>53</v>
      </c>
      <c r="E27" s="135"/>
      <c r="F27" s="135"/>
      <c r="G27" s="135"/>
      <c r="H27" s="135"/>
      <c r="I27" s="136">
        <f t="shared" si="1"/>
        <v>0</v>
      </c>
      <c r="J27" s="137"/>
      <c r="K27" s="138">
        <f t="shared" si="2"/>
        <v>5</v>
      </c>
      <c r="L27" s="137"/>
      <c r="M27" s="140">
        <f t="shared" si="3"/>
        <v>0</v>
      </c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"/>
    </row>
    <row r="28" ht="24.75" customHeight="1">
      <c r="A28" s="134">
        <v>12.0</v>
      </c>
      <c r="B28" s="53" t="s">
        <v>32</v>
      </c>
      <c r="C28" s="53" t="s">
        <v>32</v>
      </c>
      <c r="D28" s="54" t="s">
        <v>54</v>
      </c>
      <c r="E28" s="135"/>
      <c r="F28" s="135"/>
      <c r="G28" s="135"/>
      <c r="H28" s="135"/>
      <c r="I28" s="136">
        <f t="shared" si="1"/>
        <v>0</v>
      </c>
      <c r="J28" s="137"/>
      <c r="K28" s="138">
        <f t="shared" si="2"/>
        <v>5</v>
      </c>
      <c r="L28" s="137"/>
      <c r="M28" s="140">
        <f t="shared" si="3"/>
        <v>0</v>
      </c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"/>
    </row>
    <row r="29" ht="24.75" customHeight="1">
      <c r="A29" s="134">
        <v>13.0</v>
      </c>
      <c r="B29" s="53" t="s">
        <v>32</v>
      </c>
      <c r="C29" s="53" t="s">
        <v>55</v>
      </c>
      <c r="D29" s="54" t="s">
        <v>56</v>
      </c>
      <c r="E29" s="135"/>
      <c r="F29" s="135"/>
      <c r="G29" s="135"/>
      <c r="H29" s="135"/>
      <c r="I29" s="136">
        <f t="shared" si="1"/>
        <v>0</v>
      </c>
      <c r="J29" s="137"/>
      <c r="K29" s="138">
        <f t="shared" si="2"/>
        <v>5</v>
      </c>
      <c r="L29" s="137"/>
      <c r="M29" s="140">
        <f t="shared" si="3"/>
        <v>0</v>
      </c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"/>
    </row>
    <row r="30" ht="24.75" customHeight="1">
      <c r="A30" s="134">
        <v>14.0</v>
      </c>
      <c r="B30" s="53" t="s">
        <v>57</v>
      </c>
      <c r="C30" s="53" t="s">
        <v>49</v>
      </c>
      <c r="D30" s="54" t="s">
        <v>58</v>
      </c>
      <c r="E30" s="135"/>
      <c r="F30" s="135"/>
      <c r="G30" s="135"/>
      <c r="H30" s="135"/>
      <c r="I30" s="136">
        <f t="shared" si="1"/>
        <v>0</v>
      </c>
      <c r="J30" s="137"/>
      <c r="K30" s="138">
        <f t="shared" si="2"/>
        <v>5</v>
      </c>
      <c r="L30" s="137"/>
      <c r="M30" s="140">
        <f t="shared" si="3"/>
        <v>0</v>
      </c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"/>
    </row>
    <row r="31" ht="24.75" customHeight="1">
      <c r="A31" s="134">
        <v>15.0</v>
      </c>
      <c r="B31" s="53" t="s">
        <v>59</v>
      </c>
      <c r="C31" s="53" t="s">
        <v>60</v>
      </c>
      <c r="D31" s="54" t="s">
        <v>61</v>
      </c>
      <c r="E31" s="135"/>
      <c r="F31" s="135"/>
      <c r="G31" s="135"/>
      <c r="H31" s="135"/>
      <c r="I31" s="136">
        <f t="shared" si="1"/>
        <v>0</v>
      </c>
      <c r="J31" s="137"/>
      <c r="K31" s="138">
        <f t="shared" si="2"/>
        <v>5</v>
      </c>
      <c r="L31" s="137"/>
      <c r="M31" s="140">
        <f t="shared" si="3"/>
        <v>0</v>
      </c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"/>
    </row>
    <row r="32" ht="24.75" customHeight="1">
      <c r="A32" s="134">
        <v>16.0</v>
      </c>
      <c r="B32" s="53" t="s">
        <v>62</v>
      </c>
      <c r="C32" s="53" t="s">
        <v>37</v>
      </c>
      <c r="D32" s="54" t="s">
        <v>63</v>
      </c>
      <c r="E32" s="135"/>
      <c r="F32" s="135"/>
      <c r="G32" s="135"/>
      <c r="H32" s="135"/>
      <c r="I32" s="136">
        <f t="shared" si="1"/>
        <v>0</v>
      </c>
      <c r="J32" s="137"/>
      <c r="K32" s="138">
        <f t="shared" si="2"/>
        <v>5</v>
      </c>
      <c r="L32" s="137"/>
      <c r="M32" s="140">
        <f t="shared" si="3"/>
        <v>0</v>
      </c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"/>
    </row>
    <row r="33" ht="24.75" customHeight="1">
      <c r="A33" s="134">
        <v>17.0</v>
      </c>
      <c r="B33" s="53" t="s">
        <v>64</v>
      </c>
      <c r="C33" s="53" t="s">
        <v>65</v>
      </c>
      <c r="D33" s="54" t="s">
        <v>66</v>
      </c>
      <c r="E33" s="135"/>
      <c r="F33" s="135"/>
      <c r="G33" s="135"/>
      <c r="H33" s="135"/>
      <c r="I33" s="136">
        <f t="shared" si="1"/>
        <v>0</v>
      </c>
      <c r="J33" s="137"/>
      <c r="K33" s="138">
        <f t="shared" si="2"/>
        <v>5</v>
      </c>
      <c r="L33" s="137"/>
      <c r="M33" s="140">
        <f t="shared" si="3"/>
        <v>0</v>
      </c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"/>
    </row>
    <row r="34" ht="24.75" customHeight="1">
      <c r="A34" s="134">
        <v>18.0</v>
      </c>
      <c r="B34" s="53" t="s">
        <v>67</v>
      </c>
      <c r="C34" s="53" t="s">
        <v>68</v>
      </c>
      <c r="D34" s="54" t="s">
        <v>69</v>
      </c>
      <c r="E34" s="135"/>
      <c r="F34" s="135"/>
      <c r="G34" s="135"/>
      <c r="H34" s="135"/>
      <c r="I34" s="136">
        <f t="shared" si="1"/>
        <v>0</v>
      </c>
      <c r="J34" s="137"/>
      <c r="K34" s="138">
        <f t="shared" si="2"/>
        <v>5</v>
      </c>
      <c r="L34" s="137"/>
      <c r="M34" s="140">
        <f t="shared" si="3"/>
        <v>0</v>
      </c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"/>
    </row>
    <row r="35" ht="24.75" customHeight="1">
      <c r="A35" s="134">
        <v>19.0</v>
      </c>
      <c r="B35" s="53" t="s">
        <v>67</v>
      </c>
      <c r="C35" s="53" t="s">
        <v>43</v>
      </c>
      <c r="D35" s="54" t="s">
        <v>70</v>
      </c>
      <c r="E35" s="135"/>
      <c r="F35" s="135"/>
      <c r="G35" s="135"/>
      <c r="H35" s="135"/>
      <c r="I35" s="136">
        <f t="shared" si="1"/>
        <v>0</v>
      </c>
      <c r="J35" s="137"/>
      <c r="K35" s="138">
        <f t="shared" si="2"/>
        <v>5</v>
      </c>
      <c r="L35" s="137"/>
      <c r="M35" s="140">
        <f t="shared" si="3"/>
        <v>0</v>
      </c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"/>
    </row>
    <row r="36" ht="24.75" customHeight="1">
      <c r="A36" s="134">
        <v>20.0</v>
      </c>
      <c r="B36" s="53" t="s">
        <v>71</v>
      </c>
      <c r="C36" s="53" t="s">
        <v>72</v>
      </c>
      <c r="D36" s="54" t="s">
        <v>73</v>
      </c>
      <c r="E36" s="135"/>
      <c r="F36" s="135"/>
      <c r="G36" s="135"/>
      <c r="H36" s="135"/>
      <c r="I36" s="136">
        <f t="shared" si="1"/>
        <v>0</v>
      </c>
      <c r="J36" s="137"/>
      <c r="K36" s="138">
        <f t="shared" si="2"/>
        <v>5</v>
      </c>
      <c r="L36" s="137"/>
      <c r="M36" s="140">
        <f t="shared" si="3"/>
        <v>0</v>
      </c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"/>
    </row>
    <row r="37" ht="24.75" customHeight="1">
      <c r="A37" s="134">
        <v>21.0</v>
      </c>
      <c r="B37" s="53" t="s">
        <v>74</v>
      </c>
      <c r="C37" s="53" t="s">
        <v>41</v>
      </c>
      <c r="D37" s="54" t="s">
        <v>75</v>
      </c>
      <c r="E37" s="135"/>
      <c r="F37" s="135"/>
      <c r="G37" s="135"/>
      <c r="H37" s="135"/>
      <c r="I37" s="136">
        <f t="shared" si="1"/>
        <v>0</v>
      </c>
      <c r="J37" s="137"/>
      <c r="K37" s="138">
        <f t="shared" si="2"/>
        <v>5</v>
      </c>
      <c r="L37" s="137"/>
      <c r="M37" s="140">
        <f t="shared" si="3"/>
        <v>0</v>
      </c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"/>
    </row>
    <row r="38" ht="24.75" customHeight="1">
      <c r="A38" s="134">
        <v>22.0</v>
      </c>
      <c r="B38" s="53" t="s">
        <v>41</v>
      </c>
      <c r="C38" s="53" t="s">
        <v>76</v>
      </c>
      <c r="D38" s="54" t="s">
        <v>77</v>
      </c>
      <c r="E38" s="135"/>
      <c r="F38" s="135"/>
      <c r="G38" s="135"/>
      <c r="H38" s="135"/>
      <c r="I38" s="136">
        <f t="shared" si="1"/>
        <v>0</v>
      </c>
      <c r="J38" s="137"/>
      <c r="K38" s="138">
        <f t="shared" si="2"/>
        <v>5</v>
      </c>
      <c r="L38" s="137"/>
      <c r="M38" s="140">
        <f t="shared" si="3"/>
        <v>0</v>
      </c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"/>
    </row>
    <row r="39" ht="24.75" customHeight="1">
      <c r="A39" s="134">
        <v>23.0</v>
      </c>
      <c r="B39" s="53" t="s">
        <v>41</v>
      </c>
      <c r="C39" s="53" t="s">
        <v>78</v>
      </c>
      <c r="D39" s="54" t="s">
        <v>79</v>
      </c>
      <c r="E39" s="135"/>
      <c r="F39" s="135"/>
      <c r="G39" s="135"/>
      <c r="H39" s="135"/>
      <c r="I39" s="136">
        <f t="shared" si="1"/>
        <v>0</v>
      </c>
      <c r="J39" s="137"/>
      <c r="K39" s="138">
        <f t="shared" si="2"/>
        <v>5</v>
      </c>
      <c r="L39" s="137"/>
      <c r="M39" s="140">
        <f t="shared" si="3"/>
        <v>0</v>
      </c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"/>
    </row>
    <row r="40" ht="24.75" customHeight="1">
      <c r="A40" s="134">
        <v>24.0</v>
      </c>
      <c r="B40" s="53" t="s">
        <v>41</v>
      </c>
      <c r="C40" s="53" t="s">
        <v>80</v>
      </c>
      <c r="D40" s="54" t="s">
        <v>81</v>
      </c>
      <c r="E40" s="135"/>
      <c r="F40" s="135"/>
      <c r="G40" s="135"/>
      <c r="H40" s="135"/>
      <c r="I40" s="136">
        <f t="shared" si="1"/>
        <v>0</v>
      </c>
      <c r="J40" s="137"/>
      <c r="K40" s="138">
        <f t="shared" si="2"/>
        <v>5</v>
      </c>
      <c r="L40" s="137"/>
      <c r="M40" s="140">
        <f t="shared" si="3"/>
        <v>0</v>
      </c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"/>
    </row>
    <row r="41" ht="24.75" customHeight="1">
      <c r="A41" s="134">
        <v>25.0</v>
      </c>
      <c r="B41" s="53" t="s">
        <v>41</v>
      </c>
      <c r="C41" s="53" t="s">
        <v>82</v>
      </c>
      <c r="D41" s="54" t="s">
        <v>83</v>
      </c>
      <c r="E41" s="135"/>
      <c r="F41" s="135"/>
      <c r="G41" s="135"/>
      <c r="H41" s="135"/>
      <c r="I41" s="136">
        <f t="shared" si="1"/>
        <v>0</v>
      </c>
      <c r="J41" s="137"/>
      <c r="K41" s="138">
        <f t="shared" si="2"/>
        <v>5</v>
      </c>
      <c r="L41" s="137"/>
      <c r="M41" s="140">
        <f t="shared" si="3"/>
        <v>0</v>
      </c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"/>
    </row>
    <row r="42" ht="24.75" customHeight="1">
      <c r="A42" s="134">
        <v>26.0</v>
      </c>
      <c r="B42" s="53" t="s">
        <v>84</v>
      </c>
      <c r="C42" s="53" t="s">
        <v>85</v>
      </c>
      <c r="D42" s="54" t="s">
        <v>86</v>
      </c>
      <c r="E42" s="135"/>
      <c r="F42" s="135"/>
      <c r="G42" s="135"/>
      <c r="H42" s="135"/>
      <c r="I42" s="136">
        <f t="shared" si="1"/>
        <v>0</v>
      </c>
      <c r="J42" s="137"/>
      <c r="K42" s="138">
        <f t="shared" si="2"/>
        <v>5</v>
      </c>
      <c r="L42" s="137"/>
      <c r="M42" s="140">
        <f t="shared" si="3"/>
        <v>0</v>
      </c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"/>
    </row>
    <row r="43" ht="24.75" customHeight="1">
      <c r="A43" s="134">
        <v>27.0</v>
      </c>
      <c r="B43" s="53" t="s">
        <v>87</v>
      </c>
      <c r="C43" s="53" t="s">
        <v>46</v>
      </c>
      <c r="D43" s="54" t="s">
        <v>88</v>
      </c>
      <c r="E43" s="135"/>
      <c r="F43" s="135"/>
      <c r="G43" s="135"/>
      <c r="H43" s="135"/>
      <c r="I43" s="136">
        <f t="shared" si="1"/>
        <v>0</v>
      </c>
      <c r="J43" s="137"/>
      <c r="K43" s="138">
        <f t="shared" si="2"/>
        <v>5</v>
      </c>
      <c r="L43" s="137"/>
      <c r="M43" s="140">
        <f t="shared" si="3"/>
        <v>0</v>
      </c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"/>
    </row>
    <row r="44" ht="24.75" customHeight="1">
      <c r="A44" s="134">
        <v>28.0</v>
      </c>
      <c r="B44" s="53" t="s">
        <v>89</v>
      </c>
      <c r="C44" s="53" t="s">
        <v>90</v>
      </c>
      <c r="D44" s="54" t="s">
        <v>91</v>
      </c>
      <c r="E44" s="135"/>
      <c r="F44" s="135"/>
      <c r="G44" s="135"/>
      <c r="H44" s="135"/>
      <c r="I44" s="136">
        <f t="shared" si="1"/>
        <v>0</v>
      </c>
      <c r="J44" s="137"/>
      <c r="K44" s="138">
        <f t="shared" si="2"/>
        <v>5</v>
      </c>
      <c r="L44" s="137"/>
      <c r="M44" s="140">
        <f t="shared" si="3"/>
        <v>0</v>
      </c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"/>
    </row>
    <row r="45" ht="24.75" customHeight="1">
      <c r="A45" s="134">
        <v>29.0</v>
      </c>
      <c r="B45" s="53" t="s">
        <v>92</v>
      </c>
      <c r="C45" s="53" t="s">
        <v>93</v>
      </c>
      <c r="D45" s="54" t="s">
        <v>94</v>
      </c>
      <c r="E45" s="135"/>
      <c r="F45" s="135"/>
      <c r="G45" s="135"/>
      <c r="H45" s="135"/>
      <c r="I45" s="136">
        <f t="shared" si="1"/>
        <v>0</v>
      </c>
      <c r="J45" s="137"/>
      <c r="K45" s="138">
        <f t="shared" si="2"/>
        <v>5</v>
      </c>
      <c r="L45" s="137"/>
      <c r="M45" s="140">
        <f t="shared" si="3"/>
        <v>0</v>
      </c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"/>
    </row>
    <row r="46" ht="24.75" customHeight="1">
      <c r="A46" s="134">
        <v>30.0</v>
      </c>
      <c r="B46" s="53" t="s">
        <v>65</v>
      </c>
      <c r="C46" s="53" t="s">
        <v>41</v>
      </c>
      <c r="D46" s="54" t="s">
        <v>95</v>
      </c>
      <c r="E46" s="135"/>
      <c r="F46" s="135"/>
      <c r="G46" s="135"/>
      <c r="H46" s="135"/>
      <c r="I46" s="136">
        <f t="shared" si="1"/>
        <v>0</v>
      </c>
      <c r="J46" s="137"/>
      <c r="K46" s="138">
        <f t="shared" si="2"/>
        <v>5</v>
      </c>
      <c r="L46" s="137"/>
      <c r="M46" s="140">
        <f t="shared" si="3"/>
        <v>0</v>
      </c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"/>
    </row>
    <row r="47" ht="24.75" customHeight="1">
      <c r="A47" s="134">
        <v>31.0</v>
      </c>
      <c r="B47" s="53" t="s">
        <v>96</v>
      </c>
      <c r="C47" s="53" t="s">
        <v>57</v>
      </c>
      <c r="D47" s="54" t="s">
        <v>97</v>
      </c>
      <c r="E47" s="135"/>
      <c r="F47" s="135"/>
      <c r="G47" s="135"/>
      <c r="H47" s="135"/>
      <c r="I47" s="136">
        <f t="shared" si="1"/>
        <v>0</v>
      </c>
      <c r="J47" s="137"/>
      <c r="K47" s="138">
        <f t="shared" si="2"/>
        <v>5</v>
      </c>
      <c r="L47" s="137"/>
      <c r="M47" s="140">
        <f t="shared" si="3"/>
        <v>0</v>
      </c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"/>
    </row>
    <row r="48" ht="24.75" customHeight="1">
      <c r="A48" s="134">
        <v>32.0</v>
      </c>
      <c r="B48" s="53" t="s">
        <v>98</v>
      </c>
      <c r="C48" s="53" t="s">
        <v>99</v>
      </c>
      <c r="D48" s="54" t="s">
        <v>100</v>
      </c>
      <c r="E48" s="135"/>
      <c r="F48" s="135"/>
      <c r="G48" s="135"/>
      <c r="H48" s="135"/>
      <c r="I48" s="136">
        <f t="shared" si="1"/>
        <v>0</v>
      </c>
      <c r="J48" s="137"/>
      <c r="K48" s="138">
        <f t="shared" si="2"/>
        <v>5</v>
      </c>
      <c r="L48" s="137"/>
      <c r="M48" s="140">
        <f t="shared" si="3"/>
        <v>0</v>
      </c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"/>
    </row>
    <row r="49" ht="24.75" customHeight="1">
      <c r="A49" s="134">
        <v>33.0</v>
      </c>
      <c r="B49" s="53" t="s">
        <v>101</v>
      </c>
      <c r="C49" s="53" t="s">
        <v>102</v>
      </c>
      <c r="D49" s="54" t="s">
        <v>103</v>
      </c>
      <c r="E49" s="135"/>
      <c r="F49" s="135"/>
      <c r="G49" s="135"/>
      <c r="H49" s="135"/>
      <c r="I49" s="136">
        <f t="shared" si="1"/>
        <v>0</v>
      </c>
      <c r="J49" s="137"/>
      <c r="K49" s="138">
        <f t="shared" si="2"/>
        <v>5</v>
      </c>
      <c r="L49" s="137"/>
      <c r="M49" s="140">
        <f t="shared" si="3"/>
        <v>0</v>
      </c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"/>
    </row>
    <row r="50" ht="24.75" customHeight="1">
      <c r="A50" s="134">
        <v>34.0</v>
      </c>
      <c r="B50" s="53" t="s">
        <v>104</v>
      </c>
      <c r="C50" s="53" t="s">
        <v>105</v>
      </c>
      <c r="D50" s="54" t="s">
        <v>106</v>
      </c>
      <c r="E50" s="135"/>
      <c r="F50" s="135"/>
      <c r="G50" s="135"/>
      <c r="H50" s="135"/>
      <c r="I50" s="136">
        <f t="shared" si="1"/>
        <v>0</v>
      </c>
      <c r="J50" s="137"/>
      <c r="K50" s="138">
        <f t="shared" si="2"/>
        <v>5</v>
      </c>
      <c r="L50" s="137"/>
      <c r="M50" s="140">
        <f t="shared" si="3"/>
        <v>0</v>
      </c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"/>
    </row>
    <row r="51" ht="24.75" customHeight="1">
      <c r="A51" s="134">
        <v>35.0</v>
      </c>
      <c r="B51" s="53" t="s">
        <v>72</v>
      </c>
      <c r="C51" s="53" t="s">
        <v>107</v>
      </c>
      <c r="D51" s="54" t="s">
        <v>108</v>
      </c>
      <c r="E51" s="135"/>
      <c r="F51" s="135"/>
      <c r="G51" s="135"/>
      <c r="H51" s="135"/>
      <c r="I51" s="136">
        <f t="shared" si="1"/>
        <v>0</v>
      </c>
      <c r="J51" s="137"/>
      <c r="K51" s="138">
        <f t="shared" si="2"/>
        <v>5</v>
      </c>
      <c r="L51" s="137"/>
      <c r="M51" s="140">
        <f t="shared" si="3"/>
        <v>0</v>
      </c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"/>
    </row>
    <row r="52" ht="24.75" customHeight="1">
      <c r="A52" s="134">
        <v>36.0</v>
      </c>
      <c r="B52" s="53" t="s">
        <v>109</v>
      </c>
      <c r="C52" s="53" t="s">
        <v>110</v>
      </c>
      <c r="D52" s="54" t="s">
        <v>111</v>
      </c>
      <c r="E52" s="135"/>
      <c r="F52" s="135"/>
      <c r="G52" s="135"/>
      <c r="H52" s="135"/>
      <c r="I52" s="136">
        <f t="shared" si="1"/>
        <v>0</v>
      </c>
      <c r="J52" s="137"/>
      <c r="K52" s="138">
        <f t="shared" si="2"/>
        <v>5</v>
      </c>
      <c r="L52" s="137"/>
      <c r="M52" s="141">
        <f t="shared" si="3"/>
        <v>0</v>
      </c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"/>
    </row>
    <row r="53" ht="24.75" customHeight="1">
      <c r="A53" s="134">
        <v>37.0</v>
      </c>
      <c r="B53" s="53" t="s">
        <v>112</v>
      </c>
      <c r="C53" s="53" t="s">
        <v>113</v>
      </c>
      <c r="D53" s="54" t="s">
        <v>114</v>
      </c>
      <c r="E53" s="135"/>
      <c r="F53" s="135"/>
      <c r="G53" s="135"/>
      <c r="H53" s="135"/>
      <c r="I53" s="136">
        <f t="shared" si="1"/>
        <v>0</v>
      </c>
      <c r="J53" s="137"/>
      <c r="K53" s="138">
        <f t="shared" si="2"/>
        <v>5</v>
      </c>
      <c r="L53" s="137"/>
      <c r="M53" s="141">
        <f t="shared" si="3"/>
        <v>0</v>
      </c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"/>
    </row>
    <row r="54" ht="24.75" customHeight="1">
      <c r="A54" s="134">
        <v>38.0</v>
      </c>
      <c r="B54" s="53" t="s">
        <v>115</v>
      </c>
      <c r="C54" s="53" t="s">
        <v>116</v>
      </c>
      <c r="D54" s="54" t="s">
        <v>117</v>
      </c>
      <c r="E54" s="135"/>
      <c r="F54" s="135"/>
      <c r="G54" s="135"/>
      <c r="H54" s="135"/>
      <c r="I54" s="136">
        <f t="shared" si="1"/>
        <v>0</v>
      </c>
      <c r="J54" s="137"/>
      <c r="K54" s="138">
        <f t="shared" si="2"/>
        <v>5</v>
      </c>
      <c r="L54" s="137"/>
      <c r="M54" s="141">
        <f t="shared" si="3"/>
        <v>0</v>
      </c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"/>
    </row>
    <row r="55" ht="24.75" customHeight="1">
      <c r="A55" s="134">
        <v>39.0</v>
      </c>
      <c r="B55" s="53" t="s">
        <v>118</v>
      </c>
      <c r="C55" s="53" t="s">
        <v>35</v>
      </c>
      <c r="D55" s="54" t="s">
        <v>119</v>
      </c>
      <c r="E55" s="135"/>
      <c r="F55" s="135"/>
      <c r="G55" s="135"/>
      <c r="H55" s="135"/>
      <c r="I55" s="136">
        <f t="shared" si="1"/>
        <v>0</v>
      </c>
      <c r="J55" s="137"/>
      <c r="K55" s="138">
        <f t="shared" si="2"/>
        <v>5</v>
      </c>
      <c r="L55" s="137"/>
      <c r="M55" s="141">
        <f t="shared" si="3"/>
        <v>0</v>
      </c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"/>
    </row>
    <row r="56" ht="24.75" customHeight="1">
      <c r="A56" s="111"/>
      <c r="B56" s="142"/>
      <c r="C56" s="142"/>
      <c r="D56" s="112"/>
      <c r="E56" s="143"/>
      <c r="F56" s="143"/>
      <c r="G56" s="143"/>
      <c r="H56" s="143"/>
      <c r="I56" s="143"/>
      <c r="J56" s="112"/>
      <c r="K56" s="144"/>
      <c r="L56" s="113"/>
      <c r="M56" s="144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"/>
    </row>
    <row r="57" ht="24.75" customHeight="1">
      <c r="A57" s="106"/>
      <c r="B57" s="145" t="s">
        <v>120</v>
      </c>
      <c r="C57" s="64"/>
      <c r="D57" s="146">
        <f>COUNT(A17:A55)</f>
        <v>39</v>
      </c>
      <c r="E57" s="143"/>
      <c r="F57" s="143"/>
      <c r="G57" s="147" t="s">
        <v>121</v>
      </c>
      <c r="H57" s="143"/>
      <c r="I57" s="147" t="s">
        <v>122</v>
      </c>
      <c r="K57" s="148" t="s">
        <v>123</v>
      </c>
      <c r="L57" s="149" t="s">
        <v>124</v>
      </c>
      <c r="M57" s="144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"/>
    </row>
    <row r="58" ht="24.75" customHeight="1">
      <c r="A58" s="106"/>
      <c r="B58" s="150" t="s">
        <v>125</v>
      </c>
      <c r="C58" s="70"/>
      <c r="D58" s="151">
        <f>COUNTIF(K17:K55,"BAJA")</f>
        <v>0</v>
      </c>
      <c r="E58" s="143"/>
      <c r="F58" s="143"/>
      <c r="H58" s="143"/>
      <c r="L58" s="10"/>
      <c r="M58" s="144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"/>
    </row>
    <row r="59" ht="24.75" customHeight="1">
      <c r="A59" s="106"/>
      <c r="B59" s="150" t="s">
        <v>126</v>
      </c>
      <c r="C59" s="70"/>
      <c r="D59" s="152">
        <f>D57-D58</f>
        <v>39</v>
      </c>
      <c r="E59" s="143"/>
      <c r="F59" s="143"/>
      <c r="G59" s="143"/>
      <c r="H59" s="143"/>
      <c r="I59" s="143"/>
      <c r="J59" s="112"/>
      <c r="K59" s="144"/>
      <c r="L59" s="113"/>
      <c r="M59" s="144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"/>
    </row>
    <row r="60" ht="24.75" customHeight="1">
      <c r="A60" s="106"/>
      <c r="B60" s="150" t="s">
        <v>127</v>
      </c>
      <c r="C60" s="70"/>
      <c r="D60" s="153">
        <f>COUNTIF(K17:K55,"&gt;=6")</f>
        <v>0</v>
      </c>
      <c r="E60" s="143"/>
      <c r="F60" s="143"/>
      <c r="G60" s="143"/>
      <c r="H60" s="143"/>
      <c r="I60" s="143"/>
      <c r="J60" s="112"/>
      <c r="K60" s="144"/>
      <c r="L60" s="113"/>
      <c r="M60" s="144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"/>
    </row>
    <row r="61" ht="13.5" customHeight="1">
      <c r="A61" s="106"/>
      <c r="B61" s="154" t="s">
        <v>128</v>
      </c>
      <c r="C61" s="70"/>
      <c r="D61" s="153">
        <f>D59-D60</f>
        <v>39</v>
      </c>
      <c r="E61" s="112"/>
      <c r="F61" s="112"/>
      <c r="G61" s="155"/>
      <c r="H61" s="112"/>
      <c r="I61" s="155"/>
      <c r="J61" s="155"/>
      <c r="K61" s="156"/>
      <c r="L61" s="157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"/>
    </row>
    <row r="62" ht="21.75" customHeight="1">
      <c r="A62" s="106"/>
      <c r="B62" s="154" t="s">
        <v>129</v>
      </c>
      <c r="C62" s="70"/>
      <c r="D62" s="158">
        <f>D60*100/D59</f>
        <v>0</v>
      </c>
      <c r="E62" s="112"/>
      <c r="F62" s="112"/>
      <c r="G62" s="159" t="s">
        <v>130</v>
      </c>
      <c r="H62" s="115"/>
      <c r="I62" s="84" t="s">
        <v>131</v>
      </c>
      <c r="K62" s="85" t="s">
        <v>132</v>
      </c>
      <c r="L62" s="86" t="s">
        <v>133</v>
      </c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"/>
    </row>
    <row r="63" ht="21.75" customHeight="1">
      <c r="A63" s="106"/>
      <c r="B63" s="160" t="s">
        <v>134</v>
      </c>
      <c r="C63" s="89"/>
      <c r="D63" s="161">
        <f>AVERAGE(K17:K55)</f>
        <v>5</v>
      </c>
      <c r="E63" s="112"/>
      <c r="F63" s="112"/>
      <c r="H63" s="115"/>
      <c r="L63" s="10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"/>
    </row>
    <row r="64" ht="21.75" customHeight="1">
      <c r="A64" s="111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"/>
    </row>
    <row r="65" ht="21.75" customHeight="1">
      <c r="A65" s="162"/>
      <c r="B65" s="163"/>
      <c r="C65" s="164"/>
      <c r="D65" s="165"/>
      <c r="E65" s="112"/>
      <c r="H65" s="112"/>
      <c r="I65" s="112"/>
      <c r="J65" s="112"/>
      <c r="K65" s="112"/>
      <c r="L65" s="166"/>
      <c r="M65" s="112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"/>
    </row>
    <row r="66" ht="21.75" customHeight="1">
      <c r="A66" s="167"/>
      <c r="B66" s="112"/>
      <c r="C66" s="112"/>
      <c r="D66" s="142"/>
      <c r="E66" s="112"/>
      <c r="F66" s="112"/>
      <c r="G66" s="106"/>
      <c r="H66" s="106"/>
      <c r="I66" s="106"/>
      <c r="J66" s="106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"/>
    </row>
    <row r="67" ht="27.75" customHeight="1">
      <c r="A67" s="167"/>
      <c r="B67" s="112"/>
      <c r="C67" s="112"/>
      <c r="D67" s="168"/>
      <c r="E67" s="112"/>
      <c r="F67" s="112"/>
      <c r="G67" s="106"/>
      <c r="H67" s="106"/>
      <c r="I67" s="106"/>
      <c r="J67" s="106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"/>
    </row>
    <row r="68" ht="21.75" customHeight="1">
      <c r="A68" s="169"/>
      <c r="B68" s="170"/>
      <c r="C68" s="170"/>
      <c r="D68" s="171"/>
      <c r="E68" s="170"/>
      <c r="F68" s="170"/>
      <c r="G68" s="172"/>
      <c r="H68" s="172"/>
      <c r="I68" s="172"/>
      <c r="J68" s="172"/>
      <c r="K68" s="172"/>
      <c r="L68" s="17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"/>
    </row>
    <row r="69" ht="13.5" customHeight="1">
      <c r="A69" s="106"/>
      <c r="B69" s="112"/>
      <c r="C69" s="112"/>
      <c r="D69" s="112"/>
      <c r="E69" s="112"/>
      <c r="F69" s="112"/>
      <c r="G69" s="106"/>
      <c r="H69" s="106"/>
      <c r="I69" s="106"/>
      <c r="J69" s="106"/>
      <c r="K69" s="115"/>
      <c r="L69" s="115"/>
      <c r="M69" s="115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"/>
    </row>
    <row r="70" ht="13.5" customHeight="1">
      <c r="A70" s="106"/>
      <c r="B70" s="112"/>
      <c r="C70" s="112"/>
      <c r="D70" s="112"/>
      <c r="E70" s="112"/>
      <c r="F70" s="112"/>
      <c r="G70" s="106"/>
      <c r="H70" s="106"/>
      <c r="I70" s="106"/>
      <c r="J70" s="106"/>
      <c r="K70" s="115"/>
      <c r="L70" s="115"/>
      <c r="M70" s="115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"/>
    </row>
    <row r="71" ht="13.5" customHeight="1">
      <c r="A71" s="106"/>
      <c r="B71" s="112"/>
      <c r="C71" s="112"/>
      <c r="D71" s="112"/>
      <c r="E71" s="112"/>
      <c r="F71" s="112"/>
      <c r="G71" s="106"/>
      <c r="H71" s="106"/>
      <c r="I71" s="106"/>
      <c r="J71" s="106"/>
      <c r="K71" s="115"/>
      <c r="L71" s="115"/>
      <c r="M71" s="115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"/>
    </row>
    <row r="72" ht="13.5" customHeight="1">
      <c r="A72" s="106"/>
      <c r="B72" s="112"/>
      <c r="C72" s="112"/>
      <c r="D72" s="112"/>
      <c r="E72" s="112"/>
      <c r="F72" s="112"/>
      <c r="G72" s="106"/>
      <c r="H72" s="106"/>
      <c r="I72" s="106"/>
      <c r="J72" s="106"/>
      <c r="K72" s="115"/>
      <c r="L72" s="115"/>
      <c r="M72" s="115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"/>
    </row>
    <row r="73" ht="13.5" customHeight="1">
      <c r="A73" s="106"/>
      <c r="B73" s="112"/>
      <c r="C73" s="112"/>
      <c r="D73" s="112"/>
      <c r="E73" s="112"/>
      <c r="F73" s="112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"/>
    </row>
    <row r="74" ht="14.25" customHeight="1">
      <c r="A74" s="106"/>
      <c r="B74" s="112"/>
      <c r="C74" s="112"/>
      <c r="D74" s="112"/>
      <c r="E74" s="112"/>
      <c r="F74" s="112"/>
      <c r="G74" s="106"/>
      <c r="H74" s="106"/>
      <c r="I74" s="106"/>
      <c r="J74" s="106"/>
      <c r="K74" s="106"/>
      <c r="L74" s="144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"/>
    </row>
    <row r="75" ht="14.25" customHeight="1">
      <c r="A75" s="106"/>
      <c r="B75" s="112"/>
      <c r="C75" s="112"/>
      <c r="D75" s="112"/>
      <c r="E75" s="112"/>
      <c r="F75" s="112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"/>
    </row>
    <row r="76" ht="14.25" customHeight="1">
      <c r="A76" s="106"/>
      <c r="B76" s="112"/>
      <c r="C76" s="112"/>
      <c r="D76" s="112"/>
      <c r="E76" s="112"/>
      <c r="F76" s="112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"/>
    </row>
    <row r="77" ht="14.25" customHeight="1">
      <c r="A77" s="106"/>
      <c r="B77" s="112"/>
      <c r="C77" s="112"/>
      <c r="D77" s="112"/>
      <c r="E77" s="112"/>
      <c r="F77" s="112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"/>
    </row>
    <row r="78" ht="14.25" customHeight="1">
      <c r="A78" s="106"/>
      <c r="B78" s="112"/>
      <c r="C78" s="112"/>
      <c r="D78" s="112"/>
      <c r="E78" s="112"/>
      <c r="F78" s="112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"/>
    </row>
    <row r="79" ht="14.25" customHeight="1">
      <c r="A79" s="106"/>
      <c r="B79" s="112"/>
      <c r="C79" s="112"/>
      <c r="D79" s="112"/>
      <c r="E79" s="112"/>
      <c r="F79" s="112"/>
      <c r="G79" s="106"/>
      <c r="H79" s="106"/>
      <c r="I79" s="106"/>
      <c r="J79" s="106"/>
      <c r="K79" s="106"/>
      <c r="L79" s="144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"/>
    </row>
    <row r="80" ht="14.25" customHeight="1">
      <c r="A80" s="106"/>
      <c r="B80" s="112"/>
      <c r="C80" s="112"/>
      <c r="D80" s="112"/>
      <c r="E80" s="112"/>
      <c r="F80" s="112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"/>
    </row>
    <row r="81" ht="14.2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"/>
    </row>
    <row r="82" ht="14.2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"/>
    </row>
    <row r="83" ht="14.2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"/>
    </row>
    <row r="84" ht="14.2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"/>
    </row>
    <row r="85" ht="14.2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"/>
    </row>
    <row r="86" ht="13.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"/>
    </row>
    <row r="87" ht="13.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"/>
    </row>
    <row r="88" ht="13.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"/>
    </row>
    <row r="89" ht="13.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"/>
    </row>
    <row r="90" ht="13.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"/>
    </row>
    <row r="91" ht="13.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"/>
    </row>
    <row r="92" ht="13.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"/>
    </row>
    <row r="93" ht="13.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"/>
    </row>
    <row r="94" ht="13.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"/>
    </row>
    <row r="95" ht="13.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"/>
    </row>
    <row r="96" ht="13.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"/>
    </row>
    <row r="97" ht="13.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"/>
    </row>
    <row r="98" ht="13.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"/>
    </row>
    <row r="99" ht="13.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"/>
    </row>
    <row r="100" ht="13.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"/>
    </row>
    <row r="101" ht="13.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"/>
    </row>
    <row r="102" ht="13.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"/>
    </row>
    <row r="103" ht="13.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"/>
    </row>
    <row r="104" ht="13.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"/>
    </row>
    <row r="105" ht="13.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"/>
    </row>
    <row r="106" ht="13.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"/>
    </row>
    <row r="107" ht="13.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"/>
    </row>
    <row r="108" ht="13.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"/>
    </row>
    <row r="109" ht="13.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"/>
    </row>
    <row r="110" ht="13.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"/>
    </row>
    <row r="111" ht="13.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"/>
    </row>
    <row r="112" ht="13.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"/>
    </row>
    <row r="113" ht="13.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"/>
    </row>
    <row r="114" ht="13.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"/>
    </row>
    <row r="115" ht="13.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"/>
    </row>
    <row r="116" ht="13.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"/>
    </row>
    <row r="117" ht="13.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"/>
    </row>
    <row r="118" ht="13.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"/>
    </row>
    <row r="119" ht="13.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"/>
    </row>
    <row r="120" ht="13.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"/>
    </row>
    <row r="121" ht="13.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"/>
    </row>
    <row r="122" ht="13.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"/>
    </row>
    <row r="123" ht="13.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"/>
    </row>
    <row r="124" ht="13.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"/>
    </row>
    <row r="125" ht="13.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"/>
    </row>
    <row r="126" ht="13.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"/>
    </row>
    <row r="127" ht="13.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"/>
    </row>
    <row r="128" ht="13.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"/>
    </row>
    <row r="129" ht="13.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"/>
    </row>
    <row r="130" ht="13.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"/>
    </row>
    <row r="131" ht="13.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"/>
    </row>
    <row r="132" ht="13.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"/>
    </row>
    <row r="133" ht="13.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"/>
    </row>
    <row r="134" ht="13.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"/>
    </row>
    <row r="135" ht="13.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"/>
    </row>
    <row r="136" ht="13.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"/>
    </row>
    <row r="137" ht="13.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"/>
    </row>
    <row r="138" ht="13.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"/>
    </row>
    <row r="139" ht="13.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"/>
    </row>
    <row r="140" ht="13.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"/>
    </row>
    <row r="141" ht="13.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"/>
    </row>
    <row r="142" ht="13.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"/>
    </row>
    <row r="143" ht="13.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"/>
    </row>
    <row r="144" ht="13.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"/>
    </row>
    <row r="145" ht="13.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"/>
    </row>
    <row r="146" ht="13.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"/>
    </row>
    <row r="147" ht="13.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"/>
    </row>
    <row r="148" ht="13.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"/>
    </row>
    <row r="149" ht="13.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"/>
    </row>
    <row r="150" ht="13.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"/>
    </row>
    <row r="151" ht="13.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"/>
    </row>
    <row r="152" ht="13.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"/>
    </row>
    <row r="153" ht="13.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"/>
    </row>
    <row r="154" ht="13.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"/>
    </row>
    <row r="155" ht="13.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"/>
    </row>
    <row r="156" ht="13.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"/>
    </row>
    <row r="157" ht="13.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"/>
    </row>
    <row r="158" ht="13.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"/>
    </row>
    <row r="159" ht="13.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"/>
    </row>
    <row r="160" ht="13.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"/>
    </row>
    <row r="161" ht="13.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"/>
    </row>
    <row r="162" ht="13.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"/>
    </row>
    <row r="163" ht="13.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"/>
    </row>
    <row r="164" ht="13.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"/>
    </row>
    <row r="165" ht="13.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"/>
    </row>
    <row r="166" ht="13.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"/>
    </row>
    <row r="167" ht="13.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"/>
    </row>
    <row r="168" ht="13.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"/>
    </row>
    <row r="169" ht="13.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"/>
    </row>
    <row r="170" ht="13.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"/>
    </row>
    <row r="171" ht="13.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"/>
    </row>
    <row r="172" ht="13.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"/>
    </row>
    <row r="173" ht="13.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"/>
    </row>
    <row r="174" ht="13.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"/>
    </row>
    <row r="175" ht="13.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"/>
    </row>
    <row r="176" ht="13.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"/>
    </row>
    <row r="177" ht="13.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"/>
    </row>
    <row r="178" ht="13.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"/>
    </row>
    <row r="179" ht="13.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"/>
    </row>
    <row r="180" ht="13.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"/>
    </row>
    <row r="181" ht="13.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"/>
    </row>
    <row r="182" ht="13.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"/>
    </row>
    <row r="183" ht="13.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"/>
    </row>
    <row r="184" ht="13.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"/>
    </row>
    <row r="185" ht="13.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"/>
    </row>
    <row r="186" ht="13.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"/>
    </row>
    <row r="187" ht="13.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"/>
    </row>
    <row r="188" ht="13.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"/>
    </row>
    <row r="189" ht="13.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"/>
    </row>
    <row r="190" ht="13.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"/>
    </row>
    <row r="191" ht="13.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"/>
    </row>
    <row r="192" ht="13.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"/>
    </row>
    <row r="193" ht="13.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"/>
    </row>
    <row r="194" ht="13.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"/>
    </row>
    <row r="195" ht="13.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"/>
    </row>
    <row r="196" ht="13.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"/>
    </row>
    <row r="197" ht="13.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"/>
    </row>
    <row r="198" ht="13.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"/>
    </row>
    <row r="199" ht="13.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"/>
    </row>
    <row r="200" ht="13.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"/>
    </row>
    <row r="201" ht="13.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"/>
    </row>
    <row r="202" ht="13.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"/>
    </row>
    <row r="203" ht="13.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"/>
    </row>
    <row r="204" ht="13.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"/>
    </row>
    <row r="205" ht="13.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"/>
    </row>
    <row r="206" ht="13.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"/>
    </row>
    <row r="207" ht="13.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"/>
    </row>
    <row r="208" ht="13.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"/>
    </row>
    <row r="209" ht="13.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"/>
    </row>
    <row r="210" ht="13.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"/>
    </row>
    <row r="211" ht="13.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"/>
    </row>
    <row r="212" ht="13.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"/>
    </row>
    <row r="213" ht="13.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"/>
    </row>
    <row r="214" ht="13.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"/>
    </row>
    <row r="215" ht="13.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"/>
    </row>
    <row r="216" ht="13.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"/>
    </row>
    <row r="217" ht="13.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"/>
    </row>
    <row r="218" ht="13.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"/>
    </row>
    <row r="219" ht="13.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"/>
    </row>
    <row r="220" ht="13.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"/>
    </row>
    <row r="221" ht="13.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"/>
    </row>
    <row r="222" ht="13.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"/>
    </row>
    <row r="223" ht="13.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"/>
    </row>
    <row r="224" ht="13.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"/>
    </row>
    <row r="225" ht="13.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"/>
    </row>
    <row r="226" ht="13.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"/>
    </row>
    <row r="227" ht="13.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"/>
    </row>
    <row r="228" ht="13.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"/>
    </row>
    <row r="229" ht="13.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"/>
    </row>
    <row r="230" ht="13.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"/>
    </row>
    <row r="231" ht="13.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"/>
    </row>
    <row r="232" ht="13.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"/>
    </row>
    <row r="233" ht="13.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"/>
    </row>
    <row r="234" ht="13.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"/>
    </row>
    <row r="235" ht="13.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"/>
    </row>
    <row r="236" ht="13.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"/>
    </row>
    <row r="237" ht="13.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"/>
    </row>
    <row r="238" ht="13.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"/>
    </row>
    <row r="239" ht="13.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"/>
    </row>
    <row r="240" ht="13.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"/>
    </row>
    <row r="241" ht="13.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"/>
    </row>
    <row r="242" ht="13.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"/>
    </row>
    <row r="243" ht="13.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"/>
    </row>
    <row r="244" ht="13.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"/>
    </row>
    <row r="245" ht="13.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"/>
    </row>
    <row r="246" ht="13.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"/>
    </row>
    <row r="247" ht="13.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"/>
    </row>
    <row r="248" ht="13.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"/>
    </row>
    <row r="249" ht="13.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"/>
    </row>
    <row r="250" ht="13.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"/>
    </row>
    <row r="251" ht="13.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"/>
    </row>
    <row r="252" ht="13.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"/>
    </row>
    <row r="253" ht="13.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"/>
    </row>
    <row r="254" ht="13.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"/>
    </row>
    <row r="255" ht="13.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"/>
    </row>
    <row r="256" ht="13.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"/>
    </row>
    <row r="257" ht="13.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"/>
    </row>
    <row r="258" ht="13.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"/>
    </row>
    <row r="259" ht="13.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"/>
    </row>
    <row r="260" ht="13.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"/>
    </row>
    <row r="261" ht="13.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"/>
    </row>
    <row r="262" ht="13.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"/>
    </row>
    <row r="263" ht="13.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9">
    <mergeCell ref="F14:F15"/>
    <mergeCell ref="G14:G15"/>
    <mergeCell ref="G57:G58"/>
    <mergeCell ref="I57:J58"/>
    <mergeCell ref="K57:K58"/>
    <mergeCell ref="L57:L58"/>
    <mergeCell ref="A9:L9"/>
    <mergeCell ref="E10:L10"/>
    <mergeCell ref="A13:B13"/>
    <mergeCell ref="C13:D13"/>
    <mergeCell ref="H13:H15"/>
    <mergeCell ref="I13:I14"/>
    <mergeCell ref="J13:L14"/>
    <mergeCell ref="J15:L15"/>
    <mergeCell ref="B61:C61"/>
    <mergeCell ref="B62:C62"/>
    <mergeCell ref="G62:G63"/>
    <mergeCell ref="I62:J63"/>
    <mergeCell ref="K62:K63"/>
    <mergeCell ref="L62:L63"/>
    <mergeCell ref="B63:C63"/>
    <mergeCell ref="E65:G65"/>
    <mergeCell ref="B14:D14"/>
    <mergeCell ref="E14:E15"/>
    <mergeCell ref="B16:D16"/>
    <mergeCell ref="B57:C57"/>
    <mergeCell ref="B58:C58"/>
    <mergeCell ref="B59:C59"/>
    <mergeCell ref="B60:C60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0 L18:L59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