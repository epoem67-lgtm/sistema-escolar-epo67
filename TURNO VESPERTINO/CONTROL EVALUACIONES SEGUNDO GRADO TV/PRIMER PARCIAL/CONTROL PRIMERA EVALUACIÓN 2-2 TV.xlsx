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2 pensamiento literario" sheetId="1" r:id="rId5"/>
    <sheet state="visible" name="2-2 ingles iv" sheetId="2" r:id="rId6"/>
    <sheet state="visible" name="2-2 temas selectos de matematic" sheetId="3" r:id="rId7"/>
    <sheet state="visible" name="2-2 conciencia historica i" sheetId="4" r:id="rId8"/>
    <sheet state="visible" name="2-2 taller de cultura digital" sheetId="5" r:id="rId9"/>
    <sheet state="visible" name="2-2 reacciones quimicas y conse" sheetId="6" r:id="rId10"/>
    <sheet state="visible" name="2-2 espacio y sociedad" sheetId="7" r:id="rId11"/>
    <sheet state="visible" name="2-2 ciencias sociales iii" sheetId="8" r:id="rId12"/>
    <sheet state="visible" name="2-2 comunidades virtuales" sheetId="9" r:id="rId13"/>
    <sheet state="visible" name="2-2 mantenimiento de redes de c" sheetId="10" r:id="rId14"/>
    <sheet state="visible" name="2-2 actividades artisticas y cu" sheetId="11" r:id="rId15"/>
    <sheet state="visible" name="2-2 educacion integral en sexua" sheetId="12" r:id="rId16"/>
    <sheet state="visible" name="2-2 temas selectos de igualdad " sheetId="13" r:id="rId17"/>
  </sheets>
  <definedNames/>
  <calcPr/>
</workbook>
</file>

<file path=xl/sharedStrings.xml><?xml version="1.0" encoding="utf-8"?>
<sst xmlns="http://schemas.openxmlformats.org/spreadsheetml/2006/main" count="1859" uniqueCount="144">
  <si>
    <t>ESCUELA PREPARATORIA OFICIAL NÚM. 67</t>
  </si>
  <si>
    <t xml:space="preserve">CONTROL PRIMER PARCIAL </t>
  </si>
  <si>
    <t xml:space="preserve">PROFESOR (A): </t>
  </si>
  <si>
    <t>I</t>
  </si>
  <si>
    <t>II</t>
  </si>
  <si>
    <t>III</t>
  </si>
  <si>
    <t>PUNTAJE EXTRA</t>
  </si>
  <si>
    <t>CUARTO SEMESTRE
VESPERTINO</t>
  </si>
  <si>
    <t>UAC</t>
  </si>
  <si>
    <t>PENSAMIENTO LITERARIO</t>
  </si>
  <si>
    <t>Evaluación continua 50%</t>
  </si>
  <si>
    <t>Examen parcial 30%</t>
  </si>
  <si>
    <t>Transversal 20%</t>
  </si>
  <si>
    <t>GRADO</t>
  </si>
  <si>
    <t>2°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</si>
  <si>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</si>
  <si>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</si>
  <si>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</si>
  <si>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</si>
  <si>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</si>
  <si>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</si>
  <si>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</si>
  <si>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 xml:space="preserve">BAUTISTA </t>
  </si>
  <si>
    <t>JUAREZ</t>
  </si>
  <si>
    <t>LUIS ERNESTO</t>
  </si>
  <si>
    <t xml:space="preserve">BOLAÑOS </t>
  </si>
  <si>
    <t>ARREDONDO</t>
  </si>
  <si>
    <t>ANTONIO ALEXANDER</t>
  </si>
  <si>
    <t xml:space="preserve">CANO </t>
  </si>
  <si>
    <t>GUZMAN</t>
  </si>
  <si>
    <t>LUKA PAOLO</t>
  </si>
  <si>
    <t xml:space="preserve">CID </t>
  </si>
  <si>
    <t>MARISCAL</t>
  </si>
  <si>
    <t>KIMBERLY</t>
  </si>
  <si>
    <t xml:space="preserve">CISNEROS  </t>
  </si>
  <si>
    <t>RODRIGUEZ</t>
  </si>
  <si>
    <t>DIEGO LEONEL</t>
  </si>
  <si>
    <t xml:space="preserve">CRUZ </t>
  </si>
  <si>
    <t>ORTEGA</t>
  </si>
  <si>
    <t>MARY CARMEN</t>
  </si>
  <si>
    <t xml:space="preserve">DE LA LUZ </t>
  </si>
  <si>
    <t>VILLANUEVA</t>
  </si>
  <si>
    <t>JONATHAN</t>
  </si>
  <si>
    <t xml:space="preserve">DIAZ  </t>
  </si>
  <si>
    <t>LOPEZ</t>
  </si>
  <si>
    <t>BRYAN ALEJANDRO</t>
  </si>
  <si>
    <t xml:space="preserve">ESCUTIA </t>
  </si>
  <si>
    <t>ROMERO</t>
  </si>
  <si>
    <t>YANELY SCARLET</t>
  </si>
  <si>
    <t xml:space="preserve">FLORES </t>
  </si>
  <si>
    <t>GARCIA</t>
  </si>
  <si>
    <t>ZOE NAOMI</t>
  </si>
  <si>
    <t xml:space="preserve">GALVAN </t>
  </si>
  <si>
    <t>HERNANDEZ</t>
  </si>
  <si>
    <t>VALENTINA ODETTE</t>
  </si>
  <si>
    <t xml:space="preserve">GONZALEZ </t>
  </si>
  <si>
    <t>QUIROZ</t>
  </si>
  <si>
    <t>CHRISTIAN</t>
  </si>
  <si>
    <t>RUIZ</t>
  </si>
  <si>
    <t>XIMENA</t>
  </si>
  <si>
    <t>GUERRERO</t>
  </si>
  <si>
    <t>ENRIQUEZ</t>
  </si>
  <si>
    <t xml:space="preserve">EFRAIN </t>
  </si>
  <si>
    <t xml:space="preserve">HERNANDEZ </t>
  </si>
  <si>
    <t>RAMIREZ</t>
  </si>
  <si>
    <t>YULIANA</t>
  </si>
  <si>
    <t xml:space="preserve">HUICHAN </t>
  </si>
  <si>
    <t>ELORZA</t>
  </si>
  <si>
    <t>ISAAC</t>
  </si>
  <si>
    <t xml:space="preserve">JACOBO </t>
  </si>
  <si>
    <t>QUIROGA</t>
  </si>
  <si>
    <t>ISAIAS ARLO</t>
  </si>
  <si>
    <t xml:space="preserve">JUAREZ </t>
  </si>
  <si>
    <t>JAVIER</t>
  </si>
  <si>
    <t>GENESIS</t>
  </si>
  <si>
    <t xml:space="preserve">LIMA </t>
  </si>
  <si>
    <t>FELIX</t>
  </si>
  <si>
    <t>SEBASTIAN ALEJANDRO</t>
  </si>
  <si>
    <t xml:space="preserve">MARTINEZ </t>
  </si>
  <si>
    <t xml:space="preserve">CONTRERAS </t>
  </si>
  <si>
    <t>GUADALUPE</t>
  </si>
  <si>
    <t>MANRIQUE</t>
  </si>
  <si>
    <t>DAYANA VALERIA</t>
  </si>
  <si>
    <t>MERARI</t>
  </si>
  <si>
    <t>VELAZQUEZ</t>
  </si>
  <si>
    <t>ARIADNA</t>
  </si>
  <si>
    <t>VERA</t>
  </si>
  <si>
    <t>EMILIANO</t>
  </si>
  <si>
    <t xml:space="preserve">NAVA </t>
  </si>
  <si>
    <t>ARTEAGA</t>
  </si>
  <si>
    <t>ANALIA ZOE</t>
  </si>
  <si>
    <t>OLMOS</t>
  </si>
  <si>
    <t>SANCHEZ</t>
  </si>
  <si>
    <t>STEFANY QUETZALLI</t>
  </si>
  <si>
    <t xml:space="preserve">OLVERA </t>
  </si>
  <si>
    <t>SOLIS</t>
  </si>
  <si>
    <t>VALENTINA GUADALUPE</t>
  </si>
  <si>
    <t>VALERIO</t>
  </si>
  <si>
    <t>PAOLA AILANY</t>
  </si>
  <si>
    <t xml:space="preserve">RICO </t>
  </si>
  <si>
    <t>OJEDA</t>
  </si>
  <si>
    <t>FERNANDA YARELI</t>
  </si>
  <si>
    <t>SUAREZ</t>
  </si>
  <si>
    <t>RUBIO</t>
  </si>
  <si>
    <t>JOSELINE</t>
  </si>
  <si>
    <t xml:space="preserve">TARANGO </t>
  </si>
  <si>
    <t>BERNAL</t>
  </si>
  <si>
    <t>FATIMA</t>
  </si>
  <si>
    <t>TELLEZ</t>
  </si>
  <si>
    <t>NAVA</t>
  </si>
  <si>
    <t>MARYA JOSE</t>
  </si>
  <si>
    <t xml:space="preserve">TORRES  </t>
  </si>
  <si>
    <t>DE LEON</t>
  </si>
  <si>
    <t>ASHWIN AVI</t>
  </si>
  <si>
    <t xml:space="preserve">VEGA </t>
  </si>
  <si>
    <t>PAREDES</t>
  </si>
  <si>
    <t>JENNIFER HELI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</si>
  <si>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</si>
  <si>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</si>
  <si>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</si>
  <si>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</si>
  <si>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</si>
  <si>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</si>
  <si>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</si>
  <si>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</si>
  <si>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</si>
  <si>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</si>
  <si>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</si>
  <si>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BEATRIZ ALEJANDRA GARCÍA GONZÁLEZ</t>
  </si>
  <si>
    <t>PROFR. OCTAVIO VÁZQUEZ BARRETO</t>
  </si>
  <si>
    <t xml:space="preserve">PROFR. ROBERTO PALOMARES MEJÍA </t>
  </si>
  <si>
    <t>PROMEDIO</t>
  </si>
  <si>
    <t>INGLÉS IV</t>
  </si>
  <si>
    <t>TEMAS SELECTOS DE MATEMÁTICAS I</t>
  </si>
  <si>
    <t>CONCIENCIA HISTÓRICA I</t>
  </si>
  <si>
    <t>TALLER DE CULTURA DIGITAL</t>
  </si>
  <si>
    <t>REACCIONES QUIMICAS Y CONSERVACIÓN DE LA MATERIA</t>
  </si>
  <si>
    <t>ESPACIO Y SOCIEDAD</t>
  </si>
  <si>
    <t>CIENCIAS SOCIALES III</t>
  </si>
  <si>
    <t>COMUNIDADES VIRTUALES</t>
  </si>
  <si>
    <t>MANTENIMIENTO DE REDES DE CÓMPUTO</t>
  </si>
  <si>
    <t>ACTIVIDADES ARTÍSTICAS Y CULTURALES I</t>
  </si>
  <si>
    <t>EDUCACIÓN INTEGRAL EN SEXUALIDAD Y GÉNERO II</t>
  </si>
  <si>
    <t>TEMAS SELECTOS DE IGUALDAD Y DERECHOS HUMANOS IV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</si>
</sst>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3">
    <font>
      <sz val="11.0"/>
      <color theme="1"/>
      <name val="Calibri"/>
      <scheme val="minor"/>
    </font>
    <font>
      <sz val="11.0"/>
      <color theme="1"/>
      <name val="Gotham Book"/>
    </font>
    <font>
      <b/>
      <sz val="14.0"/>
      <color theme="1"/>
      <name val="Arial"/>
    </font>
    <font/>
    <font>
      <b/>
      <sz val="11.0"/>
      <color theme="1"/>
      <name val="Gotham Book"/>
    </font>
    <font>
      <b/>
      <sz val="10.0"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  <font>
      <b/>
      <sz val="10.0"/>
      <color rgb="FF000000"/>
      <name val="Arial"/>
    </font>
    <font>
      <b/>
      <sz val="10.0"/>
      <color theme="1"/>
      <name val="Gotham Book"/>
    </font>
    <font>
      <b/>
      <sz val="9.0"/>
      <color theme="1"/>
      <name val="Gotham Book"/>
    </font>
    <font>
      <sz val="11.0"/>
      <color theme="1"/>
      <name val="Calibri"/>
    </font>
    <font>
      <sz val="11.0"/>
      <color theme="1"/>
      <name val="Century Gothic"/>
    </font>
    <font>
      <sz val="11.0"/>
      <color theme="1"/>
      <name val="Arial"/>
    </font>
    <font>
      <b/>
      <sz val="12.0"/>
      <color theme="1"/>
      <name val="Gotham Book"/>
    </font>
    <font>
      <sz val="10.0"/>
      <color theme="1"/>
      <name val="Arial"/>
    </font>
    <font>
      <sz val="12.0"/>
      <color theme="1"/>
      <name val="Gotham Book"/>
    </font>
    <font>
      <sz val="9.0"/>
      <color theme="1"/>
      <name val="Gotham Book"/>
    </font>
    <font>
      <sz val="9.0"/>
      <color theme="1"/>
      <name val="Arial"/>
    </font>
    <font>
      <sz val="10.0"/>
      <color theme="1"/>
      <name val="Gotham Book"/>
    </font>
    <font>
      <sz val="16.0"/>
      <color theme="1"/>
      <name val="Gotham Book"/>
    </font>
    <font>
      <sz val="11.0"/>
      <color theme="1"/>
      <name val="Gotham"/>
    </font>
    <font>
      <sz val="18.0"/>
      <color theme="1"/>
      <name val="Gotham Book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1" numFmtId="0" xfId="0" applyAlignment="1" applyBorder="1" applyFont="1">
      <alignment vertical="center"/>
    </xf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0" fillId="0" fontId="1" numFmtId="0" xfId="0" applyAlignment="1" applyFont="1">
      <alignment vertical="center"/>
    </xf>
    <xf borderId="5" fillId="0" fontId="1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0" fillId="0" fontId="4" numFmtId="0" xfId="0" applyAlignment="1" applyFont="1">
      <alignment horizontal="center" shrinkToFit="0" vertical="top" wrapText="1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0" fillId="0" fontId="4" numFmtId="0" xfId="0" applyAlignment="1" applyFont="1">
      <alignment vertical="center"/>
    </xf>
    <xf borderId="6" fillId="2" fontId="5" numFmtId="0" xfId="0" applyAlignment="1" applyBorder="1" applyFill="1" applyFont="1">
      <alignment horizontal="center" vertical="center"/>
    </xf>
    <xf borderId="7" fillId="0" fontId="3" numFmtId="0" xfId="0" applyBorder="1" applyFont="1"/>
    <xf borderId="8" fillId="2" fontId="5" numFmtId="0" xfId="0" applyAlignment="1" applyBorder="1" applyFont="1">
      <alignment horizontal="center" vertical="center"/>
    </xf>
    <xf borderId="9" fillId="2" fontId="6" numFmtId="0" xfId="0" applyAlignment="1" applyBorder="1" applyFont="1">
      <alignment horizontal="center" vertical="center"/>
    </xf>
    <xf borderId="9" fillId="2" fontId="4" numFmtId="0" xfId="0" applyAlignment="1" applyBorder="1" applyFont="1">
      <alignment horizontal="center" vertical="center"/>
    </xf>
    <xf borderId="10" fillId="2" fontId="4" numFmtId="0" xfId="0" applyAlignment="1" applyBorder="1" applyFont="1">
      <alignment horizontal="center" shrinkToFit="0" vertical="center" wrapText="1"/>
    </xf>
    <xf borderId="11" fillId="2" fontId="4" numFmtId="9" xfId="0" applyAlignment="1" applyBorder="1" applyFont="1" applyNumberFormat="1">
      <alignment horizontal="center" vertical="center"/>
    </xf>
    <xf borderId="12" fillId="2" fontId="6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13" fillId="2" fontId="5" numFmtId="0" xfId="0" applyAlignment="1" applyBorder="1" applyFont="1">
      <alignment horizontal="center" shrinkToFit="0" vertical="center" wrapText="1"/>
    </xf>
    <xf borderId="14" fillId="2" fontId="5" numFmtId="0" xfId="0" applyAlignment="1" applyBorder="1" applyFont="1">
      <alignment horizontal="center" shrinkToFit="0" vertical="center" wrapText="1"/>
    </xf>
    <xf borderId="14" fillId="0" fontId="3" numFmtId="0" xfId="0" applyBorder="1" applyFont="1"/>
    <xf borderId="15" fillId="0" fontId="3" numFmtId="0" xfId="0" applyBorder="1" applyFont="1"/>
    <xf borderId="16" fillId="2" fontId="7" numFmtId="0" xfId="0" applyAlignment="1" applyBorder="1" applyFont="1">
      <alignment horizontal="center" shrinkToFit="0" vertical="center" wrapText="1"/>
    </xf>
    <xf borderId="16" fillId="2" fontId="7" numFmtId="0" xfId="0" applyAlignment="1" applyBorder="1" applyFont="1">
      <alignment vertic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2" fontId="8" numFmtId="0" xfId="0" applyAlignment="1" applyBorder="1" applyFont="1">
      <alignment horizontal="center" vertical="center"/>
    </xf>
    <xf borderId="23" fillId="2" fontId="5" numFmtId="0" xfId="0" applyAlignment="1" applyBorder="1" applyFont="1">
      <alignment horizontal="center" vertical="center"/>
    </xf>
    <xf borderId="15" fillId="2" fontId="5" numFmtId="0" xfId="0" applyAlignment="1" applyBorder="1" applyFont="1">
      <alignment horizontal="center" vertical="center"/>
    </xf>
    <xf borderId="24" fillId="0" fontId="3" numFmtId="0" xfId="0" applyBorder="1" applyFont="1"/>
    <xf borderId="18" fillId="2" fontId="4" numFmtId="0" xfId="0" applyAlignment="1" applyBorder="1" applyFont="1">
      <alignment horizontal="center" shrinkToFit="0" vertical="center" wrapText="1"/>
    </xf>
    <xf borderId="25" fillId="2" fontId="6" numFmtId="0" xfId="0" applyAlignment="1" applyBorder="1" applyFont="1">
      <alignment horizontal="center" vertical="center"/>
    </xf>
    <xf borderId="26" fillId="0" fontId="3" numFmtId="0" xfId="0" applyBorder="1" applyFont="1"/>
    <xf borderId="22" fillId="2" fontId="9" numFmtId="0" xfId="0" applyAlignment="1" applyBorder="1" applyFont="1">
      <alignment horizontal="center" vertical="center"/>
    </xf>
    <xf borderId="27" fillId="2" fontId="9" numFmtId="0" xfId="0" applyAlignment="1" applyBorder="1" applyFont="1">
      <alignment horizontal="center" vertical="center"/>
    </xf>
    <xf borderId="23" fillId="2" fontId="10" numFmtId="0" xfId="0" applyAlignment="1" applyBorder="1" applyFont="1">
      <alignment horizontal="center" shrinkToFit="0" vertical="bottom" wrapText="1"/>
    </xf>
    <xf borderId="23" fillId="2" fontId="11" numFmtId="0" xfId="0" applyAlignment="1" applyBorder="1" applyFont="1">
      <alignment vertical="bottom"/>
    </xf>
    <xf borderId="23" fillId="2" fontId="10" numFmtId="0" xfId="0" applyAlignment="1" applyBorder="1" applyFont="1">
      <alignment horizontal="center" shrinkToFit="0" vertical="center" wrapText="1"/>
    </xf>
    <xf borderId="23" fillId="2" fontId="6" numFmtId="0" xfId="0" applyAlignment="1" applyBorder="1" applyFont="1">
      <alignment horizontal="center" shrinkToFit="0" vertical="center" wrapText="1"/>
    </xf>
    <xf borderId="23" fillId="2" fontId="4" numFmtId="0" xfId="0" applyAlignment="1" applyBorder="1" applyFont="1">
      <alignment horizontal="center" shrinkToFit="0" vertical="center" wrapText="1"/>
    </xf>
    <xf borderId="28" fillId="2" fontId="4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2" numFmtId="1" xfId="0" applyAlignment="1" applyBorder="1" applyFont="1" applyNumberFormat="1">
      <alignment vertical="bottom"/>
    </xf>
    <xf borderId="23" fillId="0" fontId="12" numFmtId="0" xfId="0" applyAlignment="1" applyBorder="1" applyFont="1">
      <alignment vertical="bottom"/>
    </xf>
    <xf borderId="23" fillId="0" fontId="13" numFmtId="164" xfId="0" applyAlignment="1" applyBorder="1" applyFont="1" applyNumberFormat="1">
      <alignment horizontal="center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3" numFmtId="0" xfId="0" applyAlignment="1" applyBorder="1" applyFont="1">
      <alignment horizontal="center" vertical="center"/>
    </xf>
    <xf borderId="23" fillId="0" fontId="14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29" fillId="0" fontId="15" numFmtId="0" xfId="0" applyAlignment="1" applyBorder="1" applyFont="1">
      <alignment horizontal="right" shrinkToFit="1" vertical="center" wrapText="0"/>
    </xf>
    <xf borderId="30" fillId="0" fontId="3" numFmtId="0" xfId="0" applyBorder="1" applyFont="1"/>
    <xf borderId="31" fillId="0" fontId="16" numFmtId="0" xfId="0" applyAlignment="1" applyBorder="1" applyFont="1">
      <alignment shrinkToFit="1" vertical="center" wrapText="0"/>
    </xf>
    <xf borderId="0" fillId="0" fontId="17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5" fillId="0" fontId="17" numFmtId="0" xfId="0" applyAlignment="1" applyBorder="1" applyFont="1">
      <alignment horizontal="center" shrinkToFit="0" vertical="center" wrapText="1"/>
    </xf>
    <xf borderId="32" fillId="0" fontId="19" numFmtId="0" xfId="0" applyAlignment="1" applyBorder="1" applyFont="1">
      <alignment horizontal="right" shrinkToFit="1" vertical="center" wrapText="0"/>
    </xf>
    <xf borderId="33" fillId="0" fontId="3" numFmtId="0" xfId="0" applyBorder="1" applyFont="1"/>
    <xf borderId="34" fillId="0" fontId="16" numFmtId="0" xfId="0" applyAlignment="1" applyBorder="1" applyFont="1">
      <alignment shrinkToFit="1" vertical="center" wrapText="0"/>
    </xf>
    <xf borderId="35" fillId="0" fontId="16" numFmtId="0" xfId="0" applyAlignment="1" applyBorder="1" applyFont="1">
      <alignment shrinkToFit="1" vertical="center" wrapText="0"/>
    </xf>
    <xf borderId="0" fillId="0" fontId="19" numFmtId="0" xfId="0" applyAlignment="1" applyFont="1">
      <alignment shrinkToFit="1" vertical="center" wrapText="0"/>
    </xf>
    <xf borderId="0" fillId="0" fontId="19" numFmtId="0" xfId="0" applyAlignment="1" applyFont="1">
      <alignment horizontal="center" vertical="center"/>
    </xf>
    <xf borderId="0" fillId="0" fontId="19" numFmtId="0" xfId="0" applyFont="1"/>
    <xf borderId="5" fillId="0" fontId="19" numFmtId="0" xfId="0" applyBorder="1" applyFont="1"/>
    <xf borderId="35" fillId="0" fontId="16" numFmtId="1" xfId="0" applyAlignment="1" applyBorder="1" applyFont="1" applyNumberFormat="1">
      <alignment shrinkToFit="1" vertical="center" wrapText="0"/>
    </xf>
    <xf borderId="20" fillId="0" fontId="19" numFmtId="0" xfId="0" applyAlignment="1" applyBorder="1" applyFont="1">
      <alignment shrinkToFit="1" vertical="center" wrapText="0"/>
    </xf>
    <xf borderId="20" fillId="0" fontId="19" numFmtId="0" xfId="0" applyBorder="1" applyFont="1"/>
    <xf borderId="21" fillId="0" fontId="19" numFmtId="0" xfId="0" applyBorder="1" applyFont="1"/>
    <xf borderId="35" fillId="0" fontId="16" numFmtId="2" xfId="0" applyAlignment="1" applyBorder="1" applyFont="1" applyNumberFormat="1">
      <alignment shrinkToFit="1" vertical="center" wrapText="0"/>
    </xf>
    <xf borderId="36" fillId="0" fontId="5" numFmtId="0" xfId="0" applyAlignment="1" applyBorder="1" applyFont="1">
      <alignment horizontal="center" shrinkToFit="0" vertical="top" wrapText="1"/>
    </xf>
    <xf borderId="0" fillId="0" fontId="19" numFmtId="0" xfId="0" applyAlignment="1" applyFont="1">
      <alignment horizontal="center" vertical="top"/>
    </xf>
    <xf borderId="0" fillId="0" fontId="5" numFmtId="0" xfId="0" applyAlignment="1" applyFont="1">
      <alignment horizontal="center" readingOrder="0" shrinkToFit="0" vertical="top" wrapText="1"/>
    </xf>
    <xf borderId="0" fillId="0" fontId="7" numFmtId="0" xfId="0" applyAlignment="1" applyFont="1">
      <alignment horizontal="center" shrinkToFit="0" vertical="top" wrapText="1"/>
    </xf>
    <xf borderId="5" fillId="0" fontId="7" numFmtId="0" xfId="0" applyAlignment="1" applyBorder="1" applyFont="1">
      <alignment horizontal="center" shrinkToFit="0" vertical="top" wrapText="1"/>
    </xf>
    <xf borderId="0" fillId="0" fontId="17" numFmtId="0" xfId="0" applyFont="1"/>
    <xf borderId="37" fillId="0" fontId="15" numFmtId="0" xfId="0" applyAlignment="1" applyBorder="1" applyFont="1">
      <alignment horizontal="right" shrinkToFit="1" vertical="center" wrapText="0"/>
    </xf>
    <xf borderId="38" fillId="0" fontId="3" numFmtId="0" xfId="0" applyBorder="1" applyFont="1"/>
    <xf borderId="39" fillId="0" fontId="14" numFmtId="2" xfId="0" applyAlignment="1" applyBorder="1" applyFont="1" applyNumberFormat="1">
      <alignment vertical="center"/>
    </xf>
    <xf borderId="40" fillId="3" fontId="1" numFmtId="0" xfId="0" applyAlignment="1" applyBorder="1" applyFill="1" applyFont="1">
      <alignment vertical="center"/>
    </xf>
    <xf borderId="41" fillId="3" fontId="1" numFmtId="0" xfId="0" applyAlignment="1" applyBorder="1" applyFont="1">
      <alignment vertical="center"/>
    </xf>
    <xf borderId="0" fillId="3" fontId="1" numFmtId="0" xfId="0" applyAlignment="1" applyFont="1">
      <alignment vertical="center"/>
    </xf>
    <xf borderId="5" fillId="0" fontId="1" numFmtId="0" xfId="0" applyAlignment="1" applyBorder="1" applyFont="1">
      <alignment vertical="center"/>
    </xf>
    <xf borderId="0" fillId="0" fontId="20" numFmtId="0" xfId="0" applyAlignment="1" applyFont="1">
      <alignment vertical="center"/>
    </xf>
    <xf borderId="4" fillId="0" fontId="1" numFmtId="0" xfId="0" applyAlignment="1" applyBorder="1" applyFont="1">
      <alignment horizontal="center" vertical="center"/>
    </xf>
    <xf borderId="0" fillId="0" fontId="21" numFmtId="0" xfId="0" applyFont="1"/>
    <xf borderId="42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vertical="center"/>
    </xf>
    <xf borderId="43" fillId="0" fontId="1" numFmtId="0" xfId="0" applyBorder="1" applyFont="1"/>
    <xf borderId="44" fillId="0" fontId="1" numFmtId="0" xfId="0" applyBorder="1" applyFont="1"/>
    <xf borderId="0" fillId="0" fontId="22" numFmtId="0" xfId="0" applyAlignment="1" applyFont="1">
      <alignment shrinkToFit="0" vertical="center" wrapText="1"/>
    </xf>
    <xf borderId="0" fillId="0" fontId="1" numFmtId="0" xfId="0" applyAlignment="1" applyFont="1">
      <alignment shrinkToFit="0" vertical="top" wrapText="1"/>
    </xf>
    <xf borderId="0" fillId="0" fontId="1" numFmtId="1" xfId="0" applyFont="1" applyNumberFormat="1"/>
    <xf borderId="14" fillId="2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533400</xdr:colOff>
      <xdr:row>1</xdr:row>
      <xdr:rowOff>142875</xdr:rowOff>
    </xdr:from>
    <xdr:ext cx="6781800" cy="1047750"/>
    <xdr:sp>
      <xdr:nvSpPr>
        <xdr:cNvPr id="3" name="Shape 3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390525</xdr:colOff>
      <xdr:row>61</xdr:row>
      <xdr:rowOff>47625</xdr:rowOff>
    </xdr:from>
    <xdr:ext cx="10706100" cy="381000"/>
    <xdr:sp>
      <xdr:nvSpPr>
        <xdr:cNvPr id="4" name="Shape 4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59</xdr:row>
      <xdr:rowOff>161925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514350</xdr:colOff>
      <xdr:row>1</xdr:row>
      <xdr:rowOff>123825</xdr:rowOff>
    </xdr:from>
    <xdr:ext cx="6781800" cy="1047750"/>
    <xdr:sp>
      <xdr:nvSpPr>
        <xdr:cNvPr id="5" name="Shape 5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419100</xdr:colOff>
      <xdr:row>61</xdr:row>
      <xdr:rowOff>76200</xdr:rowOff>
    </xdr:from>
    <xdr:ext cx="10706100" cy="381000"/>
    <xdr:sp>
      <xdr:nvSpPr>
        <xdr:cNvPr id="6" name="Shape 6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 11,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60</xdr:row>
      <xdr:rowOff>9525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523875</xdr:colOff>
      <xdr:row>1</xdr:row>
      <xdr:rowOff>142875</xdr:rowOff>
    </xdr:from>
    <xdr:ext cx="6781800" cy="1047750"/>
    <xdr:sp>
      <xdr:nvSpPr>
        <xdr:cNvPr id="7" name="Shape 7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419100</xdr:colOff>
      <xdr:row>61</xdr:row>
      <xdr:rowOff>28575</xdr:rowOff>
    </xdr:from>
    <xdr:ext cx="10706100" cy="381000"/>
    <xdr:sp>
      <xdr:nvSpPr>
        <xdr:cNvPr id="8" name="Shape 8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59</xdr:row>
      <xdr:rowOff>123825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552450</xdr:colOff>
      <xdr:row>1</xdr:row>
      <xdr:rowOff>180975</xdr:rowOff>
    </xdr:from>
    <xdr:ext cx="6781800" cy="1047750"/>
    <xdr:sp>
      <xdr:nvSpPr>
        <xdr:cNvPr id="9" name="Shape 9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400050</xdr:colOff>
      <xdr:row>61</xdr:row>
      <xdr:rowOff>28575</xdr:rowOff>
    </xdr:from>
    <xdr:ext cx="10706100" cy="381000"/>
    <xdr:sp>
      <xdr:nvSpPr>
        <xdr:cNvPr id="10" name="Shape 10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59</xdr:row>
      <xdr:rowOff>133350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533400</xdr:colOff>
      <xdr:row>1</xdr:row>
      <xdr:rowOff>161925</xdr:rowOff>
    </xdr:from>
    <xdr:ext cx="6781800" cy="1047750"/>
    <xdr:sp>
      <xdr:nvSpPr>
        <xdr:cNvPr id="11" name="Shape 11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428625</xdr:colOff>
      <xdr:row>61</xdr:row>
      <xdr:rowOff>47625</xdr:rowOff>
    </xdr:from>
    <xdr:ext cx="10706100" cy="381000"/>
    <xdr:sp>
      <xdr:nvSpPr>
        <xdr:cNvPr id="12" name="Shape 12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59</xdr:row>
      <xdr:rowOff>142875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514350</xdr:colOff>
      <xdr:row>1</xdr:row>
      <xdr:rowOff>142875</xdr:rowOff>
    </xdr:from>
    <xdr:ext cx="6781800" cy="1047750"/>
    <xdr:sp>
      <xdr:nvSpPr>
        <xdr:cNvPr id="13" name="Shape 13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390525</xdr:colOff>
      <xdr:row>61</xdr:row>
      <xdr:rowOff>114300</xdr:rowOff>
    </xdr:from>
    <xdr:ext cx="10706100" cy="381000"/>
    <xdr:sp>
      <xdr:nvSpPr>
        <xdr:cNvPr id="14" name="Shape 14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59</xdr:row>
      <xdr:rowOff>161925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542925</xdr:colOff>
      <xdr:row>1</xdr:row>
      <xdr:rowOff>161925</xdr:rowOff>
    </xdr:from>
    <xdr:ext cx="6781800" cy="1047750"/>
    <xdr:sp>
      <xdr:nvSpPr>
        <xdr:cNvPr id="15" name="Shape 15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419100</xdr:colOff>
      <xdr:row>61</xdr:row>
      <xdr:rowOff>66675</xdr:rowOff>
    </xdr:from>
    <xdr:ext cx="10706100" cy="381000"/>
    <xdr:sp>
      <xdr:nvSpPr>
        <xdr:cNvPr id="16" name="Shape 16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59</xdr:row>
      <xdr:rowOff>161925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571500</xdr:colOff>
      <xdr:row>1</xdr:row>
      <xdr:rowOff>142875</xdr:rowOff>
    </xdr:from>
    <xdr:ext cx="6781800" cy="1047750"/>
    <xdr:sp>
      <xdr:nvSpPr>
        <xdr:cNvPr id="17" name="Shape 17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419100</xdr:colOff>
      <xdr:row>61</xdr:row>
      <xdr:rowOff>38100</xdr:rowOff>
    </xdr:from>
    <xdr:ext cx="10706100" cy="381000"/>
    <xdr:sp>
      <xdr:nvSpPr>
        <xdr:cNvPr id="18" name="Shape 18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60</xdr:row>
      <xdr:rowOff>9525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542925</xdr:colOff>
      <xdr:row>1</xdr:row>
      <xdr:rowOff>152400</xdr:rowOff>
    </xdr:from>
    <xdr:ext cx="6781800" cy="1047750"/>
    <xdr:sp>
      <xdr:nvSpPr>
        <xdr:cNvPr id="19" name="Shape 19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428625</xdr:colOff>
      <xdr:row>61</xdr:row>
      <xdr:rowOff>28575</xdr:rowOff>
    </xdr:from>
    <xdr:ext cx="10706100" cy="381000"/>
    <xdr:sp>
      <xdr:nvSpPr>
        <xdr:cNvPr id="20" name="Shape 20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60</xdr:row>
      <xdr:rowOff>19050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542925</xdr:colOff>
      <xdr:row>1</xdr:row>
      <xdr:rowOff>161925</xdr:rowOff>
    </xdr:from>
    <xdr:ext cx="6781800" cy="1047750"/>
    <xdr:sp>
      <xdr:nvSpPr>
        <xdr:cNvPr id="21" name="Shape 21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438150</xdr:colOff>
      <xdr:row>61</xdr:row>
      <xdr:rowOff>9525</xdr:rowOff>
    </xdr:from>
    <xdr:ext cx="10706100" cy="381000"/>
    <xdr:sp>
      <xdr:nvSpPr>
        <xdr:cNvPr id="22" name="Shape 22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59</xdr:row>
      <xdr:rowOff>171450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523875</xdr:colOff>
      <xdr:row>1</xdr:row>
      <xdr:rowOff>152400</xdr:rowOff>
    </xdr:from>
    <xdr:ext cx="6781800" cy="1047750"/>
    <xdr:sp>
      <xdr:nvSpPr>
        <xdr:cNvPr id="23" name="Shape 23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60</xdr:row>
      <xdr:rowOff>171450</xdr:rowOff>
    </xdr:from>
    <xdr:ext cx="10706100" cy="381000"/>
    <xdr:sp>
      <xdr:nvSpPr>
        <xdr:cNvPr id="24" name="Shape 24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59</xdr:row>
      <xdr:rowOff>161925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523875</xdr:colOff>
      <xdr:row>1</xdr:row>
      <xdr:rowOff>152400</xdr:rowOff>
    </xdr:from>
    <xdr:ext cx="6781800" cy="1047750"/>
    <xdr:sp>
      <xdr:nvSpPr>
        <xdr:cNvPr id="25" name="Shape 25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61</xdr:row>
      <xdr:rowOff>9525</xdr:rowOff>
    </xdr:from>
    <xdr:ext cx="10706100" cy="381000"/>
    <xdr:sp>
      <xdr:nvSpPr>
        <xdr:cNvPr id="26" name="Shape 26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59</xdr:row>
      <xdr:rowOff>114300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523875</xdr:colOff>
      <xdr:row>1</xdr:row>
      <xdr:rowOff>152400</xdr:rowOff>
    </xdr:from>
    <xdr:ext cx="6781800" cy="1047750"/>
    <xdr:sp>
      <xdr:nvSpPr>
        <xdr:cNvPr id="27" name="Shape 27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60</xdr:row>
      <xdr:rowOff>142875</xdr:rowOff>
    </xdr:from>
    <xdr:ext cx="10706100" cy="381000"/>
    <xdr:sp>
      <xdr:nvSpPr>
        <xdr:cNvPr id="28" name="Shape 28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59</xdr:row>
      <xdr:rowOff>142875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27" t="s">
        <v>9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2.0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1" si="1">SUM(E17:H17)</f>
        <v>0</v>
      </c>
      <c r="J17" s="57"/>
      <c r="K17" s="58">
        <f t="shared" ref="K17:K51" si="2">IF(M17&lt;6,5,M17)</f>
        <v>5</v>
      </c>
      <c r="L17" s="59"/>
      <c r="M17" s="60">
        <f t="shared" ref="M17:M5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40</v>
      </c>
      <c r="C23" s="53" t="s">
        <v>41</v>
      </c>
      <c r="D23" s="54" t="s">
        <v>42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43</v>
      </c>
      <c r="C24" s="53" t="s">
        <v>44</v>
      </c>
      <c r="D24" s="54" t="s">
        <v>45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46</v>
      </c>
      <c r="C25" s="53" t="s">
        <v>47</v>
      </c>
      <c r="D25" s="54" t="s">
        <v>48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49</v>
      </c>
      <c r="C26" s="53" t="s">
        <v>50</v>
      </c>
      <c r="D26" s="54" t="s">
        <v>51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52</v>
      </c>
      <c r="C27" s="53" t="s">
        <v>53</v>
      </c>
      <c r="D27" s="54" t="s">
        <v>54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55</v>
      </c>
      <c r="C28" s="53" t="s">
        <v>56</v>
      </c>
      <c r="D28" s="54" t="s">
        <v>57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55</v>
      </c>
      <c r="C29" s="53" t="s">
        <v>58</v>
      </c>
      <c r="D29" s="54" t="s">
        <v>59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60</v>
      </c>
      <c r="C30" s="53" t="s">
        <v>61</v>
      </c>
      <c r="D30" s="54" t="s">
        <v>62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63</v>
      </c>
      <c r="C31" s="53" t="s">
        <v>64</v>
      </c>
      <c r="D31" s="54" t="s">
        <v>65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66</v>
      </c>
      <c r="C32" s="53" t="s">
        <v>67</v>
      </c>
      <c r="D32" s="54" t="s">
        <v>68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69</v>
      </c>
      <c r="C33" s="53" t="s">
        <v>70</v>
      </c>
      <c r="D33" s="54" t="s">
        <v>71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72</v>
      </c>
      <c r="C34" s="53" t="s">
        <v>73</v>
      </c>
      <c r="D34" s="54" t="s">
        <v>74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75</v>
      </c>
      <c r="C35" s="53" t="s">
        <v>76</v>
      </c>
      <c r="D35" s="54" t="s">
        <v>77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78</v>
      </c>
      <c r="C36" s="53" t="s">
        <v>79</v>
      </c>
      <c r="D36" s="54" t="s">
        <v>80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78</v>
      </c>
      <c r="C37" s="53" t="s">
        <v>81</v>
      </c>
      <c r="D37" s="54" t="s">
        <v>82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78</v>
      </c>
      <c r="C38" s="53" t="s">
        <v>47</v>
      </c>
      <c r="D38" s="54" t="s">
        <v>83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78</v>
      </c>
      <c r="C39" s="53" t="s">
        <v>84</v>
      </c>
      <c r="D39" s="54" t="s">
        <v>85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78</v>
      </c>
      <c r="C40" s="53" t="s">
        <v>86</v>
      </c>
      <c r="D40" s="54" t="s">
        <v>87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88</v>
      </c>
      <c r="C41" s="53" t="s">
        <v>89</v>
      </c>
      <c r="D41" s="54" t="s">
        <v>90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91</v>
      </c>
      <c r="C42" s="53" t="s">
        <v>92</v>
      </c>
      <c r="D42" s="54" t="s">
        <v>93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94</v>
      </c>
      <c r="C43" s="53" t="s">
        <v>95</v>
      </c>
      <c r="D43" s="54" t="s">
        <v>96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64</v>
      </c>
      <c r="C44" s="53" t="s">
        <v>97</v>
      </c>
      <c r="D44" s="54" t="s">
        <v>98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99</v>
      </c>
      <c r="C45" s="53" t="s">
        <v>100</v>
      </c>
      <c r="D45" s="54" t="s">
        <v>59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35</v>
      </c>
      <c r="C46" s="53" t="s">
        <v>44</v>
      </c>
      <c r="D46" s="54" t="s">
        <v>101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102</v>
      </c>
      <c r="C47" s="53" t="s">
        <v>103</v>
      </c>
      <c r="D47" s="54" t="s">
        <v>104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105</v>
      </c>
      <c r="C48" s="53" t="s">
        <v>106</v>
      </c>
      <c r="D48" s="54" t="s">
        <v>107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108</v>
      </c>
      <c r="C49" s="53" t="s">
        <v>109</v>
      </c>
      <c r="D49" s="54" t="s">
        <v>110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111</v>
      </c>
      <c r="C50" s="53" t="s">
        <v>112</v>
      </c>
      <c r="D50" s="54" t="s">
        <v>113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114</v>
      </c>
      <c r="C51" s="53" t="s">
        <v>115</v>
      </c>
      <c r="D51" s="54" t="s">
        <v>116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6"/>
      <c r="B52" s="61"/>
      <c r="C52" s="61"/>
      <c r="D52" s="61"/>
      <c r="E52" s="62"/>
      <c r="F52" s="62"/>
      <c r="G52" s="61"/>
      <c r="H52" s="61"/>
      <c r="I52" s="61"/>
      <c r="J52" s="61"/>
      <c r="K52" s="1"/>
      <c r="L52" s="8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1.75" customHeight="1">
      <c r="B53" s="63" t="s">
        <v>117</v>
      </c>
      <c r="C53" s="64"/>
      <c r="D53" s="65">
        <f>COUNT(A17:A51)</f>
        <v>35</v>
      </c>
      <c r="E53" s="61"/>
      <c r="F53" s="61"/>
      <c r="G53" s="66" t="s">
        <v>118</v>
      </c>
      <c r="H53" s="66"/>
      <c r="I53" s="66" t="s">
        <v>119</v>
      </c>
      <c r="K53" s="67" t="s">
        <v>120</v>
      </c>
      <c r="L53" s="68" t="s">
        <v>121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1.75" customHeight="1">
      <c r="B54" s="69" t="s">
        <v>122</v>
      </c>
      <c r="C54" s="70"/>
      <c r="D54" s="71">
        <f>COUNTIF(K17:K51,"BAJA")</f>
        <v>0</v>
      </c>
      <c r="E54" s="61"/>
      <c r="F54" s="61"/>
      <c r="H54" s="66"/>
      <c r="L54" s="10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1.75" customHeight="1">
      <c r="B55" s="69" t="s">
        <v>123</v>
      </c>
      <c r="C55" s="70"/>
      <c r="D55" s="72">
        <f>D53-D54</f>
        <v>35</v>
      </c>
      <c r="E55" s="61"/>
      <c r="F55" s="61"/>
      <c r="G55" s="73"/>
      <c r="H55" s="74"/>
      <c r="I55" s="73"/>
      <c r="J55" s="73"/>
      <c r="K55" s="75"/>
      <c r="L55" s="76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1.75" customHeight="1">
      <c r="B56" s="69" t="s">
        <v>124</v>
      </c>
      <c r="C56" s="70"/>
      <c r="D56" s="77">
        <f>COUNTIF(K17:K51,"&gt;=6")</f>
        <v>0</v>
      </c>
      <c r="E56" s="61"/>
      <c r="F56" s="61"/>
      <c r="G56" s="73"/>
      <c r="H56" s="74"/>
      <c r="I56" s="73"/>
      <c r="J56" s="73"/>
      <c r="K56" s="75"/>
      <c r="L56" s="76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1.75" customHeight="1">
      <c r="B57" s="69" t="s">
        <v>125</v>
      </c>
      <c r="C57" s="70"/>
      <c r="D57" s="77">
        <f>D55-D56</f>
        <v>35</v>
      </c>
      <c r="E57" s="61"/>
      <c r="F57" s="61"/>
      <c r="G57" s="78"/>
      <c r="H57" s="74"/>
      <c r="I57" s="78"/>
      <c r="J57" s="78"/>
      <c r="K57" s="79"/>
      <c r="L57" s="80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75" customHeight="1">
      <c r="B58" s="69" t="s">
        <v>126</v>
      </c>
      <c r="C58" s="70"/>
      <c r="D58" s="81">
        <f>D56*100/D55</f>
        <v>0</v>
      </c>
      <c r="E58" s="61"/>
      <c r="F58" s="61"/>
      <c r="G58" s="82" t="s">
        <v>127</v>
      </c>
      <c r="H58" s="83"/>
      <c r="I58" s="84" t="s">
        <v>128</v>
      </c>
      <c r="K58" s="85" t="s">
        <v>129</v>
      </c>
      <c r="L58" s="86" t="s">
        <v>130</v>
      </c>
      <c r="M58" s="87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B59" s="88" t="s">
        <v>131</v>
      </c>
      <c r="C59" s="89"/>
      <c r="D59" s="90">
        <f>AVERAGE(K17:K51)</f>
        <v>5</v>
      </c>
      <c r="E59" s="61"/>
      <c r="F59" s="61"/>
      <c r="H59" s="83"/>
      <c r="L59" s="10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6"/>
      <c r="B60" s="1"/>
      <c r="C60" s="1"/>
      <c r="D60" s="1"/>
      <c r="E60" s="1"/>
      <c r="F60" s="1"/>
      <c r="G60" s="1"/>
      <c r="H60" s="1"/>
      <c r="I60" s="1"/>
      <c r="J60" s="1"/>
      <c r="K60" s="1"/>
      <c r="L60" s="8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91"/>
      <c r="B61" s="92"/>
      <c r="C61" s="93"/>
      <c r="D61" s="93"/>
      <c r="E61" s="61"/>
      <c r="H61" s="7"/>
      <c r="I61" s="7"/>
      <c r="J61" s="7"/>
      <c r="K61" s="7"/>
      <c r="L61" s="94"/>
      <c r="M61" s="95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96"/>
      <c r="B62" s="61"/>
      <c r="C62" s="61"/>
      <c r="D62" s="61"/>
      <c r="E62" s="7"/>
      <c r="F62" s="7"/>
      <c r="G62" s="1"/>
      <c r="H62" s="1"/>
      <c r="I62" s="1"/>
      <c r="J62" s="1"/>
      <c r="K62" s="1"/>
      <c r="L62" s="8"/>
      <c r="M62" s="97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96"/>
      <c r="B63" s="61"/>
      <c r="C63" s="61"/>
      <c r="D63" s="61"/>
      <c r="E63" s="7"/>
      <c r="F63" s="7"/>
      <c r="G63" s="1"/>
      <c r="H63" s="1"/>
      <c r="I63" s="1"/>
      <c r="J63" s="1"/>
      <c r="K63" s="1"/>
      <c r="L63" s="8"/>
      <c r="M63" s="97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98"/>
      <c r="B64" s="99"/>
      <c r="C64" s="99"/>
      <c r="D64" s="99"/>
      <c r="E64" s="100"/>
      <c r="F64" s="100"/>
      <c r="G64" s="101"/>
      <c r="H64" s="101"/>
      <c r="I64" s="101"/>
      <c r="J64" s="101"/>
      <c r="K64" s="101"/>
      <c r="L64" s="102"/>
      <c r="M64" s="97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03"/>
      <c r="C65" s="103"/>
      <c r="D65" s="103"/>
      <c r="E65" s="103"/>
      <c r="F65" s="103"/>
      <c r="G65" s="1"/>
      <c r="H65" s="1"/>
      <c r="I65" s="1"/>
      <c r="J65" s="1"/>
      <c r="K65" s="104"/>
      <c r="L65" s="104"/>
      <c r="M65" s="10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03"/>
      <c r="C66" s="103"/>
      <c r="D66" s="103"/>
      <c r="E66" s="103"/>
      <c r="F66" s="103"/>
      <c r="G66" s="1"/>
      <c r="H66" s="1"/>
      <c r="I66" s="1"/>
      <c r="J66" s="1"/>
      <c r="K66" s="104"/>
      <c r="L66" s="104"/>
      <c r="M66" s="10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03"/>
      <c r="C67" s="103"/>
      <c r="D67" s="103"/>
      <c r="E67" s="103"/>
      <c r="F67" s="103"/>
      <c r="G67" s="1"/>
      <c r="H67" s="1"/>
      <c r="I67" s="1"/>
      <c r="J67" s="1"/>
      <c r="K67" s="104"/>
      <c r="L67" s="104"/>
      <c r="M67" s="10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03"/>
      <c r="C68" s="103"/>
      <c r="D68" s="103"/>
      <c r="E68" s="103"/>
      <c r="F68" s="103"/>
      <c r="G68" s="1"/>
      <c r="H68" s="1"/>
      <c r="I68" s="1"/>
      <c r="J68" s="1"/>
      <c r="K68" s="104"/>
      <c r="L68" s="104"/>
      <c r="M68" s="10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03"/>
      <c r="C69" s="103"/>
      <c r="D69" s="103"/>
      <c r="E69" s="103"/>
      <c r="F69" s="10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03"/>
      <c r="C70" s="103"/>
      <c r="D70" s="103"/>
      <c r="E70" s="103"/>
      <c r="F70" s="103"/>
      <c r="G70" s="1"/>
      <c r="H70" s="1"/>
      <c r="I70" s="1"/>
      <c r="J70" s="1"/>
      <c r="K70" s="1"/>
      <c r="L70" s="10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03"/>
      <c r="C71" s="103"/>
      <c r="D71" s="103"/>
      <c r="E71" s="103"/>
      <c r="F71" s="10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03"/>
      <c r="C72" s="103"/>
      <c r="D72" s="103"/>
      <c r="E72" s="103"/>
      <c r="F72" s="10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03"/>
      <c r="C73" s="103"/>
      <c r="D73" s="103"/>
      <c r="E73" s="103"/>
      <c r="F73" s="10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03"/>
      <c r="C74" s="103"/>
      <c r="D74" s="103"/>
      <c r="E74" s="103"/>
      <c r="F74" s="10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3"/>
      <c r="C75" s="103"/>
      <c r="D75" s="103"/>
      <c r="E75" s="103"/>
      <c r="F75" s="10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3"/>
      <c r="C76" s="103"/>
      <c r="D76" s="103"/>
      <c r="E76" s="103"/>
      <c r="F76" s="10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29">
    <mergeCell ref="F14:F15"/>
    <mergeCell ref="G14:G15"/>
    <mergeCell ref="G53:G54"/>
    <mergeCell ref="I53:J54"/>
    <mergeCell ref="K53:K54"/>
    <mergeCell ref="L53:L54"/>
    <mergeCell ref="A9:L9"/>
    <mergeCell ref="E10:L10"/>
    <mergeCell ref="A13:B13"/>
    <mergeCell ref="C13:D13"/>
    <mergeCell ref="H13:H15"/>
    <mergeCell ref="I13:I14"/>
    <mergeCell ref="J13:L14"/>
    <mergeCell ref="J15:L15"/>
    <mergeCell ref="B57:C57"/>
    <mergeCell ref="B58:C58"/>
    <mergeCell ref="G58:G59"/>
    <mergeCell ref="I58:J59"/>
    <mergeCell ref="K58:K59"/>
    <mergeCell ref="L58:L59"/>
    <mergeCell ref="B59:C59"/>
    <mergeCell ref="E61:G61"/>
    <mergeCell ref="B14:D14"/>
    <mergeCell ref="E14:E15"/>
    <mergeCell ref="B16:D16"/>
    <mergeCell ref="B53:C53"/>
    <mergeCell ref="B54:C54"/>
    <mergeCell ref="B55:C55"/>
    <mergeCell ref="B56:C56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51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06" t="s">
        <v>132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2.0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1" si="1">SUM(E17:H17)</f>
        <v>0</v>
      </c>
      <c r="J17" s="57"/>
      <c r="K17" s="58">
        <f t="shared" ref="K17:K51" si="2">IF(M17&lt;6,5,M17)</f>
        <v>5</v>
      </c>
      <c r="L17" s="59"/>
      <c r="M17" s="60">
        <f t="shared" ref="M17:M5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40</v>
      </c>
      <c r="C23" s="53" t="s">
        <v>41</v>
      </c>
      <c r="D23" s="54" t="s">
        <v>42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43</v>
      </c>
      <c r="C24" s="53" t="s">
        <v>44</v>
      </c>
      <c r="D24" s="54" t="s">
        <v>45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46</v>
      </c>
      <c r="C25" s="53" t="s">
        <v>47</v>
      </c>
      <c r="D25" s="54" t="s">
        <v>48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49</v>
      </c>
      <c r="C26" s="53" t="s">
        <v>50</v>
      </c>
      <c r="D26" s="54" t="s">
        <v>51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52</v>
      </c>
      <c r="C27" s="53" t="s">
        <v>53</v>
      </c>
      <c r="D27" s="54" t="s">
        <v>54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55</v>
      </c>
      <c r="C28" s="53" t="s">
        <v>56</v>
      </c>
      <c r="D28" s="54" t="s">
        <v>57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55</v>
      </c>
      <c r="C29" s="53" t="s">
        <v>58</v>
      </c>
      <c r="D29" s="54" t="s">
        <v>59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60</v>
      </c>
      <c r="C30" s="53" t="s">
        <v>61</v>
      </c>
      <c r="D30" s="54" t="s">
        <v>62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63</v>
      </c>
      <c r="C31" s="53" t="s">
        <v>64</v>
      </c>
      <c r="D31" s="54" t="s">
        <v>65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66</v>
      </c>
      <c r="C32" s="53" t="s">
        <v>67</v>
      </c>
      <c r="D32" s="54" t="s">
        <v>68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69</v>
      </c>
      <c r="C33" s="53" t="s">
        <v>70</v>
      </c>
      <c r="D33" s="54" t="s">
        <v>71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72</v>
      </c>
      <c r="C34" s="53" t="s">
        <v>73</v>
      </c>
      <c r="D34" s="54" t="s">
        <v>74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75</v>
      </c>
      <c r="C35" s="53" t="s">
        <v>76</v>
      </c>
      <c r="D35" s="54" t="s">
        <v>77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78</v>
      </c>
      <c r="C36" s="53" t="s">
        <v>79</v>
      </c>
      <c r="D36" s="54" t="s">
        <v>80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78</v>
      </c>
      <c r="C37" s="53" t="s">
        <v>81</v>
      </c>
      <c r="D37" s="54" t="s">
        <v>82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78</v>
      </c>
      <c r="C38" s="53" t="s">
        <v>47</v>
      </c>
      <c r="D38" s="54" t="s">
        <v>83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78</v>
      </c>
      <c r="C39" s="53" t="s">
        <v>84</v>
      </c>
      <c r="D39" s="54" t="s">
        <v>85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78</v>
      </c>
      <c r="C40" s="53" t="s">
        <v>86</v>
      </c>
      <c r="D40" s="54" t="s">
        <v>87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88</v>
      </c>
      <c r="C41" s="53" t="s">
        <v>89</v>
      </c>
      <c r="D41" s="54" t="s">
        <v>90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91</v>
      </c>
      <c r="C42" s="53" t="s">
        <v>92</v>
      </c>
      <c r="D42" s="54" t="s">
        <v>93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94</v>
      </c>
      <c r="C43" s="53" t="s">
        <v>95</v>
      </c>
      <c r="D43" s="54" t="s">
        <v>96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64</v>
      </c>
      <c r="C44" s="53" t="s">
        <v>97</v>
      </c>
      <c r="D44" s="54" t="s">
        <v>98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99</v>
      </c>
      <c r="C45" s="53" t="s">
        <v>100</v>
      </c>
      <c r="D45" s="54" t="s">
        <v>59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35</v>
      </c>
      <c r="C46" s="53" t="s">
        <v>44</v>
      </c>
      <c r="D46" s="54" t="s">
        <v>101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102</v>
      </c>
      <c r="C47" s="53" t="s">
        <v>103</v>
      </c>
      <c r="D47" s="54" t="s">
        <v>104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105</v>
      </c>
      <c r="C48" s="53" t="s">
        <v>106</v>
      </c>
      <c r="D48" s="54" t="s">
        <v>107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108</v>
      </c>
      <c r="C49" s="53" t="s">
        <v>109</v>
      </c>
      <c r="D49" s="54" t="s">
        <v>110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111</v>
      </c>
      <c r="C50" s="53" t="s">
        <v>112</v>
      </c>
      <c r="D50" s="54" t="s">
        <v>113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114</v>
      </c>
      <c r="C51" s="53" t="s">
        <v>115</v>
      </c>
      <c r="D51" s="54" t="s">
        <v>116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6"/>
      <c r="B52" s="61"/>
      <c r="C52" s="61"/>
      <c r="D52" s="61"/>
      <c r="E52" s="62"/>
      <c r="F52" s="62"/>
      <c r="G52" s="61"/>
      <c r="H52" s="61"/>
      <c r="I52" s="61"/>
      <c r="J52" s="61"/>
      <c r="K52" s="1"/>
      <c r="L52" s="8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1.75" customHeight="1">
      <c r="B53" s="63" t="s">
        <v>117</v>
      </c>
      <c r="C53" s="64"/>
      <c r="D53" s="65">
        <f>COUNT(A17:A51)</f>
        <v>35</v>
      </c>
      <c r="E53" s="61"/>
      <c r="F53" s="61"/>
      <c r="G53" s="66" t="s">
        <v>118</v>
      </c>
      <c r="H53" s="66"/>
      <c r="I53" s="66" t="s">
        <v>119</v>
      </c>
      <c r="K53" s="67" t="s">
        <v>120</v>
      </c>
      <c r="L53" s="68" t="s">
        <v>121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1.75" customHeight="1">
      <c r="B54" s="69" t="s">
        <v>122</v>
      </c>
      <c r="C54" s="70"/>
      <c r="D54" s="71">
        <f>COUNTIF(K17:K51,"BAJA")</f>
        <v>0</v>
      </c>
      <c r="E54" s="61"/>
      <c r="F54" s="61"/>
      <c r="H54" s="66"/>
      <c r="L54" s="10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1.75" customHeight="1">
      <c r="B55" s="69" t="s">
        <v>123</v>
      </c>
      <c r="C55" s="70"/>
      <c r="D55" s="72">
        <f>D53-D54</f>
        <v>35</v>
      </c>
      <c r="E55" s="61"/>
      <c r="F55" s="61"/>
      <c r="G55" s="73"/>
      <c r="H55" s="74"/>
      <c r="I55" s="73"/>
      <c r="J55" s="73"/>
      <c r="K55" s="75"/>
      <c r="L55" s="76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1.75" customHeight="1">
      <c r="B56" s="69" t="s">
        <v>124</v>
      </c>
      <c r="C56" s="70"/>
      <c r="D56" s="77">
        <f>COUNTIF(K17:K51,"&gt;=6")</f>
        <v>0</v>
      </c>
      <c r="E56" s="61"/>
      <c r="F56" s="61"/>
      <c r="G56" s="73"/>
      <c r="H56" s="74"/>
      <c r="I56" s="73"/>
      <c r="J56" s="73"/>
      <c r="K56" s="75"/>
      <c r="L56" s="76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1.75" customHeight="1">
      <c r="B57" s="69" t="s">
        <v>125</v>
      </c>
      <c r="C57" s="70"/>
      <c r="D57" s="77">
        <f>D55-D56</f>
        <v>35</v>
      </c>
      <c r="E57" s="61"/>
      <c r="F57" s="61"/>
      <c r="G57" s="78"/>
      <c r="H57" s="74"/>
      <c r="I57" s="78"/>
      <c r="J57" s="78"/>
      <c r="K57" s="79"/>
      <c r="L57" s="80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75" customHeight="1">
      <c r="B58" s="69" t="s">
        <v>126</v>
      </c>
      <c r="C58" s="70"/>
      <c r="D58" s="81">
        <f>D56*100/D55</f>
        <v>0</v>
      </c>
      <c r="E58" s="61"/>
      <c r="F58" s="61"/>
      <c r="G58" s="82" t="s">
        <v>127</v>
      </c>
      <c r="H58" s="83"/>
      <c r="I58" s="84" t="s">
        <v>128</v>
      </c>
      <c r="K58" s="85" t="s">
        <v>129</v>
      </c>
      <c r="L58" s="86" t="s">
        <v>130</v>
      </c>
      <c r="M58" s="87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B59" s="88" t="s">
        <v>131</v>
      </c>
      <c r="C59" s="89"/>
      <c r="D59" s="90">
        <f>AVERAGE(K17:K51)</f>
        <v>5</v>
      </c>
      <c r="E59" s="61"/>
      <c r="F59" s="61"/>
      <c r="H59" s="83"/>
      <c r="L59" s="10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6"/>
      <c r="B60" s="1"/>
      <c r="C60" s="1"/>
      <c r="D60" s="1"/>
      <c r="E60" s="1"/>
      <c r="F60" s="1"/>
      <c r="G60" s="1"/>
      <c r="H60" s="1"/>
      <c r="I60" s="1"/>
      <c r="J60" s="1"/>
      <c r="K60" s="1"/>
      <c r="L60" s="8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91"/>
      <c r="B61" s="92"/>
      <c r="C61" s="93"/>
      <c r="D61" s="93"/>
      <c r="E61" s="61"/>
      <c r="H61" s="7"/>
      <c r="I61" s="7"/>
      <c r="J61" s="7"/>
      <c r="K61" s="7"/>
      <c r="L61" s="94"/>
      <c r="M61" s="95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96"/>
      <c r="B62" s="61"/>
      <c r="C62" s="61"/>
      <c r="D62" s="61"/>
      <c r="E62" s="7"/>
      <c r="F62" s="7"/>
      <c r="G62" s="1"/>
      <c r="H62" s="1"/>
      <c r="I62" s="1"/>
      <c r="J62" s="1"/>
      <c r="K62" s="1"/>
      <c r="L62" s="8"/>
      <c r="M62" s="97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96"/>
      <c r="B63" s="61"/>
      <c r="C63" s="61"/>
      <c r="D63" s="61"/>
      <c r="E63" s="7"/>
      <c r="F63" s="7"/>
      <c r="G63" s="1"/>
      <c r="H63" s="1"/>
      <c r="I63" s="1"/>
      <c r="J63" s="1"/>
      <c r="K63" s="1"/>
      <c r="L63" s="8"/>
      <c r="M63" s="97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98"/>
      <c r="B64" s="99"/>
      <c r="C64" s="99"/>
      <c r="D64" s="99"/>
      <c r="E64" s="100"/>
      <c r="F64" s="100"/>
      <c r="G64" s="101"/>
      <c r="H64" s="101"/>
      <c r="I64" s="101"/>
      <c r="J64" s="101"/>
      <c r="K64" s="101"/>
      <c r="L64" s="102"/>
      <c r="M64" s="97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03"/>
      <c r="C65" s="103"/>
      <c r="D65" s="103"/>
      <c r="E65" s="103"/>
      <c r="F65" s="103"/>
      <c r="G65" s="1"/>
      <c r="H65" s="1"/>
      <c r="I65" s="1"/>
      <c r="J65" s="1"/>
      <c r="K65" s="104"/>
      <c r="L65" s="104"/>
      <c r="M65" s="10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03"/>
      <c r="C66" s="103"/>
      <c r="D66" s="103"/>
      <c r="E66" s="103"/>
      <c r="F66" s="103"/>
      <c r="G66" s="1"/>
      <c r="H66" s="1"/>
      <c r="I66" s="1"/>
      <c r="J66" s="1"/>
      <c r="K66" s="104"/>
      <c r="L66" s="104"/>
      <c r="M66" s="10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03"/>
      <c r="C67" s="103"/>
      <c r="D67" s="103"/>
      <c r="E67" s="103"/>
      <c r="F67" s="103"/>
      <c r="G67" s="1"/>
      <c r="H67" s="1"/>
      <c r="I67" s="1"/>
      <c r="J67" s="1"/>
      <c r="K67" s="104"/>
      <c r="L67" s="104"/>
      <c r="M67" s="10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03"/>
      <c r="C68" s="103"/>
      <c r="D68" s="103"/>
      <c r="E68" s="103"/>
      <c r="F68" s="103"/>
      <c r="G68" s="1"/>
      <c r="H68" s="1"/>
      <c r="I68" s="1"/>
      <c r="J68" s="1"/>
      <c r="K68" s="104"/>
      <c r="L68" s="104"/>
      <c r="M68" s="10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03"/>
      <c r="C69" s="103"/>
      <c r="D69" s="103"/>
      <c r="E69" s="103"/>
      <c r="F69" s="10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03"/>
      <c r="C70" s="103"/>
      <c r="D70" s="103"/>
      <c r="E70" s="103"/>
      <c r="F70" s="103"/>
      <c r="G70" s="1"/>
      <c r="H70" s="1"/>
      <c r="I70" s="1"/>
      <c r="J70" s="1"/>
      <c r="K70" s="1"/>
      <c r="L70" s="10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03"/>
      <c r="C71" s="103"/>
      <c r="D71" s="103"/>
      <c r="E71" s="103"/>
      <c r="F71" s="10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03"/>
      <c r="C72" s="103"/>
      <c r="D72" s="103"/>
      <c r="E72" s="103"/>
      <c r="F72" s="10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03"/>
      <c r="C73" s="103"/>
      <c r="D73" s="103"/>
      <c r="E73" s="103"/>
      <c r="F73" s="10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03"/>
      <c r="C74" s="103"/>
      <c r="D74" s="103"/>
      <c r="E74" s="103"/>
      <c r="F74" s="10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3"/>
      <c r="C75" s="103"/>
      <c r="D75" s="103"/>
      <c r="E75" s="103"/>
      <c r="F75" s="10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3"/>
      <c r="C76" s="103"/>
      <c r="D76" s="103"/>
      <c r="E76" s="103"/>
      <c r="F76" s="10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F14:F15"/>
    <mergeCell ref="G14:G15"/>
    <mergeCell ref="G53:G54"/>
    <mergeCell ref="I53:J54"/>
    <mergeCell ref="K53:K54"/>
    <mergeCell ref="L53:L54"/>
    <mergeCell ref="A9:L9"/>
    <mergeCell ref="E10:L10"/>
    <mergeCell ref="A13:B13"/>
    <mergeCell ref="C13:D13"/>
    <mergeCell ref="H13:H15"/>
    <mergeCell ref="I13:I14"/>
    <mergeCell ref="J13:L14"/>
    <mergeCell ref="J15:L15"/>
    <mergeCell ref="B57:C57"/>
    <mergeCell ref="B58:C58"/>
    <mergeCell ref="G58:G59"/>
    <mergeCell ref="I58:J59"/>
    <mergeCell ref="K58:K59"/>
    <mergeCell ref="L58:L59"/>
    <mergeCell ref="B59:C59"/>
    <mergeCell ref="E61:G61"/>
    <mergeCell ref="B14:D14"/>
    <mergeCell ref="E14:E15"/>
    <mergeCell ref="B16:D16"/>
    <mergeCell ref="B53:C53"/>
    <mergeCell ref="B54:C54"/>
    <mergeCell ref="B55:C55"/>
    <mergeCell ref="B56:C56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70 L17:L68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9568480300187618"/>
  <pageSetup scale="41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06" t="s">
        <v>133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2.0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1" si="1">SUM(E17:H17)</f>
        <v>0</v>
      </c>
      <c r="J17" s="57"/>
      <c r="K17" s="58">
        <f t="shared" ref="K17:K51" si="2">IF(M17&lt;6,5,M17)</f>
        <v>5</v>
      </c>
      <c r="L17" s="59"/>
      <c r="M17" s="60">
        <f t="shared" ref="M17:M5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40</v>
      </c>
      <c r="C23" s="53" t="s">
        <v>41</v>
      </c>
      <c r="D23" s="54" t="s">
        <v>42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43</v>
      </c>
      <c r="C24" s="53" t="s">
        <v>44</v>
      </c>
      <c r="D24" s="54" t="s">
        <v>45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46</v>
      </c>
      <c r="C25" s="53" t="s">
        <v>47</v>
      </c>
      <c r="D25" s="54" t="s">
        <v>48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49</v>
      </c>
      <c r="C26" s="53" t="s">
        <v>50</v>
      </c>
      <c r="D26" s="54" t="s">
        <v>51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52</v>
      </c>
      <c r="C27" s="53" t="s">
        <v>53</v>
      </c>
      <c r="D27" s="54" t="s">
        <v>54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55</v>
      </c>
      <c r="C28" s="53" t="s">
        <v>56</v>
      </c>
      <c r="D28" s="54" t="s">
        <v>57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55</v>
      </c>
      <c r="C29" s="53" t="s">
        <v>58</v>
      </c>
      <c r="D29" s="54" t="s">
        <v>59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60</v>
      </c>
      <c r="C30" s="53" t="s">
        <v>61</v>
      </c>
      <c r="D30" s="54" t="s">
        <v>62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63</v>
      </c>
      <c r="C31" s="53" t="s">
        <v>64</v>
      </c>
      <c r="D31" s="54" t="s">
        <v>65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66</v>
      </c>
      <c r="C32" s="53" t="s">
        <v>67</v>
      </c>
      <c r="D32" s="54" t="s">
        <v>68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69</v>
      </c>
      <c r="C33" s="53" t="s">
        <v>70</v>
      </c>
      <c r="D33" s="54" t="s">
        <v>71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72</v>
      </c>
      <c r="C34" s="53" t="s">
        <v>73</v>
      </c>
      <c r="D34" s="54" t="s">
        <v>74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75</v>
      </c>
      <c r="C35" s="53" t="s">
        <v>76</v>
      </c>
      <c r="D35" s="54" t="s">
        <v>77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78</v>
      </c>
      <c r="C36" s="53" t="s">
        <v>79</v>
      </c>
      <c r="D36" s="54" t="s">
        <v>80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78</v>
      </c>
      <c r="C37" s="53" t="s">
        <v>81</v>
      </c>
      <c r="D37" s="54" t="s">
        <v>82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78</v>
      </c>
      <c r="C38" s="53" t="s">
        <v>47</v>
      </c>
      <c r="D38" s="54" t="s">
        <v>83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78</v>
      </c>
      <c r="C39" s="53" t="s">
        <v>84</v>
      </c>
      <c r="D39" s="54" t="s">
        <v>85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78</v>
      </c>
      <c r="C40" s="53" t="s">
        <v>86</v>
      </c>
      <c r="D40" s="54" t="s">
        <v>87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88</v>
      </c>
      <c r="C41" s="53" t="s">
        <v>89</v>
      </c>
      <c r="D41" s="54" t="s">
        <v>90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91</v>
      </c>
      <c r="C42" s="53" t="s">
        <v>92</v>
      </c>
      <c r="D42" s="54" t="s">
        <v>93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94</v>
      </c>
      <c r="C43" s="53" t="s">
        <v>95</v>
      </c>
      <c r="D43" s="54" t="s">
        <v>96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64</v>
      </c>
      <c r="C44" s="53" t="s">
        <v>97</v>
      </c>
      <c r="D44" s="54" t="s">
        <v>98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99</v>
      </c>
      <c r="C45" s="53" t="s">
        <v>100</v>
      </c>
      <c r="D45" s="54" t="s">
        <v>59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35</v>
      </c>
      <c r="C46" s="53" t="s">
        <v>44</v>
      </c>
      <c r="D46" s="54" t="s">
        <v>101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102</v>
      </c>
      <c r="C47" s="53" t="s">
        <v>103</v>
      </c>
      <c r="D47" s="54" t="s">
        <v>104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105</v>
      </c>
      <c r="C48" s="53" t="s">
        <v>106</v>
      </c>
      <c r="D48" s="54" t="s">
        <v>107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108</v>
      </c>
      <c r="C49" s="53" t="s">
        <v>109</v>
      </c>
      <c r="D49" s="54" t="s">
        <v>110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111</v>
      </c>
      <c r="C50" s="53" t="s">
        <v>112</v>
      </c>
      <c r="D50" s="54" t="s">
        <v>113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114</v>
      </c>
      <c r="C51" s="53" t="s">
        <v>115</v>
      </c>
      <c r="D51" s="54" t="s">
        <v>116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6"/>
      <c r="B52" s="61"/>
      <c r="C52" s="61"/>
      <c r="D52" s="61"/>
      <c r="E52" s="62"/>
      <c r="F52" s="62"/>
      <c r="G52" s="61"/>
      <c r="H52" s="61"/>
      <c r="I52" s="61"/>
      <c r="J52" s="61"/>
      <c r="K52" s="1"/>
      <c r="L52" s="8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1.75" customHeight="1">
      <c r="B53" s="63" t="s">
        <v>117</v>
      </c>
      <c r="C53" s="64"/>
      <c r="D53" s="65">
        <f>COUNT(A17:A51)</f>
        <v>35</v>
      </c>
      <c r="E53" s="61"/>
      <c r="F53" s="61"/>
      <c r="G53" s="66" t="s">
        <v>118</v>
      </c>
      <c r="H53" s="66"/>
      <c r="I53" s="66" t="s">
        <v>119</v>
      </c>
      <c r="K53" s="67" t="s">
        <v>120</v>
      </c>
      <c r="L53" s="68" t="s">
        <v>121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1.75" customHeight="1">
      <c r="B54" s="69" t="s">
        <v>122</v>
      </c>
      <c r="C54" s="70"/>
      <c r="D54" s="71">
        <f>COUNTIF(K17:K51,"BAJA")</f>
        <v>0</v>
      </c>
      <c r="E54" s="61"/>
      <c r="F54" s="61"/>
      <c r="H54" s="66"/>
      <c r="L54" s="10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1.75" customHeight="1">
      <c r="B55" s="69" t="s">
        <v>123</v>
      </c>
      <c r="C55" s="70"/>
      <c r="D55" s="72">
        <f>D53-D54</f>
        <v>35</v>
      </c>
      <c r="E55" s="61"/>
      <c r="F55" s="61"/>
      <c r="G55" s="73"/>
      <c r="H55" s="74"/>
      <c r="I55" s="73"/>
      <c r="J55" s="73"/>
      <c r="K55" s="75"/>
      <c r="L55" s="76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1.75" customHeight="1">
      <c r="B56" s="69" t="s">
        <v>124</v>
      </c>
      <c r="C56" s="70"/>
      <c r="D56" s="77">
        <f>COUNTIF(K17:K51,"&gt;=6")</f>
        <v>0</v>
      </c>
      <c r="E56" s="61"/>
      <c r="F56" s="61"/>
      <c r="G56" s="73"/>
      <c r="H56" s="74"/>
      <c r="I56" s="73"/>
      <c r="J56" s="73"/>
      <c r="K56" s="75"/>
      <c r="L56" s="76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1.75" customHeight="1">
      <c r="B57" s="69" t="s">
        <v>125</v>
      </c>
      <c r="C57" s="70"/>
      <c r="D57" s="77">
        <f>D55-D56</f>
        <v>35</v>
      </c>
      <c r="E57" s="61"/>
      <c r="F57" s="61"/>
      <c r="G57" s="78"/>
      <c r="H57" s="74"/>
      <c r="I57" s="78"/>
      <c r="J57" s="78"/>
      <c r="K57" s="79"/>
      <c r="L57" s="80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75" customHeight="1">
      <c r="B58" s="69" t="s">
        <v>126</v>
      </c>
      <c r="C58" s="70"/>
      <c r="D58" s="81">
        <f>D56*100/D55</f>
        <v>0</v>
      </c>
      <c r="E58" s="61"/>
      <c r="F58" s="61"/>
      <c r="G58" s="82" t="s">
        <v>127</v>
      </c>
      <c r="H58" s="83"/>
      <c r="I58" s="84" t="s">
        <v>128</v>
      </c>
      <c r="K58" s="85" t="s">
        <v>129</v>
      </c>
      <c r="L58" s="86" t="s">
        <v>130</v>
      </c>
      <c r="M58" s="87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B59" s="88" t="s">
        <v>131</v>
      </c>
      <c r="C59" s="89"/>
      <c r="D59" s="90">
        <f>AVERAGE(K17:K51)</f>
        <v>5</v>
      </c>
      <c r="E59" s="61"/>
      <c r="F59" s="61"/>
      <c r="H59" s="83"/>
      <c r="L59" s="10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6"/>
      <c r="B60" s="1"/>
      <c r="C60" s="1"/>
      <c r="D60" s="1"/>
      <c r="E60" s="1"/>
      <c r="F60" s="1"/>
      <c r="G60" s="1"/>
      <c r="H60" s="1"/>
      <c r="I60" s="1"/>
      <c r="J60" s="1"/>
      <c r="K60" s="1"/>
      <c r="L60" s="8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91"/>
      <c r="B61" s="92"/>
      <c r="C61" s="93"/>
      <c r="D61" s="93"/>
      <c r="E61" s="61"/>
      <c r="H61" s="7"/>
      <c r="I61" s="7"/>
      <c r="J61" s="7"/>
      <c r="K61" s="7"/>
      <c r="L61" s="94"/>
      <c r="M61" s="95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96"/>
      <c r="B62" s="61"/>
      <c r="C62" s="61"/>
      <c r="D62" s="61"/>
      <c r="E62" s="7"/>
      <c r="F62" s="7"/>
      <c r="G62" s="1"/>
      <c r="H62" s="1"/>
      <c r="I62" s="1"/>
      <c r="J62" s="1"/>
      <c r="K62" s="1"/>
      <c r="L62" s="8"/>
      <c r="M62" s="97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96"/>
      <c r="B63" s="61"/>
      <c r="C63" s="61"/>
      <c r="D63" s="61"/>
      <c r="E63" s="7"/>
      <c r="F63" s="7"/>
      <c r="G63" s="1"/>
      <c r="H63" s="1"/>
      <c r="I63" s="1"/>
      <c r="J63" s="1"/>
      <c r="K63" s="1"/>
      <c r="L63" s="8"/>
      <c r="M63" s="97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98"/>
      <c r="B64" s="99"/>
      <c r="C64" s="99"/>
      <c r="D64" s="99"/>
      <c r="E64" s="100"/>
      <c r="F64" s="100"/>
      <c r="G64" s="101"/>
      <c r="H64" s="101"/>
      <c r="I64" s="101"/>
      <c r="J64" s="101"/>
      <c r="K64" s="101"/>
      <c r="L64" s="102"/>
      <c r="M64" s="97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03"/>
      <c r="C65" s="103"/>
      <c r="D65" s="103"/>
      <c r="E65" s="103"/>
      <c r="F65" s="103"/>
      <c r="G65" s="1"/>
      <c r="H65" s="1"/>
      <c r="I65" s="1"/>
      <c r="J65" s="1"/>
      <c r="K65" s="104"/>
      <c r="L65" s="104"/>
      <c r="M65" s="10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03"/>
      <c r="C66" s="103"/>
      <c r="D66" s="103"/>
      <c r="E66" s="103"/>
      <c r="F66" s="103"/>
      <c r="G66" s="1"/>
      <c r="H66" s="1"/>
      <c r="I66" s="1"/>
      <c r="J66" s="1"/>
      <c r="K66" s="104"/>
      <c r="L66" s="104"/>
      <c r="M66" s="10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03"/>
      <c r="C67" s="103"/>
      <c r="D67" s="103"/>
      <c r="E67" s="103"/>
      <c r="F67" s="103"/>
      <c r="G67" s="1"/>
      <c r="H67" s="1"/>
      <c r="I67" s="1"/>
      <c r="J67" s="1"/>
      <c r="K67" s="104"/>
      <c r="L67" s="104"/>
      <c r="M67" s="10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03"/>
      <c r="C68" s="103"/>
      <c r="D68" s="103"/>
      <c r="E68" s="103"/>
      <c r="F68" s="103"/>
      <c r="G68" s="1"/>
      <c r="H68" s="1"/>
      <c r="I68" s="1"/>
      <c r="J68" s="1"/>
      <c r="K68" s="104"/>
      <c r="L68" s="104"/>
      <c r="M68" s="10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03"/>
      <c r="C69" s="103"/>
      <c r="D69" s="103"/>
      <c r="E69" s="103"/>
      <c r="F69" s="10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03"/>
      <c r="C70" s="103"/>
      <c r="D70" s="103"/>
      <c r="E70" s="103"/>
      <c r="F70" s="103"/>
      <c r="G70" s="1"/>
      <c r="H70" s="1"/>
      <c r="I70" s="1"/>
      <c r="J70" s="1"/>
      <c r="K70" s="1"/>
      <c r="L70" s="10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03"/>
      <c r="C71" s="103"/>
      <c r="D71" s="103"/>
      <c r="E71" s="103"/>
      <c r="F71" s="10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03"/>
      <c r="C72" s="103"/>
      <c r="D72" s="103"/>
      <c r="E72" s="103"/>
      <c r="F72" s="10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03"/>
      <c r="C73" s="103"/>
      <c r="D73" s="103"/>
      <c r="E73" s="103"/>
      <c r="F73" s="10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03"/>
      <c r="C74" s="103"/>
      <c r="D74" s="103"/>
      <c r="E74" s="103"/>
      <c r="F74" s="10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3"/>
      <c r="C75" s="103"/>
      <c r="D75" s="103"/>
      <c r="E75" s="103"/>
      <c r="F75" s="10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3"/>
      <c r="C76" s="103"/>
      <c r="D76" s="103"/>
      <c r="E76" s="103"/>
      <c r="F76" s="10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F14:F15"/>
    <mergeCell ref="G14:G15"/>
    <mergeCell ref="G53:G54"/>
    <mergeCell ref="I53:J54"/>
    <mergeCell ref="K53:K54"/>
    <mergeCell ref="L53:L54"/>
    <mergeCell ref="A9:L9"/>
    <mergeCell ref="E10:L10"/>
    <mergeCell ref="A13:B13"/>
    <mergeCell ref="C13:D13"/>
    <mergeCell ref="H13:H15"/>
    <mergeCell ref="I13:I14"/>
    <mergeCell ref="J13:L14"/>
    <mergeCell ref="J15:L15"/>
    <mergeCell ref="B57:C57"/>
    <mergeCell ref="B58:C58"/>
    <mergeCell ref="G58:G59"/>
    <mergeCell ref="I58:J59"/>
    <mergeCell ref="K58:K59"/>
    <mergeCell ref="L58:L59"/>
    <mergeCell ref="B59:C59"/>
    <mergeCell ref="E61:G61"/>
    <mergeCell ref="B14:D14"/>
    <mergeCell ref="E14:E15"/>
    <mergeCell ref="B16:D16"/>
    <mergeCell ref="B53:C53"/>
    <mergeCell ref="B54:C54"/>
    <mergeCell ref="B55:C55"/>
    <mergeCell ref="B56:C56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70 L17:L6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06" t="s">
        <v>134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2.0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1" si="1">SUM(E17:H17)</f>
        <v>0</v>
      </c>
      <c r="J17" s="57"/>
      <c r="K17" s="58">
        <f t="shared" ref="K17:K51" si="2">IF(M17&lt;6,5,M17)</f>
        <v>5</v>
      </c>
      <c r="L17" s="59"/>
      <c r="M17" s="60">
        <f t="shared" ref="M17:M5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40</v>
      </c>
      <c r="C23" s="53" t="s">
        <v>41</v>
      </c>
      <c r="D23" s="54" t="s">
        <v>42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43</v>
      </c>
      <c r="C24" s="53" t="s">
        <v>44</v>
      </c>
      <c r="D24" s="54" t="s">
        <v>45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46</v>
      </c>
      <c r="C25" s="53" t="s">
        <v>47</v>
      </c>
      <c r="D25" s="54" t="s">
        <v>48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49</v>
      </c>
      <c r="C26" s="53" t="s">
        <v>50</v>
      </c>
      <c r="D26" s="54" t="s">
        <v>51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52</v>
      </c>
      <c r="C27" s="53" t="s">
        <v>53</v>
      </c>
      <c r="D27" s="54" t="s">
        <v>54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55</v>
      </c>
      <c r="C28" s="53" t="s">
        <v>56</v>
      </c>
      <c r="D28" s="54" t="s">
        <v>57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55</v>
      </c>
      <c r="C29" s="53" t="s">
        <v>58</v>
      </c>
      <c r="D29" s="54" t="s">
        <v>59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60</v>
      </c>
      <c r="C30" s="53" t="s">
        <v>61</v>
      </c>
      <c r="D30" s="54" t="s">
        <v>62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63</v>
      </c>
      <c r="C31" s="53" t="s">
        <v>64</v>
      </c>
      <c r="D31" s="54" t="s">
        <v>65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66</v>
      </c>
      <c r="C32" s="53" t="s">
        <v>67</v>
      </c>
      <c r="D32" s="54" t="s">
        <v>68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69</v>
      </c>
      <c r="C33" s="53" t="s">
        <v>70</v>
      </c>
      <c r="D33" s="54" t="s">
        <v>71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72</v>
      </c>
      <c r="C34" s="53" t="s">
        <v>73</v>
      </c>
      <c r="D34" s="54" t="s">
        <v>74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75</v>
      </c>
      <c r="C35" s="53" t="s">
        <v>76</v>
      </c>
      <c r="D35" s="54" t="s">
        <v>77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78</v>
      </c>
      <c r="C36" s="53" t="s">
        <v>79</v>
      </c>
      <c r="D36" s="54" t="s">
        <v>80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78</v>
      </c>
      <c r="C37" s="53" t="s">
        <v>81</v>
      </c>
      <c r="D37" s="54" t="s">
        <v>82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78</v>
      </c>
      <c r="C38" s="53" t="s">
        <v>47</v>
      </c>
      <c r="D38" s="54" t="s">
        <v>83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78</v>
      </c>
      <c r="C39" s="53" t="s">
        <v>84</v>
      </c>
      <c r="D39" s="54" t="s">
        <v>85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78</v>
      </c>
      <c r="C40" s="53" t="s">
        <v>86</v>
      </c>
      <c r="D40" s="54" t="s">
        <v>87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88</v>
      </c>
      <c r="C41" s="53" t="s">
        <v>89</v>
      </c>
      <c r="D41" s="54" t="s">
        <v>90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91</v>
      </c>
      <c r="C42" s="53" t="s">
        <v>92</v>
      </c>
      <c r="D42" s="54" t="s">
        <v>93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94</v>
      </c>
      <c r="C43" s="53" t="s">
        <v>95</v>
      </c>
      <c r="D43" s="54" t="s">
        <v>96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64</v>
      </c>
      <c r="C44" s="53" t="s">
        <v>97</v>
      </c>
      <c r="D44" s="54" t="s">
        <v>98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99</v>
      </c>
      <c r="C45" s="53" t="s">
        <v>100</v>
      </c>
      <c r="D45" s="54" t="s">
        <v>59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35</v>
      </c>
      <c r="C46" s="53" t="s">
        <v>44</v>
      </c>
      <c r="D46" s="54" t="s">
        <v>101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102</v>
      </c>
      <c r="C47" s="53" t="s">
        <v>103</v>
      </c>
      <c r="D47" s="54" t="s">
        <v>104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105</v>
      </c>
      <c r="C48" s="53" t="s">
        <v>106</v>
      </c>
      <c r="D48" s="54" t="s">
        <v>107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108</v>
      </c>
      <c r="C49" s="53" t="s">
        <v>109</v>
      </c>
      <c r="D49" s="54" t="s">
        <v>110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111</v>
      </c>
      <c r="C50" s="53" t="s">
        <v>112</v>
      </c>
      <c r="D50" s="54" t="s">
        <v>113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114</v>
      </c>
      <c r="C51" s="53" t="s">
        <v>115</v>
      </c>
      <c r="D51" s="54" t="s">
        <v>116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6"/>
      <c r="B52" s="61"/>
      <c r="C52" s="61"/>
      <c r="D52" s="61"/>
      <c r="E52" s="62"/>
      <c r="F52" s="62"/>
      <c r="G52" s="61"/>
      <c r="H52" s="61"/>
      <c r="I52" s="61"/>
      <c r="J52" s="61"/>
      <c r="K52" s="1"/>
      <c r="L52" s="8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1.75" customHeight="1">
      <c r="B53" s="63" t="s">
        <v>117</v>
      </c>
      <c r="C53" s="64"/>
      <c r="D53" s="65">
        <f>COUNT(A17:A51)</f>
        <v>35</v>
      </c>
      <c r="E53" s="61"/>
      <c r="F53" s="61"/>
      <c r="G53" s="66" t="s">
        <v>118</v>
      </c>
      <c r="H53" s="66"/>
      <c r="I53" s="66" t="s">
        <v>119</v>
      </c>
      <c r="K53" s="67" t="s">
        <v>120</v>
      </c>
      <c r="L53" s="68" t="s">
        <v>121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1.75" customHeight="1">
      <c r="B54" s="69" t="s">
        <v>122</v>
      </c>
      <c r="C54" s="70"/>
      <c r="D54" s="71">
        <f>COUNTIF(K17:K51,"BAJA")</f>
        <v>0</v>
      </c>
      <c r="E54" s="61"/>
      <c r="F54" s="61"/>
      <c r="H54" s="66"/>
      <c r="L54" s="10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1.75" customHeight="1">
      <c r="B55" s="69" t="s">
        <v>123</v>
      </c>
      <c r="C55" s="70"/>
      <c r="D55" s="72">
        <f>D53-D54</f>
        <v>35</v>
      </c>
      <c r="E55" s="61"/>
      <c r="F55" s="61"/>
      <c r="G55" s="73"/>
      <c r="H55" s="74"/>
      <c r="I55" s="73"/>
      <c r="J55" s="73"/>
      <c r="K55" s="75"/>
      <c r="L55" s="76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1.75" customHeight="1">
      <c r="B56" s="69" t="s">
        <v>124</v>
      </c>
      <c r="C56" s="70"/>
      <c r="D56" s="77">
        <f>COUNTIF(K17:K51,"&gt;=6")</f>
        <v>0</v>
      </c>
      <c r="E56" s="61"/>
      <c r="F56" s="61"/>
      <c r="G56" s="73"/>
      <c r="H56" s="74"/>
      <c r="I56" s="73"/>
      <c r="J56" s="73"/>
      <c r="K56" s="75"/>
      <c r="L56" s="76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1.75" customHeight="1">
      <c r="B57" s="69" t="s">
        <v>125</v>
      </c>
      <c r="C57" s="70"/>
      <c r="D57" s="77">
        <f>D55-D56</f>
        <v>35</v>
      </c>
      <c r="E57" s="61"/>
      <c r="F57" s="61"/>
      <c r="G57" s="78"/>
      <c r="H57" s="74"/>
      <c r="I57" s="78"/>
      <c r="J57" s="78"/>
      <c r="K57" s="79"/>
      <c r="L57" s="80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75" customHeight="1">
      <c r="B58" s="69" t="s">
        <v>126</v>
      </c>
      <c r="C58" s="70"/>
      <c r="D58" s="81">
        <f>D56*100/D55</f>
        <v>0</v>
      </c>
      <c r="E58" s="61"/>
      <c r="F58" s="61"/>
      <c r="G58" s="82" t="s">
        <v>127</v>
      </c>
      <c r="H58" s="83"/>
      <c r="I58" s="84" t="s">
        <v>128</v>
      </c>
      <c r="K58" s="85" t="s">
        <v>129</v>
      </c>
      <c r="L58" s="86" t="s">
        <v>130</v>
      </c>
      <c r="M58" s="87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B59" s="88" t="s">
        <v>131</v>
      </c>
      <c r="C59" s="89"/>
      <c r="D59" s="90">
        <f>AVERAGE(K17:K51)</f>
        <v>5</v>
      </c>
      <c r="E59" s="61"/>
      <c r="F59" s="61"/>
      <c r="H59" s="83"/>
      <c r="L59" s="10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6"/>
      <c r="B60" s="1"/>
      <c r="C60" s="1"/>
      <c r="D60" s="1"/>
      <c r="E60" s="1"/>
      <c r="F60" s="1"/>
      <c r="G60" s="1"/>
      <c r="H60" s="1"/>
      <c r="I60" s="1"/>
      <c r="J60" s="1"/>
      <c r="K60" s="1"/>
      <c r="L60" s="8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91"/>
      <c r="B61" s="92"/>
      <c r="C61" s="93"/>
      <c r="D61" s="93"/>
      <c r="E61" s="61"/>
      <c r="H61" s="7"/>
      <c r="I61" s="7"/>
      <c r="J61" s="7"/>
      <c r="K61" s="7"/>
      <c r="L61" s="94"/>
      <c r="M61" s="95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96"/>
      <c r="B62" s="61"/>
      <c r="C62" s="61"/>
      <c r="D62" s="61"/>
      <c r="E62" s="7"/>
      <c r="F62" s="7"/>
      <c r="G62" s="1"/>
      <c r="H62" s="1"/>
      <c r="I62" s="1"/>
      <c r="J62" s="1"/>
      <c r="K62" s="1"/>
      <c r="L62" s="8"/>
      <c r="M62" s="97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96"/>
      <c r="B63" s="61"/>
      <c r="C63" s="61"/>
      <c r="D63" s="61"/>
      <c r="E63" s="7"/>
      <c r="F63" s="7"/>
      <c r="G63" s="1"/>
      <c r="H63" s="1"/>
      <c r="I63" s="1"/>
      <c r="J63" s="1"/>
      <c r="K63" s="1"/>
      <c r="L63" s="8"/>
      <c r="M63" s="97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98"/>
      <c r="B64" s="99"/>
      <c r="C64" s="99"/>
      <c r="D64" s="99"/>
      <c r="E64" s="100"/>
      <c r="F64" s="100"/>
      <c r="G64" s="101"/>
      <c r="H64" s="101"/>
      <c r="I64" s="101"/>
      <c r="J64" s="101"/>
      <c r="K64" s="101"/>
      <c r="L64" s="102"/>
      <c r="M64" s="97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03"/>
      <c r="C65" s="103"/>
      <c r="D65" s="103"/>
      <c r="E65" s="103"/>
      <c r="F65" s="103"/>
      <c r="G65" s="1"/>
      <c r="H65" s="1"/>
      <c r="I65" s="1"/>
      <c r="J65" s="1"/>
      <c r="K65" s="104"/>
      <c r="L65" s="104"/>
      <c r="M65" s="10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03"/>
      <c r="C66" s="103"/>
      <c r="D66" s="103"/>
      <c r="E66" s="103"/>
      <c r="F66" s="103"/>
      <c r="G66" s="1"/>
      <c r="H66" s="1"/>
      <c r="I66" s="1"/>
      <c r="J66" s="1"/>
      <c r="K66" s="104"/>
      <c r="L66" s="104"/>
      <c r="M66" s="10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03"/>
      <c r="C67" s="103"/>
      <c r="D67" s="103"/>
      <c r="E67" s="103"/>
      <c r="F67" s="103"/>
      <c r="G67" s="1"/>
      <c r="H67" s="1"/>
      <c r="I67" s="1"/>
      <c r="J67" s="1"/>
      <c r="K67" s="104"/>
      <c r="L67" s="104"/>
      <c r="M67" s="10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03"/>
      <c r="C68" s="103"/>
      <c r="D68" s="103"/>
      <c r="E68" s="103"/>
      <c r="F68" s="103"/>
      <c r="G68" s="1"/>
      <c r="H68" s="1"/>
      <c r="I68" s="1"/>
      <c r="J68" s="1"/>
      <c r="K68" s="104"/>
      <c r="L68" s="104"/>
      <c r="M68" s="10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03"/>
      <c r="C69" s="103"/>
      <c r="D69" s="103"/>
      <c r="E69" s="103"/>
      <c r="F69" s="10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03"/>
      <c r="C70" s="103"/>
      <c r="D70" s="103"/>
      <c r="E70" s="103"/>
      <c r="F70" s="103"/>
      <c r="G70" s="1"/>
      <c r="H70" s="1"/>
      <c r="I70" s="1"/>
      <c r="J70" s="1"/>
      <c r="K70" s="1"/>
      <c r="L70" s="10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03"/>
      <c r="C71" s="103"/>
      <c r="D71" s="103"/>
      <c r="E71" s="103"/>
      <c r="F71" s="10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03"/>
      <c r="C72" s="103"/>
      <c r="D72" s="103"/>
      <c r="E72" s="103"/>
      <c r="F72" s="10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03"/>
      <c r="C73" s="103"/>
      <c r="D73" s="103"/>
      <c r="E73" s="103"/>
      <c r="F73" s="10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03"/>
      <c r="C74" s="103"/>
      <c r="D74" s="103"/>
      <c r="E74" s="103"/>
      <c r="F74" s="10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3"/>
      <c r="C75" s="103"/>
      <c r="D75" s="103"/>
      <c r="E75" s="103"/>
      <c r="F75" s="10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3"/>
      <c r="C76" s="103"/>
      <c r="D76" s="103"/>
      <c r="E76" s="103"/>
      <c r="F76" s="10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F14:F15"/>
    <mergeCell ref="G14:G15"/>
    <mergeCell ref="G53:G54"/>
    <mergeCell ref="I53:J54"/>
    <mergeCell ref="K53:K54"/>
    <mergeCell ref="L53:L54"/>
    <mergeCell ref="A9:L9"/>
    <mergeCell ref="E10:L10"/>
    <mergeCell ref="A13:B13"/>
    <mergeCell ref="C13:D13"/>
    <mergeCell ref="H13:H15"/>
    <mergeCell ref="I13:I14"/>
    <mergeCell ref="J13:L14"/>
    <mergeCell ref="J15:L15"/>
    <mergeCell ref="B57:C57"/>
    <mergeCell ref="B58:C58"/>
    <mergeCell ref="G58:G59"/>
    <mergeCell ref="I58:J59"/>
    <mergeCell ref="K58:K59"/>
    <mergeCell ref="L58:L59"/>
    <mergeCell ref="B59:C59"/>
    <mergeCell ref="E61:G61"/>
    <mergeCell ref="B14:D14"/>
    <mergeCell ref="E14:E15"/>
    <mergeCell ref="B16:D16"/>
    <mergeCell ref="B53:C53"/>
    <mergeCell ref="B54:C54"/>
    <mergeCell ref="B55:C55"/>
    <mergeCell ref="B56:C56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70 L17:L6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06" t="s">
        <v>135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2.0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1" si="1">SUM(E17:H17)</f>
        <v>0</v>
      </c>
      <c r="J17" s="57"/>
      <c r="K17" s="58">
        <f t="shared" ref="K17:K51" si="2">IF(M17&lt;6,5,M17)</f>
        <v>5</v>
      </c>
      <c r="L17" s="59"/>
      <c r="M17" s="60">
        <f t="shared" ref="M17:M5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40</v>
      </c>
      <c r="C23" s="53" t="s">
        <v>41</v>
      </c>
      <c r="D23" s="54" t="s">
        <v>42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43</v>
      </c>
      <c r="C24" s="53" t="s">
        <v>44</v>
      </c>
      <c r="D24" s="54" t="s">
        <v>45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46</v>
      </c>
      <c r="C25" s="53" t="s">
        <v>47</v>
      </c>
      <c r="D25" s="54" t="s">
        <v>48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49</v>
      </c>
      <c r="C26" s="53" t="s">
        <v>50</v>
      </c>
      <c r="D26" s="54" t="s">
        <v>51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52</v>
      </c>
      <c r="C27" s="53" t="s">
        <v>53</v>
      </c>
      <c r="D27" s="54" t="s">
        <v>54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55</v>
      </c>
      <c r="C28" s="53" t="s">
        <v>56</v>
      </c>
      <c r="D28" s="54" t="s">
        <v>57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55</v>
      </c>
      <c r="C29" s="53" t="s">
        <v>58</v>
      </c>
      <c r="D29" s="54" t="s">
        <v>59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60</v>
      </c>
      <c r="C30" s="53" t="s">
        <v>61</v>
      </c>
      <c r="D30" s="54" t="s">
        <v>62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63</v>
      </c>
      <c r="C31" s="53" t="s">
        <v>64</v>
      </c>
      <c r="D31" s="54" t="s">
        <v>65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66</v>
      </c>
      <c r="C32" s="53" t="s">
        <v>67</v>
      </c>
      <c r="D32" s="54" t="s">
        <v>68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69</v>
      </c>
      <c r="C33" s="53" t="s">
        <v>70</v>
      </c>
      <c r="D33" s="54" t="s">
        <v>71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72</v>
      </c>
      <c r="C34" s="53" t="s">
        <v>73</v>
      </c>
      <c r="D34" s="54" t="s">
        <v>74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75</v>
      </c>
      <c r="C35" s="53" t="s">
        <v>76</v>
      </c>
      <c r="D35" s="54" t="s">
        <v>77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78</v>
      </c>
      <c r="C36" s="53" t="s">
        <v>79</v>
      </c>
      <c r="D36" s="54" t="s">
        <v>80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78</v>
      </c>
      <c r="C37" s="53" t="s">
        <v>81</v>
      </c>
      <c r="D37" s="54" t="s">
        <v>82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78</v>
      </c>
      <c r="C38" s="53" t="s">
        <v>47</v>
      </c>
      <c r="D38" s="54" t="s">
        <v>83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78</v>
      </c>
      <c r="C39" s="53" t="s">
        <v>84</v>
      </c>
      <c r="D39" s="54" t="s">
        <v>85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78</v>
      </c>
      <c r="C40" s="53" t="s">
        <v>86</v>
      </c>
      <c r="D40" s="54" t="s">
        <v>87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88</v>
      </c>
      <c r="C41" s="53" t="s">
        <v>89</v>
      </c>
      <c r="D41" s="54" t="s">
        <v>90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91</v>
      </c>
      <c r="C42" s="53" t="s">
        <v>92</v>
      </c>
      <c r="D42" s="54" t="s">
        <v>93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94</v>
      </c>
      <c r="C43" s="53" t="s">
        <v>95</v>
      </c>
      <c r="D43" s="54" t="s">
        <v>96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64</v>
      </c>
      <c r="C44" s="53" t="s">
        <v>97</v>
      </c>
      <c r="D44" s="54" t="s">
        <v>98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99</v>
      </c>
      <c r="C45" s="53" t="s">
        <v>100</v>
      </c>
      <c r="D45" s="54" t="s">
        <v>59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35</v>
      </c>
      <c r="C46" s="53" t="s">
        <v>44</v>
      </c>
      <c r="D46" s="54" t="s">
        <v>101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102</v>
      </c>
      <c r="C47" s="53" t="s">
        <v>103</v>
      </c>
      <c r="D47" s="54" t="s">
        <v>104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105</v>
      </c>
      <c r="C48" s="53" t="s">
        <v>106</v>
      </c>
      <c r="D48" s="54" t="s">
        <v>107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108</v>
      </c>
      <c r="C49" s="53" t="s">
        <v>109</v>
      </c>
      <c r="D49" s="54" t="s">
        <v>110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111</v>
      </c>
      <c r="C50" s="53" t="s">
        <v>112</v>
      </c>
      <c r="D50" s="54" t="s">
        <v>113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114</v>
      </c>
      <c r="C51" s="53" t="s">
        <v>115</v>
      </c>
      <c r="D51" s="54" t="s">
        <v>116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6"/>
      <c r="B52" s="61"/>
      <c r="C52" s="61"/>
      <c r="D52" s="61"/>
      <c r="E52" s="62"/>
      <c r="F52" s="62"/>
      <c r="G52" s="61"/>
      <c r="H52" s="61"/>
      <c r="I52" s="61"/>
      <c r="J52" s="61"/>
      <c r="K52" s="1"/>
      <c r="L52" s="8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1.75" customHeight="1">
      <c r="B53" s="63" t="s">
        <v>117</v>
      </c>
      <c r="C53" s="64"/>
      <c r="D53" s="65">
        <f>COUNT(A17:A51)</f>
        <v>35</v>
      </c>
      <c r="E53" s="61"/>
      <c r="F53" s="61"/>
      <c r="G53" s="66" t="s">
        <v>118</v>
      </c>
      <c r="H53" s="66"/>
      <c r="I53" s="66" t="s">
        <v>119</v>
      </c>
      <c r="K53" s="67" t="s">
        <v>120</v>
      </c>
      <c r="L53" s="68" t="s">
        <v>121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1.75" customHeight="1">
      <c r="B54" s="69" t="s">
        <v>122</v>
      </c>
      <c r="C54" s="70"/>
      <c r="D54" s="71">
        <f>COUNTIF(K17:K51,"BAJA")</f>
        <v>0</v>
      </c>
      <c r="E54" s="61"/>
      <c r="F54" s="61"/>
      <c r="H54" s="66"/>
      <c r="L54" s="10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1.75" customHeight="1">
      <c r="B55" s="69" t="s">
        <v>123</v>
      </c>
      <c r="C55" s="70"/>
      <c r="D55" s="72">
        <f>D53-D54</f>
        <v>35</v>
      </c>
      <c r="E55" s="61"/>
      <c r="F55" s="61"/>
      <c r="G55" s="73"/>
      <c r="H55" s="74"/>
      <c r="I55" s="73"/>
      <c r="J55" s="73"/>
      <c r="K55" s="75"/>
      <c r="L55" s="76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1.75" customHeight="1">
      <c r="B56" s="69" t="s">
        <v>124</v>
      </c>
      <c r="C56" s="70"/>
      <c r="D56" s="77">
        <f>COUNTIF(K17:K51,"&gt;=6")</f>
        <v>0</v>
      </c>
      <c r="E56" s="61"/>
      <c r="F56" s="61"/>
      <c r="G56" s="73"/>
      <c r="H56" s="74"/>
      <c r="I56" s="73"/>
      <c r="J56" s="73"/>
      <c r="K56" s="75"/>
      <c r="L56" s="76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1.75" customHeight="1">
      <c r="B57" s="69" t="s">
        <v>125</v>
      </c>
      <c r="C57" s="70"/>
      <c r="D57" s="77">
        <f>D55-D56</f>
        <v>35</v>
      </c>
      <c r="E57" s="61"/>
      <c r="F57" s="61"/>
      <c r="G57" s="78"/>
      <c r="H57" s="74"/>
      <c r="I57" s="78"/>
      <c r="J57" s="78"/>
      <c r="K57" s="79"/>
      <c r="L57" s="80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75" customHeight="1">
      <c r="B58" s="69" t="s">
        <v>126</v>
      </c>
      <c r="C58" s="70"/>
      <c r="D58" s="81">
        <f>D56*100/D55</f>
        <v>0</v>
      </c>
      <c r="E58" s="61"/>
      <c r="F58" s="61"/>
      <c r="G58" s="82" t="s">
        <v>127</v>
      </c>
      <c r="H58" s="83"/>
      <c r="I58" s="84" t="s">
        <v>128</v>
      </c>
      <c r="K58" s="85" t="s">
        <v>129</v>
      </c>
      <c r="L58" s="86" t="s">
        <v>130</v>
      </c>
      <c r="M58" s="87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B59" s="88" t="s">
        <v>131</v>
      </c>
      <c r="C59" s="89"/>
      <c r="D59" s="90">
        <f>AVERAGE(K17:K51)</f>
        <v>5</v>
      </c>
      <c r="E59" s="61"/>
      <c r="F59" s="61"/>
      <c r="H59" s="83"/>
      <c r="L59" s="10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6"/>
      <c r="B60" s="1"/>
      <c r="C60" s="1"/>
      <c r="D60" s="1"/>
      <c r="E60" s="1"/>
      <c r="F60" s="1"/>
      <c r="G60" s="1"/>
      <c r="H60" s="1"/>
      <c r="I60" s="1"/>
      <c r="J60" s="1"/>
      <c r="K60" s="1"/>
      <c r="L60" s="8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91"/>
      <c r="B61" s="92"/>
      <c r="C61" s="93"/>
      <c r="D61" s="93"/>
      <c r="E61" s="61"/>
      <c r="H61" s="7"/>
      <c r="I61" s="7"/>
      <c r="J61" s="7"/>
      <c r="K61" s="7"/>
      <c r="L61" s="94"/>
      <c r="M61" s="95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96"/>
      <c r="B62" s="61"/>
      <c r="C62" s="61"/>
      <c r="D62" s="61"/>
      <c r="E62" s="7"/>
      <c r="F62" s="7"/>
      <c r="G62" s="1"/>
      <c r="H62" s="1"/>
      <c r="I62" s="1"/>
      <c r="J62" s="1"/>
      <c r="K62" s="1"/>
      <c r="L62" s="8"/>
      <c r="M62" s="97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96"/>
      <c r="B63" s="61"/>
      <c r="C63" s="61"/>
      <c r="D63" s="61"/>
      <c r="E63" s="7"/>
      <c r="F63" s="7"/>
      <c r="G63" s="1"/>
      <c r="H63" s="1"/>
      <c r="I63" s="1"/>
      <c r="J63" s="1"/>
      <c r="K63" s="1"/>
      <c r="L63" s="8"/>
      <c r="M63" s="97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98"/>
      <c r="B64" s="99"/>
      <c r="C64" s="99"/>
      <c r="D64" s="99"/>
      <c r="E64" s="100"/>
      <c r="F64" s="100"/>
      <c r="G64" s="101"/>
      <c r="H64" s="101"/>
      <c r="I64" s="101"/>
      <c r="J64" s="101"/>
      <c r="K64" s="101"/>
      <c r="L64" s="102"/>
      <c r="M64" s="97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03"/>
      <c r="C65" s="103"/>
      <c r="D65" s="103"/>
      <c r="E65" s="103"/>
      <c r="F65" s="103"/>
      <c r="G65" s="1"/>
      <c r="H65" s="1"/>
      <c r="I65" s="1"/>
      <c r="J65" s="1"/>
      <c r="K65" s="104"/>
      <c r="L65" s="104"/>
      <c r="M65" s="10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03"/>
      <c r="C66" s="103"/>
      <c r="D66" s="103"/>
      <c r="E66" s="103"/>
      <c r="F66" s="103"/>
      <c r="G66" s="1"/>
      <c r="H66" s="1"/>
      <c r="I66" s="1"/>
      <c r="J66" s="1"/>
      <c r="K66" s="104"/>
      <c r="L66" s="104"/>
      <c r="M66" s="10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03"/>
      <c r="C67" s="103"/>
      <c r="D67" s="103"/>
      <c r="E67" s="103"/>
      <c r="F67" s="103"/>
      <c r="G67" s="1"/>
      <c r="H67" s="1"/>
      <c r="I67" s="1"/>
      <c r="J67" s="1"/>
      <c r="K67" s="104"/>
      <c r="L67" s="104"/>
      <c r="M67" s="10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03"/>
      <c r="C68" s="103"/>
      <c r="D68" s="103"/>
      <c r="E68" s="103"/>
      <c r="F68" s="103"/>
      <c r="G68" s="1"/>
      <c r="H68" s="1"/>
      <c r="I68" s="1"/>
      <c r="J68" s="1"/>
      <c r="K68" s="104"/>
      <c r="L68" s="104"/>
      <c r="M68" s="10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03"/>
      <c r="C69" s="103"/>
      <c r="D69" s="103"/>
      <c r="E69" s="103"/>
      <c r="F69" s="10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03"/>
      <c r="C70" s="103"/>
      <c r="D70" s="103"/>
      <c r="E70" s="103"/>
      <c r="F70" s="103"/>
      <c r="G70" s="1"/>
      <c r="H70" s="1"/>
      <c r="I70" s="1"/>
      <c r="J70" s="1"/>
      <c r="K70" s="1"/>
      <c r="L70" s="10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03"/>
      <c r="C71" s="103"/>
      <c r="D71" s="103"/>
      <c r="E71" s="103"/>
      <c r="F71" s="10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03"/>
      <c r="C72" s="103"/>
      <c r="D72" s="103"/>
      <c r="E72" s="103"/>
      <c r="F72" s="10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03"/>
      <c r="C73" s="103"/>
      <c r="D73" s="103"/>
      <c r="E73" s="103"/>
      <c r="F73" s="10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03"/>
      <c r="C74" s="103"/>
      <c r="D74" s="103"/>
      <c r="E74" s="103"/>
      <c r="F74" s="10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3"/>
      <c r="C75" s="103"/>
      <c r="D75" s="103"/>
      <c r="E75" s="103"/>
      <c r="F75" s="10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3"/>
      <c r="C76" s="103"/>
      <c r="D76" s="103"/>
      <c r="E76" s="103"/>
      <c r="F76" s="10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F14:F15"/>
    <mergeCell ref="G14:G15"/>
    <mergeCell ref="G53:G54"/>
    <mergeCell ref="I53:J54"/>
    <mergeCell ref="K53:K54"/>
    <mergeCell ref="L53:L54"/>
    <mergeCell ref="A9:L9"/>
    <mergeCell ref="E10:L10"/>
    <mergeCell ref="A13:B13"/>
    <mergeCell ref="C13:D13"/>
    <mergeCell ref="H13:H15"/>
    <mergeCell ref="I13:I14"/>
    <mergeCell ref="J13:L14"/>
    <mergeCell ref="J15:L15"/>
    <mergeCell ref="B57:C57"/>
    <mergeCell ref="B58:C58"/>
    <mergeCell ref="G58:G59"/>
    <mergeCell ref="I58:J59"/>
    <mergeCell ref="K58:K59"/>
    <mergeCell ref="L58:L59"/>
    <mergeCell ref="B59:C59"/>
    <mergeCell ref="E61:G61"/>
    <mergeCell ref="B14:D14"/>
    <mergeCell ref="E14:E15"/>
    <mergeCell ref="B16:D16"/>
    <mergeCell ref="B53:C53"/>
    <mergeCell ref="B54:C54"/>
    <mergeCell ref="B55:C55"/>
    <mergeCell ref="B56:C56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70 L17:L6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06" t="s">
        <v>136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2.0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1" si="1">SUM(E17:H17)</f>
        <v>0</v>
      </c>
      <c r="J17" s="57"/>
      <c r="K17" s="58">
        <f t="shared" ref="K17:K51" si="2">IF(M17&lt;6,5,M17)</f>
        <v>5</v>
      </c>
      <c r="L17" s="59"/>
      <c r="M17" s="60">
        <f t="shared" ref="M17:M5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40</v>
      </c>
      <c r="C23" s="53" t="s">
        <v>41</v>
      </c>
      <c r="D23" s="54" t="s">
        <v>42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43</v>
      </c>
      <c r="C24" s="53" t="s">
        <v>44</v>
      </c>
      <c r="D24" s="54" t="s">
        <v>45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46</v>
      </c>
      <c r="C25" s="53" t="s">
        <v>47</v>
      </c>
      <c r="D25" s="54" t="s">
        <v>48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49</v>
      </c>
      <c r="C26" s="53" t="s">
        <v>50</v>
      </c>
      <c r="D26" s="54" t="s">
        <v>51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52</v>
      </c>
      <c r="C27" s="53" t="s">
        <v>53</v>
      </c>
      <c r="D27" s="54" t="s">
        <v>54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55</v>
      </c>
      <c r="C28" s="53" t="s">
        <v>56</v>
      </c>
      <c r="D28" s="54" t="s">
        <v>57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55</v>
      </c>
      <c r="C29" s="53" t="s">
        <v>58</v>
      </c>
      <c r="D29" s="54" t="s">
        <v>59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60</v>
      </c>
      <c r="C30" s="53" t="s">
        <v>61</v>
      </c>
      <c r="D30" s="54" t="s">
        <v>62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63</v>
      </c>
      <c r="C31" s="53" t="s">
        <v>64</v>
      </c>
      <c r="D31" s="54" t="s">
        <v>65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66</v>
      </c>
      <c r="C32" s="53" t="s">
        <v>67</v>
      </c>
      <c r="D32" s="54" t="s">
        <v>68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69</v>
      </c>
      <c r="C33" s="53" t="s">
        <v>70</v>
      </c>
      <c r="D33" s="54" t="s">
        <v>71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72</v>
      </c>
      <c r="C34" s="53" t="s">
        <v>73</v>
      </c>
      <c r="D34" s="54" t="s">
        <v>74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75</v>
      </c>
      <c r="C35" s="53" t="s">
        <v>76</v>
      </c>
      <c r="D35" s="54" t="s">
        <v>77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78</v>
      </c>
      <c r="C36" s="53" t="s">
        <v>79</v>
      </c>
      <c r="D36" s="54" t="s">
        <v>80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78</v>
      </c>
      <c r="C37" s="53" t="s">
        <v>81</v>
      </c>
      <c r="D37" s="54" t="s">
        <v>82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78</v>
      </c>
      <c r="C38" s="53" t="s">
        <v>47</v>
      </c>
      <c r="D38" s="54" t="s">
        <v>83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78</v>
      </c>
      <c r="C39" s="53" t="s">
        <v>84</v>
      </c>
      <c r="D39" s="54" t="s">
        <v>85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78</v>
      </c>
      <c r="C40" s="53" t="s">
        <v>86</v>
      </c>
      <c r="D40" s="54" t="s">
        <v>87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88</v>
      </c>
      <c r="C41" s="53" t="s">
        <v>89</v>
      </c>
      <c r="D41" s="54" t="s">
        <v>90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91</v>
      </c>
      <c r="C42" s="53" t="s">
        <v>92</v>
      </c>
      <c r="D42" s="54" t="s">
        <v>93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94</v>
      </c>
      <c r="C43" s="53" t="s">
        <v>95</v>
      </c>
      <c r="D43" s="54" t="s">
        <v>96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64</v>
      </c>
      <c r="C44" s="53" t="s">
        <v>97</v>
      </c>
      <c r="D44" s="54" t="s">
        <v>98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99</v>
      </c>
      <c r="C45" s="53" t="s">
        <v>100</v>
      </c>
      <c r="D45" s="54" t="s">
        <v>59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35</v>
      </c>
      <c r="C46" s="53" t="s">
        <v>44</v>
      </c>
      <c r="D46" s="54" t="s">
        <v>101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102</v>
      </c>
      <c r="C47" s="53" t="s">
        <v>103</v>
      </c>
      <c r="D47" s="54" t="s">
        <v>104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105</v>
      </c>
      <c r="C48" s="53" t="s">
        <v>106</v>
      </c>
      <c r="D48" s="54" t="s">
        <v>107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108</v>
      </c>
      <c r="C49" s="53" t="s">
        <v>109</v>
      </c>
      <c r="D49" s="54" t="s">
        <v>110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111</v>
      </c>
      <c r="C50" s="53" t="s">
        <v>112</v>
      </c>
      <c r="D50" s="54" t="s">
        <v>113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114</v>
      </c>
      <c r="C51" s="53" t="s">
        <v>115</v>
      </c>
      <c r="D51" s="54" t="s">
        <v>116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6"/>
      <c r="B52" s="61"/>
      <c r="C52" s="61"/>
      <c r="D52" s="61"/>
      <c r="E52" s="62"/>
      <c r="F52" s="62"/>
      <c r="G52" s="61"/>
      <c r="H52" s="61"/>
      <c r="I52" s="61"/>
      <c r="J52" s="61"/>
      <c r="K52" s="1"/>
      <c r="L52" s="8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1.75" customHeight="1">
      <c r="B53" s="63" t="s">
        <v>117</v>
      </c>
      <c r="C53" s="64"/>
      <c r="D53" s="65">
        <f>COUNT(A17:A51)</f>
        <v>35</v>
      </c>
      <c r="E53" s="61"/>
      <c r="F53" s="61"/>
      <c r="G53" s="66" t="s">
        <v>118</v>
      </c>
      <c r="H53" s="66"/>
      <c r="I53" s="66" t="s">
        <v>119</v>
      </c>
      <c r="K53" s="67" t="s">
        <v>120</v>
      </c>
      <c r="L53" s="68" t="s">
        <v>121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1.75" customHeight="1">
      <c r="B54" s="69" t="s">
        <v>122</v>
      </c>
      <c r="C54" s="70"/>
      <c r="D54" s="71">
        <f>COUNTIF(K17:K51,"BAJA")</f>
        <v>0</v>
      </c>
      <c r="E54" s="61"/>
      <c r="F54" s="61"/>
      <c r="H54" s="66"/>
      <c r="L54" s="10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1.75" customHeight="1">
      <c r="B55" s="69" t="s">
        <v>123</v>
      </c>
      <c r="C55" s="70"/>
      <c r="D55" s="72">
        <f>D53-D54</f>
        <v>35</v>
      </c>
      <c r="E55" s="61"/>
      <c r="F55" s="61"/>
      <c r="G55" s="73"/>
      <c r="H55" s="74"/>
      <c r="I55" s="73"/>
      <c r="J55" s="73"/>
      <c r="K55" s="75"/>
      <c r="L55" s="76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1.75" customHeight="1">
      <c r="B56" s="69" t="s">
        <v>124</v>
      </c>
      <c r="C56" s="70"/>
      <c r="D56" s="77">
        <f>COUNTIF(K17:K51,"&gt;=6")</f>
        <v>0</v>
      </c>
      <c r="E56" s="61"/>
      <c r="F56" s="61"/>
      <c r="G56" s="73"/>
      <c r="H56" s="74"/>
      <c r="I56" s="73"/>
      <c r="J56" s="73"/>
      <c r="K56" s="75"/>
      <c r="L56" s="76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1.75" customHeight="1">
      <c r="B57" s="69" t="s">
        <v>125</v>
      </c>
      <c r="C57" s="70"/>
      <c r="D57" s="77">
        <f>D55-D56</f>
        <v>35</v>
      </c>
      <c r="E57" s="61"/>
      <c r="F57" s="61"/>
      <c r="G57" s="78"/>
      <c r="H57" s="74"/>
      <c r="I57" s="78"/>
      <c r="J57" s="78"/>
      <c r="K57" s="79"/>
      <c r="L57" s="80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75" customHeight="1">
      <c r="B58" s="69" t="s">
        <v>126</v>
      </c>
      <c r="C58" s="70"/>
      <c r="D58" s="81">
        <f>D56*100/D55</f>
        <v>0</v>
      </c>
      <c r="E58" s="61"/>
      <c r="F58" s="61"/>
      <c r="G58" s="82" t="s">
        <v>127</v>
      </c>
      <c r="H58" s="83"/>
      <c r="I58" s="84" t="s">
        <v>128</v>
      </c>
      <c r="K58" s="85" t="s">
        <v>129</v>
      </c>
      <c r="L58" s="86" t="s">
        <v>130</v>
      </c>
      <c r="M58" s="87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B59" s="88" t="s">
        <v>131</v>
      </c>
      <c r="C59" s="89"/>
      <c r="D59" s="90">
        <f>AVERAGE(K17:K51)</f>
        <v>5</v>
      </c>
      <c r="E59" s="61"/>
      <c r="F59" s="61"/>
      <c r="H59" s="83"/>
      <c r="L59" s="10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6"/>
      <c r="B60" s="1"/>
      <c r="C60" s="1"/>
      <c r="D60" s="1"/>
      <c r="E60" s="1"/>
      <c r="F60" s="1"/>
      <c r="G60" s="1"/>
      <c r="H60" s="1"/>
      <c r="I60" s="1"/>
      <c r="J60" s="1"/>
      <c r="K60" s="1"/>
      <c r="L60" s="8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91"/>
      <c r="B61" s="92"/>
      <c r="C61" s="93"/>
      <c r="D61" s="93"/>
      <c r="E61" s="61"/>
      <c r="H61" s="7"/>
      <c r="I61" s="7"/>
      <c r="J61" s="7"/>
      <c r="K61" s="7"/>
      <c r="L61" s="94"/>
      <c r="M61" s="95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96"/>
      <c r="B62" s="61"/>
      <c r="C62" s="61"/>
      <c r="D62" s="61"/>
      <c r="E62" s="7"/>
      <c r="F62" s="7"/>
      <c r="G62" s="1"/>
      <c r="H62" s="1"/>
      <c r="I62" s="1"/>
      <c r="J62" s="1"/>
      <c r="K62" s="1"/>
      <c r="L62" s="8"/>
      <c r="M62" s="97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96"/>
      <c r="B63" s="61"/>
      <c r="C63" s="61"/>
      <c r="D63" s="61"/>
      <c r="E63" s="7"/>
      <c r="F63" s="7"/>
      <c r="G63" s="1"/>
      <c r="H63" s="1"/>
      <c r="I63" s="1"/>
      <c r="J63" s="1"/>
      <c r="K63" s="1"/>
      <c r="L63" s="8"/>
      <c r="M63" s="97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98"/>
      <c r="B64" s="99"/>
      <c r="C64" s="99"/>
      <c r="D64" s="99"/>
      <c r="E64" s="100"/>
      <c r="F64" s="100"/>
      <c r="G64" s="101"/>
      <c r="H64" s="101"/>
      <c r="I64" s="101"/>
      <c r="J64" s="101"/>
      <c r="K64" s="101"/>
      <c r="L64" s="102"/>
      <c r="M64" s="97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03"/>
      <c r="C65" s="103"/>
      <c r="D65" s="103"/>
      <c r="E65" s="103"/>
      <c r="F65" s="103"/>
      <c r="G65" s="1"/>
      <c r="H65" s="1"/>
      <c r="I65" s="1"/>
      <c r="J65" s="1"/>
      <c r="K65" s="104"/>
      <c r="L65" s="104"/>
      <c r="M65" s="10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03"/>
      <c r="C66" s="103"/>
      <c r="D66" s="103"/>
      <c r="E66" s="103"/>
      <c r="F66" s="103"/>
      <c r="G66" s="1"/>
      <c r="H66" s="1"/>
      <c r="I66" s="1"/>
      <c r="J66" s="1"/>
      <c r="K66" s="104"/>
      <c r="L66" s="104"/>
      <c r="M66" s="10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03"/>
      <c r="C67" s="103"/>
      <c r="D67" s="103"/>
      <c r="E67" s="103"/>
      <c r="F67" s="103"/>
      <c r="G67" s="1"/>
      <c r="H67" s="1"/>
      <c r="I67" s="1"/>
      <c r="J67" s="1"/>
      <c r="K67" s="104"/>
      <c r="L67" s="104"/>
      <c r="M67" s="10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03"/>
      <c r="C68" s="103"/>
      <c r="D68" s="103"/>
      <c r="E68" s="103"/>
      <c r="F68" s="103"/>
      <c r="G68" s="1"/>
      <c r="H68" s="1"/>
      <c r="I68" s="1"/>
      <c r="J68" s="1"/>
      <c r="K68" s="104"/>
      <c r="L68" s="104"/>
      <c r="M68" s="10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03"/>
      <c r="C69" s="103"/>
      <c r="D69" s="103"/>
      <c r="E69" s="103"/>
      <c r="F69" s="10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03"/>
      <c r="C70" s="103"/>
      <c r="D70" s="103"/>
      <c r="E70" s="103"/>
      <c r="F70" s="103"/>
      <c r="G70" s="1"/>
      <c r="H70" s="1"/>
      <c r="I70" s="1"/>
      <c r="J70" s="1"/>
      <c r="K70" s="1"/>
      <c r="L70" s="10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03"/>
      <c r="C71" s="103"/>
      <c r="D71" s="103"/>
      <c r="E71" s="103"/>
      <c r="F71" s="10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03"/>
      <c r="C72" s="103"/>
      <c r="D72" s="103"/>
      <c r="E72" s="103"/>
      <c r="F72" s="10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03"/>
      <c r="C73" s="103"/>
      <c r="D73" s="103"/>
      <c r="E73" s="103"/>
      <c r="F73" s="10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03"/>
      <c r="C74" s="103"/>
      <c r="D74" s="103"/>
      <c r="E74" s="103"/>
      <c r="F74" s="10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3"/>
      <c r="C75" s="103"/>
      <c r="D75" s="103"/>
      <c r="E75" s="103"/>
      <c r="F75" s="10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3"/>
      <c r="C76" s="103"/>
      <c r="D76" s="103"/>
      <c r="E76" s="103"/>
      <c r="F76" s="10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F14:F15"/>
    <mergeCell ref="G14:G15"/>
    <mergeCell ref="G53:G54"/>
    <mergeCell ref="I53:J54"/>
    <mergeCell ref="K53:K54"/>
    <mergeCell ref="L53:L54"/>
    <mergeCell ref="A9:L9"/>
    <mergeCell ref="E10:L10"/>
    <mergeCell ref="A13:B13"/>
    <mergeCell ref="C13:D13"/>
    <mergeCell ref="H13:H15"/>
    <mergeCell ref="I13:I14"/>
    <mergeCell ref="J13:L14"/>
    <mergeCell ref="J15:L15"/>
    <mergeCell ref="B57:C57"/>
    <mergeCell ref="B58:C58"/>
    <mergeCell ref="G58:G59"/>
    <mergeCell ref="I58:J59"/>
    <mergeCell ref="K58:K59"/>
    <mergeCell ref="L58:L59"/>
    <mergeCell ref="B59:C59"/>
    <mergeCell ref="E61:G61"/>
    <mergeCell ref="B14:D14"/>
    <mergeCell ref="E14:E15"/>
    <mergeCell ref="B16:D16"/>
    <mergeCell ref="B53:C53"/>
    <mergeCell ref="B54:C54"/>
    <mergeCell ref="B55:C55"/>
    <mergeCell ref="B56:C56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70 L17:L6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06" t="s">
        <v>137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2.0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1" si="1">SUM(E17:H17)</f>
        <v>0</v>
      </c>
      <c r="J17" s="57"/>
      <c r="K17" s="58">
        <f t="shared" ref="K17:K51" si="2">IF(M17&lt;6,5,M17)</f>
        <v>5</v>
      </c>
      <c r="L17" s="59"/>
      <c r="M17" s="60">
        <f t="shared" ref="M17:M5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40</v>
      </c>
      <c r="C23" s="53" t="s">
        <v>41</v>
      </c>
      <c r="D23" s="54" t="s">
        <v>42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43</v>
      </c>
      <c r="C24" s="53" t="s">
        <v>44</v>
      </c>
      <c r="D24" s="54" t="s">
        <v>45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46</v>
      </c>
      <c r="C25" s="53" t="s">
        <v>47</v>
      </c>
      <c r="D25" s="54" t="s">
        <v>48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49</v>
      </c>
      <c r="C26" s="53" t="s">
        <v>50</v>
      </c>
      <c r="D26" s="54" t="s">
        <v>51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52</v>
      </c>
      <c r="C27" s="53" t="s">
        <v>53</v>
      </c>
      <c r="D27" s="54" t="s">
        <v>54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55</v>
      </c>
      <c r="C28" s="53" t="s">
        <v>56</v>
      </c>
      <c r="D28" s="54" t="s">
        <v>57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55</v>
      </c>
      <c r="C29" s="53" t="s">
        <v>58</v>
      </c>
      <c r="D29" s="54" t="s">
        <v>59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60</v>
      </c>
      <c r="C30" s="53" t="s">
        <v>61</v>
      </c>
      <c r="D30" s="54" t="s">
        <v>62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63</v>
      </c>
      <c r="C31" s="53" t="s">
        <v>64</v>
      </c>
      <c r="D31" s="54" t="s">
        <v>65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66</v>
      </c>
      <c r="C32" s="53" t="s">
        <v>67</v>
      </c>
      <c r="D32" s="54" t="s">
        <v>68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69</v>
      </c>
      <c r="C33" s="53" t="s">
        <v>70</v>
      </c>
      <c r="D33" s="54" t="s">
        <v>71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72</v>
      </c>
      <c r="C34" s="53" t="s">
        <v>73</v>
      </c>
      <c r="D34" s="54" t="s">
        <v>74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75</v>
      </c>
      <c r="C35" s="53" t="s">
        <v>76</v>
      </c>
      <c r="D35" s="54" t="s">
        <v>77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78</v>
      </c>
      <c r="C36" s="53" t="s">
        <v>79</v>
      </c>
      <c r="D36" s="54" t="s">
        <v>80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78</v>
      </c>
      <c r="C37" s="53" t="s">
        <v>81</v>
      </c>
      <c r="D37" s="54" t="s">
        <v>82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78</v>
      </c>
      <c r="C38" s="53" t="s">
        <v>47</v>
      </c>
      <c r="D38" s="54" t="s">
        <v>83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78</v>
      </c>
      <c r="C39" s="53" t="s">
        <v>84</v>
      </c>
      <c r="D39" s="54" t="s">
        <v>85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78</v>
      </c>
      <c r="C40" s="53" t="s">
        <v>86</v>
      </c>
      <c r="D40" s="54" t="s">
        <v>87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88</v>
      </c>
      <c r="C41" s="53" t="s">
        <v>89</v>
      </c>
      <c r="D41" s="54" t="s">
        <v>90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91</v>
      </c>
      <c r="C42" s="53" t="s">
        <v>92</v>
      </c>
      <c r="D42" s="54" t="s">
        <v>93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94</v>
      </c>
      <c r="C43" s="53" t="s">
        <v>95</v>
      </c>
      <c r="D43" s="54" t="s">
        <v>96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64</v>
      </c>
      <c r="C44" s="53" t="s">
        <v>97</v>
      </c>
      <c r="D44" s="54" t="s">
        <v>98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99</v>
      </c>
      <c r="C45" s="53" t="s">
        <v>100</v>
      </c>
      <c r="D45" s="54" t="s">
        <v>59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35</v>
      </c>
      <c r="C46" s="53" t="s">
        <v>44</v>
      </c>
      <c r="D46" s="54" t="s">
        <v>101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102</v>
      </c>
      <c r="C47" s="53" t="s">
        <v>103</v>
      </c>
      <c r="D47" s="54" t="s">
        <v>104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105</v>
      </c>
      <c r="C48" s="53" t="s">
        <v>106</v>
      </c>
      <c r="D48" s="54" t="s">
        <v>107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108</v>
      </c>
      <c r="C49" s="53" t="s">
        <v>109</v>
      </c>
      <c r="D49" s="54" t="s">
        <v>110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111</v>
      </c>
      <c r="C50" s="53" t="s">
        <v>112</v>
      </c>
      <c r="D50" s="54" t="s">
        <v>113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114</v>
      </c>
      <c r="C51" s="53" t="s">
        <v>115</v>
      </c>
      <c r="D51" s="54" t="s">
        <v>116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6"/>
      <c r="B52" s="61"/>
      <c r="C52" s="61"/>
      <c r="D52" s="61"/>
      <c r="E52" s="62"/>
      <c r="F52" s="62"/>
      <c r="G52" s="61"/>
      <c r="H52" s="61"/>
      <c r="I52" s="61"/>
      <c r="J52" s="61"/>
      <c r="K52" s="1"/>
      <c r="L52" s="8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1.75" customHeight="1">
      <c r="B53" s="63" t="s">
        <v>117</v>
      </c>
      <c r="C53" s="64"/>
      <c r="D53" s="65">
        <f>COUNT(A17:A51)</f>
        <v>35</v>
      </c>
      <c r="E53" s="61"/>
      <c r="F53" s="61"/>
      <c r="G53" s="66" t="s">
        <v>118</v>
      </c>
      <c r="H53" s="66"/>
      <c r="I53" s="66" t="s">
        <v>119</v>
      </c>
      <c r="K53" s="67" t="s">
        <v>120</v>
      </c>
      <c r="L53" s="68" t="s">
        <v>121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1.75" customHeight="1">
      <c r="B54" s="69" t="s">
        <v>122</v>
      </c>
      <c r="C54" s="70"/>
      <c r="D54" s="71">
        <f>COUNTIF(K17:K51,"BAJA")</f>
        <v>0</v>
      </c>
      <c r="E54" s="61"/>
      <c r="F54" s="61"/>
      <c r="H54" s="66"/>
      <c r="L54" s="10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1.75" customHeight="1">
      <c r="B55" s="69" t="s">
        <v>123</v>
      </c>
      <c r="C55" s="70"/>
      <c r="D55" s="72">
        <f>D53-D54</f>
        <v>35</v>
      </c>
      <c r="E55" s="61"/>
      <c r="F55" s="61"/>
      <c r="G55" s="73"/>
      <c r="H55" s="74"/>
      <c r="I55" s="73"/>
      <c r="J55" s="73"/>
      <c r="K55" s="75"/>
      <c r="L55" s="76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1.75" customHeight="1">
      <c r="B56" s="69" t="s">
        <v>124</v>
      </c>
      <c r="C56" s="70"/>
      <c r="D56" s="77">
        <f>COUNTIF(K17:K51,"&gt;=6")</f>
        <v>0</v>
      </c>
      <c r="E56" s="61"/>
      <c r="F56" s="61"/>
      <c r="G56" s="73"/>
      <c r="H56" s="74"/>
      <c r="I56" s="73"/>
      <c r="J56" s="73"/>
      <c r="K56" s="75"/>
      <c r="L56" s="76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1.75" customHeight="1">
      <c r="B57" s="69" t="s">
        <v>125</v>
      </c>
      <c r="C57" s="70"/>
      <c r="D57" s="77">
        <f>D55-D56</f>
        <v>35</v>
      </c>
      <c r="E57" s="61"/>
      <c r="F57" s="61"/>
      <c r="G57" s="78"/>
      <c r="H57" s="74"/>
      <c r="I57" s="78"/>
      <c r="J57" s="78"/>
      <c r="K57" s="79"/>
      <c r="L57" s="80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75" customHeight="1">
      <c r="B58" s="69" t="s">
        <v>126</v>
      </c>
      <c r="C58" s="70"/>
      <c r="D58" s="81">
        <f>D56*100/D55</f>
        <v>0</v>
      </c>
      <c r="E58" s="61"/>
      <c r="F58" s="61"/>
      <c r="G58" s="82" t="s">
        <v>127</v>
      </c>
      <c r="H58" s="83"/>
      <c r="I58" s="84" t="s">
        <v>128</v>
      </c>
      <c r="K58" s="85" t="s">
        <v>129</v>
      </c>
      <c r="L58" s="86" t="s">
        <v>130</v>
      </c>
      <c r="M58" s="87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B59" s="88" t="s">
        <v>131</v>
      </c>
      <c r="C59" s="89"/>
      <c r="D59" s="90">
        <f>AVERAGE(K17:K51)</f>
        <v>5</v>
      </c>
      <c r="E59" s="61"/>
      <c r="F59" s="61"/>
      <c r="H59" s="83"/>
      <c r="L59" s="10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6"/>
      <c r="B60" s="1"/>
      <c r="C60" s="1"/>
      <c r="D60" s="1"/>
      <c r="E60" s="1"/>
      <c r="F60" s="1"/>
      <c r="G60" s="1"/>
      <c r="H60" s="1"/>
      <c r="I60" s="1"/>
      <c r="J60" s="1"/>
      <c r="K60" s="1"/>
      <c r="L60" s="8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91"/>
      <c r="B61" s="92"/>
      <c r="C61" s="93"/>
      <c r="D61" s="93"/>
      <c r="E61" s="61"/>
      <c r="H61" s="7"/>
      <c r="I61" s="7"/>
      <c r="J61" s="7"/>
      <c r="K61" s="7"/>
      <c r="L61" s="94"/>
      <c r="M61" s="95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96"/>
      <c r="B62" s="61"/>
      <c r="C62" s="61"/>
      <c r="D62" s="61"/>
      <c r="E62" s="7"/>
      <c r="F62" s="7"/>
      <c r="G62" s="1"/>
      <c r="H62" s="1"/>
      <c r="I62" s="1"/>
      <c r="J62" s="1"/>
      <c r="K62" s="1"/>
      <c r="L62" s="8"/>
      <c r="M62" s="97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96"/>
      <c r="B63" s="61"/>
      <c r="C63" s="61"/>
      <c r="D63" s="61"/>
      <c r="E63" s="7"/>
      <c r="F63" s="7"/>
      <c r="G63" s="1"/>
      <c r="H63" s="1"/>
      <c r="I63" s="1"/>
      <c r="J63" s="1"/>
      <c r="K63" s="1"/>
      <c r="L63" s="8"/>
      <c r="M63" s="97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98"/>
      <c r="B64" s="99"/>
      <c r="C64" s="99"/>
      <c r="D64" s="99"/>
      <c r="E64" s="100"/>
      <c r="F64" s="100"/>
      <c r="G64" s="101"/>
      <c r="H64" s="101"/>
      <c r="I64" s="101"/>
      <c r="J64" s="101"/>
      <c r="K64" s="101"/>
      <c r="L64" s="102"/>
      <c r="M64" s="97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03"/>
      <c r="C65" s="103"/>
      <c r="D65" s="103"/>
      <c r="E65" s="103"/>
      <c r="F65" s="103"/>
      <c r="G65" s="1"/>
      <c r="H65" s="1"/>
      <c r="I65" s="1"/>
      <c r="J65" s="1"/>
      <c r="K65" s="104"/>
      <c r="L65" s="104"/>
      <c r="M65" s="10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03"/>
      <c r="C66" s="103"/>
      <c r="D66" s="103"/>
      <c r="E66" s="103"/>
      <c r="F66" s="103"/>
      <c r="G66" s="1"/>
      <c r="H66" s="1"/>
      <c r="I66" s="1"/>
      <c r="J66" s="1"/>
      <c r="K66" s="104"/>
      <c r="L66" s="104"/>
      <c r="M66" s="10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03"/>
      <c r="C67" s="103"/>
      <c r="D67" s="103"/>
      <c r="E67" s="103"/>
      <c r="F67" s="103"/>
      <c r="G67" s="1"/>
      <c r="H67" s="1"/>
      <c r="I67" s="1"/>
      <c r="J67" s="1"/>
      <c r="K67" s="104"/>
      <c r="L67" s="104"/>
      <c r="M67" s="10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03"/>
      <c r="C68" s="103"/>
      <c r="D68" s="103"/>
      <c r="E68" s="103"/>
      <c r="F68" s="103"/>
      <c r="G68" s="1"/>
      <c r="H68" s="1"/>
      <c r="I68" s="1"/>
      <c r="J68" s="1"/>
      <c r="K68" s="104"/>
      <c r="L68" s="104"/>
      <c r="M68" s="10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03"/>
      <c r="C69" s="103"/>
      <c r="D69" s="103"/>
      <c r="E69" s="103"/>
      <c r="F69" s="10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03"/>
      <c r="C70" s="103"/>
      <c r="D70" s="103"/>
      <c r="E70" s="103"/>
      <c r="F70" s="103"/>
      <c r="G70" s="1"/>
      <c r="H70" s="1"/>
      <c r="I70" s="1"/>
      <c r="J70" s="1"/>
      <c r="K70" s="1"/>
      <c r="L70" s="10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03"/>
      <c r="C71" s="103"/>
      <c r="D71" s="103"/>
      <c r="E71" s="103"/>
      <c r="F71" s="10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03"/>
      <c r="C72" s="103"/>
      <c r="D72" s="103"/>
      <c r="E72" s="103"/>
      <c r="F72" s="10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03"/>
      <c r="C73" s="103"/>
      <c r="D73" s="103"/>
      <c r="E73" s="103"/>
      <c r="F73" s="10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03"/>
      <c r="C74" s="103"/>
      <c r="D74" s="103"/>
      <c r="E74" s="103"/>
      <c r="F74" s="10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3"/>
      <c r="C75" s="103"/>
      <c r="D75" s="103"/>
      <c r="E75" s="103"/>
      <c r="F75" s="10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3"/>
      <c r="C76" s="103"/>
      <c r="D76" s="103"/>
      <c r="E76" s="103"/>
      <c r="F76" s="10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F14:F15"/>
    <mergeCell ref="G14:G15"/>
    <mergeCell ref="G53:G54"/>
    <mergeCell ref="I53:J54"/>
    <mergeCell ref="K53:K54"/>
    <mergeCell ref="L53:L54"/>
    <mergeCell ref="A9:L9"/>
    <mergeCell ref="E10:L10"/>
    <mergeCell ref="A13:B13"/>
    <mergeCell ref="C13:D13"/>
    <mergeCell ref="H13:H15"/>
    <mergeCell ref="I13:I14"/>
    <mergeCell ref="J13:L14"/>
    <mergeCell ref="J15:L15"/>
    <mergeCell ref="B57:C57"/>
    <mergeCell ref="B58:C58"/>
    <mergeCell ref="G58:G59"/>
    <mergeCell ref="I58:J59"/>
    <mergeCell ref="K58:K59"/>
    <mergeCell ref="L58:L59"/>
    <mergeCell ref="B59:C59"/>
    <mergeCell ref="E61:G61"/>
    <mergeCell ref="B14:D14"/>
    <mergeCell ref="E14:E15"/>
    <mergeCell ref="B16:D16"/>
    <mergeCell ref="B53:C53"/>
    <mergeCell ref="B54:C54"/>
    <mergeCell ref="B55:C55"/>
    <mergeCell ref="B56:C56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70 L17:L6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06" t="s">
        <v>138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2.0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1" si="1">SUM(E17:H17)</f>
        <v>0</v>
      </c>
      <c r="J17" s="57"/>
      <c r="K17" s="58">
        <f t="shared" ref="K17:K51" si="2">IF(M17&lt;6,5,M17)</f>
        <v>5</v>
      </c>
      <c r="L17" s="59"/>
      <c r="M17" s="60">
        <f t="shared" ref="M17:M5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40</v>
      </c>
      <c r="C23" s="53" t="s">
        <v>41</v>
      </c>
      <c r="D23" s="54" t="s">
        <v>42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43</v>
      </c>
      <c r="C24" s="53" t="s">
        <v>44</v>
      </c>
      <c r="D24" s="54" t="s">
        <v>45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46</v>
      </c>
      <c r="C25" s="53" t="s">
        <v>47</v>
      </c>
      <c r="D25" s="54" t="s">
        <v>48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49</v>
      </c>
      <c r="C26" s="53" t="s">
        <v>50</v>
      </c>
      <c r="D26" s="54" t="s">
        <v>51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52</v>
      </c>
      <c r="C27" s="53" t="s">
        <v>53</v>
      </c>
      <c r="D27" s="54" t="s">
        <v>54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55</v>
      </c>
      <c r="C28" s="53" t="s">
        <v>56</v>
      </c>
      <c r="D28" s="54" t="s">
        <v>57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55</v>
      </c>
      <c r="C29" s="53" t="s">
        <v>58</v>
      </c>
      <c r="D29" s="54" t="s">
        <v>59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60</v>
      </c>
      <c r="C30" s="53" t="s">
        <v>61</v>
      </c>
      <c r="D30" s="54" t="s">
        <v>62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63</v>
      </c>
      <c r="C31" s="53" t="s">
        <v>64</v>
      </c>
      <c r="D31" s="54" t="s">
        <v>65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66</v>
      </c>
      <c r="C32" s="53" t="s">
        <v>67</v>
      </c>
      <c r="D32" s="54" t="s">
        <v>68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69</v>
      </c>
      <c r="C33" s="53" t="s">
        <v>70</v>
      </c>
      <c r="D33" s="54" t="s">
        <v>71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72</v>
      </c>
      <c r="C34" s="53" t="s">
        <v>73</v>
      </c>
      <c r="D34" s="54" t="s">
        <v>74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75</v>
      </c>
      <c r="C35" s="53" t="s">
        <v>76</v>
      </c>
      <c r="D35" s="54" t="s">
        <v>77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78</v>
      </c>
      <c r="C36" s="53" t="s">
        <v>79</v>
      </c>
      <c r="D36" s="54" t="s">
        <v>80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78</v>
      </c>
      <c r="C37" s="53" t="s">
        <v>81</v>
      </c>
      <c r="D37" s="54" t="s">
        <v>82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78</v>
      </c>
      <c r="C38" s="53" t="s">
        <v>47</v>
      </c>
      <c r="D38" s="54" t="s">
        <v>83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78</v>
      </c>
      <c r="C39" s="53" t="s">
        <v>84</v>
      </c>
      <c r="D39" s="54" t="s">
        <v>85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78</v>
      </c>
      <c r="C40" s="53" t="s">
        <v>86</v>
      </c>
      <c r="D40" s="54" t="s">
        <v>87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88</v>
      </c>
      <c r="C41" s="53" t="s">
        <v>89</v>
      </c>
      <c r="D41" s="54" t="s">
        <v>90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91</v>
      </c>
      <c r="C42" s="53" t="s">
        <v>92</v>
      </c>
      <c r="D42" s="54" t="s">
        <v>93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94</v>
      </c>
      <c r="C43" s="53" t="s">
        <v>95</v>
      </c>
      <c r="D43" s="54" t="s">
        <v>96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64</v>
      </c>
      <c r="C44" s="53" t="s">
        <v>97</v>
      </c>
      <c r="D44" s="54" t="s">
        <v>98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99</v>
      </c>
      <c r="C45" s="53" t="s">
        <v>100</v>
      </c>
      <c r="D45" s="54" t="s">
        <v>59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35</v>
      </c>
      <c r="C46" s="53" t="s">
        <v>44</v>
      </c>
      <c r="D46" s="54" t="s">
        <v>101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102</v>
      </c>
      <c r="C47" s="53" t="s">
        <v>103</v>
      </c>
      <c r="D47" s="54" t="s">
        <v>104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105</v>
      </c>
      <c r="C48" s="53" t="s">
        <v>106</v>
      </c>
      <c r="D48" s="54" t="s">
        <v>107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108</v>
      </c>
      <c r="C49" s="53" t="s">
        <v>109</v>
      </c>
      <c r="D49" s="54" t="s">
        <v>110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111</v>
      </c>
      <c r="C50" s="53" t="s">
        <v>112</v>
      </c>
      <c r="D50" s="54" t="s">
        <v>113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114</v>
      </c>
      <c r="C51" s="53" t="s">
        <v>115</v>
      </c>
      <c r="D51" s="54" t="s">
        <v>116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6"/>
      <c r="B52" s="61"/>
      <c r="C52" s="61"/>
      <c r="D52" s="61"/>
      <c r="E52" s="62"/>
      <c r="F52" s="62"/>
      <c r="G52" s="61"/>
      <c r="H52" s="61"/>
      <c r="I52" s="61"/>
      <c r="J52" s="61"/>
      <c r="K52" s="1"/>
      <c r="L52" s="8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1.75" customHeight="1">
      <c r="B53" s="63" t="s">
        <v>117</v>
      </c>
      <c r="C53" s="64"/>
      <c r="D53" s="65">
        <f>COUNT(A17:A51)</f>
        <v>35</v>
      </c>
      <c r="E53" s="61"/>
      <c r="F53" s="61"/>
      <c r="G53" s="66" t="s">
        <v>118</v>
      </c>
      <c r="H53" s="66"/>
      <c r="I53" s="66" t="s">
        <v>119</v>
      </c>
      <c r="K53" s="67" t="s">
        <v>120</v>
      </c>
      <c r="L53" s="68" t="s">
        <v>121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1.75" customHeight="1">
      <c r="B54" s="69" t="s">
        <v>122</v>
      </c>
      <c r="C54" s="70"/>
      <c r="D54" s="71">
        <f>COUNTIF(K17:K51,"BAJA")</f>
        <v>0</v>
      </c>
      <c r="E54" s="61"/>
      <c r="F54" s="61"/>
      <c r="H54" s="66"/>
      <c r="L54" s="10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1.75" customHeight="1">
      <c r="B55" s="69" t="s">
        <v>123</v>
      </c>
      <c r="C55" s="70"/>
      <c r="D55" s="72">
        <f>D53-D54</f>
        <v>35</v>
      </c>
      <c r="E55" s="61"/>
      <c r="F55" s="61"/>
      <c r="G55" s="73"/>
      <c r="H55" s="74"/>
      <c r="I55" s="73"/>
      <c r="J55" s="73"/>
      <c r="K55" s="75"/>
      <c r="L55" s="76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1.75" customHeight="1">
      <c r="B56" s="69" t="s">
        <v>124</v>
      </c>
      <c r="C56" s="70"/>
      <c r="D56" s="77">
        <f>COUNTIF(K17:K51,"&gt;=6")</f>
        <v>0</v>
      </c>
      <c r="E56" s="61"/>
      <c r="F56" s="61"/>
      <c r="G56" s="73"/>
      <c r="H56" s="74"/>
      <c r="I56" s="73"/>
      <c r="J56" s="73"/>
      <c r="K56" s="75"/>
      <c r="L56" s="76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1.75" customHeight="1">
      <c r="B57" s="69" t="s">
        <v>125</v>
      </c>
      <c r="C57" s="70"/>
      <c r="D57" s="77">
        <f>D55-D56</f>
        <v>35</v>
      </c>
      <c r="E57" s="61"/>
      <c r="F57" s="61"/>
      <c r="G57" s="78"/>
      <c r="H57" s="74"/>
      <c r="I57" s="78"/>
      <c r="J57" s="78"/>
      <c r="K57" s="79"/>
      <c r="L57" s="80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75" customHeight="1">
      <c r="B58" s="69" t="s">
        <v>126</v>
      </c>
      <c r="C58" s="70"/>
      <c r="D58" s="81">
        <f>D56*100/D55</f>
        <v>0</v>
      </c>
      <c r="E58" s="61"/>
      <c r="F58" s="61"/>
      <c r="G58" s="82" t="s">
        <v>127</v>
      </c>
      <c r="H58" s="83"/>
      <c r="I58" s="84" t="s">
        <v>128</v>
      </c>
      <c r="K58" s="85" t="s">
        <v>129</v>
      </c>
      <c r="L58" s="86" t="s">
        <v>130</v>
      </c>
      <c r="M58" s="87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B59" s="88" t="s">
        <v>131</v>
      </c>
      <c r="C59" s="89"/>
      <c r="D59" s="90">
        <f>AVERAGE(K17:K51)</f>
        <v>5</v>
      </c>
      <c r="E59" s="61"/>
      <c r="F59" s="61"/>
      <c r="H59" s="83"/>
      <c r="L59" s="10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6"/>
      <c r="B60" s="1"/>
      <c r="C60" s="1"/>
      <c r="D60" s="1"/>
      <c r="E60" s="1"/>
      <c r="F60" s="1"/>
      <c r="G60" s="1"/>
      <c r="H60" s="1"/>
      <c r="I60" s="1"/>
      <c r="J60" s="1"/>
      <c r="K60" s="1"/>
      <c r="L60" s="8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91"/>
      <c r="B61" s="92"/>
      <c r="C61" s="93"/>
      <c r="D61" s="93"/>
      <c r="E61" s="61"/>
      <c r="H61" s="7"/>
      <c r="I61" s="7"/>
      <c r="J61" s="7"/>
      <c r="K61" s="7"/>
      <c r="L61" s="94"/>
      <c r="M61" s="95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96"/>
      <c r="B62" s="61"/>
      <c r="C62" s="61"/>
      <c r="D62" s="61"/>
      <c r="E62" s="7"/>
      <c r="F62" s="7"/>
      <c r="G62" s="1"/>
      <c r="H62" s="1"/>
      <c r="I62" s="1"/>
      <c r="J62" s="1"/>
      <c r="K62" s="1"/>
      <c r="L62" s="8"/>
      <c r="M62" s="97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96"/>
      <c r="B63" s="61"/>
      <c r="C63" s="61"/>
      <c r="D63" s="61"/>
      <c r="E63" s="7"/>
      <c r="F63" s="7"/>
      <c r="G63" s="1"/>
      <c r="H63" s="1"/>
      <c r="I63" s="1"/>
      <c r="J63" s="1"/>
      <c r="K63" s="1"/>
      <c r="L63" s="8"/>
      <c r="M63" s="97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98"/>
      <c r="B64" s="99"/>
      <c r="C64" s="99"/>
      <c r="D64" s="99"/>
      <c r="E64" s="100"/>
      <c r="F64" s="100"/>
      <c r="G64" s="101"/>
      <c r="H64" s="101"/>
      <c r="I64" s="101"/>
      <c r="J64" s="101"/>
      <c r="K64" s="101"/>
      <c r="L64" s="102"/>
      <c r="M64" s="97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03"/>
      <c r="C65" s="103"/>
      <c r="D65" s="103"/>
      <c r="E65" s="103"/>
      <c r="F65" s="103"/>
      <c r="G65" s="1"/>
      <c r="H65" s="1"/>
      <c r="I65" s="1"/>
      <c r="J65" s="1"/>
      <c r="K65" s="104"/>
      <c r="L65" s="104"/>
      <c r="M65" s="10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03"/>
      <c r="C66" s="103"/>
      <c r="D66" s="103"/>
      <c r="E66" s="103"/>
      <c r="F66" s="103"/>
      <c r="G66" s="1"/>
      <c r="H66" s="1"/>
      <c r="I66" s="1"/>
      <c r="J66" s="1"/>
      <c r="K66" s="104"/>
      <c r="L66" s="104"/>
      <c r="M66" s="10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03"/>
      <c r="C67" s="103"/>
      <c r="D67" s="103"/>
      <c r="E67" s="103"/>
      <c r="F67" s="103"/>
      <c r="G67" s="1"/>
      <c r="H67" s="1"/>
      <c r="I67" s="1"/>
      <c r="J67" s="1"/>
      <c r="K67" s="104"/>
      <c r="L67" s="104"/>
      <c r="M67" s="10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03"/>
      <c r="C68" s="103"/>
      <c r="D68" s="103"/>
      <c r="E68" s="103"/>
      <c r="F68" s="103"/>
      <c r="G68" s="1"/>
      <c r="H68" s="1"/>
      <c r="I68" s="1"/>
      <c r="J68" s="1"/>
      <c r="K68" s="104"/>
      <c r="L68" s="104"/>
      <c r="M68" s="10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03"/>
      <c r="C69" s="103"/>
      <c r="D69" s="103"/>
      <c r="E69" s="103"/>
      <c r="F69" s="10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03"/>
      <c r="C70" s="103"/>
      <c r="D70" s="103"/>
      <c r="E70" s="103"/>
      <c r="F70" s="103"/>
      <c r="G70" s="1"/>
      <c r="H70" s="1"/>
      <c r="I70" s="1"/>
      <c r="J70" s="1"/>
      <c r="K70" s="1"/>
      <c r="L70" s="10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03"/>
      <c r="C71" s="103"/>
      <c r="D71" s="103"/>
      <c r="E71" s="103"/>
      <c r="F71" s="10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03"/>
      <c r="C72" s="103"/>
      <c r="D72" s="103"/>
      <c r="E72" s="103"/>
      <c r="F72" s="10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03"/>
      <c r="C73" s="103"/>
      <c r="D73" s="103"/>
      <c r="E73" s="103"/>
      <c r="F73" s="10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03"/>
      <c r="C74" s="103"/>
      <c r="D74" s="103"/>
      <c r="E74" s="103"/>
      <c r="F74" s="10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3"/>
      <c r="C75" s="103"/>
      <c r="D75" s="103"/>
      <c r="E75" s="103"/>
      <c r="F75" s="10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3"/>
      <c r="C76" s="103"/>
      <c r="D76" s="103"/>
      <c r="E76" s="103"/>
      <c r="F76" s="10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F14:F15"/>
    <mergeCell ref="G14:G15"/>
    <mergeCell ref="G53:G54"/>
    <mergeCell ref="I53:J54"/>
    <mergeCell ref="K53:K54"/>
    <mergeCell ref="L53:L54"/>
    <mergeCell ref="A9:L9"/>
    <mergeCell ref="E10:L10"/>
    <mergeCell ref="A13:B13"/>
    <mergeCell ref="C13:D13"/>
    <mergeCell ref="H13:H15"/>
    <mergeCell ref="I13:I14"/>
    <mergeCell ref="J13:L14"/>
    <mergeCell ref="J15:L15"/>
    <mergeCell ref="B57:C57"/>
    <mergeCell ref="B58:C58"/>
    <mergeCell ref="G58:G59"/>
    <mergeCell ref="I58:J59"/>
    <mergeCell ref="K58:K59"/>
    <mergeCell ref="L58:L59"/>
    <mergeCell ref="B59:C59"/>
    <mergeCell ref="E61:G61"/>
    <mergeCell ref="B14:D14"/>
    <mergeCell ref="E14:E15"/>
    <mergeCell ref="B16:D16"/>
    <mergeCell ref="B53:C53"/>
    <mergeCell ref="B54:C54"/>
    <mergeCell ref="B55:C55"/>
    <mergeCell ref="B56:C56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70 L17:L6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06" t="s">
        <v>139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2.0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1" si="1">SUM(E17:H17)</f>
        <v>0</v>
      </c>
      <c r="J17" s="57"/>
      <c r="K17" s="58">
        <f t="shared" ref="K17:K51" si="2">IF(M17&lt;6,5,M17)</f>
        <v>5</v>
      </c>
      <c r="L17" s="59"/>
      <c r="M17" s="60">
        <f t="shared" ref="M17:M5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40</v>
      </c>
      <c r="C23" s="53" t="s">
        <v>41</v>
      </c>
      <c r="D23" s="54" t="s">
        <v>42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43</v>
      </c>
      <c r="C24" s="53" t="s">
        <v>44</v>
      </c>
      <c r="D24" s="54" t="s">
        <v>45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46</v>
      </c>
      <c r="C25" s="53" t="s">
        <v>47</v>
      </c>
      <c r="D25" s="54" t="s">
        <v>48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49</v>
      </c>
      <c r="C26" s="53" t="s">
        <v>50</v>
      </c>
      <c r="D26" s="54" t="s">
        <v>51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52</v>
      </c>
      <c r="C27" s="53" t="s">
        <v>53</v>
      </c>
      <c r="D27" s="54" t="s">
        <v>54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55</v>
      </c>
      <c r="C28" s="53" t="s">
        <v>56</v>
      </c>
      <c r="D28" s="54" t="s">
        <v>57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55</v>
      </c>
      <c r="C29" s="53" t="s">
        <v>58</v>
      </c>
      <c r="D29" s="54" t="s">
        <v>59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60</v>
      </c>
      <c r="C30" s="53" t="s">
        <v>61</v>
      </c>
      <c r="D30" s="54" t="s">
        <v>62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63</v>
      </c>
      <c r="C31" s="53" t="s">
        <v>64</v>
      </c>
      <c r="D31" s="54" t="s">
        <v>65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66</v>
      </c>
      <c r="C32" s="53" t="s">
        <v>67</v>
      </c>
      <c r="D32" s="54" t="s">
        <v>68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69</v>
      </c>
      <c r="C33" s="53" t="s">
        <v>70</v>
      </c>
      <c r="D33" s="54" t="s">
        <v>71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72</v>
      </c>
      <c r="C34" s="53" t="s">
        <v>73</v>
      </c>
      <c r="D34" s="54" t="s">
        <v>74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75</v>
      </c>
      <c r="C35" s="53" t="s">
        <v>76</v>
      </c>
      <c r="D35" s="54" t="s">
        <v>77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78</v>
      </c>
      <c r="C36" s="53" t="s">
        <v>79</v>
      </c>
      <c r="D36" s="54" t="s">
        <v>80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78</v>
      </c>
      <c r="C37" s="53" t="s">
        <v>81</v>
      </c>
      <c r="D37" s="54" t="s">
        <v>82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78</v>
      </c>
      <c r="C38" s="53" t="s">
        <v>47</v>
      </c>
      <c r="D38" s="54" t="s">
        <v>83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78</v>
      </c>
      <c r="C39" s="53" t="s">
        <v>84</v>
      </c>
      <c r="D39" s="54" t="s">
        <v>85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78</v>
      </c>
      <c r="C40" s="53" t="s">
        <v>86</v>
      </c>
      <c r="D40" s="54" t="s">
        <v>87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88</v>
      </c>
      <c r="C41" s="53" t="s">
        <v>89</v>
      </c>
      <c r="D41" s="54" t="s">
        <v>90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91</v>
      </c>
      <c r="C42" s="53" t="s">
        <v>92</v>
      </c>
      <c r="D42" s="54" t="s">
        <v>93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94</v>
      </c>
      <c r="C43" s="53" t="s">
        <v>95</v>
      </c>
      <c r="D43" s="54" t="s">
        <v>96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64</v>
      </c>
      <c r="C44" s="53" t="s">
        <v>97</v>
      </c>
      <c r="D44" s="54" t="s">
        <v>98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99</v>
      </c>
      <c r="C45" s="53" t="s">
        <v>100</v>
      </c>
      <c r="D45" s="54" t="s">
        <v>59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35</v>
      </c>
      <c r="C46" s="53" t="s">
        <v>44</v>
      </c>
      <c r="D46" s="54" t="s">
        <v>101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102</v>
      </c>
      <c r="C47" s="53" t="s">
        <v>103</v>
      </c>
      <c r="D47" s="54" t="s">
        <v>104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105</v>
      </c>
      <c r="C48" s="53" t="s">
        <v>106</v>
      </c>
      <c r="D48" s="54" t="s">
        <v>107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108</v>
      </c>
      <c r="C49" s="53" t="s">
        <v>109</v>
      </c>
      <c r="D49" s="54" t="s">
        <v>110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111</v>
      </c>
      <c r="C50" s="53" t="s">
        <v>112</v>
      </c>
      <c r="D50" s="54" t="s">
        <v>113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114</v>
      </c>
      <c r="C51" s="53" t="s">
        <v>115</v>
      </c>
      <c r="D51" s="54" t="s">
        <v>116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6"/>
      <c r="B52" s="61"/>
      <c r="C52" s="61"/>
      <c r="D52" s="61"/>
      <c r="E52" s="62"/>
      <c r="F52" s="62"/>
      <c r="G52" s="61"/>
      <c r="H52" s="61"/>
      <c r="I52" s="61"/>
      <c r="J52" s="61"/>
      <c r="K52" s="1"/>
      <c r="L52" s="8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1.75" customHeight="1">
      <c r="B53" s="63" t="s">
        <v>117</v>
      </c>
      <c r="C53" s="64"/>
      <c r="D53" s="65">
        <f>COUNT(A17:A51)</f>
        <v>35</v>
      </c>
      <c r="E53" s="61"/>
      <c r="F53" s="61"/>
      <c r="G53" s="66" t="s">
        <v>118</v>
      </c>
      <c r="H53" s="66"/>
      <c r="I53" s="66" t="s">
        <v>119</v>
      </c>
      <c r="K53" s="67" t="s">
        <v>120</v>
      </c>
      <c r="L53" s="68" t="s">
        <v>121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1.75" customHeight="1">
      <c r="B54" s="69" t="s">
        <v>122</v>
      </c>
      <c r="C54" s="70"/>
      <c r="D54" s="71">
        <f>COUNTIF(K17:K51,"BAJA")</f>
        <v>0</v>
      </c>
      <c r="E54" s="61"/>
      <c r="F54" s="61"/>
      <c r="H54" s="66"/>
      <c r="L54" s="10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1.75" customHeight="1">
      <c r="B55" s="69" t="s">
        <v>123</v>
      </c>
      <c r="C55" s="70"/>
      <c r="D55" s="72">
        <f>D53-D54</f>
        <v>35</v>
      </c>
      <c r="E55" s="61"/>
      <c r="F55" s="61"/>
      <c r="G55" s="73"/>
      <c r="H55" s="74"/>
      <c r="I55" s="73"/>
      <c r="J55" s="73"/>
      <c r="K55" s="75"/>
      <c r="L55" s="76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1.75" customHeight="1">
      <c r="B56" s="69" t="s">
        <v>124</v>
      </c>
      <c r="C56" s="70"/>
      <c r="D56" s="77">
        <f>COUNTIF(K17:K51,"&gt;=6")</f>
        <v>0</v>
      </c>
      <c r="E56" s="61"/>
      <c r="F56" s="61"/>
      <c r="G56" s="73"/>
      <c r="H56" s="74"/>
      <c r="I56" s="73"/>
      <c r="J56" s="73"/>
      <c r="K56" s="75"/>
      <c r="L56" s="76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1.75" customHeight="1">
      <c r="B57" s="69" t="s">
        <v>125</v>
      </c>
      <c r="C57" s="70"/>
      <c r="D57" s="77">
        <f>D55-D56</f>
        <v>35</v>
      </c>
      <c r="E57" s="61"/>
      <c r="F57" s="61"/>
      <c r="G57" s="78"/>
      <c r="H57" s="74"/>
      <c r="I57" s="78"/>
      <c r="J57" s="78"/>
      <c r="K57" s="79"/>
      <c r="L57" s="80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75" customHeight="1">
      <c r="B58" s="69" t="s">
        <v>126</v>
      </c>
      <c r="C58" s="70"/>
      <c r="D58" s="81">
        <f>D56*100/D55</f>
        <v>0</v>
      </c>
      <c r="E58" s="61"/>
      <c r="F58" s="61"/>
      <c r="G58" s="82" t="s">
        <v>127</v>
      </c>
      <c r="H58" s="83"/>
      <c r="I58" s="84" t="s">
        <v>128</v>
      </c>
      <c r="K58" s="85" t="s">
        <v>129</v>
      </c>
      <c r="L58" s="86" t="s">
        <v>130</v>
      </c>
      <c r="M58" s="87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B59" s="88" t="s">
        <v>131</v>
      </c>
      <c r="C59" s="89"/>
      <c r="D59" s="90">
        <f>AVERAGE(K17:K51)</f>
        <v>5</v>
      </c>
      <c r="E59" s="61"/>
      <c r="F59" s="61"/>
      <c r="H59" s="83"/>
      <c r="L59" s="10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6"/>
      <c r="B60" s="1"/>
      <c r="C60" s="1"/>
      <c r="D60" s="1"/>
      <c r="E60" s="1"/>
      <c r="F60" s="1"/>
      <c r="G60" s="1"/>
      <c r="H60" s="1"/>
      <c r="I60" s="1"/>
      <c r="J60" s="1"/>
      <c r="K60" s="1"/>
      <c r="L60" s="8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91"/>
      <c r="B61" s="92"/>
      <c r="C61" s="93"/>
      <c r="D61" s="93"/>
      <c r="E61" s="61"/>
      <c r="H61" s="7"/>
      <c r="I61" s="7"/>
      <c r="J61" s="7"/>
      <c r="K61" s="7"/>
      <c r="L61" s="94"/>
      <c r="M61" s="95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96"/>
      <c r="B62" s="61"/>
      <c r="C62" s="61"/>
      <c r="D62" s="61"/>
      <c r="E62" s="7"/>
      <c r="F62" s="7"/>
      <c r="G62" s="1"/>
      <c r="H62" s="1"/>
      <c r="I62" s="1"/>
      <c r="J62" s="1"/>
      <c r="K62" s="1"/>
      <c r="L62" s="8"/>
      <c r="M62" s="97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96"/>
      <c r="B63" s="61"/>
      <c r="C63" s="61"/>
      <c r="D63" s="61"/>
      <c r="E63" s="7"/>
      <c r="F63" s="7"/>
      <c r="G63" s="1"/>
      <c r="H63" s="1"/>
      <c r="I63" s="1"/>
      <c r="J63" s="1"/>
      <c r="K63" s="1"/>
      <c r="L63" s="8"/>
      <c r="M63" s="97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98"/>
      <c r="B64" s="99"/>
      <c r="C64" s="99"/>
      <c r="D64" s="99"/>
      <c r="E64" s="100"/>
      <c r="F64" s="100"/>
      <c r="G64" s="101"/>
      <c r="H64" s="101"/>
      <c r="I64" s="101"/>
      <c r="J64" s="101"/>
      <c r="K64" s="101"/>
      <c r="L64" s="102"/>
      <c r="M64" s="97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03"/>
      <c r="C65" s="103"/>
      <c r="D65" s="103"/>
      <c r="E65" s="103"/>
      <c r="F65" s="103"/>
      <c r="G65" s="1"/>
      <c r="H65" s="1"/>
      <c r="I65" s="1"/>
      <c r="J65" s="1"/>
      <c r="K65" s="104"/>
      <c r="L65" s="104"/>
      <c r="M65" s="10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03"/>
      <c r="C66" s="103"/>
      <c r="D66" s="103"/>
      <c r="E66" s="103"/>
      <c r="F66" s="103"/>
      <c r="G66" s="1"/>
      <c r="H66" s="1"/>
      <c r="I66" s="1"/>
      <c r="J66" s="1"/>
      <c r="K66" s="104"/>
      <c r="L66" s="104"/>
      <c r="M66" s="10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03"/>
      <c r="C67" s="103"/>
      <c r="D67" s="103"/>
      <c r="E67" s="103"/>
      <c r="F67" s="103"/>
      <c r="G67" s="1"/>
      <c r="H67" s="1"/>
      <c r="I67" s="1"/>
      <c r="J67" s="1"/>
      <c r="K67" s="104"/>
      <c r="L67" s="104"/>
      <c r="M67" s="10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03"/>
      <c r="C68" s="103"/>
      <c r="D68" s="103"/>
      <c r="E68" s="103"/>
      <c r="F68" s="103"/>
      <c r="G68" s="1"/>
      <c r="H68" s="1"/>
      <c r="I68" s="1"/>
      <c r="J68" s="1"/>
      <c r="K68" s="104"/>
      <c r="L68" s="104"/>
      <c r="M68" s="10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03"/>
      <c r="C69" s="103"/>
      <c r="D69" s="103"/>
      <c r="E69" s="103"/>
      <c r="F69" s="10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03"/>
      <c r="C70" s="103"/>
      <c r="D70" s="103"/>
      <c r="E70" s="103"/>
      <c r="F70" s="103"/>
      <c r="G70" s="1"/>
      <c r="H70" s="1"/>
      <c r="I70" s="1"/>
      <c r="J70" s="1"/>
      <c r="K70" s="1"/>
      <c r="L70" s="10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03"/>
      <c r="C71" s="103"/>
      <c r="D71" s="103"/>
      <c r="E71" s="103"/>
      <c r="F71" s="10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03"/>
      <c r="C72" s="103"/>
      <c r="D72" s="103"/>
      <c r="E72" s="103"/>
      <c r="F72" s="10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03"/>
      <c r="C73" s="103"/>
      <c r="D73" s="103"/>
      <c r="E73" s="103"/>
      <c r="F73" s="10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03"/>
      <c r="C74" s="103"/>
      <c r="D74" s="103"/>
      <c r="E74" s="103"/>
      <c r="F74" s="10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3"/>
      <c r="C75" s="103"/>
      <c r="D75" s="103"/>
      <c r="E75" s="103"/>
      <c r="F75" s="10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3"/>
      <c r="C76" s="103"/>
      <c r="D76" s="103"/>
      <c r="E76" s="103"/>
      <c r="F76" s="10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F14:F15"/>
    <mergeCell ref="G14:G15"/>
    <mergeCell ref="G53:G54"/>
    <mergeCell ref="I53:J54"/>
    <mergeCell ref="K53:K54"/>
    <mergeCell ref="L53:L54"/>
    <mergeCell ref="A9:L9"/>
    <mergeCell ref="E10:L10"/>
    <mergeCell ref="A13:B13"/>
    <mergeCell ref="C13:D13"/>
    <mergeCell ref="H13:H15"/>
    <mergeCell ref="I13:I14"/>
    <mergeCell ref="J13:L14"/>
    <mergeCell ref="J15:L15"/>
    <mergeCell ref="B57:C57"/>
    <mergeCell ref="B58:C58"/>
    <mergeCell ref="G58:G59"/>
    <mergeCell ref="I58:J59"/>
    <mergeCell ref="K58:K59"/>
    <mergeCell ref="L58:L59"/>
    <mergeCell ref="B59:C59"/>
    <mergeCell ref="E61:G61"/>
    <mergeCell ref="B14:D14"/>
    <mergeCell ref="E14:E15"/>
    <mergeCell ref="B16:D16"/>
    <mergeCell ref="B53:C53"/>
    <mergeCell ref="B54:C54"/>
    <mergeCell ref="B55:C55"/>
    <mergeCell ref="B56:C56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70 L17:L6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06" t="s">
        <v>140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2.0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1" si="1">SUM(E17:H17)</f>
        <v>0</v>
      </c>
      <c r="J17" s="57"/>
      <c r="K17" s="58">
        <f t="shared" ref="K17:K51" si="2">IF(M17&lt;6,5,M17)</f>
        <v>5</v>
      </c>
      <c r="L17" s="59"/>
      <c r="M17" s="60">
        <f t="shared" ref="M17:M5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40</v>
      </c>
      <c r="C23" s="53" t="s">
        <v>41</v>
      </c>
      <c r="D23" s="54" t="s">
        <v>42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43</v>
      </c>
      <c r="C24" s="53" t="s">
        <v>44</v>
      </c>
      <c r="D24" s="54" t="s">
        <v>45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46</v>
      </c>
      <c r="C25" s="53" t="s">
        <v>47</v>
      </c>
      <c r="D25" s="54" t="s">
        <v>48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49</v>
      </c>
      <c r="C26" s="53" t="s">
        <v>50</v>
      </c>
      <c r="D26" s="54" t="s">
        <v>51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52</v>
      </c>
      <c r="C27" s="53" t="s">
        <v>53</v>
      </c>
      <c r="D27" s="54" t="s">
        <v>54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55</v>
      </c>
      <c r="C28" s="53" t="s">
        <v>56</v>
      </c>
      <c r="D28" s="54" t="s">
        <v>57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55</v>
      </c>
      <c r="C29" s="53" t="s">
        <v>58</v>
      </c>
      <c r="D29" s="54" t="s">
        <v>59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60</v>
      </c>
      <c r="C30" s="53" t="s">
        <v>61</v>
      </c>
      <c r="D30" s="54" t="s">
        <v>62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63</v>
      </c>
      <c r="C31" s="53" t="s">
        <v>64</v>
      </c>
      <c r="D31" s="54" t="s">
        <v>65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66</v>
      </c>
      <c r="C32" s="53" t="s">
        <v>67</v>
      </c>
      <c r="D32" s="54" t="s">
        <v>68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69</v>
      </c>
      <c r="C33" s="53" t="s">
        <v>70</v>
      </c>
      <c r="D33" s="54" t="s">
        <v>71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72</v>
      </c>
      <c r="C34" s="53" t="s">
        <v>73</v>
      </c>
      <c r="D34" s="54" t="s">
        <v>74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75</v>
      </c>
      <c r="C35" s="53" t="s">
        <v>76</v>
      </c>
      <c r="D35" s="54" t="s">
        <v>77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78</v>
      </c>
      <c r="C36" s="53" t="s">
        <v>79</v>
      </c>
      <c r="D36" s="54" t="s">
        <v>80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78</v>
      </c>
      <c r="C37" s="53" t="s">
        <v>81</v>
      </c>
      <c r="D37" s="54" t="s">
        <v>82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78</v>
      </c>
      <c r="C38" s="53" t="s">
        <v>47</v>
      </c>
      <c r="D38" s="54" t="s">
        <v>83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78</v>
      </c>
      <c r="C39" s="53" t="s">
        <v>84</v>
      </c>
      <c r="D39" s="54" t="s">
        <v>85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78</v>
      </c>
      <c r="C40" s="53" t="s">
        <v>86</v>
      </c>
      <c r="D40" s="54" t="s">
        <v>87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88</v>
      </c>
      <c r="C41" s="53" t="s">
        <v>89</v>
      </c>
      <c r="D41" s="54" t="s">
        <v>90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91</v>
      </c>
      <c r="C42" s="53" t="s">
        <v>92</v>
      </c>
      <c r="D42" s="54" t="s">
        <v>93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94</v>
      </c>
      <c r="C43" s="53" t="s">
        <v>95</v>
      </c>
      <c r="D43" s="54" t="s">
        <v>96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64</v>
      </c>
      <c r="C44" s="53" t="s">
        <v>97</v>
      </c>
      <c r="D44" s="54" t="s">
        <v>98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99</v>
      </c>
      <c r="C45" s="53" t="s">
        <v>100</v>
      </c>
      <c r="D45" s="54" t="s">
        <v>59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35</v>
      </c>
      <c r="C46" s="53" t="s">
        <v>44</v>
      </c>
      <c r="D46" s="54" t="s">
        <v>101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102</v>
      </c>
      <c r="C47" s="53" t="s">
        <v>103</v>
      </c>
      <c r="D47" s="54" t="s">
        <v>104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105</v>
      </c>
      <c r="C48" s="53" t="s">
        <v>106</v>
      </c>
      <c r="D48" s="54" t="s">
        <v>107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108</v>
      </c>
      <c r="C49" s="53" t="s">
        <v>109</v>
      </c>
      <c r="D49" s="54" t="s">
        <v>110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111</v>
      </c>
      <c r="C50" s="53" t="s">
        <v>112</v>
      </c>
      <c r="D50" s="54" t="s">
        <v>113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114</v>
      </c>
      <c r="C51" s="53" t="s">
        <v>115</v>
      </c>
      <c r="D51" s="54" t="s">
        <v>116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6"/>
      <c r="B52" s="61"/>
      <c r="C52" s="61"/>
      <c r="D52" s="61"/>
      <c r="E52" s="62"/>
      <c r="F52" s="62"/>
      <c r="G52" s="61"/>
      <c r="H52" s="61"/>
      <c r="I52" s="61"/>
      <c r="J52" s="61"/>
      <c r="K52" s="1"/>
      <c r="L52" s="8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1.75" customHeight="1">
      <c r="B53" s="63" t="s">
        <v>117</v>
      </c>
      <c r="C53" s="64"/>
      <c r="D53" s="65">
        <f>COUNT(A17:A51)</f>
        <v>35</v>
      </c>
      <c r="E53" s="61"/>
      <c r="F53" s="61"/>
      <c r="G53" s="66" t="s">
        <v>118</v>
      </c>
      <c r="H53" s="66"/>
      <c r="I53" s="66" t="s">
        <v>119</v>
      </c>
      <c r="K53" s="67" t="s">
        <v>120</v>
      </c>
      <c r="L53" s="68" t="s">
        <v>121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1.75" customHeight="1">
      <c r="B54" s="69" t="s">
        <v>122</v>
      </c>
      <c r="C54" s="70"/>
      <c r="D54" s="71">
        <f>COUNTIF(K17:K51,"BAJA")</f>
        <v>0</v>
      </c>
      <c r="E54" s="61"/>
      <c r="F54" s="61"/>
      <c r="H54" s="66"/>
      <c r="L54" s="10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1.75" customHeight="1">
      <c r="B55" s="69" t="s">
        <v>123</v>
      </c>
      <c r="C55" s="70"/>
      <c r="D55" s="72">
        <f>D53-D54</f>
        <v>35</v>
      </c>
      <c r="E55" s="61"/>
      <c r="F55" s="61"/>
      <c r="G55" s="73"/>
      <c r="H55" s="74"/>
      <c r="I55" s="73"/>
      <c r="J55" s="73"/>
      <c r="K55" s="75"/>
      <c r="L55" s="76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1.75" customHeight="1">
      <c r="B56" s="69" t="s">
        <v>124</v>
      </c>
      <c r="C56" s="70"/>
      <c r="D56" s="77">
        <f>COUNTIF(K17:K51,"&gt;=6")</f>
        <v>0</v>
      </c>
      <c r="E56" s="61"/>
      <c r="F56" s="61"/>
      <c r="G56" s="73"/>
      <c r="H56" s="74"/>
      <c r="I56" s="73"/>
      <c r="J56" s="73"/>
      <c r="K56" s="75"/>
      <c r="L56" s="76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1.75" customHeight="1">
      <c r="B57" s="69" t="s">
        <v>125</v>
      </c>
      <c r="C57" s="70"/>
      <c r="D57" s="77">
        <f>D55-D56</f>
        <v>35</v>
      </c>
      <c r="E57" s="61"/>
      <c r="F57" s="61"/>
      <c r="G57" s="78"/>
      <c r="H57" s="74"/>
      <c r="I57" s="78"/>
      <c r="J57" s="78"/>
      <c r="K57" s="79"/>
      <c r="L57" s="80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75" customHeight="1">
      <c r="B58" s="69" t="s">
        <v>126</v>
      </c>
      <c r="C58" s="70"/>
      <c r="D58" s="81">
        <f>D56*100/D55</f>
        <v>0</v>
      </c>
      <c r="E58" s="61"/>
      <c r="F58" s="61"/>
      <c r="G58" s="82" t="s">
        <v>127</v>
      </c>
      <c r="H58" s="83"/>
      <c r="I58" s="84" t="s">
        <v>128</v>
      </c>
      <c r="K58" s="85" t="s">
        <v>129</v>
      </c>
      <c r="L58" s="86" t="s">
        <v>130</v>
      </c>
      <c r="M58" s="87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B59" s="88" t="s">
        <v>131</v>
      </c>
      <c r="C59" s="89"/>
      <c r="D59" s="90">
        <f>AVERAGE(K17:K51)</f>
        <v>5</v>
      </c>
      <c r="E59" s="61"/>
      <c r="F59" s="61"/>
      <c r="H59" s="83"/>
      <c r="L59" s="10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6"/>
      <c r="B60" s="1"/>
      <c r="C60" s="1"/>
      <c r="D60" s="1"/>
      <c r="E60" s="1"/>
      <c r="F60" s="1"/>
      <c r="G60" s="1"/>
      <c r="H60" s="1"/>
      <c r="I60" s="1"/>
      <c r="J60" s="1"/>
      <c r="K60" s="1"/>
      <c r="L60" s="8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91"/>
      <c r="B61" s="92"/>
      <c r="C61" s="93"/>
      <c r="D61" s="93"/>
      <c r="E61" s="61"/>
      <c r="H61" s="7"/>
      <c r="I61" s="7"/>
      <c r="J61" s="7"/>
      <c r="K61" s="7"/>
      <c r="L61" s="94"/>
      <c r="M61" s="95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96"/>
      <c r="B62" s="61"/>
      <c r="C62" s="61"/>
      <c r="D62" s="61"/>
      <c r="E62" s="7"/>
      <c r="F62" s="7"/>
      <c r="G62" s="1"/>
      <c r="H62" s="1"/>
      <c r="I62" s="1"/>
      <c r="J62" s="1"/>
      <c r="K62" s="1"/>
      <c r="L62" s="8"/>
      <c r="M62" s="97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96"/>
      <c r="B63" s="61"/>
      <c r="C63" s="61"/>
      <c r="D63" s="61"/>
      <c r="E63" s="7"/>
      <c r="F63" s="7"/>
      <c r="G63" s="1"/>
      <c r="H63" s="1"/>
      <c r="I63" s="1"/>
      <c r="J63" s="1"/>
      <c r="K63" s="1"/>
      <c r="L63" s="8"/>
      <c r="M63" s="97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98"/>
      <c r="B64" s="99"/>
      <c r="C64" s="99"/>
      <c r="D64" s="99"/>
      <c r="E64" s="100"/>
      <c r="F64" s="100"/>
      <c r="G64" s="101"/>
      <c r="H64" s="101"/>
      <c r="I64" s="101"/>
      <c r="J64" s="101"/>
      <c r="K64" s="101"/>
      <c r="L64" s="102"/>
      <c r="M64" s="97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03"/>
      <c r="C65" s="103"/>
      <c r="D65" s="103"/>
      <c r="E65" s="103"/>
      <c r="F65" s="103"/>
      <c r="G65" s="1"/>
      <c r="H65" s="1"/>
      <c r="I65" s="1"/>
      <c r="J65" s="1"/>
      <c r="K65" s="104"/>
      <c r="L65" s="104"/>
      <c r="M65" s="10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03"/>
      <c r="C66" s="103"/>
      <c r="D66" s="103"/>
      <c r="E66" s="103"/>
      <c r="F66" s="103"/>
      <c r="G66" s="1"/>
      <c r="H66" s="1"/>
      <c r="I66" s="1"/>
      <c r="J66" s="1"/>
      <c r="K66" s="104"/>
      <c r="L66" s="104"/>
      <c r="M66" s="10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03"/>
      <c r="C67" s="103"/>
      <c r="D67" s="103"/>
      <c r="E67" s="103"/>
      <c r="F67" s="103"/>
      <c r="G67" s="1"/>
      <c r="H67" s="1"/>
      <c r="I67" s="1"/>
      <c r="J67" s="1"/>
      <c r="K67" s="104"/>
      <c r="L67" s="104"/>
      <c r="M67" s="10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03"/>
      <c r="C68" s="103"/>
      <c r="D68" s="103"/>
      <c r="E68" s="103"/>
      <c r="F68" s="103"/>
      <c r="G68" s="1"/>
      <c r="H68" s="1"/>
      <c r="I68" s="1"/>
      <c r="J68" s="1"/>
      <c r="K68" s="104"/>
      <c r="L68" s="104"/>
      <c r="M68" s="10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03"/>
      <c r="C69" s="103"/>
      <c r="D69" s="103"/>
      <c r="E69" s="103"/>
      <c r="F69" s="10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03"/>
      <c r="C70" s="103"/>
      <c r="D70" s="103"/>
      <c r="E70" s="103"/>
      <c r="F70" s="103"/>
      <c r="G70" s="1"/>
      <c r="H70" s="1"/>
      <c r="I70" s="1"/>
      <c r="J70" s="1"/>
      <c r="K70" s="1"/>
      <c r="L70" s="10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03"/>
      <c r="C71" s="103"/>
      <c r="D71" s="103"/>
      <c r="E71" s="103"/>
      <c r="F71" s="10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03"/>
      <c r="C72" s="103"/>
      <c r="D72" s="103"/>
      <c r="E72" s="103"/>
      <c r="F72" s="10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03"/>
      <c r="C73" s="103"/>
      <c r="D73" s="103"/>
      <c r="E73" s="103"/>
      <c r="F73" s="10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03"/>
      <c r="C74" s="103"/>
      <c r="D74" s="103"/>
      <c r="E74" s="103"/>
      <c r="F74" s="10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3"/>
      <c r="C75" s="103"/>
      <c r="D75" s="103"/>
      <c r="E75" s="103"/>
      <c r="F75" s="10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3"/>
      <c r="C76" s="103"/>
      <c r="D76" s="103"/>
      <c r="E76" s="103"/>
      <c r="F76" s="10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F14:F15"/>
    <mergeCell ref="G14:G15"/>
    <mergeCell ref="G53:G54"/>
    <mergeCell ref="I53:J54"/>
    <mergeCell ref="K53:K54"/>
    <mergeCell ref="L53:L54"/>
    <mergeCell ref="A9:L9"/>
    <mergeCell ref="E10:L10"/>
    <mergeCell ref="A13:B13"/>
    <mergeCell ref="C13:D13"/>
    <mergeCell ref="H13:H15"/>
    <mergeCell ref="I13:I14"/>
    <mergeCell ref="J13:L14"/>
    <mergeCell ref="J15:L15"/>
    <mergeCell ref="B57:C57"/>
    <mergeCell ref="B58:C58"/>
    <mergeCell ref="G58:G59"/>
    <mergeCell ref="I58:J59"/>
    <mergeCell ref="K58:K59"/>
    <mergeCell ref="L58:L59"/>
    <mergeCell ref="B59:C59"/>
    <mergeCell ref="E61:G61"/>
    <mergeCell ref="B14:D14"/>
    <mergeCell ref="E14:E15"/>
    <mergeCell ref="B16:D16"/>
    <mergeCell ref="B53:C53"/>
    <mergeCell ref="B54:C54"/>
    <mergeCell ref="B55:C55"/>
    <mergeCell ref="B56:C56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K17:K70 L18:L69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06" t="s">
        <v>141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2.0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1" si="1">SUM(E17:H17)</f>
        <v>0</v>
      </c>
      <c r="J17" s="57"/>
      <c r="K17" s="58">
        <f t="shared" ref="K17:K51" si="2">IF(M17&lt;6,5,M17)</f>
        <v>5</v>
      </c>
      <c r="L17" s="59"/>
      <c r="M17" s="60">
        <f t="shared" ref="M17:M5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40</v>
      </c>
      <c r="C23" s="53" t="s">
        <v>41</v>
      </c>
      <c r="D23" s="54" t="s">
        <v>42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43</v>
      </c>
      <c r="C24" s="53" t="s">
        <v>44</v>
      </c>
      <c r="D24" s="54" t="s">
        <v>45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46</v>
      </c>
      <c r="C25" s="53" t="s">
        <v>47</v>
      </c>
      <c r="D25" s="54" t="s">
        <v>48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49</v>
      </c>
      <c r="C26" s="53" t="s">
        <v>50</v>
      </c>
      <c r="D26" s="54" t="s">
        <v>51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52</v>
      </c>
      <c r="C27" s="53" t="s">
        <v>53</v>
      </c>
      <c r="D27" s="54" t="s">
        <v>54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55</v>
      </c>
      <c r="C28" s="53" t="s">
        <v>56</v>
      </c>
      <c r="D28" s="54" t="s">
        <v>57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55</v>
      </c>
      <c r="C29" s="53" t="s">
        <v>58</v>
      </c>
      <c r="D29" s="54" t="s">
        <v>59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60</v>
      </c>
      <c r="C30" s="53" t="s">
        <v>61</v>
      </c>
      <c r="D30" s="54" t="s">
        <v>62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63</v>
      </c>
      <c r="C31" s="53" t="s">
        <v>64</v>
      </c>
      <c r="D31" s="54" t="s">
        <v>65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66</v>
      </c>
      <c r="C32" s="53" t="s">
        <v>67</v>
      </c>
      <c r="D32" s="54" t="s">
        <v>68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69</v>
      </c>
      <c r="C33" s="53" t="s">
        <v>70</v>
      </c>
      <c r="D33" s="54" t="s">
        <v>71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72</v>
      </c>
      <c r="C34" s="53" t="s">
        <v>73</v>
      </c>
      <c r="D34" s="54" t="s">
        <v>74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75</v>
      </c>
      <c r="C35" s="53" t="s">
        <v>76</v>
      </c>
      <c r="D35" s="54" t="s">
        <v>77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78</v>
      </c>
      <c r="C36" s="53" t="s">
        <v>79</v>
      </c>
      <c r="D36" s="54" t="s">
        <v>80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78</v>
      </c>
      <c r="C37" s="53" t="s">
        <v>81</v>
      </c>
      <c r="D37" s="54" t="s">
        <v>82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78</v>
      </c>
      <c r="C38" s="53" t="s">
        <v>47</v>
      </c>
      <c r="D38" s="54" t="s">
        <v>83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78</v>
      </c>
      <c r="C39" s="53" t="s">
        <v>84</v>
      </c>
      <c r="D39" s="54" t="s">
        <v>85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78</v>
      </c>
      <c r="C40" s="53" t="s">
        <v>86</v>
      </c>
      <c r="D40" s="54" t="s">
        <v>87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88</v>
      </c>
      <c r="C41" s="53" t="s">
        <v>89</v>
      </c>
      <c r="D41" s="54" t="s">
        <v>90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91</v>
      </c>
      <c r="C42" s="53" t="s">
        <v>92</v>
      </c>
      <c r="D42" s="54" t="s">
        <v>93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94</v>
      </c>
      <c r="C43" s="53" t="s">
        <v>95</v>
      </c>
      <c r="D43" s="54" t="s">
        <v>96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64</v>
      </c>
      <c r="C44" s="53" t="s">
        <v>97</v>
      </c>
      <c r="D44" s="54" t="s">
        <v>98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99</v>
      </c>
      <c r="C45" s="53" t="s">
        <v>100</v>
      </c>
      <c r="D45" s="54" t="s">
        <v>59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35</v>
      </c>
      <c r="C46" s="53" t="s">
        <v>44</v>
      </c>
      <c r="D46" s="54" t="s">
        <v>101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102</v>
      </c>
      <c r="C47" s="53" t="s">
        <v>103</v>
      </c>
      <c r="D47" s="54" t="s">
        <v>104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105</v>
      </c>
      <c r="C48" s="53" t="s">
        <v>106</v>
      </c>
      <c r="D48" s="54" t="s">
        <v>107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108</v>
      </c>
      <c r="C49" s="53" t="s">
        <v>109</v>
      </c>
      <c r="D49" s="54" t="s">
        <v>110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111</v>
      </c>
      <c r="C50" s="53" t="s">
        <v>112</v>
      </c>
      <c r="D50" s="54" t="s">
        <v>113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114</v>
      </c>
      <c r="C51" s="53" t="s">
        <v>115</v>
      </c>
      <c r="D51" s="54" t="s">
        <v>116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6"/>
      <c r="B52" s="61"/>
      <c r="C52" s="61"/>
      <c r="D52" s="61"/>
      <c r="E52" s="62"/>
      <c r="F52" s="62"/>
      <c r="G52" s="61"/>
      <c r="H52" s="61"/>
      <c r="I52" s="61"/>
      <c r="J52" s="61"/>
      <c r="K52" s="1"/>
      <c r="L52" s="8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1.75" customHeight="1">
      <c r="B53" s="63" t="s">
        <v>117</v>
      </c>
      <c r="C53" s="64"/>
      <c r="D53" s="65">
        <f>COUNT(A17:A51)</f>
        <v>35</v>
      </c>
      <c r="E53" s="61"/>
      <c r="F53" s="61"/>
      <c r="G53" s="66" t="s">
        <v>118</v>
      </c>
      <c r="H53" s="66"/>
      <c r="I53" s="66" t="s">
        <v>119</v>
      </c>
      <c r="K53" s="67" t="s">
        <v>120</v>
      </c>
      <c r="L53" s="68" t="s">
        <v>121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1.75" customHeight="1">
      <c r="B54" s="69" t="s">
        <v>122</v>
      </c>
      <c r="C54" s="70"/>
      <c r="D54" s="71">
        <f>COUNTIF(K17:K51,"BAJA")</f>
        <v>0</v>
      </c>
      <c r="E54" s="61"/>
      <c r="F54" s="61"/>
      <c r="H54" s="66"/>
      <c r="L54" s="10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1.75" customHeight="1">
      <c r="B55" s="69" t="s">
        <v>123</v>
      </c>
      <c r="C55" s="70"/>
      <c r="D55" s="72">
        <f>D53-D54</f>
        <v>35</v>
      </c>
      <c r="E55" s="61"/>
      <c r="F55" s="61"/>
      <c r="G55" s="73"/>
      <c r="H55" s="74"/>
      <c r="I55" s="73"/>
      <c r="J55" s="73"/>
      <c r="K55" s="75"/>
      <c r="L55" s="76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1.75" customHeight="1">
      <c r="B56" s="69" t="s">
        <v>124</v>
      </c>
      <c r="C56" s="70"/>
      <c r="D56" s="77">
        <f>COUNTIF(K17:K51,"&gt;=6")</f>
        <v>0</v>
      </c>
      <c r="E56" s="61"/>
      <c r="F56" s="61"/>
      <c r="G56" s="73"/>
      <c r="H56" s="74"/>
      <c r="I56" s="73"/>
      <c r="J56" s="73"/>
      <c r="K56" s="75"/>
      <c r="L56" s="76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1.75" customHeight="1">
      <c r="B57" s="69" t="s">
        <v>125</v>
      </c>
      <c r="C57" s="70"/>
      <c r="D57" s="77">
        <f>D55-D56</f>
        <v>35</v>
      </c>
      <c r="E57" s="61"/>
      <c r="F57" s="61"/>
      <c r="G57" s="78"/>
      <c r="H57" s="74"/>
      <c r="I57" s="78"/>
      <c r="J57" s="78"/>
      <c r="K57" s="79"/>
      <c r="L57" s="80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75" customHeight="1">
      <c r="B58" s="69" t="s">
        <v>126</v>
      </c>
      <c r="C58" s="70"/>
      <c r="D58" s="81">
        <f>D56*100/D55</f>
        <v>0</v>
      </c>
      <c r="E58" s="61"/>
      <c r="F58" s="61"/>
      <c r="G58" s="82" t="s">
        <v>127</v>
      </c>
      <c r="H58" s="83"/>
      <c r="I58" s="84" t="s">
        <v>128</v>
      </c>
      <c r="K58" s="85" t="s">
        <v>129</v>
      </c>
      <c r="L58" s="86" t="s">
        <v>130</v>
      </c>
      <c r="M58" s="87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B59" s="88" t="s">
        <v>131</v>
      </c>
      <c r="C59" s="89"/>
      <c r="D59" s="90">
        <f>AVERAGE(K17:K51)</f>
        <v>5</v>
      </c>
      <c r="E59" s="61"/>
      <c r="F59" s="61"/>
      <c r="H59" s="83"/>
      <c r="L59" s="10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6"/>
      <c r="B60" s="1"/>
      <c r="C60" s="1"/>
      <c r="D60" s="1"/>
      <c r="E60" s="1"/>
      <c r="F60" s="1"/>
      <c r="G60" s="1"/>
      <c r="H60" s="1"/>
      <c r="I60" s="1"/>
      <c r="J60" s="1"/>
      <c r="K60" s="1"/>
      <c r="L60" s="8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91"/>
      <c r="B61" s="92"/>
      <c r="C61" s="93"/>
      <c r="D61" s="93"/>
      <c r="E61" s="61"/>
      <c r="H61" s="7"/>
      <c r="I61" s="7"/>
      <c r="J61" s="7"/>
      <c r="K61" s="7"/>
      <c r="L61" s="94"/>
      <c r="M61" s="95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96"/>
      <c r="B62" s="61"/>
      <c r="C62" s="61"/>
      <c r="D62" s="61"/>
      <c r="E62" s="7"/>
      <c r="F62" s="7"/>
      <c r="G62" s="1"/>
      <c r="H62" s="1"/>
      <c r="I62" s="1"/>
      <c r="J62" s="1"/>
      <c r="K62" s="1"/>
      <c r="L62" s="8"/>
      <c r="M62" s="97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96"/>
      <c r="B63" s="61"/>
      <c r="C63" s="61"/>
      <c r="D63" s="61"/>
      <c r="E63" s="7"/>
      <c r="F63" s="7"/>
      <c r="G63" s="1"/>
      <c r="H63" s="1"/>
      <c r="I63" s="1"/>
      <c r="J63" s="1"/>
      <c r="K63" s="1"/>
      <c r="L63" s="8"/>
      <c r="M63" s="97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98"/>
      <c r="B64" s="99"/>
      <c r="C64" s="99"/>
      <c r="D64" s="99"/>
      <c r="E64" s="100"/>
      <c r="F64" s="100"/>
      <c r="G64" s="101"/>
      <c r="H64" s="101"/>
      <c r="I64" s="101"/>
      <c r="J64" s="101"/>
      <c r="K64" s="101"/>
      <c r="L64" s="102"/>
      <c r="M64" s="97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03"/>
      <c r="C65" s="103"/>
      <c r="D65" s="103"/>
      <c r="E65" s="103"/>
      <c r="F65" s="103"/>
      <c r="G65" s="1"/>
      <c r="H65" s="1"/>
      <c r="I65" s="1"/>
      <c r="J65" s="1"/>
      <c r="K65" s="104"/>
      <c r="L65" s="104"/>
      <c r="M65" s="10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03"/>
      <c r="C66" s="103"/>
      <c r="D66" s="103"/>
      <c r="E66" s="103"/>
      <c r="F66" s="103"/>
      <c r="G66" s="1"/>
      <c r="H66" s="1"/>
      <c r="I66" s="1"/>
      <c r="J66" s="1"/>
      <c r="K66" s="104"/>
      <c r="L66" s="104"/>
      <c r="M66" s="10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03"/>
      <c r="C67" s="103"/>
      <c r="D67" s="103"/>
      <c r="E67" s="103"/>
      <c r="F67" s="103"/>
      <c r="G67" s="1"/>
      <c r="H67" s="1"/>
      <c r="I67" s="1"/>
      <c r="J67" s="1"/>
      <c r="K67" s="104"/>
      <c r="L67" s="104"/>
      <c r="M67" s="10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03"/>
      <c r="C68" s="103"/>
      <c r="D68" s="103"/>
      <c r="E68" s="103"/>
      <c r="F68" s="103"/>
      <c r="G68" s="1"/>
      <c r="H68" s="1"/>
      <c r="I68" s="1"/>
      <c r="J68" s="1"/>
      <c r="K68" s="104"/>
      <c r="L68" s="104"/>
      <c r="M68" s="10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03"/>
      <c r="C69" s="103"/>
      <c r="D69" s="103"/>
      <c r="E69" s="103"/>
      <c r="F69" s="10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03"/>
      <c r="C70" s="103"/>
      <c r="D70" s="103"/>
      <c r="E70" s="103"/>
      <c r="F70" s="103"/>
      <c r="G70" s="1"/>
      <c r="H70" s="1"/>
      <c r="I70" s="1"/>
      <c r="J70" s="1"/>
      <c r="K70" s="1"/>
      <c r="L70" s="10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03"/>
      <c r="C71" s="103"/>
      <c r="D71" s="103"/>
      <c r="E71" s="103"/>
      <c r="F71" s="10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03"/>
      <c r="C72" s="103"/>
      <c r="D72" s="103"/>
      <c r="E72" s="103"/>
      <c r="F72" s="10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03"/>
      <c r="C73" s="103"/>
      <c r="D73" s="103"/>
      <c r="E73" s="103"/>
      <c r="F73" s="10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03"/>
      <c r="C74" s="103"/>
      <c r="D74" s="103"/>
      <c r="E74" s="103"/>
      <c r="F74" s="10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3"/>
      <c r="C75" s="103"/>
      <c r="D75" s="103"/>
      <c r="E75" s="103"/>
      <c r="F75" s="10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3"/>
      <c r="C76" s="103"/>
      <c r="D76" s="103"/>
      <c r="E76" s="103"/>
      <c r="F76" s="10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F14:F15"/>
    <mergeCell ref="G14:G15"/>
    <mergeCell ref="G53:G54"/>
    <mergeCell ref="I53:J54"/>
    <mergeCell ref="K53:K54"/>
    <mergeCell ref="L53:L54"/>
    <mergeCell ref="A9:L9"/>
    <mergeCell ref="E10:L10"/>
    <mergeCell ref="A13:B13"/>
    <mergeCell ref="C13:D13"/>
    <mergeCell ref="H13:H15"/>
    <mergeCell ref="I13:I14"/>
    <mergeCell ref="J13:L14"/>
    <mergeCell ref="J15:L15"/>
    <mergeCell ref="B57:C57"/>
    <mergeCell ref="B58:C58"/>
    <mergeCell ref="G58:G59"/>
    <mergeCell ref="I58:J59"/>
    <mergeCell ref="K58:K59"/>
    <mergeCell ref="L58:L59"/>
    <mergeCell ref="B59:C59"/>
    <mergeCell ref="E61:G61"/>
    <mergeCell ref="B14:D14"/>
    <mergeCell ref="E14:E15"/>
    <mergeCell ref="B16:D16"/>
    <mergeCell ref="B53:C53"/>
    <mergeCell ref="B54:C54"/>
    <mergeCell ref="B55:C55"/>
    <mergeCell ref="B56:C56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K17:K70 L18:L69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06" t="s">
        <v>142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2.0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1" si="1">SUM(E17:H17)</f>
        <v>0</v>
      </c>
      <c r="J17" s="57"/>
      <c r="K17" s="58">
        <f t="shared" ref="K17:K51" si="2">IF(M17&lt;6,5,M17)</f>
        <v>5</v>
      </c>
      <c r="L17" s="59"/>
      <c r="M17" s="60">
        <f t="shared" ref="M17:M5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40</v>
      </c>
      <c r="C23" s="53" t="s">
        <v>41</v>
      </c>
      <c r="D23" s="54" t="s">
        <v>42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43</v>
      </c>
      <c r="C24" s="53" t="s">
        <v>44</v>
      </c>
      <c r="D24" s="54" t="s">
        <v>45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46</v>
      </c>
      <c r="C25" s="53" t="s">
        <v>47</v>
      </c>
      <c r="D25" s="54" t="s">
        <v>48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49</v>
      </c>
      <c r="C26" s="53" t="s">
        <v>50</v>
      </c>
      <c r="D26" s="54" t="s">
        <v>51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52</v>
      </c>
      <c r="C27" s="53" t="s">
        <v>53</v>
      </c>
      <c r="D27" s="54" t="s">
        <v>54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55</v>
      </c>
      <c r="C28" s="53" t="s">
        <v>56</v>
      </c>
      <c r="D28" s="54" t="s">
        <v>57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55</v>
      </c>
      <c r="C29" s="53" t="s">
        <v>58</v>
      </c>
      <c r="D29" s="54" t="s">
        <v>59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60</v>
      </c>
      <c r="C30" s="53" t="s">
        <v>61</v>
      </c>
      <c r="D30" s="54" t="s">
        <v>62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63</v>
      </c>
      <c r="C31" s="53" t="s">
        <v>64</v>
      </c>
      <c r="D31" s="54" t="s">
        <v>65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66</v>
      </c>
      <c r="C32" s="53" t="s">
        <v>67</v>
      </c>
      <c r="D32" s="54" t="s">
        <v>68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69</v>
      </c>
      <c r="C33" s="53" t="s">
        <v>70</v>
      </c>
      <c r="D33" s="54" t="s">
        <v>71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72</v>
      </c>
      <c r="C34" s="53" t="s">
        <v>73</v>
      </c>
      <c r="D34" s="54" t="s">
        <v>74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75</v>
      </c>
      <c r="C35" s="53" t="s">
        <v>76</v>
      </c>
      <c r="D35" s="54" t="s">
        <v>77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78</v>
      </c>
      <c r="C36" s="53" t="s">
        <v>79</v>
      </c>
      <c r="D36" s="54" t="s">
        <v>80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78</v>
      </c>
      <c r="C37" s="53" t="s">
        <v>81</v>
      </c>
      <c r="D37" s="54" t="s">
        <v>82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78</v>
      </c>
      <c r="C38" s="53" t="s">
        <v>47</v>
      </c>
      <c r="D38" s="54" t="s">
        <v>83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78</v>
      </c>
      <c r="C39" s="53" t="s">
        <v>84</v>
      </c>
      <c r="D39" s="54" t="s">
        <v>85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78</v>
      </c>
      <c r="C40" s="53" t="s">
        <v>86</v>
      </c>
      <c r="D40" s="54" t="s">
        <v>87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88</v>
      </c>
      <c r="C41" s="53" t="s">
        <v>89</v>
      </c>
      <c r="D41" s="54" t="s">
        <v>90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91</v>
      </c>
      <c r="C42" s="53" t="s">
        <v>92</v>
      </c>
      <c r="D42" s="54" t="s">
        <v>93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94</v>
      </c>
      <c r="C43" s="53" t="s">
        <v>95</v>
      </c>
      <c r="D43" s="54" t="s">
        <v>96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64</v>
      </c>
      <c r="C44" s="53" t="s">
        <v>97</v>
      </c>
      <c r="D44" s="54" t="s">
        <v>98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99</v>
      </c>
      <c r="C45" s="53" t="s">
        <v>100</v>
      </c>
      <c r="D45" s="54" t="s">
        <v>59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35</v>
      </c>
      <c r="C46" s="53" t="s">
        <v>44</v>
      </c>
      <c r="D46" s="54" t="s">
        <v>101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102</v>
      </c>
      <c r="C47" s="53" t="s">
        <v>103</v>
      </c>
      <c r="D47" s="54" t="s">
        <v>104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105</v>
      </c>
      <c r="C48" s="53" t="s">
        <v>106</v>
      </c>
      <c r="D48" s="54" t="s">
        <v>107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108</v>
      </c>
      <c r="C49" s="53" t="s">
        <v>109</v>
      </c>
      <c r="D49" s="54" t="s">
        <v>110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111</v>
      </c>
      <c r="C50" s="53" t="s">
        <v>112</v>
      </c>
      <c r="D50" s="54" t="s">
        <v>113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114</v>
      </c>
      <c r="C51" s="53" t="s">
        <v>115</v>
      </c>
      <c r="D51" s="54" t="s">
        <v>116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6"/>
      <c r="B52" s="61"/>
      <c r="C52" s="61"/>
      <c r="D52" s="61"/>
      <c r="E52" s="62"/>
      <c r="F52" s="62"/>
      <c r="G52" s="61"/>
      <c r="H52" s="61"/>
      <c r="I52" s="61"/>
      <c r="J52" s="61"/>
      <c r="K52" s="1"/>
      <c r="L52" s="8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1.75" customHeight="1">
      <c r="B53" s="63" t="s">
        <v>117</v>
      </c>
      <c r="C53" s="64"/>
      <c r="D53" s="65">
        <f>COUNT(A17:A51)</f>
        <v>35</v>
      </c>
      <c r="E53" s="61"/>
      <c r="F53" s="61"/>
      <c r="G53" s="66" t="s">
        <v>118</v>
      </c>
      <c r="H53" s="66"/>
      <c r="I53" s="66" t="s">
        <v>119</v>
      </c>
      <c r="K53" s="67" t="s">
        <v>120</v>
      </c>
      <c r="L53" s="68" t="s">
        <v>121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1.75" customHeight="1">
      <c r="B54" s="69" t="s">
        <v>122</v>
      </c>
      <c r="C54" s="70"/>
      <c r="D54" s="71">
        <f>COUNTIF(K17:K51,"BAJA")</f>
        <v>0</v>
      </c>
      <c r="E54" s="61"/>
      <c r="F54" s="61"/>
      <c r="H54" s="66"/>
      <c r="L54" s="10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1.75" customHeight="1">
      <c r="B55" s="69" t="s">
        <v>123</v>
      </c>
      <c r="C55" s="70"/>
      <c r="D55" s="72">
        <f>D53-D54</f>
        <v>35</v>
      </c>
      <c r="E55" s="61"/>
      <c r="F55" s="61"/>
      <c r="G55" s="73"/>
      <c r="H55" s="74"/>
      <c r="I55" s="73"/>
      <c r="J55" s="73"/>
      <c r="K55" s="75"/>
      <c r="L55" s="76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1.75" customHeight="1">
      <c r="B56" s="69" t="s">
        <v>124</v>
      </c>
      <c r="C56" s="70"/>
      <c r="D56" s="77">
        <f>COUNTIF(K17:K51,"&gt;=6")</f>
        <v>0</v>
      </c>
      <c r="E56" s="61"/>
      <c r="F56" s="61"/>
      <c r="G56" s="73"/>
      <c r="H56" s="74"/>
      <c r="I56" s="73"/>
      <c r="J56" s="73"/>
      <c r="K56" s="75"/>
      <c r="L56" s="76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1.75" customHeight="1">
      <c r="B57" s="69" t="s">
        <v>125</v>
      </c>
      <c r="C57" s="70"/>
      <c r="D57" s="77">
        <f>D55-D56</f>
        <v>35</v>
      </c>
      <c r="E57" s="61"/>
      <c r="F57" s="61"/>
      <c r="G57" s="78"/>
      <c r="H57" s="74"/>
      <c r="I57" s="78"/>
      <c r="J57" s="78"/>
      <c r="K57" s="79"/>
      <c r="L57" s="80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75" customHeight="1">
      <c r="B58" s="69" t="s">
        <v>126</v>
      </c>
      <c r="C58" s="70"/>
      <c r="D58" s="81">
        <f>D56*100/D55</f>
        <v>0</v>
      </c>
      <c r="E58" s="61"/>
      <c r="F58" s="61"/>
      <c r="G58" s="82" t="s">
        <v>127</v>
      </c>
      <c r="H58" s="83"/>
      <c r="I58" s="84" t="s">
        <v>128</v>
      </c>
      <c r="K58" s="85" t="s">
        <v>129</v>
      </c>
      <c r="L58" s="86" t="s">
        <v>130</v>
      </c>
      <c r="M58" s="87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B59" s="88" t="s">
        <v>131</v>
      </c>
      <c r="C59" s="89"/>
      <c r="D59" s="90">
        <f>AVERAGE(K17:K51)</f>
        <v>5</v>
      </c>
      <c r="E59" s="61"/>
      <c r="F59" s="61"/>
      <c r="H59" s="83"/>
      <c r="L59" s="10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6"/>
      <c r="B60" s="1"/>
      <c r="C60" s="1"/>
      <c r="D60" s="1"/>
      <c r="E60" s="1"/>
      <c r="F60" s="1"/>
      <c r="G60" s="1"/>
      <c r="H60" s="1"/>
      <c r="I60" s="1"/>
      <c r="J60" s="1"/>
      <c r="K60" s="1"/>
      <c r="L60" s="8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91"/>
      <c r="B61" s="92"/>
      <c r="C61" s="93"/>
      <c r="D61" s="93"/>
      <c r="E61" s="61"/>
      <c r="H61" s="7"/>
      <c r="I61" s="7"/>
      <c r="J61" s="7"/>
      <c r="K61" s="7"/>
      <c r="L61" s="94"/>
      <c r="M61" s="95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96"/>
      <c r="B62" s="61"/>
      <c r="C62" s="61"/>
      <c r="D62" s="61"/>
      <c r="E62" s="7"/>
      <c r="F62" s="7"/>
      <c r="G62" s="1"/>
      <c r="H62" s="1"/>
      <c r="I62" s="1"/>
      <c r="J62" s="1"/>
      <c r="K62" s="1"/>
      <c r="L62" s="8"/>
      <c r="M62" s="97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96"/>
      <c r="B63" s="61"/>
      <c r="C63" s="61"/>
      <c r="D63" s="61"/>
      <c r="E63" s="7"/>
      <c r="F63" s="7"/>
      <c r="G63" s="1"/>
      <c r="H63" s="1"/>
      <c r="I63" s="1"/>
      <c r="J63" s="1"/>
      <c r="K63" s="1"/>
      <c r="L63" s="8"/>
      <c r="M63" s="97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98"/>
      <c r="B64" s="99"/>
      <c r="C64" s="99"/>
      <c r="D64" s="99"/>
      <c r="E64" s="100"/>
      <c r="F64" s="100"/>
      <c r="G64" s="101"/>
      <c r="H64" s="101"/>
      <c r="I64" s="101"/>
      <c r="J64" s="101"/>
      <c r="K64" s="101"/>
      <c r="L64" s="102"/>
      <c r="M64" s="97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03"/>
      <c r="C65" s="103"/>
      <c r="D65" s="103"/>
      <c r="E65" s="103"/>
      <c r="F65" s="103"/>
      <c r="G65" s="1"/>
      <c r="H65" s="1"/>
      <c r="I65" s="1"/>
      <c r="J65" s="1"/>
      <c r="K65" s="104"/>
      <c r="L65" s="104"/>
      <c r="M65" s="10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03"/>
      <c r="C66" s="103"/>
      <c r="D66" s="103"/>
      <c r="E66" s="103"/>
      <c r="F66" s="103"/>
      <c r="G66" s="1"/>
      <c r="H66" s="1"/>
      <c r="I66" s="1"/>
      <c r="J66" s="1"/>
      <c r="K66" s="104"/>
      <c r="L66" s="104"/>
      <c r="M66" s="10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03"/>
      <c r="C67" s="103"/>
      <c r="D67" s="103"/>
      <c r="E67" s="103"/>
      <c r="F67" s="103"/>
      <c r="G67" s="1"/>
      <c r="H67" s="1"/>
      <c r="I67" s="1"/>
      <c r="J67" s="1"/>
      <c r="K67" s="104"/>
      <c r="L67" s="104"/>
      <c r="M67" s="10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03"/>
      <c r="C68" s="103"/>
      <c r="D68" s="103"/>
      <c r="E68" s="103"/>
      <c r="F68" s="103"/>
      <c r="G68" s="1"/>
      <c r="H68" s="1"/>
      <c r="I68" s="1"/>
      <c r="J68" s="1"/>
      <c r="K68" s="104"/>
      <c r="L68" s="104"/>
      <c r="M68" s="10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03"/>
      <c r="C69" s="103"/>
      <c r="D69" s="103"/>
      <c r="E69" s="103"/>
      <c r="F69" s="10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03"/>
      <c r="C70" s="103"/>
      <c r="D70" s="103"/>
      <c r="E70" s="103"/>
      <c r="F70" s="103"/>
      <c r="G70" s="1"/>
      <c r="H70" s="1"/>
      <c r="I70" s="1"/>
      <c r="J70" s="1"/>
      <c r="K70" s="1"/>
      <c r="L70" s="10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03"/>
      <c r="C71" s="103"/>
      <c r="D71" s="103"/>
      <c r="E71" s="103"/>
      <c r="F71" s="10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03"/>
      <c r="C72" s="103"/>
      <c r="D72" s="103"/>
      <c r="E72" s="103"/>
      <c r="F72" s="10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03"/>
      <c r="C73" s="103"/>
      <c r="D73" s="103"/>
      <c r="E73" s="103"/>
      <c r="F73" s="10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03"/>
      <c r="C74" s="103"/>
      <c r="D74" s="103"/>
      <c r="E74" s="103"/>
      <c r="F74" s="10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3"/>
      <c r="C75" s="103"/>
      <c r="D75" s="103"/>
      <c r="E75" s="103"/>
      <c r="F75" s="10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3"/>
      <c r="C76" s="103"/>
      <c r="D76" s="103"/>
      <c r="E76" s="103"/>
      <c r="F76" s="10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F14:F15"/>
    <mergeCell ref="G14:G15"/>
    <mergeCell ref="G53:G54"/>
    <mergeCell ref="I53:J54"/>
    <mergeCell ref="K53:K54"/>
    <mergeCell ref="L53:L54"/>
    <mergeCell ref="A9:L9"/>
    <mergeCell ref="E10:L10"/>
    <mergeCell ref="A13:B13"/>
    <mergeCell ref="C13:D13"/>
    <mergeCell ref="H13:H15"/>
    <mergeCell ref="I13:I14"/>
    <mergeCell ref="J13:L14"/>
    <mergeCell ref="J15:L15"/>
    <mergeCell ref="B57:C57"/>
    <mergeCell ref="B58:C58"/>
    <mergeCell ref="G58:G59"/>
    <mergeCell ref="I58:J59"/>
    <mergeCell ref="K58:K59"/>
    <mergeCell ref="L58:L59"/>
    <mergeCell ref="B59:C59"/>
    <mergeCell ref="E61:G61"/>
    <mergeCell ref="B14:D14"/>
    <mergeCell ref="E14:E15"/>
    <mergeCell ref="B16:D16"/>
    <mergeCell ref="B53:C53"/>
    <mergeCell ref="B54:C54"/>
    <mergeCell ref="B55:C55"/>
    <mergeCell ref="B56:C56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K17:K70 L18:L69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06" t="s">
        <v>143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2.0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1" si="1">SUM(E17:H17)</f>
        <v>0</v>
      </c>
      <c r="J17" s="57"/>
      <c r="K17" s="58">
        <f t="shared" ref="K17:K51" si="2">IF(M17&lt;6,5,M17)</f>
        <v>5</v>
      </c>
      <c r="L17" s="59"/>
      <c r="M17" s="60">
        <f t="shared" ref="M17:M5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40</v>
      </c>
      <c r="C23" s="53" t="s">
        <v>41</v>
      </c>
      <c r="D23" s="54" t="s">
        <v>42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43</v>
      </c>
      <c r="C24" s="53" t="s">
        <v>44</v>
      </c>
      <c r="D24" s="54" t="s">
        <v>45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46</v>
      </c>
      <c r="C25" s="53" t="s">
        <v>47</v>
      </c>
      <c r="D25" s="54" t="s">
        <v>48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49</v>
      </c>
      <c r="C26" s="53" t="s">
        <v>50</v>
      </c>
      <c r="D26" s="54" t="s">
        <v>51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52</v>
      </c>
      <c r="C27" s="53" t="s">
        <v>53</v>
      </c>
      <c r="D27" s="54" t="s">
        <v>54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55</v>
      </c>
      <c r="C28" s="53" t="s">
        <v>56</v>
      </c>
      <c r="D28" s="54" t="s">
        <v>57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55</v>
      </c>
      <c r="C29" s="53" t="s">
        <v>58</v>
      </c>
      <c r="D29" s="54" t="s">
        <v>59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60</v>
      </c>
      <c r="C30" s="53" t="s">
        <v>61</v>
      </c>
      <c r="D30" s="54" t="s">
        <v>62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63</v>
      </c>
      <c r="C31" s="53" t="s">
        <v>64</v>
      </c>
      <c r="D31" s="54" t="s">
        <v>65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66</v>
      </c>
      <c r="C32" s="53" t="s">
        <v>67</v>
      </c>
      <c r="D32" s="54" t="s">
        <v>68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69</v>
      </c>
      <c r="C33" s="53" t="s">
        <v>70</v>
      </c>
      <c r="D33" s="54" t="s">
        <v>71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72</v>
      </c>
      <c r="C34" s="53" t="s">
        <v>73</v>
      </c>
      <c r="D34" s="54" t="s">
        <v>74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75</v>
      </c>
      <c r="C35" s="53" t="s">
        <v>76</v>
      </c>
      <c r="D35" s="54" t="s">
        <v>77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78</v>
      </c>
      <c r="C36" s="53" t="s">
        <v>79</v>
      </c>
      <c r="D36" s="54" t="s">
        <v>80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78</v>
      </c>
      <c r="C37" s="53" t="s">
        <v>81</v>
      </c>
      <c r="D37" s="54" t="s">
        <v>82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78</v>
      </c>
      <c r="C38" s="53" t="s">
        <v>47</v>
      </c>
      <c r="D38" s="54" t="s">
        <v>83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78</v>
      </c>
      <c r="C39" s="53" t="s">
        <v>84</v>
      </c>
      <c r="D39" s="54" t="s">
        <v>85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78</v>
      </c>
      <c r="C40" s="53" t="s">
        <v>86</v>
      </c>
      <c r="D40" s="54" t="s">
        <v>87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88</v>
      </c>
      <c r="C41" s="53" t="s">
        <v>89</v>
      </c>
      <c r="D41" s="54" t="s">
        <v>90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91</v>
      </c>
      <c r="C42" s="53" t="s">
        <v>92</v>
      </c>
      <c r="D42" s="54" t="s">
        <v>93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94</v>
      </c>
      <c r="C43" s="53" t="s">
        <v>95</v>
      </c>
      <c r="D43" s="54" t="s">
        <v>96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64</v>
      </c>
      <c r="C44" s="53" t="s">
        <v>97</v>
      </c>
      <c r="D44" s="54" t="s">
        <v>98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99</v>
      </c>
      <c r="C45" s="53" t="s">
        <v>100</v>
      </c>
      <c r="D45" s="54" t="s">
        <v>59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35</v>
      </c>
      <c r="C46" s="53" t="s">
        <v>44</v>
      </c>
      <c r="D46" s="54" t="s">
        <v>101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102</v>
      </c>
      <c r="C47" s="53" t="s">
        <v>103</v>
      </c>
      <c r="D47" s="54" t="s">
        <v>104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105</v>
      </c>
      <c r="C48" s="53" t="s">
        <v>106</v>
      </c>
      <c r="D48" s="54" t="s">
        <v>107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108</v>
      </c>
      <c r="C49" s="53" t="s">
        <v>109</v>
      </c>
      <c r="D49" s="54" t="s">
        <v>110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111</v>
      </c>
      <c r="C50" s="53" t="s">
        <v>112</v>
      </c>
      <c r="D50" s="54" t="s">
        <v>113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114</v>
      </c>
      <c r="C51" s="53" t="s">
        <v>115</v>
      </c>
      <c r="D51" s="54" t="s">
        <v>116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6"/>
      <c r="B52" s="61"/>
      <c r="C52" s="61"/>
      <c r="D52" s="61"/>
      <c r="E52" s="62"/>
      <c r="F52" s="62"/>
      <c r="G52" s="61"/>
      <c r="H52" s="61"/>
      <c r="I52" s="61"/>
      <c r="J52" s="61"/>
      <c r="K52" s="1"/>
      <c r="L52" s="8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1.75" customHeight="1">
      <c r="B53" s="63" t="s">
        <v>117</v>
      </c>
      <c r="C53" s="64"/>
      <c r="D53" s="65">
        <f>COUNT(A17:A51)</f>
        <v>35</v>
      </c>
      <c r="E53" s="61"/>
      <c r="F53" s="61"/>
      <c r="G53" s="66" t="s">
        <v>118</v>
      </c>
      <c r="H53" s="66"/>
      <c r="I53" s="66" t="s">
        <v>119</v>
      </c>
      <c r="K53" s="67" t="s">
        <v>120</v>
      </c>
      <c r="L53" s="68" t="s">
        <v>121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1.75" customHeight="1">
      <c r="B54" s="69" t="s">
        <v>122</v>
      </c>
      <c r="C54" s="70"/>
      <c r="D54" s="71">
        <f>COUNTIF(K17:K51,"BAJA")</f>
        <v>0</v>
      </c>
      <c r="E54" s="61"/>
      <c r="F54" s="61"/>
      <c r="H54" s="66"/>
      <c r="L54" s="10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1.75" customHeight="1">
      <c r="B55" s="69" t="s">
        <v>123</v>
      </c>
      <c r="C55" s="70"/>
      <c r="D55" s="72">
        <f>D53-D54</f>
        <v>35</v>
      </c>
      <c r="E55" s="61"/>
      <c r="F55" s="61"/>
      <c r="G55" s="73"/>
      <c r="H55" s="74"/>
      <c r="I55" s="73"/>
      <c r="J55" s="73"/>
      <c r="K55" s="75"/>
      <c r="L55" s="76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1.75" customHeight="1">
      <c r="B56" s="69" t="s">
        <v>124</v>
      </c>
      <c r="C56" s="70"/>
      <c r="D56" s="77">
        <f>COUNTIF(K17:K51,"&gt;=6")</f>
        <v>0</v>
      </c>
      <c r="E56" s="61"/>
      <c r="F56" s="61"/>
      <c r="G56" s="73"/>
      <c r="H56" s="74"/>
      <c r="I56" s="73"/>
      <c r="J56" s="73"/>
      <c r="K56" s="75"/>
      <c r="L56" s="76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1.75" customHeight="1">
      <c r="B57" s="69" t="s">
        <v>125</v>
      </c>
      <c r="C57" s="70"/>
      <c r="D57" s="77">
        <f>D55-D56</f>
        <v>35</v>
      </c>
      <c r="E57" s="61"/>
      <c r="F57" s="61"/>
      <c r="G57" s="78"/>
      <c r="H57" s="74"/>
      <c r="I57" s="78"/>
      <c r="J57" s="78"/>
      <c r="K57" s="79"/>
      <c r="L57" s="80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75" customHeight="1">
      <c r="B58" s="69" t="s">
        <v>126</v>
      </c>
      <c r="C58" s="70"/>
      <c r="D58" s="81">
        <f>D56*100/D55</f>
        <v>0</v>
      </c>
      <c r="E58" s="61"/>
      <c r="F58" s="61"/>
      <c r="G58" s="82" t="s">
        <v>127</v>
      </c>
      <c r="H58" s="83"/>
      <c r="I58" s="84" t="s">
        <v>128</v>
      </c>
      <c r="K58" s="85" t="s">
        <v>129</v>
      </c>
      <c r="L58" s="86" t="s">
        <v>130</v>
      </c>
      <c r="M58" s="87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B59" s="88" t="s">
        <v>131</v>
      </c>
      <c r="C59" s="89"/>
      <c r="D59" s="90">
        <f>AVERAGE(K17:K51)</f>
        <v>5</v>
      </c>
      <c r="E59" s="61"/>
      <c r="F59" s="61"/>
      <c r="H59" s="83"/>
      <c r="L59" s="10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6"/>
      <c r="B60" s="1"/>
      <c r="C60" s="1"/>
      <c r="D60" s="1"/>
      <c r="E60" s="1"/>
      <c r="F60" s="1"/>
      <c r="G60" s="1"/>
      <c r="H60" s="1"/>
      <c r="I60" s="1"/>
      <c r="J60" s="1"/>
      <c r="K60" s="1"/>
      <c r="L60" s="8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91"/>
      <c r="B61" s="92"/>
      <c r="C61" s="93"/>
      <c r="D61" s="93"/>
      <c r="E61" s="61"/>
      <c r="H61" s="7"/>
      <c r="I61" s="7"/>
      <c r="J61" s="7"/>
      <c r="K61" s="7"/>
      <c r="L61" s="94"/>
      <c r="M61" s="95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96"/>
      <c r="B62" s="61"/>
      <c r="C62" s="61"/>
      <c r="D62" s="61"/>
      <c r="E62" s="7"/>
      <c r="F62" s="7"/>
      <c r="G62" s="1"/>
      <c r="H62" s="1"/>
      <c r="I62" s="1"/>
      <c r="J62" s="1"/>
      <c r="K62" s="1"/>
      <c r="L62" s="8"/>
      <c r="M62" s="97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96"/>
      <c r="B63" s="61"/>
      <c r="C63" s="61"/>
      <c r="D63" s="61"/>
      <c r="E63" s="7"/>
      <c r="F63" s="7"/>
      <c r="G63" s="1"/>
      <c r="H63" s="1"/>
      <c r="I63" s="1"/>
      <c r="J63" s="1"/>
      <c r="K63" s="1"/>
      <c r="L63" s="8"/>
      <c r="M63" s="97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98"/>
      <c r="B64" s="99"/>
      <c r="C64" s="99"/>
      <c r="D64" s="99"/>
      <c r="E64" s="100"/>
      <c r="F64" s="100"/>
      <c r="G64" s="101"/>
      <c r="H64" s="101"/>
      <c r="I64" s="101"/>
      <c r="J64" s="101"/>
      <c r="K64" s="101"/>
      <c r="L64" s="102"/>
      <c r="M64" s="97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03"/>
      <c r="C65" s="103"/>
      <c r="D65" s="103"/>
      <c r="E65" s="103"/>
      <c r="F65" s="103"/>
      <c r="G65" s="1"/>
      <c r="H65" s="1"/>
      <c r="I65" s="1"/>
      <c r="J65" s="1"/>
      <c r="K65" s="104"/>
      <c r="L65" s="104"/>
      <c r="M65" s="10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03"/>
      <c r="C66" s="103"/>
      <c r="D66" s="103"/>
      <c r="E66" s="103"/>
      <c r="F66" s="103"/>
      <c r="G66" s="1"/>
      <c r="H66" s="1"/>
      <c r="I66" s="1"/>
      <c r="J66" s="1"/>
      <c r="K66" s="104"/>
      <c r="L66" s="104"/>
      <c r="M66" s="10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03"/>
      <c r="C67" s="103"/>
      <c r="D67" s="103"/>
      <c r="E67" s="103"/>
      <c r="F67" s="103"/>
      <c r="G67" s="1"/>
      <c r="H67" s="1"/>
      <c r="I67" s="1"/>
      <c r="J67" s="1"/>
      <c r="K67" s="104"/>
      <c r="L67" s="104"/>
      <c r="M67" s="10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03"/>
      <c r="C68" s="103"/>
      <c r="D68" s="103"/>
      <c r="E68" s="103"/>
      <c r="F68" s="103"/>
      <c r="G68" s="1"/>
      <c r="H68" s="1"/>
      <c r="I68" s="1"/>
      <c r="J68" s="1"/>
      <c r="K68" s="104"/>
      <c r="L68" s="104"/>
      <c r="M68" s="10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03"/>
      <c r="C69" s="103"/>
      <c r="D69" s="103"/>
      <c r="E69" s="103"/>
      <c r="F69" s="10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03"/>
      <c r="C70" s="103"/>
      <c r="D70" s="103"/>
      <c r="E70" s="103"/>
      <c r="F70" s="103"/>
      <c r="G70" s="1"/>
      <c r="H70" s="1"/>
      <c r="I70" s="1"/>
      <c r="J70" s="1"/>
      <c r="K70" s="1"/>
      <c r="L70" s="10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03"/>
      <c r="C71" s="103"/>
      <c r="D71" s="103"/>
      <c r="E71" s="103"/>
      <c r="F71" s="10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03"/>
      <c r="C72" s="103"/>
      <c r="D72" s="103"/>
      <c r="E72" s="103"/>
      <c r="F72" s="10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03"/>
      <c r="C73" s="103"/>
      <c r="D73" s="103"/>
      <c r="E73" s="103"/>
      <c r="F73" s="10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03"/>
      <c r="C74" s="103"/>
      <c r="D74" s="103"/>
      <c r="E74" s="103"/>
      <c r="F74" s="10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3"/>
      <c r="C75" s="103"/>
      <c r="D75" s="103"/>
      <c r="E75" s="103"/>
      <c r="F75" s="10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3"/>
      <c r="C76" s="103"/>
      <c r="D76" s="103"/>
      <c r="E76" s="103"/>
      <c r="F76" s="10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F14:F15"/>
    <mergeCell ref="G14:G15"/>
    <mergeCell ref="G53:G54"/>
    <mergeCell ref="I53:J54"/>
    <mergeCell ref="K53:K54"/>
    <mergeCell ref="L53:L54"/>
    <mergeCell ref="A9:L9"/>
    <mergeCell ref="E10:L10"/>
    <mergeCell ref="A13:B13"/>
    <mergeCell ref="C13:D13"/>
    <mergeCell ref="H13:H15"/>
    <mergeCell ref="I13:I14"/>
    <mergeCell ref="J13:L14"/>
    <mergeCell ref="J15:L15"/>
    <mergeCell ref="B57:C57"/>
    <mergeCell ref="B58:C58"/>
    <mergeCell ref="G58:G59"/>
    <mergeCell ref="I58:J59"/>
    <mergeCell ref="K58:K59"/>
    <mergeCell ref="L58:L59"/>
    <mergeCell ref="B59:C59"/>
    <mergeCell ref="E61:G61"/>
    <mergeCell ref="B14:D14"/>
    <mergeCell ref="E14:E15"/>
    <mergeCell ref="B16:D16"/>
    <mergeCell ref="B53:C53"/>
    <mergeCell ref="B54:C54"/>
    <mergeCell ref="B55:C55"/>
    <mergeCell ref="B56:C56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K17:K70 L18:L69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