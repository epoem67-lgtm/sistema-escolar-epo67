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lengua y comunicacion ii" sheetId="1" r:id="rId5"/>
    <sheet state="visible" name="1-1 ingles ii" sheetId="2" r:id="rId6"/>
    <sheet state="visible" name="1-1 pensamiento matematico ii" sheetId="3" r:id="rId7"/>
    <sheet state="visible" name="1-1 cultura digital ii" sheetId="4" r:id="rId8"/>
    <sheet state="visible" name="1-1 ciencias naturales experime" sheetId="5" r:id="rId9"/>
    <sheet state="visible" name="1-1 pensamiento filosofico y hu" sheetId="6" r:id="rId10"/>
    <sheet state="visible" name="1-1 ciencias sociales ii" sheetId="7" r:id="rId11"/>
    <sheet state="visible" name="1-1 taller de ciencias i" sheetId="8" r:id="rId12"/>
    <sheet state="visible" name="1-1 actividades fisicas y depor" sheetId="9" r:id="rId13"/>
    <sheet state="visible" name="1-1 educacion para la salud ii" sheetId="10" r:id="rId14"/>
    <sheet state="visible" name="1-1 temas selectos de igualdad " sheetId="11" r:id="rId15"/>
  </sheets>
  <definedNames/>
  <calcPr/>
</workbook>
</file>

<file path=xl/sharedStrings.xml><?xml version="1.0" encoding="utf-8"?>
<sst xmlns="http://schemas.openxmlformats.org/spreadsheetml/2006/main" count="1805" uniqueCount="152">
  <si>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</si>
  <si>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</si>
  <si>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</si>
  <si>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</si>
  <si>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</si>
  <si>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</si>
  <si>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</si>
  <si>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</si>
  <si>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</si>
  <si>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LENGUA Y COMUNICACIÓN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</si>
  <si>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</si>
  <si>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</si>
  <si>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</si>
  <si>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</si>
  <si>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</si>
  <si>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</si>
  <si>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</si>
  <si>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</si>
  <si>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</si>
  <si>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</si>
  <si>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</si>
  <si>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</si>
  <si>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</si>
  <si>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</si>
  <si>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</si>
  <si>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ALVAREZ</t>
  </si>
  <si>
    <t>GONZALEZ</t>
  </si>
  <si>
    <t>JONATHAN BERNARDO</t>
  </si>
  <si>
    <t>BARRETO</t>
  </si>
  <si>
    <t>CARDENAS</t>
  </si>
  <si>
    <t>SANTIAGO NICOLAS</t>
  </si>
  <si>
    <t xml:space="preserve">BRAVO </t>
  </si>
  <si>
    <t>VELA</t>
  </si>
  <si>
    <t>CASTILLO</t>
  </si>
  <si>
    <t>ELIZALDE</t>
  </si>
  <si>
    <t>DONOVAN ELIAS</t>
  </si>
  <si>
    <t>MORALES</t>
  </si>
  <si>
    <t>DULCE MARIA</t>
  </si>
  <si>
    <t xml:space="preserve">CHAVEZ </t>
  </si>
  <si>
    <t>CRUZ</t>
  </si>
  <si>
    <t>HECTOR EMILIANO</t>
  </si>
  <si>
    <t>CHERON</t>
  </si>
  <si>
    <t>CARRASCO</t>
  </si>
  <si>
    <t>DAFNE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</si>
  <si>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</si>
  <si>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</si>
  <si>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</si>
  <si>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</si>
  <si>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</si>
  <si>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</si>
  <si>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</si>
  <si>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</si>
  <si>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</si>
  <si>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</si>
  <si>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</si>
  <si>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</si>
  <si>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</si>
  <si>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</si>
  <si>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</si>
  <si>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</si>
  <si>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</si>
  <si>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</si>
  <si>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</si>
  <si>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</si>
  <si>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</si>
  <si>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</si>
  <si>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</si>
  <si>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</si>
  <si>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</si>
  <si>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</si>
  <si>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</si>
  <si>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</si>
  <si>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</si>
  <si>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</si>
  <si>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</si>
  <si>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</si>
  <si>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</si>
  <si>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</si>
  <si>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</si>
  <si>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</si>
  <si>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</si>
  <si>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</si>
  <si>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</si>
  <si>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</si>
  <si>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</si>
  <si>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</si>
  <si>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</si>
  <si>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</si>
  <si>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</si>
  <si>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</si>
  <si>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</si>
  <si>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</si>
  <si>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</si>
  <si>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</si>
  <si>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</si>
  <si>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</si>
  <si>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</si>
  <si>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</si>
  <si>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</si>
  <si>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</si>
  <si>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</si>
  <si>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</si>
  <si>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</si>
  <si>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</si>
  <si>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</si>
  <si>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</si>
  <si>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</si>
  <si>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</si>
  <si>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</si>
  <si>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</si>
  <si>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</si>
  <si>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</si>
  <si>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</si>
  <si>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</si>
  <si>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</si>
  <si>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</si>
  <si>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</si>
  <si>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</si>
  <si>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</si>
  <si>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</si>
  <si>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´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</si>
  <si>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</si>
  <si>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</si>
  <si>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</si>
  <si>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</si>
  <si>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</si>
  <si>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</si>
  <si>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</si>
  <si>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</si>
  <si>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</si>
  <si>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</si>
  <si>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</si>
  <si>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</si>
  <si>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</si>
  <si>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</si>
  <si>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</si>
  <si>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</si>
  <si>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</si>
  <si>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</si>
  <si>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</si>
  <si>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</si>
  <si>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</si>
  <si>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INGLÉS II</t>
  </si>
  <si>
    <t>PENSAMIENTO MATEMÁTICO II</t>
  </si>
  <si>
    <t>CULTURA DIGITAL II</t>
  </si>
  <si>
    <t>CIENCIAS NATURALES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</si>
  <si>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</si>
  <si>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</si>
  <si>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</si>
  <si>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</si>
  <si>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 II</t>
  </si>
  <si>
    <t>TEMAS SELECTOS DE IGUALDAD Y DEERECHIS HUMANOS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</si>
</sst>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rgb="FF000000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1.0"/>
      <color rgb="FF000000"/>
      <name val="Arial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5" numFmtId="1" xfId="0" applyAlignment="1" applyBorder="1" applyFont="1" applyNumberFormat="1">
      <alignment vertical="bottom"/>
    </xf>
    <xf borderId="23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6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7" numFmtId="0" xfId="0" applyAlignment="1" applyBorder="1" applyFont="1">
      <alignment shrinkToFit="1" vertical="center" wrapText="0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2" fillId="0" fontId="20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7" numFmtId="0" xfId="0" applyAlignment="1" applyBorder="1" applyFont="1">
      <alignment shrinkToFit="1" vertical="center" wrapText="0"/>
    </xf>
    <xf borderId="35" fillId="0" fontId="17" numFmtId="0" xfId="0" applyAlignment="1" applyBorder="1" applyFon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35" fillId="0" fontId="17" numFmtId="1" xfId="0" applyAlignment="1" applyBorder="1" applyFont="1" applyNumberFormat="1">
      <alignment shrinkToFit="1" vertical="center" wrapText="0"/>
    </xf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5" fillId="0" fontId="17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20" numFmtId="0" xfId="0" applyAlignment="1" applyFont="1">
      <alignment horizontal="center" vertical="top"/>
    </xf>
    <xf borderId="0" fillId="0" fontId="5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8" numFmtId="0" xfId="0" applyFont="1"/>
    <xf borderId="37" fillId="0" fontId="16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12" fillId="2" fontId="6" numFmtId="0" xfId="0" applyAlignment="1" applyBorder="1" applyFont="1">
      <alignment horizontal="center" shrinkToFit="0" vertical="bottom" wrapText="1"/>
    </xf>
    <xf borderId="14" fillId="2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68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66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1</xdr:row>
      <xdr:rowOff>123825</xdr:rowOff>
    </xdr:from>
    <xdr:ext cx="6781800" cy="1047750"/>
    <xdr:sp>
      <xdr:nvSpPr>
        <xdr:cNvPr id="5" name="Shape 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68</xdr:row>
      <xdr:rowOff>47625</xdr:rowOff>
    </xdr:from>
    <xdr:ext cx="10706100" cy="381000"/>
    <xdr:sp>
      <xdr:nvSpPr>
        <xdr:cNvPr id="6" name="Shape 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66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142875</xdr:rowOff>
    </xdr:from>
    <xdr:ext cx="6781800" cy="1047750"/>
    <xdr:sp>
      <xdr:nvSpPr>
        <xdr:cNvPr id="7" name="Shape 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68</xdr:row>
      <xdr:rowOff>9525</xdr:rowOff>
    </xdr:from>
    <xdr:ext cx="10706100" cy="381000"/>
    <xdr:sp>
      <xdr:nvSpPr>
        <xdr:cNvPr id="8" name="Shape 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66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171450</xdr:rowOff>
    </xdr:from>
    <xdr:ext cx="6781800" cy="1047750"/>
    <xdr:sp>
      <xdr:nvSpPr>
        <xdr:cNvPr id="9" name="Shape 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67</xdr:row>
      <xdr:rowOff>161925</xdr:rowOff>
    </xdr:from>
    <xdr:ext cx="10706100" cy="381000"/>
    <xdr:sp>
      <xdr:nvSpPr>
        <xdr:cNvPr id="10" name="Shape 1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6781800" cy="1047750"/>
    <xdr:sp>
      <xdr:nvSpPr>
        <xdr:cNvPr id="11" name="Shape 1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68</xdr:row>
      <xdr:rowOff>0</xdr:rowOff>
    </xdr:from>
    <xdr:ext cx="10706100" cy="381000"/>
    <xdr:sp>
      <xdr:nvSpPr>
        <xdr:cNvPr id="12" name="Shape 1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66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142875</xdr:rowOff>
    </xdr:from>
    <xdr:ext cx="6781800" cy="1047750"/>
    <xdr:sp>
      <xdr:nvSpPr>
        <xdr:cNvPr id="13" name="Shape 1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67</xdr:row>
      <xdr:rowOff>161925</xdr:rowOff>
    </xdr:from>
    <xdr:ext cx="10706100" cy="381000"/>
    <xdr:sp>
      <xdr:nvSpPr>
        <xdr:cNvPr id="14" name="Shape 1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66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180975</xdr:rowOff>
    </xdr:from>
    <xdr:ext cx="6781800" cy="1047750"/>
    <xdr:sp>
      <xdr:nvSpPr>
        <xdr:cNvPr id="15" name="Shape 1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361950</xdr:colOff>
      <xdr:row>68</xdr:row>
      <xdr:rowOff>38100</xdr:rowOff>
    </xdr:from>
    <xdr:ext cx="10706100" cy="381000"/>
    <xdr:sp>
      <xdr:nvSpPr>
        <xdr:cNvPr id="16" name="Shape 1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95250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142875</xdr:rowOff>
    </xdr:from>
    <xdr:ext cx="6781800" cy="1047750"/>
    <xdr:sp>
      <xdr:nvSpPr>
        <xdr:cNvPr id="17" name="Shape 1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68</xdr:row>
      <xdr:rowOff>0</xdr:rowOff>
    </xdr:from>
    <xdr:ext cx="10706100" cy="381000"/>
    <xdr:sp>
      <xdr:nvSpPr>
        <xdr:cNvPr id="18" name="Shape 1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133350</xdr:rowOff>
    </xdr:from>
    <xdr:ext cx="6781800" cy="1047750"/>
    <xdr:sp>
      <xdr:nvSpPr>
        <xdr:cNvPr id="19" name="Shape 1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67</xdr:row>
      <xdr:rowOff>114300</xdr:rowOff>
    </xdr:from>
    <xdr:ext cx="10706100" cy="381000"/>
    <xdr:sp>
      <xdr:nvSpPr>
        <xdr:cNvPr id="20" name="Shape 2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66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161925</xdr:rowOff>
    </xdr:from>
    <xdr:ext cx="6781800" cy="1047750"/>
    <xdr:sp>
      <xdr:nvSpPr>
        <xdr:cNvPr id="21" name="Shape 2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67</xdr:row>
      <xdr:rowOff>85725</xdr:rowOff>
    </xdr:from>
    <xdr:ext cx="10706100" cy="381000"/>
    <xdr:sp>
      <xdr:nvSpPr>
        <xdr:cNvPr id="22" name="Shape 2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85725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619125</xdr:colOff>
      <xdr:row>1</xdr:row>
      <xdr:rowOff>142875</xdr:rowOff>
    </xdr:from>
    <xdr:ext cx="6781800" cy="1047750"/>
    <xdr:sp>
      <xdr:nvSpPr>
        <xdr:cNvPr id="23" name="Shape 2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67</xdr:row>
      <xdr:rowOff>47625</xdr:rowOff>
    </xdr:from>
    <xdr:ext cx="10706100" cy="381000"/>
    <xdr:sp>
      <xdr:nvSpPr>
        <xdr:cNvPr id="24" name="Shape 2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66</xdr:row>
      <xdr:rowOff>57150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2.14"/>
    <col customWidth="1" min="6" max="6" width="13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/>
      <c r="J17" s="57"/>
      <c r="K17" s="58">
        <f t="shared" ref="K17:K58" si="1">IF(M17&lt;6,5,M17)</f>
        <v>5</v>
      </c>
      <c r="L17" s="59"/>
      <c r="M17" s="60">
        <f t="shared" ref="M17:M58" si="2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/>
      <c r="J18" s="57"/>
      <c r="K18" s="58">
        <f t="shared" si="1"/>
        <v>5</v>
      </c>
      <c r="L18" s="52"/>
      <c r="M18" s="60">
        <f t="shared" si="2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/>
      <c r="J19" s="57"/>
      <c r="K19" s="58">
        <f t="shared" si="1"/>
        <v>5</v>
      </c>
      <c r="L19" s="52"/>
      <c r="M19" s="60">
        <f t="shared" si="2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/>
      <c r="J20" s="57"/>
      <c r="K20" s="58">
        <f t="shared" si="1"/>
        <v>5</v>
      </c>
      <c r="L20" s="52"/>
      <c r="M20" s="60">
        <f t="shared" si="2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/>
      <c r="J21" s="57"/>
      <c r="K21" s="58">
        <f t="shared" si="1"/>
        <v>5</v>
      </c>
      <c r="L21" s="52"/>
      <c r="M21" s="60">
        <f t="shared" si="2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/>
      <c r="J22" s="57"/>
      <c r="K22" s="58">
        <f t="shared" si="1"/>
        <v>5</v>
      </c>
      <c r="L22" s="52"/>
      <c r="M22" s="60">
        <f t="shared" si="2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/>
      <c r="J23" s="57"/>
      <c r="K23" s="58">
        <f t="shared" si="1"/>
        <v>5</v>
      </c>
      <c r="L23" s="52"/>
      <c r="M23" s="60">
        <f t="shared" si="2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/>
      <c r="J24" s="57"/>
      <c r="K24" s="58">
        <f t="shared" si="1"/>
        <v>5</v>
      </c>
      <c r="L24" s="52"/>
      <c r="M24" s="60">
        <f t="shared" si="2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/>
      <c r="J25" s="57"/>
      <c r="K25" s="58">
        <f t="shared" si="1"/>
        <v>5</v>
      </c>
      <c r="L25" s="52"/>
      <c r="M25" s="60">
        <f t="shared" si="2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/>
      <c r="J26" s="57"/>
      <c r="K26" s="58">
        <f t="shared" si="1"/>
        <v>5</v>
      </c>
      <c r="L26" s="52"/>
      <c r="M26" s="60">
        <f t="shared" si="2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/>
      <c r="J27" s="57"/>
      <c r="K27" s="58">
        <f t="shared" si="1"/>
        <v>5</v>
      </c>
      <c r="L27" s="52"/>
      <c r="M27" s="60">
        <f t="shared" si="2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/>
      <c r="J28" s="57"/>
      <c r="K28" s="58">
        <f t="shared" si="1"/>
        <v>5</v>
      </c>
      <c r="L28" s="52"/>
      <c r="M28" s="60">
        <f t="shared" si="2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/>
      <c r="J29" s="57"/>
      <c r="K29" s="58">
        <f t="shared" si="1"/>
        <v>5</v>
      </c>
      <c r="L29" s="52"/>
      <c r="M29" s="60">
        <f t="shared" si="2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/>
      <c r="J30" s="57"/>
      <c r="K30" s="58">
        <f t="shared" si="1"/>
        <v>5</v>
      </c>
      <c r="L30" s="52"/>
      <c r="M30" s="60">
        <f t="shared" si="2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/>
      <c r="J31" s="57"/>
      <c r="K31" s="58">
        <f t="shared" si="1"/>
        <v>5</v>
      </c>
      <c r="L31" s="52"/>
      <c r="M31" s="60">
        <f t="shared" si="2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/>
      <c r="J32" s="57"/>
      <c r="K32" s="58">
        <f t="shared" si="1"/>
        <v>5</v>
      </c>
      <c r="L32" s="52"/>
      <c r="M32" s="60">
        <f t="shared" si="2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/>
      <c r="J33" s="57"/>
      <c r="K33" s="58">
        <f t="shared" si="1"/>
        <v>5</v>
      </c>
      <c r="L33" s="52"/>
      <c r="M33" s="60">
        <f t="shared" si="2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/>
      <c r="J34" s="57"/>
      <c r="K34" s="58">
        <f t="shared" si="1"/>
        <v>5</v>
      </c>
      <c r="L34" s="52"/>
      <c r="M34" s="60">
        <f t="shared" si="2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/>
      <c r="J35" s="57"/>
      <c r="K35" s="58">
        <f t="shared" si="1"/>
        <v>5</v>
      </c>
      <c r="L35" s="52"/>
      <c r="M35" s="60">
        <f t="shared" si="2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/>
      <c r="J36" s="57"/>
      <c r="K36" s="58">
        <f t="shared" si="1"/>
        <v>5</v>
      </c>
      <c r="L36" s="52"/>
      <c r="M36" s="60">
        <f t="shared" si="2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/>
      <c r="J37" s="57"/>
      <c r="K37" s="58">
        <f t="shared" si="1"/>
        <v>5</v>
      </c>
      <c r="L37" s="52"/>
      <c r="M37" s="60">
        <f t="shared" si="2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/>
      <c r="J38" s="57"/>
      <c r="K38" s="58">
        <f t="shared" si="1"/>
        <v>5</v>
      </c>
      <c r="L38" s="52"/>
      <c r="M38" s="60">
        <f t="shared" si="2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/>
      <c r="J39" s="57"/>
      <c r="K39" s="58">
        <f t="shared" si="1"/>
        <v>5</v>
      </c>
      <c r="L39" s="52"/>
      <c r="M39" s="60">
        <f t="shared" si="2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/>
      <c r="J40" s="57"/>
      <c r="K40" s="58">
        <f t="shared" si="1"/>
        <v>5</v>
      </c>
      <c r="L40" s="52"/>
      <c r="M40" s="60">
        <f t="shared" si="2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/>
      <c r="J41" s="57"/>
      <c r="K41" s="58">
        <f t="shared" si="1"/>
        <v>5</v>
      </c>
      <c r="L41" s="52"/>
      <c r="M41" s="60">
        <f t="shared" si="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/>
      <c r="J42" s="57"/>
      <c r="K42" s="58">
        <f t="shared" si="1"/>
        <v>5</v>
      </c>
      <c r="L42" s="52"/>
      <c r="M42" s="60">
        <f t="shared" si="2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/>
      <c r="J43" s="57"/>
      <c r="K43" s="58">
        <f t="shared" si="1"/>
        <v>5</v>
      </c>
      <c r="L43" s="52"/>
      <c r="M43" s="60">
        <f t="shared" si="2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/>
      <c r="J44" s="57"/>
      <c r="K44" s="58">
        <f t="shared" si="1"/>
        <v>5</v>
      </c>
      <c r="L44" s="52"/>
      <c r="M44" s="60">
        <f t="shared" si="2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/>
      <c r="J45" s="57"/>
      <c r="K45" s="58">
        <f t="shared" si="1"/>
        <v>5</v>
      </c>
      <c r="L45" s="52"/>
      <c r="M45" s="60">
        <f t="shared" si="2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/>
      <c r="J46" s="57"/>
      <c r="K46" s="58">
        <f t="shared" si="1"/>
        <v>5</v>
      </c>
      <c r="L46" s="52"/>
      <c r="M46" s="60">
        <f t="shared" si="2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/>
      <c r="J47" s="57"/>
      <c r="K47" s="58">
        <f t="shared" si="1"/>
        <v>5</v>
      </c>
      <c r="L47" s="52"/>
      <c r="M47" s="60">
        <f t="shared" si="2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/>
      <c r="J48" s="57"/>
      <c r="K48" s="58">
        <f t="shared" si="1"/>
        <v>5</v>
      </c>
      <c r="L48" s="52"/>
      <c r="M48" s="60">
        <f t="shared" si="2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/>
      <c r="J49" s="57"/>
      <c r="K49" s="58">
        <f t="shared" si="1"/>
        <v>5</v>
      </c>
      <c r="L49" s="52"/>
      <c r="M49" s="60">
        <f t="shared" si="2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/>
      <c r="J50" s="57"/>
      <c r="K50" s="58">
        <f t="shared" si="1"/>
        <v>5</v>
      </c>
      <c r="L50" s="52"/>
      <c r="M50" s="60">
        <f t="shared" si="2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/>
      <c r="J51" s="57"/>
      <c r="K51" s="58">
        <f t="shared" si="1"/>
        <v>5</v>
      </c>
      <c r="L51" s="52"/>
      <c r="M51" s="60">
        <f t="shared" si="2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/>
      <c r="J52" s="57"/>
      <c r="K52" s="58">
        <f t="shared" si="1"/>
        <v>5</v>
      </c>
      <c r="L52" s="52"/>
      <c r="M52" s="59">
        <f t="shared" si="2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/>
      <c r="J53" s="57"/>
      <c r="K53" s="58">
        <f t="shared" si="1"/>
        <v>5</v>
      </c>
      <c r="L53" s="52"/>
      <c r="M53" s="59">
        <f t="shared" si="2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/>
      <c r="J54" s="57"/>
      <c r="K54" s="58">
        <f t="shared" si="1"/>
        <v>5</v>
      </c>
      <c r="L54" s="52"/>
      <c r="M54" s="59">
        <f t="shared" si="2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/>
      <c r="J55" s="57"/>
      <c r="K55" s="58">
        <f t="shared" si="1"/>
        <v>5</v>
      </c>
      <c r="L55" s="52"/>
      <c r="M55" s="59">
        <f t="shared" si="2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/>
      <c r="J56" s="62" t="s">
        <v>120</v>
      </c>
      <c r="K56" s="58">
        <f t="shared" si="1"/>
        <v>5</v>
      </c>
      <c r="L56" s="52"/>
      <c r="M56" s="59">
        <f t="shared" si="2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/>
      <c r="J57" s="57"/>
      <c r="K57" s="58">
        <f t="shared" si="1"/>
        <v>5</v>
      </c>
      <c r="L57" s="52"/>
      <c r="M57" s="59">
        <f t="shared" si="2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/>
      <c r="J58" s="57"/>
      <c r="K58" s="58">
        <f t="shared" si="1"/>
        <v>5</v>
      </c>
      <c r="L58" s="52"/>
      <c r="M58" s="59">
        <f t="shared" si="2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5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2.14"/>
    <col customWidth="1" min="6" max="6" width="10.57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109" t="s">
        <v>146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150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58 L18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8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151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8" si="1">SUM(E17:H17)</f>
        <v>0</v>
      </c>
      <c r="J17" s="57"/>
      <c r="K17" s="58">
        <f t="shared" ref="K17:K58" si="2">IF(M17&lt;6,5,M17)</f>
        <v>5</v>
      </c>
      <c r="L17" s="59"/>
      <c r="M17" s="60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24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44</v>
      </c>
      <c r="C25" s="53" t="s">
        <v>45</v>
      </c>
      <c r="D25" s="54" t="s">
        <v>46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47</v>
      </c>
      <c r="C26" s="53" t="s">
        <v>47</v>
      </c>
      <c r="D26" s="54" t="s">
        <v>48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49</v>
      </c>
      <c r="C27" s="53" t="s">
        <v>23</v>
      </c>
      <c r="D27" s="54" t="s">
        <v>50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51</v>
      </c>
      <c r="C28" s="53" t="s">
        <v>52</v>
      </c>
      <c r="D28" s="54" t="s">
        <v>53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54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58</v>
      </c>
      <c r="D30" s="54" t="s">
        <v>59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60</v>
      </c>
      <c r="C31" s="53" t="s">
        <v>61</v>
      </c>
      <c r="D31" s="54" t="s">
        <v>62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63</v>
      </c>
      <c r="C32" s="53" t="s">
        <v>64</v>
      </c>
      <c r="D32" s="54" t="s">
        <v>65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63</v>
      </c>
      <c r="C33" s="53" t="s">
        <v>66</v>
      </c>
      <c r="D33" s="54" t="s">
        <v>67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63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70</v>
      </c>
      <c r="D35" s="54" t="s">
        <v>71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72</v>
      </c>
      <c r="C36" s="53" t="s">
        <v>73</v>
      </c>
      <c r="D36" s="54" t="s">
        <v>74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75</v>
      </c>
      <c r="C37" s="53" t="s">
        <v>76</v>
      </c>
      <c r="D37" s="54" t="s">
        <v>77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78</v>
      </c>
      <c r="C38" s="53" t="s">
        <v>26</v>
      </c>
      <c r="D38" s="54" t="s">
        <v>79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80</v>
      </c>
      <c r="C39" s="53" t="s">
        <v>26</v>
      </c>
      <c r="D39" s="54" t="s">
        <v>81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80</v>
      </c>
      <c r="C40" s="53" t="s">
        <v>82</v>
      </c>
      <c r="D40" s="54" t="s">
        <v>83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84</v>
      </c>
      <c r="C41" s="53" t="s">
        <v>85</v>
      </c>
      <c r="D41" s="54" t="s">
        <v>86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95</v>
      </c>
      <c r="C45" s="53" t="s">
        <v>90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97</v>
      </c>
      <c r="C46" s="53" t="s">
        <v>66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99</v>
      </c>
      <c r="C47" s="53" t="s">
        <v>100</v>
      </c>
      <c r="D47" s="54" t="s">
        <v>101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102</v>
      </c>
      <c r="C48" s="53" t="s">
        <v>103</v>
      </c>
      <c r="D48" s="54" t="s">
        <v>104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105</v>
      </c>
      <c r="C49" s="53" t="s">
        <v>26</v>
      </c>
      <c r="D49" s="54" t="s">
        <v>67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61" t="s">
        <v>105</v>
      </c>
      <c r="C50" s="53" t="s">
        <v>26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107</v>
      </c>
      <c r="C51" s="53" t="s">
        <v>76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66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109</v>
      </c>
      <c r="C53" s="53" t="s">
        <v>39</v>
      </c>
      <c r="D53" s="54" t="s">
        <v>111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112</v>
      </c>
      <c r="C54" s="53" t="s">
        <v>113</v>
      </c>
      <c r="D54" s="54" t="s">
        <v>114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115</v>
      </c>
      <c r="C55" s="53" t="s">
        <v>116</v>
      </c>
      <c r="D55" s="54" t="s">
        <v>106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2">
        <v>40.0</v>
      </c>
      <c r="B56" s="53" t="s">
        <v>117</v>
      </c>
      <c r="C56" s="53" t="s">
        <v>118</v>
      </c>
      <c r="D56" s="54" t="s">
        <v>119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2">
        <v>41.0</v>
      </c>
      <c r="B57" s="53" t="s">
        <v>121</v>
      </c>
      <c r="C57" s="53" t="s">
        <v>122</v>
      </c>
      <c r="D57" s="54" t="s">
        <v>123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2">
        <v>42.0</v>
      </c>
      <c r="B58" s="53" t="s">
        <v>124</v>
      </c>
      <c r="C58" s="53" t="s">
        <v>125</v>
      </c>
      <c r="D58" s="54" t="s">
        <v>126</v>
      </c>
      <c r="E58" s="55"/>
      <c r="F58" s="55"/>
      <c r="G58" s="55"/>
      <c r="H58" s="55"/>
      <c r="I58" s="56">
        <f t="shared" si="1"/>
        <v>0</v>
      </c>
      <c r="J58" s="57"/>
      <c r="K58" s="58">
        <f t="shared" si="2"/>
        <v>5</v>
      </c>
      <c r="L58" s="52"/>
      <c r="M58" s="59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3"/>
      <c r="C59" s="63"/>
      <c r="D59" s="63"/>
      <c r="E59" s="64"/>
      <c r="F59" s="64"/>
      <c r="G59" s="63"/>
      <c r="H59" s="63"/>
      <c r="I59" s="63"/>
      <c r="J59" s="63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5" t="s">
        <v>127</v>
      </c>
      <c r="C60" s="66"/>
      <c r="D60" s="67">
        <f>COUNT(A17:A58)</f>
        <v>42</v>
      </c>
      <c r="E60" s="63"/>
      <c r="F60" s="63"/>
      <c r="G60" s="68" t="s">
        <v>128</v>
      </c>
      <c r="H60" s="68"/>
      <c r="I60" s="68" t="s">
        <v>129</v>
      </c>
      <c r="K60" s="69" t="s">
        <v>130</v>
      </c>
      <c r="L60" s="70" t="s">
        <v>131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1" t="s">
        <v>132</v>
      </c>
      <c r="C61" s="72"/>
      <c r="D61" s="73">
        <f>COUNTIF(K17:K58,"BAJA")</f>
        <v>0</v>
      </c>
      <c r="E61" s="63"/>
      <c r="F61" s="63"/>
      <c r="H61" s="68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1" t="s">
        <v>133</v>
      </c>
      <c r="C62" s="72"/>
      <c r="D62" s="74">
        <f>D60-D61</f>
        <v>42</v>
      </c>
      <c r="E62" s="63"/>
      <c r="F62" s="63"/>
      <c r="G62" s="75"/>
      <c r="H62" s="76"/>
      <c r="I62" s="75"/>
      <c r="J62" s="75"/>
      <c r="K62" s="77"/>
      <c r="L62" s="7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1" t="s">
        <v>134</v>
      </c>
      <c r="C63" s="72"/>
      <c r="D63" s="79">
        <f>COUNTIF(K17:K58,"&gt;=6")</f>
        <v>0</v>
      </c>
      <c r="E63" s="63"/>
      <c r="F63" s="63"/>
      <c r="G63" s="75"/>
      <c r="H63" s="76"/>
      <c r="I63" s="75"/>
      <c r="J63" s="75"/>
      <c r="K63" s="77"/>
      <c r="L63" s="7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1" t="s">
        <v>135</v>
      </c>
      <c r="C64" s="72"/>
      <c r="D64" s="79">
        <f>D62-D63</f>
        <v>42</v>
      </c>
      <c r="E64" s="63"/>
      <c r="F64" s="63"/>
      <c r="G64" s="80"/>
      <c r="H64" s="76"/>
      <c r="I64" s="80"/>
      <c r="J64" s="80"/>
      <c r="K64" s="81"/>
      <c r="L64" s="8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1" t="s">
        <v>136</v>
      </c>
      <c r="C65" s="72"/>
      <c r="D65" s="83">
        <f>D63*100/D62</f>
        <v>0</v>
      </c>
      <c r="E65" s="63"/>
      <c r="F65" s="63"/>
      <c r="G65" s="84" t="s">
        <v>137</v>
      </c>
      <c r="H65" s="85"/>
      <c r="I65" s="86" t="s">
        <v>138</v>
      </c>
      <c r="K65" s="87" t="s">
        <v>139</v>
      </c>
      <c r="L65" s="88" t="s">
        <v>140</v>
      </c>
      <c r="M65" s="8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0" t="s">
        <v>141</v>
      </c>
      <c r="C66" s="91"/>
      <c r="D66" s="92">
        <f>AVERAGE(K17:K58)</f>
        <v>5</v>
      </c>
      <c r="E66" s="63"/>
      <c r="F66" s="63"/>
      <c r="H66" s="85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3"/>
      <c r="B68" s="94"/>
      <c r="C68" s="95"/>
      <c r="D68" s="95"/>
      <c r="E68" s="63"/>
      <c r="H68" s="7"/>
      <c r="I68" s="7"/>
      <c r="J68" s="7"/>
      <c r="K68" s="7"/>
      <c r="L68" s="96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8"/>
      <c r="B69" s="63"/>
      <c r="C69" s="63"/>
      <c r="D69" s="63"/>
      <c r="E69" s="7"/>
      <c r="F69" s="7"/>
      <c r="G69" s="1"/>
      <c r="H69" s="1"/>
      <c r="I69" s="1"/>
      <c r="J69" s="1"/>
      <c r="K69" s="1"/>
      <c r="L69" s="8"/>
      <c r="M69" s="9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8"/>
      <c r="B70" s="63"/>
      <c r="C70" s="63"/>
      <c r="D70" s="63"/>
      <c r="E70" s="7"/>
      <c r="F70" s="7"/>
      <c r="G70" s="1"/>
      <c r="H70" s="1"/>
      <c r="I70" s="1"/>
      <c r="J70" s="1"/>
      <c r="K70" s="1"/>
      <c r="L70" s="8"/>
      <c r="M70" s="9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0"/>
      <c r="B71" s="101"/>
      <c r="C71" s="101"/>
      <c r="D71" s="101"/>
      <c r="E71" s="102"/>
      <c r="F71" s="102"/>
      <c r="G71" s="103"/>
      <c r="H71" s="103"/>
      <c r="I71" s="103"/>
      <c r="J71" s="103"/>
      <c r="K71" s="103"/>
      <c r="L71" s="104"/>
      <c r="M71" s="9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5"/>
      <c r="C72" s="105"/>
      <c r="D72" s="105"/>
      <c r="E72" s="105"/>
      <c r="F72" s="105"/>
      <c r="G72" s="1"/>
      <c r="H72" s="1"/>
      <c r="I72" s="1"/>
      <c r="J72" s="1"/>
      <c r="K72" s="106"/>
      <c r="L72" s="106"/>
      <c r="M72" s="106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5"/>
      <c r="C73" s="105"/>
      <c r="D73" s="105"/>
      <c r="E73" s="105"/>
      <c r="F73" s="105"/>
      <c r="G73" s="1"/>
      <c r="H73" s="1"/>
      <c r="I73" s="1"/>
      <c r="J73" s="1"/>
      <c r="K73" s="106"/>
      <c r="L73" s="106"/>
      <c r="M73" s="106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5"/>
      <c r="C74" s="105"/>
      <c r="D74" s="105"/>
      <c r="E74" s="105"/>
      <c r="F74" s="105"/>
      <c r="G74" s="1"/>
      <c r="H74" s="1"/>
      <c r="I74" s="1"/>
      <c r="J74" s="1"/>
      <c r="K74" s="106"/>
      <c r="L74" s="106"/>
      <c r="M74" s="10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5"/>
      <c r="C75" s="105"/>
      <c r="D75" s="105"/>
      <c r="E75" s="105"/>
      <c r="F75" s="105"/>
      <c r="G75" s="1"/>
      <c r="H75" s="1"/>
      <c r="I75" s="1"/>
      <c r="J75" s="1"/>
      <c r="K75" s="106"/>
      <c r="L75" s="106"/>
      <c r="M75" s="10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5"/>
      <c r="C76" s="105"/>
      <c r="D76" s="105"/>
      <c r="E76" s="105"/>
      <c r="F76" s="10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5"/>
      <c r="C77" s="105"/>
      <c r="D77" s="105"/>
      <c r="E77" s="105"/>
      <c r="F77" s="105"/>
      <c r="G77" s="1"/>
      <c r="H77" s="1"/>
      <c r="I77" s="1"/>
      <c r="J77" s="1"/>
      <c r="K77" s="1"/>
      <c r="L77" s="10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5"/>
      <c r="C78" s="105"/>
      <c r="D78" s="105"/>
      <c r="E78" s="105"/>
      <c r="F78" s="10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5"/>
      <c r="C79" s="105"/>
      <c r="D79" s="105"/>
      <c r="E79" s="105"/>
      <c r="F79" s="10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5"/>
      <c r="C80" s="105"/>
      <c r="D80" s="105"/>
      <c r="E80" s="105"/>
      <c r="F80" s="10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5"/>
      <c r="C81" s="105"/>
      <c r="D81" s="105"/>
      <c r="E81" s="105"/>
      <c r="F81" s="10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5"/>
      <c r="C82" s="105"/>
      <c r="D82" s="105"/>
      <c r="E82" s="105"/>
      <c r="F82" s="10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5"/>
      <c r="C83" s="105"/>
      <c r="D83" s="105"/>
      <c r="E83" s="105"/>
      <c r="F83" s="10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58 L18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