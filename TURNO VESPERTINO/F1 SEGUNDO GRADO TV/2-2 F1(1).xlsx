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2 pensamiento literario" sheetId="1" r:id="rId5"/>
    <sheet state="visible" name="2-2 ingles iv" sheetId="2" r:id="rId6"/>
    <sheet state="visible" name="2-2 temas selectos de matematic" sheetId="3" r:id="rId7"/>
    <sheet state="visible" name="2-2 conciencia historica i" sheetId="4" r:id="rId8"/>
    <sheet state="visible" name="2-2 taller de cultura digital" sheetId="5" r:id="rId9"/>
    <sheet state="visible" name="2-2 reacciones quimicas" sheetId="6" r:id="rId10"/>
    <sheet state="visible" name="2-2 espacio y sociedad" sheetId="7" r:id="rId11"/>
    <sheet state="visible" name="2-2 ciencias sociales iii" sheetId="8" r:id="rId12"/>
    <sheet state="visible" name="2-2 comunidades virtuales" sheetId="9" r:id="rId13"/>
    <sheet state="visible" name="2-2 mantenimiento de redes de c" sheetId="10" r:id="rId14"/>
    <sheet state="visible" name="2-2 actividades artisticas y cu" sheetId="11" r:id="rId15"/>
    <sheet state="visible" name="2-2 educacion integral en sexua" sheetId="12" r:id="rId16"/>
    <sheet state="visible" name="2-2 temas selectos de igualdad " sheetId="13" r:id="rId17"/>
    <sheet state="visible" name="INDICADORES" sheetId="14" r:id="rId18"/>
  </sheets>
  <definedNames>
    <definedName localSheetId="7" name="Excel_BuiltIn_Print_Area">'2-2 ciencias sociales iii'!$A$6:$O$67</definedName>
    <definedName localSheetId="12" name="Excel_BuiltIn_Print_Area">'2-2 temas selectos de igualdad '!$A$6:$O$67</definedName>
    <definedName localSheetId="4" name="Excel_BuiltIn_Print_Area">'2-2 taller de cultura digital'!$A$6:$O$67</definedName>
    <definedName localSheetId="2" name="Excel_BuiltIn_Print_Area">'2-2 temas selectos de matematic'!$A$6:$O$67</definedName>
    <definedName localSheetId="1" name="Excel_BuiltIn_Print_Area">'2-2 ingles iv'!$A$6:$O$67</definedName>
    <definedName localSheetId="8" name="Excel_BuiltIn_Print_Area">'2-2 comunidades virtuales'!$A$6:$O$67</definedName>
    <definedName localSheetId="10" name="Excel_BuiltIn_Print_Area">'2-2 actividades artisticas y cu'!$A$6:$O$67</definedName>
    <definedName localSheetId="3" name="Excel_BuiltIn_Print_Area">'2-2 conciencia historica i'!$A$6:$O$67</definedName>
    <definedName localSheetId="11" name="Excel_BuiltIn_Print_Area">'2-2 educacion integral en sexua'!$A$6:$O$67</definedName>
    <definedName localSheetId="6" name="Excel_BuiltIn_Print_Area">'2-2 espacio y sociedad'!$A$6:$O$67</definedName>
    <definedName localSheetId="0" name="Excel_BuiltIn_Print_Area">'2-2 pensamiento literario'!$A$6:$O$65</definedName>
    <definedName localSheetId="9" name="Excel_BuiltIn_Print_Area">'2-2 mantenimiento de redes de c'!$A$6:$O$67</definedName>
    <definedName localSheetId="5" name="Excel_BuiltIn_Print_Area">'2-2 reacciones quimicas'!$A$6:$O$67</definedName>
    <definedName hidden="1" localSheetId="0" name="_xlnm._FilterDatabase">'2-2 pensamiento literario'!$S$1:$S$93</definedName>
    <definedName hidden="1" localSheetId="1" name="_xlnm._FilterDatabase">'2-2 ingles iv'!$S$1:$S$89</definedName>
    <definedName hidden="1" localSheetId="2" name="_xlnm._FilterDatabase">'2-2 temas selectos de matematic'!$S$1:$S$91</definedName>
    <definedName hidden="1" localSheetId="3" name="_xlnm._FilterDatabase">'2-2 conciencia historica i'!$S$1:$S$93</definedName>
    <definedName hidden="1" localSheetId="4" name="_xlnm._FilterDatabase">'2-2 taller de cultura digital'!$S$1:$S$91</definedName>
    <definedName hidden="1" localSheetId="5" name="_xlnm._FilterDatabase">'2-2 reacciones quimicas'!$S$1:$S$90</definedName>
    <definedName hidden="1" localSheetId="6" name="_xlnm._FilterDatabase">'2-2 espacio y sociedad'!$S$1:$S$88</definedName>
    <definedName hidden="1" localSheetId="7" name="_xlnm._FilterDatabase">'2-2 ciencias sociales iii'!$S$1:$S$90</definedName>
    <definedName hidden="1" localSheetId="8" name="_xlnm._FilterDatabase">'2-2 comunidades virtuales'!$S$1:$S$93</definedName>
    <definedName hidden="1" localSheetId="9" name="_xlnm._FilterDatabase">'2-2 mantenimiento de redes de c'!$S$1:$S$93</definedName>
    <definedName hidden="1" localSheetId="10" name="_xlnm._FilterDatabase">'2-2 actividades artisticas y cu'!$S$1:$S$91</definedName>
    <definedName hidden="1" localSheetId="11" name="_xlnm._FilterDatabase">'2-2 educacion integral en sexua'!$S$1:$S$93</definedName>
    <definedName hidden="1" localSheetId="12" name="_xlnm._FilterDatabase">'2-2 temas selectos de igualdad '!$S$1:$S$92</definedName>
  </definedNames>
  <calcPr/>
</workbook>
</file>

<file path=xl/sharedStrings.xml><?xml version="1.0" encoding="utf-8"?>
<sst xmlns="http://schemas.openxmlformats.org/spreadsheetml/2006/main" count="2788" uniqueCount="206">
  <si>
    <t>HORAS IMPARTIDAS</t>
  </si>
  <si>
    <t>ORIENTADORA</t>
  </si>
  <si>
    <t>ANA ISABEL CORREA SALGADO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</si>
  <si>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</si>
  <si>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</si>
  <si>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</si>
  <si>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</si>
  <si>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</si>
  <si>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</si>
  <si>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</si>
  <si>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</si>
  <si>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</si>
  <si>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2°</t>
  </si>
  <si>
    <t>Grupo</t>
  </si>
  <si>
    <t>Mayo</t>
  </si>
  <si>
    <t>PROFESOR(A):</t>
  </si>
  <si>
    <t>UAC</t>
  </si>
  <si>
    <t>PENSAMIENTO LITERARIO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</si>
  <si>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</si>
  <si>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</si>
  <si>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</si>
  <si>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</si>
  <si>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</si>
  <si>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</si>
  <si>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</si>
  <si>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</si>
  <si>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</si>
  <si>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</si>
  <si>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</si>
  <si>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</si>
  <si>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</si>
  <si>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</si>
  <si>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</si>
  <si>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</si>
  <si>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</si>
  <si>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</si>
  <si>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</si>
  <si>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</si>
  <si>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</si>
  <si>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</si>
  <si>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</si>
  <si>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</si>
  <si>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</si>
  <si>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</si>
  <si>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</si>
  <si>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</si>
  <si>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</si>
  <si>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</si>
  <si>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EMILIANO</t>
  </si>
  <si>
    <t>BARCENAS</t>
  </si>
  <si>
    <t>GONZALEZ</t>
  </si>
  <si>
    <t>ERICK SANTIAGO</t>
  </si>
  <si>
    <t>BERNABE</t>
  </si>
  <si>
    <t>ORTIZ</t>
  </si>
  <si>
    <t>GABRIEL</t>
  </si>
  <si>
    <t>CAMACHO</t>
  </si>
  <si>
    <t>GAMEZ</t>
  </si>
  <si>
    <t>VANIA ELI</t>
  </si>
  <si>
    <t>CARMONA</t>
  </si>
  <si>
    <t>MARTINEZ</t>
  </si>
  <si>
    <t>PAOLA MONTSERRAT</t>
  </si>
  <si>
    <t>CASTAÑEDA</t>
  </si>
  <si>
    <t>HERNANDEZ</t>
  </si>
  <si>
    <t>SELENE AGUSTINA</t>
  </si>
  <si>
    <t>CHAVEZ</t>
  </si>
  <si>
    <t>YOHAN ZAID</t>
  </si>
  <si>
    <t>DE HOYOS</t>
  </si>
  <si>
    <t>MANCILLA</t>
  </si>
  <si>
    <t>JESUS EMILIANO</t>
  </si>
  <si>
    <t>DE SANTIAGO</t>
  </si>
  <si>
    <t>SANCHEZ</t>
  </si>
  <si>
    <t>OMAR</t>
  </si>
  <si>
    <t>DEL OLMO</t>
  </si>
  <si>
    <t>LARA</t>
  </si>
  <si>
    <t>ISAAC URIEL</t>
  </si>
  <si>
    <t>FUENTES</t>
  </si>
  <si>
    <t>GARCIA</t>
  </si>
  <si>
    <t>JOHANN DONOVAN</t>
  </si>
  <si>
    <t>GALICIA</t>
  </si>
  <si>
    <t>IRMA JOSELINE</t>
  </si>
  <si>
    <t>GALINDO</t>
  </si>
  <si>
    <t>REYES</t>
  </si>
  <si>
    <t>DIEGO ARAM</t>
  </si>
  <si>
    <t>GOMEZ</t>
  </si>
  <si>
    <t>LIZCANO</t>
  </si>
  <si>
    <t>SARA VALENTINA</t>
  </si>
  <si>
    <t>RUIZ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</si>
  <si>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</si>
  <si>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</si>
  <si>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</si>
  <si>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</si>
  <si>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</si>
  <si>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</si>
  <si>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</si>
  <si>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</si>
  <si>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JIMENEZ</t>
  </si>
  <si>
    <t>LOPEZ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</si>
  <si>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</si>
  <si>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</si>
  <si>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</si>
  <si>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</si>
  <si>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</si>
  <si>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</si>
  <si>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</si>
  <si>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</si>
  <si>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</si>
  <si>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</si>
  <si>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</si>
  <si>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PEREZ</t>
  </si>
  <si>
    <t>PAMELA FERNANDA</t>
  </si>
  <si>
    <t>MORALES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</si>
  <si>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</si>
  <si>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</si>
  <si>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</si>
  <si>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</si>
  <si>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</si>
  <si>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</si>
  <si>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</si>
  <si>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</si>
  <si>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</si>
  <si>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</si>
  <si>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</si>
  <si>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RAMIREZ</t>
  </si>
  <si>
    <t>MARIN</t>
  </si>
  <si>
    <t>XAVIER FAHRID</t>
  </si>
  <si>
    <t>RAMOS</t>
  </si>
  <si>
    <t>CERVANTES</t>
  </si>
  <si>
    <t>ERENDY ISABELLA</t>
  </si>
  <si>
    <t>PALACIOS</t>
  </si>
  <si>
    <t>HAZAEL EMILIANO</t>
  </si>
  <si>
    <t>RODRIGUEZ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</si>
  <si>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</si>
  <si>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</si>
  <si>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</si>
  <si>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</si>
  <si>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</si>
  <si>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</si>
  <si>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</si>
  <si>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</si>
  <si>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ROMERO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</si>
  <si>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</si>
  <si>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</si>
  <si>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</si>
  <si>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</si>
  <si>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</si>
  <si>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</si>
  <si>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</si>
  <si>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</si>
  <si>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</si>
  <si>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TREJO</t>
  </si>
  <si>
    <t>LAZARO</t>
  </si>
  <si>
    <t>VALERIA ALEXA</t>
  </si>
  <si>
    <t>PADILLA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</si>
  <si>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</si>
  <si>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</si>
  <si>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</si>
  <si>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</si>
  <si>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</si>
  <si>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</si>
  <si>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</si>
  <si>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VALLEJO</t>
  </si>
  <si>
    <t>DAVID EZEQUIEL</t>
  </si>
  <si>
    <t>VARGAS</t>
  </si>
  <si>
    <t>MANZANARES</t>
  </si>
  <si>
    <t>DANIEL</t>
  </si>
  <si>
    <t>TOLEDO</t>
  </si>
  <si>
    <t>YOAV EMMANUEL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</si>
  <si>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</si>
  <si>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</si>
  <si>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</si>
  <si>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</si>
  <si>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</si>
  <si>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</si>
  <si>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</si>
  <si>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</si>
  <si>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</si>
  <si>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INGLÉS IV</t>
  </si>
  <si>
    <t>TEMAS SELECTOS DE MATEMÁTICAS I</t>
  </si>
  <si>
    <t>CONCIENCIA HISTÓRICA I</t>
  </si>
  <si>
    <t xml:space="preserve">TALLER DE CULTURA DIGITAL </t>
  </si>
  <si>
    <t>REACCIONES QUÍMICAS</t>
  </si>
  <si>
    <t>ESPACIO Y SOCIEDAD</t>
  </si>
  <si>
    <t>CIENCIAS SOCIALES III</t>
  </si>
  <si>
    <t>COMUNIDADES VIRTUALES</t>
  </si>
  <si>
    <t>MANTENIMIENTO DE REDES DE CÓMPUTO</t>
  </si>
  <si>
    <t xml:space="preserve">ACTIVIDADES ARTISTICAS Y CULTURALES </t>
  </si>
  <si>
    <t>EDUCACIÓN INTEGRAL EN SEXUALIDAD Y GÉNERO II</t>
  </si>
  <si>
    <t>TEMAS SELECTOS DE IGUALDAD Y DERECHOS HUMANOS IV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</si>
  <si>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</si>
  <si>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</si>
  <si>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</si>
  <si>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</si>
  <si>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</si>
  <si>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</si>
  <si>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</si>
  <si>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</si>
  <si>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</si>
  <si>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</si>
  <si>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</si>
  <si>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</si>
  <si>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</si>
  <si>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CONCIENCIA HISTORICA I</t>
  </si>
  <si>
    <t>TALLER DE CULTURA DIGITAL</t>
  </si>
  <si>
    <t xml:space="preserve">ACTIVIDADES ARTÍSTICAS Y CULTURALES I </t>
  </si>
  <si>
    <t>PARCIAL II</t>
  </si>
  <si>
    <t xml:space="preserve">INDICADORES FINALES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</si>
</sst>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3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9.0"/>
      <color theme="1"/>
      <name val="Arial"/>
    </font>
    <font>
      <b/>
      <sz val="9.0"/>
      <color theme="1"/>
      <name val="&quot;Century Gothic&quot;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7.0"/>
      <color theme="1"/>
      <name val="Arial"/>
    </font>
    <font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</font>
    <font>
      <sz val="9.0"/>
      <color theme="1"/>
      <name val="&quot;Century Gothic&quot;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&quot;Century Gothic&quot;"/>
    </font>
    <font>
      <b/>
      <sz val="8.0"/>
      <color theme="1"/>
      <name val="Arial"/>
    </font>
    <font>
      <b/>
      <sz val="14.0"/>
      <color theme="1"/>
      <name val="Arial"/>
      <scheme val="minor"/>
    </font>
    <font>
      <color theme="1"/>
      <name val="Century Gothic"/>
    </font>
    <font>
      <sz val="21.0"/>
      <color theme="1"/>
      <name val="Arial"/>
    </font>
    <font>
      <b/>
      <sz val="9.0"/>
      <color theme="1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right" readingOrder="0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4" fillId="0" fontId="6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readingOrder="0" shrinkToFit="0" vertical="bottom" wrapText="0"/>
    </xf>
    <xf borderId="8" fillId="2" fontId="5" numFmtId="0" xfId="0" applyAlignment="1" applyBorder="1" applyFont="1">
      <alignment horizontal="center" readingOrder="0" vertical="center"/>
    </xf>
    <xf borderId="9" fillId="0" fontId="3" numFmtId="0" xfId="0" applyBorder="1" applyFont="1"/>
    <xf borderId="7" fillId="0" fontId="3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13" fillId="2" fontId="5" numFmtId="0" xfId="0" applyAlignment="1" applyBorder="1" applyFont="1">
      <alignment horizontal="center" readingOrder="0" shrinkToFit="0" vertical="bottom" wrapText="0"/>
    </xf>
    <xf borderId="5" fillId="2" fontId="5" numFmtId="0" xfId="0" applyAlignment="1" applyBorder="1" applyFont="1">
      <alignment horizontal="center" readingOrder="0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readingOrder="0"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  <xf borderId="3" fillId="2" fontId="13" numFmtId="0" xfId="0" applyAlignment="1" applyBorder="1" applyFont="1">
      <alignment horizontal="center" shrinkToFit="0" vertical="bottom" wrapText="0"/>
    </xf>
    <xf borderId="21" fillId="2" fontId="13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left" readingOrder="0" shrinkToFit="0" vertical="bottom" wrapText="0"/>
    </xf>
    <xf borderId="21" fillId="0" fontId="13" numFmtId="0" xfId="0" applyAlignment="1" applyBorder="1" applyFont="1">
      <alignment horizontal="left" readingOrder="0" shrinkToFit="0" wrapText="0"/>
    </xf>
    <xf borderId="2" fillId="0" fontId="13" numFmtId="0" xfId="0" applyAlignment="1" applyBorder="1" applyFont="1">
      <alignment horizontal="left" readingOrder="0" shrinkToFit="0" vertical="bottom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wrapText="1"/>
    </xf>
    <xf borderId="24" fillId="0" fontId="8" numFmtId="164" xfId="0" applyAlignment="1" applyBorder="1" applyFont="1" applyNumberFormat="1">
      <alignment horizontal="center" shrinkToFit="0" wrapText="1"/>
    </xf>
    <xf borderId="13" fillId="0" fontId="8" numFmtId="0" xfId="0" applyAlignment="1" applyBorder="1" applyFont="1">
      <alignment horizontal="center" vertical="bottom"/>
    </xf>
    <xf borderId="25" fillId="0" fontId="8" numFmtId="1" xfId="0" applyAlignment="1" applyBorder="1" applyFont="1" applyNumberFormat="1">
      <alignment horizontal="center" shrinkToFit="0" wrapText="1"/>
    </xf>
    <xf borderId="26" fillId="0" fontId="8" numFmtId="0" xfId="0" applyBorder="1" applyFont="1"/>
    <xf borderId="3" fillId="0" fontId="12" numFmtId="0" xfId="0" applyAlignment="1" applyBorder="1" applyFont="1">
      <alignment horizontal="center"/>
    </xf>
    <xf borderId="3" fillId="2" fontId="13" numFmtId="0" xfId="0" applyAlignment="1" applyBorder="1" applyFont="1">
      <alignment horizontal="center" readingOrder="0" shrinkToFit="0" vertical="bottom" wrapText="0"/>
    </xf>
    <xf borderId="4" fillId="2" fontId="13" numFmtId="0" xfId="0" applyAlignment="1" applyBorder="1" applyFont="1">
      <alignment horizontal="center" shrinkToFit="0" vertical="bottom" wrapText="0"/>
    </xf>
    <xf borderId="14" fillId="0" fontId="13" numFmtId="0" xfId="0" applyAlignment="1" applyBorder="1" applyFont="1">
      <alignment horizontal="left" readingOrder="0" shrinkToFit="0" vertical="bottom" wrapText="0"/>
    </xf>
    <xf borderId="4" fillId="0" fontId="13" numFmtId="0" xfId="0" applyAlignment="1" applyBorder="1" applyFont="1">
      <alignment horizontal="left" readingOrder="0" shrinkToFit="0" wrapText="0"/>
    </xf>
    <xf borderId="5" fillId="0" fontId="13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4" numFmtId="0" xfId="0" applyFont="1"/>
    <xf borderId="4" fillId="2" fontId="13" numFmtId="0" xfId="0" applyAlignment="1" applyBorder="1" applyFont="1">
      <alignment horizontal="center" readingOrder="0" shrinkToFit="0" vertical="bottom" wrapText="0"/>
    </xf>
    <xf borderId="22" fillId="0" fontId="1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center" shrinkToFit="0" vertical="bottom" wrapText="0"/>
    </xf>
    <xf borderId="4" fillId="2" fontId="13" numFmtId="0" xfId="0" applyAlignment="1" applyBorder="1" applyFont="1">
      <alignment horizontal="center" shrinkToFit="0" vertical="bottom" wrapText="0"/>
    </xf>
    <xf borderId="28" fillId="3" fontId="1" numFmtId="0" xfId="0" applyAlignment="1" applyBorder="1" applyFill="1" applyFont="1">
      <alignment horizontal="center" shrinkToFit="0" vertical="center" wrapText="1"/>
    </xf>
    <xf borderId="29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30" fillId="3" fontId="14" numFmtId="0" xfId="0" applyBorder="1" applyFont="1"/>
    <xf borderId="29" fillId="3" fontId="14" numFmtId="0" xfId="0" applyBorder="1" applyFont="1"/>
    <xf borderId="0" fillId="0" fontId="10" numFmtId="0" xfId="0" applyAlignment="1" applyFont="1">
      <alignment readingOrder="0"/>
    </xf>
    <xf borderId="29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readingOrder="0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6" fillId="0" fontId="6" numFmtId="164" xfId="0" applyAlignment="1" applyBorder="1" applyFont="1" applyNumberFormat="1">
      <alignment horizontal="center" shrinkToFit="0" vertical="center" wrapText="1"/>
    </xf>
    <xf borderId="0" fillId="2" fontId="13" numFmtId="0" xfId="0" applyAlignment="1" applyFont="1">
      <alignment horizontal="center" readingOrder="0" shrinkToFit="0" vertical="bottom" wrapText="0"/>
    </xf>
    <xf borderId="0" fillId="2" fontId="13" numFmtId="0" xfId="0" applyAlignment="1" applyFont="1">
      <alignment shrinkToFit="0" vertical="bottom" wrapText="0"/>
    </xf>
    <xf borderId="21" fillId="4" fontId="16" numFmtId="0" xfId="0" applyAlignment="1" applyBorder="1" applyFill="1" applyFont="1">
      <alignment horizontal="right" readingOrder="0"/>
    </xf>
    <xf borderId="29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shrinkToFit="0" vertical="bottom" wrapText="0"/>
    </xf>
    <xf borderId="4" fillId="5" fontId="12" numFmtId="0" xfId="0" applyAlignment="1" applyBorder="1" applyFill="1" applyFont="1">
      <alignment horizontal="right" readingOrder="0"/>
    </xf>
    <xf borderId="29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right" readingOrder="0"/>
    </xf>
    <xf borderId="29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2" fillId="6" fontId="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readingOrder="0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readingOrder="0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34" fillId="0" fontId="2" numFmtId="0" xfId="0" applyAlignment="1" applyBorder="1" applyFont="1">
      <alignment horizontal="center" readingOrder="0" shrinkToFit="0" vertical="center" wrapText="1"/>
    </xf>
    <xf borderId="34" fillId="0" fontId="1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left" readingOrder="0" shrinkToFit="0" vertical="center" wrapText="1"/>
    </xf>
    <xf borderId="35" fillId="0" fontId="3" numFmtId="0" xfId="0" applyBorder="1" applyFont="1"/>
    <xf borderId="36" fillId="0" fontId="3" numFmtId="0" xfId="0" applyBorder="1" applyFont="1"/>
    <xf borderId="0" fillId="0" fontId="4" numFmtId="0" xfId="0" applyAlignment="1" applyFont="1">
      <alignment horizontal="left" readingOrder="0" shrinkToFit="0" vertical="center" wrapText="1"/>
    </xf>
    <xf borderId="37" fillId="0" fontId="3" numFmtId="0" xfId="0" applyBorder="1" applyFont="1"/>
    <xf borderId="0" fillId="0" fontId="19" numFmtId="0" xfId="0" applyAlignment="1" applyFont="1">
      <alignment readingOrder="0"/>
    </xf>
    <xf borderId="3" fillId="9" fontId="10" numFmtId="0" xfId="0" applyAlignment="1" applyBorder="1" applyFill="1" applyFont="1">
      <alignment readingOrder="0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3" fillId="0" fontId="4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readingOrder="0"/>
    </xf>
    <xf borderId="3" fillId="0" fontId="4" numFmtId="0" xfId="0" applyAlignment="1" applyBorder="1" applyFont="1">
      <alignment horizontal="center" shrinkToFit="0" vertical="bottom" wrapText="1"/>
    </xf>
    <xf borderId="3" fillId="10" fontId="8" numFmtId="0" xfId="0" applyAlignment="1" applyBorder="1" applyFill="1" applyFont="1">
      <alignment horizontal="right" vertical="bottom"/>
    </xf>
    <xf borderId="3" fillId="10" fontId="8" numFmtId="0" xfId="0" applyAlignment="1" applyBorder="1" applyFont="1">
      <alignment vertical="bottom"/>
    </xf>
    <xf borderId="3" fillId="10" fontId="8" numFmtId="164" xfId="0" applyAlignment="1" applyBorder="1" applyFont="1" applyNumberFormat="1">
      <alignment horizontal="right" vertical="bottom"/>
    </xf>
    <xf borderId="3" fillId="10" fontId="8" numFmtId="1" xfId="0" applyAlignment="1" applyBorder="1" applyFont="1" applyNumberFormat="1">
      <alignment horizontal="right" vertical="bottom"/>
    </xf>
    <xf borderId="3" fillId="10" fontId="8" numFmtId="165" xfId="0" applyAlignment="1" applyBorder="1" applyFont="1" applyNumberFormat="1">
      <alignment horizontal="right" readingOrder="0" vertical="bottom"/>
    </xf>
    <xf borderId="3" fillId="10" fontId="8" numFmtId="0" xfId="0" applyAlignment="1" applyBorder="1" applyFont="1">
      <alignment horizontal="center" readingOrder="0" shrinkToFit="0" wrapText="1"/>
    </xf>
    <xf borderId="3" fillId="10" fontId="8" numFmtId="164" xfId="0" applyAlignment="1" applyBorder="1" applyFont="1" applyNumberFormat="1">
      <alignment horizontal="center" shrinkToFit="0" wrapText="1"/>
    </xf>
    <xf borderId="3" fillId="10" fontId="8" numFmtId="1" xfId="0" applyAlignment="1" applyBorder="1" applyFont="1" applyNumberFormat="1">
      <alignment horizontal="center" shrinkToFit="0" wrapText="1"/>
    </xf>
    <xf borderId="3" fillId="0" fontId="20" numFmtId="0" xfId="0" applyAlignment="1" applyBorder="1" applyFont="1">
      <alignment horizontal="center" readingOrder="0"/>
    </xf>
    <xf borderId="3" fillId="0" fontId="8" numFmtId="164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shrinkToFit="0" wrapText="1"/>
    </xf>
    <xf borderId="3" fillId="10" fontId="20" numFmtId="0" xfId="0" applyAlignment="1" applyBorder="1" applyFont="1">
      <alignment horizontal="center" readingOrder="0"/>
    </xf>
    <xf borderId="3" fillId="10" fontId="8" numFmtId="164" xfId="0" applyAlignment="1" applyBorder="1" applyFont="1" applyNumberFormat="1">
      <alignment horizontal="center" vertical="bottom"/>
    </xf>
    <xf borderId="3" fillId="10" fontId="8" numFmtId="1" xfId="0" applyAlignment="1" applyBorder="1" applyFont="1" applyNumberFormat="1">
      <alignment horizontal="center" vertical="bottom"/>
    </xf>
    <xf borderId="3" fillId="0" fontId="8" numFmtId="164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 vertical="bottom"/>
    </xf>
    <xf borderId="6" fillId="10" fontId="20" numFmtId="0" xfId="0" applyAlignment="1" applyBorder="1" applyFont="1">
      <alignment horizontal="center" readingOrder="0"/>
    </xf>
    <xf borderId="6" fillId="10" fontId="8" numFmtId="164" xfId="0" applyAlignment="1" applyBorder="1" applyFont="1" applyNumberFormat="1">
      <alignment horizontal="center" vertical="bottom"/>
    </xf>
    <xf borderId="6" fillId="10" fontId="8" numFmtId="1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right" vertical="bottom"/>
    </xf>
    <xf borderId="3" fillId="0" fontId="8" numFmtId="164" xfId="0" applyAlignment="1" applyBorder="1" applyFont="1" applyNumberFormat="1">
      <alignment horizontal="right" vertical="bottom"/>
    </xf>
    <xf borderId="3" fillId="0" fontId="8" numFmtId="1" xfId="0" applyAlignment="1" applyBorder="1" applyFont="1" applyNumberFormat="1">
      <alignment horizontal="right" vertical="bottom"/>
    </xf>
    <xf borderId="3" fillId="0" fontId="8" numFmtId="165" xfId="0" applyAlignment="1" applyBorder="1" applyFont="1" applyNumberFormat="1">
      <alignment horizontal="right" readingOrder="0" vertical="bottom"/>
    </xf>
    <xf borderId="16" fillId="0" fontId="20" numFmtId="0" xfId="0" applyAlignment="1" applyBorder="1" applyFont="1">
      <alignment horizontal="center" readingOrder="0"/>
    </xf>
    <xf borderId="16" fillId="0" fontId="21" numFmtId="164" xfId="0" applyAlignment="1" applyBorder="1" applyFont="1" applyNumberFormat="1">
      <alignment horizontal="center" vertical="bottom"/>
    </xf>
    <xf borderId="16" fillId="0" fontId="21" numFmtId="1" xfId="0" applyAlignment="1" applyBorder="1" applyFont="1" applyNumberFormat="1">
      <alignment horizontal="center" vertical="bottom"/>
    </xf>
    <xf borderId="0" fillId="0" fontId="8" numFmtId="0" xfId="0" applyFont="1"/>
    <xf borderId="0" fillId="0" fontId="22" numFmtId="164" xfId="0" applyAlignment="1" applyFont="1" applyNumberFormat="1">
      <alignment horizontal="center"/>
    </xf>
    <xf borderId="0" fillId="0" fontId="22" numFmtId="166" xfId="0" applyAlignment="1" applyFont="1" applyNumberForma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0"/>
      <c r="H6" s="21"/>
      <c r="I6" s="21"/>
      <c r="J6" s="21"/>
      <c r="K6" s="7" t="s">
        <v>16</v>
      </c>
      <c r="L6" s="22" t="s">
        <v>17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35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1.666666667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1.666666667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3.333333333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7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7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3.333333333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ORD</v>
      </c>
      <c r="S49" s="80"/>
      <c r="T49" s="81"/>
      <c r="U49" s="81"/>
      <c r="V49" s="81"/>
      <c r="W49" s="81"/>
      <c r="X49" s="81"/>
      <c r="Y49" s="81"/>
      <c r="Z49" s="8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3.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8.698113208</v>
      </c>
      <c r="Q62" s="1"/>
      <c r="R62" s="10"/>
    </row>
    <row r="63" ht="13.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</row>
    <row r="65" ht="12.7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2.7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0.9</v>
      </c>
      <c r="Q66" s="1"/>
    </row>
    <row r="67" ht="12.7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99.1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S$1:$S$93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J12:J61 L12:L61">
    <cfRule type="cellIs" dxfId="0" priority="1" operator="equal">
      <formula>5</formula>
    </cfRule>
  </conditionalFormatting>
  <conditionalFormatting sqref="J64">
    <cfRule type="cellIs" dxfId="0" priority="2" operator="equal">
      <formula>5</formula>
    </cfRule>
  </conditionalFormatting>
  <conditionalFormatting sqref="P12:P61">
    <cfRule type="cellIs" dxfId="0" priority="3" operator="equal">
      <formula>5</formula>
    </cfRule>
  </conditionalFormatting>
  <conditionalFormatting sqref="H12:H62 J12:J662 L12:L61 P12:P61">
    <cfRule type="cellIs" dxfId="0" priority="4" operator="equal">
      <formula>5</formula>
    </cfRule>
  </conditionalFormatting>
  <conditionalFormatting sqref="R12:R61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117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117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117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176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35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1.666666667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1.666666667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3.333333333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7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81"/>
      <c r="T48" s="81"/>
      <c r="U48" s="81"/>
      <c r="V48" s="81"/>
      <c r="W48" s="81"/>
      <c r="X48" s="81"/>
      <c r="Y48" s="81"/>
      <c r="Z48" s="8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3.333333333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ORD</v>
      </c>
      <c r="S49" s="7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2.7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8.698113208</v>
      </c>
      <c r="Q62" s="1"/>
      <c r="R62" s="10"/>
      <c r="S62" s="71"/>
    </row>
    <row r="63" ht="12.7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  <c r="S63" s="71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  <c r="S64" s="71"/>
    </row>
    <row r="65" ht="13.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3.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0.9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99.1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S$1:$S$89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7 J12:J67 L12:L61 P12:P61">
    <cfRule type="cellIs" dxfId="0" priority="3" operator="equal">
      <formula>5</formula>
    </cfRule>
  </conditionalFormatting>
  <conditionalFormatting sqref="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9">
        <v>12.0</v>
      </c>
      <c r="Q2" s="117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9">
        <v>15.0</v>
      </c>
      <c r="Q3" s="117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9">
        <v>5.0</v>
      </c>
      <c r="Q4" s="117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8" t="s">
        <v>177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35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1.666666667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1.666666667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3.333333333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7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81"/>
      <c r="T48" s="81"/>
      <c r="U48" s="81"/>
      <c r="V48" s="81"/>
      <c r="W48" s="81"/>
      <c r="X48" s="81"/>
      <c r="Y48" s="81"/>
      <c r="Z48" s="8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3.333333333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ORD</v>
      </c>
      <c r="S49" s="7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2.7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8.698113208</v>
      </c>
      <c r="Q62" s="1"/>
      <c r="R62" s="10"/>
      <c r="S62" s="71"/>
    </row>
    <row r="63" ht="12.7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  <c r="S63" s="71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  <c r="S64" s="71"/>
    </row>
    <row r="65" ht="13.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3.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0.9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99.1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S$1:$S$91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119">
        <v>15.0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178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116.6666667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5.555555556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5.555555556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11.11111111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7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81"/>
      <c r="T48" s="81"/>
      <c r="U48" s="81"/>
      <c r="V48" s="81"/>
      <c r="W48" s="81"/>
      <c r="X48" s="81"/>
      <c r="Y48" s="81"/>
      <c r="Z48" s="8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11.11111111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ORD</v>
      </c>
      <c r="S49" s="7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2.7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7.788461538</v>
      </c>
      <c r="Q62" s="1"/>
      <c r="R62" s="10"/>
      <c r="S62" s="71"/>
    </row>
    <row r="63" ht="12.7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  <c r="S63" s="71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  <c r="S64" s="71"/>
    </row>
    <row r="65" ht="13.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3.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3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97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S$1:$S$93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9"/>
      <c r="Q2" s="117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9"/>
      <c r="Q3" s="117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9"/>
      <c r="Q4" s="117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119">
        <v>9.0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0" t="s">
        <v>179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175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8.333333333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8.333333333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16.66666667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7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81"/>
      <c r="T48" s="81"/>
      <c r="U48" s="81"/>
      <c r="V48" s="81"/>
      <c r="W48" s="81"/>
      <c r="X48" s="81"/>
      <c r="Y48" s="81"/>
      <c r="Z48" s="8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16.66666667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ORD</v>
      </c>
      <c r="S49" s="7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2.7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7.673076923</v>
      </c>
      <c r="Q62" s="1"/>
      <c r="R62" s="10"/>
      <c r="S62" s="71"/>
    </row>
    <row r="63" ht="12.7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  <c r="S63" s="71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  <c r="S64" s="71"/>
    </row>
    <row r="65" ht="13.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3.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4.5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95.5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S$1:$S$91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9"/>
      <c r="Q2" s="117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21">
        <v>12.0</v>
      </c>
      <c r="Q3" s="117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9"/>
      <c r="Q4" s="117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2" t="s">
        <v>180</v>
      </c>
      <c r="M6" s="123"/>
      <c r="N6" s="124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15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140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6.666666667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6.666666667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13.33333333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7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81"/>
      <c r="T48" s="81"/>
      <c r="U48" s="81"/>
      <c r="V48" s="81"/>
      <c r="W48" s="81"/>
      <c r="X48" s="81"/>
      <c r="Y48" s="81"/>
      <c r="Z48" s="8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13.33333333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ORD</v>
      </c>
      <c r="S49" s="7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2.7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7.730769231</v>
      </c>
      <c r="Q62" s="1"/>
      <c r="R62" s="10"/>
      <c r="S62" s="71"/>
    </row>
    <row r="63" ht="12.7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  <c r="S63" s="71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  <c r="S64" s="71"/>
    </row>
    <row r="65" ht="13.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3.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3.6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96.4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19">
        <v>7.0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181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210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10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10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20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7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81"/>
      <c r="T48" s="81"/>
      <c r="U48" s="81"/>
      <c r="V48" s="81"/>
      <c r="W48" s="81"/>
      <c r="X48" s="81"/>
      <c r="Y48" s="81"/>
      <c r="Z48" s="8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20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ORD</v>
      </c>
      <c r="S49" s="7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2.7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7.634615385</v>
      </c>
      <c r="Q62" s="1"/>
      <c r="R62" s="10"/>
      <c r="S62" s="71"/>
    </row>
    <row r="63" ht="12.7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  <c r="S63" s="71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  <c r="S64" s="71"/>
    </row>
    <row r="65" ht="13.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3.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5.4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94.6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19">
        <v>9.0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182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175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8.333333333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8.333333333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16.66666667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7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81"/>
      <c r="T48" s="81"/>
      <c r="U48" s="81"/>
      <c r="V48" s="81"/>
      <c r="W48" s="81"/>
      <c r="X48" s="81"/>
      <c r="Y48" s="81"/>
      <c r="Z48" s="8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16.66666667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ORD</v>
      </c>
      <c r="S49" s="7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2.7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7.673076923</v>
      </c>
      <c r="Q62" s="1"/>
      <c r="R62" s="10"/>
      <c r="S62" s="71"/>
    </row>
    <row r="63" ht="12.7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  <c r="S63" s="71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  <c r="S64" s="71"/>
    </row>
    <row r="65" ht="13.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3.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4.5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95.5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19">
        <v>8.0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183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11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190.9090909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9.090909091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9.090909091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18.18181818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7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81"/>
      <c r="T48" s="81"/>
      <c r="U48" s="81"/>
      <c r="V48" s="81"/>
      <c r="W48" s="81"/>
      <c r="X48" s="81"/>
      <c r="Y48" s="81"/>
      <c r="Z48" s="8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18.18181818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ORD</v>
      </c>
      <c r="S49" s="7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2.7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7.653846154</v>
      </c>
      <c r="Q62" s="1"/>
      <c r="R62" s="10"/>
      <c r="S62" s="71"/>
    </row>
    <row r="63" ht="12.7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  <c r="S63" s="71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  <c r="S64" s="71"/>
    </row>
    <row r="65" ht="13.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3.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4.909090909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95.09090909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S$1:$S$93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9"/>
      <c r="Q2" s="117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9"/>
      <c r="Q3" s="117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9"/>
      <c r="Q4" s="117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5" t="s">
        <v>184</v>
      </c>
      <c r="N6" s="126"/>
      <c r="O6" s="8" t="s">
        <v>18</v>
      </c>
      <c r="P6" s="119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262.5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12.5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12.5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25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EXTRA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7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81"/>
      <c r="T48" s="81"/>
      <c r="U48" s="81"/>
      <c r="V48" s="81"/>
      <c r="W48" s="81"/>
      <c r="X48" s="81"/>
      <c r="Y48" s="81"/>
      <c r="Z48" s="8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25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EXTRA</v>
      </c>
      <c r="S49" s="7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2.7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7.547169811</v>
      </c>
      <c r="Q62" s="1"/>
      <c r="R62" s="10"/>
      <c r="S62" s="71"/>
    </row>
    <row r="63" ht="12.7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  <c r="S63" s="71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  <c r="S64" s="71"/>
    </row>
    <row r="65" ht="13.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3.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6.75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93.25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S$1:$S$93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7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5" t="s">
        <v>185</v>
      </c>
      <c r="N6" s="126"/>
      <c r="O6" s="8" t="s">
        <v>18</v>
      </c>
      <c r="P6" s="119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262.5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12.5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12.5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25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EXTRA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7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81"/>
      <c r="T48" s="81"/>
      <c r="U48" s="81"/>
      <c r="V48" s="81"/>
      <c r="W48" s="81"/>
      <c r="X48" s="81"/>
      <c r="Y48" s="81"/>
      <c r="Z48" s="8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25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EXTRA</v>
      </c>
      <c r="S49" s="7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2.7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7.547169811</v>
      </c>
      <c r="Q62" s="1"/>
      <c r="R62" s="10"/>
      <c r="S62" s="71"/>
    </row>
    <row r="63" ht="12.7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  <c r="S63" s="71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  <c r="S64" s="71"/>
    </row>
    <row r="65" ht="13.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3.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6.75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93.25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S$1:$S$91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7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7 J12:J67 L12:L67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5" t="s">
        <v>186</v>
      </c>
      <c r="N6" s="126"/>
      <c r="O6" s="8" t="s">
        <v>18</v>
      </c>
      <c r="P6" s="119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262.5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12.5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12.5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25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EXTRA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7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81"/>
      <c r="T48" s="81"/>
      <c r="U48" s="81"/>
      <c r="V48" s="81"/>
      <c r="W48" s="81"/>
      <c r="X48" s="81"/>
      <c r="Y48" s="81"/>
      <c r="Z48" s="8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25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EXTRA</v>
      </c>
      <c r="S49" s="7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2.7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7.547169811</v>
      </c>
      <c r="Q62" s="1"/>
      <c r="R62" s="10"/>
      <c r="S62" s="71"/>
    </row>
    <row r="63" ht="12.7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  <c r="S63" s="71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  <c r="S64" s="71"/>
    </row>
    <row r="65" ht="13.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3.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6.75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93.25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S$1:$S$93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7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7 J12:J67 L12:L67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5" t="s">
        <v>187</v>
      </c>
      <c r="N6" s="126"/>
      <c r="O6" s="8" t="s">
        <v>18</v>
      </c>
      <c r="P6" s="119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A64</f>
        <v>26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B64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1" si="1">G12+I12+K12</f>
        <v>0</v>
      </c>
      <c r="N12" s="59">
        <f t="shared" ref="N12:N61" si="2">(M12*100)/$P$8</f>
        <v>0</v>
      </c>
      <c r="O12" s="60">
        <f t="shared" ref="O12:O61" si="3">H12+J12+L12</f>
        <v>7</v>
      </c>
      <c r="P12" s="61">
        <f t="shared" ref="P12:P61" si="4">IF(AVERAGE(H12,J12,L12)&lt;6,(5),(ROUND(AVERAGE(H12,J12,L12),0)))</f>
        <v>7</v>
      </c>
      <c r="Q12" s="62"/>
      <c r="R12" s="63" t="str">
        <f t="shared" ref="R12:R61" si="5">IF(N12&gt;20,"EXTRA","ORD")</f>
        <v>ORD</v>
      </c>
    </row>
    <row r="13" ht="12.75" customHeight="1">
      <c r="A13" s="64">
        <v>2.0</v>
      </c>
      <c r="B13" s="65"/>
      <c r="C13" s="66" t="s">
        <v>43</v>
      </c>
      <c r="D13" s="67" t="s">
        <v>44</v>
      </c>
      <c r="E13" s="68" t="s">
        <v>45</v>
      </c>
      <c r="F13" s="1"/>
      <c r="G13" s="56">
        <v>0.0</v>
      </c>
      <c r="H13" s="69">
        <v>10.0</v>
      </c>
      <c r="I13" s="70"/>
      <c r="J13" s="69"/>
      <c r="K13" s="70"/>
      <c r="L13" s="69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1"/>
    </row>
    <row r="14" ht="12.75" customHeight="1">
      <c r="A14" s="64">
        <v>3.0</v>
      </c>
      <c r="B14" s="65"/>
      <c r="C14" s="66" t="s">
        <v>46</v>
      </c>
      <c r="D14" s="67" t="s">
        <v>47</v>
      </c>
      <c r="E14" s="68" t="s">
        <v>48</v>
      </c>
      <c r="F14" s="1"/>
      <c r="G14" s="56">
        <v>0.0</v>
      </c>
      <c r="H14" s="69">
        <v>10.0</v>
      </c>
      <c r="I14" s="70"/>
      <c r="J14" s="69"/>
      <c r="K14" s="70"/>
      <c r="L14" s="69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1"/>
    </row>
    <row r="15" ht="12.75" customHeight="1">
      <c r="A15" s="64">
        <v>4.0</v>
      </c>
      <c r="B15" s="65"/>
      <c r="C15" s="66" t="s">
        <v>49</v>
      </c>
      <c r="D15" s="67" t="s">
        <v>50</v>
      </c>
      <c r="E15" s="68" t="s">
        <v>51</v>
      </c>
      <c r="F15" s="1"/>
      <c r="G15" s="56">
        <v>0.0</v>
      </c>
      <c r="H15" s="69">
        <v>6.0</v>
      </c>
      <c r="I15" s="70"/>
      <c r="J15" s="69"/>
      <c r="K15" s="70"/>
      <c r="L15" s="69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1"/>
    </row>
    <row r="16" ht="12.75" customHeight="1">
      <c r="A16" s="64">
        <v>5.0</v>
      </c>
      <c r="B16" s="65"/>
      <c r="C16" s="66" t="s">
        <v>52</v>
      </c>
      <c r="D16" s="67" t="s">
        <v>53</v>
      </c>
      <c r="E16" s="68" t="s">
        <v>54</v>
      </c>
      <c r="F16" s="1"/>
      <c r="G16" s="56">
        <v>0.0</v>
      </c>
      <c r="H16" s="69">
        <v>8.0</v>
      </c>
      <c r="I16" s="70"/>
      <c r="J16" s="69"/>
      <c r="K16" s="70"/>
      <c r="L16" s="69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1"/>
    </row>
    <row r="17" ht="12.75" customHeight="1">
      <c r="A17" s="51"/>
      <c r="B17" s="72">
        <v>6.0</v>
      </c>
      <c r="C17" s="66" t="s">
        <v>55</v>
      </c>
      <c r="D17" s="67" t="s">
        <v>56</v>
      </c>
      <c r="E17" s="68" t="s">
        <v>57</v>
      </c>
      <c r="F17" s="1"/>
      <c r="G17" s="73">
        <v>21.0</v>
      </c>
      <c r="H17" s="69">
        <v>8.0</v>
      </c>
      <c r="I17" s="70"/>
      <c r="J17" s="69"/>
      <c r="K17" s="70"/>
      <c r="L17" s="69"/>
      <c r="M17" s="58">
        <f t="shared" si="1"/>
        <v>21</v>
      </c>
      <c r="N17" s="59">
        <f t="shared" si="2"/>
        <v>262.5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1"/>
    </row>
    <row r="18" ht="12.75" customHeight="1">
      <c r="A18" s="51"/>
      <c r="B18" s="72">
        <v>7.0</v>
      </c>
      <c r="C18" s="66" t="s">
        <v>58</v>
      </c>
      <c r="D18" s="67" t="s">
        <v>59</v>
      </c>
      <c r="E18" s="68" t="s">
        <v>60</v>
      </c>
      <c r="F18" s="1"/>
      <c r="G18" s="56">
        <v>0.0</v>
      </c>
      <c r="H18" s="69">
        <v>8.0</v>
      </c>
      <c r="I18" s="70"/>
      <c r="J18" s="74"/>
      <c r="K18" s="70"/>
      <c r="L18" s="69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1"/>
    </row>
    <row r="19" ht="12.75" customHeight="1">
      <c r="A19" s="51"/>
      <c r="B19" s="72">
        <v>8.0</v>
      </c>
      <c r="C19" s="66" t="s">
        <v>61</v>
      </c>
      <c r="D19" s="67" t="s">
        <v>62</v>
      </c>
      <c r="E19" s="68" t="s">
        <v>63</v>
      </c>
      <c r="F19" s="1"/>
      <c r="G19" s="56">
        <v>0.0</v>
      </c>
      <c r="H19" s="69">
        <v>10.0</v>
      </c>
      <c r="I19" s="70"/>
      <c r="J19" s="69"/>
      <c r="K19" s="70"/>
      <c r="L19" s="69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1"/>
    </row>
    <row r="20" ht="12.75" customHeight="1">
      <c r="A20" s="64">
        <v>9.0</v>
      </c>
      <c r="B20" s="65"/>
      <c r="C20" s="66" t="s">
        <v>64</v>
      </c>
      <c r="D20" s="67" t="s">
        <v>50</v>
      </c>
      <c r="E20" s="68" t="s">
        <v>65</v>
      </c>
      <c r="F20" s="1"/>
      <c r="G20" s="56">
        <v>0.0</v>
      </c>
      <c r="H20" s="69">
        <v>5.0</v>
      </c>
      <c r="I20" s="70"/>
      <c r="J20" s="69"/>
      <c r="K20" s="70"/>
      <c r="L20" s="69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1"/>
    </row>
    <row r="21" ht="12.75" customHeight="1">
      <c r="A21" s="64">
        <v>10.0</v>
      </c>
      <c r="B21" s="65"/>
      <c r="C21" s="66" t="s">
        <v>66</v>
      </c>
      <c r="D21" s="67" t="s">
        <v>67</v>
      </c>
      <c r="E21" s="68" t="s">
        <v>68</v>
      </c>
      <c r="F21" s="1"/>
      <c r="G21" s="56">
        <v>0.0</v>
      </c>
      <c r="H21" s="69">
        <v>10.0</v>
      </c>
      <c r="I21" s="70"/>
      <c r="J21" s="69"/>
      <c r="K21" s="70"/>
      <c r="L21" s="69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1"/>
    </row>
    <row r="22" ht="12.75" customHeight="1">
      <c r="A22" s="64">
        <v>11.0</v>
      </c>
      <c r="B22" s="65"/>
      <c r="C22" s="66" t="s">
        <v>69</v>
      </c>
      <c r="D22" s="67" t="s">
        <v>70</v>
      </c>
      <c r="E22" s="68" t="s">
        <v>71</v>
      </c>
      <c r="F22" s="1"/>
      <c r="G22" s="56">
        <v>0.0</v>
      </c>
      <c r="H22" s="69">
        <v>8.0</v>
      </c>
      <c r="I22" s="70"/>
      <c r="J22" s="69"/>
      <c r="K22" s="70"/>
      <c r="L22" s="69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1"/>
    </row>
    <row r="23" ht="12.75" customHeight="1">
      <c r="A23" s="64">
        <v>12.0</v>
      </c>
      <c r="B23" s="65"/>
      <c r="C23" s="66" t="s">
        <v>72</v>
      </c>
      <c r="D23" s="67" t="s">
        <v>73</v>
      </c>
      <c r="E23" s="68" t="s">
        <v>74</v>
      </c>
      <c r="F23" s="1"/>
      <c r="G23" s="56">
        <v>0.0</v>
      </c>
      <c r="H23" s="69">
        <v>6.0</v>
      </c>
      <c r="I23" s="70"/>
      <c r="J23" s="69"/>
      <c r="K23" s="70"/>
      <c r="L23" s="69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1"/>
    </row>
    <row r="24" ht="12.75" customHeight="1">
      <c r="A24" s="64">
        <v>13.0</v>
      </c>
      <c r="B24" s="65"/>
      <c r="C24" s="66" t="s">
        <v>75</v>
      </c>
      <c r="D24" s="67" t="s">
        <v>76</v>
      </c>
      <c r="E24" s="68" t="s">
        <v>77</v>
      </c>
      <c r="F24" s="1"/>
      <c r="G24" s="56">
        <v>0.0</v>
      </c>
      <c r="H24" s="69">
        <v>5.0</v>
      </c>
      <c r="I24" s="70"/>
      <c r="J24" s="69"/>
      <c r="K24" s="70"/>
      <c r="L24" s="69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1"/>
    </row>
    <row r="25" ht="12.75" customHeight="1">
      <c r="A25" s="51"/>
      <c r="B25" s="72">
        <v>14.0</v>
      </c>
      <c r="C25" s="66" t="s">
        <v>78</v>
      </c>
      <c r="D25" s="67" t="s">
        <v>46</v>
      </c>
      <c r="E25" s="68" t="s">
        <v>79</v>
      </c>
      <c r="F25" s="1"/>
      <c r="G25" s="56">
        <v>0.0</v>
      </c>
      <c r="H25" s="69">
        <v>10.0</v>
      </c>
      <c r="I25" s="70"/>
      <c r="J25" s="69"/>
      <c r="K25" s="70"/>
      <c r="L25" s="69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1"/>
    </row>
    <row r="26" ht="12.75" customHeight="1">
      <c r="A26" s="64">
        <v>15.0</v>
      </c>
      <c r="B26" s="65"/>
      <c r="C26" s="66" t="s">
        <v>80</v>
      </c>
      <c r="D26" s="67" t="s">
        <v>81</v>
      </c>
      <c r="E26" s="68" t="s">
        <v>82</v>
      </c>
      <c r="F26" s="1"/>
      <c r="G26" s="56">
        <v>0.0</v>
      </c>
      <c r="H26" s="69">
        <v>10.0</v>
      </c>
      <c r="I26" s="70"/>
      <c r="J26" s="69"/>
      <c r="K26" s="70"/>
      <c r="L26" s="69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1"/>
    </row>
    <row r="27" ht="12.75" customHeight="1">
      <c r="A27" s="51"/>
      <c r="B27" s="72">
        <v>16.0</v>
      </c>
      <c r="C27" s="66" t="s">
        <v>83</v>
      </c>
      <c r="D27" s="67" t="s">
        <v>84</v>
      </c>
      <c r="E27" s="68" t="s">
        <v>85</v>
      </c>
      <c r="F27" s="1"/>
      <c r="G27" s="56">
        <v>0.0</v>
      </c>
      <c r="H27" s="69">
        <v>5.0</v>
      </c>
      <c r="I27" s="70"/>
      <c r="J27" s="69"/>
      <c r="K27" s="70"/>
      <c r="L27" s="69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1"/>
    </row>
    <row r="28" ht="12.75" customHeight="1">
      <c r="A28" s="64">
        <v>17.0</v>
      </c>
      <c r="B28" s="65"/>
      <c r="C28" s="66" t="s">
        <v>50</v>
      </c>
      <c r="D28" s="67" t="s">
        <v>86</v>
      </c>
      <c r="E28" s="68" t="s">
        <v>87</v>
      </c>
      <c r="F28" s="1"/>
      <c r="G28" s="56">
        <v>0.0</v>
      </c>
      <c r="H28" s="69">
        <v>7.0</v>
      </c>
      <c r="I28" s="70"/>
      <c r="J28" s="69"/>
      <c r="K28" s="70"/>
      <c r="L28" s="69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1"/>
    </row>
    <row r="29" ht="12.75" customHeight="1">
      <c r="A29" s="64">
        <v>18.0</v>
      </c>
      <c r="B29" s="65"/>
      <c r="C29" s="66" t="s">
        <v>88</v>
      </c>
      <c r="D29" s="67" t="s">
        <v>89</v>
      </c>
      <c r="E29" s="68" t="s">
        <v>90</v>
      </c>
      <c r="F29" s="1"/>
      <c r="G29" s="56">
        <v>1.0</v>
      </c>
      <c r="H29" s="69">
        <v>6.0</v>
      </c>
      <c r="I29" s="70"/>
      <c r="J29" s="69"/>
      <c r="K29" s="70"/>
      <c r="L29" s="69"/>
      <c r="M29" s="58">
        <f t="shared" si="1"/>
        <v>1</v>
      </c>
      <c r="N29" s="59">
        <f t="shared" si="2"/>
        <v>12.5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1"/>
    </row>
    <row r="30" ht="12.75" customHeight="1">
      <c r="A30" s="75"/>
      <c r="B30" s="72">
        <v>19.0</v>
      </c>
      <c r="C30" s="66" t="s">
        <v>88</v>
      </c>
      <c r="D30" s="67" t="s">
        <v>91</v>
      </c>
      <c r="E30" s="68" t="s">
        <v>92</v>
      </c>
      <c r="F30" s="1"/>
      <c r="G30" s="56">
        <v>0.0</v>
      </c>
      <c r="H30" s="69">
        <v>10.0</v>
      </c>
      <c r="I30" s="70"/>
      <c r="J30" s="69"/>
      <c r="K30" s="70"/>
      <c r="L30" s="69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1"/>
    </row>
    <row r="31" ht="12.75" customHeight="1">
      <c r="A31" s="64">
        <v>20.0</v>
      </c>
      <c r="B31" s="65"/>
      <c r="C31" s="66" t="s">
        <v>62</v>
      </c>
      <c r="D31" s="67" t="s">
        <v>93</v>
      </c>
      <c r="E31" s="68" t="s">
        <v>94</v>
      </c>
      <c r="F31" s="1"/>
      <c r="G31" s="56">
        <v>0.0</v>
      </c>
      <c r="H31" s="69">
        <v>9.0</v>
      </c>
      <c r="I31" s="70"/>
      <c r="J31" s="69"/>
      <c r="K31" s="70"/>
      <c r="L31" s="69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1"/>
    </row>
    <row r="32" ht="12.75" customHeight="1">
      <c r="A32" s="64">
        <v>21.0</v>
      </c>
      <c r="B32" s="76"/>
      <c r="C32" s="66" t="s">
        <v>95</v>
      </c>
      <c r="D32" s="67" t="s">
        <v>96</v>
      </c>
      <c r="E32" s="68" t="s">
        <v>97</v>
      </c>
      <c r="F32" s="1"/>
      <c r="G32" s="56">
        <v>0.0</v>
      </c>
      <c r="H32" s="69">
        <v>6.0</v>
      </c>
      <c r="I32" s="70"/>
      <c r="J32" s="69"/>
      <c r="K32" s="70"/>
      <c r="L32" s="69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1"/>
    </row>
    <row r="33" ht="12.75" customHeight="1">
      <c r="A33" s="51"/>
      <c r="B33" s="72">
        <v>22.0</v>
      </c>
      <c r="C33" s="66" t="s">
        <v>96</v>
      </c>
      <c r="D33" s="67" t="s">
        <v>98</v>
      </c>
      <c r="E33" s="68" t="s">
        <v>99</v>
      </c>
      <c r="F33" s="1"/>
      <c r="G33" s="56">
        <v>1.0</v>
      </c>
      <c r="H33" s="69">
        <v>5.0</v>
      </c>
      <c r="I33" s="70"/>
      <c r="J33" s="74"/>
      <c r="K33" s="70"/>
      <c r="L33" s="69"/>
      <c r="M33" s="58">
        <f t="shared" si="1"/>
        <v>1</v>
      </c>
      <c r="N33" s="59">
        <f t="shared" si="2"/>
        <v>12.5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1"/>
    </row>
    <row r="34" ht="12.75" customHeight="1">
      <c r="A34" s="64">
        <v>23.0</v>
      </c>
      <c r="B34" s="65"/>
      <c r="C34" s="66" t="s">
        <v>96</v>
      </c>
      <c r="D34" s="67" t="s">
        <v>50</v>
      </c>
      <c r="E34" s="68" t="s">
        <v>100</v>
      </c>
      <c r="F34" s="1"/>
      <c r="G34" s="56">
        <v>2.0</v>
      </c>
      <c r="H34" s="69">
        <v>7.0</v>
      </c>
      <c r="I34" s="70"/>
      <c r="J34" s="69"/>
      <c r="K34" s="70"/>
      <c r="L34" s="69"/>
      <c r="M34" s="58">
        <f t="shared" si="1"/>
        <v>2</v>
      </c>
      <c r="N34" s="59">
        <f t="shared" si="2"/>
        <v>25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EXTRA</v>
      </c>
      <c r="S34" s="71"/>
    </row>
    <row r="35" ht="12.75" customHeight="1">
      <c r="A35" s="51"/>
      <c r="B35" s="72">
        <v>24.0</v>
      </c>
      <c r="C35" s="66" t="s">
        <v>101</v>
      </c>
      <c r="D35" s="67" t="s">
        <v>102</v>
      </c>
      <c r="E35" s="68" t="s">
        <v>103</v>
      </c>
      <c r="F35" s="1"/>
      <c r="G35" s="56">
        <v>0.0</v>
      </c>
      <c r="H35" s="77">
        <v>7.0</v>
      </c>
      <c r="I35" s="70"/>
      <c r="J35" s="69"/>
      <c r="K35" s="70"/>
      <c r="L35" s="69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1"/>
    </row>
    <row r="36" ht="12.75" customHeight="1">
      <c r="A36" s="64">
        <v>25.0</v>
      </c>
      <c r="B36" s="65"/>
      <c r="C36" s="66" t="s">
        <v>59</v>
      </c>
      <c r="D36" s="67" t="s">
        <v>95</v>
      </c>
      <c r="E36" s="68" t="s">
        <v>104</v>
      </c>
      <c r="F36" s="1"/>
      <c r="G36" s="56">
        <v>0.0</v>
      </c>
      <c r="H36" s="69">
        <v>7.0</v>
      </c>
      <c r="I36" s="70"/>
      <c r="J36" s="69"/>
      <c r="K36" s="70"/>
      <c r="L36" s="69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1"/>
    </row>
    <row r="37" ht="12.75" customHeight="1">
      <c r="A37" s="51"/>
      <c r="B37" s="72">
        <v>26.0</v>
      </c>
      <c r="C37" s="66" t="s">
        <v>105</v>
      </c>
      <c r="D37" s="67" t="s">
        <v>62</v>
      </c>
      <c r="E37" s="68" t="s">
        <v>106</v>
      </c>
      <c r="F37" s="1"/>
      <c r="G37" s="56">
        <v>0.0</v>
      </c>
      <c r="H37" s="69">
        <v>7.0</v>
      </c>
      <c r="I37" s="70"/>
      <c r="J37" s="69"/>
      <c r="K37" s="70"/>
      <c r="L37" s="69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1"/>
    </row>
    <row r="38" ht="12.75" customHeight="1">
      <c r="A38" s="51"/>
      <c r="B38" s="72">
        <v>27.0</v>
      </c>
      <c r="C38" s="66" t="s">
        <v>107</v>
      </c>
      <c r="D38" s="67" t="s">
        <v>108</v>
      </c>
      <c r="E38" s="68" t="s">
        <v>109</v>
      </c>
      <c r="F38" s="1"/>
      <c r="G38" s="56">
        <v>0.0</v>
      </c>
      <c r="H38" s="69">
        <v>8.0</v>
      </c>
      <c r="I38" s="70"/>
      <c r="J38" s="69"/>
      <c r="K38" s="70"/>
      <c r="L38" s="69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1"/>
    </row>
    <row r="39" ht="12.75" customHeight="1">
      <c r="A39" s="51"/>
      <c r="B39" s="72">
        <v>28.0</v>
      </c>
      <c r="C39" s="66" t="s">
        <v>110</v>
      </c>
      <c r="D39" s="67" t="s">
        <v>111</v>
      </c>
      <c r="E39" s="68" t="s">
        <v>112</v>
      </c>
      <c r="F39" s="1"/>
      <c r="G39" s="56">
        <v>0.0</v>
      </c>
      <c r="H39" s="69">
        <v>8.0</v>
      </c>
      <c r="I39" s="70"/>
      <c r="J39" s="69"/>
      <c r="K39" s="70"/>
      <c r="L39" s="69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1"/>
    </row>
    <row r="40" ht="12.75" customHeight="1">
      <c r="A40" s="51"/>
      <c r="B40" s="72">
        <v>29.0</v>
      </c>
      <c r="C40" s="66" t="s">
        <v>113</v>
      </c>
      <c r="D40" s="67" t="s">
        <v>114</v>
      </c>
      <c r="E40" s="68" t="s">
        <v>115</v>
      </c>
      <c r="F40" s="1"/>
      <c r="G40" s="56">
        <v>0.0</v>
      </c>
      <c r="H40" s="69">
        <v>8.0</v>
      </c>
      <c r="I40" s="70"/>
      <c r="J40" s="69"/>
      <c r="K40" s="70"/>
      <c r="L40" s="69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1"/>
    </row>
    <row r="41" ht="12.75" customHeight="1">
      <c r="A41" s="51"/>
      <c r="B41" s="72">
        <v>30.0</v>
      </c>
      <c r="C41" s="66" t="s">
        <v>116</v>
      </c>
      <c r="D41" s="67" t="s">
        <v>70</v>
      </c>
      <c r="E41" s="68" t="s">
        <v>117</v>
      </c>
      <c r="F41" s="1"/>
      <c r="G41" s="56">
        <v>0.0</v>
      </c>
      <c r="H41" s="69">
        <v>8.0</v>
      </c>
      <c r="I41" s="70"/>
      <c r="J41" s="69"/>
      <c r="K41" s="70"/>
      <c r="L41" s="69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1"/>
    </row>
    <row r="42" ht="12.75" customHeight="1">
      <c r="A42" s="64">
        <v>31.0</v>
      </c>
      <c r="B42" s="65"/>
      <c r="C42" s="66" t="s">
        <v>118</v>
      </c>
      <c r="D42" s="67" t="s">
        <v>88</v>
      </c>
      <c r="E42" s="68" t="s">
        <v>119</v>
      </c>
      <c r="F42" s="1"/>
      <c r="G42" s="56">
        <v>0.0</v>
      </c>
      <c r="H42" s="69">
        <v>8.0</v>
      </c>
      <c r="I42" s="70"/>
      <c r="J42" s="69"/>
      <c r="K42" s="70"/>
      <c r="L42" s="69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1"/>
    </row>
    <row r="43" ht="12.75" customHeight="1">
      <c r="A43" s="64">
        <v>32.0</v>
      </c>
      <c r="B43" s="65"/>
      <c r="C43" s="66" t="s">
        <v>108</v>
      </c>
      <c r="D43" s="67" t="s">
        <v>120</v>
      </c>
      <c r="E43" s="68" t="s">
        <v>121</v>
      </c>
      <c r="F43" s="1"/>
      <c r="G43" s="56">
        <v>0.0</v>
      </c>
      <c r="H43" s="69">
        <v>8.0</v>
      </c>
      <c r="I43" s="70"/>
      <c r="J43" s="69"/>
      <c r="K43" s="70"/>
      <c r="L43" s="69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1"/>
    </row>
    <row r="44" ht="12.75" customHeight="1">
      <c r="A44" s="64">
        <v>33.0</v>
      </c>
      <c r="B44" s="65"/>
      <c r="C44" s="66" t="s">
        <v>122</v>
      </c>
      <c r="D44" s="67" t="s">
        <v>123</v>
      </c>
      <c r="E44" s="68" t="s">
        <v>124</v>
      </c>
      <c r="F44" s="1"/>
      <c r="G44" s="56">
        <v>0.0</v>
      </c>
      <c r="H44" s="69">
        <v>8.0</v>
      </c>
      <c r="I44" s="70"/>
      <c r="J44" s="69"/>
      <c r="K44" s="70"/>
      <c r="L44" s="69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81"/>
      <c r="T44" s="81"/>
      <c r="U44" s="81"/>
      <c r="V44" s="81"/>
      <c r="W44" s="81"/>
      <c r="X44" s="81"/>
      <c r="Y44" s="81"/>
      <c r="Z44" s="81"/>
    </row>
    <row r="45" ht="12.75" customHeight="1">
      <c r="A45" s="51"/>
      <c r="B45" s="72">
        <v>34.0</v>
      </c>
      <c r="C45" s="66" t="s">
        <v>125</v>
      </c>
      <c r="D45" s="67" t="s">
        <v>126</v>
      </c>
      <c r="E45" s="68" t="s">
        <v>127</v>
      </c>
      <c r="F45" s="1"/>
      <c r="G45" s="56">
        <v>0.0</v>
      </c>
      <c r="H45" s="69">
        <v>8.0</v>
      </c>
      <c r="I45" s="70"/>
      <c r="J45" s="69"/>
      <c r="K45" s="70"/>
      <c r="L45" s="69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1"/>
    </row>
    <row r="46" ht="12.75" customHeight="1">
      <c r="A46" s="64">
        <v>35.0</v>
      </c>
      <c r="B46" s="65"/>
      <c r="C46" s="66" t="s">
        <v>81</v>
      </c>
      <c r="D46" s="67" t="s">
        <v>128</v>
      </c>
      <c r="E46" s="68" t="s">
        <v>129</v>
      </c>
      <c r="F46" s="1"/>
      <c r="G46" s="56">
        <v>0.0</v>
      </c>
      <c r="H46" s="69">
        <v>8.0</v>
      </c>
      <c r="I46" s="70"/>
      <c r="J46" s="69"/>
      <c r="K46" s="70"/>
      <c r="L46" s="69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1"/>
    </row>
    <row r="47" ht="12.75" customHeight="1">
      <c r="A47" s="51"/>
      <c r="B47" s="72">
        <v>36.0</v>
      </c>
      <c r="C47" s="66" t="s">
        <v>130</v>
      </c>
      <c r="D47" s="67" t="s">
        <v>131</v>
      </c>
      <c r="E47" s="68" t="s">
        <v>132</v>
      </c>
      <c r="F47" s="1"/>
      <c r="G47" s="56">
        <v>0.0</v>
      </c>
      <c r="H47" s="69">
        <v>6.0</v>
      </c>
      <c r="I47" s="70"/>
      <c r="J47" s="74"/>
      <c r="K47" s="70"/>
      <c r="L47" s="69"/>
      <c r="M47" s="58">
        <f t="shared" si="1"/>
        <v>0</v>
      </c>
      <c r="N47" s="59">
        <f t="shared" si="2"/>
        <v>0</v>
      </c>
      <c r="O47" s="60">
        <f t="shared" si="3"/>
        <v>6</v>
      </c>
      <c r="P47" s="61">
        <f t="shared" si="4"/>
        <v>6</v>
      </c>
      <c r="Q47" s="62"/>
      <c r="R47" s="63" t="str">
        <f t="shared" si="5"/>
        <v>ORD</v>
      </c>
      <c r="S47" s="71"/>
    </row>
    <row r="48" ht="12.75" customHeight="1">
      <c r="A48" s="51"/>
      <c r="B48" s="72">
        <v>37.0</v>
      </c>
      <c r="C48" s="66" t="s">
        <v>130</v>
      </c>
      <c r="D48" s="67" t="s">
        <v>133</v>
      </c>
      <c r="E48" s="68" t="s">
        <v>134</v>
      </c>
      <c r="F48" s="1"/>
      <c r="G48" s="56">
        <v>0.0</v>
      </c>
      <c r="H48" s="69">
        <v>8.0</v>
      </c>
      <c r="I48" s="70"/>
      <c r="J48" s="69"/>
      <c r="K48" s="70"/>
      <c r="L48" s="69"/>
      <c r="M48" s="58">
        <f t="shared" si="1"/>
        <v>0</v>
      </c>
      <c r="N48" s="59">
        <f t="shared" si="2"/>
        <v>0</v>
      </c>
      <c r="O48" s="60">
        <f t="shared" si="3"/>
        <v>8</v>
      </c>
      <c r="P48" s="61">
        <f t="shared" si="4"/>
        <v>8</v>
      </c>
      <c r="Q48" s="62"/>
      <c r="R48" s="63" t="str">
        <f t="shared" si="5"/>
        <v>ORD</v>
      </c>
      <c r="S48" s="71"/>
    </row>
    <row r="49" ht="12.75" customHeight="1">
      <c r="A49" s="51"/>
      <c r="B49" s="72">
        <v>38.0</v>
      </c>
      <c r="C49" s="66" t="s">
        <v>130</v>
      </c>
      <c r="D49" s="67" t="s">
        <v>95</v>
      </c>
      <c r="E49" s="68" t="s">
        <v>135</v>
      </c>
      <c r="F49" s="78"/>
      <c r="G49" s="56">
        <v>2.0</v>
      </c>
      <c r="H49" s="77">
        <v>5.0</v>
      </c>
      <c r="I49" s="79"/>
      <c r="J49" s="77"/>
      <c r="K49" s="79"/>
      <c r="L49" s="77"/>
      <c r="M49" s="58">
        <f t="shared" si="1"/>
        <v>2</v>
      </c>
      <c r="N49" s="59">
        <f t="shared" si="2"/>
        <v>25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EXTRA</v>
      </c>
      <c r="S49" s="71"/>
    </row>
    <row r="50" ht="12.75" customHeight="1">
      <c r="A50" s="64">
        <v>39.0</v>
      </c>
      <c r="B50" s="65"/>
      <c r="C50" s="66" t="s">
        <v>136</v>
      </c>
      <c r="D50" s="67" t="s">
        <v>137</v>
      </c>
      <c r="E50" s="68" t="s">
        <v>138</v>
      </c>
      <c r="F50" s="1"/>
      <c r="G50" s="56">
        <v>0.0</v>
      </c>
      <c r="H50" s="69">
        <v>9.0</v>
      </c>
      <c r="I50" s="70"/>
      <c r="J50" s="69"/>
      <c r="K50" s="70"/>
      <c r="L50" s="69"/>
      <c r="M50" s="58">
        <f t="shared" si="1"/>
        <v>0</v>
      </c>
      <c r="N50" s="59">
        <f t="shared" si="2"/>
        <v>0</v>
      </c>
      <c r="O50" s="60">
        <f t="shared" si="3"/>
        <v>9</v>
      </c>
      <c r="P50" s="61">
        <f t="shared" si="4"/>
        <v>9</v>
      </c>
      <c r="Q50" s="62"/>
      <c r="R50" s="63" t="str">
        <f t="shared" si="5"/>
        <v>ORD</v>
      </c>
      <c r="S50" s="71"/>
    </row>
    <row r="51" ht="12.75" customHeight="1">
      <c r="A51" s="51"/>
      <c r="B51" s="72">
        <v>40.0</v>
      </c>
      <c r="C51" s="66" t="s">
        <v>139</v>
      </c>
      <c r="D51" s="67" t="s">
        <v>140</v>
      </c>
      <c r="E51" s="68" t="s">
        <v>141</v>
      </c>
      <c r="F51" s="1"/>
      <c r="G51" s="56">
        <v>0.0</v>
      </c>
      <c r="H51" s="69">
        <v>8.0</v>
      </c>
      <c r="I51" s="70"/>
      <c r="J51" s="69"/>
      <c r="K51" s="70"/>
      <c r="L51" s="69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1"/>
    </row>
    <row r="52" ht="12.75" customHeight="1">
      <c r="A52" s="64">
        <v>41.0</v>
      </c>
      <c r="B52" s="65"/>
      <c r="C52" s="66" t="s">
        <v>142</v>
      </c>
      <c r="D52" s="67" t="s">
        <v>143</v>
      </c>
      <c r="E52" s="68" t="s">
        <v>144</v>
      </c>
      <c r="F52" s="1"/>
      <c r="G52" s="56">
        <v>0.0</v>
      </c>
      <c r="H52" s="69">
        <v>7.0</v>
      </c>
      <c r="I52" s="70"/>
      <c r="J52" s="69"/>
      <c r="K52" s="70"/>
      <c r="L52" s="69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71"/>
    </row>
    <row r="53" ht="12.75" customHeight="1">
      <c r="A53" s="64">
        <v>42.0</v>
      </c>
      <c r="B53" s="65"/>
      <c r="C53" s="66" t="s">
        <v>70</v>
      </c>
      <c r="D53" s="67" t="s">
        <v>145</v>
      </c>
      <c r="E53" s="68" t="s">
        <v>146</v>
      </c>
      <c r="F53" s="1"/>
      <c r="G53" s="56">
        <v>0.0</v>
      </c>
      <c r="H53" s="69">
        <v>10.0</v>
      </c>
      <c r="I53" s="70"/>
      <c r="J53" s="69"/>
      <c r="K53" s="70"/>
      <c r="L53" s="69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1"/>
    </row>
    <row r="54" ht="12.75" customHeight="1">
      <c r="A54" s="51"/>
      <c r="B54" s="72">
        <v>43.0</v>
      </c>
      <c r="C54" s="66" t="s">
        <v>70</v>
      </c>
      <c r="D54" s="67" t="s">
        <v>147</v>
      </c>
      <c r="E54" s="68" t="s">
        <v>148</v>
      </c>
      <c r="F54" s="1"/>
      <c r="G54" s="56">
        <v>0.0</v>
      </c>
      <c r="H54" s="69">
        <v>7.0</v>
      </c>
      <c r="I54" s="70"/>
      <c r="J54" s="69"/>
      <c r="K54" s="70"/>
      <c r="L54" s="69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1"/>
    </row>
    <row r="55" ht="12.75" customHeight="1">
      <c r="A55" s="51"/>
      <c r="B55" s="72">
        <v>44.0</v>
      </c>
      <c r="C55" s="66" t="s">
        <v>149</v>
      </c>
      <c r="D55" s="67" t="s">
        <v>150</v>
      </c>
      <c r="E55" s="68" t="s">
        <v>151</v>
      </c>
      <c r="F55" s="1"/>
      <c r="G55" s="56">
        <v>0.0</v>
      </c>
      <c r="H55" s="69">
        <v>7.0</v>
      </c>
      <c r="I55" s="70"/>
      <c r="J55" s="69"/>
      <c r="K55" s="70"/>
      <c r="L55" s="69"/>
      <c r="M55" s="58">
        <f t="shared" si="1"/>
        <v>0</v>
      </c>
      <c r="N55" s="59">
        <f t="shared" si="2"/>
        <v>0</v>
      </c>
      <c r="O55" s="60">
        <f t="shared" si="3"/>
        <v>7</v>
      </c>
      <c r="P55" s="61">
        <f t="shared" si="4"/>
        <v>7</v>
      </c>
      <c r="Q55" s="62"/>
      <c r="R55" s="63" t="str">
        <f t="shared" si="5"/>
        <v>ORD</v>
      </c>
      <c r="S55" s="71"/>
    </row>
    <row r="56" ht="12.75" customHeight="1">
      <c r="A56" s="51"/>
      <c r="B56" s="72">
        <v>45.0</v>
      </c>
      <c r="C56" s="66" t="s">
        <v>149</v>
      </c>
      <c r="D56" s="67" t="s">
        <v>152</v>
      </c>
      <c r="E56" s="68" t="s">
        <v>153</v>
      </c>
      <c r="F56" s="1"/>
      <c r="G56" s="56">
        <v>0.0</v>
      </c>
      <c r="H56" s="69">
        <v>8.0</v>
      </c>
      <c r="I56" s="70"/>
      <c r="J56" s="69"/>
      <c r="K56" s="70"/>
      <c r="L56" s="69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1"/>
    </row>
    <row r="57" ht="12.75" customHeight="1">
      <c r="A57" s="51"/>
      <c r="B57" s="72">
        <v>46.0</v>
      </c>
      <c r="C57" s="66" t="s">
        <v>154</v>
      </c>
      <c r="D57" s="67" t="s">
        <v>155</v>
      </c>
      <c r="E57" s="68" t="s">
        <v>156</v>
      </c>
      <c r="F57" s="1"/>
      <c r="G57" s="56">
        <v>0.0</v>
      </c>
      <c r="H57" s="69">
        <v>10.0</v>
      </c>
      <c r="I57" s="70"/>
      <c r="J57" s="69"/>
      <c r="K57" s="70"/>
      <c r="L57" s="69"/>
      <c r="M57" s="58">
        <f t="shared" si="1"/>
        <v>0</v>
      </c>
      <c r="N57" s="59">
        <f t="shared" si="2"/>
        <v>0</v>
      </c>
      <c r="O57" s="60">
        <f t="shared" si="3"/>
        <v>10</v>
      </c>
      <c r="P57" s="61">
        <f t="shared" si="4"/>
        <v>10</v>
      </c>
      <c r="Q57" s="62"/>
      <c r="R57" s="63" t="str">
        <f t="shared" si="5"/>
        <v>ORD</v>
      </c>
      <c r="S57" s="71"/>
    </row>
    <row r="58" ht="12.75" customHeight="1">
      <c r="A58" s="51"/>
      <c r="B58" s="72">
        <v>47.0</v>
      </c>
      <c r="C58" s="66" t="s">
        <v>157</v>
      </c>
      <c r="D58" s="67" t="s">
        <v>158</v>
      </c>
      <c r="E58" s="68" t="s">
        <v>159</v>
      </c>
      <c r="F58" s="1"/>
      <c r="G58" s="56">
        <v>0.0</v>
      </c>
      <c r="H58" s="69">
        <v>10.0</v>
      </c>
      <c r="I58" s="70"/>
      <c r="J58" s="69"/>
      <c r="K58" s="70"/>
      <c r="L58" s="69"/>
      <c r="M58" s="58">
        <f t="shared" si="1"/>
        <v>0</v>
      </c>
      <c r="N58" s="59">
        <f t="shared" si="2"/>
        <v>0</v>
      </c>
      <c r="O58" s="60">
        <f t="shared" si="3"/>
        <v>10</v>
      </c>
      <c r="P58" s="61">
        <f t="shared" si="4"/>
        <v>10</v>
      </c>
      <c r="Q58" s="62"/>
      <c r="R58" s="63" t="str">
        <f t="shared" si="5"/>
        <v>ORD</v>
      </c>
      <c r="S58" s="71"/>
    </row>
    <row r="59" ht="12.75" customHeight="1">
      <c r="A59" s="64">
        <v>48.0</v>
      </c>
      <c r="B59" s="65"/>
      <c r="C59" s="66" t="s">
        <v>160</v>
      </c>
      <c r="D59" s="67" t="s">
        <v>110</v>
      </c>
      <c r="E59" s="68" t="s">
        <v>161</v>
      </c>
      <c r="F59" s="1"/>
      <c r="G59" s="56">
        <v>0.0</v>
      </c>
      <c r="H59" s="69">
        <v>7.0</v>
      </c>
      <c r="I59" s="70"/>
      <c r="J59" s="69"/>
      <c r="K59" s="70"/>
      <c r="L59" s="69"/>
      <c r="M59" s="58">
        <f t="shared" si="1"/>
        <v>0</v>
      </c>
      <c r="N59" s="59">
        <f t="shared" si="2"/>
        <v>0</v>
      </c>
      <c r="O59" s="60">
        <f t="shared" si="3"/>
        <v>7</v>
      </c>
      <c r="P59" s="61">
        <f t="shared" si="4"/>
        <v>7</v>
      </c>
      <c r="Q59" s="62"/>
      <c r="R59" s="63" t="str">
        <f t="shared" si="5"/>
        <v>ORD</v>
      </c>
      <c r="S59" s="71"/>
    </row>
    <row r="60" ht="12.75" customHeight="1">
      <c r="A60" s="64">
        <v>49.0</v>
      </c>
      <c r="B60" s="65"/>
      <c r="C60" s="66" t="s">
        <v>162</v>
      </c>
      <c r="D60" s="67" t="s">
        <v>163</v>
      </c>
      <c r="E60" s="68" t="s">
        <v>164</v>
      </c>
      <c r="F60" s="1"/>
      <c r="G60" s="56">
        <v>0.0</v>
      </c>
      <c r="H60" s="69">
        <v>5.0</v>
      </c>
      <c r="I60" s="70"/>
      <c r="J60" s="69"/>
      <c r="K60" s="70"/>
      <c r="L60" s="69"/>
      <c r="M60" s="58">
        <f t="shared" si="1"/>
        <v>0</v>
      </c>
      <c r="N60" s="59">
        <f t="shared" si="2"/>
        <v>0</v>
      </c>
      <c r="O60" s="60">
        <f t="shared" si="3"/>
        <v>5</v>
      </c>
      <c r="P60" s="61">
        <f t="shared" si="4"/>
        <v>5</v>
      </c>
      <c r="Q60" s="62"/>
      <c r="R60" s="63" t="str">
        <f t="shared" si="5"/>
        <v>ORD</v>
      </c>
      <c r="S60" s="71"/>
    </row>
    <row r="61" ht="12.75" customHeight="1">
      <c r="A61" s="64">
        <v>50.0</v>
      </c>
      <c r="B61" s="65"/>
      <c r="C61" s="66" t="s">
        <v>162</v>
      </c>
      <c r="D61" s="67" t="s">
        <v>165</v>
      </c>
      <c r="E61" s="68" t="s">
        <v>166</v>
      </c>
      <c r="F61" s="1"/>
      <c r="G61" s="56">
        <v>0.0</v>
      </c>
      <c r="H61" s="69">
        <v>8.0</v>
      </c>
      <c r="I61" s="70"/>
      <c r="J61" s="69"/>
      <c r="K61" s="70"/>
      <c r="L61" s="69"/>
      <c r="M61" s="58">
        <f t="shared" si="1"/>
        <v>0</v>
      </c>
      <c r="N61" s="59">
        <f t="shared" si="2"/>
        <v>0</v>
      </c>
      <c r="O61" s="60">
        <f t="shared" si="3"/>
        <v>8</v>
      </c>
      <c r="P61" s="61">
        <f t="shared" si="4"/>
        <v>8</v>
      </c>
      <c r="Q61" s="62"/>
      <c r="R61" s="63" t="str">
        <f t="shared" si="5"/>
        <v>ORD</v>
      </c>
      <c r="S61" s="71"/>
    </row>
    <row r="62" ht="12.75" customHeight="1">
      <c r="E62" s="82" t="s">
        <v>167</v>
      </c>
      <c r="F62" s="83"/>
      <c r="G62" s="84">
        <f>SUM(G12:G61)</f>
        <v>27</v>
      </c>
      <c r="H62" s="85">
        <f>AVERAGE(H12:H61)</f>
        <v>7.68</v>
      </c>
      <c r="I62" s="84">
        <f>SUM(I12:I61)</f>
        <v>0</v>
      </c>
      <c r="J62" s="86" t="str">
        <f>AVERAGE(J12:J61)</f>
        <v>#DIV/0!</v>
      </c>
      <c r="K62" s="84">
        <f>SUM(K12:K61)</f>
        <v>0</v>
      </c>
      <c r="L62" s="86" t="str">
        <f>AVERAGE(L12:L61)</f>
        <v>#DIV/0!</v>
      </c>
      <c r="M62" s="87">
        <f>SUM(M12:M61)</f>
        <v>27</v>
      </c>
      <c r="N62" s="88" t="s">
        <v>168</v>
      </c>
      <c r="O62" s="89"/>
      <c r="P62" s="90">
        <f>AVERAGE(P6:P61)</f>
        <v>7.547169811</v>
      </c>
      <c r="Q62" s="1"/>
      <c r="R62" s="10"/>
      <c r="S62" s="71"/>
    </row>
    <row r="63" ht="12.75" customHeight="1">
      <c r="A63" s="91" t="s">
        <v>30</v>
      </c>
      <c r="B63" s="91" t="s">
        <v>31</v>
      </c>
      <c r="C63" s="92"/>
      <c r="D63" s="92"/>
      <c r="E63" s="93" t="s">
        <v>169</v>
      </c>
      <c r="F63" s="1"/>
      <c r="G63" s="94"/>
      <c r="H63" s="95">
        <f>COUNTIF(H12:H61,"&gt;5")</f>
        <v>44</v>
      </c>
      <c r="I63" s="94"/>
      <c r="J63" s="95">
        <f>COUNTIF(J12:J61,"&gt;5")</f>
        <v>0</v>
      </c>
      <c r="K63" s="94"/>
      <c r="L63" s="95">
        <f>COUNTIF(L12:L61,"&gt;5")</f>
        <v>0</v>
      </c>
      <c r="N63" s="96" t="s">
        <v>170</v>
      </c>
      <c r="O63" s="89"/>
      <c r="P63" s="97">
        <f>COUNTIF(P12:P61,"&gt;5")</f>
        <v>44</v>
      </c>
      <c r="Q63" s="1"/>
      <c r="R63" s="10"/>
      <c r="S63" s="71"/>
    </row>
    <row r="64" ht="12.75" customHeight="1">
      <c r="A64" s="98">
        <f t="shared" ref="A64:B64" si="6">COUNT(A12:A61)</f>
        <v>26</v>
      </c>
      <c r="B64" s="98">
        <f t="shared" si="6"/>
        <v>24</v>
      </c>
      <c r="C64" s="99"/>
      <c r="D64" s="99"/>
      <c r="E64" s="100" t="s">
        <v>171</v>
      </c>
      <c r="F64" s="1"/>
      <c r="G64" s="101"/>
      <c r="H64" s="102">
        <f>COUNTIF(H12:H61,5)</f>
        <v>6</v>
      </c>
      <c r="I64" s="101"/>
      <c r="J64" s="102">
        <f>COUNTIF(J12:J61,5)</f>
        <v>0</v>
      </c>
      <c r="K64" s="101"/>
      <c r="L64" s="102">
        <f>COUNTIF(L12:L61,5)</f>
        <v>0</v>
      </c>
      <c r="N64" s="103" t="s">
        <v>172</v>
      </c>
      <c r="O64" s="89"/>
      <c r="P64" s="104">
        <f>COUNTIF(P12:P61,5)</f>
        <v>6</v>
      </c>
      <c r="Q64" s="1"/>
      <c r="R64" s="10"/>
      <c r="S64" s="71"/>
    </row>
    <row r="65" ht="13.5" customHeight="1">
      <c r="A65" s="1"/>
      <c r="B65" s="1"/>
      <c r="C65" s="1"/>
      <c r="D65" s="1"/>
      <c r="E65" s="105" t="s">
        <v>173</v>
      </c>
      <c r="F65" s="1"/>
      <c r="G65" s="106"/>
      <c r="H65" s="107">
        <f>H63*100/H9</f>
        <v>88</v>
      </c>
      <c r="I65" s="106"/>
      <c r="J65" s="108">
        <f>J63*100/H9</f>
        <v>0</v>
      </c>
      <c r="K65" s="106"/>
      <c r="L65" s="108">
        <f>L63*100/H9</f>
        <v>0</v>
      </c>
      <c r="N65" s="109" t="s">
        <v>174</v>
      </c>
      <c r="O65" s="110"/>
      <c r="P65" s="111">
        <f>P63*100/H9</f>
        <v>88</v>
      </c>
      <c r="Q65" s="1"/>
      <c r="R65" s="10"/>
    </row>
    <row r="66" ht="13.5" customHeight="1">
      <c r="A66" s="1"/>
      <c r="B66" s="1"/>
      <c r="C66" s="1"/>
      <c r="D66" s="9"/>
      <c r="E66" s="9"/>
      <c r="F66" s="1"/>
      <c r="G66" s="1"/>
      <c r="H66" s="1"/>
      <c r="I66" s="1"/>
      <c r="J66" s="1"/>
      <c r="K66" s="1"/>
      <c r="L66" s="1"/>
      <c r="M66" s="1"/>
      <c r="N66" s="112" t="s">
        <v>35</v>
      </c>
      <c r="O66" s="34"/>
      <c r="P66" s="113">
        <f>AVERAGE(N12:N61)</f>
        <v>6.75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14" t="s">
        <v>175</v>
      </c>
      <c r="O67" s="34"/>
      <c r="P67" s="115">
        <f>100-P66</f>
        <v>93.25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S$1:$S$92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7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7 J12:J67 L12:L67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88"/>
    <col customWidth="1" min="6" max="6" width="17.38"/>
  </cols>
  <sheetData>
    <row r="1">
      <c r="B1" s="127" t="s">
        <v>188</v>
      </c>
      <c r="C1" s="128" t="s">
        <v>189</v>
      </c>
      <c r="D1" s="38">
        <f>'2-2 pensamiento literario'!H9</f>
        <v>50</v>
      </c>
      <c r="H1" s="129"/>
      <c r="N1" s="130" t="s">
        <v>190</v>
      </c>
      <c r="O1" s="130" t="s">
        <v>191</v>
      </c>
      <c r="P1" s="130" t="s">
        <v>192</v>
      </c>
      <c r="Q1" s="130" t="s">
        <v>193</v>
      </c>
      <c r="R1" s="130" t="s">
        <v>194</v>
      </c>
      <c r="S1" s="130" t="s">
        <v>195</v>
      </c>
      <c r="T1" s="130" t="s">
        <v>196</v>
      </c>
      <c r="U1" s="130" t="s">
        <v>197</v>
      </c>
      <c r="V1" s="130" t="s">
        <v>13</v>
      </c>
    </row>
    <row r="2">
      <c r="B2" s="131" t="s">
        <v>16</v>
      </c>
      <c r="C2" s="131" t="s">
        <v>198</v>
      </c>
      <c r="D2" s="131" t="s">
        <v>169</v>
      </c>
      <c r="E2" s="132" t="s">
        <v>171</v>
      </c>
      <c r="F2" s="131" t="s">
        <v>199</v>
      </c>
      <c r="G2" s="131" t="s">
        <v>200</v>
      </c>
      <c r="H2" s="133" t="s">
        <v>175</v>
      </c>
      <c r="N2" s="134">
        <v>1.0</v>
      </c>
      <c r="O2" s="135" t="str">
        <f t="shared" ref="O2:O14" si="2">B3</f>
        <v>PENSAMIENTO LITERARIO</v>
      </c>
      <c r="P2" s="136">
        <f t="shared" ref="P2:P14" si="3">H3</f>
        <v>99.1</v>
      </c>
      <c r="Q2" s="136">
        <f t="shared" ref="Q2:Q14" si="4">C3</f>
        <v>7.68</v>
      </c>
      <c r="R2" s="136">
        <f t="shared" ref="R2:R14" si="5">G3</f>
        <v>12</v>
      </c>
      <c r="S2" s="137">
        <f t="shared" ref="S2:T2" si="1">E3</f>
        <v>6</v>
      </c>
      <c r="T2" s="136">
        <f t="shared" si="1"/>
        <v>88</v>
      </c>
      <c r="U2" s="134">
        <v>2.0</v>
      </c>
      <c r="V2" s="138">
        <v>46055.0</v>
      </c>
    </row>
    <row r="3">
      <c r="B3" s="139" t="s">
        <v>17</v>
      </c>
      <c r="C3" s="140">
        <f>'2-2 pensamiento literario'!H62</f>
        <v>7.68</v>
      </c>
      <c r="D3" s="141">
        <f>'2-2 pensamiento literario'!H63</f>
        <v>44</v>
      </c>
      <c r="E3" s="141">
        <f>'2-2 pensamiento literario'!H64</f>
        <v>6</v>
      </c>
      <c r="F3" s="140">
        <f>'2-2 pensamiento literario'!H65</f>
        <v>88</v>
      </c>
      <c r="G3" s="140">
        <f t="shared" ref="G3:G15" si="7">(E3*100)/$D$1</f>
        <v>12</v>
      </c>
      <c r="H3" s="140">
        <f>'2-2 pensamiento literario'!P67</f>
        <v>99.1</v>
      </c>
      <c r="N3" s="134">
        <v>1.0</v>
      </c>
      <c r="O3" s="135" t="str">
        <f t="shared" si="2"/>
        <v>INGLÉS IV</v>
      </c>
      <c r="P3" s="136">
        <f t="shared" si="3"/>
        <v>99.1</v>
      </c>
      <c r="Q3" s="136">
        <f t="shared" si="4"/>
        <v>7.68</v>
      </c>
      <c r="R3" s="136">
        <f t="shared" si="5"/>
        <v>12</v>
      </c>
      <c r="S3" s="137">
        <f t="shared" ref="S3:T3" si="6">E4</f>
        <v>6</v>
      </c>
      <c r="T3" s="136">
        <f t="shared" si="6"/>
        <v>88</v>
      </c>
      <c r="U3" s="134">
        <v>2.0</v>
      </c>
      <c r="V3" s="138">
        <v>46055.0</v>
      </c>
    </row>
    <row r="4">
      <c r="B4" s="142" t="s">
        <v>176</v>
      </c>
      <c r="C4" s="143">
        <f>'2-2 ingles iv'!H62</f>
        <v>7.68</v>
      </c>
      <c r="D4" s="144">
        <f>'2-2 ingles iv'!H63</f>
        <v>44</v>
      </c>
      <c r="E4" s="144">
        <f>'2-2 ingles iv'!H64</f>
        <v>6</v>
      </c>
      <c r="F4" s="143">
        <f>'2-2 ingles iv'!H65</f>
        <v>88</v>
      </c>
      <c r="G4" s="140">
        <f t="shared" si="7"/>
        <v>12</v>
      </c>
      <c r="H4" s="143">
        <f>'2-2 ingles iv'!P67</f>
        <v>99.1</v>
      </c>
      <c r="N4" s="134">
        <v>1.0</v>
      </c>
      <c r="O4" s="135" t="str">
        <f t="shared" si="2"/>
        <v>TEMAS SELECTOS DE MATEMÁTICAS I</v>
      </c>
      <c r="P4" s="136">
        <f t="shared" si="3"/>
        <v>99.1</v>
      </c>
      <c r="Q4" s="136">
        <f t="shared" si="4"/>
        <v>7.68</v>
      </c>
      <c r="R4" s="136">
        <f t="shared" si="5"/>
        <v>12</v>
      </c>
      <c r="S4" s="137">
        <f t="shared" ref="S4:T4" si="8">E5</f>
        <v>6</v>
      </c>
      <c r="T4" s="136">
        <f t="shared" si="8"/>
        <v>88</v>
      </c>
      <c r="U4" s="134">
        <v>2.0</v>
      </c>
      <c r="V4" s="138">
        <v>46055.0</v>
      </c>
    </row>
    <row r="5">
      <c r="B5" s="145" t="s">
        <v>177</v>
      </c>
      <c r="C5" s="146">
        <f>'2-2 temas selectos de matematic'!H62</f>
        <v>7.68</v>
      </c>
      <c r="D5" s="147">
        <f>'2-2 temas selectos de matematic'!H63</f>
        <v>44</v>
      </c>
      <c r="E5" s="147">
        <f>'2-2 temas selectos de matematic'!H64</f>
        <v>6</v>
      </c>
      <c r="F5" s="146">
        <f>'2-2 temas selectos de matematic'!H65</f>
        <v>88</v>
      </c>
      <c r="G5" s="140">
        <f t="shared" si="7"/>
        <v>12</v>
      </c>
      <c r="H5" s="146">
        <f>'2-2 temas selectos de matematic'!P67</f>
        <v>99.1</v>
      </c>
      <c r="N5" s="134">
        <v>1.0</v>
      </c>
      <c r="O5" s="135" t="str">
        <f t="shared" si="2"/>
        <v>CONCIENCIA HISTORICA I</v>
      </c>
      <c r="P5" s="136">
        <f t="shared" si="3"/>
        <v>97</v>
      </c>
      <c r="Q5" s="136">
        <f t="shared" si="4"/>
        <v>7.68</v>
      </c>
      <c r="R5" s="136">
        <f t="shared" si="5"/>
        <v>12</v>
      </c>
      <c r="S5" s="137">
        <f t="shared" ref="S5:T5" si="9">E6</f>
        <v>6</v>
      </c>
      <c r="T5" s="136">
        <f t="shared" si="9"/>
        <v>88</v>
      </c>
      <c r="U5" s="134">
        <v>2.0</v>
      </c>
      <c r="V5" s="138">
        <v>46055.0</v>
      </c>
    </row>
    <row r="6">
      <c r="B6" s="142" t="s">
        <v>201</v>
      </c>
      <c r="C6" s="148">
        <f>'2-2 conciencia historica i'!H62</f>
        <v>7.68</v>
      </c>
      <c r="D6" s="149">
        <f>'2-2 conciencia historica i'!H63</f>
        <v>44</v>
      </c>
      <c r="E6" s="149">
        <f>'2-2 conciencia historica i'!H64</f>
        <v>6</v>
      </c>
      <c r="F6" s="148">
        <f>'2-2 conciencia historica i'!H65</f>
        <v>88</v>
      </c>
      <c r="G6" s="140">
        <f t="shared" si="7"/>
        <v>12</v>
      </c>
      <c r="H6" s="148">
        <f>'2-2 conciencia historica i'!P67</f>
        <v>97</v>
      </c>
      <c r="N6" s="134">
        <v>1.0</v>
      </c>
      <c r="O6" s="135" t="str">
        <f t="shared" si="2"/>
        <v>TALLER DE CULTURA DIGITAL</v>
      </c>
      <c r="P6" s="136">
        <f t="shared" si="3"/>
        <v>95.5</v>
      </c>
      <c r="Q6" s="136">
        <f t="shared" si="4"/>
        <v>7.68</v>
      </c>
      <c r="R6" s="136">
        <f t="shared" si="5"/>
        <v>12</v>
      </c>
      <c r="S6" s="137">
        <f t="shared" ref="S6:T6" si="10">E7</f>
        <v>6</v>
      </c>
      <c r="T6" s="136">
        <f t="shared" si="10"/>
        <v>88</v>
      </c>
      <c r="U6" s="134">
        <v>2.0</v>
      </c>
      <c r="V6" s="138">
        <v>46055.0</v>
      </c>
    </row>
    <row r="7">
      <c r="B7" s="145" t="s">
        <v>202</v>
      </c>
      <c r="C7" s="146">
        <f>'2-2 taller de cultura digital'!H62</f>
        <v>7.68</v>
      </c>
      <c r="D7" s="147">
        <f>'2-2 taller de cultura digital'!H63</f>
        <v>44</v>
      </c>
      <c r="E7" s="147">
        <f>'2-2 taller de cultura digital'!H64</f>
        <v>6</v>
      </c>
      <c r="F7" s="146">
        <f>'2-2 taller de cultura digital'!H65</f>
        <v>88</v>
      </c>
      <c r="G7" s="140">
        <f t="shared" si="7"/>
        <v>12</v>
      </c>
      <c r="H7" s="146">
        <f>'2-2 taller de cultura digital'!P67</f>
        <v>95.5</v>
      </c>
      <c r="N7" s="134">
        <v>1.0</v>
      </c>
      <c r="O7" s="135" t="str">
        <f t="shared" si="2"/>
        <v>REACCIONES QUÍMICAS</v>
      </c>
      <c r="P7" s="136">
        <f t="shared" si="3"/>
        <v>96.4</v>
      </c>
      <c r="Q7" s="136">
        <f t="shared" si="4"/>
        <v>7.68</v>
      </c>
      <c r="R7" s="136">
        <f t="shared" si="5"/>
        <v>12</v>
      </c>
      <c r="S7" s="137">
        <f t="shared" ref="S7:T7" si="11">E8</f>
        <v>6</v>
      </c>
      <c r="T7" s="136">
        <f t="shared" si="11"/>
        <v>88</v>
      </c>
      <c r="U7" s="134">
        <v>2.0</v>
      </c>
      <c r="V7" s="138">
        <v>46055.0</v>
      </c>
    </row>
    <row r="8">
      <c r="B8" s="142" t="s">
        <v>180</v>
      </c>
      <c r="C8" s="148">
        <f>'2-2 reacciones quimicas'!H62</f>
        <v>7.68</v>
      </c>
      <c r="D8" s="149">
        <f>'2-2 reacciones quimicas'!H63</f>
        <v>44</v>
      </c>
      <c r="E8" s="149">
        <f>'2-2 reacciones quimicas'!H64</f>
        <v>6</v>
      </c>
      <c r="F8" s="148">
        <f>'2-2 reacciones quimicas'!H65</f>
        <v>88</v>
      </c>
      <c r="G8" s="140">
        <f t="shared" si="7"/>
        <v>12</v>
      </c>
      <c r="H8" s="148">
        <f>'2-2 reacciones quimicas'!P67</f>
        <v>96.4</v>
      </c>
      <c r="N8" s="134">
        <v>1.0</v>
      </c>
      <c r="O8" s="135" t="str">
        <f t="shared" si="2"/>
        <v>ESPACIO Y SOCIEDAD</v>
      </c>
      <c r="P8" s="136">
        <f t="shared" si="3"/>
        <v>94.6</v>
      </c>
      <c r="Q8" s="136">
        <f t="shared" si="4"/>
        <v>7.68</v>
      </c>
      <c r="R8" s="136">
        <f t="shared" si="5"/>
        <v>12</v>
      </c>
      <c r="S8" s="137">
        <f t="shared" ref="S8:T8" si="12">E9</f>
        <v>6</v>
      </c>
      <c r="T8" s="136">
        <f t="shared" si="12"/>
        <v>88</v>
      </c>
      <c r="U8" s="134">
        <v>2.0</v>
      </c>
      <c r="V8" s="138">
        <v>46055.0</v>
      </c>
    </row>
    <row r="9">
      <c r="B9" s="145" t="s">
        <v>181</v>
      </c>
      <c r="C9" s="146">
        <f>'2-2 espacio y sociedad'!H62</f>
        <v>7.68</v>
      </c>
      <c r="D9" s="147">
        <f>'2-2 espacio y sociedad'!H63</f>
        <v>44</v>
      </c>
      <c r="E9" s="147">
        <f>'2-2 espacio y sociedad'!H64</f>
        <v>6</v>
      </c>
      <c r="F9" s="146">
        <f>'2-2 espacio y sociedad'!H65</f>
        <v>88</v>
      </c>
      <c r="G9" s="140">
        <f t="shared" si="7"/>
        <v>12</v>
      </c>
      <c r="H9" s="146">
        <f>'2-2 espacio y sociedad'!P67</f>
        <v>94.6</v>
      </c>
      <c r="N9" s="134">
        <v>1.0</v>
      </c>
      <c r="O9" s="135" t="str">
        <f t="shared" si="2"/>
        <v>CIENCIAS SOCIALES III</v>
      </c>
      <c r="P9" s="136">
        <f t="shared" si="3"/>
        <v>95.5</v>
      </c>
      <c r="Q9" s="136">
        <f t="shared" si="4"/>
        <v>7.68</v>
      </c>
      <c r="R9" s="136">
        <f t="shared" si="5"/>
        <v>12</v>
      </c>
      <c r="S9" s="137">
        <f t="shared" ref="S9:T9" si="13">E10</f>
        <v>6</v>
      </c>
      <c r="T9" s="136">
        <f t="shared" si="13"/>
        <v>88</v>
      </c>
      <c r="U9" s="134">
        <v>2.0</v>
      </c>
      <c r="V9" s="138">
        <v>46055.0</v>
      </c>
    </row>
    <row r="10">
      <c r="B10" s="142" t="s">
        <v>182</v>
      </c>
      <c r="C10" s="148">
        <f>'2-2 ciencias sociales iii'!H62</f>
        <v>7.68</v>
      </c>
      <c r="D10" s="149">
        <f>'2-2 ciencias sociales iii'!H63</f>
        <v>44</v>
      </c>
      <c r="E10" s="149">
        <f>'2-2 ciencias sociales iii'!H64</f>
        <v>6</v>
      </c>
      <c r="F10" s="148">
        <f>'2-2 ciencias sociales iii'!H65</f>
        <v>88</v>
      </c>
      <c r="G10" s="140">
        <f t="shared" si="7"/>
        <v>12</v>
      </c>
      <c r="H10" s="148">
        <f>'2-2 ciencias sociales iii'!P67</f>
        <v>95.5</v>
      </c>
      <c r="N10" s="134">
        <v>1.0</v>
      </c>
      <c r="O10" s="135" t="str">
        <f t="shared" si="2"/>
        <v>COMUNIDADES VIRTUALES</v>
      </c>
      <c r="P10" s="136">
        <f t="shared" si="3"/>
        <v>95.09090909</v>
      </c>
      <c r="Q10" s="136">
        <f t="shared" si="4"/>
        <v>7.68</v>
      </c>
      <c r="R10" s="136">
        <f t="shared" si="5"/>
        <v>12</v>
      </c>
      <c r="S10" s="137">
        <f t="shared" ref="S10:T10" si="14">E11</f>
        <v>6</v>
      </c>
      <c r="T10" s="136">
        <f t="shared" si="14"/>
        <v>88</v>
      </c>
      <c r="U10" s="134">
        <v>2.0</v>
      </c>
      <c r="V10" s="138">
        <v>46055.0</v>
      </c>
    </row>
    <row r="11">
      <c r="B11" s="145" t="s">
        <v>183</v>
      </c>
      <c r="C11" s="146">
        <f>'2-2 comunidades virtuales'!H62</f>
        <v>7.68</v>
      </c>
      <c r="D11" s="147">
        <f>'2-2 comunidades virtuales'!H63</f>
        <v>44</v>
      </c>
      <c r="E11" s="147">
        <f>'2-2 comunidades virtuales'!H64</f>
        <v>6</v>
      </c>
      <c r="F11" s="146">
        <f>'2-2 comunidades virtuales'!H65</f>
        <v>88</v>
      </c>
      <c r="G11" s="140">
        <f t="shared" si="7"/>
        <v>12</v>
      </c>
      <c r="H11" s="146">
        <f>'2-2 comunidades virtuales'!P67</f>
        <v>95.09090909</v>
      </c>
      <c r="N11" s="134">
        <v>1.0</v>
      </c>
      <c r="O11" s="135" t="str">
        <f t="shared" si="2"/>
        <v>MANTENIMIENTO DE REDES DE CÓMPUTO</v>
      </c>
      <c r="P11" s="136">
        <f t="shared" si="3"/>
        <v>93.25</v>
      </c>
      <c r="Q11" s="136">
        <f t="shared" si="4"/>
        <v>7.68</v>
      </c>
      <c r="R11" s="136">
        <f t="shared" si="5"/>
        <v>12</v>
      </c>
      <c r="S11" s="137">
        <f t="shared" ref="S11:T11" si="15">E12</f>
        <v>6</v>
      </c>
      <c r="T11" s="136">
        <f t="shared" si="15"/>
        <v>88</v>
      </c>
      <c r="U11" s="134">
        <v>2.0</v>
      </c>
      <c r="V11" s="138">
        <v>46055.0</v>
      </c>
    </row>
    <row r="12">
      <c r="B12" s="142" t="s">
        <v>184</v>
      </c>
      <c r="C12" s="148">
        <f>'2-2 mantenimiento de redes de c'!H62</f>
        <v>7.68</v>
      </c>
      <c r="D12" s="149">
        <f>'2-2 mantenimiento de redes de c'!H63</f>
        <v>44</v>
      </c>
      <c r="E12" s="149">
        <f>'2-2 mantenimiento de redes de c'!H64</f>
        <v>6</v>
      </c>
      <c r="F12" s="148">
        <f>'2-2 mantenimiento de redes de c'!H65</f>
        <v>88</v>
      </c>
      <c r="G12" s="140">
        <f t="shared" si="7"/>
        <v>12</v>
      </c>
      <c r="H12" s="148">
        <f>'2-2 mantenimiento de redes de c'!P67</f>
        <v>93.25</v>
      </c>
      <c r="N12" s="134">
        <v>1.0</v>
      </c>
      <c r="O12" s="135" t="str">
        <f t="shared" si="2"/>
        <v>ACTIVIDADES ARTÍSTICAS Y CULTURALES I </v>
      </c>
      <c r="P12" s="136">
        <f t="shared" si="3"/>
        <v>93.25</v>
      </c>
      <c r="Q12" s="136">
        <f t="shared" si="4"/>
        <v>7.68</v>
      </c>
      <c r="R12" s="136">
        <f t="shared" si="5"/>
        <v>12</v>
      </c>
      <c r="S12" s="137">
        <f t="shared" ref="S12:T12" si="16">E13</f>
        <v>6</v>
      </c>
      <c r="T12" s="136">
        <f t="shared" si="16"/>
        <v>88</v>
      </c>
      <c r="U12" s="134">
        <v>2.0</v>
      </c>
      <c r="V12" s="138">
        <v>46055.0</v>
      </c>
    </row>
    <row r="13">
      <c r="B13" s="150" t="s">
        <v>203</v>
      </c>
      <c r="C13" s="151">
        <f>'2-2 actividades artisticas y cu'!H62</f>
        <v>7.68</v>
      </c>
      <c r="D13" s="152">
        <f>'2-2 actividades artisticas y cu'!H63</f>
        <v>44</v>
      </c>
      <c r="E13" s="152">
        <f>'2-2 actividades artisticas y cu'!H64</f>
        <v>6</v>
      </c>
      <c r="F13" s="151">
        <f>'2-2 actividades artisticas y cu'!H65</f>
        <v>88</v>
      </c>
      <c r="G13" s="140">
        <f t="shared" si="7"/>
        <v>12</v>
      </c>
      <c r="H13" s="151">
        <f>'2-2 actividades artisticas y cu'!P67</f>
        <v>93.25</v>
      </c>
      <c r="N13" s="134">
        <v>1.0</v>
      </c>
      <c r="O13" s="135" t="str">
        <f t="shared" si="2"/>
        <v>EDUCACIÓN INTEGRAL EN SEXUALIDAD Y GÉNERO II</v>
      </c>
      <c r="P13" s="136">
        <f t="shared" si="3"/>
        <v>93.25</v>
      </c>
      <c r="Q13" s="136">
        <f t="shared" si="4"/>
        <v>7.68</v>
      </c>
      <c r="R13" s="136">
        <f t="shared" si="5"/>
        <v>12</v>
      </c>
      <c r="S13" s="137">
        <f t="shared" ref="S13:T13" si="17">E14</f>
        <v>6</v>
      </c>
      <c r="T13" s="136">
        <f t="shared" si="17"/>
        <v>88</v>
      </c>
      <c r="U13" s="134">
        <v>2.0</v>
      </c>
      <c r="V13" s="138">
        <v>46055.0</v>
      </c>
    </row>
    <row r="14">
      <c r="B14" s="142" t="s">
        <v>186</v>
      </c>
      <c r="C14" s="148">
        <f>'2-2 educacion integral en sexua'!H62</f>
        <v>7.68</v>
      </c>
      <c r="D14" s="149">
        <f>'2-2 educacion integral en sexua'!H63</f>
        <v>44</v>
      </c>
      <c r="E14" s="149">
        <f>'2-2 educacion integral en sexua'!H64</f>
        <v>6</v>
      </c>
      <c r="F14" s="148">
        <f>'2-2 educacion integral en sexua'!H65</f>
        <v>88</v>
      </c>
      <c r="G14" s="140">
        <f t="shared" si="7"/>
        <v>12</v>
      </c>
      <c r="H14" s="148">
        <f>'2-2 educacion integral en sexua'!P67</f>
        <v>93.25</v>
      </c>
      <c r="N14" s="134">
        <v>1.0</v>
      </c>
      <c r="O14" s="135" t="str">
        <f t="shared" si="2"/>
        <v>TEMAS SELECTOS DE IGUALDAD Y DERECHOS HUMANOS IV</v>
      </c>
      <c r="P14" s="136">
        <f t="shared" si="3"/>
        <v>93.25</v>
      </c>
      <c r="Q14" s="136">
        <f t="shared" si="4"/>
        <v>7.68</v>
      </c>
      <c r="R14" s="136">
        <f t="shared" si="5"/>
        <v>12</v>
      </c>
      <c r="S14" s="137">
        <f t="shared" ref="S14:T14" si="18">E15</f>
        <v>6</v>
      </c>
      <c r="T14" s="136">
        <f t="shared" si="18"/>
        <v>88</v>
      </c>
      <c r="U14" s="134">
        <v>2.0</v>
      </c>
      <c r="V14" s="138">
        <v>46055.0</v>
      </c>
    </row>
    <row r="15">
      <c r="B15" s="150" t="s">
        <v>187</v>
      </c>
      <c r="C15" s="151">
        <f>'2-2 temas selectos de igualdad '!H62</f>
        <v>7.68</v>
      </c>
      <c r="D15" s="152">
        <f>'2-2 temas selectos de igualdad '!H63</f>
        <v>44</v>
      </c>
      <c r="E15" s="152">
        <f>'2-2 temas selectos de igualdad '!H64</f>
        <v>6</v>
      </c>
      <c r="F15" s="151">
        <f>'2-2 temas selectos de igualdad '!H65</f>
        <v>88</v>
      </c>
      <c r="G15" s="140">
        <f t="shared" si="7"/>
        <v>12</v>
      </c>
      <c r="H15" s="151">
        <f>'2-2 temas selectos de igualdad '!P67</f>
        <v>93.25</v>
      </c>
      <c r="N15" s="153">
        <v>2.0</v>
      </c>
      <c r="O15" s="130" t="str">
        <f t="shared" ref="O15:O27" si="21">B20</f>
        <v>PENSAMIENTO LITERARIO</v>
      </c>
      <c r="P15" s="154">
        <f t="shared" ref="P15:P27" si="22">H20</f>
        <v>99.1</v>
      </c>
      <c r="Q15" s="148" t="str">
        <f t="shared" ref="Q15:Q27" si="23">C20</f>
        <v>#DIV/0!</v>
      </c>
      <c r="R15" s="154">
        <f t="shared" ref="R15:R27" si="24">G20</f>
        <v>0</v>
      </c>
      <c r="S15" s="155">
        <f t="shared" ref="S15:T15" si="19">E20</f>
        <v>0</v>
      </c>
      <c r="T15" s="154">
        <f t="shared" si="19"/>
        <v>0</v>
      </c>
      <c r="U15" s="153">
        <v>2.0</v>
      </c>
      <c r="V15" s="156">
        <v>46055.0</v>
      </c>
    </row>
    <row r="16">
      <c r="B16" s="157"/>
      <c r="C16" s="158">
        <f t="shared" ref="C16:G16" si="20">AVERAGE(C3:C13)</f>
        <v>7.68</v>
      </c>
      <c r="D16" s="159">
        <f t="shared" si="20"/>
        <v>44</v>
      </c>
      <c r="E16" s="159">
        <f t="shared" si="20"/>
        <v>6</v>
      </c>
      <c r="F16" s="158">
        <f t="shared" si="20"/>
        <v>88</v>
      </c>
      <c r="G16" s="158">
        <f t="shared" si="20"/>
        <v>12</v>
      </c>
      <c r="H16" s="158">
        <f>AVERAGE(H2:H13)</f>
        <v>96.17190083</v>
      </c>
      <c r="N16" s="153">
        <v>2.0</v>
      </c>
      <c r="O16" s="130" t="str">
        <f t="shared" si="21"/>
        <v>INGLÉS IV</v>
      </c>
      <c r="P16" s="154">
        <f t="shared" si="22"/>
        <v>99.1</v>
      </c>
      <c r="Q16" s="148" t="str">
        <f t="shared" si="23"/>
        <v>#DIV/0!</v>
      </c>
      <c r="R16" s="154">
        <f t="shared" si="24"/>
        <v>0</v>
      </c>
      <c r="S16" s="155">
        <f t="shared" ref="S16:T16" si="25">E21</f>
        <v>0</v>
      </c>
      <c r="T16" s="154">
        <f t="shared" si="25"/>
        <v>0</v>
      </c>
      <c r="U16" s="153">
        <v>2.0</v>
      </c>
      <c r="V16" s="156">
        <v>46055.0</v>
      </c>
    </row>
    <row r="17">
      <c r="H17" s="129"/>
      <c r="N17" s="153">
        <v>2.0</v>
      </c>
      <c r="O17" s="130" t="str">
        <f t="shared" si="21"/>
        <v>TEMAS SELECTOS DE MATEMÁTICAS I</v>
      </c>
      <c r="P17" s="154">
        <f t="shared" si="22"/>
        <v>99.1</v>
      </c>
      <c r="Q17" s="148" t="str">
        <f t="shared" si="23"/>
        <v>#DIV/0!</v>
      </c>
      <c r="R17" s="154">
        <f t="shared" si="24"/>
        <v>0</v>
      </c>
      <c r="S17" s="155">
        <f t="shared" ref="S17:T17" si="26">E22</f>
        <v>0</v>
      </c>
      <c r="T17" s="154">
        <f t="shared" si="26"/>
        <v>0</v>
      </c>
      <c r="U17" s="153">
        <v>2.0</v>
      </c>
      <c r="V17" s="156">
        <v>46055.0</v>
      </c>
    </row>
    <row r="18">
      <c r="B18" s="127" t="s">
        <v>204</v>
      </c>
      <c r="C18" s="128" t="s">
        <v>189</v>
      </c>
      <c r="D18" s="38">
        <f>'2-2 pensamiento literario'!H9</f>
        <v>50</v>
      </c>
      <c r="H18" s="129"/>
      <c r="N18" s="153">
        <v>2.0</v>
      </c>
      <c r="O18" s="130" t="str">
        <f t="shared" si="21"/>
        <v>CONCIENCIA HISTORICA I</v>
      </c>
      <c r="P18" s="154">
        <f t="shared" si="22"/>
        <v>97</v>
      </c>
      <c r="Q18" s="148" t="str">
        <f t="shared" si="23"/>
        <v>#DIV/0!</v>
      </c>
      <c r="R18" s="154">
        <f t="shared" si="24"/>
        <v>0</v>
      </c>
      <c r="S18" s="155">
        <f t="shared" ref="S18:T18" si="27">E23</f>
        <v>0</v>
      </c>
      <c r="T18" s="154">
        <f t="shared" si="27"/>
        <v>0</v>
      </c>
      <c r="U18" s="153">
        <v>2.0</v>
      </c>
      <c r="V18" s="156">
        <v>46055.0</v>
      </c>
    </row>
    <row r="19">
      <c r="B19" s="131" t="s">
        <v>16</v>
      </c>
      <c r="C19" s="131" t="s">
        <v>198</v>
      </c>
      <c r="D19" s="131" t="s">
        <v>169</v>
      </c>
      <c r="E19" s="132" t="s">
        <v>171</v>
      </c>
      <c r="F19" s="131" t="s">
        <v>199</v>
      </c>
      <c r="G19" s="131" t="s">
        <v>200</v>
      </c>
      <c r="H19" s="133" t="s">
        <v>175</v>
      </c>
      <c r="N19" s="153">
        <v>2.0</v>
      </c>
      <c r="O19" s="130" t="str">
        <f t="shared" si="21"/>
        <v>TALLER DE CULTURA DIGITAL</v>
      </c>
      <c r="P19" s="154">
        <f t="shared" si="22"/>
        <v>95.5</v>
      </c>
      <c r="Q19" s="148" t="str">
        <f t="shared" si="23"/>
        <v>#DIV/0!</v>
      </c>
      <c r="R19" s="154">
        <f t="shared" si="24"/>
        <v>0</v>
      </c>
      <c r="S19" s="155">
        <f t="shared" ref="S19:T19" si="28">E24</f>
        <v>0</v>
      </c>
      <c r="T19" s="154">
        <f t="shared" si="28"/>
        <v>0</v>
      </c>
      <c r="U19" s="153">
        <v>2.0</v>
      </c>
      <c r="V19" s="156">
        <v>46055.0</v>
      </c>
    </row>
    <row r="20">
      <c r="B20" s="139" t="s">
        <v>17</v>
      </c>
      <c r="C20" s="140" t="str">
        <f>'2-2 pensamiento literario'!J62</f>
        <v>#DIV/0!</v>
      </c>
      <c r="D20" s="141">
        <f>'2-2 pensamiento literario'!J63</f>
        <v>0</v>
      </c>
      <c r="E20" s="141">
        <f>'2-2 pensamiento literario'!J64</f>
        <v>0</v>
      </c>
      <c r="F20" s="140">
        <f>'2-2 pensamiento literario'!J65</f>
        <v>0</v>
      </c>
      <c r="G20" s="140">
        <f t="shared" ref="G20:G32" si="30">(E20*100)/$D$1</f>
        <v>0</v>
      </c>
      <c r="H20" s="140">
        <f>'2-2 pensamiento literario'!P67</f>
        <v>99.1</v>
      </c>
      <c r="N20" s="153">
        <v>2.0</v>
      </c>
      <c r="O20" s="130" t="str">
        <f t="shared" si="21"/>
        <v>REACCIONES QUÍMICAS</v>
      </c>
      <c r="P20" s="154">
        <f t="shared" si="22"/>
        <v>96.4</v>
      </c>
      <c r="Q20" s="148" t="str">
        <f t="shared" si="23"/>
        <v>#DIV/0!</v>
      </c>
      <c r="R20" s="154">
        <f t="shared" si="24"/>
        <v>0</v>
      </c>
      <c r="S20" s="155">
        <f t="shared" ref="S20:T20" si="29">E25</f>
        <v>0</v>
      </c>
      <c r="T20" s="154">
        <f t="shared" si="29"/>
        <v>0</v>
      </c>
      <c r="U20" s="153">
        <v>2.0</v>
      </c>
      <c r="V20" s="156">
        <v>46055.0</v>
      </c>
    </row>
    <row r="21">
      <c r="B21" s="142" t="s">
        <v>176</v>
      </c>
      <c r="C21" s="143" t="str">
        <f>'2-2 ingles iv'!J62</f>
        <v>#DIV/0!</v>
      </c>
      <c r="D21" s="144">
        <f>'2-2 ingles iv'!J63</f>
        <v>0</v>
      </c>
      <c r="E21" s="144">
        <f>'2-2 ingles iv'!J64</f>
        <v>0</v>
      </c>
      <c r="F21" s="143">
        <f>'2-2 ingles iv'!J65</f>
        <v>0</v>
      </c>
      <c r="G21" s="140">
        <f t="shared" si="30"/>
        <v>0</v>
      </c>
      <c r="H21" s="143">
        <f>'2-2 ingles iv'!P67</f>
        <v>99.1</v>
      </c>
      <c r="N21" s="153">
        <v>2.0</v>
      </c>
      <c r="O21" s="130" t="str">
        <f t="shared" si="21"/>
        <v>ESPACIO Y SOCIEDAD</v>
      </c>
      <c r="P21" s="154">
        <f t="shared" si="22"/>
        <v>94.6</v>
      </c>
      <c r="Q21" s="148" t="str">
        <f t="shared" si="23"/>
        <v>#DIV/0!</v>
      </c>
      <c r="R21" s="154">
        <f t="shared" si="24"/>
        <v>0</v>
      </c>
      <c r="S21" s="155">
        <f t="shared" ref="S21:T21" si="31">E26</f>
        <v>0</v>
      </c>
      <c r="T21" s="154">
        <f t="shared" si="31"/>
        <v>0</v>
      </c>
      <c r="U21" s="153">
        <v>2.0</v>
      </c>
      <c r="V21" s="156">
        <v>46055.0</v>
      </c>
    </row>
    <row r="22">
      <c r="B22" s="145" t="s">
        <v>177</v>
      </c>
      <c r="C22" s="146" t="str">
        <f>'2-2 temas selectos de matematic'!J62</f>
        <v>#DIV/0!</v>
      </c>
      <c r="D22" s="147">
        <f>'2-2 temas selectos de matematic'!J63</f>
        <v>0</v>
      </c>
      <c r="E22" s="147">
        <f>'2-2 temas selectos de matematic'!J64</f>
        <v>0</v>
      </c>
      <c r="F22" s="146">
        <f>'2-2 temas selectos de matematic'!J65</f>
        <v>0</v>
      </c>
      <c r="G22" s="140">
        <f t="shared" si="30"/>
        <v>0</v>
      </c>
      <c r="H22" s="146">
        <f>'2-2 temas selectos de matematic'!P67</f>
        <v>99.1</v>
      </c>
      <c r="N22" s="153">
        <v>2.0</v>
      </c>
      <c r="O22" s="130" t="str">
        <f t="shared" si="21"/>
        <v>CIENCIAS SOCIALES III</v>
      </c>
      <c r="P22" s="154">
        <f t="shared" si="22"/>
        <v>95.5</v>
      </c>
      <c r="Q22" s="148" t="str">
        <f t="shared" si="23"/>
        <v>#DIV/0!</v>
      </c>
      <c r="R22" s="154">
        <f t="shared" si="24"/>
        <v>0</v>
      </c>
      <c r="S22" s="155">
        <f t="shared" ref="S22:T22" si="32">E27</f>
        <v>0</v>
      </c>
      <c r="T22" s="154">
        <f t="shared" si="32"/>
        <v>0</v>
      </c>
      <c r="U22" s="153">
        <v>2.0</v>
      </c>
      <c r="V22" s="156">
        <v>46055.0</v>
      </c>
    </row>
    <row r="23">
      <c r="B23" s="142" t="s">
        <v>201</v>
      </c>
      <c r="C23" s="148" t="str">
        <f>'2-2 conciencia historica i'!J62</f>
        <v>#DIV/0!</v>
      </c>
      <c r="D23" s="149">
        <f>'2-2 conciencia historica i'!J63</f>
        <v>0</v>
      </c>
      <c r="E23" s="149">
        <f>'2-2 conciencia historica i'!J64</f>
        <v>0</v>
      </c>
      <c r="F23" s="148">
        <f>'2-2 conciencia historica i'!J65</f>
        <v>0</v>
      </c>
      <c r="G23" s="140">
        <f t="shared" si="30"/>
        <v>0</v>
      </c>
      <c r="H23" s="148">
        <f>'2-2 conciencia historica i'!P67</f>
        <v>97</v>
      </c>
      <c r="N23" s="153">
        <v>2.0</v>
      </c>
      <c r="O23" s="130" t="str">
        <f t="shared" si="21"/>
        <v>COMUNIDADES VIRTUALES</v>
      </c>
      <c r="P23" s="154">
        <f t="shared" si="22"/>
        <v>95.09090909</v>
      </c>
      <c r="Q23" s="148" t="str">
        <f t="shared" si="23"/>
        <v>#DIV/0!</v>
      </c>
      <c r="R23" s="154">
        <f t="shared" si="24"/>
        <v>0</v>
      </c>
      <c r="S23" s="155">
        <f t="shared" ref="S23:T23" si="33">E28</f>
        <v>0</v>
      </c>
      <c r="T23" s="154">
        <f t="shared" si="33"/>
        <v>0</v>
      </c>
      <c r="U23" s="153">
        <v>2.0</v>
      </c>
      <c r="V23" s="156">
        <v>46055.0</v>
      </c>
    </row>
    <row r="24">
      <c r="B24" s="145" t="s">
        <v>202</v>
      </c>
      <c r="C24" s="146" t="str">
        <f>'2-2 taller de cultura digital'!J62</f>
        <v>#DIV/0!</v>
      </c>
      <c r="D24" s="147">
        <f>'2-2 taller de cultura digital'!J63</f>
        <v>0</v>
      </c>
      <c r="E24" s="147">
        <f>'2-2 taller de cultura digital'!J64</f>
        <v>0</v>
      </c>
      <c r="F24" s="146">
        <f>'2-2 taller de cultura digital'!J65</f>
        <v>0</v>
      </c>
      <c r="G24" s="140">
        <f t="shared" si="30"/>
        <v>0</v>
      </c>
      <c r="H24" s="146">
        <f>'2-2 taller de cultura digital'!P67</f>
        <v>95.5</v>
      </c>
      <c r="N24" s="153">
        <v>2.0</v>
      </c>
      <c r="O24" s="130" t="str">
        <f t="shared" si="21"/>
        <v>MANTENIMIENTO DE REDES DE CÓMPUTO</v>
      </c>
      <c r="P24" s="154">
        <f t="shared" si="22"/>
        <v>93.25</v>
      </c>
      <c r="Q24" s="148" t="str">
        <f t="shared" si="23"/>
        <v>#DIV/0!</v>
      </c>
      <c r="R24" s="154">
        <f t="shared" si="24"/>
        <v>0</v>
      </c>
      <c r="S24" s="155">
        <f t="shared" ref="S24:T24" si="34">E29</f>
        <v>0</v>
      </c>
      <c r="T24" s="154">
        <f t="shared" si="34"/>
        <v>0</v>
      </c>
      <c r="U24" s="153">
        <v>2.0</v>
      </c>
      <c r="V24" s="156">
        <v>46055.0</v>
      </c>
    </row>
    <row r="25">
      <c r="B25" s="142" t="s">
        <v>180</v>
      </c>
      <c r="C25" s="148" t="str">
        <f>'2-2 reacciones quimicas'!J62</f>
        <v>#DIV/0!</v>
      </c>
      <c r="D25" s="149">
        <f>'2-2 reacciones quimicas'!J63</f>
        <v>0</v>
      </c>
      <c r="E25" s="149">
        <f>'2-2 reacciones quimicas'!J64</f>
        <v>0</v>
      </c>
      <c r="F25" s="148">
        <f>'2-2 reacciones quimicas'!J65</f>
        <v>0</v>
      </c>
      <c r="G25" s="140">
        <f t="shared" si="30"/>
        <v>0</v>
      </c>
      <c r="H25" s="148">
        <f>'2-2 reacciones quimicas'!P67</f>
        <v>96.4</v>
      </c>
      <c r="N25" s="153">
        <v>2.0</v>
      </c>
      <c r="O25" s="130" t="str">
        <f t="shared" si="21"/>
        <v>ACTIVIDADES ARTÍSTICAS Y CULTURALES I </v>
      </c>
      <c r="P25" s="154">
        <f t="shared" si="22"/>
        <v>93.25</v>
      </c>
      <c r="Q25" s="148" t="str">
        <f t="shared" si="23"/>
        <v>#DIV/0!</v>
      </c>
      <c r="R25" s="154">
        <f t="shared" si="24"/>
        <v>0</v>
      </c>
      <c r="S25" s="155">
        <f t="shared" ref="S25:T25" si="35">E30</f>
        <v>0</v>
      </c>
      <c r="T25" s="154">
        <f t="shared" si="35"/>
        <v>0</v>
      </c>
      <c r="U25" s="153">
        <v>2.0</v>
      </c>
      <c r="V25" s="156">
        <v>46055.0</v>
      </c>
    </row>
    <row r="26">
      <c r="B26" s="145" t="s">
        <v>181</v>
      </c>
      <c r="C26" s="146" t="str">
        <f>'2-2 espacio y sociedad'!J62</f>
        <v>#DIV/0!</v>
      </c>
      <c r="D26" s="147">
        <f>'2-2 espacio y sociedad'!J63</f>
        <v>0</v>
      </c>
      <c r="E26" s="147">
        <f>'2-2 espacio y sociedad'!J64</f>
        <v>0</v>
      </c>
      <c r="F26" s="146">
        <f>'2-2 espacio y sociedad'!J65</f>
        <v>0</v>
      </c>
      <c r="G26" s="140">
        <f t="shared" si="30"/>
        <v>0</v>
      </c>
      <c r="H26" s="146">
        <f>'2-2 espacio y sociedad'!P67</f>
        <v>94.6</v>
      </c>
      <c r="N26" s="153">
        <v>2.0</v>
      </c>
      <c r="O26" s="130" t="str">
        <f t="shared" si="21"/>
        <v>EDUCACIÓN INTEGRAL EN SEXUALIDAD Y GÉNERO II</v>
      </c>
      <c r="P26" s="154">
        <f t="shared" si="22"/>
        <v>93.25</v>
      </c>
      <c r="Q26" s="148" t="str">
        <f t="shared" si="23"/>
        <v>#DIV/0!</v>
      </c>
      <c r="R26" s="154">
        <f t="shared" si="24"/>
        <v>0</v>
      </c>
      <c r="S26" s="155">
        <f t="shared" ref="S26:T26" si="36">E31</f>
        <v>0</v>
      </c>
      <c r="T26" s="154">
        <f t="shared" si="36"/>
        <v>0</v>
      </c>
      <c r="U26" s="153">
        <v>2.0</v>
      </c>
      <c r="V26" s="156">
        <v>46055.0</v>
      </c>
    </row>
    <row r="27">
      <c r="B27" s="142" t="s">
        <v>182</v>
      </c>
      <c r="C27" s="148" t="str">
        <f>'2-2 ciencias sociales iii'!J62</f>
        <v>#DIV/0!</v>
      </c>
      <c r="D27" s="149">
        <f>'2-2 ciencias sociales iii'!J63</f>
        <v>0</v>
      </c>
      <c r="E27" s="149">
        <f>'2-2 ciencias sociales iii'!J64</f>
        <v>0</v>
      </c>
      <c r="F27" s="148">
        <f>'2-2 ciencias sociales iii'!J65</f>
        <v>0</v>
      </c>
      <c r="G27" s="140">
        <f t="shared" si="30"/>
        <v>0</v>
      </c>
      <c r="H27" s="148">
        <f>'2-2 ciencias sociales iii'!P67</f>
        <v>95.5</v>
      </c>
      <c r="N27" s="153">
        <v>2.0</v>
      </c>
      <c r="O27" s="130" t="str">
        <f t="shared" si="21"/>
        <v>TEMAS SELECTOS DE IGUALDAD Y DERECHOS HUMANOS IV</v>
      </c>
      <c r="P27" s="154">
        <f t="shared" si="22"/>
        <v>93.25</v>
      </c>
      <c r="Q27" s="148" t="str">
        <f t="shared" si="23"/>
        <v>#DIV/0!</v>
      </c>
      <c r="R27" s="154">
        <f t="shared" si="24"/>
        <v>0</v>
      </c>
      <c r="S27" s="155">
        <f t="shared" ref="S27:T27" si="37">E32</f>
        <v>0</v>
      </c>
      <c r="T27" s="154">
        <f t="shared" si="37"/>
        <v>0</v>
      </c>
      <c r="U27" s="153">
        <v>2.0</v>
      </c>
      <c r="V27" s="156">
        <v>46055.0</v>
      </c>
    </row>
    <row r="28">
      <c r="B28" s="145" t="s">
        <v>183</v>
      </c>
      <c r="C28" s="146" t="str">
        <f>'2-2 comunidades virtuales'!J62</f>
        <v>#DIV/0!</v>
      </c>
      <c r="D28" s="147">
        <f>'2-2 comunidades virtuales'!J63</f>
        <v>0</v>
      </c>
      <c r="E28" s="147">
        <f>'2-2 comunidades virtuales'!J64</f>
        <v>0</v>
      </c>
      <c r="F28" s="146">
        <f>'2-2 comunidades virtuales'!J65</f>
        <v>0</v>
      </c>
      <c r="G28" s="140">
        <f t="shared" si="30"/>
        <v>0</v>
      </c>
      <c r="H28" s="146">
        <f>'2-2 comunidades virtuales'!P67</f>
        <v>95.09090909</v>
      </c>
      <c r="N28" s="134">
        <v>3.0</v>
      </c>
      <c r="O28" s="135" t="str">
        <f t="shared" ref="O28:O40" si="39">B38</f>
        <v>PENSAMIENTO LITERARIO</v>
      </c>
      <c r="P28" s="136">
        <f t="shared" ref="P28:P40" si="40">H38</f>
        <v>99.1</v>
      </c>
      <c r="Q28" s="146" t="str">
        <f t="shared" ref="Q28:Q40" si="41">C38</f>
        <v>#DIV/0!</v>
      </c>
      <c r="R28" s="136">
        <f t="shared" ref="R28:R40" si="42">G38</f>
        <v>0</v>
      </c>
      <c r="S28" s="137">
        <f t="shared" ref="S28:T28" si="38">E38</f>
        <v>0</v>
      </c>
      <c r="T28" s="136">
        <f t="shared" si="38"/>
        <v>0</v>
      </c>
      <c r="U28" s="134">
        <v>2.0</v>
      </c>
      <c r="V28" s="138">
        <v>46055.0</v>
      </c>
    </row>
    <row r="29">
      <c r="B29" s="142" t="s">
        <v>184</v>
      </c>
      <c r="C29" s="148" t="str">
        <f>'2-2 mantenimiento de redes de c'!J62</f>
        <v>#DIV/0!</v>
      </c>
      <c r="D29" s="149">
        <f>'2-2 mantenimiento de redes de c'!J63</f>
        <v>0</v>
      </c>
      <c r="E29" s="149">
        <f>'2-2 mantenimiento de redes de c'!J64</f>
        <v>0</v>
      </c>
      <c r="F29" s="148">
        <f>'2-2 mantenimiento de redes de c'!J65</f>
        <v>0</v>
      </c>
      <c r="G29" s="140">
        <f t="shared" si="30"/>
        <v>0</v>
      </c>
      <c r="H29" s="148">
        <f>'2-2 mantenimiento de redes de c'!P67</f>
        <v>93.25</v>
      </c>
      <c r="N29" s="134">
        <v>3.0</v>
      </c>
      <c r="O29" s="135" t="str">
        <f t="shared" si="39"/>
        <v>INGLÉS IV</v>
      </c>
      <c r="P29" s="136">
        <f t="shared" si="40"/>
        <v>99.1</v>
      </c>
      <c r="Q29" s="146" t="str">
        <f t="shared" si="41"/>
        <v>#DIV/0!</v>
      </c>
      <c r="R29" s="136">
        <f t="shared" si="42"/>
        <v>0</v>
      </c>
      <c r="S29" s="137">
        <f t="shared" ref="S29:T29" si="43">E39</f>
        <v>0</v>
      </c>
      <c r="T29" s="136">
        <f t="shared" si="43"/>
        <v>0</v>
      </c>
      <c r="U29" s="134">
        <v>2.0</v>
      </c>
      <c r="V29" s="138">
        <v>46055.0</v>
      </c>
    </row>
    <row r="30">
      <c r="B30" s="150" t="s">
        <v>203</v>
      </c>
      <c r="C30" s="151" t="str">
        <f>'2-2 actividades artisticas y cu'!J62</f>
        <v>#DIV/0!</v>
      </c>
      <c r="D30" s="152">
        <f>'2-2 actividades artisticas y cu'!J63</f>
        <v>0</v>
      </c>
      <c r="E30" s="152">
        <f>'2-2 actividades artisticas y cu'!J64</f>
        <v>0</v>
      </c>
      <c r="F30" s="151">
        <f>'2-2 actividades artisticas y cu'!J65</f>
        <v>0</v>
      </c>
      <c r="G30" s="140">
        <f t="shared" si="30"/>
        <v>0</v>
      </c>
      <c r="H30" s="151">
        <f>'2-2 actividades artisticas y cu'!P67</f>
        <v>93.25</v>
      </c>
      <c r="N30" s="134">
        <v>3.0</v>
      </c>
      <c r="O30" s="135" t="str">
        <f t="shared" si="39"/>
        <v>TEMAS SELECTOS DE MATEMÁTICAS I</v>
      </c>
      <c r="P30" s="136">
        <f t="shared" si="40"/>
        <v>99.1</v>
      </c>
      <c r="Q30" s="146" t="str">
        <f t="shared" si="41"/>
        <v>#DIV/0!</v>
      </c>
      <c r="R30" s="136">
        <f t="shared" si="42"/>
        <v>0</v>
      </c>
      <c r="S30" s="137">
        <f t="shared" ref="S30:T30" si="44">E40</f>
        <v>0</v>
      </c>
      <c r="T30" s="136">
        <f t="shared" si="44"/>
        <v>0</v>
      </c>
      <c r="U30" s="134">
        <v>2.0</v>
      </c>
      <c r="V30" s="138">
        <v>46055.0</v>
      </c>
    </row>
    <row r="31">
      <c r="B31" s="142" t="s">
        <v>186</v>
      </c>
      <c r="C31" s="148" t="str">
        <f>'2-2 educacion integral en sexua'!J62</f>
        <v>#DIV/0!</v>
      </c>
      <c r="D31" s="149">
        <f>'2-2 educacion integral en sexua'!J63</f>
        <v>0</v>
      </c>
      <c r="E31" s="149">
        <f>'2-2 educacion integral en sexua'!J64</f>
        <v>0</v>
      </c>
      <c r="F31" s="148">
        <f>'2-2 educacion integral en sexua'!J65</f>
        <v>0</v>
      </c>
      <c r="G31" s="140">
        <f t="shared" si="30"/>
        <v>0</v>
      </c>
      <c r="H31" s="148">
        <f>'2-2 educacion integral en sexua'!P67</f>
        <v>93.25</v>
      </c>
      <c r="N31" s="134">
        <v>3.0</v>
      </c>
      <c r="O31" s="135" t="str">
        <f t="shared" si="39"/>
        <v>CONCIENCIA HISTORICA I</v>
      </c>
      <c r="P31" s="136">
        <f t="shared" si="40"/>
        <v>97</v>
      </c>
      <c r="Q31" s="146" t="str">
        <f t="shared" si="41"/>
        <v>#DIV/0!</v>
      </c>
      <c r="R31" s="136">
        <f t="shared" si="42"/>
        <v>0</v>
      </c>
      <c r="S31" s="137">
        <f t="shared" ref="S31:T31" si="45">E41</f>
        <v>0</v>
      </c>
      <c r="T31" s="136">
        <f t="shared" si="45"/>
        <v>0</v>
      </c>
      <c r="U31" s="134">
        <v>2.0</v>
      </c>
      <c r="V31" s="138">
        <v>46055.0</v>
      </c>
    </row>
    <row r="32">
      <c r="B32" s="150" t="s">
        <v>187</v>
      </c>
      <c r="C32" s="151" t="str">
        <f>'2-2 temas selectos de igualdad '!J62</f>
        <v>#DIV/0!</v>
      </c>
      <c r="D32" s="152">
        <f>'2-2 temas selectos de igualdad '!J63</f>
        <v>0</v>
      </c>
      <c r="E32" s="152">
        <f>'2-2 temas selectos de igualdad '!J64</f>
        <v>0</v>
      </c>
      <c r="F32" s="151">
        <f>'2-2 temas selectos de igualdad '!J65</f>
        <v>0</v>
      </c>
      <c r="G32" s="140">
        <f t="shared" si="30"/>
        <v>0</v>
      </c>
      <c r="H32" s="151">
        <f>'2-2 temas selectos de igualdad '!P67</f>
        <v>93.25</v>
      </c>
      <c r="N32" s="134">
        <v>3.0</v>
      </c>
      <c r="O32" s="135" t="str">
        <f t="shared" si="39"/>
        <v>TALLER DE CULTURA DIGITAL</v>
      </c>
      <c r="P32" s="136">
        <f t="shared" si="40"/>
        <v>95.5</v>
      </c>
      <c r="Q32" s="146" t="str">
        <f t="shared" si="41"/>
        <v>#DIV/0!</v>
      </c>
      <c r="R32" s="136">
        <f t="shared" si="42"/>
        <v>0</v>
      </c>
      <c r="S32" s="137">
        <f t="shared" ref="S32:T32" si="46">E42</f>
        <v>0</v>
      </c>
      <c r="T32" s="136">
        <f t="shared" si="46"/>
        <v>0</v>
      </c>
      <c r="U32" s="134">
        <v>2.0</v>
      </c>
      <c r="V32" s="138">
        <v>46055.0</v>
      </c>
    </row>
    <row r="33">
      <c r="B33" s="157"/>
      <c r="C33" s="158" t="str">
        <f t="shared" ref="C33:G33" si="47">AVERAGE(C20:C30)</f>
        <v>#DIV/0!</v>
      </c>
      <c r="D33" s="159">
        <f t="shared" si="47"/>
        <v>0</v>
      </c>
      <c r="E33" s="159">
        <f t="shared" si="47"/>
        <v>0</v>
      </c>
      <c r="F33" s="158">
        <f t="shared" si="47"/>
        <v>0</v>
      </c>
      <c r="G33" s="158">
        <f t="shared" si="47"/>
        <v>0</v>
      </c>
      <c r="H33" s="158">
        <f>AVERAGE(H19:H30)</f>
        <v>96.17190083</v>
      </c>
      <c r="N33" s="134">
        <v>3.0</v>
      </c>
      <c r="O33" s="135" t="str">
        <f t="shared" si="39"/>
        <v>REACCIONES QUÍMICAS</v>
      </c>
      <c r="P33" s="136">
        <f t="shared" si="40"/>
        <v>96.4</v>
      </c>
      <c r="Q33" s="146" t="str">
        <f t="shared" si="41"/>
        <v>#DIV/0!</v>
      </c>
      <c r="R33" s="136">
        <f t="shared" si="42"/>
        <v>0</v>
      </c>
      <c r="S33" s="137">
        <f t="shared" ref="S33:T33" si="48">E43</f>
        <v>0</v>
      </c>
      <c r="T33" s="136">
        <f t="shared" si="48"/>
        <v>0</v>
      </c>
      <c r="U33" s="134">
        <v>2.0</v>
      </c>
      <c r="V33" s="138">
        <v>46055.0</v>
      </c>
    </row>
    <row r="34">
      <c r="B34" s="160"/>
      <c r="C34" s="161" t="str">
        <f t="shared" ref="C34:E34" si="49">AVERAGE(C21:C33)</f>
        <v>#DIV/0!</v>
      </c>
      <c r="D34" s="162">
        <f t="shared" si="49"/>
        <v>0</v>
      </c>
      <c r="E34" s="161">
        <f t="shared" si="49"/>
        <v>0</v>
      </c>
      <c r="F34" s="160"/>
      <c r="G34" s="160"/>
      <c r="H34" s="129"/>
      <c r="N34" s="134">
        <v>3.0</v>
      </c>
      <c r="O34" s="135" t="str">
        <f t="shared" si="39"/>
        <v>ESPACIO Y SOCIEDAD</v>
      </c>
      <c r="P34" s="136">
        <f t="shared" si="40"/>
        <v>94.6</v>
      </c>
      <c r="Q34" s="146" t="str">
        <f t="shared" si="41"/>
        <v>#DIV/0!</v>
      </c>
      <c r="R34" s="136">
        <f t="shared" si="42"/>
        <v>0</v>
      </c>
      <c r="S34" s="137">
        <f t="shared" ref="S34:T34" si="50">E44</f>
        <v>0</v>
      </c>
      <c r="T34" s="136">
        <f t="shared" si="50"/>
        <v>0</v>
      </c>
      <c r="U34" s="134">
        <v>2.0</v>
      </c>
      <c r="V34" s="138">
        <v>46055.0</v>
      </c>
    </row>
    <row r="35">
      <c r="H35" s="129"/>
      <c r="N35" s="134">
        <v>3.0</v>
      </c>
      <c r="O35" s="135" t="str">
        <f t="shared" si="39"/>
        <v>CIENCIAS SOCIALES III</v>
      </c>
      <c r="P35" s="136">
        <f t="shared" si="40"/>
        <v>95.5</v>
      </c>
      <c r="Q35" s="146" t="str">
        <f t="shared" si="41"/>
        <v>#DIV/0!</v>
      </c>
      <c r="R35" s="136">
        <f t="shared" si="42"/>
        <v>0</v>
      </c>
      <c r="S35" s="137">
        <f t="shared" ref="S35:T35" si="51">E45</f>
        <v>0</v>
      </c>
      <c r="T35" s="136">
        <f t="shared" si="51"/>
        <v>0</v>
      </c>
      <c r="U35" s="134">
        <v>2.0</v>
      </c>
      <c r="V35" s="138">
        <v>46055.0</v>
      </c>
    </row>
    <row r="36">
      <c r="B36" s="127" t="s">
        <v>204</v>
      </c>
      <c r="C36" s="128" t="s">
        <v>189</v>
      </c>
      <c r="D36" s="38">
        <f>'2-2 pensamiento literario'!H9</f>
        <v>50</v>
      </c>
      <c r="H36" s="129"/>
      <c r="N36" s="134">
        <v>3.0</v>
      </c>
      <c r="O36" s="135" t="str">
        <f t="shared" si="39"/>
        <v>COMUNIDADES VIRTUALES</v>
      </c>
      <c r="P36" s="136">
        <f t="shared" si="40"/>
        <v>95.09090909</v>
      </c>
      <c r="Q36" s="146" t="str">
        <f t="shared" si="41"/>
        <v>#DIV/0!</v>
      </c>
      <c r="R36" s="136">
        <f t="shared" si="42"/>
        <v>0</v>
      </c>
      <c r="S36" s="137">
        <f t="shared" ref="S36:T36" si="52">E46</f>
        <v>0</v>
      </c>
      <c r="T36" s="136">
        <f t="shared" si="52"/>
        <v>0</v>
      </c>
      <c r="U36" s="134">
        <v>2.0</v>
      </c>
      <c r="V36" s="138">
        <v>46055.0</v>
      </c>
    </row>
    <row r="37">
      <c r="B37" s="131" t="s">
        <v>16</v>
      </c>
      <c r="C37" s="131" t="s">
        <v>198</v>
      </c>
      <c r="D37" s="131" t="s">
        <v>169</v>
      </c>
      <c r="E37" s="132" t="s">
        <v>171</v>
      </c>
      <c r="F37" s="131" t="s">
        <v>199</v>
      </c>
      <c r="G37" s="131" t="s">
        <v>200</v>
      </c>
      <c r="H37" s="133" t="s">
        <v>175</v>
      </c>
      <c r="N37" s="134">
        <v>3.0</v>
      </c>
      <c r="O37" s="135" t="str">
        <f t="shared" si="39"/>
        <v>MANTENIMIENTO DE REDES DE CÓMPUTO</v>
      </c>
      <c r="P37" s="136">
        <f t="shared" si="40"/>
        <v>93.25</v>
      </c>
      <c r="Q37" s="146" t="str">
        <f t="shared" si="41"/>
        <v>#DIV/0!</v>
      </c>
      <c r="R37" s="136">
        <f t="shared" si="42"/>
        <v>0</v>
      </c>
      <c r="S37" s="137">
        <f t="shared" ref="S37:T37" si="53">E47</f>
        <v>0</v>
      </c>
      <c r="T37" s="136">
        <f t="shared" si="53"/>
        <v>0</v>
      </c>
      <c r="U37" s="134">
        <v>2.0</v>
      </c>
      <c r="V37" s="138">
        <v>46055.0</v>
      </c>
    </row>
    <row r="38">
      <c r="B38" s="139" t="s">
        <v>17</v>
      </c>
      <c r="C38" s="140" t="str">
        <f>'2-2 pensamiento literario'!L62</f>
        <v>#DIV/0!</v>
      </c>
      <c r="D38" s="141">
        <f>'2-2 pensamiento literario'!L63</f>
        <v>0</v>
      </c>
      <c r="E38" s="141">
        <f>'2-2 pensamiento literario'!L64</f>
        <v>0</v>
      </c>
      <c r="F38" s="140">
        <f>'2-2 pensamiento literario'!L65</f>
        <v>0</v>
      </c>
      <c r="G38" s="140">
        <f t="shared" ref="G38:G50" si="55">(E38*100)/$D$1</f>
        <v>0</v>
      </c>
      <c r="H38" s="140">
        <f>'2-2 pensamiento literario'!P67</f>
        <v>99.1</v>
      </c>
      <c r="N38" s="134">
        <v>3.0</v>
      </c>
      <c r="O38" s="135" t="str">
        <f t="shared" si="39"/>
        <v>ACTIVIDADES ARTÍSTICAS Y CULTURALES I </v>
      </c>
      <c r="P38" s="136">
        <f t="shared" si="40"/>
        <v>93.25</v>
      </c>
      <c r="Q38" s="146" t="str">
        <f t="shared" si="41"/>
        <v>#DIV/0!</v>
      </c>
      <c r="R38" s="136">
        <f t="shared" si="42"/>
        <v>0</v>
      </c>
      <c r="S38" s="137">
        <f t="shared" ref="S38:T38" si="54">E48</f>
        <v>0</v>
      </c>
      <c r="T38" s="136">
        <f t="shared" si="54"/>
        <v>0</v>
      </c>
      <c r="U38" s="134">
        <v>2.0</v>
      </c>
      <c r="V38" s="138">
        <v>46055.0</v>
      </c>
    </row>
    <row r="39">
      <c r="B39" s="142" t="s">
        <v>176</v>
      </c>
      <c r="C39" s="143" t="str">
        <f>'2-2 ingles iv'!L62</f>
        <v>#DIV/0!</v>
      </c>
      <c r="D39" s="144">
        <f>'2-2 ingles iv'!L63</f>
        <v>0</v>
      </c>
      <c r="E39" s="144">
        <f>'2-2 ingles iv'!L64</f>
        <v>0</v>
      </c>
      <c r="F39" s="143">
        <f>'2-2 ingles iv'!L65</f>
        <v>0</v>
      </c>
      <c r="G39" s="140">
        <f t="shared" si="55"/>
        <v>0</v>
      </c>
      <c r="H39" s="143">
        <f>'2-2 ingles iv'!P67</f>
        <v>99.1</v>
      </c>
      <c r="N39" s="134">
        <v>3.0</v>
      </c>
      <c r="O39" s="135" t="str">
        <f t="shared" si="39"/>
        <v>EDUCACIÓN INTEGRAL EN SEXUALIDAD Y GÉNERO II</v>
      </c>
      <c r="P39" s="136">
        <f t="shared" si="40"/>
        <v>93.25</v>
      </c>
      <c r="Q39" s="146" t="str">
        <f t="shared" si="41"/>
        <v>#DIV/0!</v>
      </c>
      <c r="R39" s="136">
        <f t="shared" si="42"/>
        <v>0</v>
      </c>
      <c r="S39" s="137">
        <f t="shared" ref="S39:T39" si="56">E49</f>
        <v>0</v>
      </c>
      <c r="T39" s="136">
        <f t="shared" si="56"/>
        <v>0</v>
      </c>
      <c r="U39" s="134">
        <v>2.0</v>
      </c>
      <c r="V39" s="138">
        <v>46055.0</v>
      </c>
    </row>
    <row r="40">
      <c r="B40" s="145" t="s">
        <v>177</v>
      </c>
      <c r="C40" s="146" t="str">
        <f>'2-2 temas selectos de matematic'!L62</f>
        <v>#DIV/0!</v>
      </c>
      <c r="D40" s="147">
        <f>'2-2 temas selectos de matematic'!L63</f>
        <v>0</v>
      </c>
      <c r="E40" s="147">
        <f>'2-2 temas selectos de matematic'!L64</f>
        <v>0</v>
      </c>
      <c r="F40" s="146">
        <f>'2-2 temas selectos de matematic'!L65</f>
        <v>0</v>
      </c>
      <c r="G40" s="140">
        <f t="shared" si="55"/>
        <v>0</v>
      </c>
      <c r="H40" s="146">
        <f>'2-2 temas selectos de matematic'!P67</f>
        <v>99.1</v>
      </c>
      <c r="N40" s="134">
        <v>3.0</v>
      </c>
      <c r="O40" s="135" t="str">
        <f t="shared" si="39"/>
        <v>TEMAS SELECTOS DE IGUALDAD Y DERECHOS HUMANOS IV</v>
      </c>
      <c r="P40" s="136">
        <f t="shared" si="40"/>
        <v>93.25</v>
      </c>
      <c r="Q40" s="146" t="str">
        <f t="shared" si="41"/>
        <v>#DIV/0!</v>
      </c>
      <c r="R40" s="136">
        <f t="shared" si="42"/>
        <v>0</v>
      </c>
      <c r="S40" s="137">
        <f t="shared" ref="S40:T40" si="57">E50</f>
        <v>0</v>
      </c>
      <c r="T40" s="136">
        <f t="shared" si="57"/>
        <v>0</v>
      </c>
      <c r="U40" s="134">
        <v>2.0</v>
      </c>
      <c r="V40" s="138">
        <v>46055.0</v>
      </c>
    </row>
    <row r="41">
      <c r="B41" s="142" t="s">
        <v>201</v>
      </c>
      <c r="C41" s="148" t="str">
        <f>'2-2 conciencia historica i'!L62</f>
        <v>#DIV/0!</v>
      </c>
      <c r="D41" s="149">
        <f>'2-2 conciencia historica i'!L63</f>
        <v>0</v>
      </c>
      <c r="E41" s="149">
        <f>'2-2 conciencia historica i'!L64</f>
        <v>0</v>
      </c>
      <c r="F41" s="148">
        <f>'2-2 conciencia historica i'!L65</f>
        <v>0</v>
      </c>
      <c r="G41" s="140">
        <f t="shared" si="55"/>
        <v>0</v>
      </c>
      <c r="H41" s="148">
        <f>'2-2 conciencia historica i'!P67</f>
        <v>97</v>
      </c>
    </row>
    <row r="42">
      <c r="B42" s="145" t="s">
        <v>202</v>
      </c>
      <c r="C42" s="146" t="str">
        <f>'2-2 taller de cultura digital'!L62</f>
        <v>#DIV/0!</v>
      </c>
      <c r="D42" s="147">
        <f>'2-2 taller de cultura digital'!L63</f>
        <v>0</v>
      </c>
      <c r="E42" s="147">
        <f>'2-2 taller de cultura digital'!L64</f>
        <v>0</v>
      </c>
      <c r="F42" s="146">
        <f>'2-2 taller de cultura digital'!L65</f>
        <v>0</v>
      </c>
      <c r="G42" s="140">
        <f t="shared" si="55"/>
        <v>0</v>
      </c>
      <c r="H42" s="146">
        <f>'2-2 taller de cultura digital'!P67</f>
        <v>95.5</v>
      </c>
    </row>
    <row r="43">
      <c r="B43" s="142" t="s">
        <v>180</v>
      </c>
      <c r="C43" s="148" t="str">
        <f>'2-2 reacciones quimicas'!L62</f>
        <v>#DIV/0!</v>
      </c>
      <c r="D43" s="149">
        <f>'2-2 reacciones quimicas'!L63</f>
        <v>0</v>
      </c>
      <c r="E43" s="149">
        <f>'2-2 reacciones quimicas'!L64</f>
        <v>0</v>
      </c>
      <c r="F43" s="148">
        <f>'2-2 reacciones quimicas'!L65</f>
        <v>0</v>
      </c>
      <c r="G43" s="140">
        <f t="shared" si="55"/>
        <v>0</v>
      </c>
      <c r="H43" s="148">
        <f>'2-2 reacciones quimicas'!P67</f>
        <v>96.4</v>
      </c>
    </row>
    <row r="44">
      <c r="B44" s="145" t="s">
        <v>181</v>
      </c>
      <c r="C44" s="146" t="str">
        <f>'2-2 espacio y sociedad'!L62</f>
        <v>#DIV/0!</v>
      </c>
      <c r="D44" s="147">
        <f>'2-2 espacio y sociedad'!L63</f>
        <v>0</v>
      </c>
      <c r="E44" s="147">
        <f>'2-2 espacio y sociedad'!L64</f>
        <v>0</v>
      </c>
      <c r="F44" s="146">
        <f>'2-2 espacio y sociedad'!L65</f>
        <v>0</v>
      </c>
      <c r="G44" s="140">
        <f t="shared" si="55"/>
        <v>0</v>
      </c>
      <c r="H44" s="146">
        <f>'2-2 espacio y sociedad'!P67</f>
        <v>94.6</v>
      </c>
    </row>
    <row r="45">
      <c r="B45" s="142" t="s">
        <v>182</v>
      </c>
      <c r="C45" s="148" t="str">
        <f>'2-2 ciencias sociales iii'!L62</f>
        <v>#DIV/0!</v>
      </c>
      <c r="D45" s="149">
        <f>'2-2 ciencias sociales iii'!L63</f>
        <v>0</v>
      </c>
      <c r="E45" s="149">
        <f>'2-2 ciencias sociales iii'!L64</f>
        <v>0</v>
      </c>
      <c r="F45" s="148">
        <f>'2-2 ciencias sociales iii'!L65</f>
        <v>0</v>
      </c>
      <c r="G45" s="140">
        <f t="shared" si="55"/>
        <v>0</v>
      </c>
      <c r="H45" s="148">
        <f>'2-2 ciencias sociales iii'!P67</f>
        <v>95.5</v>
      </c>
    </row>
    <row r="46">
      <c r="B46" s="145" t="s">
        <v>183</v>
      </c>
      <c r="C46" s="146" t="str">
        <f>'2-2 comunidades virtuales'!L62</f>
        <v>#DIV/0!</v>
      </c>
      <c r="D46" s="147">
        <f>'2-2 comunidades virtuales'!L63</f>
        <v>0</v>
      </c>
      <c r="E46" s="147">
        <f>'2-2 comunidades virtuales'!L64</f>
        <v>0</v>
      </c>
      <c r="F46" s="146">
        <f>'2-2 comunidades virtuales'!L65</f>
        <v>0</v>
      </c>
      <c r="G46" s="140">
        <f t="shared" si="55"/>
        <v>0</v>
      </c>
      <c r="H46" s="146">
        <f>'2-2 comunidades virtuales'!P67</f>
        <v>95.09090909</v>
      </c>
    </row>
    <row r="47">
      <c r="B47" s="142" t="s">
        <v>184</v>
      </c>
      <c r="C47" s="148" t="str">
        <f>'2-2 mantenimiento de redes de c'!L62</f>
        <v>#DIV/0!</v>
      </c>
      <c r="D47" s="149">
        <f>'2-2 mantenimiento de redes de c'!L63</f>
        <v>0</v>
      </c>
      <c r="E47" s="149">
        <f>'2-2 mantenimiento de redes de c'!L64</f>
        <v>0</v>
      </c>
      <c r="F47" s="148">
        <f>'2-2 mantenimiento de redes de c'!L65</f>
        <v>0</v>
      </c>
      <c r="G47" s="140">
        <f t="shared" si="55"/>
        <v>0</v>
      </c>
      <c r="H47" s="148">
        <f>'2-2 mantenimiento de redes de c'!P67</f>
        <v>93.25</v>
      </c>
    </row>
    <row r="48">
      <c r="B48" s="150" t="s">
        <v>203</v>
      </c>
      <c r="C48" s="151" t="str">
        <f>'2-2 actividades artisticas y cu'!L62</f>
        <v>#DIV/0!</v>
      </c>
      <c r="D48" s="152">
        <f>'2-2 actividades artisticas y cu'!L63</f>
        <v>0</v>
      </c>
      <c r="E48" s="152">
        <f>'2-2 actividades artisticas y cu'!L64</f>
        <v>0</v>
      </c>
      <c r="F48" s="151">
        <f>'2-2 actividades artisticas y cu'!L65</f>
        <v>0</v>
      </c>
      <c r="G48" s="140">
        <f t="shared" si="55"/>
        <v>0</v>
      </c>
      <c r="H48" s="151">
        <f>'2-2 actividades artisticas y cu'!P67</f>
        <v>93.25</v>
      </c>
    </row>
    <row r="49">
      <c r="B49" s="142" t="s">
        <v>186</v>
      </c>
      <c r="C49" s="148" t="str">
        <f>'2-2 educacion integral en sexua'!L62</f>
        <v>#DIV/0!</v>
      </c>
      <c r="D49" s="149">
        <f>'2-2 educacion integral en sexua'!L63</f>
        <v>0</v>
      </c>
      <c r="E49" s="149">
        <f>'2-2 educacion integral en sexua'!L64</f>
        <v>0</v>
      </c>
      <c r="F49" s="148">
        <f>'2-2 educacion integral en sexua'!L65</f>
        <v>0</v>
      </c>
      <c r="G49" s="140">
        <f t="shared" si="55"/>
        <v>0</v>
      </c>
      <c r="H49" s="148">
        <f>'2-2 educacion integral en sexua'!P67</f>
        <v>93.25</v>
      </c>
    </row>
    <row r="50">
      <c r="B50" s="150" t="s">
        <v>187</v>
      </c>
      <c r="C50" s="151" t="str">
        <f>'2-2 temas selectos de igualdad '!L62</f>
        <v>#DIV/0!</v>
      </c>
      <c r="D50" s="152">
        <f>'2-2 temas selectos de igualdad '!L63</f>
        <v>0</v>
      </c>
      <c r="E50" s="152">
        <f>'2-2 temas selectos de igualdad '!L64</f>
        <v>0</v>
      </c>
      <c r="F50" s="151">
        <f>'2-2 temas selectos de igualdad '!L65</f>
        <v>0</v>
      </c>
      <c r="G50" s="140">
        <f t="shared" si="55"/>
        <v>0</v>
      </c>
      <c r="H50" s="151">
        <f>'2-2 temas selectos de igualdad '!P67</f>
        <v>93.25</v>
      </c>
    </row>
    <row r="51">
      <c r="B51" s="157"/>
      <c r="C51" s="158" t="str">
        <f t="shared" ref="C51:G51" si="58">AVERAGE(C38:C48)</f>
        <v>#DIV/0!</v>
      </c>
      <c r="D51" s="159">
        <f t="shared" si="58"/>
        <v>0</v>
      </c>
      <c r="E51" s="159">
        <f t="shared" si="58"/>
        <v>0</v>
      </c>
      <c r="F51" s="158">
        <f t="shared" si="58"/>
        <v>0</v>
      </c>
      <c r="G51" s="158">
        <f t="shared" si="58"/>
        <v>0</v>
      </c>
      <c r="H51" s="158">
        <f>AVERAGE(H37:H48)</f>
        <v>96.17190083</v>
      </c>
    </row>
    <row r="52">
      <c r="H52" s="129"/>
    </row>
    <row r="53">
      <c r="B53" s="127" t="s">
        <v>205</v>
      </c>
      <c r="C53" s="128" t="s">
        <v>189</v>
      </c>
      <c r="D53" s="38">
        <f>'2-2 pensamiento literario'!H9</f>
        <v>50</v>
      </c>
      <c r="H53" s="129"/>
    </row>
    <row r="54">
      <c r="B54" s="131" t="s">
        <v>16</v>
      </c>
      <c r="C54" s="131" t="s">
        <v>198</v>
      </c>
      <c r="D54" s="131" t="s">
        <v>169</v>
      </c>
      <c r="E54" s="132" t="s">
        <v>171</v>
      </c>
      <c r="F54" s="131" t="s">
        <v>199</v>
      </c>
      <c r="G54" s="131" t="s">
        <v>200</v>
      </c>
      <c r="H54" s="133" t="s">
        <v>175</v>
      </c>
    </row>
    <row r="55">
      <c r="B55" s="139" t="s">
        <v>17</v>
      </c>
      <c r="C55" s="140">
        <f>'2-2 pensamiento literario'!P62</f>
        <v>8.698113208</v>
      </c>
      <c r="D55" s="141">
        <f>'2-2 pensamiento literario'!P63</f>
        <v>44</v>
      </c>
      <c r="E55" s="141">
        <f>'2-2 pensamiento literario'!P64</f>
        <v>6</v>
      </c>
      <c r="F55" s="140">
        <f>'2-2 pensamiento literario'!P65</f>
        <v>88</v>
      </c>
      <c r="G55" s="140">
        <f t="shared" ref="G55:G67" si="59">(E55*100)/$D$1</f>
        <v>12</v>
      </c>
      <c r="H55" s="140">
        <f>'2-2 pensamiento literario'!P67</f>
        <v>99.1</v>
      </c>
    </row>
    <row r="56">
      <c r="B56" s="142" t="s">
        <v>176</v>
      </c>
      <c r="C56" s="143">
        <f>'2-2 ingles iv'!P62</f>
        <v>8.698113208</v>
      </c>
      <c r="D56" s="144">
        <f>'2-2 ingles iv'!P63</f>
        <v>44</v>
      </c>
      <c r="E56" s="144">
        <f>'2-2 ingles iv'!P64</f>
        <v>6</v>
      </c>
      <c r="F56" s="143">
        <f>'2-2 ingles iv'!P65</f>
        <v>88</v>
      </c>
      <c r="G56" s="140">
        <f t="shared" si="59"/>
        <v>12</v>
      </c>
      <c r="H56" s="143">
        <f>'2-2 ingles iv'!P67</f>
        <v>99.1</v>
      </c>
    </row>
    <row r="57">
      <c r="B57" s="145" t="s">
        <v>177</v>
      </c>
      <c r="C57" s="146">
        <f>'2-2 temas selectos de matematic'!P62</f>
        <v>8.698113208</v>
      </c>
      <c r="D57" s="147">
        <f>'2-2 temas selectos de matematic'!P63</f>
        <v>44</v>
      </c>
      <c r="E57" s="147">
        <f>'2-2 temas selectos de matematic'!P64</f>
        <v>6</v>
      </c>
      <c r="F57" s="146">
        <f>'2-2 temas selectos de matematic'!P65</f>
        <v>88</v>
      </c>
      <c r="G57" s="140">
        <f t="shared" si="59"/>
        <v>12</v>
      </c>
      <c r="H57" s="146">
        <f>'2-2 temas selectos de matematic'!P67</f>
        <v>99.1</v>
      </c>
    </row>
    <row r="58">
      <c r="B58" s="142" t="s">
        <v>201</v>
      </c>
      <c r="C58" s="148">
        <f>'2-2 conciencia historica i'!P62</f>
        <v>7.788461538</v>
      </c>
      <c r="D58" s="149">
        <f>'2-2 conciencia historica i'!P63</f>
        <v>44</v>
      </c>
      <c r="E58" s="149">
        <f>'2-2 conciencia historica i'!P64</f>
        <v>6</v>
      </c>
      <c r="F58" s="148">
        <f>'2-2 conciencia historica i'!P65</f>
        <v>88</v>
      </c>
      <c r="G58" s="140">
        <f t="shared" si="59"/>
        <v>12</v>
      </c>
      <c r="H58" s="148">
        <f>'2-2 conciencia historica i'!P67</f>
        <v>97</v>
      </c>
    </row>
    <row r="59">
      <c r="B59" s="145" t="s">
        <v>202</v>
      </c>
      <c r="C59" s="146">
        <f>'2-2 taller de cultura digital'!P62</f>
        <v>7.673076923</v>
      </c>
      <c r="D59" s="147">
        <f>'2-2 taller de cultura digital'!P63</f>
        <v>44</v>
      </c>
      <c r="E59" s="147">
        <f>'2-2 taller de cultura digital'!P64</f>
        <v>6</v>
      </c>
      <c r="F59" s="146">
        <f>'2-2 taller de cultura digital'!P65</f>
        <v>88</v>
      </c>
      <c r="G59" s="140">
        <f t="shared" si="59"/>
        <v>12</v>
      </c>
      <c r="H59" s="146">
        <f>'2-2 taller de cultura digital'!P67</f>
        <v>95.5</v>
      </c>
    </row>
    <row r="60">
      <c r="B60" s="142" t="s">
        <v>180</v>
      </c>
      <c r="C60" s="148">
        <f>'2-2 reacciones quimicas'!P62</f>
        <v>7.730769231</v>
      </c>
      <c r="D60" s="149">
        <f>'2-2 reacciones quimicas'!P63</f>
        <v>44</v>
      </c>
      <c r="E60" s="149">
        <f>'2-2 reacciones quimicas'!P64</f>
        <v>6</v>
      </c>
      <c r="F60" s="148">
        <f>'2-2 reacciones quimicas'!P65</f>
        <v>88</v>
      </c>
      <c r="G60" s="140">
        <f t="shared" si="59"/>
        <v>12</v>
      </c>
      <c r="H60" s="148">
        <f>'2-2 reacciones quimicas'!P67</f>
        <v>96.4</v>
      </c>
    </row>
    <row r="61">
      <c r="B61" s="145" t="s">
        <v>181</v>
      </c>
      <c r="C61" s="146">
        <f>'2-2 espacio y sociedad'!P62</f>
        <v>7.634615385</v>
      </c>
      <c r="D61" s="147">
        <f>'2-2 espacio y sociedad'!P63</f>
        <v>44</v>
      </c>
      <c r="E61" s="147">
        <f>'2-2 espacio y sociedad'!P64</f>
        <v>6</v>
      </c>
      <c r="F61" s="146">
        <f>'2-2 espacio y sociedad'!P65</f>
        <v>88</v>
      </c>
      <c r="G61" s="140">
        <f t="shared" si="59"/>
        <v>12</v>
      </c>
      <c r="H61" s="146">
        <f>'2-2 espacio y sociedad'!P67</f>
        <v>94.6</v>
      </c>
    </row>
    <row r="62">
      <c r="B62" s="142" t="s">
        <v>182</v>
      </c>
      <c r="C62" s="148">
        <f>'2-2 ciencias sociales iii'!P62</f>
        <v>7.673076923</v>
      </c>
      <c r="D62" s="149">
        <f>'2-2 ciencias sociales iii'!P63</f>
        <v>44</v>
      </c>
      <c r="E62" s="149">
        <f>'2-2 ciencias sociales iii'!P64</f>
        <v>6</v>
      </c>
      <c r="F62" s="148">
        <f>'2-2 ciencias sociales iii'!P65</f>
        <v>88</v>
      </c>
      <c r="G62" s="140">
        <f t="shared" si="59"/>
        <v>12</v>
      </c>
      <c r="H62" s="148">
        <f>'2-2 ciencias sociales iii'!P67</f>
        <v>95.5</v>
      </c>
    </row>
    <row r="63">
      <c r="B63" s="145" t="s">
        <v>183</v>
      </c>
      <c r="C63" s="146">
        <f>'2-2 comunidades virtuales'!P62</f>
        <v>7.653846154</v>
      </c>
      <c r="D63" s="147">
        <f>'2-2 comunidades virtuales'!P63</f>
        <v>44</v>
      </c>
      <c r="E63" s="147">
        <f>'2-2 comunidades virtuales'!P64</f>
        <v>6</v>
      </c>
      <c r="F63" s="146">
        <f>'2-2 comunidades virtuales'!P65</f>
        <v>88</v>
      </c>
      <c r="G63" s="140">
        <f t="shared" si="59"/>
        <v>12</v>
      </c>
      <c r="H63" s="146">
        <f>'2-2 comunidades virtuales'!P67</f>
        <v>95.09090909</v>
      </c>
    </row>
    <row r="64">
      <c r="B64" s="142" t="s">
        <v>184</v>
      </c>
      <c r="C64" s="148">
        <f>'2-2 mantenimiento de redes de c'!P62</f>
        <v>7.547169811</v>
      </c>
      <c r="D64" s="149">
        <f>'2-2 mantenimiento de redes de c'!P63</f>
        <v>44</v>
      </c>
      <c r="E64" s="149">
        <f>'2-2 mantenimiento de redes de c'!P64</f>
        <v>6</v>
      </c>
      <c r="F64" s="148">
        <f>'2-2 mantenimiento de redes de c'!P65</f>
        <v>88</v>
      </c>
      <c r="G64" s="140">
        <f t="shared" si="59"/>
        <v>12</v>
      </c>
      <c r="H64" s="148">
        <f>'2-2 mantenimiento de redes de c'!P67</f>
        <v>93.25</v>
      </c>
    </row>
    <row r="65">
      <c r="B65" s="150" t="s">
        <v>203</v>
      </c>
      <c r="C65" s="151">
        <f>'2-2 actividades artisticas y cu'!P62</f>
        <v>7.547169811</v>
      </c>
      <c r="D65" s="152">
        <f>'2-2 actividades artisticas y cu'!P63</f>
        <v>44</v>
      </c>
      <c r="E65" s="152">
        <f>'2-2 actividades artisticas y cu'!P64</f>
        <v>6</v>
      </c>
      <c r="F65" s="151">
        <f>'2-2 actividades artisticas y cu'!P65</f>
        <v>88</v>
      </c>
      <c r="G65" s="140">
        <f t="shared" si="59"/>
        <v>12</v>
      </c>
      <c r="H65" s="151">
        <f>'2-2 actividades artisticas y cu'!P67</f>
        <v>93.25</v>
      </c>
    </row>
    <row r="66">
      <c r="B66" s="142" t="s">
        <v>186</v>
      </c>
      <c r="C66" s="148">
        <f>'2-2 educacion integral en sexua'!P62</f>
        <v>7.547169811</v>
      </c>
      <c r="D66" s="149">
        <f>'2-2 educacion integral en sexua'!P63</f>
        <v>44</v>
      </c>
      <c r="E66" s="149">
        <f>'2-2 educacion integral en sexua'!P64</f>
        <v>6</v>
      </c>
      <c r="F66" s="148">
        <f>'2-2 educacion integral en sexua'!P65</f>
        <v>88</v>
      </c>
      <c r="G66" s="140">
        <f t="shared" si="59"/>
        <v>12</v>
      </c>
      <c r="H66" s="148">
        <f>'2-2 educacion integral en sexua'!P67</f>
        <v>93.25</v>
      </c>
    </row>
    <row r="67">
      <c r="B67" s="150" t="s">
        <v>187</v>
      </c>
      <c r="C67" s="151">
        <f>'2-2 temas selectos de igualdad '!P62</f>
        <v>7.547169811</v>
      </c>
      <c r="D67" s="152">
        <f>'2-2 temas selectos de igualdad '!P63</f>
        <v>44</v>
      </c>
      <c r="E67" s="152">
        <f>'2-2 temas selectos de igualdad '!P64</f>
        <v>6</v>
      </c>
      <c r="F67" s="151">
        <f>'2-2 temas selectos de igualdad '!P65</f>
        <v>88</v>
      </c>
      <c r="G67" s="140">
        <f t="shared" si="59"/>
        <v>12</v>
      </c>
      <c r="H67" s="151">
        <f>'2-2 temas selectos de igualdad '!P67</f>
        <v>93.25</v>
      </c>
    </row>
    <row r="68">
      <c r="B68" s="157"/>
      <c r="C68" s="158">
        <f t="shared" ref="C68:G68" si="60">AVERAGE(C55:C65)</f>
        <v>7.940229582</v>
      </c>
      <c r="D68" s="159">
        <f t="shared" si="60"/>
        <v>44</v>
      </c>
      <c r="E68" s="159">
        <f t="shared" si="60"/>
        <v>6</v>
      </c>
      <c r="F68" s="158">
        <f t="shared" si="60"/>
        <v>88</v>
      </c>
      <c r="G68" s="158">
        <f t="shared" si="60"/>
        <v>12</v>
      </c>
      <c r="H68" s="158">
        <f>AVERAGE(H54:H65)</f>
        <v>96.17190083</v>
      </c>
    </row>
  </sheetData>
  <conditionalFormatting sqref="C3:C16 D3:H15 C20:C33 D20:H32 C38:C51 D38:H50 C54:C68 D55:H67">
    <cfRule type="cellIs" dxfId="0" priority="1" operator="lessThan">
      <formula>8.3</formula>
    </cfRule>
  </conditionalFormatting>
  <conditionalFormatting sqref="F3:F16 F20:F33 F38:F51 F54:F68 H54:H64">
    <cfRule type="cellIs" dxfId="0" priority="2" operator="lessThan">
      <formula>86</formula>
    </cfRule>
  </conditionalFormatting>
  <conditionalFormatting sqref="G3:G16 G20:G33 G38:G51 G54:G68">
    <cfRule type="cellIs" dxfId="0" priority="3" operator="greaterThanOrEqual">
      <formula>14</formula>
    </cfRule>
  </conditionalFormatting>
  <drawing r:id="rId1"/>
</worksheet>
</file>