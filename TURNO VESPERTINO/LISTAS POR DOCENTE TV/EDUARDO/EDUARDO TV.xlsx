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comunidades virtuales" sheetId="1" r:id="rId5"/>
    <sheet state="visible" name="2-3 comunidades virtuales" sheetId="2" r:id="rId6"/>
    <sheet state="visible" name="3-1 diseño digital" sheetId="3" r:id="rId7"/>
    <sheet state="visible" name="3-2 paginas web" sheetId="4" r:id="rId8"/>
    <sheet state="visible" name="3-2 diseño digital" sheetId="5" r:id="rId9"/>
    <sheet state="visible" name="3-3 diseño digital" sheetId="6" r:id="rId10"/>
  </sheets>
  <definedNames/>
  <calcPr/>
</workbook>
</file>

<file path=xl/sharedStrings.xml><?xml version="1.0" encoding="utf-8"?>
<sst xmlns="http://schemas.openxmlformats.org/spreadsheetml/2006/main" count="1070" uniqueCount="502">
  <si>
    <t>ESCUELA PREPARATORIA OFICIAL NÚM. 67</t>
  </si>
  <si>
    <t xml:space="preserve">CONTROL PRIMER PARCIAL </t>
  </si>
  <si>
    <t xml:space="preserve">PROFESOR (A): </t>
  </si>
  <si>
    <t>EDUARDO SANCHEZ OSORIO</t>
  </si>
  <si>
    <t>I</t>
  </si>
  <si>
    <t>II</t>
  </si>
  <si>
    <t>III</t>
  </si>
  <si>
    <t>PUNTAJE EXTRA</t>
  </si>
  <si>
    <t>CUARTO SEMESTRE
VESPERTINO</t>
  </si>
  <si>
    <t>UAC</t>
  </si>
  <si>
    <t>COMUNIDADES VIRTUALES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</si>
  <si>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</si>
  <si>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</si>
  <si>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</si>
  <si>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</si>
  <si>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</si>
  <si>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</si>
  <si>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</si>
  <si>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</si>
  <si>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</si>
  <si>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</si>
  <si>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</si>
  <si>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</si>
  <si>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 xml:space="preserve">BAUTISTA </t>
  </si>
  <si>
    <t>JUAREZ</t>
  </si>
  <si>
    <t>LUIS ERNESTO</t>
  </si>
  <si>
    <t>HORAS IMPARTIDAS</t>
  </si>
  <si>
    <t xml:space="preserve">BOLAÑOS </t>
  </si>
  <si>
    <t>ARREDONDO</t>
  </si>
  <si>
    <t>ANTONIO ALEXANDER</t>
  </si>
  <si>
    <t>Febrero</t>
  </si>
  <si>
    <t xml:space="preserve">CANO </t>
  </si>
  <si>
    <t>GUZMAN</t>
  </si>
  <si>
    <t>LUKA PAOLO</t>
  </si>
  <si>
    <t>Marzo</t>
  </si>
  <si>
    <t xml:space="preserve">CID </t>
  </si>
  <si>
    <t>MARISCAL</t>
  </si>
  <si>
    <t>KIMBERLY</t>
  </si>
  <si>
    <t>Abril</t>
  </si>
  <si>
    <t xml:space="preserve">CISNEROS  </t>
  </si>
  <si>
    <t>RODRIGUEZ</t>
  </si>
  <si>
    <t>DIEGO LEONEL</t>
  </si>
  <si>
    <t>Mayo</t>
  </si>
  <si>
    <t xml:space="preserve">CRUZ </t>
  </si>
  <si>
    <t>ORTEGA</t>
  </si>
  <si>
    <t>MARY CARMEN</t>
  </si>
  <si>
    <t>Junio</t>
  </si>
  <si>
    <t xml:space="preserve">DE LA LUZ </t>
  </si>
  <si>
    <t>VILLANUEVA</t>
  </si>
  <si>
    <t>JONATHAN</t>
  </si>
  <si>
    <t>Julio</t>
  </si>
  <si>
    <t xml:space="preserve">DIAZ  </t>
  </si>
  <si>
    <t>LOPEZ</t>
  </si>
  <si>
    <t>BRYAN ALEJANDRO</t>
  </si>
  <si>
    <t>TOTAL</t>
  </si>
  <si>
    <t xml:space="preserve">ESCUTIA </t>
  </si>
  <si>
    <t>ROMERO</t>
  </si>
  <si>
    <t>YANELY SCARLET</t>
  </si>
  <si>
    <t xml:space="preserve">FLORES </t>
  </si>
  <si>
    <t>GARCIA</t>
  </si>
  <si>
    <t>ZOE NAOMI</t>
  </si>
  <si>
    <t xml:space="preserve">GALVAN </t>
  </si>
  <si>
    <t>HERNANDEZ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</si>
  <si>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</si>
  <si>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</si>
  <si>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</si>
  <si>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</si>
  <si>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</si>
  <si>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</si>
  <si>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</si>
  <si>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</si>
  <si>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</si>
  <si>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</si>
  <si>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RAMIREZ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</si>
  <si>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</si>
  <si>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</si>
  <si>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</si>
  <si>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</si>
  <si>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</si>
  <si>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</si>
  <si>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</si>
  <si>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</si>
  <si>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</si>
  <si>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</si>
  <si>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</si>
  <si>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</si>
  <si>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</si>
  <si>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</si>
  <si>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</si>
  <si>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</si>
  <si>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</si>
  <si>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</si>
  <si>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</si>
  <si>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VELAZQUEZ</t>
  </si>
  <si>
    <t>ARIADNA</t>
  </si>
  <si>
    <t>VERA</t>
  </si>
  <si>
    <t>EMILIANO</t>
  </si>
  <si>
    <t xml:space="preserve">NAVA </t>
  </si>
  <si>
    <t>ARTEAGA</t>
  </si>
  <si>
    <t>ANALIA ZOE</t>
  </si>
  <si>
    <t>OLMOS</t>
  </si>
  <si>
    <t>SANCHEZ</t>
  </si>
  <si>
    <t>STEFANY QUETZALLI</t>
  </si>
  <si>
    <t xml:space="preserve">OLVERA </t>
  </si>
  <si>
    <t>SOLIS</t>
  </si>
  <si>
    <t>VALENTINA GUADALUPE</t>
  </si>
  <si>
    <t>VALERIO</t>
  </si>
  <si>
    <t>PAOLA AILANY</t>
  </si>
  <si>
    <t xml:space="preserve">RICO </t>
  </si>
  <si>
    <t>OJEDA</t>
  </si>
  <si>
    <t>FERNANDA YARELI</t>
  </si>
  <si>
    <t>SUAREZ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</si>
  <si>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</si>
  <si>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</si>
  <si>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</si>
  <si>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</si>
  <si>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</si>
  <si>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</si>
  <si>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</si>
  <si>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</si>
  <si>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</si>
  <si>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</si>
  <si>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</si>
  <si>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</si>
  <si>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</si>
  <si>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</si>
  <si>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</si>
  <si>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</si>
  <si>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</si>
  <si>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</si>
  <si>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</si>
  <si>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</si>
  <si>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</si>
  <si>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</si>
  <si>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</si>
  <si>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</si>
  <si>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</si>
  <si>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BEATRIZ ALEJANDRA GARCÍA GONZÁLEZ</t>
  </si>
  <si>
    <t>PROFR. OCTAVIO VÁZQUEZ BARRETO</t>
  </si>
  <si>
    <t xml:space="preserve">PROFR. ROBERTO PALOMARES MEJÍA </t>
  </si>
  <si>
    <t>PROMEDIO</t>
  </si>
  <si>
    <t xml:space="preserve">COMUNIDADES VIRTUALES </t>
  </si>
  <si>
    <t>CALZADA</t>
  </si>
  <si>
    <t>SOTO</t>
  </si>
  <si>
    <t>ANDRE SEBASTIAN</t>
  </si>
  <si>
    <t>CERON</t>
  </si>
  <si>
    <t>MARTINEZ</t>
  </si>
  <si>
    <t>ERICK</t>
  </si>
  <si>
    <t>ELIZALDE</t>
  </si>
  <si>
    <t>KARLA VALENTINA</t>
  </si>
  <si>
    <t>FLORES</t>
  </si>
  <si>
    <t>ROBLES</t>
  </si>
  <si>
    <t>SUSANA MIRANDA</t>
  </si>
  <si>
    <t>FUENTES</t>
  </si>
  <si>
    <t>GUTIERREZ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</si>
  <si>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</si>
  <si>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</si>
  <si>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</si>
  <si>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</si>
  <si>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</si>
  <si>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</si>
  <si>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</si>
  <si>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</si>
  <si>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</si>
  <si>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MEREDITH SOFIA</t>
  </si>
  <si>
    <t>MARIA FERNANDA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</si>
  <si>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</si>
  <si>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</si>
  <si>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</si>
  <si>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</si>
  <si>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</si>
  <si>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</si>
  <si>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</si>
  <si>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</si>
  <si>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</si>
  <si>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</si>
  <si>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</si>
  <si>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</si>
  <si>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</si>
  <si>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</si>
  <si>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</si>
  <si>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</si>
  <si>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</si>
  <si>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</si>
  <si>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</si>
  <si>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MORALES</t>
  </si>
  <si>
    <t>VALENTINA</t>
  </si>
  <si>
    <t>MORENO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</si>
  <si>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</si>
  <si>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</si>
  <si>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</si>
  <si>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</si>
  <si>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</si>
  <si>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</si>
  <si>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</si>
  <si>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</si>
  <si>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</si>
  <si>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</si>
  <si>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</si>
  <si>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</si>
  <si>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</si>
  <si>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</si>
  <si>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</si>
  <si>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</si>
  <si>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</si>
  <si>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</si>
  <si>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</si>
  <si>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</si>
  <si>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</si>
  <si>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</si>
  <si>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</si>
  <si>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</si>
  <si>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</si>
  <si>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</si>
  <si>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</si>
  <si>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</si>
  <si>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</si>
  <si>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</si>
  <si>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</si>
  <si>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</si>
  <si>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</si>
  <si>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</si>
  <si>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</si>
  <si>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</si>
  <si>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</si>
  <si>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</si>
  <si>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</si>
  <si>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</si>
  <si>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</si>
  <si>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</si>
  <si>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</si>
  <si>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</si>
  <si>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</si>
  <si>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SEXTO SEMESTRE
VESPERTINO</t>
  </si>
  <si>
    <t>DISEÑO DIGITAL</t>
  </si>
  <si>
    <t>3°</t>
  </si>
  <si>
    <t>AGUILAR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</si>
  <si>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</si>
  <si>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</si>
  <si>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</si>
  <si>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</si>
  <si>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</si>
  <si>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</si>
  <si>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</si>
  <si>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</si>
  <si>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</si>
  <si>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</si>
  <si>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</si>
  <si>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</si>
  <si>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</si>
  <si>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CHERON</t>
  </si>
  <si>
    <t>CARRASCO</t>
  </si>
  <si>
    <t>ORLANDO MANUEL</t>
  </si>
  <si>
    <t>CRESCENCIO</t>
  </si>
  <si>
    <t>DOMINGUEZ</t>
  </si>
  <si>
    <t>LEONARDO</t>
  </si>
  <si>
    <t>ARANZA MABEL</t>
  </si>
  <si>
    <t>CRUZ</t>
  </si>
  <si>
    <t>ROLDAN</t>
  </si>
  <si>
    <t>IVANNA GISELLE</t>
  </si>
  <si>
    <t>DIAZ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</si>
  <si>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</si>
  <si>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</si>
  <si>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</si>
  <si>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</si>
  <si>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</si>
  <si>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</si>
  <si>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</si>
  <si>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</si>
  <si>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</si>
  <si>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</si>
  <si>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</si>
  <si>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</si>
  <si>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</si>
  <si>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</si>
  <si>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</si>
  <si>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</si>
  <si>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</si>
  <si>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</si>
  <si>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</si>
  <si>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</si>
  <si>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</si>
  <si>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</si>
  <si>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</si>
  <si>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</si>
  <si>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</si>
  <si>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</si>
  <si>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</si>
  <si>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</si>
  <si>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</si>
  <si>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</si>
  <si>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</si>
  <si>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</si>
  <si>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</si>
  <si>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</si>
  <si>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</si>
  <si>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</si>
  <si>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</si>
  <si>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</si>
  <si>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</si>
  <si>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</si>
  <si>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</si>
  <si>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</si>
  <si>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</si>
  <si>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</si>
  <si>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</si>
  <si>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</si>
  <si>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</si>
  <si>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</si>
  <si>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</si>
  <si>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</si>
  <si>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</si>
  <si>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</si>
  <si>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</si>
  <si>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</si>
  <si>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SANTIAGO</t>
  </si>
  <si>
    <t>ZARA JOSELYN</t>
  </si>
  <si>
    <t>CASTRO</t>
  </si>
  <si>
    <t>URIBE</t>
  </si>
  <si>
    <t>SERGIO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</si>
  <si>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</si>
  <si>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</si>
  <si>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</si>
  <si>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</si>
  <si>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</si>
  <si>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</si>
  <si>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</si>
  <si>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</si>
  <si>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</si>
  <si>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>PÁGINAS WEB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</si>
  <si>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</si>
  <si>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</si>
  <si>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</si>
  <si>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</si>
  <si>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</si>
  <si>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</si>
  <si>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</si>
  <si>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</si>
  <si>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</si>
  <si>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</si>
  <si>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</si>
  <si>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</si>
  <si>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</si>
  <si>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</si>
  <si>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</si>
  <si>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</si>
  <si>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</si>
  <si>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</si>
  <si>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</si>
  <si>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</si>
  <si>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</si>
  <si>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</si>
  <si>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</si>
  <si>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</si>
  <si>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</si>
  <si>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</si>
  <si>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</si>
  <si>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</si>
  <si>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</si>
  <si>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</si>
  <si>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</si>
  <si>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</si>
  <si>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</si>
  <si>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</si>
  <si>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</si>
  <si>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</si>
  <si>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</si>
  <si>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</si>
  <si>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</si>
  <si>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</si>
  <si>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</si>
  <si>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</si>
  <si>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</si>
  <si>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</si>
  <si>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</si>
  <si>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</si>
  <si>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</si>
  <si>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</si>
  <si>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</si>
  <si>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</si>
  <si>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</si>
  <si>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</si>
  <si>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</si>
  <si>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</si>
  <si>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</si>
  <si>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</si>
  <si>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</si>
  <si>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</si>
  <si>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</si>
  <si>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PICAZO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</si>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</sst>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Font="1" applyNumberForma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43" fillId="0" fontId="2" numFmtId="2" xfId="0" applyBorder="1" applyFont="1" applyNumberFormat="1"/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34" fillId="0" fontId="1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0" fillId="3" fontId="2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73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71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71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72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72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1.88</v>
      </c>
      <c r="G17" s="47">
        <v>2.0</v>
      </c>
      <c r="H17" s="48"/>
      <c r="I17" s="48">
        <f t="shared" ref="I17:I51" si="1">SUM(E17:H17)</f>
        <v>8.88</v>
      </c>
      <c r="J17" s="44"/>
      <c r="K17" s="49">
        <f t="shared" ref="K17:K51" si="2">IF(I17&lt;6, 5, MIN(10, ROUND(I17, 0)))</f>
        <v>9</v>
      </c>
      <c r="L17" s="45"/>
      <c r="M17" s="50">
        <f t="shared" ref="M17:M51" si="3">IF(I17&gt;=6,ROUND(I17,0),TRUNC(I17,0))</f>
        <v>9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0.0</v>
      </c>
      <c r="G18" s="47">
        <v>2.0</v>
      </c>
      <c r="H18" s="48"/>
      <c r="I18" s="48">
        <f t="shared" si="1"/>
        <v>6</v>
      </c>
      <c r="J18" s="52">
        <v>2.0</v>
      </c>
      <c r="K18" s="49">
        <f t="shared" si="2"/>
        <v>6</v>
      </c>
      <c r="L18" s="44"/>
      <c r="M18" s="50">
        <f t="shared" si="3"/>
        <v>6</v>
      </c>
      <c r="N18" s="53" t="s">
        <v>30</v>
      </c>
      <c r="O18" s="52">
        <v>9.0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1.88</v>
      </c>
      <c r="G19" s="47">
        <v>0.0</v>
      </c>
      <c r="H19" s="48"/>
      <c r="I19" s="48">
        <f t="shared" si="1"/>
        <v>6.88</v>
      </c>
      <c r="J19" s="44"/>
      <c r="K19" s="49">
        <f t="shared" si="2"/>
        <v>7</v>
      </c>
      <c r="L19" s="44"/>
      <c r="M19" s="50">
        <f t="shared" si="3"/>
        <v>7</v>
      </c>
      <c r="N19" s="53" t="s">
        <v>34</v>
      </c>
      <c r="O19" s="52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4.8</v>
      </c>
      <c r="F20" s="47">
        <v>2.81</v>
      </c>
      <c r="G20" s="47">
        <v>2.0</v>
      </c>
      <c r="H20" s="48"/>
      <c r="I20" s="48">
        <f t="shared" si="1"/>
        <v>9.61</v>
      </c>
      <c r="J20" s="44"/>
      <c r="K20" s="49">
        <f t="shared" si="2"/>
        <v>10</v>
      </c>
      <c r="L20" s="44"/>
      <c r="M20" s="50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5.0</v>
      </c>
      <c r="F21" s="47">
        <v>1.88</v>
      </c>
      <c r="G21" s="47">
        <v>2.0</v>
      </c>
      <c r="H21" s="48"/>
      <c r="I21" s="48">
        <f t="shared" si="1"/>
        <v>8.88</v>
      </c>
      <c r="J21" s="44"/>
      <c r="K21" s="49">
        <f t="shared" si="2"/>
        <v>9</v>
      </c>
      <c r="L21" s="44"/>
      <c r="M21" s="50">
        <f t="shared" si="3"/>
        <v>9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4.6</v>
      </c>
      <c r="F22" s="47">
        <v>0.19</v>
      </c>
      <c r="G22" s="47">
        <v>2.0</v>
      </c>
      <c r="H22" s="48"/>
      <c r="I22" s="48">
        <f t="shared" si="1"/>
        <v>6.79</v>
      </c>
      <c r="J22" s="44"/>
      <c r="K22" s="49">
        <f t="shared" si="2"/>
        <v>7</v>
      </c>
      <c r="L22" s="44"/>
      <c r="M22" s="50">
        <f t="shared" si="3"/>
        <v>7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5.0</v>
      </c>
      <c r="F23" s="47">
        <v>2.06</v>
      </c>
      <c r="G23" s="47">
        <v>2.0</v>
      </c>
      <c r="H23" s="48"/>
      <c r="I23" s="48">
        <f t="shared" si="1"/>
        <v>9.06</v>
      </c>
      <c r="J23" s="44"/>
      <c r="K23" s="49">
        <f t="shared" si="2"/>
        <v>9</v>
      </c>
      <c r="L23" s="44"/>
      <c r="M23" s="50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4.0</v>
      </c>
      <c r="F24" s="47">
        <v>0.38</v>
      </c>
      <c r="G24" s="47">
        <v>2.0</v>
      </c>
      <c r="H24" s="48"/>
      <c r="I24" s="48">
        <f t="shared" si="1"/>
        <v>6.38</v>
      </c>
      <c r="J24" s="44"/>
      <c r="K24" s="49">
        <f t="shared" si="2"/>
        <v>6</v>
      </c>
      <c r="L24" s="44"/>
      <c r="M24" s="50">
        <f t="shared" si="3"/>
        <v>6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4.8</v>
      </c>
      <c r="F25" s="47">
        <v>1.69</v>
      </c>
      <c r="G25" s="47">
        <v>2.0</v>
      </c>
      <c r="H25" s="48"/>
      <c r="I25" s="48">
        <f t="shared" si="1"/>
        <v>8.49</v>
      </c>
      <c r="J25" s="44"/>
      <c r="K25" s="49">
        <f t="shared" si="2"/>
        <v>8</v>
      </c>
      <c r="L25" s="44"/>
      <c r="M25" s="50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4.6</v>
      </c>
      <c r="F26" s="47">
        <v>1.69</v>
      </c>
      <c r="G26" s="47">
        <v>2.0</v>
      </c>
      <c r="H26" s="48"/>
      <c r="I26" s="48">
        <f t="shared" si="1"/>
        <v>8.29</v>
      </c>
      <c r="J26" s="44"/>
      <c r="K26" s="49">
        <f t="shared" si="2"/>
        <v>8</v>
      </c>
      <c r="L26" s="44"/>
      <c r="M26" s="50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4.8</v>
      </c>
      <c r="F27" s="47">
        <v>2.81</v>
      </c>
      <c r="G27" s="47">
        <v>2.0</v>
      </c>
      <c r="H27" s="48"/>
      <c r="I27" s="48">
        <f t="shared" si="1"/>
        <v>9.61</v>
      </c>
      <c r="J27" s="44"/>
      <c r="K27" s="49">
        <f t="shared" si="2"/>
        <v>10</v>
      </c>
      <c r="L27" s="44"/>
      <c r="M27" s="50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64</v>
      </c>
      <c r="C28" s="45" t="s">
        <v>65</v>
      </c>
      <c r="D28" s="46" t="s">
        <v>66</v>
      </c>
      <c r="E28" s="47">
        <v>5.0</v>
      </c>
      <c r="F28" s="47">
        <v>1.69</v>
      </c>
      <c r="G28" s="47">
        <v>2.0</v>
      </c>
      <c r="H28" s="48"/>
      <c r="I28" s="48">
        <f t="shared" si="1"/>
        <v>8.69</v>
      </c>
      <c r="J28" s="44"/>
      <c r="K28" s="49">
        <f t="shared" si="2"/>
        <v>9</v>
      </c>
      <c r="L28" s="44"/>
      <c r="M28" s="50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64</v>
      </c>
      <c r="C29" s="45" t="s">
        <v>67</v>
      </c>
      <c r="D29" s="46" t="s">
        <v>68</v>
      </c>
      <c r="E29" s="47">
        <v>4.5</v>
      </c>
      <c r="F29" s="47">
        <v>2.06</v>
      </c>
      <c r="G29" s="47">
        <v>2.0</v>
      </c>
      <c r="H29" s="48"/>
      <c r="I29" s="48">
        <f t="shared" si="1"/>
        <v>8.56</v>
      </c>
      <c r="J29" s="44"/>
      <c r="K29" s="49">
        <f t="shared" si="2"/>
        <v>9</v>
      </c>
      <c r="L29" s="44"/>
      <c r="M29" s="50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69</v>
      </c>
      <c r="C30" s="45" t="s">
        <v>70</v>
      </c>
      <c r="D30" s="46" t="s">
        <v>71</v>
      </c>
      <c r="E30" s="47">
        <v>4.4</v>
      </c>
      <c r="F30" s="47">
        <v>0.94</v>
      </c>
      <c r="G30" s="47">
        <v>2.0</v>
      </c>
      <c r="H30" s="47">
        <v>1.0</v>
      </c>
      <c r="I30" s="48">
        <f t="shared" si="1"/>
        <v>8.34</v>
      </c>
      <c r="J30" s="44"/>
      <c r="K30" s="49">
        <f t="shared" si="2"/>
        <v>8</v>
      </c>
      <c r="L30" s="44"/>
      <c r="M30" s="50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72</v>
      </c>
      <c r="C31" s="45" t="s">
        <v>73</v>
      </c>
      <c r="D31" s="46" t="s">
        <v>74</v>
      </c>
      <c r="E31" s="47">
        <v>3.5</v>
      </c>
      <c r="F31" s="47">
        <v>1.31</v>
      </c>
      <c r="G31" s="47">
        <v>2.0</v>
      </c>
      <c r="H31" s="48"/>
      <c r="I31" s="48">
        <f t="shared" si="1"/>
        <v>6.81</v>
      </c>
      <c r="J31" s="44"/>
      <c r="K31" s="49">
        <f t="shared" si="2"/>
        <v>7</v>
      </c>
      <c r="L31" s="44"/>
      <c r="M31" s="50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75</v>
      </c>
      <c r="C32" s="45" t="s">
        <v>76</v>
      </c>
      <c r="D32" s="46" t="s">
        <v>77</v>
      </c>
      <c r="E32" s="47">
        <v>5.0</v>
      </c>
      <c r="F32" s="47">
        <v>2.0</v>
      </c>
      <c r="G32" s="47">
        <v>2.0</v>
      </c>
      <c r="H32" s="48"/>
      <c r="I32" s="48">
        <f t="shared" si="1"/>
        <v>9</v>
      </c>
      <c r="J32" s="44"/>
      <c r="K32" s="49">
        <f t="shared" si="2"/>
        <v>9</v>
      </c>
      <c r="L32" s="44"/>
      <c r="M32" s="50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78</v>
      </c>
      <c r="C33" s="45" t="s">
        <v>79</v>
      </c>
      <c r="D33" s="46" t="s">
        <v>80</v>
      </c>
      <c r="E33" s="47">
        <v>0.5</v>
      </c>
      <c r="F33" s="47">
        <v>1.5</v>
      </c>
      <c r="G33" s="47">
        <v>0.0</v>
      </c>
      <c r="H33" s="48"/>
      <c r="I33" s="48">
        <f t="shared" si="1"/>
        <v>2</v>
      </c>
      <c r="J33" s="52">
        <v>1.0</v>
      </c>
      <c r="K33" s="49">
        <f t="shared" si="2"/>
        <v>5</v>
      </c>
      <c r="L33" s="44"/>
      <c r="M33" s="50">
        <f t="shared" si="3"/>
        <v>2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81</v>
      </c>
      <c r="C34" s="45" t="s">
        <v>82</v>
      </c>
      <c r="D34" s="46" t="s">
        <v>83</v>
      </c>
      <c r="E34" s="47">
        <v>4.8</v>
      </c>
      <c r="F34" s="47">
        <v>2.6</v>
      </c>
      <c r="G34" s="47">
        <v>2.0</v>
      </c>
      <c r="H34" s="47">
        <v>1.0</v>
      </c>
      <c r="I34" s="48">
        <f t="shared" si="1"/>
        <v>10.4</v>
      </c>
      <c r="J34" s="44"/>
      <c r="K34" s="49">
        <f t="shared" si="2"/>
        <v>10</v>
      </c>
      <c r="L34" s="44"/>
      <c r="M34" s="50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84</v>
      </c>
      <c r="C35" s="45" t="s">
        <v>85</v>
      </c>
      <c r="D35" s="46" t="s">
        <v>86</v>
      </c>
      <c r="E35" s="47">
        <v>5.0</v>
      </c>
      <c r="F35" s="47">
        <v>2.0</v>
      </c>
      <c r="G35" s="47">
        <v>2.0</v>
      </c>
      <c r="H35" s="48"/>
      <c r="I35" s="48">
        <f t="shared" si="1"/>
        <v>9</v>
      </c>
      <c r="J35" s="44"/>
      <c r="K35" s="49">
        <f t="shared" si="2"/>
        <v>9</v>
      </c>
      <c r="L35" s="44"/>
      <c r="M35" s="50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87</v>
      </c>
      <c r="C36" s="45" t="s">
        <v>88</v>
      </c>
      <c r="D36" s="46" t="s">
        <v>89</v>
      </c>
      <c r="E36" s="47">
        <v>5.0</v>
      </c>
      <c r="F36" s="47">
        <v>2.4</v>
      </c>
      <c r="G36" s="47">
        <v>2.0</v>
      </c>
      <c r="H36" s="48"/>
      <c r="I36" s="48">
        <f t="shared" si="1"/>
        <v>9.4</v>
      </c>
      <c r="J36" s="44"/>
      <c r="K36" s="49">
        <f t="shared" si="2"/>
        <v>9</v>
      </c>
      <c r="L36" s="44"/>
      <c r="M36" s="50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87</v>
      </c>
      <c r="C37" s="45" t="s">
        <v>90</v>
      </c>
      <c r="D37" s="46" t="s">
        <v>91</v>
      </c>
      <c r="E37" s="47">
        <v>4.5</v>
      </c>
      <c r="F37" s="47">
        <v>1.8</v>
      </c>
      <c r="G37" s="47">
        <v>2.0</v>
      </c>
      <c r="H37" s="48"/>
      <c r="I37" s="48">
        <f t="shared" si="1"/>
        <v>8.3</v>
      </c>
      <c r="J37" s="52">
        <v>1.0</v>
      </c>
      <c r="K37" s="49">
        <f t="shared" si="2"/>
        <v>8</v>
      </c>
      <c r="L37" s="44"/>
      <c r="M37" s="50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56</v>
      </c>
      <c r="D38" s="46" t="s">
        <v>92</v>
      </c>
      <c r="E38" s="47">
        <v>4.8</v>
      </c>
      <c r="F38" s="47">
        <v>1.1</v>
      </c>
      <c r="G38" s="47">
        <v>2.0</v>
      </c>
      <c r="H38" s="48"/>
      <c r="I38" s="48">
        <f t="shared" si="1"/>
        <v>7.9</v>
      </c>
      <c r="J38" s="44"/>
      <c r="K38" s="49">
        <f t="shared" si="2"/>
        <v>8</v>
      </c>
      <c r="L38" s="44"/>
      <c r="M38" s="50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87</v>
      </c>
      <c r="C39" s="45" t="s">
        <v>93</v>
      </c>
      <c r="D39" s="46" t="s">
        <v>94</v>
      </c>
      <c r="E39" s="47">
        <v>4.0</v>
      </c>
      <c r="F39" s="47">
        <v>2.0</v>
      </c>
      <c r="G39" s="47">
        <v>0.0</v>
      </c>
      <c r="H39" s="48"/>
      <c r="I39" s="48">
        <f t="shared" si="1"/>
        <v>6</v>
      </c>
      <c r="J39" s="44"/>
      <c r="K39" s="49">
        <f t="shared" si="2"/>
        <v>6</v>
      </c>
      <c r="L39" s="44"/>
      <c r="M39" s="50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87</v>
      </c>
      <c r="C40" s="45" t="s">
        <v>95</v>
      </c>
      <c r="D40" s="46" t="s">
        <v>96</v>
      </c>
      <c r="E40" s="47">
        <v>5.0</v>
      </c>
      <c r="F40" s="47">
        <v>2.6</v>
      </c>
      <c r="G40" s="47">
        <v>2.0</v>
      </c>
      <c r="H40" s="48"/>
      <c r="I40" s="48">
        <f t="shared" si="1"/>
        <v>9.6</v>
      </c>
      <c r="J40" s="44"/>
      <c r="K40" s="49">
        <f t="shared" si="2"/>
        <v>10</v>
      </c>
      <c r="L40" s="44"/>
      <c r="M40" s="50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3.8</v>
      </c>
      <c r="F41" s="47">
        <v>1.13</v>
      </c>
      <c r="G41" s="47">
        <v>2.0</v>
      </c>
      <c r="H41" s="48"/>
      <c r="I41" s="48">
        <f t="shared" si="1"/>
        <v>6.93</v>
      </c>
      <c r="J41" s="44"/>
      <c r="K41" s="49">
        <f t="shared" si="2"/>
        <v>7</v>
      </c>
      <c r="L41" s="44"/>
      <c r="M41" s="50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5.0</v>
      </c>
      <c r="F42" s="47">
        <v>0.19</v>
      </c>
      <c r="G42" s="47">
        <v>2.0</v>
      </c>
      <c r="H42" s="47">
        <v>1.0</v>
      </c>
      <c r="I42" s="48">
        <f t="shared" si="1"/>
        <v>8.19</v>
      </c>
      <c r="J42" s="44"/>
      <c r="K42" s="49">
        <f t="shared" si="2"/>
        <v>8</v>
      </c>
      <c r="L42" s="44"/>
      <c r="M42" s="50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5.0</v>
      </c>
      <c r="F43" s="47">
        <v>2.44</v>
      </c>
      <c r="G43" s="47">
        <v>2.0</v>
      </c>
      <c r="H43" s="48"/>
      <c r="I43" s="48">
        <f t="shared" si="1"/>
        <v>9.44</v>
      </c>
      <c r="J43" s="44"/>
      <c r="K43" s="49">
        <f t="shared" si="2"/>
        <v>9</v>
      </c>
      <c r="L43" s="44"/>
      <c r="M43" s="50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73</v>
      </c>
      <c r="C44" s="45" t="s">
        <v>106</v>
      </c>
      <c r="D44" s="46" t="s">
        <v>107</v>
      </c>
      <c r="E44" s="47">
        <v>4.8</v>
      </c>
      <c r="F44" s="47">
        <v>1.88</v>
      </c>
      <c r="G44" s="47">
        <v>2.0</v>
      </c>
      <c r="H44" s="48"/>
      <c r="I44" s="48">
        <f t="shared" si="1"/>
        <v>8.68</v>
      </c>
      <c r="J44" s="52">
        <v>1.0</v>
      </c>
      <c r="K44" s="49">
        <f t="shared" si="2"/>
        <v>9</v>
      </c>
      <c r="L44" s="44"/>
      <c r="M44" s="50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108</v>
      </c>
      <c r="C45" s="45" t="s">
        <v>109</v>
      </c>
      <c r="D45" s="46" t="s">
        <v>68</v>
      </c>
      <c r="E45" s="47">
        <v>5.0</v>
      </c>
      <c r="F45" s="47">
        <v>2.63</v>
      </c>
      <c r="G45" s="47">
        <v>2.0</v>
      </c>
      <c r="H45" s="47">
        <v>1.0</v>
      </c>
      <c r="I45" s="48">
        <f t="shared" si="1"/>
        <v>10.63</v>
      </c>
      <c r="J45" s="44"/>
      <c r="K45" s="49">
        <f t="shared" si="2"/>
        <v>10</v>
      </c>
      <c r="L45" s="44"/>
      <c r="M45" s="50">
        <f t="shared" si="3"/>
        <v>11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52</v>
      </c>
      <c r="D46" s="46" t="s">
        <v>110</v>
      </c>
      <c r="E46" s="47">
        <v>4.0</v>
      </c>
      <c r="F46" s="47">
        <v>2.06</v>
      </c>
      <c r="G46" s="47">
        <v>2.0</v>
      </c>
      <c r="H46" s="48"/>
      <c r="I46" s="48">
        <f t="shared" si="1"/>
        <v>8.06</v>
      </c>
      <c r="J46" s="44"/>
      <c r="K46" s="49">
        <f t="shared" si="2"/>
        <v>8</v>
      </c>
      <c r="L46" s="44"/>
      <c r="M46" s="50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111</v>
      </c>
      <c r="C47" s="45" t="s">
        <v>112</v>
      </c>
      <c r="D47" s="46" t="s">
        <v>113</v>
      </c>
      <c r="E47" s="47">
        <v>5.0</v>
      </c>
      <c r="F47" s="47">
        <v>2.81</v>
      </c>
      <c r="G47" s="47">
        <v>2.0</v>
      </c>
      <c r="H47" s="48"/>
      <c r="I47" s="48">
        <f t="shared" si="1"/>
        <v>9.81</v>
      </c>
      <c r="J47" s="44"/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114</v>
      </c>
      <c r="C48" s="45" t="s">
        <v>115</v>
      </c>
      <c r="D48" s="46" t="s">
        <v>116</v>
      </c>
      <c r="E48" s="47">
        <v>4.8</v>
      </c>
      <c r="F48" s="47">
        <v>1.31</v>
      </c>
      <c r="G48" s="47">
        <v>0.0</v>
      </c>
      <c r="H48" s="48"/>
      <c r="I48" s="48">
        <f t="shared" si="1"/>
        <v>6.11</v>
      </c>
      <c r="J48" s="44"/>
      <c r="K48" s="49">
        <f t="shared" si="2"/>
        <v>6</v>
      </c>
      <c r="L48" s="44"/>
      <c r="M48" s="50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118</v>
      </c>
      <c r="D49" s="46" t="s">
        <v>119</v>
      </c>
      <c r="E49" s="47">
        <v>4.0</v>
      </c>
      <c r="F49" s="47">
        <v>1.13</v>
      </c>
      <c r="G49" s="47">
        <v>2.0</v>
      </c>
      <c r="H49" s="48"/>
      <c r="I49" s="48">
        <f t="shared" si="1"/>
        <v>7.13</v>
      </c>
      <c r="J49" s="44"/>
      <c r="K49" s="49">
        <f t="shared" si="2"/>
        <v>7</v>
      </c>
      <c r="L49" s="44"/>
      <c r="M49" s="50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120</v>
      </c>
      <c r="C50" s="45" t="s">
        <v>121</v>
      </c>
      <c r="D50" s="46" t="s">
        <v>122</v>
      </c>
      <c r="E50" s="47">
        <v>5.0</v>
      </c>
      <c r="F50" s="47">
        <v>2.06</v>
      </c>
      <c r="G50" s="47">
        <v>2.0</v>
      </c>
      <c r="H50" s="48"/>
      <c r="I50" s="48">
        <f t="shared" si="1"/>
        <v>9.06</v>
      </c>
      <c r="J50" s="44"/>
      <c r="K50" s="49">
        <f t="shared" si="2"/>
        <v>9</v>
      </c>
      <c r="L50" s="44"/>
      <c r="M50" s="50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124</v>
      </c>
      <c r="D51" s="46" t="s">
        <v>125</v>
      </c>
      <c r="E51" s="47">
        <v>5.0</v>
      </c>
      <c r="F51" s="47">
        <v>1.69</v>
      </c>
      <c r="G51" s="47">
        <v>2.0</v>
      </c>
      <c r="H51" s="48"/>
      <c r="I51" s="48">
        <f t="shared" si="1"/>
        <v>8.69</v>
      </c>
      <c r="J51" s="44"/>
      <c r="K51" s="49">
        <f t="shared" si="2"/>
        <v>9</v>
      </c>
      <c r="L51" s="44"/>
      <c r="M51" s="50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126</v>
      </c>
      <c r="C53" s="57"/>
      <c r="D53" s="58">
        <f>COUNT(A17:A51)</f>
        <v>35</v>
      </c>
      <c r="E53" s="55"/>
      <c r="F53" s="55"/>
      <c r="G53" s="59" t="s">
        <v>127</v>
      </c>
      <c r="H53" s="55"/>
      <c r="I53" s="59" t="s">
        <v>128</v>
      </c>
      <c r="K53" s="60" t="s">
        <v>129</v>
      </c>
      <c r="L53" s="61" t="s">
        <v>130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131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132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133</v>
      </c>
      <c r="C56" s="63"/>
      <c r="D56" s="66">
        <f>COUNTIF(K17:K51,"&gt;=6")</f>
        <v>34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134</v>
      </c>
      <c r="C57" s="63"/>
      <c r="D57" s="66">
        <f>D55-D56</f>
        <v>1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36.0" customHeight="1">
      <c r="A58" s="1"/>
      <c r="B58" s="62" t="s">
        <v>135</v>
      </c>
      <c r="C58" s="63"/>
      <c r="D58" s="70">
        <f>D56*100/D55</f>
        <v>97.14285714</v>
      </c>
      <c r="E58" s="55"/>
      <c r="F58" s="55"/>
      <c r="G58" s="71" t="s">
        <v>136</v>
      </c>
      <c r="H58" s="55"/>
      <c r="I58" s="72" t="s">
        <v>137</v>
      </c>
      <c r="K58" s="73" t="s">
        <v>138</v>
      </c>
      <c r="L58" s="74" t="s">
        <v>139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140</v>
      </c>
      <c r="C59" s="76"/>
      <c r="D59" s="77">
        <f>AVERAGE(K17:K51)</f>
        <v>8.228571429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0"/>
      <c r="F60" s="80"/>
      <c r="G60" s="80"/>
      <c r="H60" s="80"/>
      <c r="I60" s="80"/>
      <c r="J60" s="80"/>
      <c r="K60" s="79"/>
      <c r="L60" s="81"/>
      <c r="M60" s="79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84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6"/>
      <c r="E62" s="85"/>
      <c r="F62" s="85"/>
      <c r="G62" s="80"/>
      <c r="H62" s="80"/>
      <c r="I62" s="80"/>
      <c r="J62" s="80"/>
      <c r="K62" s="79"/>
      <c r="L62" s="81"/>
      <c r="M62" s="79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6"/>
      <c r="E63" s="85"/>
      <c r="F63" s="85"/>
      <c r="G63" s="80"/>
      <c r="H63" s="80"/>
      <c r="I63" s="80"/>
      <c r="J63" s="80"/>
      <c r="K63" s="79"/>
      <c r="L63" s="81"/>
      <c r="M63" s="79"/>
      <c r="N63" s="2"/>
      <c r="O63" s="2"/>
      <c r="P63" s="2"/>
      <c r="Q63" s="2"/>
      <c r="R63" s="2"/>
    </row>
    <row r="64" ht="24.75" customHeight="1">
      <c r="A64" s="89"/>
      <c r="B64" s="90"/>
      <c r="C64" s="90"/>
      <c r="D64" s="90"/>
      <c r="E64" s="91"/>
      <c r="F64" s="91"/>
      <c r="G64" s="92"/>
      <c r="H64" s="92"/>
      <c r="I64" s="92"/>
      <c r="J64" s="92"/>
      <c r="K64" s="93"/>
      <c r="L64" s="94"/>
      <c r="M64" s="79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95"/>
      <c r="E65" s="85"/>
      <c r="F65" s="85"/>
      <c r="G65" s="80"/>
      <c r="H65" s="80"/>
      <c r="I65" s="80"/>
      <c r="J65" s="80"/>
      <c r="K65" s="96"/>
      <c r="L65" s="97"/>
      <c r="M65" s="96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95"/>
      <c r="E66" s="85"/>
      <c r="F66" s="85"/>
      <c r="G66" s="80"/>
      <c r="H66" s="80"/>
      <c r="I66" s="80"/>
      <c r="J66" s="80"/>
      <c r="K66" s="96"/>
      <c r="L66" s="97"/>
      <c r="M66" s="9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75" footer="0.0" header="0.0" left="0.25" right="0.25" top="0.75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141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142</v>
      </c>
      <c r="C17" s="45" t="s">
        <v>143</v>
      </c>
      <c r="D17" s="46" t="s">
        <v>144</v>
      </c>
      <c r="E17" s="47">
        <v>4.0</v>
      </c>
      <c r="F17" s="47">
        <v>2.6</v>
      </c>
      <c r="G17" s="47">
        <v>0.0</v>
      </c>
      <c r="H17" s="48"/>
      <c r="I17" s="48">
        <f t="shared" ref="I17:I57" si="1">SUM(E17:H17)</f>
        <v>6.6</v>
      </c>
      <c r="J17" s="44"/>
      <c r="K17" s="49">
        <f t="shared" ref="K17:K57" si="2">IF(I17&lt;6, 5, MIN(10, ROUND(I17, 0)))</f>
        <v>7</v>
      </c>
      <c r="L17" s="45"/>
      <c r="M17" s="50">
        <f t="shared" ref="M17:M57" si="3">IF(I17&gt;=6,ROUND(I17,0),TRUNC(I17,0))</f>
        <v>7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145</v>
      </c>
      <c r="C18" s="45" t="s">
        <v>146</v>
      </c>
      <c r="D18" s="46" t="s">
        <v>147</v>
      </c>
      <c r="E18" s="47">
        <v>5.0</v>
      </c>
      <c r="F18" s="47">
        <v>2.1</v>
      </c>
      <c r="G18" s="47">
        <v>2.0</v>
      </c>
      <c r="H18" s="48"/>
      <c r="I18" s="48">
        <f t="shared" si="1"/>
        <v>9.1</v>
      </c>
      <c r="J18" s="44"/>
      <c r="K18" s="49">
        <f t="shared" si="2"/>
        <v>9</v>
      </c>
      <c r="L18" s="44"/>
      <c r="M18" s="50">
        <f t="shared" si="3"/>
        <v>9</v>
      </c>
      <c r="N18" s="53" t="s">
        <v>30</v>
      </c>
      <c r="O18" s="52">
        <v>9.0</v>
      </c>
      <c r="P18" s="2"/>
      <c r="Q18" s="2"/>
      <c r="R18" s="2"/>
    </row>
    <row r="19" ht="24.75" customHeight="1">
      <c r="A19" s="44">
        <v>3.0</v>
      </c>
      <c r="B19" s="45" t="s">
        <v>148</v>
      </c>
      <c r="C19" s="45" t="s">
        <v>143</v>
      </c>
      <c r="D19" s="46" t="s">
        <v>149</v>
      </c>
      <c r="E19" s="47">
        <v>5.0</v>
      </c>
      <c r="F19" s="47">
        <v>2.3</v>
      </c>
      <c r="G19" s="47">
        <v>2.0</v>
      </c>
      <c r="H19" s="48"/>
      <c r="I19" s="48">
        <f t="shared" si="1"/>
        <v>9.3</v>
      </c>
      <c r="J19" s="52">
        <v>1.0</v>
      </c>
      <c r="K19" s="49">
        <f t="shared" si="2"/>
        <v>9</v>
      </c>
      <c r="L19" s="44"/>
      <c r="M19" s="50">
        <f t="shared" si="3"/>
        <v>9</v>
      </c>
      <c r="N19" s="53" t="s">
        <v>34</v>
      </c>
      <c r="O19" s="52">
        <v>12.0</v>
      </c>
      <c r="P19" s="2"/>
      <c r="Q19" s="2"/>
      <c r="R19" s="2"/>
    </row>
    <row r="20" ht="24.75" customHeight="1">
      <c r="A20" s="44">
        <v>4.0</v>
      </c>
      <c r="B20" s="45" t="s">
        <v>150</v>
      </c>
      <c r="C20" s="45" t="s">
        <v>151</v>
      </c>
      <c r="D20" s="46" t="s">
        <v>152</v>
      </c>
      <c r="E20" s="47">
        <v>5.0</v>
      </c>
      <c r="F20" s="47">
        <v>1.5</v>
      </c>
      <c r="G20" s="47">
        <v>2.0</v>
      </c>
      <c r="H20" s="47">
        <v>1.0</v>
      </c>
      <c r="I20" s="48">
        <f t="shared" si="1"/>
        <v>9.5</v>
      </c>
      <c r="J20" s="44"/>
      <c r="K20" s="49">
        <f t="shared" si="2"/>
        <v>10</v>
      </c>
      <c r="L20" s="44"/>
      <c r="M20" s="50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153</v>
      </c>
      <c r="C21" s="45" t="s">
        <v>154</v>
      </c>
      <c r="D21" s="46" t="s">
        <v>155</v>
      </c>
      <c r="E21" s="47">
        <v>5.0</v>
      </c>
      <c r="F21" s="47">
        <v>1.3</v>
      </c>
      <c r="G21" s="47">
        <v>2.0</v>
      </c>
      <c r="H21" s="48"/>
      <c r="I21" s="48">
        <f t="shared" si="1"/>
        <v>8.3</v>
      </c>
      <c r="J21" s="44"/>
      <c r="K21" s="49">
        <f t="shared" si="2"/>
        <v>8</v>
      </c>
      <c r="L21" s="44"/>
      <c r="M21" s="50">
        <f t="shared" si="3"/>
        <v>8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153</v>
      </c>
      <c r="C22" s="45" t="s">
        <v>56</v>
      </c>
      <c r="D22" s="46" t="s">
        <v>156</v>
      </c>
      <c r="E22" s="47">
        <v>4.0</v>
      </c>
      <c r="F22" s="47">
        <v>2.1</v>
      </c>
      <c r="G22" s="47">
        <v>2.0</v>
      </c>
      <c r="H22" s="48"/>
      <c r="I22" s="48">
        <f t="shared" si="1"/>
        <v>8.1</v>
      </c>
      <c r="J22" s="44"/>
      <c r="K22" s="49">
        <f t="shared" si="2"/>
        <v>8</v>
      </c>
      <c r="L22" s="44"/>
      <c r="M22" s="50">
        <f t="shared" si="3"/>
        <v>8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157</v>
      </c>
      <c r="C23" s="45" t="s">
        <v>158</v>
      </c>
      <c r="D23" s="46" t="s">
        <v>159</v>
      </c>
      <c r="E23" s="47">
        <v>5.0</v>
      </c>
      <c r="F23" s="47">
        <v>0.0</v>
      </c>
      <c r="G23" s="47">
        <v>2.0</v>
      </c>
      <c r="H23" s="48"/>
      <c r="I23" s="48">
        <f t="shared" si="1"/>
        <v>7</v>
      </c>
      <c r="J23" s="52">
        <v>1.0</v>
      </c>
      <c r="K23" s="49">
        <f t="shared" si="2"/>
        <v>7</v>
      </c>
      <c r="L23" s="44"/>
      <c r="M23" s="50">
        <f t="shared" si="3"/>
        <v>7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59</v>
      </c>
      <c r="C24" s="45" t="s">
        <v>160</v>
      </c>
      <c r="D24" s="46" t="s">
        <v>161</v>
      </c>
      <c r="E24" s="47">
        <v>5.0</v>
      </c>
      <c r="F24" s="47">
        <v>0.2</v>
      </c>
      <c r="G24" s="47">
        <v>2.0</v>
      </c>
      <c r="H24" s="48"/>
      <c r="I24" s="48">
        <f t="shared" si="1"/>
        <v>7.2</v>
      </c>
      <c r="J24" s="52">
        <v>1.0</v>
      </c>
      <c r="K24" s="49">
        <f t="shared" si="2"/>
        <v>7</v>
      </c>
      <c r="L24" s="44"/>
      <c r="M24" s="50">
        <f t="shared" si="3"/>
        <v>7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59</v>
      </c>
      <c r="C25" s="45" t="s">
        <v>162</v>
      </c>
      <c r="D25" s="46" t="s">
        <v>163</v>
      </c>
      <c r="E25" s="47">
        <v>5.0</v>
      </c>
      <c r="F25" s="47">
        <v>2.3</v>
      </c>
      <c r="G25" s="47">
        <v>2.0</v>
      </c>
      <c r="H25" s="47">
        <v>1.0</v>
      </c>
      <c r="I25" s="48">
        <f t="shared" si="1"/>
        <v>10.3</v>
      </c>
      <c r="J25" s="44"/>
      <c r="K25" s="49">
        <f t="shared" si="2"/>
        <v>10</v>
      </c>
      <c r="L25" s="44"/>
      <c r="M25" s="50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59</v>
      </c>
      <c r="C26" s="45" t="s">
        <v>48</v>
      </c>
      <c r="D26" s="46" t="s">
        <v>164</v>
      </c>
      <c r="E26" s="47">
        <v>3.8</v>
      </c>
      <c r="F26" s="47">
        <v>0.8</v>
      </c>
      <c r="G26" s="47">
        <v>2.0</v>
      </c>
      <c r="H26" s="48"/>
      <c r="I26" s="48">
        <f t="shared" si="1"/>
        <v>6.6</v>
      </c>
      <c r="J26" s="44"/>
      <c r="K26" s="49">
        <f t="shared" si="2"/>
        <v>7</v>
      </c>
      <c r="L26" s="44"/>
      <c r="M26" s="50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32</v>
      </c>
      <c r="C27" s="45" t="s">
        <v>59</v>
      </c>
      <c r="D27" s="45" t="s">
        <v>165</v>
      </c>
      <c r="E27" s="47">
        <v>5.0</v>
      </c>
      <c r="F27" s="47">
        <v>2.6</v>
      </c>
      <c r="G27" s="47">
        <v>2.0</v>
      </c>
      <c r="H27" s="48"/>
      <c r="I27" s="48">
        <f t="shared" si="1"/>
        <v>9.6</v>
      </c>
      <c r="J27" s="44"/>
      <c r="K27" s="49">
        <f t="shared" si="2"/>
        <v>10</v>
      </c>
      <c r="L27" s="44"/>
      <c r="M27" s="50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166</v>
      </c>
      <c r="D28" s="46" t="s">
        <v>167</v>
      </c>
      <c r="E28" s="47">
        <v>5.0</v>
      </c>
      <c r="F28" s="47">
        <v>1.3</v>
      </c>
      <c r="G28" s="47">
        <v>2.0</v>
      </c>
      <c r="H28" s="48"/>
      <c r="I28" s="48">
        <f t="shared" si="1"/>
        <v>8.3</v>
      </c>
      <c r="J28" s="44"/>
      <c r="K28" s="49">
        <f t="shared" si="2"/>
        <v>8</v>
      </c>
      <c r="L28" s="44"/>
      <c r="M28" s="50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168</v>
      </c>
      <c r="D29" s="46" t="s">
        <v>169</v>
      </c>
      <c r="E29" s="47">
        <v>5.0</v>
      </c>
      <c r="F29" s="47">
        <v>2.1</v>
      </c>
      <c r="G29" s="47">
        <v>2.0</v>
      </c>
      <c r="H29" s="48"/>
      <c r="I29" s="48">
        <f t="shared" si="1"/>
        <v>9.1</v>
      </c>
      <c r="J29" s="44"/>
      <c r="K29" s="49">
        <f t="shared" si="2"/>
        <v>9</v>
      </c>
      <c r="L29" s="44"/>
      <c r="M29" s="50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62</v>
      </c>
      <c r="C30" s="45" t="s">
        <v>170</v>
      </c>
      <c r="D30" s="46" t="s">
        <v>171</v>
      </c>
      <c r="E30" s="47">
        <v>5.0</v>
      </c>
      <c r="F30" s="47">
        <v>1.7</v>
      </c>
      <c r="G30" s="47">
        <v>2.0</v>
      </c>
      <c r="H30" s="48"/>
      <c r="I30" s="48">
        <f t="shared" si="1"/>
        <v>8.7</v>
      </c>
      <c r="J30" s="44"/>
      <c r="K30" s="49">
        <f t="shared" si="2"/>
        <v>9</v>
      </c>
      <c r="L30" s="44"/>
      <c r="M30" s="50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62</v>
      </c>
      <c r="C31" s="45" t="s">
        <v>172</v>
      </c>
      <c r="D31" s="46" t="s">
        <v>173</v>
      </c>
      <c r="E31" s="47">
        <v>5.0</v>
      </c>
      <c r="F31" s="47">
        <v>1.7</v>
      </c>
      <c r="G31" s="47">
        <v>2.0</v>
      </c>
      <c r="H31" s="48"/>
      <c r="I31" s="48">
        <f t="shared" si="1"/>
        <v>8.7</v>
      </c>
      <c r="J31" s="44"/>
      <c r="K31" s="49">
        <f t="shared" si="2"/>
        <v>9</v>
      </c>
      <c r="L31" s="44"/>
      <c r="M31" s="50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62</v>
      </c>
      <c r="C32" s="45" t="s">
        <v>101</v>
      </c>
      <c r="D32" s="46" t="s">
        <v>174</v>
      </c>
      <c r="E32" s="47">
        <v>5.0</v>
      </c>
      <c r="F32" s="47">
        <v>1.7</v>
      </c>
      <c r="G32" s="47">
        <v>2.0</v>
      </c>
      <c r="H32" s="48"/>
      <c r="I32" s="48">
        <f t="shared" si="1"/>
        <v>8.7</v>
      </c>
      <c r="J32" s="44"/>
      <c r="K32" s="49">
        <f t="shared" si="2"/>
        <v>9</v>
      </c>
      <c r="L32" s="44"/>
      <c r="M32" s="50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24</v>
      </c>
      <c r="C33" s="45" t="s">
        <v>62</v>
      </c>
      <c r="D33" s="46" t="s">
        <v>175</v>
      </c>
      <c r="E33" s="47">
        <v>4.6</v>
      </c>
      <c r="F33" s="47">
        <v>0.8</v>
      </c>
      <c r="G33" s="47">
        <v>2.0</v>
      </c>
      <c r="H33" s="48"/>
      <c r="I33" s="48">
        <f t="shared" si="1"/>
        <v>7.4</v>
      </c>
      <c r="J33" s="44"/>
      <c r="K33" s="49">
        <f t="shared" si="2"/>
        <v>7</v>
      </c>
      <c r="L33" s="44"/>
      <c r="M33" s="50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176</v>
      </c>
      <c r="C34" s="45" t="s">
        <v>177</v>
      </c>
      <c r="D34" s="46" t="s">
        <v>178</v>
      </c>
      <c r="E34" s="47">
        <v>5.0</v>
      </c>
      <c r="F34" s="47">
        <v>1.1</v>
      </c>
      <c r="G34" s="47">
        <v>2.0</v>
      </c>
      <c r="H34" s="47">
        <v>1.0</v>
      </c>
      <c r="I34" s="48">
        <f t="shared" si="1"/>
        <v>9.1</v>
      </c>
      <c r="J34" s="44"/>
      <c r="K34" s="49">
        <f t="shared" si="2"/>
        <v>9</v>
      </c>
      <c r="L34" s="44"/>
      <c r="M34" s="50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52</v>
      </c>
      <c r="C35" s="45" t="s">
        <v>73</v>
      </c>
      <c r="D35" s="46" t="s">
        <v>179</v>
      </c>
      <c r="E35" s="47">
        <v>5.0</v>
      </c>
      <c r="F35" s="47">
        <v>2.8</v>
      </c>
      <c r="G35" s="47">
        <v>2.0</v>
      </c>
      <c r="H35" s="48"/>
      <c r="I35" s="48">
        <f t="shared" si="1"/>
        <v>9.8</v>
      </c>
      <c r="J35" s="44"/>
      <c r="K35" s="49">
        <f t="shared" si="2"/>
        <v>10</v>
      </c>
      <c r="L35" s="44"/>
      <c r="M35" s="50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146</v>
      </c>
      <c r="C36" s="45" t="s">
        <v>180</v>
      </c>
      <c r="D36" s="46" t="s">
        <v>181</v>
      </c>
      <c r="E36" s="47">
        <v>5.0</v>
      </c>
      <c r="F36" s="47">
        <v>1.9</v>
      </c>
      <c r="G36" s="47">
        <v>2.0</v>
      </c>
      <c r="H36" s="47">
        <v>1.0</v>
      </c>
      <c r="I36" s="48">
        <f t="shared" si="1"/>
        <v>9.9</v>
      </c>
      <c r="J36" s="44"/>
      <c r="K36" s="49">
        <f t="shared" si="2"/>
        <v>10</v>
      </c>
      <c r="L36" s="44"/>
      <c r="M36" s="50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182</v>
      </c>
      <c r="C37" s="45" t="s">
        <v>183</v>
      </c>
      <c r="D37" s="46" t="s">
        <v>184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4"/>
      <c r="K37" s="49">
        <f t="shared" si="2"/>
        <v>10</v>
      </c>
      <c r="L37" s="44"/>
      <c r="M37" s="50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185</v>
      </c>
      <c r="C38" s="45" t="s">
        <v>70</v>
      </c>
      <c r="D38" s="46" t="s">
        <v>186</v>
      </c>
      <c r="E38" s="47">
        <v>4.0</v>
      </c>
      <c r="F38" s="47">
        <v>1.5</v>
      </c>
      <c r="G38" s="47">
        <v>2.0</v>
      </c>
      <c r="H38" s="48"/>
      <c r="I38" s="48">
        <f t="shared" si="1"/>
        <v>7.5</v>
      </c>
      <c r="J38" s="44"/>
      <c r="K38" s="49">
        <f t="shared" si="2"/>
        <v>8</v>
      </c>
      <c r="L38" s="44"/>
      <c r="M38" s="50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187</v>
      </c>
      <c r="C39" s="45" t="s">
        <v>188</v>
      </c>
      <c r="D39" s="46" t="s">
        <v>189</v>
      </c>
      <c r="E39" s="47">
        <v>4.0</v>
      </c>
      <c r="F39" s="47">
        <v>1.3</v>
      </c>
      <c r="G39" s="47">
        <v>2.0</v>
      </c>
      <c r="H39" s="48"/>
      <c r="I39" s="48">
        <f t="shared" si="1"/>
        <v>7.3</v>
      </c>
      <c r="J39" s="52">
        <v>1.0</v>
      </c>
      <c r="K39" s="49">
        <f t="shared" si="2"/>
        <v>7</v>
      </c>
      <c r="L39" s="44"/>
      <c r="M39" s="50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190</v>
      </c>
      <c r="C40" s="45" t="s">
        <v>117</v>
      </c>
      <c r="D40" s="46" t="s">
        <v>191</v>
      </c>
      <c r="E40" s="47">
        <v>5.0</v>
      </c>
      <c r="F40" s="47">
        <v>2.4</v>
      </c>
      <c r="G40" s="47">
        <v>2.0</v>
      </c>
      <c r="H40" s="47">
        <v>1.0</v>
      </c>
      <c r="I40" s="48">
        <f t="shared" si="1"/>
        <v>10.4</v>
      </c>
      <c r="J40" s="44"/>
      <c r="K40" s="49">
        <f t="shared" si="2"/>
        <v>10</v>
      </c>
      <c r="L40" s="44"/>
      <c r="M40" s="50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192</v>
      </c>
      <c r="C41" s="45" t="s">
        <v>193</v>
      </c>
      <c r="D41" s="46" t="s">
        <v>194</v>
      </c>
      <c r="E41" s="47">
        <v>5.0</v>
      </c>
      <c r="F41" s="47">
        <v>0.9</v>
      </c>
      <c r="G41" s="47">
        <v>2.0</v>
      </c>
      <c r="H41" s="48"/>
      <c r="I41" s="48">
        <f t="shared" si="1"/>
        <v>7.9</v>
      </c>
      <c r="J41" s="44"/>
      <c r="K41" s="49">
        <f t="shared" si="2"/>
        <v>8</v>
      </c>
      <c r="L41" s="44"/>
      <c r="M41" s="50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195</v>
      </c>
      <c r="C42" s="45" t="s">
        <v>196</v>
      </c>
      <c r="D42" s="46" t="s">
        <v>197</v>
      </c>
      <c r="E42" s="47">
        <v>4.8</v>
      </c>
      <c r="F42" s="47">
        <v>2.1</v>
      </c>
      <c r="G42" s="47">
        <v>2.0</v>
      </c>
      <c r="H42" s="48"/>
      <c r="I42" s="48">
        <f t="shared" si="1"/>
        <v>8.9</v>
      </c>
      <c r="J42" s="44"/>
      <c r="K42" s="49">
        <f t="shared" si="2"/>
        <v>9</v>
      </c>
      <c r="L42" s="44"/>
      <c r="M42" s="50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198</v>
      </c>
      <c r="C43" s="45" t="s">
        <v>199</v>
      </c>
      <c r="D43" s="46" t="s">
        <v>200</v>
      </c>
      <c r="E43" s="47">
        <v>5.0</v>
      </c>
      <c r="F43" s="47">
        <v>2.6</v>
      </c>
      <c r="G43" s="47">
        <v>2.0</v>
      </c>
      <c r="H43" s="48"/>
      <c r="I43" s="48">
        <f t="shared" si="1"/>
        <v>9.6</v>
      </c>
      <c r="J43" s="44"/>
      <c r="K43" s="49">
        <f t="shared" si="2"/>
        <v>10</v>
      </c>
      <c r="L43" s="44"/>
      <c r="M43" s="50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201</v>
      </c>
      <c r="C44" s="45" t="s">
        <v>202</v>
      </c>
      <c r="D44" s="46" t="s">
        <v>203</v>
      </c>
      <c r="E44" s="47">
        <v>4.5</v>
      </c>
      <c r="F44" s="47">
        <v>3.0</v>
      </c>
      <c r="G44" s="47">
        <v>1.0</v>
      </c>
      <c r="H44" s="48"/>
      <c r="I44" s="48">
        <f t="shared" si="1"/>
        <v>8.5</v>
      </c>
      <c r="J44" s="44"/>
      <c r="K44" s="49">
        <f t="shared" si="2"/>
        <v>9</v>
      </c>
      <c r="L44" s="44"/>
      <c r="M44" s="50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151</v>
      </c>
      <c r="C45" s="45" t="s">
        <v>204</v>
      </c>
      <c r="D45" s="46" t="s">
        <v>205</v>
      </c>
      <c r="E45" s="47">
        <v>5.0</v>
      </c>
      <c r="F45" s="47">
        <v>1.1</v>
      </c>
      <c r="G45" s="47">
        <v>2.0</v>
      </c>
      <c r="H45" s="48"/>
      <c r="I45" s="48">
        <f t="shared" si="1"/>
        <v>8.1</v>
      </c>
      <c r="J45" s="44"/>
      <c r="K45" s="49">
        <f t="shared" si="2"/>
        <v>8</v>
      </c>
      <c r="L45" s="44"/>
      <c r="M45" s="50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59</v>
      </c>
      <c r="D46" s="46" t="s">
        <v>68</v>
      </c>
      <c r="E46" s="47">
        <v>4.0</v>
      </c>
      <c r="F46" s="47">
        <v>0.8</v>
      </c>
      <c r="G46" s="47">
        <v>2.0</v>
      </c>
      <c r="H46" s="48"/>
      <c r="I46" s="48">
        <f t="shared" si="1"/>
        <v>6.8</v>
      </c>
      <c r="J46" s="52">
        <v>1.0</v>
      </c>
      <c r="K46" s="49">
        <f t="shared" si="2"/>
        <v>7</v>
      </c>
      <c r="L46" s="44"/>
      <c r="M46" s="50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56</v>
      </c>
      <c r="C47" s="45" t="s">
        <v>206</v>
      </c>
      <c r="D47" s="46" t="s">
        <v>207</v>
      </c>
      <c r="E47" s="47">
        <v>5.0</v>
      </c>
      <c r="F47" s="47">
        <v>1.9</v>
      </c>
      <c r="G47" s="47">
        <v>2.0</v>
      </c>
      <c r="H47" s="48"/>
      <c r="I47" s="48">
        <f t="shared" si="1"/>
        <v>8.9</v>
      </c>
      <c r="J47" s="44"/>
      <c r="K47" s="49">
        <f t="shared" si="2"/>
        <v>9</v>
      </c>
      <c r="L47" s="44"/>
      <c r="M47" s="50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208</v>
      </c>
      <c r="C48" s="45" t="s">
        <v>209</v>
      </c>
      <c r="D48" s="46" t="s">
        <v>210</v>
      </c>
      <c r="E48" s="47">
        <v>5.0</v>
      </c>
      <c r="F48" s="47">
        <v>2.4</v>
      </c>
      <c r="G48" s="47">
        <v>2.0</v>
      </c>
      <c r="H48" s="48"/>
      <c r="I48" s="48">
        <f t="shared" si="1"/>
        <v>9.4</v>
      </c>
      <c r="J48" s="52">
        <v>1.0</v>
      </c>
      <c r="K48" s="49">
        <f t="shared" si="2"/>
        <v>9</v>
      </c>
      <c r="L48" s="44"/>
      <c r="M48" s="50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101</v>
      </c>
      <c r="C49" s="45" t="s">
        <v>168</v>
      </c>
      <c r="D49" s="46" t="s">
        <v>211</v>
      </c>
      <c r="E49" s="47">
        <v>5.0</v>
      </c>
      <c r="F49" s="47">
        <v>1.9</v>
      </c>
      <c r="G49" s="47">
        <v>2.0</v>
      </c>
      <c r="H49" s="48"/>
      <c r="I49" s="48">
        <f t="shared" si="1"/>
        <v>8.9</v>
      </c>
      <c r="J49" s="44"/>
      <c r="K49" s="49">
        <f t="shared" si="2"/>
        <v>9</v>
      </c>
      <c r="L49" s="44"/>
      <c r="M49" s="50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101</v>
      </c>
      <c r="C50" s="45" t="s">
        <v>62</v>
      </c>
      <c r="D50" s="46" t="s">
        <v>212</v>
      </c>
      <c r="E50" s="47">
        <v>5.0</v>
      </c>
      <c r="F50" s="47">
        <v>1.1</v>
      </c>
      <c r="G50" s="47">
        <v>2.0</v>
      </c>
      <c r="H50" s="48"/>
      <c r="I50" s="48">
        <f t="shared" si="1"/>
        <v>8.1</v>
      </c>
      <c r="J50" s="44"/>
      <c r="K50" s="49">
        <f t="shared" si="2"/>
        <v>8</v>
      </c>
      <c r="L50" s="44"/>
      <c r="M50" s="50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202</v>
      </c>
      <c r="C51" s="45" t="s">
        <v>213</v>
      </c>
      <c r="D51" s="46" t="s">
        <v>214</v>
      </c>
      <c r="E51" s="47">
        <v>5.0</v>
      </c>
      <c r="F51" s="47">
        <v>1.5</v>
      </c>
      <c r="G51" s="47">
        <v>2.0</v>
      </c>
      <c r="H51" s="47">
        <v>1.0</v>
      </c>
      <c r="I51" s="48">
        <f t="shared" si="1"/>
        <v>9.5</v>
      </c>
      <c r="J51" s="44"/>
      <c r="K51" s="49">
        <f t="shared" si="2"/>
        <v>10</v>
      </c>
      <c r="L51" s="44"/>
      <c r="M51" s="50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215</v>
      </c>
      <c r="C52" s="45" t="s">
        <v>216</v>
      </c>
      <c r="D52" s="46" t="s">
        <v>217</v>
      </c>
      <c r="E52" s="47">
        <v>5.0</v>
      </c>
      <c r="F52" s="47">
        <v>1.5</v>
      </c>
      <c r="G52" s="47">
        <v>2.0</v>
      </c>
      <c r="H52" s="47">
        <v>1.0</v>
      </c>
      <c r="I52" s="48">
        <f t="shared" si="1"/>
        <v>9.5</v>
      </c>
      <c r="J52" s="44"/>
      <c r="K52" s="49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218</v>
      </c>
      <c r="C53" s="45" t="s">
        <v>219</v>
      </c>
      <c r="D53" s="46" t="s">
        <v>220</v>
      </c>
      <c r="E53" s="47">
        <v>5.0</v>
      </c>
      <c r="F53" s="47">
        <v>2.8</v>
      </c>
      <c r="G53" s="47">
        <v>2.0</v>
      </c>
      <c r="H53" s="48"/>
      <c r="I53" s="48">
        <f t="shared" si="1"/>
        <v>9.8</v>
      </c>
      <c r="J53" s="48"/>
      <c r="K53" s="49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221</v>
      </c>
      <c r="C54" s="45" t="s">
        <v>222</v>
      </c>
      <c r="D54" s="46" t="s">
        <v>223</v>
      </c>
      <c r="E54" s="47">
        <v>5.0</v>
      </c>
      <c r="F54" s="47">
        <v>1.7</v>
      </c>
      <c r="G54" s="47">
        <v>2.0</v>
      </c>
      <c r="H54" s="48"/>
      <c r="I54" s="48">
        <f t="shared" si="1"/>
        <v>8.7</v>
      </c>
      <c r="J54" s="48"/>
      <c r="K54" s="49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224</v>
      </c>
      <c r="C55" s="45" t="s">
        <v>225</v>
      </c>
      <c r="D55" s="46" t="s">
        <v>226</v>
      </c>
      <c r="E55" s="47">
        <v>5.0</v>
      </c>
      <c r="F55" s="47">
        <v>1.5</v>
      </c>
      <c r="G55" s="47">
        <v>2.0</v>
      </c>
      <c r="H55" s="48"/>
      <c r="I55" s="48">
        <f t="shared" si="1"/>
        <v>8.5</v>
      </c>
      <c r="J55" s="46"/>
      <c r="K55" s="49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227</v>
      </c>
      <c r="C56" s="45" t="s">
        <v>228</v>
      </c>
      <c r="D56" s="45" t="s">
        <v>229</v>
      </c>
      <c r="E56" s="47">
        <v>4.0</v>
      </c>
      <c r="F56" s="47">
        <v>0.8</v>
      </c>
      <c r="G56" s="47">
        <v>2.0</v>
      </c>
      <c r="H56" s="48"/>
      <c r="I56" s="48">
        <f t="shared" si="1"/>
        <v>6.8</v>
      </c>
      <c r="J56" s="52">
        <v>2.0</v>
      </c>
      <c r="K56" s="49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231</v>
      </c>
      <c r="D57" s="45" t="s">
        <v>232</v>
      </c>
      <c r="E57" s="47">
        <v>3.5</v>
      </c>
      <c r="F57" s="47">
        <v>1.3</v>
      </c>
      <c r="G57" s="47">
        <v>2.0</v>
      </c>
      <c r="H57" s="48"/>
      <c r="I57" s="48">
        <f t="shared" si="1"/>
        <v>6.8</v>
      </c>
      <c r="J57" s="48"/>
      <c r="K57" s="49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98"/>
      <c r="E58" s="55"/>
      <c r="F58" s="55"/>
      <c r="G58" s="55"/>
      <c r="H58" s="55"/>
      <c r="I58" s="55"/>
      <c r="J58" s="55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6" t="s">
        <v>126</v>
      </c>
      <c r="C59" s="57"/>
      <c r="D59" s="99">
        <f>COUNT(A17:A57)</f>
        <v>41</v>
      </c>
      <c r="E59" s="55"/>
      <c r="F59" s="55"/>
      <c r="G59" s="59" t="s">
        <v>127</v>
      </c>
      <c r="H59" s="55"/>
      <c r="I59" s="59" t="s">
        <v>128</v>
      </c>
      <c r="K59" s="60" t="s">
        <v>129</v>
      </c>
      <c r="L59" s="61" t="s">
        <v>130</v>
      </c>
      <c r="M59" s="54"/>
      <c r="N59" s="1"/>
      <c r="O59" s="1"/>
      <c r="P59" s="2"/>
      <c r="Q59" s="2"/>
      <c r="R59" s="2"/>
    </row>
    <row r="60" ht="24.75" customHeight="1">
      <c r="A60" s="1"/>
      <c r="B60" s="62" t="s">
        <v>131</v>
      </c>
      <c r="C60" s="63"/>
      <c r="D60" s="100">
        <f>COUNTIF(K17:K57,"BAJA")</f>
        <v>0</v>
      </c>
      <c r="E60" s="55"/>
      <c r="F60" s="55"/>
      <c r="H60" s="55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132</v>
      </c>
      <c r="C61" s="63"/>
      <c r="D61" s="66">
        <f>D59-D60</f>
        <v>41</v>
      </c>
      <c r="E61" s="55"/>
      <c r="F61" s="55"/>
      <c r="G61" s="55"/>
      <c r="H61" s="55"/>
      <c r="I61" s="55"/>
      <c r="J61" s="55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133</v>
      </c>
      <c r="C62" s="63"/>
      <c r="D62" s="66">
        <f>COUNTIF(K17:K57,"&gt;=6")</f>
        <v>41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134</v>
      </c>
      <c r="C63" s="63"/>
      <c r="D63" s="66">
        <f>D61-D62</f>
        <v>0</v>
      </c>
      <c r="E63" s="55"/>
      <c r="F63" s="55"/>
      <c r="G63" s="67"/>
      <c r="H63" s="55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36.0" customHeight="1">
      <c r="A64" s="1"/>
      <c r="B64" s="62" t="s">
        <v>135</v>
      </c>
      <c r="C64" s="63"/>
      <c r="D64" s="70">
        <f>D62*100/D61</f>
        <v>100</v>
      </c>
      <c r="E64" s="55"/>
      <c r="F64" s="55"/>
      <c r="G64" s="71" t="s">
        <v>136</v>
      </c>
      <c r="H64" s="55"/>
      <c r="I64" s="55"/>
      <c r="K64" s="73" t="s">
        <v>138</v>
      </c>
      <c r="L64" s="74" t="s">
        <v>139</v>
      </c>
      <c r="M64" s="54"/>
      <c r="N64" s="1"/>
      <c r="O64" s="1"/>
      <c r="P64" s="2"/>
      <c r="Q64" s="2"/>
      <c r="R64" s="2"/>
    </row>
    <row r="65" ht="24.75" customHeight="1">
      <c r="A65" s="1"/>
      <c r="B65" s="75" t="s">
        <v>140</v>
      </c>
      <c r="C65" s="76"/>
      <c r="D65" s="77">
        <f>AVERAGE(K17:K57)</f>
        <v>8.658536585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78"/>
      <c r="B66" s="79"/>
      <c r="C66" s="79"/>
      <c r="D66" s="101"/>
      <c r="E66" s="80"/>
      <c r="F66" s="80"/>
      <c r="G66" s="80"/>
      <c r="H66" s="80"/>
      <c r="I66" s="80"/>
      <c r="J66" s="80"/>
      <c r="K66" s="79"/>
      <c r="L66" s="81"/>
      <c r="M66" s="79"/>
      <c r="N66" s="2"/>
      <c r="O66" s="2"/>
      <c r="P66" s="2"/>
      <c r="Q66" s="2"/>
      <c r="R66" s="2"/>
    </row>
    <row r="67" ht="24.75" customHeight="1">
      <c r="A67" s="82"/>
      <c r="B67" s="83"/>
      <c r="C67" s="84"/>
      <c r="D67" s="84"/>
      <c r="E67" s="85"/>
      <c r="H67" s="85"/>
      <c r="I67" s="85"/>
      <c r="J67" s="102"/>
      <c r="K67" s="86"/>
      <c r="L67" s="87"/>
      <c r="M67" s="86"/>
      <c r="N67" s="2"/>
      <c r="O67" s="2"/>
      <c r="P67" s="2"/>
      <c r="Q67" s="2"/>
      <c r="R67" s="2"/>
    </row>
    <row r="68" ht="24.75" customHeight="1">
      <c r="A68" s="88"/>
      <c r="B68" s="86"/>
      <c r="C68" s="86"/>
      <c r="D68" s="86"/>
      <c r="E68" s="85"/>
      <c r="F68" s="85"/>
      <c r="G68" s="80"/>
      <c r="H68" s="80"/>
      <c r="I68" s="80"/>
      <c r="J68" s="103"/>
      <c r="K68" s="79"/>
      <c r="L68" s="81"/>
      <c r="M68" s="79"/>
      <c r="N68" s="2"/>
      <c r="O68" s="2"/>
      <c r="P68" s="2"/>
      <c r="Q68" s="2"/>
      <c r="R68" s="2"/>
    </row>
    <row r="69" ht="24.75" customHeight="1">
      <c r="A69" s="88"/>
      <c r="B69" s="86"/>
      <c r="C69" s="86"/>
      <c r="D69" s="95"/>
      <c r="E69" s="85"/>
      <c r="F69" s="85"/>
      <c r="G69" s="80"/>
      <c r="H69" s="80"/>
      <c r="I69" s="80"/>
      <c r="J69" s="80"/>
      <c r="K69" s="79"/>
      <c r="L69" s="81"/>
      <c r="M69" s="79"/>
      <c r="N69" s="2"/>
      <c r="O69" s="2"/>
      <c r="P69" s="2"/>
      <c r="Q69" s="2"/>
      <c r="R69" s="2"/>
    </row>
    <row r="70" ht="24.75" customHeight="1">
      <c r="A70" s="89"/>
      <c r="B70" s="90"/>
      <c r="C70" s="90"/>
      <c r="D70" s="104"/>
      <c r="E70" s="91"/>
      <c r="F70" s="91"/>
      <c r="G70" s="92"/>
      <c r="H70" s="92"/>
      <c r="I70" s="92"/>
      <c r="J70" s="92"/>
      <c r="K70" s="93"/>
      <c r="L70" s="105"/>
      <c r="M70" s="79"/>
      <c r="N70" s="2"/>
      <c r="O70" s="2"/>
      <c r="P70" s="2"/>
      <c r="Q70" s="2"/>
      <c r="R70" s="2"/>
    </row>
    <row r="71" ht="24.75" customHeight="1">
      <c r="A71" s="2"/>
      <c r="B71" s="86"/>
      <c r="C71" s="86"/>
      <c r="D71" s="102"/>
      <c r="E71" s="85"/>
      <c r="F71" s="85"/>
      <c r="G71" s="80"/>
      <c r="H71" s="80"/>
      <c r="I71" s="80"/>
      <c r="J71" s="103"/>
      <c r="K71" s="96"/>
      <c r="L71" s="97"/>
      <c r="M71" s="96"/>
      <c r="N71" s="2"/>
      <c r="O71" s="2"/>
      <c r="P71" s="2"/>
      <c r="Q71" s="2"/>
      <c r="R71" s="2"/>
    </row>
    <row r="72" ht="21.75" customHeight="1">
      <c r="A72" s="106"/>
      <c r="B72" s="102"/>
      <c r="C72" s="102"/>
      <c r="D72" s="107"/>
      <c r="E72" s="107"/>
      <c r="F72" s="107"/>
      <c r="G72" s="2"/>
      <c r="H72" s="2"/>
      <c r="I72" s="2"/>
      <c r="J72" s="2"/>
      <c r="K72" s="97"/>
      <c r="L72" s="97"/>
      <c r="M72" s="97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12331606217616581" right="0.08808290155440415" top="0.3435233160621762"/>
  <pageSetup scale="4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233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235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236</v>
      </c>
      <c r="C17" s="45" t="s">
        <v>40</v>
      </c>
      <c r="D17" s="46" t="s">
        <v>237</v>
      </c>
      <c r="E17" s="47">
        <v>5.0</v>
      </c>
      <c r="F17" s="47">
        <v>1.87</v>
      </c>
      <c r="G17" s="47">
        <v>2.0</v>
      </c>
      <c r="H17" s="48"/>
      <c r="I17" s="48">
        <f t="shared" ref="I17:I64" si="1">SUM(E17:H17)</f>
        <v>8.87</v>
      </c>
      <c r="J17" s="52">
        <v>1.0</v>
      </c>
      <c r="K17" s="49">
        <f t="shared" ref="K17:K64" si="2">IF(I17&lt;6, 5, MIN(10, ROUND(I17, 0)))</f>
        <v>9</v>
      </c>
      <c r="L17" s="45"/>
      <c r="M17" s="50">
        <f t="shared" ref="M17:M64" si="3">IF(I17&gt;=6,ROUND(I17,0),TRUNC(I17,0))</f>
        <v>9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238</v>
      </c>
      <c r="C18" s="45" t="s">
        <v>239</v>
      </c>
      <c r="D18" s="46" t="s">
        <v>240</v>
      </c>
      <c r="E18" s="47">
        <v>4.8</v>
      </c>
      <c r="F18" s="47">
        <v>1.31</v>
      </c>
      <c r="G18" s="47">
        <v>2.0</v>
      </c>
      <c r="H18" s="48"/>
      <c r="I18" s="48">
        <f t="shared" si="1"/>
        <v>8.11</v>
      </c>
      <c r="J18" s="44"/>
      <c r="K18" s="49">
        <f t="shared" si="2"/>
        <v>8</v>
      </c>
      <c r="L18" s="44"/>
      <c r="M18" s="50">
        <f t="shared" si="3"/>
        <v>8</v>
      </c>
      <c r="N18" s="53" t="s">
        <v>30</v>
      </c>
      <c r="O18" s="52">
        <v>10.0</v>
      </c>
      <c r="P18" s="2"/>
      <c r="Q18" s="2"/>
      <c r="R18" s="2"/>
    </row>
    <row r="19" ht="24.75" customHeight="1">
      <c r="A19" s="44">
        <v>3.0</v>
      </c>
      <c r="B19" s="45" t="s">
        <v>241</v>
      </c>
      <c r="C19" s="45" t="s">
        <v>172</v>
      </c>
      <c r="D19" s="46" t="s">
        <v>242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4"/>
      <c r="K19" s="49">
        <f t="shared" si="2"/>
        <v>10</v>
      </c>
      <c r="L19" s="44"/>
      <c r="M19" s="50">
        <f t="shared" si="3"/>
        <v>10</v>
      </c>
      <c r="N19" s="53" t="s">
        <v>34</v>
      </c>
      <c r="O19" s="52">
        <v>14.0</v>
      </c>
      <c r="P19" s="2"/>
      <c r="Q19" s="2"/>
      <c r="R19" s="2"/>
    </row>
    <row r="20" ht="24.75" customHeight="1">
      <c r="A20" s="44">
        <v>4.0</v>
      </c>
      <c r="B20" s="45" t="s">
        <v>243</v>
      </c>
      <c r="C20" s="45" t="s">
        <v>146</v>
      </c>
      <c r="D20" s="46" t="s">
        <v>244</v>
      </c>
      <c r="E20" s="47">
        <v>5.0</v>
      </c>
      <c r="F20" s="47">
        <v>2.81</v>
      </c>
      <c r="G20" s="47">
        <v>2.0</v>
      </c>
      <c r="H20" s="48"/>
      <c r="I20" s="48">
        <f t="shared" si="1"/>
        <v>9.81</v>
      </c>
      <c r="J20" s="52">
        <v>1.0</v>
      </c>
      <c r="K20" s="49">
        <f t="shared" si="2"/>
        <v>10</v>
      </c>
      <c r="L20" s="44"/>
      <c r="M20" s="50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245</v>
      </c>
      <c r="C21" s="45" t="s">
        <v>246</v>
      </c>
      <c r="D21" s="46" t="s">
        <v>247</v>
      </c>
      <c r="E21" s="47">
        <v>4.0</v>
      </c>
      <c r="F21" s="47">
        <v>1.5</v>
      </c>
      <c r="G21" s="47">
        <v>2.0</v>
      </c>
      <c r="H21" s="48"/>
      <c r="I21" s="48">
        <f t="shared" si="1"/>
        <v>7.5</v>
      </c>
      <c r="J21" s="44"/>
      <c r="K21" s="49">
        <f t="shared" si="2"/>
        <v>8</v>
      </c>
      <c r="L21" s="44"/>
      <c r="M21" s="50">
        <f t="shared" si="3"/>
        <v>8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248</v>
      </c>
      <c r="C22" s="45" t="s">
        <v>216</v>
      </c>
      <c r="D22" s="46" t="s">
        <v>249</v>
      </c>
      <c r="E22" s="47">
        <v>4.8</v>
      </c>
      <c r="F22" s="47">
        <v>3.0</v>
      </c>
      <c r="G22" s="47">
        <v>2.0</v>
      </c>
      <c r="H22" s="48"/>
      <c r="I22" s="48">
        <f t="shared" si="1"/>
        <v>9.8</v>
      </c>
      <c r="J22" s="44"/>
      <c r="K22" s="49">
        <f t="shared" si="2"/>
        <v>10</v>
      </c>
      <c r="L22" s="44"/>
      <c r="M22" s="50">
        <f t="shared" si="3"/>
        <v>10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250</v>
      </c>
      <c r="C23" s="45" t="s">
        <v>251</v>
      </c>
      <c r="D23" s="46" t="s">
        <v>252</v>
      </c>
      <c r="E23" s="47">
        <v>3.0</v>
      </c>
      <c r="F23" s="47">
        <v>1.31</v>
      </c>
      <c r="G23" s="47">
        <v>2.0</v>
      </c>
      <c r="H23" s="48"/>
      <c r="I23" s="48">
        <f t="shared" si="1"/>
        <v>6.31</v>
      </c>
      <c r="J23" s="44"/>
      <c r="K23" s="49">
        <f t="shared" si="2"/>
        <v>6</v>
      </c>
      <c r="L23" s="44"/>
      <c r="M23" s="50">
        <f t="shared" si="3"/>
        <v>6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253</v>
      </c>
      <c r="C24" s="45" t="s">
        <v>254</v>
      </c>
      <c r="D24" s="46" t="s">
        <v>255</v>
      </c>
      <c r="E24" s="47">
        <v>5.0</v>
      </c>
      <c r="F24" s="47">
        <v>2.81</v>
      </c>
      <c r="G24" s="47">
        <v>2.0</v>
      </c>
      <c r="H24" s="48"/>
      <c r="I24" s="48">
        <f t="shared" si="1"/>
        <v>9.81</v>
      </c>
      <c r="J24" s="44"/>
      <c r="K24" s="49">
        <f t="shared" si="2"/>
        <v>10</v>
      </c>
      <c r="L24" s="44"/>
      <c r="M24" s="50">
        <f t="shared" si="3"/>
        <v>10</v>
      </c>
      <c r="N24" s="53" t="s">
        <v>54</v>
      </c>
      <c r="O24" s="53">
        <f>SUM(O18:O23)</f>
        <v>24</v>
      </c>
      <c r="P24" s="2"/>
      <c r="Q24" s="2"/>
      <c r="R24" s="2"/>
    </row>
    <row r="25" ht="24.75" customHeight="1">
      <c r="A25" s="44">
        <v>9.0</v>
      </c>
      <c r="B25" s="45" t="s">
        <v>43</v>
      </c>
      <c r="C25" s="45" t="s">
        <v>52</v>
      </c>
      <c r="D25" s="46" t="s">
        <v>256</v>
      </c>
      <c r="E25" s="47">
        <v>5.0</v>
      </c>
      <c r="F25" s="47">
        <v>1.2</v>
      </c>
      <c r="G25" s="47">
        <v>2.0</v>
      </c>
      <c r="H25" s="48"/>
      <c r="I25" s="48">
        <f t="shared" si="1"/>
        <v>8.2</v>
      </c>
      <c r="J25" s="44"/>
      <c r="K25" s="49">
        <f t="shared" si="2"/>
        <v>8</v>
      </c>
      <c r="L25" s="44"/>
      <c r="M25" s="50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257</v>
      </c>
      <c r="C26" s="45" t="s">
        <v>258</v>
      </c>
      <c r="D26" s="46" t="s">
        <v>259</v>
      </c>
      <c r="E26" s="47">
        <v>5.0</v>
      </c>
      <c r="F26" s="47">
        <v>2.4</v>
      </c>
      <c r="G26" s="47">
        <v>2.0</v>
      </c>
      <c r="H26" s="48"/>
      <c r="I26" s="48">
        <f t="shared" si="1"/>
        <v>9.4</v>
      </c>
      <c r="J26" s="52">
        <v>1.0</v>
      </c>
      <c r="K26" s="49">
        <f t="shared" si="2"/>
        <v>9</v>
      </c>
      <c r="L26" s="44"/>
      <c r="M26" s="50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260</v>
      </c>
      <c r="C27" s="45" t="s">
        <v>218</v>
      </c>
      <c r="D27" s="45" t="s">
        <v>261</v>
      </c>
      <c r="E27" s="47">
        <v>5.0</v>
      </c>
      <c r="F27" s="47">
        <v>1.5</v>
      </c>
      <c r="G27" s="47">
        <v>2.0</v>
      </c>
      <c r="H27" s="48"/>
      <c r="I27" s="48">
        <f t="shared" si="1"/>
        <v>8.5</v>
      </c>
      <c r="J27" s="44"/>
      <c r="K27" s="49">
        <f t="shared" si="2"/>
        <v>9</v>
      </c>
      <c r="L27" s="44"/>
      <c r="M27" s="50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254</v>
      </c>
      <c r="C28" s="45" t="s">
        <v>183</v>
      </c>
      <c r="D28" s="46" t="s">
        <v>262</v>
      </c>
      <c r="E28" s="47">
        <v>5.0</v>
      </c>
      <c r="F28" s="47">
        <v>2.8</v>
      </c>
      <c r="G28" s="47">
        <v>0.0</v>
      </c>
      <c r="H28" s="48"/>
      <c r="I28" s="48">
        <f t="shared" si="1"/>
        <v>7.8</v>
      </c>
      <c r="J28" s="44"/>
      <c r="K28" s="49">
        <f t="shared" si="2"/>
        <v>8</v>
      </c>
      <c r="L28" s="44"/>
      <c r="M28" s="50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263</v>
      </c>
      <c r="C29" s="45" t="s">
        <v>154</v>
      </c>
      <c r="D29" s="46" t="s">
        <v>264</v>
      </c>
      <c r="E29" s="47">
        <v>5.0</v>
      </c>
      <c r="F29" s="47">
        <v>2.8</v>
      </c>
      <c r="G29" s="47">
        <v>2.0</v>
      </c>
      <c r="H29" s="48"/>
      <c r="I29" s="48">
        <f t="shared" si="1"/>
        <v>9.8</v>
      </c>
      <c r="J29" s="44"/>
      <c r="K29" s="49">
        <f t="shared" si="2"/>
        <v>10</v>
      </c>
      <c r="L29" s="44"/>
      <c r="M29" s="50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246</v>
      </c>
      <c r="C30" s="45" t="s">
        <v>227</v>
      </c>
      <c r="D30" s="46" t="s">
        <v>265</v>
      </c>
      <c r="E30" s="47">
        <v>4.8</v>
      </c>
      <c r="F30" s="47">
        <v>2.0</v>
      </c>
      <c r="G30" s="47">
        <v>2.0</v>
      </c>
      <c r="H30" s="48"/>
      <c r="I30" s="48">
        <f t="shared" si="1"/>
        <v>8.8</v>
      </c>
      <c r="J30" s="44"/>
      <c r="K30" s="49">
        <f t="shared" si="2"/>
        <v>9</v>
      </c>
      <c r="L30" s="44"/>
      <c r="M30" s="50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59</v>
      </c>
      <c r="C31" s="45" t="s">
        <v>146</v>
      </c>
      <c r="D31" s="46" t="s">
        <v>266</v>
      </c>
      <c r="E31" s="47">
        <v>3.8</v>
      </c>
      <c r="F31" s="47">
        <v>0.3</v>
      </c>
      <c r="G31" s="47">
        <v>2.0</v>
      </c>
      <c r="H31" s="48"/>
      <c r="I31" s="48">
        <f t="shared" si="1"/>
        <v>6.1</v>
      </c>
      <c r="J31" s="44"/>
      <c r="K31" s="49">
        <f t="shared" si="2"/>
        <v>6</v>
      </c>
      <c r="L31" s="44"/>
      <c r="M31" s="50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267</v>
      </c>
      <c r="C32" s="45" t="s">
        <v>268</v>
      </c>
      <c r="D32" s="46" t="s">
        <v>269</v>
      </c>
      <c r="E32" s="47">
        <v>5.0</v>
      </c>
      <c r="F32" s="47">
        <v>2.8</v>
      </c>
      <c r="G32" s="47">
        <v>0.0</v>
      </c>
      <c r="H32" s="48"/>
      <c r="I32" s="48">
        <f t="shared" si="1"/>
        <v>7.8</v>
      </c>
      <c r="J32" s="52">
        <v>1.0</v>
      </c>
      <c r="K32" s="49">
        <f t="shared" si="2"/>
        <v>8</v>
      </c>
      <c r="L32" s="44"/>
      <c r="M32" s="50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168</v>
      </c>
      <c r="C33" s="45" t="s">
        <v>168</v>
      </c>
      <c r="D33" s="46" t="s">
        <v>270</v>
      </c>
      <c r="E33" s="47">
        <v>4.0</v>
      </c>
      <c r="F33" s="47">
        <v>1.8</v>
      </c>
      <c r="G33" s="47">
        <v>2.0</v>
      </c>
      <c r="H33" s="47">
        <v>1.0</v>
      </c>
      <c r="I33" s="48">
        <f t="shared" si="1"/>
        <v>8.8</v>
      </c>
      <c r="J33" s="44"/>
      <c r="K33" s="49">
        <f t="shared" si="2"/>
        <v>9</v>
      </c>
      <c r="L33" s="44"/>
      <c r="M33" s="50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62</v>
      </c>
      <c r="C34" s="45" t="s">
        <v>168</v>
      </c>
      <c r="D34" s="46" t="s">
        <v>271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4"/>
      <c r="K34" s="49">
        <f t="shared" si="2"/>
        <v>10</v>
      </c>
      <c r="L34" s="44"/>
      <c r="M34" s="50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62</v>
      </c>
      <c r="C35" s="45" t="s">
        <v>272</v>
      </c>
      <c r="D35" s="46" t="s">
        <v>273</v>
      </c>
      <c r="E35" s="47">
        <v>3.8</v>
      </c>
      <c r="F35" s="47">
        <v>2.2</v>
      </c>
      <c r="G35" s="47">
        <v>0.0</v>
      </c>
      <c r="H35" s="48"/>
      <c r="I35" s="48">
        <f t="shared" si="1"/>
        <v>6</v>
      </c>
      <c r="J35" s="44"/>
      <c r="K35" s="49">
        <f t="shared" si="2"/>
        <v>6</v>
      </c>
      <c r="L35" s="44"/>
      <c r="M35" s="50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274</v>
      </c>
      <c r="C36" s="45" t="s">
        <v>216</v>
      </c>
      <c r="D36" s="46" t="s">
        <v>275</v>
      </c>
      <c r="E36" s="47">
        <v>5.0</v>
      </c>
      <c r="F36" s="47">
        <v>2.0</v>
      </c>
      <c r="G36" s="47">
        <v>2.0</v>
      </c>
      <c r="H36" s="48"/>
      <c r="I36" s="48">
        <f t="shared" si="1"/>
        <v>9</v>
      </c>
      <c r="J36" s="44"/>
      <c r="K36" s="49">
        <f t="shared" si="2"/>
        <v>9</v>
      </c>
      <c r="L36" s="44"/>
      <c r="M36" s="50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276</v>
      </c>
      <c r="C37" s="45" t="s">
        <v>277</v>
      </c>
      <c r="D37" s="46" t="s">
        <v>278</v>
      </c>
      <c r="E37" s="47">
        <v>5.0</v>
      </c>
      <c r="F37" s="47">
        <v>2.2</v>
      </c>
      <c r="G37" s="47">
        <v>2.0</v>
      </c>
      <c r="H37" s="48"/>
      <c r="I37" s="48">
        <f t="shared" si="1"/>
        <v>9.2</v>
      </c>
      <c r="J37" s="44"/>
      <c r="K37" s="49">
        <f t="shared" si="2"/>
        <v>9</v>
      </c>
      <c r="L37" s="44"/>
      <c r="M37" s="50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52</v>
      </c>
      <c r="C38" s="45" t="s">
        <v>59</v>
      </c>
      <c r="D38" s="46" t="s">
        <v>279</v>
      </c>
      <c r="E38" s="47">
        <v>5.0</v>
      </c>
      <c r="F38" s="47">
        <v>2.6</v>
      </c>
      <c r="G38" s="47">
        <v>0.0</v>
      </c>
      <c r="H38" s="48"/>
      <c r="I38" s="48">
        <f t="shared" si="1"/>
        <v>7.6</v>
      </c>
      <c r="J38" s="44"/>
      <c r="K38" s="49">
        <f t="shared" si="2"/>
        <v>8</v>
      </c>
      <c r="L38" s="44"/>
      <c r="M38" s="50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280</v>
      </c>
      <c r="C39" s="45" t="s">
        <v>281</v>
      </c>
      <c r="D39" s="46" t="s">
        <v>282</v>
      </c>
      <c r="E39" s="47">
        <v>1.9</v>
      </c>
      <c r="F39" s="47">
        <v>2.2</v>
      </c>
      <c r="G39" s="47">
        <v>2.0</v>
      </c>
      <c r="H39" s="48"/>
      <c r="I39" s="48">
        <f t="shared" si="1"/>
        <v>6.1</v>
      </c>
      <c r="J39" s="44"/>
      <c r="K39" s="49">
        <f t="shared" si="2"/>
        <v>6</v>
      </c>
      <c r="L39" s="44"/>
      <c r="M39" s="50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280</v>
      </c>
      <c r="C40" s="45" t="s">
        <v>73</v>
      </c>
      <c r="D40" s="46" t="s">
        <v>283</v>
      </c>
      <c r="E40" s="47">
        <v>5.0</v>
      </c>
      <c r="F40" s="47">
        <v>2.6</v>
      </c>
      <c r="G40" s="47">
        <v>2.0</v>
      </c>
      <c r="H40" s="48"/>
      <c r="I40" s="48">
        <f t="shared" si="1"/>
        <v>9.6</v>
      </c>
      <c r="J40" s="44"/>
      <c r="K40" s="49">
        <f t="shared" si="2"/>
        <v>10</v>
      </c>
      <c r="L40" s="44"/>
      <c r="M40" s="50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146</v>
      </c>
      <c r="C41" s="45" t="s">
        <v>284</v>
      </c>
      <c r="D41" s="46" t="s">
        <v>285</v>
      </c>
      <c r="E41" s="47">
        <v>3.3</v>
      </c>
      <c r="F41" s="47">
        <v>0.7</v>
      </c>
      <c r="G41" s="47">
        <v>2.0</v>
      </c>
      <c r="H41" s="48"/>
      <c r="I41" s="48">
        <f t="shared" si="1"/>
        <v>6</v>
      </c>
      <c r="J41" s="44"/>
      <c r="K41" s="49">
        <f t="shared" si="2"/>
        <v>6</v>
      </c>
      <c r="L41" s="44"/>
      <c r="M41" s="50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180</v>
      </c>
      <c r="C42" s="45" t="s">
        <v>59</v>
      </c>
      <c r="D42" s="46" t="s">
        <v>286</v>
      </c>
      <c r="E42" s="47">
        <v>4.8</v>
      </c>
      <c r="F42" s="47">
        <v>2.4</v>
      </c>
      <c r="G42" s="47">
        <v>2.0</v>
      </c>
      <c r="H42" s="48"/>
      <c r="I42" s="48">
        <f t="shared" si="1"/>
        <v>9.2</v>
      </c>
      <c r="J42" s="44"/>
      <c r="K42" s="49">
        <f t="shared" si="2"/>
        <v>9</v>
      </c>
      <c r="L42" s="44"/>
      <c r="M42" s="50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287</v>
      </c>
      <c r="C43" s="45" t="s">
        <v>172</v>
      </c>
      <c r="D43" s="46" t="s">
        <v>288</v>
      </c>
      <c r="E43" s="47">
        <v>5.0</v>
      </c>
      <c r="F43" s="47">
        <v>2.6</v>
      </c>
      <c r="G43" s="47">
        <v>2.0</v>
      </c>
      <c r="H43" s="48"/>
      <c r="I43" s="48">
        <f t="shared" si="1"/>
        <v>9.6</v>
      </c>
      <c r="J43" s="44"/>
      <c r="K43" s="49">
        <f t="shared" si="2"/>
        <v>10</v>
      </c>
      <c r="L43" s="44"/>
      <c r="M43" s="50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97</v>
      </c>
      <c r="C44" s="45" t="s">
        <v>289</v>
      </c>
      <c r="D44" s="46" t="s">
        <v>290</v>
      </c>
      <c r="E44" s="47">
        <v>5.0</v>
      </c>
      <c r="F44" s="47">
        <v>0.0</v>
      </c>
      <c r="G44" s="47">
        <v>2.0</v>
      </c>
      <c r="H44" s="47">
        <v>1.0</v>
      </c>
      <c r="I44" s="48">
        <f t="shared" si="1"/>
        <v>8</v>
      </c>
      <c r="J44" s="44"/>
      <c r="K44" s="49">
        <f t="shared" si="2"/>
        <v>8</v>
      </c>
      <c r="L44" s="44"/>
      <c r="M44" s="50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195</v>
      </c>
      <c r="C45" s="45" t="s">
        <v>185</v>
      </c>
      <c r="D45" s="46" t="s">
        <v>291</v>
      </c>
      <c r="E45" s="47">
        <v>4.6</v>
      </c>
      <c r="F45" s="47">
        <v>2.4</v>
      </c>
      <c r="G45" s="47">
        <v>2.0</v>
      </c>
      <c r="H45" s="48"/>
      <c r="I45" s="48">
        <f t="shared" si="1"/>
        <v>9</v>
      </c>
      <c r="J45" s="44"/>
      <c r="K45" s="49">
        <f t="shared" si="2"/>
        <v>9</v>
      </c>
      <c r="L45" s="44"/>
      <c r="M45" s="50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292</v>
      </c>
      <c r="C46" s="45" t="s">
        <v>293</v>
      </c>
      <c r="D46" s="46" t="s">
        <v>294</v>
      </c>
      <c r="E46" s="47">
        <v>5.0</v>
      </c>
      <c r="F46" s="47">
        <v>2.8</v>
      </c>
      <c r="G46" s="47">
        <v>2.0</v>
      </c>
      <c r="H46" s="48"/>
      <c r="I46" s="48">
        <f t="shared" si="1"/>
        <v>9.8</v>
      </c>
      <c r="J46" s="44"/>
      <c r="K46" s="49">
        <f t="shared" si="2"/>
        <v>10</v>
      </c>
      <c r="L46" s="44"/>
      <c r="M46" s="50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295</v>
      </c>
      <c r="C47" s="45" t="s">
        <v>296</v>
      </c>
      <c r="D47" s="46" t="s">
        <v>297</v>
      </c>
      <c r="E47" s="47">
        <v>5.0</v>
      </c>
      <c r="F47" s="47">
        <v>2.6</v>
      </c>
      <c r="G47" s="47">
        <v>2.0</v>
      </c>
      <c r="H47" s="48"/>
      <c r="I47" s="48">
        <f t="shared" si="1"/>
        <v>9.6</v>
      </c>
      <c r="J47" s="52">
        <v>1.0</v>
      </c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298</v>
      </c>
      <c r="C48" s="45" t="s">
        <v>299</v>
      </c>
      <c r="D48" s="46" t="s">
        <v>300</v>
      </c>
      <c r="E48" s="47">
        <v>4.0</v>
      </c>
      <c r="F48" s="47">
        <v>2.6</v>
      </c>
      <c r="G48" s="47">
        <v>2.0</v>
      </c>
      <c r="H48" s="48"/>
      <c r="I48" s="48">
        <f t="shared" si="1"/>
        <v>8.6</v>
      </c>
      <c r="J48" s="44"/>
      <c r="K48" s="49">
        <f t="shared" si="2"/>
        <v>9</v>
      </c>
      <c r="L48" s="44"/>
      <c r="M48" s="50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301</v>
      </c>
      <c r="C49" s="45" t="s">
        <v>236</v>
      </c>
      <c r="D49" s="46" t="s">
        <v>302</v>
      </c>
      <c r="E49" s="47">
        <v>4.8</v>
      </c>
      <c r="F49" s="47">
        <v>2.0</v>
      </c>
      <c r="G49" s="47">
        <v>0.0</v>
      </c>
      <c r="H49" s="48"/>
      <c r="I49" s="48">
        <f t="shared" si="1"/>
        <v>6.8</v>
      </c>
      <c r="J49" s="44"/>
      <c r="K49" s="49">
        <f t="shared" si="2"/>
        <v>7</v>
      </c>
      <c r="L49" s="44"/>
      <c r="M49" s="50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40</v>
      </c>
      <c r="C50" s="45" t="s">
        <v>303</v>
      </c>
      <c r="D50" s="46" t="s">
        <v>304</v>
      </c>
      <c r="E50" s="47">
        <v>5.0</v>
      </c>
      <c r="F50" s="47">
        <v>1.5</v>
      </c>
      <c r="G50" s="47">
        <v>2.0</v>
      </c>
      <c r="H50" s="48"/>
      <c r="I50" s="48">
        <f t="shared" si="1"/>
        <v>8.5</v>
      </c>
      <c r="J50" s="44"/>
      <c r="K50" s="49">
        <f t="shared" si="2"/>
        <v>9</v>
      </c>
      <c r="L50" s="44"/>
      <c r="M50" s="50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40</v>
      </c>
      <c r="C51" s="45" t="s">
        <v>305</v>
      </c>
      <c r="D51" s="46" t="s">
        <v>306</v>
      </c>
      <c r="E51" s="47">
        <v>4.0</v>
      </c>
      <c r="F51" s="47">
        <v>0.5</v>
      </c>
      <c r="G51" s="47">
        <v>2.0</v>
      </c>
      <c r="H51" s="48"/>
      <c r="I51" s="48">
        <f t="shared" si="1"/>
        <v>6.5</v>
      </c>
      <c r="J51" s="44"/>
      <c r="K51" s="49">
        <f t="shared" si="2"/>
        <v>7</v>
      </c>
      <c r="L51" s="44"/>
      <c r="M51" s="50">
        <f t="shared" si="3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67</v>
      </c>
      <c r="C52" s="45" t="s">
        <v>59</v>
      </c>
      <c r="D52" s="46" t="s">
        <v>307</v>
      </c>
      <c r="E52" s="47">
        <v>5.0</v>
      </c>
      <c r="F52" s="47">
        <v>1.5</v>
      </c>
      <c r="G52" s="47">
        <v>2.0</v>
      </c>
      <c r="H52" s="48"/>
      <c r="I52" s="48">
        <f t="shared" si="1"/>
        <v>8.5</v>
      </c>
      <c r="J52" s="44"/>
      <c r="K52" s="49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67</v>
      </c>
      <c r="C53" s="45" t="s">
        <v>274</v>
      </c>
      <c r="D53" s="46" t="s">
        <v>308</v>
      </c>
      <c r="E53" s="47">
        <v>5.0</v>
      </c>
      <c r="F53" s="47">
        <v>1.8</v>
      </c>
      <c r="G53" s="47">
        <v>2.0</v>
      </c>
      <c r="H53" s="48"/>
      <c r="I53" s="48">
        <f t="shared" si="1"/>
        <v>8.8</v>
      </c>
      <c r="J53" s="48"/>
      <c r="K53" s="49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101</v>
      </c>
      <c r="C54" s="45" t="s">
        <v>62</v>
      </c>
      <c r="D54" s="46" t="s">
        <v>309</v>
      </c>
      <c r="E54" s="47">
        <v>5.0</v>
      </c>
      <c r="F54" s="47">
        <v>1.5</v>
      </c>
      <c r="G54" s="47">
        <v>2.0</v>
      </c>
      <c r="H54" s="48"/>
      <c r="I54" s="48">
        <f t="shared" si="1"/>
        <v>8.5</v>
      </c>
      <c r="J54" s="47">
        <v>1.0</v>
      </c>
      <c r="K54" s="49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202</v>
      </c>
      <c r="C55" s="45" t="s">
        <v>310</v>
      </c>
      <c r="D55" s="46" t="s">
        <v>311</v>
      </c>
      <c r="E55" s="47">
        <v>5.0</v>
      </c>
      <c r="F55" s="47">
        <v>1.5</v>
      </c>
      <c r="G55" s="47">
        <v>0.0</v>
      </c>
      <c r="H55" s="48"/>
      <c r="I55" s="48">
        <f t="shared" si="1"/>
        <v>6.5</v>
      </c>
      <c r="J55" s="46"/>
      <c r="K55" s="49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312</v>
      </c>
      <c r="C56" s="45" t="s">
        <v>313</v>
      </c>
      <c r="D56" s="45" t="s">
        <v>314</v>
      </c>
      <c r="E56" s="47">
        <v>2.9</v>
      </c>
      <c r="F56" s="47">
        <v>2.0</v>
      </c>
      <c r="G56" s="47">
        <v>2.0</v>
      </c>
      <c r="H56" s="48"/>
      <c r="I56" s="48">
        <f t="shared" si="1"/>
        <v>6.9</v>
      </c>
      <c r="J56" s="52">
        <v>1.0</v>
      </c>
      <c r="K56" s="49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111</v>
      </c>
      <c r="C57" s="45" t="s">
        <v>117</v>
      </c>
      <c r="D57" s="45" t="s">
        <v>315</v>
      </c>
      <c r="E57" s="47">
        <v>5.0</v>
      </c>
      <c r="F57" s="47">
        <v>2.8</v>
      </c>
      <c r="G57" s="47">
        <v>0.0</v>
      </c>
      <c r="H57" s="48"/>
      <c r="I57" s="48">
        <f t="shared" si="1"/>
        <v>7.8</v>
      </c>
      <c r="J57" s="48"/>
      <c r="K57" s="49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117</v>
      </c>
      <c r="C58" s="45" t="s">
        <v>97</v>
      </c>
      <c r="D58" s="108" t="s">
        <v>316</v>
      </c>
      <c r="E58" s="47">
        <v>5.0</v>
      </c>
      <c r="F58" s="47">
        <v>0.3</v>
      </c>
      <c r="G58" s="47">
        <v>2.0</v>
      </c>
      <c r="H58" s="48"/>
      <c r="I58" s="48">
        <f t="shared" si="1"/>
        <v>7.3</v>
      </c>
      <c r="J58" s="48"/>
      <c r="K58" s="49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293</v>
      </c>
      <c r="C59" s="45" t="s">
        <v>317</v>
      </c>
      <c r="D59" s="108" t="s">
        <v>214</v>
      </c>
      <c r="E59" s="47">
        <v>5.0</v>
      </c>
      <c r="F59" s="47">
        <v>2.6</v>
      </c>
      <c r="G59" s="47">
        <v>2.0</v>
      </c>
      <c r="H59" s="48"/>
      <c r="I59" s="48">
        <f t="shared" si="1"/>
        <v>9.6</v>
      </c>
      <c r="J59" s="48"/>
      <c r="K59" s="49">
        <f t="shared" si="2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318</v>
      </c>
      <c r="C60" s="45" t="s">
        <v>315</v>
      </c>
      <c r="D60" s="45" t="s">
        <v>319</v>
      </c>
      <c r="E60" s="47">
        <v>5.0</v>
      </c>
      <c r="F60" s="47">
        <v>2.6</v>
      </c>
      <c r="G60" s="47">
        <v>2.0</v>
      </c>
      <c r="H60" s="48"/>
      <c r="I60" s="48">
        <f t="shared" si="1"/>
        <v>9.6</v>
      </c>
      <c r="J60" s="48"/>
      <c r="K60" s="49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224</v>
      </c>
      <c r="C61" s="45" t="s">
        <v>320</v>
      </c>
      <c r="D61" s="45" t="s">
        <v>321</v>
      </c>
      <c r="E61" s="47">
        <v>5.0</v>
      </c>
      <c r="F61" s="47">
        <v>1.8</v>
      </c>
      <c r="G61" s="47">
        <v>2.0</v>
      </c>
      <c r="H61" s="48"/>
      <c r="I61" s="48">
        <f t="shared" si="1"/>
        <v>8.8</v>
      </c>
      <c r="J61" s="47">
        <v>1.0</v>
      </c>
      <c r="K61" s="49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93</v>
      </c>
      <c r="C62" s="45" t="s">
        <v>168</v>
      </c>
      <c r="D62" s="45" t="s">
        <v>322</v>
      </c>
      <c r="E62" s="47">
        <v>1.0</v>
      </c>
      <c r="F62" s="47">
        <v>1.3</v>
      </c>
      <c r="G62" s="47">
        <v>2.0</v>
      </c>
      <c r="H62" s="48"/>
      <c r="I62" s="48">
        <f t="shared" si="1"/>
        <v>4.3</v>
      </c>
      <c r="J62" s="47">
        <v>1.0</v>
      </c>
      <c r="K62" s="49">
        <f t="shared" si="2"/>
        <v>5</v>
      </c>
      <c r="L62" s="44"/>
      <c r="M62" s="45">
        <f t="shared" si="3"/>
        <v>4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323</v>
      </c>
      <c r="C63" s="45" t="s">
        <v>324</v>
      </c>
      <c r="D63" s="45" t="s">
        <v>325</v>
      </c>
      <c r="E63" s="47">
        <v>4.0</v>
      </c>
      <c r="F63" s="47">
        <v>1.6</v>
      </c>
      <c r="G63" s="47">
        <v>1.0</v>
      </c>
      <c r="H63" s="48"/>
      <c r="I63" s="48">
        <f t="shared" si="1"/>
        <v>6.6</v>
      </c>
      <c r="J63" s="48"/>
      <c r="K63" s="49">
        <f t="shared" si="2"/>
        <v>7</v>
      </c>
      <c r="L63" s="44"/>
      <c r="M63" s="45">
        <f t="shared" si="3"/>
        <v>7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326</v>
      </c>
      <c r="C64" s="45" t="s">
        <v>168</v>
      </c>
      <c r="D64" s="108" t="s">
        <v>327</v>
      </c>
      <c r="E64" s="47">
        <v>5.0</v>
      </c>
      <c r="F64" s="47">
        <v>1.8</v>
      </c>
      <c r="G64" s="47">
        <v>2.0</v>
      </c>
      <c r="H64" s="48"/>
      <c r="I64" s="48">
        <f t="shared" si="1"/>
        <v>8.8</v>
      </c>
      <c r="J64" s="48"/>
      <c r="K64" s="49">
        <f t="shared" si="2"/>
        <v>9</v>
      </c>
      <c r="L64" s="44"/>
      <c r="M64" s="45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4"/>
      <c r="C65" s="54"/>
      <c r="D65" s="98"/>
      <c r="E65" s="55"/>
      <c r="F65" s="55"/>
      <c r="G65" s="55"/>
      <c r="H65" s="55"/>
      <c r="I65" s="55"/>
      <c r="J65" s="55"/>
      <c r="K65" s="54"/>
      <c r="L65" s="7"/>
      <c r="M65" s="54"/>
      <c r="N65" s="1"/>
      <c r="O65" s="1"/>
      <c r="P65" s="2"/>
      <c r="Q65" s="2"/>
      <c r="R65" s="2"/>
    </row>
    <row r="66" ht="24.75" customHeight="1">
      <c r="A66" s="1"/>
      <c r="B66" s="56" t="s">
        <v>126</v>
      </c>
      <c r="C66" s="57"/>
      <c r="D66" s="99">
        <f>COUNT(A17:A64)</f>
        <v>48</v>
      </c>
      <c r="E66" s="55"/>
      <c r="F66" s="55"/>
      <c r="G66" s="59" t="s">
        <v>127</v>
      </c>
      <c r="H66" s="55"/>
      <c r="I66" s="59" t="s">
        <v>128</v>
      </c>
      <c r="K66" s="60" t="s">
        <v>129</v>
      </c>
      <c r="L66" s="61" t="s">
        <v>130</v>
      </c>
      <c r="M66" s="54"/>
      <c r="N66" s="1"/>
      <c r="O66" s="1"/>
      <c r="P66" s="2"/>
      <c r="Q66" s="2"/>
      <c r="R66" s="2"/>
    </row>
    <row r="67" ht="24.75" customHeight="1">
      <c r="A67" s="1"/>
      <c r="B67" s="62" t="s">
        <v>131</v>
      </c>
      <c r="C67" s="63"/>
      <c r="D67" s="100">
        <f>COUNTIF(K17:K64,"BAJA")</f>
        <v>0</v>
      </c>
      <c r="E67" s="55"/>
      <c r="F67" s="55"/>
      <c r="H67" s="55"/>
      <c r="L67" s="9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132</v>
      </c>
      <c r="C68" s="63"/>
      <c r="D68" s="66">
        <f>D66-D67</f>
        <v>48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133</v>
      </c>
      <c r="C69" s="63"/>
      <c r="D69" s="66">
        <f>COUNTIF(K17:K64,"&gt;=6")</f>
        <v>47</v>
      </c>
      <c r="E69" s="55"/>
      <c r="F69" s="55"/>
      <c r="G69" s="55"/>
      <c r="H69" s="55"/>
      <c r="I69" s="55"/>
      <c r="J69" s="55"/>
      <c r="K69" s="54"/>
      <c r="L69" s="7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134</v>
      </c>
      <c r="C70" s="63"/>
      <c r="D70" s="66">
        <f>D68-D69</f>
        <v>1</v>
      </c>
      <c r="E70" s="55"/>
      <c r="F70" s="55"/>
      <c r="G70" s="67"/>
      <c r="H70" s="55"/>
      <c r="I70" s="67"/>
      <c r="J70" s="67"/>
      <c r="K70" s="68"/>
      <c r="L70" s="109"/>
      <c r="M70" s="54"/>
      <c r="N70" s="1"/>
      <c r="O70" s="1"/>
      <c r="P70" s="2"/>
      <c r="Q70" s="2"/>
      <c r="R70" s="2"/>
    </row>
    <row r="71" ht="36.0" customHeight="1">
      <c r="A71" s="1"/>
      <c r="B71" s="62" t="s">
        <v>135</v>
      </c>
      <c r="C71" s="63"/>
      <c r="D71" s="70">
        <f>D69*100/D68</f>
        <v>97.91666667</v>
      </c>
      <c r="E71" s="55"/>
      <c r="F71" s="55"/>
      <c r="G71" s="71" t="s">
        <v>136</v>
      </c>
      <c r="H71" s="55"/>
      <c r="I71" s="72" t="s">
        <v>328</v>
      </c>
      <c r="K71" s="73" t="s">
        <v>138</v>
      </c>
      <c r="L71" s="74" t="s">
        <v>139</v>
      </c>
      <c r="M71" s="54"/>
      <c r="N71" s="1"/>
      <c r="O71" s="1"/>
      <c r="P71" s="2"/>
      <c r="Q71" s="2"/>
      <c r="R71" s="2"/>
    </row>
    <row r="72" ht="21.75" customHeight="1">
      <c r="A72" s="110"/>
      <c r="B72" s="111" t="s">
        <v>140</v>
      </c>
      <c r="C72" s="76"/>
      <c r="D72" s="77">
        <f>AVERAGE(K17:K64)</f>
        <v>8.4375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12"/>
      <c r="B73" s="2"/>
      <c r="C73" s="2"/>
      <c r="D73" s="2"/>
      <c r="E73" s="2"/>
      <c r="F73" s="2"/>
      <c r="G73" s="2"/>
      <c r="H73" s="2"/>
      <c r="I73" s="2"/>
      <c r="J73" s="2"/>
      <c r="K73" s="2"/>
      <c r="L73" s="81"/>
      <c r="M73" s="2"/>
      <c r="N73" s="2"/>
      <c r="O73" s="2"/>
      <c r="P73" s="2"/>
      <c r="Q73" s="2"/>
      <c r="R73" s="2"/>
    </row>
    <row r="74" ht="21.75" customHeight="1">
      <c r="A74" s="113"/>
      <c r="B74" s="114"/>
      <c r="C74" s="115"/>
      <c r="D74" s="115"/>
      <c r="E74" s="107"/>
      <c r="H74" s="107"/>
      <c r="I74" s="107"/>
      <c r="J74" s="107"/>
      <c r="K74" s="107"/>
      <c r="L74" s="116"/>
      <c r="M74" s="107"/>
      <c r="N74" s="2"/>
      <c r="O74" s="2"/>
      <c r="P74" s="2"/>
      <c r="Q74" s="2"/>
      <c r="R74" s="2"/>
    </row>
    <row r="75" ht="21.75" customHeight="1">
      <c r="A75" s="117"/>
      <c r="B75" s="107"/>
      <c r="C75" s="107"/>
      <c r="D75" s="86"/>
      <c r="E75" s="107"/>
      <c r="F75" s="107"/>
      <c r="G75" s="2"/>
      <c r="H75" s="2"/>
      <c r="I75" s="2"/>
      <c r="J75" s="2"/>
      <c r="K75" s="2"/>
      <c r="L75" s="81"/>
      <c r="M75" s="2"/>
      <c r="N75" s="2"/>
      <c r="O75" s="2"/>
      <c r="P75" s="2"/>
      <c r="Q75" s="2"/>
      <c r="R75" s="2"/>
    </row>
    <row r="76" ht="21.75" customHeight="1">
      <c r="A76" s="117"/>
      <c r="B76" s="107"/>
      <c r="C76" s="107"/>
      <c r="D76" s="86"/>
      <c r="E76" s="107"/>
      <c r="F76" s="107"/>
      <c r="G76" s="2"/>
      <c r="H76" s="2"/>
      <c r="I76" s="2"/>
      <c r="J76" s="2"/>
      <c r="K76" s="2"/>
      <c r="L76" s="118"/>
      <c r="M76" s="2"/>
      <c r="N76" s="2"/>
      <c r="O76" s="2"/>
      <c r="P76" s="2"/>
      <c r="Q76" s="2"/>
      <c r="R76" s="2"/>
    </row>
    <row r="77" ht="27.75" customHeight="1">
      <c r="A77" s="119"/>
      <c r="B77" s="120"/>
      <c r="C77" s="120"/>
      <c r="D77" s="90"/>
      <c r="E77" s="120"/>
      <c r="F77" s="120"/>
      <c r="G77" s="121"/>
      <c r="H77" s="122"/>
      <c r="I77" s="121"/>
      <c r="J77" s="121"/>
      <c r="K77" s="121"/>
      <c r="L77" s="105"/>
      <c r="M77" s="2"/>
      <c r="N77" s="2"/>
      <c r="O77" s="2"/>
      <c r="P77" s="2"/>
      <c r="Q77" s="2"/>
      <c r="R77" s="2"/>
    </row>
    <row r="78" ht="21.75" customHeight="1">
      <c r="A78" s="106"/>
      <c r="B78" s="102"/>
      <c r="C78" s="102"/>
      <c r="D78" s="95"/>
      <c r="E78" s="107"/>
      <c r="F78" s="107"/>
      <c r="G78" s="103"/>
      <c r="H78" s="2"/>
      <c r="I78" s="103"/>
      <c r="J78" s="103"/>
      <c r="K78" s="123"/>
      <c r="L78" s="123"/>
      <c r="M78" s="97"/>
      <c r="N78" s="2"/>
      <c r="O78" s="2"/>
      <c r="P78" s="2"/>
      <c r="Q78" s="2"/>
      <c r="R78" s="2"/>
    </row>
    <row r="79" ht="13.5" customHeight="1">
      <c r="A79" s="2"/>
      <c r="B79" s="107"/>
      <c r="C79" s="107"/>
      <c r="D79" s="95"/>
      <c r="E79" s="107"/>
      <c r="F79" s="107"/>
      <c r="G79" s="103"/>
      <c r="H79" s="2"/>
      <c r="I79" s="103"/>
      <c r="J79" s="103"/>
      <c r="K79" s="123"/>
      <c r="L79" s="96"/>
      <c r="M79" s="97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75" footer="0.0" header="0.0" left="0.25" right="0.25" top="0.2043269230769231"/>
  <pageSetup scale="41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233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329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235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330</v>
      </c>
      <c r="C17" s="45" t="s">
        <v>331</v>
      </c>
      <c r="D17" s="46" t="s">
        <v>332</v>
      </c>
      <c r="E17" s="47">
        <v>5.0</v>
      </c>
      <c r="F17" s="47">
        <v>2.8</v>
      </c>
      <c r="G17" s="47">
        <v>2.0</v>
      </c>
      <c r="H17" s="48"/>
      <c r="I17" s="48">
        <f t="shared" ref="I17:I62" si="1">SUM(E17:H17)</f>
        <v>9.8</v>
      </c>
      <c r="J17" s="52">
        <v>1.0</v>
      </c>
      <c r="K17" s="49">
        <f t="shared" ref="K17:K62" si="2">IF(I17&lt;6, 5, MIN(10, ROUND(I17, 0)))</f>
        <v>10</v>
      </c>
      <c r="L17" s="45"/>
      <c r="M17" s="50">
        <f t="shared" ref="M17:M61" si="3">IF(I17&gt;=6,ROUND(I17,0),TRUNC(I17,0))</f>
        <v>10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333</v>
      </c>
      <c r="C18" s="45" t="s">
        <v>334</v>
      </c>
      <c r="D18" s="46" t="s">
        <v>335</v>
      </c>
      <c r="E18" s="47">
        <v>5.0</v>
      </c>
      <c r="F18" s="47">
        <v>2.2</v>
      </c>
      <c r="G18" s="47">
        <v>2.0</v>
      </c>
      <c r="H18" s="48"/>
      <c r="I18" s="48">
        <f t="shared" si="1"/>
        <v>9.2</v>
      </c>
      <c r="J18" s="44"/>
      <c r="K18" s="49">
        <f t="shared" si="2"/>
        <v>9</v>
      </c>
      <c r="L18" s="44"/>
      <c r="M18" s="50">
        <f t="shared" si="3"/>
        <v>9</v>
      </c>
      <c r="N18" s="53" t="s">
        <v>30</v>
      </c>
      <c r="O18" s="52">
        <v>9.0</v>
      </c>
      <c r="P18" s="2"/>
      <c r="Q18" s="2"/>
      <c r="R18" s="2"/>
    </row>
    <row r="19" ht="24.75" customHeight="1">
      <c r="A19" s="44">
        <v>3.0</v>
      </c>
      <c r="B19" s="45" t="s">
        <v>336</v>
      </c>
      <c r="C19" s="45" t="s">
        <v>168</v>
      </c>
      <c r="D19" s="46" t="s">
        <v>337</v>
      </c>
      <c r="E19" s="47">
        <v>3.5</v>
      </c>
      <c r="F19" s="47">
        <v>2.8</v>
      </c>
      <c r="G19" s="47">
        <v>2.0</v>
      </c>
      <c r="H19" s="48"/>
      <c r="I19" s="48">
        <f t="shared" si="1"/>
        <v>8.3</v>
      </c>
      <c r="J19" s="52">
        <v>1.0</v>
      </c>
      <c r="K19" s="49">
        <f t="shared" si="2"/>
        <v>8</v>
      </c>
      <c r="L19" s="44"/>
      <c r="M19" s="50">
        <f t="shared" si="3"/>
        <v>8</v>
      </c>
      <c r="N19" s="53" t="s">
        <v>34</v>
      </c>
      <c r="O19" s="52">
        <v>12.0</v>
      </c>
      <c r="P19" s="2"/>
      <c r="Q19" s="2"/>
      <c r="R19" s="2"/>
    </row>
    <row r="20" ht="24.75" customHeight="1">
      <c r="A20" s="44">
        <v>4.0</v>
      </c>
      <c r="B20" s="45" t="s">
        <v>338</v>
      </c>
      <c r="C20" s="45" t="s">
        <v>317</v>
      </c>
      <c r="D20" s="46" t="s">
        <v>339</v>
      </c>
      <c r="E20" s="47">
        <v>5.0</v>
      </c>
      <c r="F20" s="47">
        <v>1.8</v>
      </c>
      <c r="G20" s="47">
        <v>2.0</v>
      </c>
      <c r="H20" s="48"/>
      <c r="I20" s="48">
        <f t="shared" si="1"/>
        <v>8.8</v>
      </c>
      <c r="J20" s="44"/>
      <c r="K20" s="49">
        <f t="shared" si="2"/>
        <v>9</v>
      </c>
      <c r="L20" s="44"/>
      <c r="M20" s="50">
        <f t="shared" si="3"/>
        <v>9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340</v>
      </c>
      <c r="C21" s="45" t="s">
        <v>341</v>
      </c>
      <c r="D21" s="46" t="s">
        <v>342</v>
      </c>
      <c r="E21" s="47">
        <v>4.0</v>
      </c>
      <c r="F21" s="47">
        <v>2.0</v>
      </c>
      <c r="G21" s="47">
        <v>0.0</v>
      </c>
      <c r="H21" s="48"/>
      <c r="I21" s="48">
        <f t="shared" si="1"/>
        <v>6</v>
      </c>
      <c r="J21" s="44"/>
      <c r="K21" s="49">
        <f t="shared" si="2"/>
        <v>6</v>
      </c>
      <c r="L21" s="44"/>
      <c r="M21" s="50">
        <f t="shared" si="3"/>
        <v>6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248</v>
      </c>
      <c r="C22" s="45" t="s">
        <v>343</v>
      </c>
      <c r="D22" s="46" t="s">
        <v>344</v>
      </c>
      <c r="E22" s="47">
        <v>5.0</v>
      </c>
      <c r="F22" s="47">
        <v>1.2</v>
      </c>
      <c r="G22" s="47">
        <v>2.0</v>
      </c>
      <c r="H22" s="47">
        <v>1.0</v>
      </c>
      <c r="I22" s="48">
        <f t="shared" si="1"/>
        <v>9.2</v>
      </c>
      <c r="J22" s="44"/>
      <c r="K22" s="49">
        <f t="shared" si="2"/>
        <v>9</v>
      </c>
      <c r="L22" s="44"/>
      <c r="M22" s="50">
        <f t="shared" si="3"/>
        <v>9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231</v>
      </c>
      <c r="C23" s="45" t="s">
        <v>254</v>
      </c>
      <c r="D23" s="46" t="s">
        <v>345</v>
      </c>
      <c r="E23" s="47">
        <v>4.0</v>
      </c>
      <c r="F23" s="47">
        <v>2.6</v>
      </c>
      <c r="G23" s="47">
        <v>2.0</v>
      </c>
      <c r="H23" s="48"/>
      <c r="I23" s="48">
        <f t="shared" si="1"/>
        <v>8.6</v>
      </c>
      <c r="J23" s="44"/>
      <c r="K23" s="49">
        <f t="shared" si="2"/>
        <v>9</v>
      </c>
      <c r="L23" s="44"/>
      <c r="M23" s="50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346</v>
      </c>
      <c r="C24" s="45" t="s">
        <v>241</v>
      </c>
      <c r="D24" s="46" t="s">
        <v>347</v>
      </c>
      <c r="E24" s="47">
        <v>4.5</v>
      </c>
      <c r="F24" s="47">
        <v>0.6</v>
      </c>
      <c r="G24" s="47">
        <v>2.0</v>
      </c>
      <c r="H24" s="48"/>
      <c r="I24" s="48">
        <f t="shared" si="1"/>
        <v>7.1</v>
      </c>
      <c r="J24" s="52">
        <v>1.0</v>
      </c>
      <c r="K24" s="49">
        <f t="shared" si="2"/>
        <v>7</v>
      </c>
      <c r="L24" s="44"/>
      <c r="M24" s="50">
        <f t="shared" si="3"/>
        <v>7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88</v>
      </c>
      <c r="C25" s="45" t="s">
        <v>348</v>
      </c>
      <c r="D25" s="46" t="s">
        <v>349</v>
      </c>
      <c r="E25" s="47">
        <v>4.5</v>
      </c>
      <c r="F25" s="47">
        <v>1.6</v>
      </c>
      <c r="G25" s="47">
        <v>2.0</v>
      </c>
      <c r="H25" s="48"/>
      <c r="I25" s="48">
        <f t="shared" si="1"/>
        <v>8.1</v>
      </c>
      <c r="J25" s="44"/>
      <c r="K25" s="49">
        <f t="shared" si="2"/>
        <v>8</v>
      </c>
      <c r="L25" s="44"/>
      <c r="M25" s="50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350</v>
      </c>
      <c r="C26" s="45" t="s">
        <v>351</v>
      </c>
      <c r="D26" s="46" t="s">
        <v>174</v>
      </c>
      <c r="E26" s="47">
        <v>5.0</v>
      </c>
      <c r="F26" s="47">
        <v>2.6</v>
      </c>
      <c r="G26" s="47">
        <v>2.0</v>
      </c>
      <c r="H26" s="48"/>
      <c r="I26" s="48">
        <f t="shared" si="1"/>
        <v>9.6</v>
      </c>
      <c r="J26" s="44"/>
      <c r="K26" s="49">
        <f t="shared" si="2"/>
        <v>10</v>
      </c>
      <c r="L26" s="44"/>
      <c r="M26" s="50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254</v>
      </c>
      <c r="C27" s="45" t="s">
        <v>343</v>
      </c>
      <c r="D27" s="45" t="s">
        <v>352</v>
      </c>
      <c r="E27" s="47">
        <v>5.0</v>
      </c>
      <c r="F27" s="47">
        <v>2.8</v>
      </c>
      <c r="G27" s="47">
        <v>2.0</v>
      </c>
      <c r="H27" s="48"/>
      <c r="I27" s="48">
        <f t="shared" si="1"/>
        <v>9.8</v>
      </c>
      <c r="J27" s="44"/>
      <c r="K27" s="49">
        <f t="shared" si="2"/>
        <v>10</v>
      </c>
      <c r="L27" s="44"/>
      <c r="M27" s="50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353</v>
      </c>
      <c r="D28" s="46" t="s">
        <v>354</v>
      </c>
      <c r="E28" s="47">
        <v>4.8</v>
      </c>
      <c r="F28" s="47">
        <v>2.4</v>
      </c>
      <c r="G28" s="47">
        <v>2.0</v>
      </c>
      <c r="H28" s="48"/>
      <c r="I28" s="48">
        <f t="shared" si="1"/>
        <v>9.2</v>
      </c>
      <c r="J28" s="52">
        <v>1.0</v>
      </c>
      <c r="K28" s="49">
        <f t="shared" si="2"/>
        <v>9</v>
      </c>
      <c r="L28" s="44"/>
      <c r="M28" s="50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355</v>
      </c>
      <c r="C29" s="45" t="s">
        <v>356</v>
      </c>
      <c r="D29" s="46" t="s">
        <v>255</v>
      </c>
      <c r="E29" s="47">
        <v>4.8</v>
      </c>
      <c r="F29" s="47">
        <v>1.8</v>
      </c>
      <c r="G29" s="47">
        <v>2.0</v>
      </c>
      <c r="H29" s="48"/>
      <c r="I29" s="48">
        <f t="shared" si="1"/>
        <v>8.6</v>
      </c>
      <c r="J29" s="44"/>
      <c r="K29" s="49">
        <f t="shared" si="2"/>
        <v>9</v>
      </c>
      <c r="L29" s="44"/>
      <c r="M29" s="50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357</v>
      </c>
      <c r="C30" s="45" t="s">
        <v>320</v>
      </c>
      <c r="D30" s="46" t="s">
        <v>358</v>
      </c>
      <c r="E30" s="47">
        <v>3.5</v>
      </c>
      <c r="F30" s="47">
        <v>0.6</v>
      </c>
      <c r="G30" s="47">
        <v>2.0</v>
      </c>
      <c r="H30" s="48"/>
      <c r="I30" s="48">
        <f t="shared" si="1"/>
        <v>6.1</v>
      </c>
      <c r="J30" s="44"/>
      <c r="K30" s="49">
        <f t="shared" si="2"/>
        <v>6</v>
      </c>
      <c r="L30" s="44"/>
      <c r="M30" s="50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168</v>
      </c>
      <c r="C31" s="45" t="s">
        <v>196</v>
      </c>
      <c r="D31" s="46" t="s">
        <v>96</v>
      </c>
      <c r="E31" s="47">
        <v>1.5</v>
      </c>
      <c r="F31" s="47">
        <v>2.6</v>
      </c>
      <c r="G31" s="47">
        <v>0.0</v>
      </c>
      <c r="H31" s="47">
        <v>1.0</v>
      </c>
      <c r="I31" s="48">
        <f t="shared" si="1"/>
        <v>5.1</v>
      </c>
      <c r="J31" s="52">
        <v>1.0</v>
      </c>
      <c r="K31" s="49">
        <f t="shared" si="2"/>
        <v>5</v>
      </c>
      <c r="L31" s="44"/>
      <c r="M31" s="50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168</v>
      </c>
      <c r="C32" s="45" t="s">
        <v>231</v>
      </c>
      <c r="D32" s="46" t="s">
        <v>359</v>
      </c>
      <c r="E32" s="47">
        <v>5.0</v>
      </c>
      <c r="F32" s="47">
        <v>2.0</v>
      </c>
      <c r="G32" s="47">
        <v>2.0</v>
      </c>
      <c r="H32" s="47">
        <v>1.0</v>
      </c>
      <c r="I32" s="48">
        <f t="shared" si="1"/>
        <v>10</v>
      </c>
      <c r="J32" s="44"/>
      <c r="K32" s="49">
        <f t="shared" si="2"/>
        <v>10</v>
      </c>
      <c r="L32" s="44"/>
      <c r="M32" s="50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168</v>
      </c>
      <c r="C33" s="45" t="s">
        <v>146</v>
      </c>
      <c r="D33" s="46" t="s">
        <v>315</v>
      </c>
      <c r="E33" s="47">
        <v>4.0</v>
      </c>
      <c r="F33" s="47">
        <v>2.2</v>
      </c>
      <c r="G33" s="47">
        <v>2.0</v>
      </c>
      <c r="H33" s="48"/>
      <c r="I33" s="48">
        <f t="shared" si="1"/>
        <v>8.2</v>
      </c>
      <c r="J33" s="44"/>
      <c r="K33" s="49">
        <f t="shared" si="2"/>
        <v>8</v>
      </c>
      <c r="L33" s="44"/>
      <c r="M33" s="50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168</v>
      </c>
      <c r="C34" s="45" t="s">
        <v>73</v>
      </c>
      <c r="D34" s="46" t="s">
        <v>360</v>
      </c>
      <c r="E34" s="47">
        <v>4.9</v>
      </c>
      <c r="F34" s="47">
        <v>2.6</v>
      </c>
      <c r="G34" s="47">
        <v>2.0</v>
      </c>
      <c r="H34" s="48"/>
      <c r="I34" s="48">
        <f t="shared" si="1"/>
        <v>9.5</v>
      </c>
      <c r="J34" s="44"/>
      <c r="K34" s="49">
        <f t="shared" si="2"/>
        <v>10</v>
      </c>
      <c r="L34" s="44"/>
      <c r="M34" s="50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72</v>
      </c>
      <c r="C35" s="45" t="s">
        <v>361</v>
      </c>
      <c r="D35" s="46" t="s">
        <v>362</v>
      </c>
      <c r="E35" s="47">
        <v>5.0</v>
      </c>
      <c r="F35" s="47">
        <v>1.8</v>
      </c>
      <c r="G35" s="47">
        <v>2.0</v>
      </c>
      <c r="H35" s="48"/>
      <c r="I35" s="48">
        <f t="shared" si="1"/>
        <v>8.8</v>
      </c>
      <c r="J35" s="44"/>
      <c r="K35" s="49">
        <f t="shared" si="2"/>
        <v>9</v>
      </c>
      <c r="L35" s="44"/>
      <c r="M35" s="50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72</v>
      </c>
      <c r="C36" s="45" t="s">
        <v>363</v>
      </c>
      <c r="D36" s="46" t="s">
        <v>364</v>
      </c>
      <c r="E36" s="47">
        <v>4.3</v>
      </c>
      <c r="F36" s="47">
        <v>2.8</v>
      </c>
      <c r="G36" s="47">
        <v>2.0</v>
      </c>
      <c r="H36" s="48"/>
      <c r="I36" s="48">
        <f t="shared" si="1"/>
        <v>9.1</v>
      </c>
      <c r="J36" s="44"/>
      <c r="K36" s="49">
        <f t="shared" si="2"/>
        <v>9</v>
      </c>
      <c r="L36" s="44"/>
      <c r="M36" s="50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365</v>
      </c>
      <c r="C37" s="45" t="s">
        <v>150</v>
      </c>
      <c r="D37" s="46" t="s">
        <v>68</v>
      </c>
      <c r="E37" s="47">
        <v>5.0</v>
      </c>
      <c r="F37" s="47">
        <v>2.5</v>
      </c>
      <c r="G37" s="47">
        <v>2.0</v>
      </c>
      <c r="H37" s="48"/>
      <c r="I37" s="48">
        <f t="shared" si="1"/>
        <v>9.5</v>
      </c>
      <c r="J37" s="44"/>
      <c r="K37" s="49">
        <f t="shared" si="2"/>
        <v>10</v>
      </c>
      <c r="L37" s="44"/>
      <c r="M37" s="50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366</v>
      </c>
      <c r="C38" s="45" t="s">
        <v>185</v>
      </c>
      <c r="D38" s="46" t="s">
        <v>367</v>
      </c>
      <c r="E38" s="47">
        <v>4.5</v>
      </c>
      <c r="F38" s="47">
        <v>2.8</v>
      </c>
      <c r="G38" s="47">
        <v>2.0</v>
      </c>
      <c r="H38" s="48"/>
      <c r="I38" s="48">
        <f t="shared" si="1"/>
        <v>9.3</v>
      </c>
      <c r="J38" s="44"/>
      <c r="K38" s="49">
        <f t="shared" si="2"/>
        <v>9</v>
      </c>
      <c r="L38" s="44"/>
      <c r="M38" s="50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274</v>
      </c>
      <c r="C39" s="45" t="s">
        <v>368</v>
      </c>
      <c r="D39" s="46" t="s">
        <v>369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4"/>
      <c r="K39" s="49">
        <f t="shared" si="2"/>
        <v>10</v>
      </c>
      <c r="L39" s="44"/>
      <c r="M39" s="50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274</v>
      </c>
      <c r="C40" s="45" t="s">
        <v>370</v>
      </c>
      <c r="D40" s="46" t="s">
        <v>371</v>
      </c>
      <c r="E40" s="47">
        <v>3.5</v>
      </c>
      <c r="F40" s="47">
        <v>2.8</v>
      </c>
      <c r="G40" s="47">
        <v>2.0</v>
      </c>
      <c r="H40" s="48"/>
      <c r="I40" s="48">
        <f t="shared" si="1"/>
        <v>8.3</v>
      </c>
      <c r="J40" s="52">
        <v>1.0</v>
      </c>
      <c r="K40" s="49">
        <f t="shared" si="2"/>
        <v>8</v>
      </c>
      <c r="L40" s="44"/>
      <c r="M40" s="50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372</v>
      </c>
      <c r="C41" s="45" t="s">
        <v>373</v>
      </c>
      <c r="D41" s="46" t="s">
        <v>374</v>
      </c>
      <c r="E41" s="47">
        <v>1.0</v>
      </c>
      <c r="F41" s="47">
        <v>3.0</v>
      </c>
      <c r="G41" s="47">
        <v>2.0</v>
      </c>
      <c r="H41" s="47">
        <v>1.0</v>
      </c>
      <c r="I41" s="48">
        <f t="shared" si="1"/>
        <v>7</v>
      </c>
      <c r="J41" s="44"/>
      <c r="K41" s="49">
        <f t="shared" si="2"/>
        <v>7</v>
      </c>
      <c r="L41" s="44"/>
      <c r="M41" s="50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280</v>
      </c>
      <c r="C42" s="45" t="s">
        <v>101</v>
      </c>
      <c r="D42" s="46" t="s">
        <v>375</v>
      </c>
      <c r="E42" s="47">
        <v>5.0</v>
      </c>
      <c r="F42" s="47">
        <v>2.5</v>
      </c>
      <c r="G42" s="47">
        <v>2.0</v>
      </c>
      <c r="H42" s="48"/>
      <c r="I42" s="48">
        <f t="shared" si="1"/>
        <v>9.5</v>
      </c>
      <c r="J42" s="44"/>
      <c r="K42" s="49">
        <f t="shared" si="2"/>
        <v>10</v>
      </c>
      <c r="L42" s="44"/>
      <c r="M42" s="50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146</v>
      </c>
      <c r="C43" s="45" t="s">
        <v>376</v>
      </c>
      <c r="D43" s="46" t="s">
        <v>377</v>
      </c>
      <c r="E43" s="47">
        <v>5.0</v>
      </c>
      <c r="F43" s="47">
        <v>1.4</v>
      </c>
      <c r="G43" s="47">
        <v>2.0</v>
      </c>
      <c r="H43" s="48"/>
      <c r="I43" s="48">
        <f t="shared" si="1"/>
        <v>8.4</v>
      </c>
      <c r="J43" s="52">
        <v>1.0</v>
      </c>
      <c r="K43" s="49">
        <f t="shared" si="2"/>
        <v>8</v>
      </c>
      <c r="L43" s="44"/>
      <c r="M43" s="50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378</v>
      </c>
      <c r="C44" s="45" t="s">
        <v>182</v>
      </c>
      <c r="D44" s="46" t="s">
        <v>379</v>
      </c>
      <c r="E44" s="47">
        <v>5.0</v>
      </c>
      <c r="F44" s="47">
        <v>1.8</v>
      </c>
      <c r="G44" s="47">
        <v>2.0</v>
      </c>
      <c r="H44" s="48"/>
      <c r="I44" s="48">
        <f t="shared" si="1"/>
        <v>8.8</v>
      </c>
      <c r="J44" s="44"/>
      <c r="K44" s="49">
        <f t="shared" si="2"/>
        <v>9</v>
      </c>
      <c r="L44" s="44"/>
      <c r="M44" s="50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185</v>
      </c>
      <c r="C45" s="45" t="s">
        <v>317</v>
      </c>
      <c r="D45" s="46" t="s">
        <v>380</v>
      </c>
      <c r="E45" s="47">
        <v>0.0</v>
      </c>
      <c r="F45" s="47">
        <v>0.0</v>
      </c>
      <c r="G45" s="47">
        <v>0.0</v>
      </c>
      <c r="H45" s="48"/>
      <c r="I45" s="48">
        <f t="shared" si="1"/>
        <v>0</v>
      </c>
      <c r="J45" s="52">
        <v>1.0</v>
      </c>
      <c r="K45" s="49">
        <f t="shared" si="2"/>
        <v>5</v>
      </c>
      <c r="L45" s="44"/>
      <c r="M45" s="50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381</v>
      </c>
      <c r="C46" s="45" t="s">
        <v>382</v>
      </c>
      <c r="D46" s="46" t="s">
        <v>383</v>
      </c>
      <c r="E46" s="47">
        <v>5.0</v>
      </c>
      <c r="F46" s="47">
        <v>1.8</v>
      </c>
      <c r="G46" s="47">
        <v>2.0</v>
      </c>
      <c r="H46" s="48"/>
      <c r="I46" s="48">
        <f t="shared" si="1"/>
        <v>8.8</v>
      </c>
      <c r="J46" s="52">
        <v>1.0</v>
      </c>
      <c r="K46" s="49">
        <f t="shared" si="2"/>
        <v>9</v>
      </c>
      <c r="L46" s="44"/>
      <c r="M46" s="50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384</v>
      </c>
      <c r="C47" s="45" t="s">
        <v>385</v>
      </c>
      <c r="D47" s="46" t="s">
        <v>386</v>
      </c>
      <c r="E47" s="47">
        <v>5.0</v>
      </c>
      <c r="F47" s="47">
        <v>1.6</v>
      </c>
      <c r="G47" s="47">
        <v>2.0</v>
      </c>
      <c r="H47" s="47">
        <v>1.0</v>
      </c>
      <c r="I47" s="48">
        <f t="shared" si="1"/>
        <v>9.6</v>
      </c>
      <c r="J47" s="44"/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201</v>
      </c>
      <c r="C48" s="45" t="s">
        <v>202</v>
      </c>
      <c r="D48" s="46" t="s">
        <v>387</v>
      </c>
      <c r="E48" s="47">
        <v>3.3</v>
      </c>
      <c r="F48" s="47">
        <v>2.4</v>
      </c>
      <c r="G48" s="47">
        <v>2.0</v>
      </c>
      <c r="H48" s="48"/>
      <c r="I48" s="48">
        <f t="shared" si="1"/>
        <v>7.7</v>
      </c>
      <c r="J48" s="44"/>
      <c r="K48" s="49">
        <f t="shared" si="2"/>
        <v>8</v>
      </c>
      <c r="L48" s="44"/>
      <c r="M48" s="50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172</v>
      </c>
      <c r="C49" s="45" t="s">
        <v>62</v>
      </c>
      <c r="D49" s="46" t="s">
        <v>360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4"/>
      <c r="K49" s="49">
        <f t="shared" si="2"/>
        <v>10</v>
      </c>
      <c r="L49" s="44"/>
      <c r="M49" s="50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172</v>
      </c>
      <c r="C50" s="45" t="s">
        <v>146</v>
      </c>
      <c r="D50" s="46" t="s">
        <v>388</v>
      </c>
      <c r="E50" s="47">
        <v>5.0</v>
      </c>
      <c r="F50" s="47">
        <v>2.6</v>
      </c>
      <c r="G50" s="47">
        <v>2.0</v>
      </c>
      <c r="H50" s="48"/>
      <c r="I50" s="48">
        <f t="shared" si="1"/>
        <v>9.6</v>
      </c>
      <c r="J50" s="44"/>
      <c r="K50" s="49">
        <f t="shared" si="2"/>
        <v>10</v>
      </c>
      <c r="L50" s="44"/>
      <c r="M50" s="50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389</v>
      </c>
      <c r="C51" s="45" t="s">
        <v>390</v>
      </c>
      <c r="D51" s="46" t="s">
        <v>391</v>
      </c>
      <c r="E51" s="47">
        <v>4.0</v>
      </c>
      <c r="F51" s="47">
        <v>0.2</v>
      </c>
      <c r="G51" s="47">
        <v>2.0</v>
      </c>
      <c r="H51" s="48"/>
      <c r="I51" s="48">
        <f t="shared" si="1"/>
        <v>6.2</v>
      </c>
      <c r="J51" s="52">
        <v>3.0</v>
      </c>
      <c r="K51" s="49">
        <f t="shared" si="2"/>
        <v>6</v>
      </c>
      <c r="L51" s="44"/>
      <c r="M51" s="50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392</v>
      </c>
      <c r="C52" s="45" t="s">
        <v>158</v>
      </c>
      <c r="D52" s="46" t="s">
        <v>393</v>
      </c>
      <c r="E52" s="47">
        <v>4.5</v>
      </c>
      <c r="F52" s="47">
        <v>3.0</v>
      </c>
      <c r="G52" s="47">
        <v>2.0</v>
      </c>
      <c r="H52" s="48"/>
      <c r="I52" s="48">
        <f t="shared" si="1"/>
        <v>9.5</v>
      </c>
      <c r="J52" s="44"/>
      <c r="K52" s="49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394</v>
      </c>
      <c r="C53" s="45" t="s">
        <v>52</v>
      </c>
      <c r="D53" s="46" t="s">
        <v>395</v>
      </c>
      <c r="E53" s="47">
        <v>3.0</v>
      </c>
      <c r="F53" s="47">
        <v>1.0</v>
      </c>
      <c r="G53" s="47">
        <v>2.0</v>
      </c>
      <c r="H53" s="47">
        <v>1.0</v>
      </c>
      <c r="I53" s="48">
        <f t="shared" si="1"/>
        <v>7</v>
      </c>
      <c r="J53" s="48"/>
      <c r="K53" s="49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40</v>
      </c>
      <c r="C54" s="45" t="s">
        <v>396</v>
      </c>
      <c r="D54" s="46" t="s">
        <v>255</v>
      </c>
      <c r="E54" s="47">
        <v>2.5</v>
      </c>
      <c r="F54" s="47">
        <v>1.6</v>
      </c>
      <c r="G54" s="47">
        <v>0.0</v>
      </c>
      <c r="H54" s="48"/>
      <c r="I54" s="48">
        <f t="shared" si="1"/>
        <v>4.1</v>
      </c>
      <c r="J54" s="48"/>
      <c r="K54" s="49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40</v>
      </c>
      <c r="C55" s="45" t="s">
        <v>397</v>
      </c>
      <c r="D55" s="46" t="s">
        <v>398</v>
      </c>
      <c r="E55" s="47">
        <v>4.0</v>
      </c>
      <c r="F55" s="47">
        <v>2.6</v>
      </c>
      <c r="G55" s="47">
        <v>2.0</v>
      </c>
      <c r="H55" s="48"/>
      <c r="I55" s="48">
        <f t="shared" si="1"/>
        <v>8.6</v>
      </c>
      <c r="J55" s="46"/>
      <c r="K55" s="49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399</v>
      </c>
      <c r="C56" s="45" t="s">
        <v>143</v>
      </c>
      <c r="D56" s="45" t="s">
        <v>400</v>
      </c>
      <c r="E56" s="47">
        <v>4.0</v>
      </c>
      <c r="F56" s="47">
        <v>2.6</v>
      </c>
      <c r="G56" s="47">
        <v>0.0</v>
      </c>
      <c r="H56" s="48"/>
      <c r="I56" s="48">
        <f t="shared" si="1"/>
        <v>6.6</v>
      </c>
      <c r="J56" s="46"/>
      <c r="K56" s="49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401</v>
      </c>
      <c r="C57" s="45" t="s">
        <v>183</v>
      </c>
      <c r="D57" s="45" t="s">
        <v>402</v>
      </c>
      <c r="E57" s="47">
        <v>3.0</v>
      </c>
      <c r="F57" s="47">
        <v>3.0</v>
      </c>
      <c r="G57" s="47">
        <v>0.0</v>
      </c>
      <c r="H57" s="48"/>
      <c r="I57" s="48">
        <f t="shared" si="1"/>
        <v>6</v>
      </c>
      <c r="J57" s="48"/>
      <c r="K57" s="49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315</v>
      </c>
      <c r="C58" s="45" t="s">
        <v>403</v>
      </c>
      <c r="D58" s="108" t="s">
        <v>404</v>
      </c>
      <c r="E58" s="47">
        <v>2.0</v>
      </c>
      <c r="F58" s="47">
        <v>2.4</v>
      </c>
      <c r="G58" s="47">
        <v>2.0</v>
      </c>
      <c r="H58" s="47">
        <v>1.0</v>
      </c>
      <c r="I58" s="48">
        <f t="shared" si="1"/>
        <v>7.4</v>
      </c>
      <c r="J58" s="48"/>
      <c r="K58" s="49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405</v>
      </c>
      <c r="C59" s="45" t="s">
        <v>406</v>
      </c>
      <c r="D59" s="108" t="s">
        <v>407</v>
      </c>
      <c r="E59" s="47">
        <v>0.0</v>
      </c>
      <c r="F59" s="47">
        <v>0.0</v>
      </c>
      <c r="G59" s="47">
        <v>0.0</v>
      </c>
      <c r="H59" s="48"/>
      <c r="I59" s="48">
        <f t="shared" si="1"/>
        <v>0</v>
      </c>
      <c r="J59" s="47">
        <v>2.0</v>
      </c>
      <c r="K59" s="49">
        <f t="shared" si="2"/>
        <v>5</v>
      </c>
      <c r="L59" s="44"/>
      <c r="M59" s="45">
        <f t="shared" si="3"/>
        <v>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408</v>
      </c>
      <c r="C60" s="45" t="s">
        <v>409</v>
      </c>
      <c r="D60" s="45" t="s">
        <v>410</v>
      </c>
      <c r="E60" s="47">
        <v>4.0</v>
      </c>
      <c r="F60" s="47">
        <v>1.8</v>
      </c>
      <c r="G60" s="47">
        <v>2.0</v>
      </c>
      <c r="H60" s="47">
        <v>1.0</v>
      </c>
      <c r="I60" s="48">
        <f t="shared" si="1"/>
        <v>8.8</v>
      </c>
      <c r="J60" s="48"/>
      <c r="K60" s="49">
        <f t="shared" si="2"/>
        <v>9</v>
      </c>
      <c r="L60" s="44"/>
      <c r="M60" s="45">
        <f t="shared" si="3"/>
        <v>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411</v>
      </c>
      <c r="C61" s="45" t="s">
        <v>403</v>
      </c>
      <c r="D61" s="45" t="s">
        <v>412</v>
      </c>
      <c r="E61" s="47">
        <v>4.0</v>
      </c>
      <c r="F61" s="47">
        <v>2.4</v>
      </c>
      <c r="G61" s="47">
        <v>0.0</v>
      </c>
      <c r="H61" s="47">
        <v>1.0</v>
      </c>
      <c r="I61" s="48">
        <f t="shared" si="1"/>
        <v>7.4</v>
      </c>
      <c r="J61" s="48"/>
      <c r="K61" s="49">
        <f t="shared" si="2"/>
        <v>7</v>
      </c>
      <c r="L61" s="44"/>
      <c r="M61" s="45">
        <f t="shared" si="3"/>
        <v>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413</v>
      </c>
      <c r="C62" s="45" t="s">
        <v>414</v>
      </c>
      <c r="D62" s="45" t="s">
        <v>415</v>
      </c>
      <c r="E62" s="47">
        <v>5.0</v>
      </c>
      <c r="F62" s="47">
        <v>0.8</v>
      </c>
      <c r="G62" s="47">
        <v>2.0</v>
      </c>
      <c r="H62" s="48"/>
      <c r="I62" s="48">
        <f t="shared" si="1"/>
        <v>7.8</v>
      </c>
      <c r="J62" s="47">
        <v>1.0</v>
      </c>
      <c r="K62" s="49">
        <f t="shared" si="2"/>
        <v>8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126</v>
      </c>
      <c r="C64" s="57"/>
      <c r="D64" s="99">
        <f>COUNT(A17:A62)</f>
        <v>46</v>
      </c>
      <c r="E64" s="55"/>
      <c r="F64" s="55"/>
      <c r="G64" s="59" t="s">
        <v>127</v>
      </c>
      <c r="H64" s="55"/>
      <c r="I64" s="59" t="s">
        <v>128</v>
      </c>
      <c r="K64" s="60" t="s">
        <v>129</v>
      </c>
      <c r="L64" s="61" t="s">
        <v>130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131</v>
      </c>
      <c r="C65" s="63"/>
      <c r="D65" s="12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132</v>
      </c>
      <c r="C66" s="63"/>
      <c r="D66" s="70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133</v>
      </c>
      <c r="C67" s="63"/>
      <c r="D67" s="66">
        <f>COUNTIF(K17:K62,"&gt;=6")</f>
        <v>42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134</v>
      </c>
      <c r="C68" s="63"/>
      <c r="D68" s="66">
        <f>D66-D67</f>
        <v>4</v>
      </c>
      <c r="E68" s="55"/>
      <c r="F68" s="55"/>
      <c r="G68" s="67"/>
      <c r="H68" s="55"/>
      <c r="I68" s="67"/>
      <c r="J68" s="125"/>
      <c r="K68" s="68"/>
      <c r="L68" s="69"/>
      <c r="M68" s="54"/>
      <c r="N68" s="1"/>
      <c r="O68" s="1"/>
      <c r="P68" s="2"/>
      <c r="Q68" s="2"/>
      <c r="R68" s="2"/>
    </row>
    <row r="69" ht="36.0" customHeight="1">
      <c r="A69" s="1"/>
      <c r="B69" s="62" t="s">
        <v>135</v>
      </c>
      <c r="C69" s="63"/>
      <c r="D69" s="70">
        <f>D67*100/D66</f>
        <v>91.30434783</v>
      </c>
      <c r="E69" s="55"/>
      <c r="F69" s="55"/>
      <c r="G69" s="71" t="s">
        <v>136</v>
      </c>
      <c r="H69" s="55"/>
      <c r="I69" s="72" t="s">
        <v>416</v>
      </c>
      <c r="K69" s="73" t="s">
        <v>138</v>
      </c>
      <c r="L69" s="74" t="s">
        <v>139</v>
      </c>
      <c r="M69" s="54"/>
      <c r="N69" s="1"/>
      <c r="O69" s="1"/>
      <c r="P69" s="2"/>
      <c r="Q69" s="2"/>
      <c r="R69" s="2"/>
    </row>
    <row r="70" ht="24.75" customHeight="1">
      <c r="A70" s="1"/>
      <c r="B70" s="75" t="s">
        <v>140</v>
      </c>
      <c r="C70" s="76"/>
      <c r="D70" s="77">
        <f>AVERAGE(K17:K62)</f>
        <v>8.239130435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8"/>
      <c r="B71" s="79"/>
      <c r="C71" s="79"/>
      <c r="D71" s="101"/>
      <c r="E71" s="80"/>
      <c r="F71" s="80"/>
      <c r="G71" s="80"/>
      <c r="H71" s="80"/>
      <c r="I71" s="80"/>
      <c r="J71" s="80"/>
      <c r="K71" s="79"/>
      <c r="L71" s="81"/>
      <c r="M71" s="79"/>
      <c r="N71" s="2"/>
      <c r="O71" s="2"/>
      <c r="P71" s="2"/>
      <c r="Q71" s="2"/>
      <c r="R71" s="2"/>
    </row>
    <row r="72" ht="21.75" customHeight="1">
      <c r="A72" s="113"/>
      <c r="B72" s="126"/>
      <c r="C72" s="127"/>
      <c r="D72" s="128"/>
      <c r="E72" s="107"/>
      <c r="H72" s="107"/>
      <c r="I72" s="85"/>
      <c r="J72" s="85"/>
      <c r="K72" s="86"/>
      <c r="L72" s="87"/>
      <c r="M72" s="107"/>
      <c r="N72" s="2"/>
      <c r="O72" s="2"/>
      <c r="P72" s="2"/>
      <c r="Q72" s="2"/>
      <c r="R72" s="2"/>
    </row>
    <row r="73" ht="21.75" customHeight="1">
      <c r="A73" s="117"/>
      <c r="B73" s="107"/>
      <c r="C73" s="107"/>
      <c r="D73" s="107"/>
      <c r="E73" s="107"/>
      <c r="F73" s="107"/>
      <c r="G73" s="2"/>
      <c r="H73" s="2"/>
      <c r="I73" s="2"/>
      <c r="J73" s="2"/>
      <c r="K73" s="2"/>
      <c r="L73" s="81"/>
      <c r="M73" s="2"/>
      <c r="N73" s="2"/>
      <c r="O73" s="2"/>
      <c r="P73" s="2"/>
      <c r="Q73" s="2"/>
      <c r="R73" s="2"/>
    </row>
    <row r="74" ht="21.75" customHeight="1">
      <c r="A74" s="117"/>
      <c r="B74" s="107"/>
      <c r="C74" s="107"/>
      <c r="D74" s="107"/>
      <c r="E74" s="107"/>
      <c r="F74" s="107"/>
      <c r="G74" s="2"/>
      <c r="H74" s="2"/>
      <c r="I74" s="2"/>
      <c r="J74" s="2"/>
      <c r="K74" s="2"/>
      <c r="L74" s="118"/>
      <c r="M74" s="2"/>
      <c r="N74" s="2"/>
      <c r="O74" s="2"/>
      <c r="P74" s="2"/>
      <c r="Q74" s="2"/>
      <c r="R74" s="2"/>
    </row>
    <row r="75" ht="21.75" customHeight="1">
      <c r="A75" s="119"/>
      <c r="B75" s="120"/>
      <c r="C75" s="120"/>
      <c r="D75" s="90"/>
      <c r="E75" s="120"/>
      <c r="F75" s="120"/>
      <c r="G75" s="122"/>
      <c r="H75" s="122"/>
      <c r="I75" s="122"/>
      <c r="J75" s="122"/>
      <c r="K75" s="122"/>
      <c r="L75" s="94"/>
      <c r="M75" s="2"/>
      <c r="N75" s="2"/>
      <c r="O75" s="2"/>
      <c r="P75" s="2"/>
      <c r="Q75" s="2"/>
      <c r="R75" s="2"/>
    </row>
    <row r="76" ht="21.75" customHeight="1">
      <c r="A76" s="106"/>
      <c r="B76" s="107"/>
      <c r="C76" s="107"/>
      <c r="D76" s="86"/>
      <c r="E76" s="107"/>
      <c r="F76" s="107"/>
      <c r="G76" s="2"/>
      <c r="H76" s="2"/>
      <c r="I76" s="2"/>
      <c r="J76" s="2"/>
      <c r="K76" s="97"/>
      <c r="L76" s="96"/>
      <c r="M76" s="97"/>
      <c r="N76" s="2"/>
      <c r="O76" s="2"/>
      <c r="P76" s="2"/>
      <c r="Q76" s="2"/>
      <c r="R76" s="2"/>
    </row>
    <row r="77" ht="27.75" customHeight="1">
      <c r="A77" s="106"/>
      <c r="B77" s="107"/>
      <c r="C77" s="107"/>
      <c r="D77" s="86"/>
      <c r="E77" s="107"/>
      <c r="F77" s="107"/>
      <c r="G77" s="103"/>
      <c r="H77" s="2"/>
      <c r="I77" s="103"/>
      <c r="J77" s="103"/>
      <c r="K77" s="123"/>
      <c r="L77" s="96"/>
      <c r="M77" s="97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3347150259067358" right="0.1968503937007874" top="0.1968503937007874"/>
  <pageSetup scale="41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233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235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330</v>
      </c>
      <c r="C17" s="45" t="s">
        <v>331</v>
      </c>
      <c r="D17" s="46" t="s">
        <v>332</v>
      </c>
      <c r="E17" s="47">
        <v>5.0</v>
      </c>
      <c r="F17" s="47">
        <v>1.1</v>
      </c>
      <c r="G17" s="47">
        <v>2.0</v>
      </c>
      <c r="H17" s="48"/>
      <c r="I17" s="48">
        <f t="shared" ref="I17:I62" si="1">SUM(E17:H17)</f>
        <v>8.1</v>
      </c>
      <c r="J17" s="52">
        <v>1.0</v>
      </c>
      <c r="K17" s="49">
        <f t="shared" ref="K17:K62" si="2">IF(I17&lt;6, 5, MIN(10, ROUND(I17, 0)))</f>
        <v>8</v>
      </c>
      <c r="L17" s="45"/>
      <c r="M17" s="50">
        <f t="shared" ref="M17:M61" si="3">IF(I17&gt;=6,ROUND(I17,0),TRUNC(I17,0))</f>
        <v>8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333</v>
      </c>
      <c r="C18" s="45" t="s">
        <v>334</v>
      </c>
      <c r="D18" s="46" t="s">
        <v>335</v>
      </c>
      <c r="E18" s="47">
        <v>5.0</v>
      </c>
      <c r="F18" s="47">
        <v>2.8</v>
      </c>
      <c r="G18" s="47">
        <v>2.0</v>
      </c>
      <c r="H18" s="48"/>
      <c r="I18" s="48">
        <f t="shared" si="1"/>
        <v>9.8</v>
      </c>
      <c r="J18" s="44"/>
      <c r="K18" s="49">
        <f t="shared" si="2"/>
        <v>10</v>
      </c>
      <c r="L18" s="44"/>
      <c r="M18" s="50">
        <f t="shared" si="3"/>
        <v>10</v>
      </c>
      <c r="N18" s="53" t="s">
        <v>30</v>
      </c>
      <c r="O18" s="52">
        <v>10.0</v>
      </c>
      <c r="P18" s="2"/>
      <c r="Q18" s="2"/>
      <c r="R18" s="2"/>
    </row>
    <row r="19" ht="24.75" customHeight="1">
      <c r="A19" s="44">
        <v>3.0</v>
      </c>
      <c r="B19" s="45" t="s">
        <v>336</v>
      </c>
      <c r="C19" s="45" t="s">
        <v>168</v>
      </c>
      <c r="D19" s="46" t="s">
        <v>337</v>
      </c>
      <c r="E19" s="47">
        <v>2.9</v>
      </c>
      <c r="F19" s="47">
        <v>2.6</v>
      </c>
      <c r="G19" s="47">
        <v>2.0</v>
      </c>
      <c r="H19" s="48"/>
      <c r="I19" s="48">
        <f t="shared" si="1"/>
        <v>7.5</v>
      </c>
      <c r="J19" s="52">
        <v>1.0</v>
      </c>
      <c r="K19" s="49">
        <f t="shared" si="2"/>
        <v>8</v>
      </c>
      <c r="L19" s="44"/>
      <c r="M19" s="50">
        <f t="shared" si="3"/>
        <v>8</v>
      </c>
      <c r="N19" s="53" t="s">
        <v>34</v>
      </c>
      <c r="O19" s="52">
        <v>14.0</v>
      </c>
      <c r="P19" s="2"/>
      <c r="Q19" s="2"/>
      <c r="R19" s="2"/>
    </row>
    <row r="20" ht="24.75" customHeight="1">
      <c r="A20" s="44">
        <v>4.0</v>
      </c>
      <c r="B20" s="45" t="s">
        <v>338</v>
      </c>
      <c r="C20" s="45" t="s">
        <v>317</v>
      </c>
      <c r="D20" s="46" t="s">
        <v>339</v>
      </c>
      <c r="E20" s="47">
        <v>5.0</v>
      </c>
      <c r="F20" s="47">
        <v>1.9</v>
      </c>
      <c r="G20" s="47">
        <v>2.0</v>
      </c>
      <c r="H20" s="48"/>
      <c r="I20" s="48">
        <f t="shared" si="1"/>
        <v>8.9</v>
      </c>
      <c r="J20" s="44"/>
      <c r="K20" s="49">
        <f t="shared" si="2"/>
        <v>9</v>
      </c>
      <c r="L20" s="44"/>
      <c r="M20" s="50">
        <f t="shared" si="3"/>
        <v>9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340</v>
      </c>
      <c r="C21" s="45" t="s">
        <v>341</v>
      </c>
      <c r="D21" s="46" t="s">
        <v>342</v>
      </c>
      <c r="E21" s="47">
        <v>4.5</v>
      </c>
      <c r="F21" s="47">
        <v>1.5</v>
      </c>
      <c r="G21" s="47">
        <v>0.0</v>
      </c>
      <c r="H21" s="48"/>
      <c r="I21" s="48">
        <f t="shared" si="1"/>
        <v>6</v>
      </c>
      <c r="J21" s="44"/>
      <c r="K21" s="49">
        <f t="shared" si="2"/>
        <v>6</v>
      </c>
      <c r="L21" s="44"/>
      <c r="M21" s="50">
        <f t="shared" si="3"/>
        <v>6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248</v>
      </c>
      <c r="C22" s="45" t="s">
        <v>343</v>
      </c>
      <c r="D22" s="46" t="s">
        <v>344</v>
      </c>
      <c r="E22" s="47">
        <v>4.8</v>
      </c>
      <c r="F22" s="47">
        <v>1.9</v>
      </c>
      <c r="G22" s="47">
        <v>2.0</v>
      </c>
      <c r="H22" s="47">
        <v>1.0</v>
      </c>
      <c r="I22" s="48">
        <f t="shared" si="1"/>
        <v>9.7</v>
      </c>
      <c r="J22" s="44"/>
      <c r="K22" s="49">
        <f t="shared" si="2"/>
        <v>10</v>
      </c>
      <c r="L22" s="44"/>
      <c r="M22" s="50">
        <f t="shared" si="3"/>
        <v>10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231</v>
      </c>
      <c r="C23" s="45" t="s">
        <v>254</v>
      </c>
      <c r="D23" s="46" t="s">
        <v>345</v>
      </c>
      <c r="E23" s="47">
        <v>4.9</v>
      </c>
      <c r="F23" s="47">
        <v>2.1</v>
      </c>
      <c r="G23" s="47">
        <v>2.0</v>
      </c>
      <c r="H23" s="48"/>
      <c r="I23" s="48">
        <f t="shared" si="1"/>
        <v>9</v>
      </c>
      <c r="J23" s="44"/>
      <c r="K23" s="49">
        <f t="shared" si="2"/>
        <v>9</v>
      </c>
      <c r="L23" s="44"/>
      <c r="M23" s="50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346</v>
      </c>
      <c r="C24" s="45" t="s">
        <v>241</v>
      </c>
      <c r="D24" s="46" t="s">
        <v>347</v>
      </c>
      <c r="E24" s="47">
        <v>4.0</v>
      </c>
      <c r="F24" s="47">
        <v>2.6</v>
      </c>
      <c r="G24" s="47">
        <v>2.0</v>
      </c>
      <c r="H24" s="48"/>
      <c r="I24" s="48">
        <f t="shared" si="1"/>
        <v>8.6</v>
      </c>
      <c r="J24" s="52">
        <v>1.0</v>
      </c>
      <c r="K24" s="49">
        <f t="shared" si="2"/>
        <v>9</v>
      </c>
      <c r="L24" s="44"/>
      <c r="M24" s="50">
        <f t="shared" si="3"/>
        <v>9</v>
      </c>
      <c r="N24" s="53" t="s">
        <v>54</v>
      </c>
      <c r="O24" s="53">
        <f>SUM(O18:O23)</f>
        <v>24</v>
      </c>
      <c r="P24" s="2"/>
      <c r="Q24" s="2"/>
      <c r="R24" s="2"/>
    </row>
    <row r="25" ht="24.75" customHeight="1">
      <c r="A25" s="44">
        <v>9.0</v>
      </c>
      <c r="B25" s="45" t="s">
        <v>88</v>
      </c>
      <c r="C25" s="45" t="s">
        <v>348</v>
      </c>
      <c r="D25" s="46" t="s">
        <v>349</v>
      </c>
      <c r="E25" s="47">
        <v>5.0</v>
      </c>
      <c r="F25" s="47">
        <v>2.3</v>
      </c>
      <c r="G25" s="47">
        <v>2.0</v>
      </c>
      <c r="H25" s="48"/>
      <c r="I25" s="48">
        <f t="shared" si="1"/>
        <v>9.3</v>
      </c>
      <c r="J25" s="44"/>
      <c r="K25" s="49">
        <f t="shared" si="2"/>
        <v>9</v>
      </c>
      <c r="L25" s="44"/>
      <c r="M25" s="50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350</v>
      </c>
      <c r="C26" s="45" t="s">
        <v>351</v>
      </c>
      <c r="D26" s="46" t="s">
        <v>174</v>
      </c>
      <c r="E26" s="47">
        <v>4.7</v>
      </c>
      <c r="F26" s="47">
        <v>3.0</v>
      </c>
      <c r="G26" s="47">
        <v>2.0</v>
      </c>
      <c r="H26" s="48"/>
      <c r="I26" s="48">
        <f t="shared" si="1"/>
        <v>9.7</v>
      </c>
      <c r="J26" s="44"/>
      <c r="K26" s="49">
        <f t="shared" si="2"/>
        <v>10</v>
      </c>
      <c r="L26" s="44"/>
      <c r="M26" s="50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254</v>
      </c>
      <c r="C27" s="45" t="s">
        <v>343</v>
      </c>
      <c r="D27" s="45" t="s">
        <v>352</v>
      </c>
      <c r="E27" s="47">
        <v>4.0</v>
      </c>
      <c r="F27" s="47">
        <v>3.0</v>
      </c>
      <c r="G27" s="47">
        <v>2.0</v>
      </c>
      <c r="H27" s="48"/>
      <c r="I27" s="48">
        <f t="shared" si="1"/>
        <v>9</v>
      </c>
      <c r="J27" s="44"/>
      <c r="K27" s="49">
        <f t="shared" si="2"/>
        <v>9</v>
      </c>
      <c r="L27" s="44"/>
      <c r="M27" s="50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353</v>
      </c>
      <c r="D28" s="46" t="s">
        <v>354</v>
      </c>
      <c r="E28" s="47">
        <v>4.4</v>
      </c>
      <c r="F28" s="47">
        <v>2.8</v>
      </c>
      <c r="G28" s="47">
        <v>2.0</v>
      </c>
      <c r="H28" s="48"/>
      <c r="I28" s="48">
        <f t="shared" si="1"/>
        <v>9.2</v>
      </c>
      <c r="J28" s="52">
        <v>1.0</v>
      </c>
      <c r="K28" s="49">
        <f t="shared" si="2"/>
        <v>9</v>
      </c>
      <c r="L28" s="44"/>
      <c r="M28" s="50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355</v>
      </c>
      <c r="C29" s="45" t="s">
        <v>356</v>
      </c>
      <c r="D29" s="46" t="s">
        <v>255</v>
      </c>
      <c r="E29" s="47">
        <v>5.0</v>
      </c>
      <c r="F29" s="47">
        <v>1.9</v>
      </c>
      <c r="G29" s="47">
        <v>2.0</v>
      </c>
      <c r="H29" s="48"/>
      <c r="I29" s="48">
        <f t="shared" si="1"/>
        <v>8.9</v>
      </c>
      <c r="J29" s="44"/>
      <c r="K29" s="49">
        <f t="shared" si="2"/>
        <v>9</v>
      </c>
      <c r="L29" s="44"/>
      <c r="M29" s="50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357</v>
      </c>
      <c r="C30" s="45" t="s">
        <v>320</v>
      </c>
      <c r="D30" s="46" t="s">
        <v>358</v>
      </c>
      <c r="E30" s="47">
        <v>3.8</v>
      </c>
      <c r="F30" s="47">
        <v>3.0</v>
      </c>
      <c r="G30" s="47">
        <v>2.0</v>
      </c>
      <c r="H30" s="48"/>
      <c r="I30" s="48">
        <f t="shared" si="1"/>
        <v>8.8</v>
      </c>
      <c r="J30" s="44"/>
      <c r="K30" s="49">
        <f t="shared" si="2"/>
        <v>9</v>
      </c>
      <c r="L30" s="44"/>
      <c r="M30" s="50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168</v>
      </c>
      <c r="C31" s="45" t="s">
        <v>196</v>
      </c>
      <c r="D31" s="46" t="s">
        <v>96</v>
      </c>
      <c r="E31" s="47">
        <v>3.4</v>
      </c>
      <c r="F31" s="47">
        <v>2.8</v>
      </c>
      <c r="G31" s="47">
        <v>0.0</v>
      </c>
      <c r="H31" s="47">
        <v>1.0</v>
      </c>
      <c r="I31" s="48">
        <f t="shared" si="1"/>
        <v>7.2</v>
      </c>
      <c r="J31" s="52">
        <v>1.0</v>
      </c>
      <c r="K31" s="49">
        <f t="shared" si="2"/>
        <v>7</v>
      </c>
      <c r="L31" s="44"/>
      <c r="M31" s="50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168</v>
      </c>
      <c r="C32" s="45" t="s">
        <v>231</v>
      </c>
      <c r="D32" s="46" t="s">
        <v>359</v>
      </c>
      <c r="E32" s="47">
        <v>5.0</v>
      </c>
      <c r="F32" s="47">
        <v>2.6</v>
      </c>
      <c r="G32" s="47">
        <v>2.0</v>
      </c>
      <c r="H32" s="47">
        <v>1.0</v>
      </c>
      <c r="I32" s="48">
        <f t="shared" si="1"/>
        <v>10.6</v>
      </c>
      <c r="J32" s="44"/>
      <c r="K32" s="49">
        <f t="shared" si="2"/>
        <v>10</v>
      </c>
      <c r="L32" s="44"/>
      <c r="M32" s="50">
        <f t="shared" si="3"/>
        <v>11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168</v>
      </c>
      <c r="C33" s="45" t="s">
        <v>146</v>
      </c>
      <c r="D33" s="46" t="s">
        <v>315</v>
      </c>
      <c r="E33" s="47">
        <v>5.0</v>
      </c>
      <c r="F33" s="47">
        <v>2.8</v>
      </c>
      <c r="G33" s="47">
        <v>2.0</v>
      </c>
      <c r="H33" s="48"/>
      <c r="I33" s="48">
        <f t="shared" si="1"/>
        <v>9.8</v>
      </c>
      <c r="J33" s="44"/>
      <c r="K33" s="49">
        <f t="shared" si="2"/>
        <v>10</v>
      </c>
      <c r="L33" s="44"/>
      <c r="M33" s="50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168</v>
      </c>
      <c r="C34" s="45" t="s">
        <v>73</v>
      </c>
      <c r="D34" s="46" t="s">
        <v>360</v>
      </c>
      <c r="E34" s="47">
        <v>5.0</v>
      </c>
      <c r="F34" s="47">
        <v>1.1</v>
      </c>
      <c r="G34" s="47">
        <v>2.0</v>
      </c>
      <c r="H34" s="48"/>
      <c r="I34" s="48">
        <f t="shared" si="1"/>
        <v>8.1</v>
      </c>
      <c r="J34" s="44"/>
      <c r="K34" s="49">
        <f t="shared" si="2"/>
        <v>8</v>
      </c>
      <c r="L34" s="44"/>
      <c r="M34" s="50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72</v>
      </c>
      <c r="C35" s="45" t="s">
        <v>361</v>
      </c>
      <c r="D35" s="46" t="s">
        <v>362</v>
      </c>
      <c r="E35" s="47">
        <v>4.8</v>
      </c>
      <c r="F35" s="47">
        <v>1.7</v>
      </c>
      <c r="G35" s="47">
        <v>2.0</v>
      </c>
      <c r="H35" s="48"/>
      <c r="I35" s="48">
        <f t="shared" si="1"/>
        <v>8.5</v>
      </c>
      <c r="J35" s="44"/>
      <c r="K35" s="49">
        <f t="shared" si="2"/>
        <v>9</v>
      </c>
      <c r="L35" s="44"/>
      <c r="M35" s="50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72</v>
      </c>
      <c r="C36" s="45" t="s">
        <v>363</v>
      </c>
      <c r="D36" s="46" t="s">
        <v>364</v>
      </c>
      <c r="E36" s="47">
        <v>4.9</v>
      </c>
      <c r="F36" s="47">
        <v>2.3</v>
      </c>
      <c r="G36" s="47">
        <v>2.0</v>
      </c>
      <c r="H36" s="48"/>
      <c r="I36" s="48">
        <f t="shared" si="1"/>
        <v>9.2</v>
      </c>
      <c r="J36" s="44"/>
      <c r="K36" s="49">
        <f t="shared" si="2"/>
        <v>9</v>
      </c>
      <c r="L36" s="44"/>
      <c r="M36" s="50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365</v>
      </c>
      <c r="C37" s="45" t="s">
        <v>150</v>
      </c>
      <c r="D37" s="46" t="s">
        <v>68</v>
      </c>
      <c r="E37" s="47">
        <v>5.0</v>
      </c>
      <c r="F37" s="47">
        <v>2.6</v>
      </c>
      <c r="G37" s="47">
        <v>2.0</v>
      </c>
      <c r="H37" s="48"/>
      <c r="I37" s="48">
        <f t="shared" si="1"/>
        <v>9.6</v>
      </c>
      <c r="J37" s="44"/>
      <c r="K37" s="49">
        <f t="shared" si="2"/>
        <v>10</v>
      </c>
      <c r="L37" s="44"/>
      <c r="M37" s="50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366</v>
      </c>
      <c r="C38" s="45" t="s">
        <v>185</v>
      </c>
      <c r="D38" s="46" t="s">
        <v>367</v>
      </c>
      <c r="E38" s="47">
        <v>5.0</v>
      </c>
      <c r="F38" s="47">
        <v>2.6</v>
      </c>
      <c r="G38" s="47">
        <v>2.0</v>
      </c>
      <c r="H38" s="48"/>
      <c r="I38" s="48">
        <f t="shared" si="1"/>
        <v>9.6</v>
      </c>
      <c r="J38" s="44"/>
      <c r="K38" s="49">
        <f t="shared" si="2"/>
        <v>10</v>
      </c>
      <c r="L38" s="44"/>
      <c r="M38" s="50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274</v>
      </c>
      <c r="C39" s="45" t="s">
        <v>368</v>
      </c>
      <c r="D39" s="46" t="s">
        <v>369</v>
      </c>
      <c r="E39" s="47">
        <v>5.0</v>
      </c>
      <c r="F39" s="47">
        <v>2.5</v>
      </c>
      <c r="G39" s="47">
        <v>2.0</v>
      </c>
      <c r="H39" s="48"/>
      <c r="I39" s="48">
        <f t="shared" si="1"/>
        <v>9.5</v>
      </c>
      <c r="J39" s="44"/>
      <c r="K39" s="49">
        <f t="shared" si="2"/>
        <v>10</v>
      </c>
      <c r="L39" s="44"/>
      <c r="M39" s="50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274</v>
      </c>
      <c r="C40" s="45" t="s">
        <v>370</v>
      </c>
      <c r="D40" s="46" t="s">
        <v>371</v>
      </c>
      <c r="E40" s="47">
        <v>4.0</v>
      </c>
      <c r="F40" s="47">
        <v>0.0</v>
      </c>
      <c r="G40" s="47">
        <v>2.0</v>
      </c>
      <c r="H40" s="48"/>
      <c r="I40" s="48">
        <f t="shared" si="1"/>
        <v>6</v>
      </c>
      <c r="J40" s="52">
        <v>1.0</v>
      </c>
      <c r="K40" s="49">
        <f t="shared" si="2"/>
        <v>6</v>
      </c>
      <c r="L40" s="44"/>
      <c r="M40" s="50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372</v>
      </c>
      <c r="C41" s="45" t="s">
        <v>373</v>
      </c>
      <c r="D41" s="46" t="s">
        <v>374</v>
      </c>
      <c r="E41" s="47">
        <v>3.5</v>
      </c>
      <c r="F41" s="47">
        <v>2.6</v>
      </c>
      <c r="G41" s="47">
        <v>0.0</v>
      </c>
      <c r="H41" s="47">
        <v>1.0</v>
      </c>
      <c r="I41" s="48">
        <f t="shared" si="1"/>
        <v>7.1</v>
      </c>
      <c r="J41" s="44"/>
      <c r="K41" s="49">
        <f t="shared" si="2"/>
        <v>7</v>
      </c>
      <c r="L41" s="44"/>
      <c r="M41" s="50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280</v>
      </c>
      <c r="C42" s="45" t="s">
        <v>101</v>
      </c>
      <c r="D42" s="46" t="s">
        <v>375</v>
      </c>
      <c r="E42" s="47">
        <v>5.0</v>
      </c>
      <c r="F42" s="47">
        <v>1.7</v>
      </c>
      <c r="G42" s="47">
        <v>2.0</v>
      </c>
      <c r="H42" s="48"/>
      <c r="I42" s="48">
        <f t="shared" si="1"/>
        <v>8.7</v>
      </c>
      <c r="J42" s="44"/>
      <c r="K42" s="49">
        <f t="shared" si="2"/>
        <v>9</v>
      </c>
      <c r="L42" s="44"/>
      <c r="M42" s="50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146</v>
      </c>
      <c r="C43" s="45" t="s">
        <v>376</v>
      </c>
      <c r="D43" s="46" t="s">
        <v>377</v>
      </c>
      <c r="E43" s="47">
        <v>5.0</v>
      </c>
      <c r="F43" s="47">
        <v>1.5</v>
      </c>
      <c r="G43" s="47">
        <v>2.0</v>
      </c>
      <c r="H43" s="48"/>
      <c r="I43" s="48">
        <f t="shared" si="1"/>
        <v>8.5</v>
      </c>
      <c r="J43" s="52">
        <v>1.0</v>
      </c>
      <c r="K43" s="49">
        <f t="shared" si="2"/>
        <v>9</v>
      </c>
      <c r="L43" s="44"/>
      <c r="M43" s="50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378</v>
      </c>
      <c r="C44" s="45" t="s">
        <v>182</v>
      </c>
      <c r="D44" s="46" t="s">
        <v>379</v>
      </c>
      <c r="E44" s="47">
        <v>4.8</v>
      </c>
      <c r="F44" s="47">
        <v>1.1</v>
      </c>
      <c r="G44" s="47">
        <v>2.0</v>
      </c>
      <c r="H44" s="48"/>
      <c r="I44" s="48">
        <f t="shared" si="1"/>
        <v>7.9</v>
      </c>
      <c r="J44" s="44"/>
      <c r="K44" s="49">
        <f t="shared" si="2"/>
        <v>8</v>
      </c>
      <c r="L44" s="44"/>
      <c r="M44" s="50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185</v>
      </c>
      <c r="C45" s="45" t="s">
        <v>317</v>
      </c>
      <c r="D45" s="46" t="s">
        <v>380</v>
      </c>
      <c r="E45" s="47">
        <v>2.0</v>
      </c>
      <c r="F45" s="47">
        <v>0.0</v>
      </c>
      <c r="G45" s="47">
        <v>0.0</v>
      </c>
      <c r="H45" s="48"/>
      <c r="I45" s="48">
        <f t="shared" si="1"/>
        <v>2</v>
      </c>
      <c r="J45" s="52">
        <v>1.0</v>
      </c>
      <c r="K45" s="49">
        <f t="shared" si="2"/>
        <v>5</v>
      </c>
      <c r="L45" s="44"/>
      <c r="M45" s="50">
        <f t="shared" si="3"/>
        <v>2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381</v>
      </c>
      <c r="C46" s="45" t="s">
        <v>382</v>
      </c>
      <c r="D46" s="46" t="s">
        <v>383</v>
      </c>
      <c r="E46" s="47">
        <v>5.0</v>
      </c>
      <c r="F46" s="47">
        <v>2.8</v>
      </c>
      <c r="G46" s="47">
        <v>2.0</v>
      </c>
      <c r="H46" s="48"/>
      <c r="I46" s="48">
        <f t="shared" si="1"/>
        <v>9.8</v>
      </c>
      <c r="J46" s="52">
        <v>1.0</v>
      </c>
      <c r="K46" s="49">
        <f t="shared" si="2"/>
        <v>10</v>
      </c>
      <c r="L46" s="44"/>
      <c r="M46" s="50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384</v>
      </c>
      <c r="C47" s="45" t="s">
        <v>385</v>
      </c>
      <c r="D47" s="46" t="s">
        <v>386</v>
      </c>
      <c r="E47" s="47">
        <v>5.0</v>
      </c>
      <c r="F47" s="47">
        <v>1.9</v>
      </c>
      <c r="G47" s="47">
        <v>2.0</v>
      </c>
      <c r="H47" s="47">
        <v>1.0</v>
      </c>
      <c r="I47" s="48">
        <f t="shared" si="1"/>
        <v>9.9</v>
      </c>
      <c r="J47" s="44"/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201</v>
      </c>
      <c r="C48" s="45" t="s">
        <v>202</v>
      </c>
      <c r="D48" s="46" t="s">
        <v>387</v>
      </c>
      <c r="E48" s="47">
        <v>5.0</v>
      </c>
      <c r="F48" s="47">
        <v>2.8</v>
      </c>
      <c r="G48" s="47">
        <v>2.0</v>
      </c>
      <c r="H48" s="48"/>
      <c r="I48" s="48">
        <f t="shared" si="1"/>
        <v>9.8</v>
      </c>
      <c r="J48" s="44"/>
      <c r="K48" s="49">
        <f t="shared" si="2"/>
        <v>10</v>
      </c>
      <c r="L48" s="44"/>
      <c r="M48" s="50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172</v>
      </c>
      <c r="C49" s="45" t="s">
        <v>62</v>
      </c>
      <c r="D49" s="46" t="s">
        <v>360</v>
      </c>
      <c r="E49" s="47">
        <v>5.0</v>
      </c>
      <c r="F49" s="47">
        <v>2.8</v>
      </c>
      <c r="G49" s="47">
        <v>2.0</v>
      </c>
      <c r="H49" s="48"/>
      <c r="I49" s="48">
        <f t="shared" si="1"/>
        <v>9.8</v>
      </c>
      <c r="J49" s="44"/>
      <c r="K49" s="49">
        <f t="shared" si="2"/>
        <v>10</v>
      </c>
      <c r="L49" s="44"/>
      <c r="M49" s="50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172</v>
      </c>
      <c r="C50" s="45" t="s">
        <v>146</v>
      </c>
      <c r="D50" s="46" t="s">
        <v>388</v>
      </c>
      <c r="E50" s="47">
        <v>4.0</v>
      </c>
      <c r="F50" s="47">
        <v>3.0</v>
      </c>
      <c r="G50" s="47">
        <v>2.0</v>
      </c>
      <c r="H50" s="48"/>
      <c r="I50" s="48">
        <f t="shared" si="1"/>
        <v>9</v>
      </c>
      <c r="J50" s="44"/>
      <c r="K50" s="49">
        <f t="shared" si="2"/>
        <v>9</v>
      </c>
      <c r="L50" s="44"/>
      <c r="M50" s="50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389</v>
      </c>
      <c r="C51" s="45" t="s">
        <v>390</v>
      </c>
      <c r="D51" s="46" t="s">
        <v>391</v>
      </c>
      <c r="E51" s="47">
        <v>3.5</v>
      </c>
      <c r="F51" s="47">
        <v>1.7</v>
      </c>
      <c r="G51" s="47">
        <v>2.0</v>
      </c>
      <c r="H51" s="48"/>
      <c r="I51" s="48">
        <f t="shared" si="1"/>
        <v>7.2</v>
      </c>
      <c r="J51" s="52">
        <v>3.0</v>
      </c>
      <c r="K51" s="49">
        <f t="shared" si="2"/>
        <v>7</v>
      </c>
      <c r="L51" s="44"/>
      <c r="M51" s="50">
        <f t="shared" si="3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392</v>
      </c>
      <c r="C52" s="45" t="s">
        <v>158</v>
      </c>
      <c r="D52" s="46" t="s">
        <v>393</v>
      </c>
      <c r="E52" s="47">
        <v>5.0</v>
      </c>
      <c r="F52" s="47">
        <v>2.5</v>
      </c>
      <c r="G52" s="47">
        <v>2.0</v>
      </c>
      <c r="H52" s="48"/>
      <c r="I52" s="48">
        <f t="shared" si="1"/>
        <v>9.5</v>
      </c>
      <c r="J52" s="44"/>
      <c r="K52" s="49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394</v>
      </c>
      <c r="C53" s="45" t="s">
        <v>52</v>
      </c>
      <c r="D53" s="46" t="s">
        <v>395</v>
      </c>
      <c r="E53" s="47">
        <v>2.0</v>
      </c>
      <c r="F53" s="47">
        <v>0.6</v>
      </c>
      <c r="G53" s="47">
        <v>2.0</v>
      </c>
      <c r="H53" s="47">
        <v>1.0</v>
      </c>
      <c r="I53" s="48">
        <f t="shared" si="1"/>
        <v>5.6</v>
      </c>
      <c r="J53" s="48"/>
      <c r="K53" s="49">
        <f t="shared" si="2"/>
        <v>5</v>
      </c>
      <c r="L53" s="44"/>
      <c r="M53" s="45">
        <f t="shared" si="3"/>
        <v>5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40</v>
      </c>
      <c r="C54" s="45" t="s">
        <v>396</v>
      </c>
      <c r="D54" s="46" t="s">
        <v>255</v>
      </c>
      <c r="E54" s="47">
        <v>2.0</v>
      </c>
      <c r="F54" s="47">
        <v>1.7</v>
      </c>
      <c r="G54" s="47">
        <v>0.0</v>
      </c>
      <c r="H54" s="48"/>
      <c r="I54" s="48">
        <f t="shared" si="1"/>
        <v>3.7</v>
      </c>
      <c r="J54" s="48"/>
      <c r="K54" s="49">
        <f t="shared" si="2"/>
        <v>5</v>
      </c>
      <c r="L54" s="44"/>
      <c r="M54" s="45">
        <f t="shared" si="3"/>
        <v>3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40</v>
      </c>
      <c r="C55" s="45" t="s">
        <v>397</v>
      </c>
      <c r="D55" s="46" t="s">
        <v>398</v>
      </c>
      <c r="E55" s="47">
        <v>5.0</v>
      </c>
      <c r="F55" s="47">
        <v>2.5</v>
      </c>
      <c r="G55" s="47">
        <v>2.0</v>
      </c>
      <c r="H55" s="48"/>
      <c r="I55" s="48">
        <f t="shared" si="1"/>
        <v>9.5</v>
      </c>
      <c r="J55" s="46"/>
      <c r="K55" s="49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399</v>
      </c>
      <c r="C56" s="45" t="s">
        <v>143</v>
      </c>
      <c r="D56" s="45" t="s">
        <v>400</v>
      </c>
      <c r="E56" s="47">
        <v>4.0</v>
      </c>
      <c r="F56" s="47">
        <v>2.1</v>
      </c>
      <c r="G56" s="47">
        <v>0.0</v>
      </c>
      <c r="H56" s="48"/>
      <c r="I56" s="48">
        <f t="shared" si="1"/>
        <v>6.1</v>
      </c>
      <c r="J56" s="46"/>
      <c r="K56" s="49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401</v>
      </c>
      <c r="C57" s="45" t="s">
        <v>183</v>
      </c>
      <c r="D57" s="45" t="s">
        <v>402</v>
      </c>
      <c r="E57" s="47">
        <v>3.9</v>
      </c>
      <c r="F57" s="47">
        <v>2.3</v>
      </c>
      <c r="G57" s="47">
        <v>0.0</v>
      </c>
      <c r="H57" s="48"/>
      <c r="I57" s="48">
        <f t="shared" si="1"/>
        <v>6.2</v>
      </c>
      <c r="J57" s="48"/>
      <c r="K57" s="49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315</v>
      </c>
      <c r="C58" s="45" t="s">
        <v>403</v>
      </c>
      <c r="D58" s="108" t="s">
        <v>404</v>
      </c>
      <c r="E58" s="47">
        <v>3.0</v>
      </c>
      <c r="F58" s="47">
        <v>1.3</v>
      </c>
      <c r="G58" s="47">
        <v>2.0</v>
      </c>
      <c r="H58" s="47">
        <v>1.0</v>
      </c>
      <c r="I58" s="48">
        <f t="shared" si="1"/>
        <v>7.3</v>
      </c>
      <c r="J58" s="48"/>
      <c r="K58" s="49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405</v>
      </c>
      <c r="C59" s="45" t="s">
        <v>406</v>
      </c>
      <c r="D59" s="108" t="s">
        <v>407</v>
      </c>
      <c r="E59" s="47">
        <v>2.0</v>
      </c>
      <c r="F59" s="47">
        <v>1.3</v>
      </c>
      <c r="G59" s="47">
        <v>0.0</v>
      </c>
      <c r="H59" s="48"/>
      <c r="I59" s="48">
        <f t="shared" si="1"/>
        <v>3.3</v>
      </c>
      <c r="J59" s="47">
        <v>2.0</v>
      </c>
      <c r="K59" s="49">
        <f t="shared" si="2"/>
        <v>5</v>
      </c>
      <c r="L59" s="44"/>
      <c r="M59" s="45">
        <f t="shared" si="3"/>
        <v>3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408</v>
      </c>
      <c r="C60" s="45" t="s">
        <v>409</v>
      </c>
      <c r="D60" s="45" t="s">
        <v>410</v>
      </c>
      <c r="E60" s="47">
        <v>5.0</v>
      </c>
      <c r="F60" s="47">
        <v>1.7</v>
      </c>
      <c r="G60" s="47">
        <v>2.0</v>
      </c>
      <c r="H60" s="47">
        <v>1.0</v>
      </c>
      <c r="I60" s="48">
        <f t="shared" si="1"/>
        <v>9.7</v>
      </c>
      <c r="J60" s="48"/>
      <c r="K60" s="49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411</v>
      </c>
      <c r="C61" s="45" t="s">
        <v>403</v>
      </c>
      <c r="D61" s="45" t="s">
        <v>412</v>
      </c>
      <c r="E61" s="47">
        <v>4.0</v>
      </c>
      <c r="F61" s="47">
        <v>2.3</v>
      </c>
      <c r="G61" s="47">
        <v>0.0</v>
      </c>
      <c r="H61" s="47">
        <v>1.0</v>
      </c>
      <c r="I61" s="48">
        <f t="shared" si="1"/>
        <v>7.3</v>
      </c>
      <c r="J61" s="48"/>
      <c r="K61" s="49">
        <f t="shared" si="2"/>
        <v>7</v>
      </c>
      <c r="L61" s="44"/>
      <c r="M61" s="45">
        <f t="shared" si="3"/>
        <v>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413</v>
      </c>
      <c r="C62" s="45" t="s">
        <v>414</v>
      </c>
      <c r="D62" s="45" t="s">
        <v>415</v>
      </c>
      <c r="E62" s="47">
        <v>5.0</v>
      </c>
      <c r="F62" s="47">
        <v>2.5</v>
      </c>
      <c r="G62" s="47">
        <v>2.0</v>
      </c>
      <c r="H62" s="48"/>
      <c r="I62" s="48">
        <f t="shared" si="1"/>
        <v>9.5</v>
      </c>
      <c r="J62" s="47">
        <v>1.0</v>
      </c>
      <c r="K62" s="49">
        <f t="shared" si="2"/>
        <v>10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126</v>
      </c>
      <c r="C64" s="57"/>
      <c r="D64" s="99">
        <f>COUNT(A17:A62)</f>
        <v>46</v>
      </c>
      <c r="E64" s="55"/>
      <c r="F64" s="55"/>
      <c r="G64" s="59" t="s">
        <v>127</v>
      </c>
      <c r="H64" s="55"/>
      <c r="I64" s="59" t="s">
        <v>128</v>
      </c>
      <c r="K64" s="60" t="s">
        <v>129</v>
      </c>
      <c r="L64" s="61" t="s">
        <v>130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131</v>
      </c>
      <c r="C65" s="63"/>
      <c r="D65" s="12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132</v>
      </c>
      <c r="C66" s="63"/>
      <c r="D66" s="70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133</v>
      </c>
      <c r="C67" s="63"/>
      <c r="D67" s="66">
        <f>COUNTIF(K17:K62,"&gt;=6")</f>
        <v>42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134</v>
      </c>
      <c r="C68" s="63"/>
      <c r="D68" s="66">
        <f>D66-D67</f>
        <v>4</v>
      </c>
      <c r="E68" s="55"/>
      <c r="F68" s="55"/>
      <c r="G68" s="67"/>
      <c r="H68" s="55"/>
      <c r="I68" s="67"/>
      <c r="J68" s="125"/>
      <c r="K68" s="68"/>
      <c r="L68" s="69"/>
      <c r="M68" s="54"/>
      <c r="N68" s="1"/>
      <c r="O68" s="1"/>
      <c r="P68" s="2"/>
      <c r="Q68" s="2"/>
      <c r="R68" s="2"/>
    </row>
    <row r="69" ht="36.0" customHeight="1">
      <c r="A69" s="1"/>
      <c r="B69" s="62" t="s">
        <v>135</v>
      </c>
      <c r="C69" s="63"/>
      <c r="D69" s="70">
        <f>D67*100/D66</f>
        <v>91.30434783</v>
      </c>
      <c r="E69" s="55"/>
      <c r="F69" s="55"/>
      <c r="G69" s="71" t="s">
        <v>136</v>
      </c>
      <c r="H69" s="55"/>
      <c r="I69" s="72" t="s">
        <v>416</v>
      </c>
      <c r="K69" s="73" t="s">
        <v>138</v>
      </c>
      <c r="L69" s="74" t="s">
        <v>139</v>
      </c>
      <c r="M69" s="54"/>
      <c r="N69" s="1"/>
      <c r="O69" s="1"/>
      <c r="P69" s="2"/>
      <c r="Q69" s="2"/>
      <c r="R69" s="2"/>
    </row>
    <row r="70" ht="24.75" customHeight="1">
      <c r="A70" s="1"/>
      <c r="B70" s="75" t="s">
        <v>140</v>
      </c>
      <c r="C70" s="76"/>
      <c r="D70" s="77">
        <f>AVERAGE(K17:K62)</f>
        <v>8.434782609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8"/>
      <c r="B71" s="79"/>
      <c r="C71" s="79"/>
      <c r="D71" s="101"/>
      <c r="E71" s="80"/>
      <c r="F71" s="80"/>
      <c r="G71" s="80"/>
      <c r="H71" s="80"/>
      <c r="I71" s="80"/>
      <c r="J71" s="80"/>
      <c r="K71" s="79"/>
      <c r="L71" s="81"/>
      <c r="M71" s="79"/>
      <c r="N71" s="2"/>
      <c r="O71" s="2"/>
      <c r="P71" s="2"/>
      <c r="Q71" s="2"/>
      <c r="R71" s="2"/>
    </row>
    <row r="72" ht="21.75" customHeight="1">
      <c r="A72" s="113"/>
      <c r="B72" s="126"/>
      <c r="C72" s="127"/>
      <c r="D72" s="128"/>
      <c r="E72" s="107"/>
      <c r="H72" s="107"/>
      <c r="I72" s="85"/>
      <c r="J72" s="85"/>
      <c r="K72" s="86"/>
      <c r="L72" s="87"/>
      <c r="M72" s="107"/>
      <c r="N72" s="2"/>
      <c r="O72" s="2"/>
      <c r="P72" s="2"/>
      <c r="Q72" s="2"/>
      <c r="R72" s="2"/>
    </row>
    <row r="73" ht="21.75" customHeight="1">
      <c r="A73" s="117"/>
      <c r="B73" s="107"/>
      <c r="C73" s="107"/>
      <c r="D73" s="107"/>
      <c r="E73" s="107"/>
      <c r="F73" s="107"/>
      <c r="G73" s="2"/>
      <c r="H73" s="2"/>
      <c r="I73" s="2"/>
      <c r="J73" s="2"/>
      <c r="K73" s="2"/>
      <c r="L73" s="81"/>
      <c r="M73" s="2"/>
      <c r="N73" s="2"/>
      <c r="O73" s="2"/>
      <c r="P73" s="2"/>
      <c r="Q73" s="2"/>
      <c r="R73" s="2"/>
    </row>
    <row r="74" ht="21.75" customHeight="1">
      <c r="A74" s="117"/>
      <c r="B74" s="107"/>
      <c r="C74" s="107"/>
      <c r="D74" s="107"/>
      <c r="E74" s="107"/>
      <c r="F74" s="107"/>
      <c r="G74" s="2"/>
      <c r="H74" s="2"/>
      <c r="I74" s="2"/>
      <c r="J74" s="2"/>
      <c r="K74" s="2"/>
      <c r="L74" s="118"/>
      <c r="M74" s="2"/>
      <c r="N74" s="2"/>
      <c r="O74" s="2"/>
      <c r="P74" s="2"/>
      <c r="Q74" s="2"/>
      <c r="R74" s="2"/>
    </row>
    <row r="75" ht="21.75" customHeight="1">
      <c r="A75" s="119"/>
      <c r="B75" s="120"/>
      <c r="C75" s="120"/>
      <c r="D75" s="90"/>
      <c r="E75" s="120"/>
      <c r="F75" s="120"/>
      <c r="G75" s="122"/>
      <c r="H75" s="122"/>
      <c r="I75" s="122"/>
      <c r="J75" s="122"/>
      <c r="K75" s="122"/>
      <c r="L75" s="94"/>
      <c r="M75" s="2"/>
      <c r="N75" s="2"/>
      <c r="O75" s="2"/>
      <c r="P75" s="2"/>
      <c r="Q75" s="2"/>
      <c r="R75" s="2"/>
    </row>
    <row r="76" ht="21.75" customHeight="1">
      <c r="A76" s="106"/>
      <c r="B76" s="107"/>
      <c r="C76" s="107"/>
      <c r="D76" s="86"/>
      <c r="E76" s="107"/>
      <c r="F76" s="107"/>
      <c r="G76" s="2"/>
      <c r="H76" s="2"/>
      <c r="I76" s="2"/>
      <c r="J76" s="2"/>
      <c r="K76" s="97"/>
      <c r="L76" s="96"/>
      <c r="M76" s="97"/>
      <c r="N76" s="2"/>
      <c r="O76" s="2"/>
      <c r="P76" s="2"/>
      <c r="Q76" s="2"/>
      <c r="R76" s="2"/>
    </row>
    <row r="77" ht="27.75" customHeight="1">
      <c r="A77" s="106"/>
      <c r="B77" s="107"/>
      <c r="C77" s="107"/>
      <c r="D77" s="86"/>
      <c r="E77" s="107"/>
      <c r="F77" s="107"/>
      <c r="G77" s="103"/>
      <c r="H77" s="2"/>
      <c r="I77" s="103"/>
      <c r="J77" s="103"/>
      <c r="K77" s="123"/>
      <c r="L77" s="96"/>
      <c r="M77" s="97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4139896373056995" right="0.1968503937007874" top="0.1761658031088083"/>
  <pageSetup scale="4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233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234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235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330</v>
      </c>
      <c r="C17" s="45" t="s">
        <v>62</v>
      </c>
      <c r="D17" s="46" t="s">
        <v>417</v>
      </c>
      <c r="E17" s="47">
        <v>1.0</v>
      </c>
      <c r="F17" s="47">
        <v>0.0</v>
      </c>
      <c r="G17" s="47">
        <v>0.0</v>
      </c>
      <c r="H17" s="48"/>
      <c r="I17" s="48">
        <f t="shared" ref="I17:I63" si="1">SUM(E17:H17)</f>
        <v>1</v>
      </c>
      <c r="J17" s="52">
        <v>2.0</v>
      </c>
      <c r="K17" s="49">
        <f t="shared" ref="K17:K63" si="2">IF(I17&lt;6, 5, MIN(10, ROUND(I17, 0)))</f>
        <v>5</v>
      </c>
      <c r="L17" s="45"/>
      <c r="M17" s="50">
        <f t="shared" ref="M17:M61" si="3">IF(I17&gt;=6,ROUND(I17,0),TRUNC(I17,0))</f>
        <v>1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418</v>
      </c>
      <c r="C18" s="45" t="s">
        <v>419</v>
      </c>
      <c r="D18" s="46" t="s">
        <v>420</v>
      </c>
      <c r="E18" s="47">
        <v>5.0</v>
      </c>
      <c r="F18" s="47">
        <v>2.6</v>
      </c>
      <c r="G18" s="47">
        <v>2.0</v>
      </c>
      <c r="H18" s="48"/>
      <c r="I18" s="48">
        <f t="shared" si="1"/>
        <v>9.6</v>
      </c>
      <c r="J18" s="44"/>
      <c r="K18" s="49">
        <f t="shared" si="2"/>
        <v>10</v>
      </c>
      <c r="L18" s="44"/>
      <c r="M18" s="50">
        <f t="shared" si="3"/>
        <v>10</v>
      </c>
      <c r="N18" s="53" t="s">
        <v>30</v>
      </c>
      <c r="O18" s="52">
        <v>10.0</v>
      </c>
      <c r="P18" s="2"/>
      <c r="Q18" s="2"/>
      <c r="R18" s="2"/>
    </row>
    <row r="19" ht="24.75" customHeight="1">
      <c r="A19" s="44">
        <v>3.0</v>
      </c>
      <c r="B19" s="45" t="s">
        <v>162</v>
      </c>
      <c r="C19" s="45" t="s">
        <v>323</v>
      </c>
      <c r="D19" s="46" t="s">
        <v>421</v>
      </c>
      <c r="E19" s="47">
        <v>4.8</v>
      </c>
      <c r="F19" s="47">
        <v>3.0</v>
      </c>
      <c r="G19" s="47">
        <v>2.0</v>
      </c>
      <c r="H19" s="48"/>
      <c r="I19" s="48">
        <f t="shared" si="1"/>
        <v>9.8</v>
      </c>
      <c r="J19" s="52">
        <v>2.0</v>
      </c>
      <c r="K19" s="49">
        <f t="shared" si="2"/>
        <v>10</v>
      </c>
      <c r="L19" s="44"/>
      <c r="M19" s="50">
        <f t="shared" si="3"/>
        <v>10</v>
      </c>
      <c r="N19" s="53" t="s">
        <v>34</v>
      </c>
      <c r="O19" s="52">
        <v>14.0</v>
      </c>
      <c r="P19" s="2"/>
      <c r="Q19" s="2"/>
      <c r="R19" s="2"/>
    </row>
    <row r="20" ht="24.75" customHeight="1">
      <c r="A20" s="44">
        <v>4.0</v>
      </c>
      <c r="B20" s="45" t="s">
        <v>422</v>
      </c>
      <c r="C20" s="45" t="s">
        <v>423</v>
      </c>
      <c r="D20" s="46" t="s">
        <v>424</v>
      </c>
      <c r="E20" s="47">
        <v>5.0</v>
      </c>
      <c r="F20" s="47">
        <v>2.8</v>
      </c>
      <c r="G20" s="47">
        <v>2.0</v>
      </c>
      <c r="H20" s="48"/>
      <c r="I20" s="48">
        <f t="shared" si="1"/>
        <v>9.8</v>
      </c>
      <c r="J20" s="52">
        <v>1.0</v>
      </c>
      <c r="K20" s="49">
        <f t="shared" si="2"/>
        <v>10</v>
      </c>
      <c r="L20" s="44"/>
      <c r="M20" s="50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425</v>
      </c>
      <c r="C21" s="45" t="s">
        <v>426</v>
      </c>
      <c r="D21" s="46" t="s">
        <v>427</v>
      </c>
      <c r="E21" s="47">
        <v>4.6</v>
      </c>
      <c r="F21" s="47">
        <v>1.3</v>
      </c>
      <c r="G21" s="47">
        <v>2.0</v>
      </c>
      <c r="H21" s="48"/>
      <c r="I21" s="48">
        <f t="shared" si="1"/>
        <v>7.9</v>
      </c>
      <c r="J21" s="44"/>
      <c r="K21" s="49">
        <f t="shared" si="2"/>
        <v>8</v>
      </c>
      <c r="L21" s="44"/>
      <c r="M21" s="50">
        <f t="shared" si="3"/>
        <v>8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231</v>
      </c>
      <c r="C22" s="45" t="s">
        <v>72</v>
      </c>
      <c r="D22" s="46" t="s">
        <v>428</v>
      </c>
      <c r="E22" s="47">
        <v>0.0</v>
      </c>
      <c r="F22" s="47">
        <v>1.9</v>
      </c>
      <c r="G22" s="47">
        <v>0.0</v>
      </c>
      <c r="H22" s="48"/>
      <c r="I22" s="48">
        <f t="shared" si="1"/>
        <v>1.9</v>
      </c>
      <c r="J22" s="52">
        <v>2.0</v>
      </c>
      <c r="K22" s="49">
        <f t="shared" si="2"/>
        <v>5</v>
      </c>
      <c r="L22" s="44"/>
      <c r="M22" s="50">
        <f t="shared" si="3"/>
        <v>1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231</v>
      </c>
      <c r="C23" s="45" t="s">
        <v>62</v>
      </c>
      <c r="D23" s="46" t="s">
        <v>429</v>
      </c>
      <c r="E23" s="47">
        <v>1.0</v>
      </c>
      <c r="F23" s="47">
        <v>1.1</v>
      </c>
      <c r="G23" s="47">
        <v>0.0</v>
      </c>
      <c r="H23" s="48"/>
      <c r="I23" s="48">
        <f t="shared" si="1"/>
        <v>2.1</v>
      </c>
      <c r="J23" s="52">
        <v>1.0</v>
      </c>
      <c r="K23" s="49">
        <f t="shared" si="2"/>
        <v>5</v>
      </c>
      <c r="L23" s="44"/>
      <c r="M23" s="50">
        <f t="shared" si="3"/>
        <v>2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430</v>
      </c>
      <c r="C24" s="45" t="s">
        <v>431</v>
      </c>
      <c r="D24" s="46" t="s">
        <v>432</v>
      </c>
      <c r="E24" s="47">
        <v>5.0</v>
      </c>
      <c r="F24" s="47">
        <v>2.1</v>
      </c>
      <c r="G24" s="47">
        <v>2.0</v>
      </c>
      <c r="H24" s="48"/>
      <c r="I24" s="48">
        <f t="shared" si="1"/>
        <v>9.1</v>
      </c>
      <c r="J24" s="44"/>
      <c r="K24" s="49">
        <f t="shared" si="2"/>
        <v>9</v>
      </c>
      <c r="L24" s="44"/>
      <c r="M24" s="50">
        <f t="shared" si="3"/>
        <v>9</v>
      </c>
      <c r="N24" s="53" t="s">
        <v>54</v>
      </c>
      <c r="O24" s="53">
        <f>SUM(O18:O23)</f>
        <v>24</v>
      </c>
      <c r="P24" s="2"/>
      <c r="Q24" s="2"/>
      <c r="R24" s="2"/>
    </row>
    <row r="25" ht="24.75" customHeight="1">
      <c r="A25" s="44">
        <v>9.0</v>
      </c>
      <c r="B25" s="45" t="s">
        <v>433</v>
      </c>
      <c r="C25" s="45" t="s">
        <v>434</v>
      </c>
      <c r="D25" s="46" t="s">
        <v>435</v>
      </c>
      <c r="E25" s="47">
        <v>5.0</v>
      </c>
      <c r="F25" s="47">
        <v>2.6</v>
      </c>
      <c r="G25" s="47">
        <v>2.0</v>
      </c>
      <c r="H25" s="47">
        <v>1.0</v>
      </c>
      <c r="I25" s="48">
        <f t="shared" si="1"/>
        <v>10.6</v>
      </c>
      <c r="J25" s="44"/>
      <c r="K25" s="49">
        <f t="shared" si="2"/>
        <v>10</v>
      </c>
      <c r="L25" s="44"/>
      <c r="M25" s="50">
        <f t="shared" si="3"/>
        <v>11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355</v>
      </c>
      <c r="C26" s="45" t="s">
        <v>168</v>
      </c>
      <c r="D26" s="46" t="s">
        <v>436</v>
      </c>
      <c r="E26" s="47">
        <v>4.2</v>
      </c>
      <c r="F26" s="47">
        <v>1.9</v>
      </c>
      <c r="G26" s="47">
        <v>0.0</v>
      </c>
      <c r="H26" s="48"/>
      <c r="I26" s="48">
        <f t="shared" si="1"/>
        <v>6.1</v>
      </c>
      <c r="J26" s="52">
        <v>1.0</v>
      </c>
      <c r="K26" s="49">
        <f t="shared" si="2"/>
        <v>6</v>
      </c>
      <c r="L26" s="44"/>
      <c r="M26" s="50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69</v>
      </c>
      <c r="C27" s="45" t="s">
        <v>70</v>
      </c>
      <c r="D27" s="45" t="s">
        <v>437</v>
      </c>
      <c r="E27" s="47">
        <v>4.9</v>
      </c>
      <c r="F27" s="47">
        <v>2.4</v>
      </c>
      <c r="G27" s="47">
        <v>2.0</v>
      </c>
      <c r="H27" s="47">
        <v>1.0</v>
      </c>
      <c r="I27" s="48">
        <f t="shared" si="1"/>
        <v>10.3</v>
      </c>
      <c r="J27" s="44"/>
      <c r="K27" s="49">
        <f t="shared" si="2"/>
        <v>10</v>
      </c>
      <c r="L27" s="44"/>
      <c r="M27" s="50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168</v>
      </c>
      <c r="C28" s="45" t="s">
        <v>172</v>
      </c>
      <c r="D28" s="46" t="s">
        <v>438</v>
      </c>
      <c r="E28" s="47">
        <v>4.0</v>
      </c>
      <c r="F28" s="47">
        <v>2.3</v>
      </c>
      <c r="G28" s="47">
        <v>2.0</v>
      </c>
      <c r="H28" s="47">
        <v>1.0</v>
      </c>
      <c r="I28" s="48">
        <f t="shared" si="1"/>
        <v>9.3</v>
      </c>
      <c r="J28" s="52">
        <v>1.0</v>
      </c>
      <c r="K28" s="49">
        <f t="shared" si="2"/>
        <v>9</v>
      </c>
      <c r="L28" s="44"/>
      <c r="M28" s="50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439</v>
      </c>
      <c r="D29" s="46" t="s">
        <v>440</v>
      </c>
      <c r="E29" s="47">
        <v>5.5</v>
      </c>
      <c r="F29" s="47">
        <v>2.1</v>
      </c>
      <c r="G29" s="47">
        <v>2.0</v>
      </c>
      <c r="H29" s="48"/>
      <c r="I29" s="48">
        <f t="shared" si="1"/>
        <v>9.6</v>
      </c>
      <c r="J29" s="44"/>
      <c r="K29" s="49">
        <f t="shared" si="2"/>
        <v>10</v>
      </c>
      <c r="L29" s="44"/>
      <c r="M29" s="50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62</v>
      </c>
      <c r="C30" s="45" t="s">
        <v>73</v>
      </c>
      <c r="D30" s="46" t="s">
        <v>441</v>
      </c>
      <c r="E30" s="47">
        <v>4.6</v>
      </c>
      <c r="F30" s="47">
        <v>1.9</v>
      </c>
      <c r="G30" s="47">
        <v>2.0</v>
      </c>
      <c r="H30" s="48"/>
      <c r="I30" s="48">
        <f t="shared" si="1"/>
        <v>8.5</v>
      </c>
      <c r="J30" s="52">
        <v>3.0</v>
      </c>
      <c r="K30" s="49">
        <f t="shared" si="2"/>
        <v>9</v>
      </c>
      <c r="L30" s="44"/>
      <c r="M30" s="50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62</v>
      </c>
      <c r="C31" s="45" t="s">
        <v>409</v>
      </c>
      <c r="D31" s="46" t="s">
        <v>442</v>
      </c>
      <c r="E31" s="47">
        <v>4.6</v>
      </c>
      <c r="F31" s="47">
        <v>2.8</v>
      </c>
      <c r="G31" s="47">
        <v>2.0</v>
      </c>
      <c r="H31" s="47">
        <v>1.0</v>
      </c>
      <c r="I31" s="48">
        <f t="shared" si="1"/>
        <v>10.4</v>
      </c>
      <c r="J31" s="44"/>
      <c r="K31" s="49">
        <f t="shared" si="2"/>
        <v>10</v>
      </c>
      <c r="L31" s="44"/>
      <c r="M31" s="50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62</v>
      </c>
      <c r="C32" s="45" t="s">
        <v>202</v>
      </c>
      <c r="D32" s="46" t="s">
        <v>443</v>
      </c>
      <c r="E32" s="47">
        <v>4.7</v>
      </c>
      <c r="F32" s="47">
        <v>2.4</v>
      </c>
      <c r="G32" s="47">
        <v>2.0</v>
      </c>
      <c r="H32" s="48"/>
      <c r="I32" s="48">
        <f t="shared" si="1"/>
        <v>9.1</v>
      </c>
      <c r="J32" s="52">
        <v>1.0</v>
      </c>
      <c r="K32" s="49">
        <f t="shared" si="2"/>
        <v>9</v>
      </c>
      <c r="L32" s="44"/>
      <c r="M32" s="50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444</v>
      </c>
      <c r="C33" s="45" t="s">
        <v>445</v>
      </c>
      <c r="D33" s="46" t="s">
        <v>446</v>
      </c>
      <c r="E33" s="47">
        <v>4.7</v>
      </c>
      <c r="F33" s="47">
        <v>2.6</v>
      </c>
      <c r="G33" s="47">
        <v>2.0</v>
      </c>
      <c r="H33" s="48"/>
      <c r="I33" s="48">
        <f t="shared" si="1"/>
        <v>9.3</v>
      </c>
      <c r="J33" s="52">
        <v>1.0</v>
      </c>
      <c r="K33" s="49">
        <f t="shared" si="2"/>
        <v>9</v>
      </c>
      <c r="L33" s="44"/>
      <c r="M33" s="50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444</v>
      </c>
      <c r="C34" s="45" t="s">
        <v>146</v>
      </c>
      <c r="D34" s="46" t="s">
        <v>96</v>
      </c>
      <c r="E34" s="47">
        <v>5.0</v>
      </c>
      <c r="F34" s="47">
        <v>2.8</v>
      </c>
      <c r="G34" s="47">
        <v>2.0</v>
      </c>
      <c r="H34" s="48"/>
      <c r="I34" s="48">
        <f t="shared" si="1"/>
        <v>9.8</v>
      </c>
      <c r="J34" s="44"/>
      <c r="K34" s="49">
        <f t="shared" si="2"/>
        <v>10</v>
      </c>
      <c r="L34" s="44"/>
      <c r="M34" s="50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447</v>
      </c>
      <c r="C35" s="45" t="s">
        <v>95</v>
      </c>
      <c r="D35" s="46" t="s">
        <v>448</v>
      </c>
      <c r="E35" s="47">
        <v>4.9</v>
      </c>
      <c r="F35" s="47">
        <v>2.1</v>
      </c>
      <c r="G35" s="47">
        <v>2.0</v>
      </c>
      <c r="H35" s="48"/>
      <c r="I35" s="48">
        <f t="shared" si="1"/>
        <v>9</v>
      </c>
      <c r="J35" s="44"/>
      <c r="K35" s="49">
        <f t="shared" si="2"/>
        <v>9</v>
      </c>
      <c r="L35" s="44"/>
      <c r="M35" s="50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52</v>
      </c>
      <c r="C36" s="45" t="s">
        <v>449</v>
      </c>
      <c r="D36" s="46" t="s">
        <v>450</v>
      </c>
      <c r="E36" s="47">
        <v>5.0</v>
      </c>
      <c r="F36" s="47">
        <v>2.8</v>
      </c>
      <c r="G36" s="47">
        <v>0.0</v>
      </c>
      <c r="H36" s="48"/>
      <c r="I36" s="48">
        <f t="shared" si="1"/>
        <v>7.8</v>
      </c>
      <c r="J36" s="44"/>
      <c r="K36" s="49">
        <f t="shared" si="2"/>
        <v>8</v>
      </c>
      <c r="L36" s="44"/>
      <c r="M36" s="50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451</v>
      </c>
      <c r="C37" s="45" t="s">
        <v>452</v>
      </c>
      <c r="D37" s="46" t="s">
        <v>453</v>
      </c>
      <c r="E37" s="47">
        <v>5.0</v>
      </c>
      <c r="F37" s="47">
        <v>2.4</v>
      </c>
      <c r="G37" s="47">
        <v>2.0</v>
      </c>
      <c r="H37" s="48"/>
      <c r="I37" s="48">
        <f t="shared" si="1"/>
        <v>9.4</v>
      </c>
      <c r="J37" s="44"/>
      <c r="K37" s="49">
        <f t="shared" si="2"/>
        <v>9</v>
      </c>
      <c r="L37" s="44"/>
      <c r="M37" s="50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146</v>
      </c>
      <c r="C38" s="45" t="s">
        <v>454</v>
      </c>
      <c r="D38" s="46" t="s">
        <v>455</v>
      </c>
      <c r="E38" s="47">
        <v>4.8</v>
      </c>
      <c r="F38" s="47">
        <v>2.8</v>
      </c>
      <c r="G38" s="47">
        <v>2.0</v>
      </c>
      <c r="H38" s="48"/>
      <c r="I38" s="48">
        <f t="shared" si="1"/>
        <v>9.6</v>
      </c>
      <c r="J38" s="44"/>
      <c r="K38" s="49">
        <f t="shared" si="2"/>
        <v>10</v>
      </c>
      <c r="L38" s="44"/>
      <c r="M38" s="50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146</v>
      </c>
      <c r="C39" s="45" t="s">
        <v>357</v>
      </c>
      <c r="D39" s="46" t="s">
        <v>456</v>
      </c>
      <c r="E39" s="47">
        <v>4.8</v>
      </c>
      <c r="F39" s="47">
        <v>2.4</v>
      </c>
      <c r="G39" s="47">
        <v>2.0</v>
      </c>
      <c r="H39" s="48"/>
      <c r="I39" s="48">
        <f t="shared" si="1"/>
        <v>9.2</v>
      </c>
      <c r="J39" s="44"/>
      <c r="K39" s="49">
        <f t="shared" si="2"/>
        <v>9</v>
      </c>
      <c r="L39" s="44"/>
      <c r="M39" s="50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457</v>
      </c>
      <c r="C40" s="45" t="s">
        <v>458</v>
      </c>
      <c r="D40" s="46" t="s">
        <v>459</v>
      </c>
      <c r="E40" s="47">
        <v>4.6</v>
      </c>
      <c r="F40" s="47">
        <v>1.1</v>
      </c>
      <c r="G40" s="47">
        <v>2.0</v>
      </c>
      <c r="H40" s="48"/>
      <c r="I40" s="48">
        <f t="shared" si="1"/>
        <v>7.7</v>
      </c>
      <c r="J40" s="44"/>
      <c r="K40" s="49">
        <f t="shared" si="2"/>
        <v>8</v>
      </c>
      <c r="L40" s="44"/>
      <c r="M40" s="50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180</v>
      </c>
      <c r="C41" s="45" t="s">
        <v>460</v>
      </c>
      <c r="D41" s="46" t="s">
        <v>461</v>
      </c>
      <c r="E41" s="47">
        <v>5.0</v>
      </c>
      <c r="F41" s="47">
        <v>1.9</v>
      </c>
      <c r="G41" s="47">
        <v>0.0</v>
      </c>
      <c r="H41" s="48"/>
      <c r="I41" s="48">
        <f t="shared" si="1"/>
        <v>6.9</v>
      </c>
      <c r="J41" s="52">
        <v>1.0</v>
      </c>
      <c r="K41" s="49">
        <f t="shared" si="2"/>
        <v>7</v>
      </c>
      <c r="L41" s="44"/>
      <c r="M41" s="50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462</v>
      </c>
      <c r="C42" s="45" t="s">
        <v>463</v>
      </c>
      <c r="D42" s="46" t="s">
        <v>464</v>
      </c>
      <c r="E42" s="47">
        <v>5.0</v>
      </c>
      <c r="F42" s="47">
        <v>1.5</v>
      </c>
      <c r="G42" s="47">
        <v>0.0</v>
      </c>
      <c r="H42" s="48"/>
      <c r="I42" s="48">
        <f t="shared" si="1"/>
        <v>6.5</v>
      </c>
      <c r="J42" s="44"/>
      <c r="K42" s="49">
        <f t="shared" si="2"/>
        <v>7</v>
      </c>
      <c r="L42" s="44"/>
      <c r="M42" s="50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465</v>
      </c>
      <c r="C43" s="45" t="s">
        <v>180</v>
      </c>
      <c r="D43" s="46" t="s">
        <v>466</v>
      </c>
      <c r="E43" s="47">
        <v>4.2</v>
      </c>
      <c r="F43" s="47">
        <v>1.9</v>
      </c>
      <c r="G43" s="47">
        <v>0.0</v>
      </c>
      <c r="H43" s="48"/>
      <c r="I43" s="48">
        <f t="shared" si="1"/>
        <v>6.1</v>
      </c>
      <c r="J43" s="52">
        <v>1.0</v>
      </c>
      <c r="K43" s="49">
        <f t="shared" si="2"/>
        <v>6</v>
      </c>
      <c r="L43" s="44"/>
      <c r="M43" s="50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185</v>
      </c>
      <c r="C44" s="45" t="s">
        <v>59</v>
      </c>
      <c r="D44" s="46" t="s">
        <v>467</v>
      </c>
      <c r="E44" s="47">
        <v>1.6</v>
      </c>
      <c r="F44" s="47">
        <v>2.4</v>
      </c>
      <c r="G44" s="47">
        <v>2.0</v>
      </c>
      <c r="H44" s="48"/>
      <c r="I44" s="48">
        <f t="shared" si="1"/>
        <v>6</v>
      </c>
      <c r="J44" s="44"/>
      <c r="K44" s="49">
        <f t="shared" si="2"/>
        <v>6</v>
      </c>
      <c r="L44" s="44"/>
      <c r="M44" s="50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468</v>
      </c>
      <c r="C45" s="45" t="s">
        <v>303</v>
      </c>
      <c r="D45" s="46" t="s">
        <v>469</v>
      </c>
      <c r="E45" s="47">
        <v>4.9</v>
      </c>
      <c r="F45" s="47">
        <v>2.8</v>
      </c>
      <c r="G45" s="47">
        <v>2.0</v>
      </c>
      <c r="H45" s="47">
        <v>1.0</v>
      </c>
      <c r="I45" s="48">
        <f t="shared" si="1"/>
        <v>10.7</v>
      </c>
      <c r="J45" s="44"/>
      <c r="K45" s="49">
        <f t="shared" si="2"/>
        <v>10</v>
      </c>
      <c r="L45" s="44"/>
      <c r="M45" s="50">
        <f t="shared" si="3"/>
        <v>11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185</v>
      </c>
      <c r="C46" s="45" t="s">
        <v>470</v>
      </c>
      <c r="D46" s="46" t="s">
        <v>471</v>
      </c>
      <c r="E46" s="47">
        <v>5.0</v>
      </c>
      <c r="F46" s="47">
        <v>2.4</v>
      </c>
      <c r="G46" s="47">
        <v>2.0</v>
      </c>
      <c r="H46" s="48"/>
      <c r="I46" s="48">
        <f t="shared" si="1"/>
        <v>9.4</v>
      </c>
      <c r="J46" s="44"/>
      <c r="K46" s="49">
        <f t="shared" si="2"/>
        <v>9</v>
      </c>
      <c r="L46" s="44"/>
      <c r="M46" s="50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185</v>
      </c>
      <c r="C47" s="45" t="s">
        <v>472</v>
      </c>
      <c r="D47" s="46" t="s">
        <v>473</v>
      </c>
      <c r="E47" s="47">
        <v>5.0</v>
      </c>
      <c r="F47" s="47">
        <v>2.3</v>
      </c>
      <c r="G47" s="47">
        <v>2.0</v>
      </c>
      <c r="H47" s="48"/>
      <c r="I47" s="48">
        <f t="shared" si="1"/>
        <v>9.3</v>
      </c>
      <c r="J47" s="44"/>
      <c r="K47" s="49">
        <f t="shared" si="2"/>
        <v>9</v>
      </c>
      <c r="L47" s="44"/>
      <c r="M47" s="50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474</v>
      </c>
      <c r="C48" s="45" t="s">
        <v>168</v>
      </c>
      <c r="D48" s="46" t="s">
        <v>475</v>
      </c>
      <c r="E48" s="47">
        <v>4.7</v>
      </c>
      <c r="F48" s="47">
        <v>1.5</v>
      </c>
      <c r="G48" s="47">
        <v>0.0</v>
      </c>
      <c r="H48" s="48"/>
      <c r="I48" s="48">
        <f t="shared" si="1"/>
        <v>6.2</v>
      </c>
      <c r="J48" s="44"/>
      <c r="K48" s="49">
        <f t="shared" si="2"/>
        <v>6</v>
      </c>
      <c r="L48" s="44"/>
      <c r="M48" s="50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216</v>
      </c>
      <c r="C49" s="45" t="s">
        <v>330</v>
      </c>
      <c r="D49" s="46" t="s">
        <v>476</v>
      </c>
      <c r="E49" s="47">
        <v>5.0</v>
      </c>
      <c r="F49" s="47">
        <v>1.1</v>
      </c>
      <c r="G49" s="47">
        <v>2.0</v>
      </c>
      <c r="H49" s="48"/>
      <c r="I49" s="48">
        <f t="shared" si="1"/>
        <v>8.1</v>
      </c>
      <c r="J49" s="44"/>
      <c r="K49" s="49">
        <f t="shared" si="2"/>
        <v>8</v>
      </c>
      <c r="L49" s="44"/>
      <c r="M49" s="50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56</v>
      </c>
      <c r="C50" s="45" t="s">
        <v>248</v>
      </c>
      <c r="D50" s="46" t="s">
        <v>477</v>
      </c>
      <c r="E50" s="47">
        <v>2.9</v>
      </c>
      <c r="F50" s="47">
        <v>1.1</v>
      </c>
      <c r="G50" s="47">
        <v>2.0</v>
      </c>
      <c r="H50" s="48"/>
      <c r="I50" s="48">
        <f t="shared" si="1"/>
        <v>6</v>
      </c>
      <c r="J50" s="44"/>
      <c r="K50" s="49">
        <f t="shared" si="2"/>
        <v>6</v>
      </c>
      <c r="L50" s="44"/>
      <c r="M50" s="50">
        <f t="shared" si="3"/>
        <v>6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56</v>
      </c>
      <c r="C51" s="45" t="s">
        <v>185</v>
      </c>
      <c r="D51" s="46" t="s">
        <v>478</v>
      </c>
      <c r="E51" s="47">
        <v>4.9</v>
      </c>
      <c r="F51" s="47">
        <v>2.1</v>
      </c>
      <c r="G51" s="47">
        <v>2.0</v>
      </c>
      <c r="H51" s="48"/>
      <c r="I51" s="48">
        <f t="shared" si="1"/>
        <v>9</v>
      </c>
      <c r="J51" s="44"/>
      <c r="K51" s="49">
        <f t="shared" si="2"/>
        <v>9</v>
      </c>
      <c r="L51" s="44"/>
      <c r="M51" s="50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101</v>
      </c>
      <c r="C52" s="45" t="s">
        <v>479</v>
      </c>
      <c r="D52" s="46" t="s">
        <v>480</v>
      </c>
      <c r="E52" s="48"/>
      <c r="F52" s="48"/>
      <c r="G52" s="48"/>
      <c r="H52" s="48"/>
      <c r="I52" s="48">
        <f t="shared" si="1"/>
        <v>0</v>
      </c>
      <c r="J52" s="44"/>
      <c r="K52" s="49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481</v>
      </c>
      <c r="C53" s="45" t="s">
        <v>482</v>
      </c>
      <c r="D53" s="46" t="s">
        <v>483</v>
      </c>
      <c r="E53" s="47">
        <v>4.8</v>
      </c>
      <c r="F53" s="47">
        <v>2.0</v>
      </c>
      <c r="G53" s="47">
        <v>2.0</v>
      </c>
      <c r="H53" s="48"/>
      <c r="I53" s="48">
        <f t="shared" si="1"/>
        <v>8.8</v>
      </c>
      <c r="J53" s="48"/>
      <c r="K53" s="49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484</v>
      </c>
      <c r="C54" s="45" t="s">
        <v>485</v>
      </c>
      <c r="D54" s="46" t="s">
        <v>360</v>
      </c>
      <c r="E54" s="47">
        <v>4.0</v>
      </c>
      <c r="F54" s="47">
        <v>0.9</v>
      </c>
      <c r="G54" s="47">
        <v>2.0</v>
      </c>
      <c r="H54" s="48"/>
      <c r="I54" s="48">
        <f t="shared" si="1"/>
        <v>6.9</v>
      </c>
      <c r="J54" s="47">
        <v>1.0</v>
      </c>
      <c r="K54" s="49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312</v>
      </c>
      <c r="C55" s="45" t="s">
        <v>168</v>
      </c>
      <c r="D55" s="46" t="s">
        <v>486</v>
      </c>
      <c r="E55" s="47">
        <v>5.0</v>
      </c>
      <c r="F55" s="47">
        <v>0.4</v>
      </c>
      <c r="G55" s="47">
        <v>2.0</v>
      </c>
      <c r="H55" s="47">
        <v>1.0</v>
      </c>
      <c r="I55" s="48">
        <f t="shared" si="1"/>
        <v>8.4</v>
      </c>
      <c r="J55" s="46"/>
      <c r="K55" s="49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312</v>
      </c>
      <c r="C56" s="45" t="s">
        <v>101</v>
      </c>
      <c r="D56" s="45" t="s">
        <v>487</v>
      </c>
      <c r="E56" s="47">
        <v>4.9</v>
      </c>
      <c r="F56" s="47">
        <v>1.7</v>
      </c>
      <c r="G56" s="47">
        <v>2.0</v>
      </c>
      <c r="H56" s="47">
        <v>1.0</v>
      </c>
      <c r="I56" s="48">
        <f t="shared" si="1"/>
        <v>9.6</v>
      </c>
      <c r="J56" s="46"/>
      <c r="K56" s="49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488</v>
      </c>
      <c r="C57" s="45" t="s">
        <v>73</v>
      </c>
      <c r="D57" s="45" t="s">
        <v>435</v>
      </c>
      <c r="E57" s="47">
        <v>4.9</v>
      </c>
      <c r="F57" s="47">
        <v>2.8</v>
      </c>
      <c r="G57" s="47">
        <v>2.0</v>
      </c>
      <c r="H57" s="48"/>
      <c r="I57" s="48">
        <f t="shared" si="1"/>
        <v>9.7</v>
      </c>
      <c r="J57" s="48"/>
      <c r="K57" s="49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218</v>
      </c>
      <c r="C58" s="45" t="s">
        <v>489</v>
      </c>
      <c r="D58" s="108" t="s">
        <v>490</v>
      </c>
      <c r="E58" s="47">
        <v>4.0</v>
      </c>
      <c r="F58" s="47">
        <v>2.6</v>
      </c>
      <c r="G58" s="47">
        <v>2.0</v>
      </c>
      <c r="H58" s="48"/>
      <c r="I58" s="48">
        <f t="shared" si="1"/>
        <v>8.6</v>
      </c>
      <c r="J58" s="48"/>
      <c r="K58" s="49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491</v>
      </c>
      <c r="C59" s="45" t="s">
        <v>40</v>
      </c>
      <c r="D59" s="108" t="s">
        <v>492</v>
      </c>
      <c r="E59" s="47">
        <v>5.0</v>
      </c>
      <c r="F59" s="47">
        <v>1.9</v>
      </c>
      <c r="G59" s="47">
        <v>2.0</v>
      </c>
      <c r="H59" s="48"/>
      <c r="I59" s="48">
        <f t="shared" si="1"/>
        <v>8.9</v>
      </c>
      <c r="J59" s="48"/>
      <c r="K59" s="49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493</v>
      </c>
      <c r="C60" s="45" t="s">
        <v>101</v>
      </c>
      <c r="D60" s="45" t="s">
        <v>494</v>
      </c>
      <c r="E60" s="47">
        <v>4.9</v>
      </c>
      <c r="F60" s="47">
        <v>2.6</v>
      </c>
      <c r="G60" s="47">
        <v>2.0</v>
      </c>
      <c r="H60" s="48"/>
      <c r="I60" s="48">
        <f t="shared" si="1"/>
        <v>9.5</v>
      </c>
      <c r="J60" s="48"/>
      <c r="K60" s="49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495</v>
      </c>
      <c r="C61" s="45" t="s">
        <v>257</v>
      </c>
      <c r="D61" s="45" t="s">
        <v>496</v>
      </c>
      <c r="E61" s="47">
        <v>5.0</v>
      </c>
      <c r="F61" s="47">
        <v>2.6</v>
      </c>
      <c r="G61" s="47">
        <v>2.0</v>
      </c>
      <c r="H61" s="48"/>
      <c r="I61" s="48">
        <f t="shared" si="1"/>
        <v>9.6</v>
      </c>
      <c r="J61" s="48"/>
      <c r="K61" s="49">
        <f t="shared" si="2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497</v>
      </c>
      <c r="C62" s="45" t="s">
        <v>498</v>
      </c>
      <c r="D62" s="45" t="s">
        <v>499</v>
      </c>
      <c r="E62" s="47">
        <v>1.0</v>
      </c>
      <c r="F62" s="47">
        <v>2.8</v>
      </c>
      <c r="G62" s="47">
        <v>0.0</v>
      </c>
      <c r="H62" s="48"/>
      <c r="I62" s="48">
        <f t="shared" si="1"/>
        <v>3.8</v>
      </c>
      <c r="J62" s="47">
        <v>2.0</v>
      </c>
      <c r="K62" s="49">
        <f t="shared" si="2"/>
        <v>5</v>
      </c>
      <c r="L62" s="44"/>
      <c r="M62" s="54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500</v>
      </c>
      <c r="C63" s="45" t="s">
        <v>257</v>
      </c>
      <c r="D63" s="45" t="s">
        <v>501</v>
      </c>
      <c r="E63" s="47">
        <v>3.3</v>
      </c>
      <c r="F63" s="47">
        <v>1.5</v>
      </c>
      <c r="G63" s="47">
        <v>2.0</v>
      </c>
      <c r="H63" s="48"/>
      <c r="I63" s="48">
        <f t="shared" si="1"/>
        <v>6.8</v>
      </c>
      <c r="J63" s="48"/>
      <c r="K63" s="49">
        <f t="shared" si="2"/>
        <v>7</v>
      </c>
      <c r="L63" s="44"/>
      <c r="M63" s="54"/>
      <c r="N63" s="1"/>
      <c r="O63" s="1"/>
      <c r="P63" s="2"/>
      <c r="Q63" s="2"/>
      <c r="R63" s="2"/>
    </row>
    <row r="64" ht="24.75" customHeight="1">
      <c r="A64" s="6"/>
      <c r="B64" s="54"/>
      <c r="C64" s="54"/>
      <c r="D64" s="98"/>
      <c r="E64" s="55"/>
      <c r="F64" s="55"/>
      <c r="G64" s="55"/>
      <c r="H64" s="55"/>
      <c r="I64" s="55"/>
      <c r="J64" s="55"/>
      <c r="K64" s="54"/>
      <c r="L64" s="7"/>
      <c r="M64" s="54"/>
      <c r="N64" s="1"/>
      <c r="O64" s="1"/>
      <c r="P64" s="2"/>
      <c r="Q64" s="2"/>
      <c r="R64" s="2"/>
    </row>
    <row r="65" ht="24.75" customHeight="1">
      <c r="A65" s="1"/>
      <c r="B65" s="56" t="s">
        <v>126</v>
      </c>
      <c r="C65" s="57"/>
      <c r="D65" s="99">
        <f>COUNT(A17:A63)</f>
        <v>47</v>
      </c>
      <c r="E65" s="55"/>
      <c r="F65" s="55"/>
      <c r="G65" s="59" t="s">
        <v>127</v>
      </c>
      <c r="H65" s="55"/>
      <c r="I65" s="59" t="s">
        <v>128</v>
      </c>
      <c r="K65" s="60" t="s">
        <v>129</v>
      </c>
      <c r="L65" s="61" t="s">
        <v>130</v>
      </c>
      <c r="M65" s="54"/>
      <c r="N65" s="1"/>
      <c r="O65" s="1"/>
      <c r="P65" s="2"/>
      <c r="Q65" s="2"/>
      <c r="R65" s="2"/>
    </row>
    <row r="66" ht="24.75" customHeight="1">
      <c r="A66" s="1"/>
      <c r="B66" s="62" t="s">
        <v>131</v>
      </c>
      <c r="C66" s="63"/>
      <c r="D66" s="124">
        <f>COUNTIF(K17:K63,"BAJA")</f>
        <v>0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132</v>
      </c>
      <c r="C67" s="63"/>
      <c r="D67" s="66">
        <f>D65-D66</f>
        <v>47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133</v>
      </c>
      <c r="C68" s="63"/>
      <c r="D68" s="66">
        <f>COUNTIF(K17:K63,"&gt;=6")</f>
        <v>42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134</v>
      </c>
      <c r="C69" s="63"/>
      <c r="D69" s="66">
        <f>D67-D68</f>
        <v>5</v>
      </c>
      <c r="E69" s="55"/>
      <c r="F69" s="55"/>
      <c r="G69" s="67"/>
      <c r="H69" s="55"/>
      <c r="I69" s="67"/>
      <c r="J69" s="67"/>
      <c r="K69" s="68"/>
      <c r="L69" s="69"/>
      <c r="M69" s="54"/>
      <c r="N69" s="1"/>
      <c r="O69" s="1"/>
      <c r="P69" s="2"/>
      <c r="Q69" s="2"/>
      <c r="R69" s="2"/>
    </row>
    <row r="70" ht="36.0" customHeight="1">
      <c r="A70" s="1"/>
      <c r="B70" s="62" t="s">
        <v>135</v>
      </c>
      <c r="C70" s="63"/>
      <c r="D70" s="70">
        <f>D68*100/D67</f>
        <v>89.36170213</v>
      </c>
      <c r="E70" s="55"/>
      <c r="F70" s="55"/>
      <c r="G70" s="71" t="s">
        <v>136</v>
      </c>
      <c r="H70" s="55"/>
      <c r="I70" s="72" t="s">
        <v>328</v>
      </c>
      <c r="K70" s="73" t="s">
        <v>138</v>
      </c>
      <c r="L70" s="74" t="s">
        <v>139</v>
      </c>
      <c r="M70" s="54"/>
      <c r="N70" s="1"/>
      <c r="O70" s="1"/>
      <c r="P70" s="2"/>
      <c r="Q70" s="2"/>
      <c r="R70" s="2"/>
    </row>
    <row r="71" ht="24.75" customHeight="1">
      <c r="A71" s="1"/>
      <c r="B71" s="75" t="s">
        <v>140</v>
      </c>
      <c r="C71" s="76"/>
      <c r="D71" s="77">
        <f>AVERAGE(K17:K63)</f>
        <v>8.276595745</v>
      </c>
      <c r="E71" s="55"/>
      <c r="F71" s="55"/>
      <c r="H71" s="55"/>
      <c r="L71" s="9"/>
      <c r="M71" s="54"/>
      <c r="N71" s="1"/>
      <c r="O71" s="1"/>
      <c r="P71" s="2"/>
      <c r="Q71" s="2"/>
      <c r="R71" s="2"/>
    </row>
    <row r="72" ht="21.75" customHeight="1">
      <c r="A72" s="112"/>
      <c r="B72" s="103"/>
      <c r="C72" s="103"/>
      <c r="D72" s="101"/>
      <c r="E72" s="2"/>
      <c r="F72" s="2"/>
      <c r="G72" s="2"/>
      <c r="H72" s="2"/>
      <c r="I72" s="80"/>
      <c r="J72" s="80"/>
      <c r="K72" s="79"/>
      <c r="L72" s="81"/>
      <c r="M72" s="2"/>
      <c r="N72" s="2"/>
      <c r="O72" s="2"/>
      <c r="P72" s="2"/>
      <c r="Q72" s="2"/>
      <c r="R72" s="2"/>
    </row>
    <row r="73" ht="21.75" customHeight="1">
      <c r="A73" s="113"/>
      <c r="B73" s="114"/>
      <c r="C73" s="115"/>
      <c r="D73" s="115"/>
      <c r="E73" s="107"/>
      <c r="H73" s="107"/>
      <c r="I73" s="107"/>
      <c r="J73" s="107"/>
      <c r="K73" s="107"/>
      <c r="L73" s="87"/>
      <c r="M73" s="107"/>
      <c r="N73" s="2"/>
      <c r="O73" s="2"/>
      <c r="P73" s="2"/>
      <c r="Q73" s="2"/>
      <c r="R73" s="2"/>
    </row>
    <row r="74" ht="21.75" customHeight="1">
      <c r="A74" s="117"/>
      <c r="B74" s="107"/>
      <c r="C74" s="107"/>
      <c r="D74" s="107"/>
      <c r="E74" s="107"/>
      <c r="F74" s="107"/>
      <c r="G74" s="2"/>
      <c r="H74" s="2"/>
      <c r="I74" s="2"/>
      <c r="J74" s="2"/>
      <c r="K74" s="2"/>
      <c r="L74" s="118"/>
      <c r="M74" s="2"/>
      <c r="N74" s="2"/>
      <c r="O74" s="2"/>
      <c r="P74" s="2"/>
      <c r="Q74" s="2"/>
      <c r="R74" s="2"/>
    </row>
    <row r="75" ht="21.75" customHeight="1">
      <c r="A75" s="117"/>
      <c r="B75" s="107"/>
      <c r="C75" s="107"/>
      <c r="D75" s="86"/>
      <c r="E75" s="107"/>
      <c r="F75" s="107"/>
      <c r="G75" s="2"/>
      <c r="H75" s="2"/>
      <c r="I75" s="2"/>
      <c r="J75" s="2"/>
      <c r="K75" s="2"/>
      <c r="L75" s="81"/>
      <c r="M75" s="2"/>
      <c r="N75" s="2"/>
      <c r="O75" s="2"/>
      <c r="P75" s="2"/>
      <c r="Q75" s="2"/>
      <c r="R75" s="2"/>
    </row>
    <row r="76" ht="21.75" customHeight="1">
      <c r="A76" s="119"/>
      <c r="B76" s="120"/>
      <c r="C76" s="120"/>
      <c r="D76" s="90"/>
      <c r="E76" s="120"/>
      <c r="F76" s="120"/>
      <c r="G76" s="122"/>
      <c r="H76" s="122"/>
      <c r="I76" s="122"/>
      <c r="J76" s="122"/>
      <c r="K76" s="122"/>
      <c r="L76" s="105"/>
      <c r="M76" s="2"/>
      <c r="N76" s="2"/>
      <c r="O76" s="2"/>
      <c r="P76" s="2"/>
      <c r="Q76" s="2"/>
      <c r="R76" s="2"/>
    </row>
    <row r="77" ht="27.75" customHeight="1">
      <c r="A77" s="106"/>
      <c r="B77" s="107"/>
      <c r="C77" s="107"/>
      <c r="D77" s="86"/>
      <c r="E77" s="107"/>
      <c r="F77" s="107"/>
      <c r="G77" s="103"/>
      <c r="H77" s="2"/>
      <c r="I77" s="103"/>
      <c r="J77" s="103"/>
      <c r="K77" s="123"/>
      <c r="L77" s="96"/>
      <c r="M77" s="97"/>
      <c r="N77" s="2"/>
      <c r="O77" s="2"/>
      <c r="P77" s="2"/>
      <c r="Q77" s="2"/>
      <c r="R77" s="2"/>
    </row>
    <row r="78" ht="21.75" customHeight="1">
      <c r="A78" s="106"/>
      <c r="B78" s="102"/>
      <c r="C78" s="102"/>
      <c r="D78" s="95"/>
      <c r="E78" s="107"/>
      <c r="F78" s="107"/>
      <c r="G78" s="103"/>
      <c r="H78" s="2"/>
      <c r="I78" s="103"/>
      <c r="J78" s="103"/>
      <c r="K78" s="123"/>
      <c r="L78" s="123"/>
      <c r="M78" s="97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2906735751295337" right="0.1968503937007874" top="0.1968503937007874"/>
  <pageSetup scale="41" orientation="portrait"/>
  <drawing r:id="rId1"/>
</worksheet>
</file>