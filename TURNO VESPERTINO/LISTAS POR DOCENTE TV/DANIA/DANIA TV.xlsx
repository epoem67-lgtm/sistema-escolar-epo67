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sociales ii" sheetId="1" r:id="rId5"/>
    <sheet state="visible" name="1-2 ciencias sociales ii" sheetId="2" r:id="rId6"/>
    <sheet state="visible" name="2-3 ciencias sociales iii" sheetId="3" r:id="rId7"/>
  </sheets>
  <definedNames/>
  <calcPr/>
</workbook>
</file>

<file path=xl/sharedStrings.xml><?xml version="1.0" encoding="utf-8"?>
<sst xmlns="http://schemas.openxmlformats.org/spreadsheetml/2006/main" count="515" uniqueCount="316">
  <si>
    <t>ESCUELA PREPARATORIA OFICIAL NÚM. 67</t>
  </si>
  <si>
    <t xml:space="preserve">CONTROL PRIMER PARCIAL </t>
  </si>
  <si>
    <t xml:space="preserve">PROFESOR (A): </t>
  </si>
  <si>
    <t>DANA CANO NAVARRETE</t>
  </si>
  <si>
    <t>I</t>
  </si>
  <si>
    <t>II</t>
  </si>
  <si>
    <t>III</t>
  </si>
  <si>
    <t>PUNTAJE EXTRA</t>
  </si>
  <si>
    <t>SEGUNDO SEMESTRE
VESPERTINO</t>
  </si>
  <si>
    <t>UAC</t>
  </si>
  <si>
    <t>CIENCIAS SOCIALES II</t>
  </si>
  <si>
    <t>Evaluación continua 50%</t>
  </si>
  <si>
    <t>Portafolio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</si>
  <si>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</si>
  <si>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</si>
  <si>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</si>
  <si>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</si>
  <si>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</si>
  <si>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</si>
  <si>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</si>
  <si>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</si>
  <si>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</si>
  <si>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</si>
  <si>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</si>
  <si>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</si>
  <si>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</si>
  <si>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</si>
  <si>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</si>
  <si>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</si>
  <si>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</si>
  <si>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</si>
  <si>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</si>
  <si>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</si>
  <si>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</si>
  <si>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</si>
  <si>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</si>
  <si>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</si>
  <si>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</si>
  <si>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</si>
  <si>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</si>
  <si>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</si>
  <si>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</si>
  <si>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</si>
  <si>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</si>
  <si>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</si>
  <si>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</si>
  <si>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</si>
  <si>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</si>
  <si>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</si>
  <si>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</si>
  <si>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</si>
  <si>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</si>
  <si>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</si>
  <si>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</si>
  <si>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</si>
  <si>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</si>
  <si>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</si>
  <si>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</si>
  <si>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</si>
  <si>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</si>
  <si>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</si>
  <si>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</si>
  <si>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</si>
  <si>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</si>
  <si>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</si>
  <si>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</si>
  <si>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</si>
  <si>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</si>
  <si>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</si>
  <si>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</si>
  <si>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</si>
  <si>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</si>
  <si>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</si>
  <si>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</si>
  <si>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</si>
  <si>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</si>
  <si>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</si>
  <si>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</si>
  <si>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</si>
  <si>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</si>
  <si>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</si>
  <si>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</si>
  <si>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</si>
  <si>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</si>
  <si>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</si>
  <si>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</si>
  <si>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</si>
  <si>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</si>
  <si>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</si>
  <si>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</si>
  <si>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</si>
  <si>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</si>
  <si>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</si>
  <si>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</si>
  <si>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</si>
  <si>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</si>
  <si>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</si>
  <si>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</si>
  <si>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</si>
  <si>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</si>
  <si>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</si>
  <si>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</si>
  <si>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</si>
  <si>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</si>
  <si>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</si>
  <si>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</si>
  <si>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</si>
  <si>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</si>
  <si>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</si>
  <si>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</si>
  <si>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</si>
  <si>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</si>
  <si>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</si>
  <si>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</si>
  <si>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</si>
  <si>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</si>
  <si>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</si>
  <si>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</si>
  <si>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</si>
  <si>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</si>
  <si>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</si>
  <si>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</si>
  <si>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</si>
  <si>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</si>
  <si>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</si>
  <si>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</si>
  <si>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</si>
  <si>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</si>
  <si>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</si>
  <si>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</si>
  <si>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</si>
  <si>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</si>
  <si>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</si>
  <si>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</si>
  <si>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</si>
  <si>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</si>
  <si>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</si>
  <si>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</si>
  <si>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</si>
  <si>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</si>
  <si>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</si>
  <si>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</si>
  <si>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</si>
  <si>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</si>
  <si>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</si>
  <si>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DANIA CANO NAVARRETE</t>
  </si>
  <si>
    <t>PROFRA. LAURITA MARTÍNEZ</t>
  </si>
  <si>
    <t>PROFR. OCTAVIO VÁZQUEZ BARRETO</t>
  </si>
  <si>
    <t xml:space="preserve">PROFR. ROBERTO PALOMARES MEJÍA </t>
  </si>
  <si>
    <t>PROMEDIO</t>
  </si>
  <si>
    <t>DANIA CANO NAVARRETE</t>
  </si>
  <si>
    <t>Portafolio 30%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</si>
  <si>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</si>
  <si>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</si>
  <si>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</si>
  <si>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</si>
  <si>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</si>
  <si>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</si>
  <si>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</si>
  <si>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</si>
  <si>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</si>
  <si>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</si>
  <si>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</si>
  <si>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</si>
  <si>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</si>
  <si>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</si>
  <si>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</si>
  <si>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</si>
  <si>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</si>
  <si>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</si>
  <si>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</si>
  <si>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</si>
  <si>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</si>
  <si>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</si>
  <si>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</si>
  <si>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</si>
  <si>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</si>
  <si>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</si>
  <si>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</si>
  <si>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</si>
  <si>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</si>
  <si>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</si>
  <si>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</si>
  <si>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</si>
  <si>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</si>
  <si>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</si>
  <si>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</si>
  <si>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</si>
  <si>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</si>
  <si>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</si>
  <si>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</si>
  <si>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</si>
  <si>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</si>
  <si>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</si>
  <si>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</si>
  <si>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</si>
  <si>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</si>
  <si>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</si>
  <si>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</si>
  <si>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</si>
  <si>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</si>
  <si>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</si>
  <si>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</si>
  <si>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</si>
  <si>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</si>
  <si>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</si>
  <si>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</si>
  <si>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</si>
  <si>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</si>
  <si>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</si>
  <si>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</si>
  <si>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</si>
  <si>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</si>
  <si>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</si>
  <si>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</si>
  <si>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</si>
  <si>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</si>
  <si>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</si>
  <si>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</si>
  <si>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</si>
  <si>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</si>
  <si>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</si>
  <si>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</si>
  <si>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</si>
  <si>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</si>
  <si>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</si>
  <si>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</si>
  <si>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</si>
  <si>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</si>
  <si>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</si>
  <si>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</si>
  <si>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</si>
  <si>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</si>
  <si>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</si>
  <si>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</si>
  <si>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</si>
  <si>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</si>
  <si>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</si>
  <si>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CUARTO SEMESTRE
VESPERTINO</t>
  </si>
  <si>
    <t>CIENCIAS SOCIALES</t>
  </si>
  <si>
    <t>Proyecto 30%</t>
  </si>
  <si>
    <t>2°</t>
  </si>
  <si>
    <t>CALZADA</t>
  </si>
  <si>
    <t>ANDRE SEBASTIAN</t>
  </si>
  <si>
    <t>CERON</t>
  </si>
  <si>
    <t>ERICK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</si>
  <si>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</si>
  <si>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</si>
  <si>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</si>
  <si>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</si>
  <si>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</si>
  <si>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</si>
  <si>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</si>
  <si>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</si>
  <si>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</si>
  <si>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</si>
  <si>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</si>
  <si>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</si>
  <si>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</si>
  <si>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VILLANUEVA</t>
  </si>
  <si>
    <t>MEREDITH SOFIA</t>
  </si>
  <si>
    <t>GUZMAN</t>
  </si>
  <si>
    <t>AXEL GAEL</t>
  </si>
  <si>
    <t>ANDREA SALIM</t>
  </si>
  <si>
    <t>KRAULLES</t>
  </si>
  <si>
    <t>JOSE ALBERTO</t>
  </si>
  <si>
    <t>AXEL KHOTAN</t>
  </si>
  <si>
    <t>JUAREZ</t>
  </si>
  <si>
    <t>RODRIGO</t>
  </si>
  <si>
    <t>LAGUNAS</t>
  </si>
  <si>
    <t>VALDERRAMA</t>
  </si>
  <si>
    <t>DAVID ADRIAN</t>
  </si>
  <si>
    <t>GENESIS AURORA</t>
  </si>
  <si>
    <t>ANNETTE PAOLA</t>
  </si>
  <si>
    <t>CESAR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</si>
  <si>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</si>
  <si>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</si>
  <si>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</si>
  <si>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</si>
  <si>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</si>
  <si>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</si>
  <si>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</si>
  <si>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</si>
  <si>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</si>
  <si>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</si>
  <si>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NAVARRETE</t>
  </si>
  <si>
    <t>BAUTISTA</t>
  </si>
  <si>
    <t>LESLIE JAZMIN</t>
  </si>
  <si>
    <t>BERMEO</t>
  </si>
  <si>
    <t>OSCAR EMILIANO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</si>
  <si>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</si>
  <si>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</si>
  <si>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</si>
  <si>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</si>
  <si>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</si>
  <si>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</si>
  <si>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</si>
  <si>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</si>
  <si>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</si>
  <si>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</si>
  <si>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</si>
  <si>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</si>
  <si>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</si>
  <si>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</si>
  <si>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</si>
  <si>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</si>
  <si>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</si>
  <si>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</si>
  <si>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</si>
  <si>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</si>
  <si>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MARQUEZ</t>
  </si>
  <si>
    <t>DANIELA</t>
  </si>
  <si>
    <t>ZAYAS</t>
  </si>
  <si>
    <t>JESUS RAFAEL</t>
  </si>
  <si>
    <t>FIRMA DEL PROFESOR: DANIA CANO NAVARRETE</t>
  </si>
  <si>
    <t xml:space="preserve">PROFR.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</si>
</sst>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2" numFmtId="2" xfId="0" applyAlignment="1" applyFont="1" applyNumberFormat="1">
      <alignment vertical="bottom"/>
    </xf>
    <xf borderId="43" fillId="0" fontId="2" numFmtId="2" xfId="0" applyBorder="1" applyFont="1" applyNumberFormat="1"/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12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5.0</v>
      </c>
      <c r="F17" s="48">
        <v>3.0</v>
      </c>
      <c r="G17" s="48">
        <v>2.0</v>
      </c>
      <c r="H17" s="49"/>
      <c r="I17" s="49">
        <f t="shared" ref="I17:I58" si="1">SUM(E17:H17)</f>
        <v>10</v>
      </c>
      <c r="J17" s="50">
        <v>0.0</v>
      </c>
      <c r="K17" s="51">
        <f t="shared" ref="K17:K58" si="2">IF(I17 &lt; 6, 5, MIN(ROUND(I17, 0), 10))</f>
        <v>10</v>
      </c>
      <c r="L17" s="46"/>
      <c r="M17" s="52">
        <f t="shared" ref="M17:M58" si="3">IF(I17&gt;=6,ROUND(I17,0),TRUNC(I17,0))</f>
        <v>10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4.0</v>
      </c>
      <c r="F18" s="48">
        <v>2.0</v>
      </c>
      <c r="G18" s="48">
        <v>2.0</v>
      </c>
      <c r="H18" s="49"/>
      <c r="I18" s="49">
        <f t="shared" si="1"/>
        <v>8</v>
      </c>
      <c r="J18" s="50">
        <v>2.0</v>
      </c>
      <c r="K18" s="51">
        <f t="shared" si="2"/>
        <v>8</v>
      </c>
      <c r="L18" s="45"/>
      <c r="M18" s="52">
        <f t="shared" si="3"/>
        <v>8</v>
      </c>
      <c r="N18" s="54" t="s">
        <v>30</v>
      </c>
      <c r="O18" s="45"/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1.0</v>
      </c>
      <c r="F19" s="48">
        <v>1.0</v>
      </c>
      <c r="G19" s="48">
        <v>0.0</v>
      </c>
      <c r="H19" s="49"/>
      <c r="I19" s="49">
        <f t="shared" si="1"/>
        <v>2</v>
      </c>
      <c r="J19" s="50">
        <v>2.0</v>
      </c>
      <c r="K19" s="51">
        <f t="shared" si="2"/>
        <v>5</v>
      </c>
      <c r="L19" s="45"/>
      <c r="M19" s="52">
        <f t="shared" si="3"/>
        <v>2</v>
      </c>
      <c r="N19" s="54" t="s">
        <v>34</v>
      </c>
      <c r="O19" s="45"/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25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38</v>
      </c>
      <c r="C21" s="46" t="s">
        <v>39</v>
      </c>
      <c r="D21" s="47" t="s">
        <v>40</v>
      </c>
      <c r="E21" s="48">
        <v>4.0</v>
      </c>
      <c r="F21" s="48">
        <v>2.0</v>
      </c>
      <c r="G21" s="48">
        <v>1.0</v>
      </c>
      <c r="H21" s="49"/>
      <c r="I21" s="49">
        <f t="shared" si="1"/>
        <v>7</v>
      </c>
      <c r="J21" s="50">
        <v>2.0</v>
      </c>
      <c r="K21" s="51">
        <f t="shared" si="2"/>
        <v>7</v>
      </c>
      <c r="L21" s="45"/>
      <c r="M21" s="52">
        <f t="shared" si="3"/>
        <v>7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38</v>
      </c>
      <c r="C22" s="46" t="s">
        <v>42</v>
      </c>
      <c r="D22" s="47" t="s">
        <v>43</v>
      </c>
      <c r="E22" s="48">
        <v>5.0</v>
      </c>
      <c r="F22" s="48">
        <v>3.0</v>
      </c>
      <c r="G22" s="48">
        <v>2.0</v>
      </c>
      <c r="H22" s="49"/>
      <c r="I22" s="49">
        <f t="shared" si="1"/>
        <v>10</v>
      </c>
      <c r="J22" s="50">
        <v>2.0</v>
      </c>
      <c r="K22" s="51">
        <f t="shared" si="2"/>
        <v>10</v>
      </c>
      <c r="L22" s="45"/>
      <c r="M22" s="52">
        <f t="shared" si="3"/>
        <v>10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45</v>
      </c>
      <c r="C23" s="46" t="s">
        <v>46</v>
      </c>
      <c r="D23" s="47" t="s">
        <v>47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2.0</v>
      </c>
      <c r="K23" s="51">
        <f t="shared" si="2"/>
        <v>10</v>
      </c>
      <c r="L23" s="45"/>
      <c r="M23" s="52">
        <f t="shared" si="3"/>
        <v>10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49</v>
      </c>
      <c r="C24" s="46" t="s">
        <v>50</v>
      </c>
      <c r="D24" s="47" t="s">
        <v>51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52</v>
      </c>
      <c r="O24" s="54">
        <f>SUM(O18:O23)</f>
        <v>0</v>
      </c>
      <c r="P24" s="2"/>
      <c r="Q24" s="2"/>
      <c r="R24" s="2"/>
    </row>
    <row r="25" ht="24.75" customHeight="1">
      <c r="A25" s="45">
        <v>9.0</v>
      </c>
      <c r="B25" s="46" t="s">
        <v>53</v>
      </c>
      <c r="C25" s="46" t="s">
        <v>54</v>
      </c>
      <c r="D25" s="47" t="s">
        <v>55</v>
      </c>
      <c r="E25" s="48">
        <v>4.0</v>
      </c>
      <c r="F25" s="48">
        <v>2.0</v>
      </c>
      <c r="G25" s="48">
        <v>2.0</v>
      </c>
      <c r="H25" s="49"/>
      <c r="I25" s="49">
        <f t="shared" si="1"/>
        <v>8</v>
      </c>
      <c r="J25" s="50">
        <v>2.0</v>
      </c>
      <c r="K25" s="51">
        <f t="shared" si="2"/>
        <v>8</v>
      </c>
      <c r="L25" s="45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56</v>
      </c>
      <c r="C26" s="46" t="s">
        <v>56</v>
      </c>
      <c r="D26" s="47" t="s">
        <v>57</v>
      </c>
      <c r="E26" s="48">
        <v>5.0</v>
      </c>
      <c r="F26" s="48">
        <v>3.0</v>
      </c>
      <c r="G26" s="48">
        <v>2.0</v>
      </c>
      <c r="H26" s="49"/>
      <c r="I26" s="49">
        <f t="shared" si="1"/>
        <v>10</v>
      </c>
      <c r="J26" s="50">
        <v>0.0</v>
      </c>
      <c r="K26" s="51">
        <f t="shared" si="2"/>
        <v>10</v>
      </c>
      <c r="L26" s="45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58</v>
      </c>
      <c r="C27" s="46" t="s">
        <v>24</v>
      </c>
      <c r="D27" s="46" t="s">
        <v>59</v>
      </c>
      <c r="E27" s="48">
        <v>4.0</v>
      </c>
      <c r="F27" s="48">
        <v>3.0</v>
      </c>
      <c r="G27" s="48">
        <v>2.0</v>
      </c>
      <c r="H27" s="49"/>
      <c r="I27" s="49">
        <f t="shared" si="1"/>
        <v>9</v>
      </c>
      <c r="J27" s="50">
        <v>0.0</v>
      </c>
      <c r="K27" s="51">
        <f t="shared" si="2"/>
        <v>9</v>
      </c>
      <c r="L27" s="45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60</v>
      </c>
      <c r="C28" s="46" t="s">
        <v>61</v>
      </c>
      <c r="D28" s="47" t="s">
        <v>62</v>
      </c>
      <c r="E28" s="48">
        <v>4.0</v>
      </c>
      <c r="F28" s="48">
        <v>3.0</v>
      </c>
      <c r="G28" s="48">
        <v>2.0</v>
      </c>
      <c r="H28" s="49"/>
      <c r="I28" s="49">
        <f t="shared" si="1"/>
        <v>9</v>
      </c>
      <c r="J28" s="50">
        <v>2.0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63</v>
      </c>
      <c r="C29" s="46" t="s">
        <v>64</v>
      </c>
      <c r="D29" s="47" t="s">
        <v>65</v>
      </c>
      <c r="E29" s="48">
        <v>4.0</v>
      </c>
      <c r="F29" s="48">
        <v>3.0</v>
      </c>
      <c r="G29" s="48">
        <v>2.0</v>
      </c>
      <c r="H29" s="49"/>
      <c r="I29" s="49">
        <f t="shared" si="1"/>
        <v>9</v>
      </c>
      <c r="J29" s="50">
        <v>2.0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66</v>
      </c>
      <c r="C30" s="46" t="s">
        <v>67</v>
      </c>
      <c r="D30" s="47" t="s">
        <v>68</v>
      </c>
      <c r="E30" s="48">
        <v>4.0</v>
      </c>
      <c r="F30" s="48">
        <v>2.0</v>
      </c>
      <c r="G30" s="48">
        <v>2.0</v>
      </c>
      <c r="H30" s="49"/>
      <c r="I30" s="49">
        <f t="shared" si="1"/>
        <v>8</v>
      </c>
      <c r="J30" s="50">
        <v>0.0</v>
      </c>
      <c r="K30" s="51">
        <f t="shared" si="2"/>
        <v>8</v>
      </c>
      <c r="L30" s="45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4.0</v>
      </c>
      <c r="F31" s="48">
        <v>2.0</v>
      </c>
      <c r="G31" s="48">
        <v>2.0</v>
      </c>
      <c r="H31" s="49"/>
      <c r="I31" s="49">
        <f t="shared" si="1"/>
        <v>8</v>
      </c>
      <c r="J31" s="50">
        <v>2.0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72</v>
      </c>
      <c r="C32" s="46" t="s">
        <v>73</v>
      </c>
      <c r="D32" s="47" t="s">
        <v>74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72</v>
      </c>
      <c r="C33" s="46" t="s">
        <v>75</v>
      </c>
      <c r="D33" s="47" t="s">
        <v>76</v>
      </c>
      <c r="E33" s="48">
        <v>4.0</v>
      </c>
      <c r="F33" s="48">
        <v>3.0</v>
      </c>
      <c r="G33" s="48">
        <v>2.0</v>
      </c>
      <c r="H33" s="49"/>
      <c r="I33" s="49">
        <f t="shared" si="1"/>
        <v>9</v>
      </c>
      <c r="J33" s="50">
        <v>0.0</v>
      </c>
      <c r="K33" s="51">
        <f t="shared" si="2"/>
        <v>9</v>
      </c>
      <c r="L33" s="45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72</v>
      </c>
      <c r="C34" s="46" t="s">
        <v>77</v>
      </c>
      <c r="D34" s="47" t="s">
        <v>78</v>
      </c>
      <c r="E34" s="48">
        <v>2.0</v>
      </c>
      <c r="F34" s="48">
        <v>2.0</v>
      </c>
      <c r="G34" s="48">
        <v>2.0</v>
      </c>
      <c r="H34" s="49"/>
      <c r="I34" s="49">
        <f t="shared" si="1"/>
        <v>6</v>
      </c>
      <c r="J34" s="50">
        <v>0.0</v>
      </c>
      <c r="K34" s="51">
        <f t="shared" si="2"/>
        <v>6</v>
      </c>
      <c r="L34" s="45"/>
      <c r="M34" s="52">
        <f t="shared" si="3"/>
        <v>6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28</v>
      </c>
      <c r="C35" s="46" t="s">
        <v>79</v>
      </c>
      <c r="D35" s="47" t="s">
        <v>80</v>
      </c>
      <c r="E35" s="48">
        <v>1.0</v>
      </c>
      <c r="F35" s="48">
        <v>1.0</v>
      </c>
      <c r="G35" s="48">
        <v>1.0</v>
      </c>
      <c r="H35" s="49"/>
      <c r="I35" s="49">
        <f t="shared" si="1"/>
        <v>3</v>
      </c>
      <c r="J35" s="50">
        <v>2.0</v>
      </c>
      <c r="K35" s="51">
        <f t="shared" si="2"/>
        <v>5</v>
      </c>
      <c r="L35" s="45"/>
      <c r="M35" s="52">
        <f t="shared" si="3"/>
        <v>3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81</v>
      </c>
      <c r="C36" s="46" t="s">
        <v>82</v>
      </c>
      <c r="D36" s="47" t="s">
        <v>83</v>
      </c>
      <c r="E36" s="48">
        <v>1.0</v>
      </c>
      <c r="F36" s="48">
        <v>1.0</v>
      </c>
      <c r="G36" s="48">
        <v>1.0</v>
      </c>
      <c r="H36" s="49"/>
      <c r="I36" s="49">
        <f t="shared" si="1"/>
        <v>3</v>
      </c>
      <c r="J36" s="50">
        <v>2.0</v>
      </c>
      <c r="K36" s="51">
        <f t="shared" si="2"/>
        <v>5</v>
      </c>
      <c r="L36" s="45"/>
      <c r="M36" s="52">
        <f t="shared" si="3"/>
        <v>3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2.0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87</v>
      </c>
      <c r="C38" s="46" t="s">
        <v>28</v>
      </c>
      <c r="D38" s="47" t="s">
        <v>88</v>
      </c>
      <c r="E38" s="48">
        <v>4.0</v>
      </c>
      <c r="F38" s="48">
        <v>2.0</v>
      </c>
      <c r="G38" s="48">
        <v>2.0</v>
      </c>
      <c r="H38" s="49"/>
      <c r="I38" s="49">
        <f t="shared" si="1"/>
        <v>8</v>
      </c>
      <c r="J38" s="50">
        <v>0.0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89</v>
      </c>
      <c r="C39" s="46" t="s">
        <v>28</v>
      </c>
      <c r="D39" s="47" t="s">
        <v>90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89</v>
      </c>
      <c r="C40" s="46" t="s">
        <v>91</v>
      </c>
      <c r="D40" s="47" t="s">
        <v>92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2.0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93</v>
      </c>
      <c r="C41" s="46" t="s">
        <v>94</v>
      </c>
      <c r="D41" s="47" t="s">
        <v>95</v>
      </c>
      <c r="E41" s="48">
        <v>2.0</v>
      </c>
      <c r="F41" s="48">
        <v>2.0</v>
      </c>
      <c r="G41" s="48">
        <v>0.0</v>
      </c>
      <c r="H41" s="49"/>
      <c r="I41" s="49">
        <f t="shared" si="1"/>
        <v>4</v>
      </c>
      <c r="J41" s="50">
        <v>0.0</v>
      </c>
      <c r="K41" s="51">
        <f t="shared" si="2"/>
        <v>5</v>
      </c>
      <c r="L41" s="45"/>
      <c r="M41" s="52">
        <f t="shared" si="3"/>
        <v>4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93</v>
      </c>
      <c r="C42" s="46" t="s">
        <v>96</v>
      </c>
      <c r="D42" s="47" t="s">
        <v>97</v>
      </c>
      <c r="E42" s="48">
        <v>2.0</v>
      </c>
      <c r="F42" s="48">
        <v>1.0</v>
      </c>
      <c r="G42" s="48">
        <v>1.0</v>
      </c>
      <c r="H42" s="49"/>
      <c r="I42" s="49">
        <f t="shared" si="1"/>
        <v>4</v>
      </c>
      <c r="J42" s="50">
        <v>0.0</v>
      </c>
      <c r="K42" s="51">
        <f t="shared" si="2"/>
        <v>5</v>
      </c>
      <c r="L42" s="45"/>
      <c r="M42" s="52">
        <f t="shared" si="3"/>
        <v>4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98</v>
      </c>
      <c r="C43" s="46" t="s">
        <v>99</v>
      </c>
      <c r="D43" s="47" t="s">
        <v>100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101</v>
      </c>
      <c r="C44" s="46" t="s">
        <v>102</v>
      </c>
      <c r="D44" s="47" t="s">
        <v>103</v>
      </c>
      <c r="E44" s="48">
        <v>3.0</v>
      </c>
      <c r="F44" s="48">
        <v>3.0</v>
      </c>
      <c r="G44" s="48">
        <v>1.0</v>
      </c>
      <c r="H44" s="49"/>
      <c r="I44" s="49">
        <f t="shared" si="1"/>
        <v>7</v>
      </c>
      <c r="J44" s="50">
        <v>0.0</v>
      </c>
      <c r="K44" s="51">
        <f t="shared" si="2"/>
        <v>7</v>
      </c>
      <c r="L44" s="45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104</v>
      </c>
      <c r="C45" s="46" t="s">
        <v>99</v>
      </c>
      <c r="D45" s="47" t="s">
        <v>105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106</v>
      </c>
      <c r="C46" s="46" t="s">
        <v>75</v>
      </c>
      <c r="D46" s="47" t="s">
        <v>107</v>
      </c>
      <c r="E46" s="48">
        <v>4.0</v>
      </c>
      <c r="F46" s="48">
        <v>2.0</v>
      </c>
      <c r="G46" s="48">
        <v>2.0</v>
      </c>
      <c r="H46" s="49"/>
      <c r="I46" s="49">
        <f t="shared" si="1"/>
        <v>8</v>
      </c>
      <c r="J46" s="50">
        <v>0.0</v>
      </c>
      <c r="K46" s="51">
        <f t="shared" si="2"/>
        <v>8</v>
      </c>
      <c r="L46" s="45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2.0</v>
      </c>
      <c r="F47" s="48">
        <v>1.0</v>
      </c>
      <c r="G47" s="48">
        <v>1.0</v>
      </c>
      <c r="H47" s="49"/>
      <c r="I47" s="49">
        <f t="shared" si="1"/>
        <v>4</v>
      </c>
      <c r="J47" s="50">
        <v>2.0</v>
      </c>
      <c r="K47" s="51">
        <f t="shared" si="2"/>
        <v>5</v>
      </c>
      <c r="L47" s="45"/>
      <c r="M47" s="52">
        <f t="shared" si="3"/>
        <v>4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3.0</v>
      </c>
      <c r="F48" s="48">
        <v>2.0</v>
      </c>
      <c r="G48" s="48">
        <v>1.0</v>
      </c>
      <c r="H48" s="49"/>
      <c r="I48" s="49">
        <f t="shared" si="1"/>
        <v>6</v>
      </c>
      <c r="J48" s="50">
        <v>2.0</v>
      </c>
      <c r="K48" s="51">
        <f t="shared" si="2"/>
        <v>6</v>
      </c>
      <c r="L48" s="45"/>
      <c r="M48" s="52">
        <f t="shared" si="3"/>
        <v>6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28</v>
      </c>
      <c r="D49" s="47" t="s">
        <v>76</v>
      </c>
      <c r="E49" s="48">
        <v>4.0</v>
      </c>
      <c r="F49" s="48">
        <v>2.0</v>
      </c>
      <c r="G49" s="48">
        <v>2.0</v>
      </c>
      <c r="H49" s="49"/>
      <c r="I49" s="49">
        <f t="shared" si="1"/>
        <v>8</v>
      </c>
      <c r="J49" s="50">
        <v>2.0</v>
      </c>
      <c r="K49" s="51">
        <f t="shared" si="2"/>
        <v>8</v>
      </c>
      <c r="L49" s="45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114</v>
      </c>
      <c r="C50" s="46" t="s">
        <v>28</v>
      </c>
      <c r="D50" s="47" t="s">
        <v>115</v>
      </c>
      <c r="E50" s="48">
        <v>4.0</v>
      </c>
      <c r="F50" s="48">
        <v>2.0</v>
      </c>
      <c r="G50" s="48">
        <v>2.0</v>
      </c>
      <c r="H50" s="49"/>
      <c r="I50" s="49">
        <f t="shared" si="1"/>
        <v>8</v>
      </c>
      <c r="J50" s="50">
        <v>2.0</v>
      </c>
      <c r="K50" s="51">
        <f t="shared" si="2"/>
        <v>8</v>
      </c>
      <c r="L50" s="45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116</v>
      </c>
      <c r="C51" s="46" t="s">
        <v>85</v>
      </c>
      <c r="D51" s="47" t="s">
        <v>117</v>
      </c>
      <c r="E51" s="48">
        <v>4.0</v>
      </c>
      <c r="F51" s="48">
        <v>2.0</v>
      </c>
      <c r="G51" s="48">
        <v>2.0</v>
      </c>
      <c r="H51" s="49"/>
      <c r="I51" s="49">
        <f t="shared" si="1"/>
        <v>8</v>
      </c>
      <c r="J51" s="50">
        <v>0.0</v>
      </c>
      <c r="K51" s="51">
        <f t="shared" si="2"/>
        <v>8</v>
      </c>
      <c r="L51" s="45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75</v>
      </c>
      <c r="C52" s="46" t="s">
        <v>118</v>
      </c>
      <c r="D52" s="47" t="s">
        <v>119</v>
      </c>
      <c r="E52" s="48">
        <v>2.0</v>
      </c>
      <c r="F52" s="48">
        <v>1.0</v>
      </c>
      <c r="G52" s="48">
        <v>1.0</v>
      </c>
      <c r="H52" s="49"/>
      <c r="I52" s="49">
        <f t="shared" si="1"/>
        <v>4</v>
      </c>
      <c r="J52" s="50">
        <v>2.0</v>
      </c>
      <c r="K52" s="51">
        <f t="shared" si="2"/>
        <v>5</v>
      </c>
      <c r="L52" s="45"/>
      <c r="M52" s="46">
        <f t="shared" si="3"/>
        <v>4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118</v>
      </c>
      <c r="C53" s="46" t="s">
        <v>46</v>
      </c>
      <c r="D53" s="47" t="s">
        <v>120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2.0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121</v>
      </c>
      <c r="C54" s="46" t="s">
        <v>122</v>
      </c>
      <c r="D54" s="47" t="s">
        <v>123</v>
      </c>
      <c r="E54" s="48">
        <v>2.0</v>
      </c>
      <c r="F54" s="48">
        <v>1.0</v>
      </c>
      <c r="G54" s="48">
        <v>1.0</v>
      </c>
      <c r="H54" s="49"/>
      <c r="I54" s="49">
        <f t="shared" si="1"/>
        <v>4</v>
      </c>
      <c r="J54" s="48">
        <v>2.0</v>
      </c>
      <c r="K54" s="51">
        <f t="shared" si="2"/>
        <v>5</v>
      </c>
      <c r="L54" s="45"/>
      <c r="M54" s="46">
        <f t="shared" si="3"/>
        <v>4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124</v>
      </c>
      <c r="C55" s="46" t="s">
        <v>125</v>
      </c>
      <c r="D55" s="47" t="s">
        <v>115</v>
      </c>
      <c r="E55" s="48">
        <v>2.0</v>
      </c>
      <c r="F55" s="48">
        <v>1.0</v>
      </c>
      <c r="G55" s="48">
        <v>1.0</v>
      </c>
      <c r="H55" s="49"/>
      <c r="I55" s="49">
        <f t="shared" si="1"/>
        <v>4</v>
      </c>
      <c r="J55" s="50">
        <v>4.0</v>
      </c>
      <c r="K55" s="51">
        <f t="shared" si="2"/>
        <v>5</v>
      </c>
      <c r="L55" s="45"/>
      <c r="M55" s="46">
        <f t="shared" si="3"/>
        <v>4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126</v>
      </c>
      <c r="C56" s="46" t="s">
        <v>127</v>
      </c>
      <c r="D56" s="46" t="s">
        <v>128</v>
      </c>
      <c r="E56" s="48">
        <v>5.0</v>
      </c>
      <c r="F56" s="48">
        <v>3.0</v>
      </c>
      <c r="G56" s="48">
        <v>2.0</v>
      </c>
      <c r="H56" s="49"/>
      <c r="I56" s="49">
        <f t="shared" si="1"/>
        <v>10</v>
      </c>
      <c r="J56" s="50">
        <v>0.0</v>
      </c>
      <c r="K56" s="51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129</v>
      </c>
      <c r="C57" s="46" t="s">
        <v>130</v>
      </c>
      <c r="D57" s="46" t="s">
        <v>131</v>
      </c>
      <c r="E57" s="48">
        <v>2.0</v>
      </c>
      <c r="F57" s="48">
        <v>1.0</v>
      </c>
      <c r="G57" s="48">
        <v>1.0</v>
      </c>
      <c r="H57" s="49"/>
      <c r="I57" s="49">
        <f t="shared" si="1"/>
        <v>4</v>
      </c>
      <c r="J57" s="48">
        <v>0.0</v>
      </c>
      <c r="K57" s="51">
        <f t="shared" si="2"/>
        <v>5</v>
      </c>
      <c r="L57" s="45"/>
      <c r="M57" s="46">
        <f t="shared" si="3"/>
        <v>4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133</v>
      </c>
      <c r="D58" s="55" t="s">
        <v>134</v>
      </c>
      <c r="E58" s="48">
        <v>4.0</v>
      </c>
      <c r="F58" s="48">
        <v>2.0</v>
      </c>
      <c r="G58" s="48">
        <v>2.0</v>
      </c>
      <c r="H58" s="49"/>
      <c r="I58" s="49">
        <f t="shared" si="1"/>
        <v>8</v>
      </c>
      <c r="J58" s="48">
        <v>2.0</v>
      </c>
      <c r="K58" s="51">
        <f t="shared" si="2"/>
        <v>8</v>
      </c>
      <c r="L58" s="45"/>
      <c r="M58" s="46">
        <f t="shared" si="3"/>
        <v>8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135</v>
      </c>
      <c r="C60" s="60"/>
      <c r="D60" s="61">
        <f>COUNT(A17:A58)</f>
        <v>42</v>
      </c>
      <c r="E60" s="58"/>
      <c r="F60" s="58"/>
      <c r="G60" s="62" t="s">
        <v>136</v>
      </c>
      <c r="H60" s="58"/>
      <c r="I60" s="62" t="s">
        <v>137</v>
      </c>
      <c r="K60" s="63" t="s">
        <v>138</v>
      </c>
      <c r="L60" s="64" t="s">
        <v>139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COUNTIF(K17:K58,"&gt;=6")</f>
        <v>32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143</v>
      </c>
      <c r="C64" s="66"/>
      <c r="D64" s="68">
        <f>D62-D63</f>
        <v>10</v>
      </c>
      <c r="E64" s="58"/>
      <c r="F64" s="58"/>
      <c r="G64" s="69"/>
      <c r="H64" s="58"/>
      <c r="I64" s="69"/>
      <c r="J64" s="69"/>
      <c r="K64" s="70"/>
      <c r="L64" s="71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144</v>
      </c>
      <c r="C65" s="66"/>
      <c r="D65" s="72">
        <f>D63*100/D62</f>
        <v>76.19047619</v>
      </c>
      <c r="E65" s="58"/>
      <c r="F65" s="58"/>
      <c r="G65" s="73" t="s">
        <v>145</v>
      </c>
      <c r="H65" s="58"/>
      <c r="I65" s="74" t="s">
        <v>146</v>
      </c>
      <c r="K65" s="75" t="s">
        <v>147</v>
      </c>
      <c r="L65" s="76" t="s">
        <v>148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149</v>
      </c>
      <c r="C66" s="78"/>
      <c r="D66" s="79">
        <f>AVERAGE(K17:K58)</f>
        <v>7.904761905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1"/>
      <c r="E67" s="82"/>
      <c r="F67" s="82"/>
      <c r="G67" s="82"/>
      <c r="H67" s="82"/>
      <c r="I67" s="82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3"/>
      <c r="E70" s="88"/>
      <c r="F70" s="88"/>
      <c r="G70" s="82"/>
      <c r="H70" s="82"/>
      <c r="I70" s="82"/>
      <c r="J70" s="82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100"/>
      <c r="K71" s="101"/>
      <c r="L71" s="102"/>
      <c r="M71" s="81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  <row r="73" ht="21.75" customHeight="1">
      <c r="A73" s="103"/>
      <c r="B73" s="104"/>
      <c r="C73" s="104"/>
      <c r="D73" s="104"/>
      <c r="E73" s="104"/>
      <c r="F73" s="104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E17:H58">
    <cfRule type="expression" dxfId="0" priority="4" stopIfTrue="1">
      <formula>TRUE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K17:K71 L18:L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151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2.0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152</v>
      </c>
      <c r="C17" s="46" t="s">
        <v>153</v>
      </c>
      <c r="D17" s="47" t="s">
        <v>154</v>
      </c>
      <c r="E17" s="48">
        <v>4.0</v>
      </c>
      <c r="F17" s="48">
        <v>3.0</v>
      </c>
      <c r="G17" s="48">
        <v>2.0</v>
      </c>
      <c r="H17" s="49"/>
      <c r="I17" s="49">
        <f t="shared" ref="I17:I58" si="1">SUM(E17:H17)</f>
        <v>9</v>
      </c>
      <c r="J17" s="50">
        <v>2.0</v>
      </c>
      <c r="K17" s="51">
        <f t="shared" ref="K17:K58" si="2">IF(I17 &lt; 6, 5, MIN(ROUND(I17, 0), 10))</f>
        <v>9</v>
      </c>
      <c r="L17" s="46"/>
      <c r="M17" s="52">
        <f t="shared" ref="M17:M58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102</v>
      </c>
      <c r="C18" s="46" t="s">
        <v>91</v>
      </c>
      <c r="D18" s="47" t="s">
        <v>155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2.0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45"/>
      <c r="P18" s="2"/>
      <c r="Q18" s="2"/>
      <c r="R18" s="2"/>
    </row>
    <row r="19" ht="24.75" customHeight="1">
      <c r="A19" s="45">
        <v>3.0</v>
      </c>
      <c r="B19" s="46" t="s">
        <v>38</v>
      </c>
      <c r="C19" s="46" t="s">
        <v>156</v>
      </c>
      <c r="D19" s="47" t="s">
        <v>157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2.0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45"/>
      <c r="P19" s="2"/>
      <c r="Q19" s="2"/>
      <c r="R19" s="2"/>
    </row>
    <row r="20" ht="24.75" customHeight="1">
      <c r="A20" s="45">
        <v>4.0</v>
      </c>
      <c r="B20" s="46" t="s">
        <v>158</v>
      </c>
      <c r="C20" s="46" t="s">
        <v>32</v>
      </c>
      <c r="D20" s="47" t="s">
        <v>159</v>
      </c>
      <c r="E20" s="48">
        <v>4.0</v>
      </c>
      <c r="F20" s="48">
        <v>2.0</v>
      </c>
      <c r="G20" s="48">
        <v>2.0</v>
      </c>
      <c r="H20" s="49"/>
      <c r="I20" s="49">
        <f t="shared" si="1"/>
        <v>8</v>
      </c>
      <c r="J20" s="50">
        <v>2.0</v>
      </c>
      <c r="K20" s="51">
        <f t="shared" si="2"/>
        <v>8</v>
      </c>
      <c r="L20" s="45"/>
      <c r="M20" s="52">
        <f t="shared" si="3"/>
        <v>8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158</v>
      </c>
      <c r="C21" s="46" t="s">
        <v>160</v>
      </c>
      <c r="D21" s="47" t="s">
        <v>161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162</v>
      </c>
      <c r="C22" s="46" t="s">
        <v>56</v>
      </c>
      <c r="D22" s="47" t="s">
        <v>163</v>
      </c>
      <c r="E22" s="48">
        <v>4.0</v>
      </c>
      <c r="F22" s="48">
        <v>2.0</v>
      </c>
      <c r="G22" s="48">
        <v>2.0</v>
      </c>
      <c r="H22" s="49"/>
      <c r="I22" s="49">
        <f t="shared" si="1"/>
        <v>8</v>
      </c>
      <c r="J22" s="50">
        <v>0.0</v>
      </c>
      <c r="K22" s="51">
        <f t="shared" si="2"/>
        <v>8</v>
      </c>
      <c r="L22" s="45"/>
      <c r="M22" s="52">
        <f t="shared" si="3"/>
        <v>8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164</v>
      </c>
      <c r="C23" s="46" t="s">
        <v>165</v>
      </c>
      <c r="D23" s="47" t="s">
        <v>115</v>
      </c>
      <c r="E23" s="48">
        <v>2.0</v>
      </c>
      <c r="F23" s="48">
        <v>1.0</v>
      </c>
      <c r="G23" s="48">
        <v>1.0</v>
      </c>
      <c r="H23" s="49"/>
      <c r="I23" s="49">
        <f t="shared" si="1"/>
        <v>4</v>
      </c>
      <c r="J23" s="50">
        <v>2.0</v>
      </c>
      <c r="K23" s="51">
        <f t="shared" si="2"/>
        <v>5</v>
      </c>
      <c r="L23" s="45"/>
      <c r="M23" s="52">
        <f t="shared" si="3"/>
        <v>4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166</v>
      </c>
      <c r="C24" s="46" t="s">
        <v>167</v>
      </c>
      <c r="D24" s="47" t="s">
        <v>168</v>
      </c>
      <c r="E24" s="48">
        <v>2.0</v>
      </c>
      <c r="F24" s="48">
        <v>1.0</v>
      </c>
      <c r="G24" s="48">
        <v>1.0</v>
      </c>
      <c r="H24" s="49"/>
      <c r="I24" s="49">
        <f t="shared" si="1"/>
        <v>4</v>
      </c>
      <c r="J24" s="50">
        <v>2.0</v>
      </c>
      <c r="K24" s="51">
        <f t="shared" si="2"/>
        <v>5</v>
      </c>
      <c r="L24" s="45"/>
      <c r="M24" s="52">
        <f t="shared" si="3"/>
        <v>4</v>
      </c>
      <c r="N24" s="54" t="s">
        <v>52</v>
      </c>
      <c r="O24" s="54">
        <f>SUM(O18:O23)</f>
        <v>0</v>
      </c>
      <c r="P24" s="2"/>
      <c r="Q24" s="2"/>
      <c r="R24" s="2"/>
    </row>
    <row r="25" ht="24.75" customHeight="1">
      <c r="A25" s="45">
        <v>9.0</v>
      </c>
      <c r="B25" s="46" t="s">
        <v>169</v>
      </c>
      <c r="C25" s="46" t="s">
        <v>170</v>
      </c>
      <c r="D25" s="47" t="s">
        <v>171</v>
      </c>
      <c r="E25" s="48">
        <v>3.0</v>
      </c>
      <c r="F25" s="48">
        <v>2.0</v>
      </c>
      <c r="G25" s="48">
        <v>2.0</v>
      </c>
      <c r="H25" s="49"/>
      <c r="I25" s="49">
        <f t="shared" si="1"/>
        <v>7</v>
      </c>
      <c r="J25" s="50">
        <v>0.0</v>
      </c>
      <c r="K25" s="51">
        <f t="shared" si="2"/>
        <v>7</v>
      </c>
      <c r="L25" s="45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99</v>
      </c>
      <c r="C26" s="46" t="s">
        <v>99</v>
      </c>
      <c r="D26" s="47" t="s">
        <v>172</v>
      </c>
      <c r="E26" s="48">
        <v>4.0</v>
      </c>
      <c r="F26" s="48">
        <v>3.0</v>
      </c>
      <c r="G26" s="48">
        <v>2.0</v>
      </c>
      <c r="H26" s="49"/>
      <c r="I26" s="49">
        <f t="shared" si="1"/>
        <v>9</v>
      </c>
      <c r="J26" s="50">
        <v>2.0</v>
      </c>
      <c r="K26" s="51">
        <f t="shared" si="2"/>
        <v>9</v>
      </c>
      <c r="L26" s="45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99</v>
      </c>
      <c r="C27" s="46" t="s">
        <v>84</v>
      </c>
      <c r="D27" s="46" t="s">
        <v>173</v>
      </c>
      <c r="E27" s="48">
        <v>3.0</v>
      </c>
      <c r="F27" s="48">
        <v>2.0</v>
      </c>
      <c r="G27" s="48">
        <v>2.0</v>
      </c>
      <c r="H27" s="48">
        <v>1.0</v>
      </c>
      <c r="I27" s="49">
        <f t="shared" si="1"/>
        <v>8</v>
      </c>
      <c r="J27" s="50">
        <v>0.0</v>
      </c>
      <c r="K27" s="51">
        <f t="shared" si="2"/>
        <v>8</v>
      </c>
      <c r="L27" s="45"/>
      <c r="M27" s="52">
        <f t="shared" si="3"/>
        <v>8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99</v>
      </c>
      <c r="C28" s="46" t="s">
        <v>174</v>
      </c>
      <c r="D28" s="47" t="s">
        <v>175</v>
      </c>
      <c r="E28" s="48">
        <v>5.0</v>
      </c>
      <c r="F28" s="48">
        <v>3.0</v>
      </c>
      <c r="G28" s="48">
        <v>2.0</v>
      </c>
      <c r="H28" s="49"/>
      <c r="I28" s="49">
        <f t="shared" si="1"/>
        <v>10</v>
      </c>
      <c r="J28" s="50">
        <v>2.0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28</v>
      </c>
      <c r="C29" s="46" t="s">
        <v>176</v>
      </c>
      <c r="D29" s="47" t="s">
        <v>177</v>
      </c>
      <c r="E29" s="48">
        <v>2.0</v>
      </c>
      <c r="F29" s="48">
        <v>1.0</v>
      </c>
      <c r="G29" s="48">
        <v>1.0</v>
      </c>
      <c r="H29" s="49"/>
      <c r="I29" s="49">
        <f t="shared" si="1"/>
        <v>4</v>
      </c>
      <c r="J29" s="50">
        <v>2.0</v>
      </c>
      <c r="K29" s="51">
        <f t="shared" si="2"/>
        <v>5</v>
      </c>
      <c r="L29" s="45"/>
      <c r="M29" s="52">
        <f t="shared" si="3"/>
        <v>4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28</v>
      </c>
      <c r="C30" s="46" t="s">
        <v>178</v>
      </c>
      <c r="D30" s="47" t="s">
        <v>179</v>
      </c>
      <c r="E30" s="48">
        <v>4.0</v>
      </c>
      <c r="F30" s="48">
        <v>3.0</v>
      </c>
      <c r="G30" s="48">
        <v>2.0</v>
      </c>
      <c r="H30" s="49"/>
      <c r="I30" s="49">
        <f t="shared" si="1"/>
        <v>9</v>
      </c>
      <c r="J30" s="50">
        <v>0.0</v>
      </c>
      <c r="K30" s="51">
        <f t="shared" si="2"/>
        <v>9</v>
      </c>
      <c r="L30" s="45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84</v>
      </c>
      <c r="C31" s="46" t="s">
        <v>180</v>
      </c>
      <c r="D31" s="47" t="s">
        <v>181</v>
      </c>
      <c r="E31" s="48">
        <v>4.0</v>
      </c>
      <c r="F31" s="48">
        <v>3.0</v>
      </c>
      <c r="G31" s="48">
        <v>2.0</v>
      </c>
      <c r="H31" s="49"/>
      <c r="I31" s="49">
        <f t="shared" si="1"/>
        <v>9</v>
      </c>
      <c r="J31" s="50">
        <v>2.0</v>
      </c>
      <c r="K31" s="51">
        <f t="shared" si="2"/>
        <v>9</v>
      </c>
      <c r="L31" s="45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182</v>
      </c>
      <c r="C32" s="46" t="s">
        <v>85</v>
      </c>
      <c r="D32" s="47" t="s">
        <v>183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184</v>
      </c>
      <c r="C33" s="46" t="s">
        <v>185</v>
      </c>
      <c r="D33" s="47" t="s">
        <v>186</v>
      </c>
      <c r="E33" s="48">
        <v>5.0</v>
      </c>
      <c r="F33" s="48">
        <v>3.0</v>
      </c>
      <c r="G33" s="48">
        <v>2.0</v>
      </c>
      <c r="H33" s="49"/>
      <c r="I33" s="49">
        <f t="shared" si="1"/>
        <v>10</v>
      </c>
      <c r="J33" s="50">
        <v>0.0</v>
      </c>
      <c r="K33" s="51">
        <f t="shared" si="2"/>
        <v>10</v>
      </c>
      <c r="L33" s="45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187</v>
      </c>
      <c r="C34" s="46" t="s">
        <v>188</v>
      </c>
      <c r="D34" s="47" t="s">
        <v>189</v>
      </c>
      <c r="E34" s="48">
        <v>2.0</v>
      </c>
      <c r="F34" s="48">
        <v>1.0</v>
      </c>
      <c r="G34" s="48">
        <v>1.0</v>
      </c>
      <c r="H34" s="49"/>
      <c r="I34" s="49">
        <f t="shared" si="1"/>
        <v>4</v>
      </c>
      <c r="J34" s="50">
        <v>2.0</v>
      </c>
      <c r="K34" s="51">
        <f t="shared" si="2"/>
        <v>5</v>
      </c>
      <c r="L34" s="45"/>
      <c r="M34" s="52">
        <f t="shared" si="3"/>
        <v>4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89</v>
      </c>
      <c r="C35" s="46" t="s">
        <v>190</v>
      </c>
      <c r="D35" s="47" t="s">
        <v>191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2.0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192</v>
      </c>
      <c r="C36" s="46" t="s">
        <v>89</v>
      </c>
      <c r="D36" s="47" t="s">
        <v>193</v>
      </c>
      <c r="E36" s="48">
        <v>3.0</v>
      </c>
      <c r="F36" s="48">
        <v>2.0</v>
      </c>
      <c r="G36" s="48">
        <v>1.0</v>
      </c>
      <c r="H36" s="49"/>
      <c r="I36" s="49">
        <f t="shared" si="1"/>
        <v>6</v>
      </c>
      <c r="J36" s="50">
        <v>0.0</v>
      </c>
      <c r="K36" s="51">
        <f t="shared" si="2"/>
        <v>6</v>
      </c>
      <c r="L36" s="45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93</v>
      </c>
      <c r="C37" s="46" t="s">
        <v>124</v>
      </c>
      <c r="D37" s="47" t="s">
        <v>194</v>
      </c>
      <c r="E37" s="48">
        <v>4.0</v>
      </c>
      <c r="F37" s="48">
        <v>2.0</v>
      </c>
      <c r="G37" s="48">
        <v>2.0</v>
      </c>
      <c r="H37" s="49"/>
      <c r="I37" s="49">
        <f t="shared" si="1"/>
        <v>8</v>
      </c>
      <c r="J37" s="50">
        <v>2.0</v>
      </c>
      <c r="K37" s="51">
        <f t="shared" si="2"/>
        <v>8</v>
      </c>
      <c r="L37" s="45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195</v>
      </c>
      <c r="C38" s="46" t="s">
        <v>84</v>
      </c>
      <c r="D38" s="47" t="s">
        <v>196</v>
      </c>
      <c r="E38" s="48">
        <v>4.0</v>
      </c>
      <c r="F38" s="48">
        <v>3.0</v>
      </c>
      <c r="G38" s="48">
        <v>2.0</v>
      </c>
      <c r="H38" s="49"/>
      <c r="I38" s="49">
        <f t="shared" si="1"/>
        <v>9</v>
      </c>
      <c r="J38" s="50">
        <v>0.0</v>
      </c>
      <c r="K38" s="51">
        <f t="shared" si="2"/>
        <v>9</v>
      </c>
      <c r="L38" s="45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197</v>
      </c>
      <c r="C39" s="46" t="s">
        <v>46</v>
      </c>
      <c r="D39" s="47" t="s">
        <v>198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199</v>
      </c>
      <c r="C40" s="46" t="s">
        <v>200</v>
      </c>
      <c r="D40" s="47" t="s">
        <v>201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202</v>
      </c>
      <c r="C41" s="46" t="s">
        <v>203</v>
      </c>
      <c r="D41" s="47" t="s">
        <v>204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2.0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108</v>
      </c>
      <c r="C42" s="46" t="s">
        <v>109</v>
      </c>
      <c r="D42" s="47" t="s">
        <v>205</v>
      </c>
      <c r="E42" s="48">
        <v>4.0</v>
      </c>
      <c r="F42" s="48">
        <v>2.0</v>
      </c>
      <c r="G42" s="48">
        <v>2.0</v>
      </c>
      <c r="H42" s="49"/>
      <c r="I42" s="49">
        <f t="shared" si="1"/>
        <v>8</v>
      </c>
      <c r="J42" s="50">
        <v>2.0</v>
      </c>
      <c r="K42" s="51">
        <f t="shared" si="2"/>
        <v>8</v>
      </c>
      <c r="L42" s="45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206</v>
      </c>
      <c r="C43" s="46" t="s">
        <v>207</v>
      </c>
      <c r="D43" s="47" t="s">
        <v>208</v>
      </c>
      <c r="E43" s="48">
        <v>3.0</v>
      </c>
      <c r="F43" s="48">
        <v>3.0</v>
      </c>
      <c r="G43" s="48">
        <v>1.0</v>
      </c>
      <c r="H43" s="49"/>
      <c r="I43" s="49">
        <f t="shared" si="1"/>
        <v>7</v>
      </c>
      <c r="J43" s="50">
        <v>0.0</v>
      </c>
      <c r="K43" s="51">
        <f t="shared" si="2"/>
        <v>7</v>
      </c>
      <c r="L43" s="45"/>
      <c r="M43" s="52">
        <f t="shared" si="3"/>
        <v>7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85</v>
      </c>
      <c r="C44" s="46" t="s">
        <v>209</v>
      </c>
      <c r="D44" s="47" t="s">
        <v>115</v>
      </c>
      <c r="E44" s="48">
        <v>2.0</v>
      </c>
      <c r="F44" s="48">
        <v>1.0</v>
      </c>
      <c r="G44" s="48">
        <v>1.0</v>
      </c>
      <c r="H44" s="49"/>
      <c r="I44" s="49">
        <f t="shared" si="1"/>
        <v>4</v>
      </c>
      <c r="J44" s="50">
        <v>2.0</v>
      </c>
      <c r="K44" s="51">
        <f t="shared" si="2"/>
        <v>5</v>
      </c>
      <c r="L44" s="45"/>
      <c r="M44" s="52">
        <f t="shared" si="3"/>
        <v>4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85</v>
      </c>
      <c r="C45" s="46" t="s">
        <v>72</v>
      </c>
      <c r="D45" s="47" t="s">
        <v>210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85</v>
      </c>
      <c r="C46" s="46" t="s">
        <v>211</v>
      </c>
      <c r="D46" s="47" t="s">
        <v>80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212</v>
      </c>
      <c r="C47" s="46" t="s">
        <v>28</v>
      </c>
      <c r="D47" s="47" t="s">
        <v>213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2.0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214</v>
      </c>
      <c r="C48" s="46" t="s">
        <v>215</v>
      </c>
      <c r="D48" s="47" t="s">
        <v>216</v>
      </c>
      <c r="E48" s="48">
        <v>4.0</v>
      </c>
      <c r="F48" s="48">
        <v>3.0</v>
      </c>
      <c r="G48" s="48">
        <v>2.0</v>
      </c>
      <c r="H48" s="49"/>
      <c r="I48" s="49">
        <f t="shared" si="1"/>
        <v>9</v>
      </c>
      <c r="J48" s="50">
        <v>2.0</v>
      </c>
      <c r="K48" s="51">
        <f t="shared" si="2"/>
        <v>9</v>
      </c>
      <c r="L48" s="45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61</v>
      </c>
      <c r="C49" s="46" t="s">
        <v>217</v>
      </c>
      <c r="D49" s="47" t="s">
        <v>218</v>
      </c>
      <c r="E49" s="48">
        <v>2.0</v>
      </c>
      <c r="F49" s="48">
        <v>2.0</v>
      </c>
      <c r="G49" s="48">
        <v>2.0</v>
      </c>
      <c r="H49" s="49"/>
      <c r="I49" s="49">
        <f t="shared" si="1"/>
        <v>6</v>
      </c>
      <c r="J49" s="50">
        <v>2.0</v>
      </c>
      <c r="K49" s="51">
        <f t="shared" si="2"/>
        <v>6</v>
      </c>
      <c r="L49" s="45"/>
      <c r="M49" s="52">
        <f t="shared" si="3"/>
        <v>6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219</v>
      </c>
      <c r="C50" s="46" t="s">
        <v>99</v>
      </c>
      <c r="D50" s="47" t="s">
        <v>220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124</v>
      </c>
      <c r="C51" s="46" t="s">
        <v>158</v>
      </c>
      <c r="D51" s="47" t="s">
        <v>221</v>
      </c>
      <c r="E51" s="48">
        <v>2.0</v>
      </c>
      <c r="F51" s="48">
        <v>2.0</v>
      </c>
      <c r="G51" s="48">
        <v>2.0</v>
      </c>
      <c r="H51" s="49"/>
      <c r="I51" s="49">
        <f t="shared" si="1"/>
        <v>6</v>
      </c>
      <c r="J51" s="50">
        <v>2.0</v>
      </c>
      <c r="K51" s="51">
        <f t="shared" si="2"/>
        <v>6</v>
      </c>
      <c r="L51" s="45"/>
      <c r="M51" s="52">
        <f t="shared" si="3"/>
        <v>6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222</v>
      </c>
      <c r="C52" s="46" t="s">
        <v>89</v>
      </c>
      <c r="D52" s="47" t="s">
        <v>223</v>
      </c>
      <c r="E52" s="48">
        <v>4.0</v>
      </c>
      <c r="F52" s="48">
        <v>2.0</v>
      </c>
      <c r="G52" s="48">
        <v>2.0</v>
      </c>
      <c r="H52" s="49"/>
      <c r="I52" s="49">
        <f t="shared" si="1"/>
        <v>8</v>
      </c>
      <c r="J52" s="50">
        <v>0.0</v>
      </c>
      <c r="K52" s="51">
        <f t="shared" si="2"/>
        <v>8</v>
      </c>
      <c r="L52" s="45"/>
      <c r="M52" s="46">
        <f t="shared" si="3"/>
        <v>8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224</v>
      </c>
      <c r="C53" s="46" t="s">
        <v>225</v>
      </c>
      <c r="D53" s="47" t="s">
        <v>226</v>
      </c>
      <c r="E53" s="48">
        <v>4.0</v>
      </c>
      <c r="F53" s="48">
        <v>3.0</v>
      </c>
      <c r="G53" s="48">
        <v>2.0</v>
      </c>
      <c r="H53" s="49"/>
      <c r="I53" s="49">
        <f t="shared" si="1"/>
        <v>9</v>
      </c>
      <c r="J53" s="48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227</v>
      </c>
      <c r="C54" s="46" t="s">
        <v>84</v>
      </c>
      <c r="D54" s="47" t="s">
        <v>228</v>
      </c>
      <c r="E54" s="48">
        <v>4.0</v>
      </c>
      <c r="F54" s="48">
        <v>3.0</v>
      </c>
      <c r="G54" s="48">
        <v>2.0</v>
      </c>
      <c r="H54" s="49"/>
      <c r="I54" s="49">
        <f t="shared" si="1"/>
        <v>9</v>
      </c>
      <c r="J54" s="48">
        <v>2.0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229</v>
      </c>
      <c r="C55" s="46" t="s">
        <v>200</v>
      </c>
      <c r="D55" s="47" t="s">
        <v>230</v>
      </c>
      <c r="E55" s="48">
        <v>4.0</v>
      </c>
      <c r="F55" s="48">
        <v>3.0</v>
      </c>
      <c r="G55" s="48">
        <v>2.0</v>
      </c>
      <c r="H55" s="49"/>
      <c r="I55" s="49">
        <f t="shared" si="1"/>
        <v>9</v>
      </c>
      <c r="J55" s="50">
        <v>0.0</v>
      </c>
      <c r="K55" s="51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231</v>
      </c>
      <c r="C56" s="46" t="s">
        <v>46</v>
      </c>
      <c r="D56" s="46" t="s">
        <v>232</v>
      </c>
      <c r="E56" s="48">
        <v>2.0</v>
      </c>
      <c r="F56" s="48">
        <v>1.0</v>
      </c>
      <c r="G56" s="48">
        <v>1.0</v>
      </c>
      <c r="H56" s="49"/>
      <c r="I56" s="49">
        <f t="shared" si="1"/>
        <v>4</v>
      </c>
      <c r="J56" s="50">
        <v>0.0</v>
      </c>
      <c r="K56" s="51">
        <f t="shared" si="2"/>
        <v>5</v>
      </c>
      <c r="L56" s="45"/>
      <c r="M56" s="46">
        <f t="shared" si="3"/>
        <v>4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233</v>
      </c>
      <c r="C57" s="46" t="s">
        <v>84</v>
      </c>
      <c r="D57" s="46" t="s">
        <v>234</v>
      </c>
      <c r="E57" s="48">
        <v>4.0</v>
      </c>
      <c r="F57" s="48">
        <v>3.0</v>
      </c>
      <c r="G57" s="48">
        <v>2.0</v>
      </c>
      <c r="H57" s="49"/>
      <c r="I57" s="49">
        <f t="shared" si="1"/>
        <v>9</v>
      </c>
      <c r="J57" s="48">
        <v>0.0</v>
      </c>
      <c r="K57" s="51">
        <f t="shared" si="2"/>
        <v>9</v>
      </c>
      <c r="L57" s="45"/>
      <c r="M57" s="46">
        <f t="shared" si="3"/>
        <v>9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235</v>
      </c>
      <c r="C58" s="46" t="s">
        <v>236</v>
      </c>
      <c r="D58" s="55" t="s">
        <v>237</v>
      </c>
      <c r="E58" s="48">
        <v>2.0</v>
      </c>
      <c r="F58" s="48">
        <v>1.0</v>
      </c>
      <c r="G58" s="48">
        <v>1.0</v>
      </c>
      <c r="H58" s="49"/>
      <c r="I58" s="49">
        <f t="shared" si="1"/>
        <v>4</v>
      </c>
      <c r="J58" s="48">
        <v>0.0</v>
      </c>
      <c r="K58" s="51">
        <f t="shared" si="2"/>
        <v>5</v>
      </c>
      <c r="L58" s="45"/>
      <c r="M58" s="46">
        <f t="shared" si="3"/>
        <v>4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135</v>
      </c>
      <c r="C60" s="60"/>
      <c r="D60" s="61">
        <f>COUNT(A17:A58)</f>
        <v>42</v>
      </c>
      <c r="E60" s="58"/>
      <c r="F60" s="58"/>
      <c r="G60" s="62" t="s">
        <v>136</v>
      </c>
      <c r="H60" s="58"/>
      <c r="I60" s="62" t="s">
        <v>137</v>
      </c>
      <c r="K60" s="63" t="s">
        <v>138</v>
      </c>
      <c r="L60" s="64" t="s">
        <v>139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COUNTIF(K17:K58,"&gt;=6")</f>
        <v>35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143</v>
      </c>
      <c r="C64" s="66"/>
      <c r="D64" s="68">
        <f>D62-D63</f>
        <v>7</v>
      </c>
      <c r="E64" s="58"/>
      <c r="F64" s="58"/>
      <c r="G64" s="69"/>
      <c r="H64" s="58"/>
      <c r="I64" s="69"/>
      <c r="J64" s="69"/>
      <c r="K64" s="70"/>
      <c r="L64" s="71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144</v>
      </c>
      <c r="C65" s="66"/>
      <c r="D65" s="72">
        <f>D63*100/D62</f>
        <v>83.33333333</v>
      </c>
      <c r="E65" s="58"/>
      <c r="F65" s="58"/>
      <c r="G65" s="73" t="s">
        <v>145</v>
      </c>
      <c r="H65" s="58"/>
      <c r="I65" s="74" t="s">
        <v>146</v>
      </c>
      <c r="K65" s="75" t="s">
        <v>147</v>
      </c>
      <c r="L65" s="76" t="s">
        <v>148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149</v>
      </c>
      <c r="C66" s="78"/>
      <c r="D66" s="79">
        <f>AVERAGE(K17:K58)</f>
        <v>8.214285714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1"/>
      <c r="E67" s="82"/>
      <c r="F67" s="82"/>
      <c r="G67" s="82"/>
      <c r="H67" s="82"/>
      <c r="I67" s="82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3"/>
      <c r="E70" s="88"/>
      <c r="F70" s="88"/>
      <c r="G70" s="82"/>
      <c r="H70" s="82"/>
      <c r="I70" s="82"/>
      <c r="J70" s="82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100"/>
      <c r="K71" s="101"/>
      <c r="L71" s="102"/>
      <c r="M71" s="81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  <row r="73" ht="21.75" customHeight="1">
      <c r="A73" s="103"/>
      <c r="B73" s="104"/>
      <c r="C73" s="104"/>
      <c r="D73" s="104"/>
      <c r="E73" s="104"/>
      <c r="F73" s="104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E17:H58">
    <cfRule type="expression" dxfId="0" priority="4" stopIfTrue="1">
      <formula>TRUE</formula>
    </cfRule>
  </conditionalFormatting>
  <conditionalFormatting sqref="K17:K58">
    <cfRule type="cellIs" dxfId="0" priority="5" stopIfTrue="1" operator="greaterThan">
      <formula>5</formula>
    </cfRule>
  </conditionalFormatting>
  <conditionalFormatting sqref="K17:K58">
    <cfRule type="cellIs" dxfId="1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K17:K71 L18:L70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239</v>
      </c>
      <c r="C14" s="23"/>
      <c r="D14" s="24"/>
      <c r="E14" s="25" t="s">
        <v>11</v>
      </c>
      <c r="F14" s="26" t="s">
        <v>240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241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242</v>
      </c>
      <c r="C17" s="46" t="s">
        <v>91</v>
      </c>
      <c r="D17" s="47" t="s">
        <v>243</v>
      </c>
      <c r="E17" s="48">
        <v>3.0</v>
      </c>
      <c r="F17" s="48">
        <v>2.0</v>
      </c>
      <c r="G17" s="48">
        <v>2.0</v>
      </c>
      <c r="H17" s="49"/>
      <c r="I17" s="49">
        <f t="shared" ref="I17:I57" si="1">SUM(E17:H17)</f>
        <v>7</v>
      </c>
      <c r="J17" s="50">
        <v>2.0</v>
      </c>
      <c r="K17" s="51">
        <f t="shared" ref="K17:K57" si="2">IF(I17 &lt; 6, 5, MIN(ROUND(I17, 0), 10))</f>
        <v>7</v>
      </c>
      <c r="L17" s="46"/>
      <c r="M17" s="52">
        <f t="shared" ref="M17:M57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244</v>
      </c>
      <c r="C18" s="46" t="s">
        <v>93</v>
      </c>
      <c r="D18" s="47" t="s">
        <v>245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45"/>
      <c r="P18" s="2"/>
      <c r="Q18" s="2"/>
      <c r="R18" s="2"/>
    </row>
    <row r="19" ht="24.75" customHeight="1">
      <c r="A19" s="45">
        <v>3.0</v>
      </c>
      <c r="B19" s="46" t="s">
        <v>39</v>
      </c>
      <c r="C19" s="46" t="s">
        <v>91</v>
      </c>
      <c r="D19" s="47" t="s">
        <v>246</v>
      </c>
      <c r="E19" s="48">
        <v>4.0</v>
      </c>
      <c r="F19" s="48">
        <v>3.0</v>
      </c>
      <c r="G19" s="48">
        <v>2.0</v>
      </c>
      <c r="H19" s="49"/>
      <c r="I19" s="49">
        <f t="shared" si="1"/>
        <v>9</v>
      </c>
      <c r="J19" s="50">
        <v>0.0</v>
      </c>
      <c r="K19" s="51">
        <f t="shared" si="2"/>
        <v>9</v>
      </c>
      <c r="L19" s="45"/>
      <c r="M19" s="52">
        <f t="shared" si="3"/>
        <v>9</v>
      </c>
      <c r="N19" s="54" t="s">
        <v>34</v>
      </c>
      <c r="O19" s="45"/>
      <c r="P19" s="2"/>
      <c r="Q19" s="2"/>
      <c r="R19" s="2"/>
    </row>
    <row r="20" ht="24.75" customHeight="1">
      <c r="A20" s="45">
        <v>4.0</v>
      </c>
      <c r="B20" s="46" t="s">
        <v>66</v>
      </c>
      <c r="C20" s="46" t="s">
        <v>247</v>
      </c>
      <c r="D20" s="47" t="s">
        <v>248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249</v>
      </c>
      <c r="C21" s="46" t="s">
        <v>81</v>
      </c>
      <c r="D21" s="47" t="s">
        <v>250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249</v>
      </c>
      <c r="C22" s="46" t="s">
        <v>118</v>
      </c>
      <c r="D22" s="47" t="s">
        <v>251</v>
      </c>
      <c r="E22" s="48">
        <v>4.0</v>
      </c>
      <c r="F22" s="48">
        <v>3.0</v>
      </c>
      <c r="G22" s="48">
        <v>2.0</v>
      </c>
      <c r="H22" s="49"/>
      <c r="I22" s="49">
        <f t="shared" si="1"/>
        <v>9</v>
      </c>
      <c r="J22" s="50">
        <v>0.0</v>
      </c>
      <c r="K22" s="51">
        <f t="shared" si="2"/>
        <v>9</v>
      </c>
      <c r="L22" s="45"/>
      <c r="M22" s="52">
        <f t="shared" si="3"/>
        <v>9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252</v>
      </c>
      <c r="C23" s="46" t="s">
        <v>253</v>
      </c>
      <c r="D23" s="47" t="s">
        <v>254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0.0</v>
      </c>
      <c r="K23" s="51">
        <f t="shared" si="2"/>
        <v>10</v>
      </c>
      <c r="L23" s="45"/>
      <c r="M23" s="52">
        <f t="shared" si="3"/>
        <v>10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99</v>
      </c>
      <c r="C24" s="46" t="s">
        <v>255</v>
      </c>
      <c r="D24" s="47" t="s">
        <v>256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52</v>
      </c>
      <c r="O24" s="54">
        <f>SUM(O18:O23)</f>
        <v>0</v>
      </c>
      <c r="P24" s="2"/>
      <c r="Q24" s="2"/>
      <c r="R24" s="2"/>
    </row>
    <row r="25" ht="24.75" customHeight="1">
      <c r="A25" s="45">
        <v>9.0</v>
      </c>
      <c r="B25" s="46" t="s">
        <v>99</v>
      </c>
      <c r="C25" s="46" t="s">
        <v>257</v>
      </c>
      <c r="D25" s="47" t="s">
        <v>258</v>
      </c>
      <c r="E25" s="48">
        <v>4.0</v>
      </c>
      <c r="F25" s="48">
        <v>3.0</v>
      </c>
      <c r="G25" s="48">
        <v>2.0</v>
      </c>
      <c r="H25" s="49"/>
      <c r="I25" s="49">
        <f t="shared" si="1"/>
        <v>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99</v>
      </c>
      <c r="C26" s="46" t="s">
        <v>259</v>
      </c>
      <c r="D26" s="47" t="s">
        <v>260</v>
      </c>
      <c r="E26" s="48">
        <v>2.0</v>
      </c>
      <c r="F26" s="48">
        <v>2.0</v>
      </c>
      <c r="G26" s="48">
        <v>2.0</v>
      </c>
      <c r="H26" s="49"/>
      <c r="I26" s="49">
        <f t="shared" si="1"/>
        <v>6</v>
      </c>
      <c r="J26" s="50">
        <v>2.0</v>
      </c>
      <c r="K26" s="51">
        <f t="shared" si="2"/>
        <v>6</v>
      </c>
      <c r="L26" s="45"/>
      <c r="M26" s="52">
        <f t="shared" si="3"/>
        <v>6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261</v>
      </c>
      <c r="C27" s="46" t="s">
        <v>99</v>
      </c>
      <c r="D27" s="46" t="s">
        <v>25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84</v>
      </c>
      <c r="C28" s="46" t="s">
        <v>102</v>
      </c>
      <c r="D28" s="47" t="s">
        <v>262</v>
      </c>
      <c r="E28" s="48">
        <v>4.0</v>
      </c>
      <c r="F28" s="48">
        <v>3.0</v>
      </c>
      <c r="G28" s="48">
        <v>2.0</v>
      </c>
      <c r="H28" s="49"/>
      <c r="I28" s="49">
        <f t="shared" si="1"/>
        <v>9</v>
      </c>
      <c r="J28" s="50">
        <v>0.0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84</v>
      </c>
      <c r="C29" s="46" t="s">
        <v>28</v>
      </c>
      <c r="D29" s="47" t="s">
        <v>263</v>
      </c>
      <c r="E29" s="48">
        <v>5.0</v>
      </c>
      <c r="F29" s="48">
        <v>3.0</v>
      </c>
      <c r="G29" s="48">
        <v>2.0</v>
      </c>
      <c r="H29" s="49"/>
      <c r="I29" s="49">
        <f t="shared" si="1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84</v>
      </c>
      <c r="C30" s="46" t="s">
        <v>264</v>
      </c>
      <c r="D30" s="47" t="s">
        <v>265</v>
      </c>
      <c r="E30" s="48">
        <v>4.0</v>
      </c>
      <c r="F30" s="48">
        <v>3.0</v>
      </c>
      <c r="G30" s="48">
        <v>2.0</v>
      </c>
      <c r="H30" s="49"/>
      <c r="I30" s="49">
        <f t="shared" si="1"/>
        <v>9</v>
      </c>
      <c r="J30" s="50">
        <v>0.0</v>
      </c>
      <c r="K30" s="51">
        <f t="shared" si="2"/>
        <v>9</v>
      </c>
      <c r="L30" s="45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84</v>
      </c>
      <c r="C31" s="46" t="s">
        <v>85</v>
      </c>
      <c r="D31" s="47" t="s">
        <v>266</v>
      </c>
      <c r="E31" s="48">
        <v>5.0</v>
      </c>
      <c r="F31" s="48">
        <v>3.0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84</v>
      </c>
      <c r="C32" s="46" t="s">
        <v>124</v>
      </c>
      <c r="D32" s="47" t="s">
        <v>76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267</v>
      </c>
      <c r="C33" s="46" t="s">
        <v>84</v>
      </c>
      <c r="D33" s="47" t="s">
        <v>268</v>
      </c>
      <c r="E33" s="48">
        <v>4.0</v>
      </c>
      <c r="F33" s="48">
        <v>2.0</v>
      </c>
      <c r="G33" s="48">
        <v>2.0</v>
      </c>
      <c r="H33" s="49"/>
      <c r="I33" s="49">
        <f t="shared" si="1"/>
        <v>8</v>
      </c>
      <c r="J33" s="50">
        <v>2.0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269</v>
      </c>
      <c r="C34" s="46" t="s">
        <v>270</v>
      </c>
      <c r="D34" s="47" t="s">
        <v>271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89</v>
      </c>
      <c r="C35" s="46" t="s">
        <v>153</v>
      </c>
      <c r="D35" s="47" t="s">
        <v>272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93</v>
      </c>
      <c r="C36" s="46" t="s">
        <v>127</v>
      </c>
      <c r="D36" s="47" t="s">
        <v>273</v>
      </c>
      <c r="E36" s="48">
        <v>4.0</v>
      </c>
      <c r="F36" s="48">
        <v>2.0</v>
      </c>
      <c r="G36" s="48">
        <v>2.0</v>
      </c>
      <c r="H36" s="49"/>
      <c r="I36" s="49">
        <f t="shared" si="1"/>
        <v>8</v>
      </c>
      <c r="J36" s="50">
        <v>0.0</v>
      </c>
      <c r="K36" s="51">
        <f t="shared" si="2"/>
        <v>8</v>
      </c>
      <c r="L36" s="45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180</v>
      </c>
      <c r="C37" s="46" t="s">
        <v>27</v>
      </c>
      <c r="D37" s="47" t="s">
        <v>274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42</v>
      </c>
      <c r="C38" s="46" t="s">
        <v>275</v>
      </c>
      <c r="D38" s="47" t="s">
        <v>276</v>
      </c>
      <c r="E38" s="48">
        <v>4.0</v>
      </c>
      <c r="F38" s="48">
        <v>3.0</v>
      </c>
      <c r="G38" s="48">
        <v>2.0</v>
      </c>
      <c r="H38" s="49"/>
      <c r="I38" s="49">
        <f t="shared" si="1"/>
        <v>9</v>
      </c>
      <c r="J38" s="50">
        <v>0.0</v>
      </c>
      <c r="K38" s="51">
        <f t="shared" si="2"/>
        <v>9</v>
      </c>
      <c r="L38" s="45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277</v>
      </c>
      <c r="C39" s="46" t="s">
        <v>278</v>
      </c>
      <c r="D39" s="47" t="s">
        <v>279</v>
      </c>
      <c r="E39" s="48">
        <v>4.0</v>
      </c>
      <c r="F39" s="48">
        <v>3.0</v>
      </c>
      <c r="G39" s="48">
        <v>2.0</v>
      </c>
      <c r="H39" s="49"/>
      <c r="I39" s="49">
        <f t="shared" si="1"/>
        <v>9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280</v>
      </c>
      <c r="C40" s="46" t="s">
        <v>281</v>
      </c>
      <c r="D40" s="47" t="s">
        <v>282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283</v>
      </c>
      <c r="C41" s="46" t="s">
        <v>284</v>
      </c>
      <c r="D41" s="47" t="s">
        <v>172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285</v>
      </c>
      <c r="C42" s="46" t="s">
        <v>286</v>
      </c>
      <c r="D42" s="47" t="s">
        <v>287</v>
      </c>
      <c r="E42" s="48">
        <v>4.0</v>
      </c>
      <c r="F42" s="48">
        <v>3.0</v>
      </c>
      <c r="G42" s="48">
        <v>2.0</v>
      </c>
      <c r="H42" s="49"/>
      <c r="I42" s="49">
        <f t="shared" si="1"/>
        <v>9</v>
      </c>
      <c r="J42" s="50">
        <v>0.0</v>
      </c>
      <c r="K42" s="51">
        <f t="shared" si="2"/>
        <v>9</v>
      </c>
      <c r="L42" s="45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54</v>
      </c>
      <c r="C43" s="46" t="s">
        <v>288</v>
      </c>
      <c r="D43" s="47" t="s">
        <v>289</v>
      </c>
      <c r="E43" s="48">
        <v>4.0</v>
      </c>
      <c r="F43" s="48">
        <v>3.0</v>
      </c>
      <c r="G43" s="48">
        <v>2.0</v>
      </c>
      <c r="H43" s="49"/>
      <c r="I43" s="49">
        <f t="shared" si="1"/>
        <v>9</v>
      </c>
      <c r="J43" s="50">
        <v>0.0</v>
      </c>
      <c r="K43" s="51">
        <f t="shared" si="2"/>
        <v>9</v>
      </c>
      <c r="L43" s="45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114</v>
      </c>
      <c r="C44" s="46" t="s">
        <v>112</v>
      </c>
      <c r="D44" s="47" t="s">
        <v>290</v>
      </c>
      <c r="E44" s="48">
        <v>4.0</v>
      </c>
      <c r="F44" s="48">
        <v>3.0</v>
      </c>
      <c r="G44" s="48">
        <v>2.0</v>
      </c>
      <c r="H44" s="49"/>
      <c r="I44" s="49">
        <f t="shared" si="1"/>
        <v>9</v>
      </c>
      <c r="J44" s="50">
        <v>2.0</v>
      </c>
      <c r="K44" s="51">
        <f t="shared" si="2"/>
        <v>9</v>
      </c>
      <c r="L44" s="45"/>
      <c r="M44" s="52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247</v>
      </c>
      <c r="C45" s="46" t="s">
        <v>291</v>
      </c>
      <c r="D45" s="47" t="s">
        <v>292</v>
      </c>
      <c r="E45" s="48">
        <v>4.0</v>
      </c>
      <c r="F45" s="48">
        <v>3.0</v>
      </c>
      <c r="G45" s="48">
        <v>2.0</v>
      </c>
      <c r="H45" s="49"/>
      <c r="I45" s="49">
        <f t="shared" si="1"/>
        <v>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219</v>
      </c>
      <c r="C46" s="46" t="s">
        <v>99</v>
      </c>
      <c r="D46" s="47" t="s">
        <v>80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118</v>
      </c>
      <c r="C47" s="46" t="s">
        <v>293</v>
      </c>
      <c r="D47" s="47" t="s">
        <v>294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295</v>
      </c>
      <c r="C48" s="46" t="s">
        <v>296</v>
      </c>
      <c r="D48" s="47" t="s">
        <v>297</v>
      </c>
      <c r="E48" s="48">
        <v>5.0</v>
      </c>
      <c r="F48" s="48">
        <v>3.0</v>
      </c>
      <c r="G48" s="48">
        <v>2.0</v>
      </c>
      <c r="H48" s="49"/>
      <c r="I48" s="49">
        <f t="shared" si="1"/>
        <v>10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124</v>
      </c>
      <c r="C49" s="46" t="s">
        <v>28</v>
      </c>
      <c r="D49" s="47" t="s">
        <v>298</v>
      </c>
      <c r="E49" s="48">
        <v>5.0</v>
      </c>
      <c r="F49" s="48">
        <v>3.0</v>
      </c>
      <c r="G49" s="48">
        <v>2.0</v>
      </c>
      <c r="H49" s="49"/>
      <c r="I49" s="49">
        <f t="shared" si="1"/>
        <v>10</v>
      </c>
      <c r="J49" s="50">
        <v>0.0</v>
      </c>
      <c r="K49" s="51">
        <f t="shared" si="2"/>
        <v>10</v>
      </c>
      <c r="L49" s="45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124</v>
      </c>
      <c r="C50" s="46" t="s">
        <v>84</v>
      </c>
      <c r="D50" s="47" t="s">
        <v>299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112</v>
      </c>
      <c r="C51" s="46" t="s">
        <v>300</v>
      </c>
      <c r="D51" s="47" t="s">
        <v>301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227</v>
      </c>
      <c r="C52" s="46" t="s">
        <v>75</v>
      </c>
      <c r="D52" s="47" t="s">
        <v>302</v>
      </c>
      <c r="E52" s="48">
        <v>4.0</v>
      </c>
      <c r="F52" s="48">
        <v>3.0</v>
      </c>
      <c r="G52" s="48">
        <v>2.0</v>
      </c>
      <c r="H52" s="49"/>
      <c r="I52" s="49">
        <f t="shared" si="1"/>
        <v>9</v>
      </c>
      <c r="J52" s="50">
        <v>0.0</v>
      </c>
      <c r="K52" s="51">
        <f t="shared" si="2"/>
        <v>9</v>
      </c>
      <c r="L52" s="45"/>
      <c r="M52" s="46">
        <f t="shared" si="3"/>
        <v>9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231</v>
      </c>
      <c r="C53" s="46" t="s">
        <v>303</v>
      </c>
      <c r="D53" s="47" t="s">
        <v>304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305</v>
      </c>
      <c r="C54" s="46" t="s">
        <v>306</v>
      </c>
      <c r="D54" s="47" t="s">
        <v>307</v>
      </c>
      <c r="E54" s="48">
        <v>4.0</v>
      </c>
      <c r="F54" s="48">
        <v>3.0</v>
      </c>
      <c r="G54" s="48">
        <v>2.0</v>
      </c>
      <c r="H54" s="49"/>
      <c r="I54" s="49">
        <f t="shared" si="1"/>
        <v>9</v>
      </c>
      <c r="J54" s="48">
        <v>0.0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233</v>
      </c>
      <c r="C55" s="46" t="s">
        <v>308</v>
      </c>
      <c r="D55" s="47" t="s">
        <v>309</v>
      </c>
      <c r="E55" s="48">
        <v>4.0</v>
      </c>
      <c r="F55" s="48">
        <v>3.0</v>
      </c>
      <c r="G55" s="48">
        <v>2.0</v>
      </c>
      <c r="H55" s="49"/>
      <c r="I55" s="49">
        <f t="shared" si="1"/>
        <v>9</v>
      </c>
      <c r="J55" s="50">
        <v>0.0</v>
      </c>
      <c r="K55" s="51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167</v>
      </c>
      <c r="C56" s="46" t="s">
        <v>310</v>
      </c>
      <c r="D56" s="46" t="s">
        <v>311</v>
      </c>
      <c r="E56" s="48">
        <v>5.0</v>
      </c>
      <c r="F56" s="48">
        <v>3.0</v>
      </c>
      <c r="G56" s="48">
        <v>2.0</v>
      </c>
      <c r="H56" s="49"/>
      <c r="I56" s="49">
        <f t="shared" si="1"/>
        <v>10</v>
      </c>
      <c r="J56" s="50">
        <v>0.0</v>
      </c>
      <c r="K56" s="51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312</v>
      </c>
      <c r="C57" s="46" t="s">
        <v>38</v>
      </c>
      <c r="D57" s="46" t="s">
        <v>313</v>
      </c>
      <c r="E57" s="48">
        <v>4.0</v>
      </c>
      <c r="F57" s="48">
        <v>2.0</v>
      </c>
      <c r="G57" s="48">
        <v>2.0</v>
      </c>
      <c r="H57" s="49"/>
      <c r="I57" s="49">
        <f t="shared" si="1"/>
        <v>8</v>
      </c>
      <c r="J57" s="48">
        <v>0.0</v>
      </c>
      <c r="K57" s="51">
        <f t="shared" si="2"/>
        <v>8</v>
      </c>
      <c r="L57" s="45"/>
      <c r="M57" s="46">
        <f t="shared" si="3"/>
        <v>8</v>
      </c>
      <c r="N57" s="1"/>
      <c r="O57" s="1"/>
      <c r="P57" s="2"/>
      <c r="Q57" s="2"/>
      <c r="R57" s="2"/>
    </row>
    <row r="58" ht="24.75" customHeight="1">
      <c r="A58" s="6"/>
      <c r="B58" s="56"/>
      <c r="C58" s="56"/>
      <c r="D58" s="57"/>
      <c r="E58" s="58"/>
      <c r="F58" s="58"/>
      <c r="G58" s="58"/>
      <c r="H58" s="58"/>
      <c r="I58" s="58"/>
      <c r="J58" s="58"/>
      <c r="K58" s="56"/>
      <c r="L58" s="7"/>
      <c r="M58" s="56"/>
      <c r="N58" s="1"/>
      <c r="O58" s="1"/>
      <c r="P58" s="2"/>
      <c r="Q58" s="2"/>
      <c r="R58" s="2"/>
    </row>
    <row r="59" ht="24.75" customHeight="1">
      <c r="A59" s="1"/>
      <c r="B59" s="59" t="s">
        <v>135</v>
      </c>
      <c r="C59" s="60"/>
      <c r="D59" s="106">
        <f>COUNT(A17:A57)</f>
        <v>41</v>
      </c>
      <c r="E59" s="58"/>
      <c r="F59" s="58"/>
      <c r="G59" s="107" t="s">
        <v>314</v>
      </c>
      <c r="H59" s="58"/>
      <c r="I59" s="62" t="s">
        <v>137</v>
      </c>
      <c r="K59" s="63" t="s">
        <v>138</v>
      </c>
      <c r="L59" s="64" t="s">
        <v>139</v>
      </c>
      <c r="M59" s="56"/>
      <c r="N59" s="1"/>
      <c r="O59" s="1"/>
      <c r="P59" s="2"/>
      <c r="Q59" s="2"/>
      <c r="R59" s="2"/>
    </row>
    <row r="60" ht="24.75" customHeight="1">
      <c r="A60" s="1"/>
      <c r="B60" s="65" t="s">
        <v>140</v>
      </c>
      <c r="C60" s="66"/>
      <c r="D60" s="67">
        <f>COUNTIF(K17:K57,"BAJA")</f>
        <v>0</v>
      </c>
      <c r="E60" s="58"/>
      <c r="F60" s="58"/>
      <c r="H60" s="58"/>
      <c r="L60" s="9"/>
      <c r="M60" s="56"/>
      <c r="N60" s="1"/>
      <c r="O60" s="1"/>
      <c r="P60" s="2"/>
      <c r="Q60" s="2"/>
      <c r="R60" s="2"/>
    </row>
    <row r="61" ht="24.75" customHeight="1">
      <c r="A61" s="1"/>
      <c r="B61" s="65" t="s">
        <v>141</v>
      </c>
      <c r="C61" s="66"/>
      <c r="D61" s="68">
        <f>D59-D60</f>
        <v>41</v>
      </c>
      <c r="E61" s="58"/>
      <c r="F61" s="58"/>
      <c r="G61" s="58"/>
      <c r="H61" s="58"/>
      <c r="I61" s="58"/>
      <c r="J61" s="58"/>
      <c r="K61" s="56"/>
      <c r="L61" s="7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142</v>
      </c>
      <c r="C62" s="66"/>
      <c r="D62" s="68">
        <f>COUNTIF(K17:K57,"&gt;=6")</f>
        <v>41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143</v>
      </c>
      <c r="C63" s="66"/>
      <c r="D63" s="68">
        <f>D61-D62</f>
        <v>0</v>
      </c>
      <c r="E63" s="58"/>
      <c r="F63" s="58"/>
      <c r="G63" s="69"/>
      <c r="H63" s="58"/>
      <c r="I63" s="69"/>
      <c r="J63" s="69"/>
      <c r="K63" s="70"/>
      <c r="L63" s="71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144</v>
      </c>
      <c r="C64" s="66"/>
      <c r="D64" s="72">
        <f>D62*100/D61</f>
        <v>100</v>
      </c>
      <c r="E64" s="58"/>
      <c r="F64" s="58"/>
      <c r="G64" s="108" t="s">
        <v>315</v>
      </c>
      <c r="H64" s="58"/>
      <c r="I64" s="58"/>
      <c r="K64" s="75" t="s">
        <v>147</v>
      </c>
      <c r="L64" s="76" t="s">
        <v>148</v>
      </c>
      <c r="M64" s="56"/>
      <c r="N64" s="1"/>
      <c r="O64" s="1"/>
      <c r="P64" s="2"/>
      <c r="Q64" s="2"/>
      <c r="R64" s="2"/>
    </row>
    <row r="65" ht="24.75" customHeight="1">
      <c r="A65" s="1"/>
      <c r="B65" s="77" t="s">
        <v>149</v>
      </c>
      <c r="C65" s="78"/>
      <c r="D65" s="79">
        <f>AVERAGE(K17:K57)</f>
        <v>9.341463415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109"/>
      <c r="E66" s="82"/>
      <c r="F66" s="82"/>
      <c r="G66" s="82"/>
      <c r="H66" s="82"/>
      <c r="I66" s="82"/>
      <c r="J66" s="82"/>
      <c r="K66" s="81"/>
      <c r="L66" s="84"/>
      <c r="M66" s="81"/>
      <c r="N66" s="2"/>
      <c r="O66" s="2"/>
      <c r="P66" s="2"/>
      <c r="Q66" s="2"/>
      <c r="R66" s="2"/>
    </row>
    <row r="67" ht="24.75" customHeight="1">
      <c r="A67" s="85"/>
      <c r="B67" s="86"/>
      <c r="C67" s="87"/>
      <c r="D67" s="87"/>
      <c r="E67" s="88"/>
      <c r="H67" s="88"/>
      <c r="I67" s="88"/>
      <c r="J67" s="89"/>
      <c r="K67" s="90"/>
      <c r="L67" s="91"/>
      <c r="M67" s="90"/>
      <c r="N67" s="2"/>
      <c r="O67" s="2"/>
      <c r="P67" s="2"/>
      <c r="Q67" s="2"/>
      <c r="R67" s="2"/>
    </row>
    <row r="68" ht="24.75" customHeight="1">
      <c r="A68" s="92"/>
      <c r="B68" s="90"/>
      <c r="C68" s="90"/>
      <c r="D68" s="90"/>
      <c r="E68" s="88"/>
      <c r="F68" s="88"/>
      <c r="G68" s="82"/>
      <c r="H68" s="82"/>
      <c r="I68" s="82"/>
      <c r="J68" s="83"/>
      <c r="K68" s="81"/>
      <c r="L68" s="84"/>
      <c r="M68" s="81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5"/>
      <c r="B70" s="96"/>
      <c r="C70" s="96"/>
      <c r="D70" s="110"/>
      <c r="E70" s="98"/>
      <c r="F70" s="98"/>
      <c r="G70" s="99"/>
      <c r="H70" s="99"/>
      <c r="I70" s="99"/>
      <c r="J70" s="99"/>
      <c r="K70" s="101"/>
      <c r="L70" s="111"/>
      <c r="M70" s="81"/>
      <c r="N70" s="2"/>
      <c r="O70" s="2"/>
      <c r="P70" s="2"/>
      <c r="Q70" s="2"/>
      <c r="R70" s="2"/>
    </row>
    <row r="71" ht="24.75" customHeight="1">
      <c r="A71" s="2"/>
      <c r="B71" s="90"/>
      <c r="C71" s="90"/>
      <c r="D71" s="89"/>
      <c r="E71" s="88"/>
      <c r="F71" s="88"/>
      <c r="G71" s="82"/>
      <c r="H71" s="82"/>
      <c r="I71" s="82"/>
      <c r="J71" s="83"/>
      <c r="K71" s="112"/>
      <c r="L71" s="105"/>
      <c r="M71" s="112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0" priority="5" stopIfTrue="1" operator="greaterThan">
      <formula>5</formula>
    </cfRule>
  </conditionalFormatting>
  <conditionalFormatting sqref="K17:K57">
    <cfRule type="cellIs" dxfId="1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K17:K71 L18:L70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