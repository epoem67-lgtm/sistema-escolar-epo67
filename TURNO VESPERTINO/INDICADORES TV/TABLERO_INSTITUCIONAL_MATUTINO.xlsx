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NO MATUTINO" sheetId="1" r:id="rId5"/>
    <sheet state="visible" name="PRIMERO" sheetId="2" r:id="rId6"/>
    <sheet state="visible" name="SEGUNDO" sheetId="3" r:id="rId7"/>
    <sheet state="visible" name="TERCERO" sheetId="4" r:id="rId8"/>
  </sheets>
  <definedNames/>
  <calcPr/>
</workbook>
</file>

<file path=xl/sharedStrings.xml><?xml version="1.0" encoding="utf-8"?>
<sst xmlns="http://schemas.openxmlformats.org/spreadsheetml/2006/main" count="14" uniqueCount="14">
  <si>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</si>
  <si>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</si>
  <si>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</si>
  <si>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</si>
  <si>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</si>
  <si>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</si>
  <si>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</si>
  <si>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</si>
  <si>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Grupo</t>
  </si>
  <si>
    <t>PROMEDIO</t>
  </si>
  <si>
    <t>PARCIAL I</t>
  </si>
  <si>
    <t>PARCIAL II</t>
  </si>
  <si>
    <t>PARCIAL III</t>
  </si>
  <si>
    <t>UAC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</si>
</sst>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m-d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4.0"/>
      <color rgb="FF6AA84F"/>
      <name val="Arial"/>
      <scheme val="minor"/>
    </font>
    <font/>
    <font>
      <b/>
      <color theme="1"/>
      <name val="Arial"/>
      <scheme val="minor"/>
    </font>
    <font>
      <sz val="19.0"/>
      <color theme="1"/>
      <name val="Arial"/>
      <scheme val="minor"/>
    </font>
    <font>
      <sz val="25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Border="1" applyFont="1"/>
    <xf borderId="3" fillId="2" fontId="2" numFmtId="0" xfId="0" applyBorder="1" applyFont="1"/>
    <xf borderId="3" fillId="2" fontId="2" numFmtId="164" xfId="0" applyBorder="1" applyFont="1" applyNumberFormat="1"/>
    <xf borderId="3" fillId="2" fontId="2" numFmtId="1" xfId="0" applyBorder="1" applyFont="1" applyNumberFormat="1"/>
    <xf borderId="4" fillId="2" fontId="2" numFmtId="165" xfId="0" applyBorder="1" applyFont="1" applyNumberFormat="1"/>
    <xf borderId="5" fillId="2" fontId="2" numFmtId="0" xfId="0" applyBorder="1" applyFont="1"/>
    <xf borderId="0" fillId="2" fontId="2" numFmtId="0" xfId="0" applyFont="1"/>
    <xf borderId="0" fillId="2" fontId="2" numFmtId="164" xfId="0" applyFont="1" applyNumberFormat="1"/>
    <xf borderId="0" fillId="2" fontId="2" numFmtId="1" xfId="0" applyFont="1" applyNumberFormat="1"/>
    <xf borderId="6" fillId="2" fontId="2" numFmtId="165" xfId="0" applyBorder="1" applyFont="1" applyNumberFormat="1"/>
    <xf borderId="7" fillId="2" fontId="2" numFmtId="0" xfId="0" applyBorder="1" applyFont="1"/>
    <xf borderId="8" fillId="2" fontId="2" numFmtId="0" xfId="0" applyBorder="1" applyFont="1"/>
    <xf borderId="8" fillId="2" fontId="2" numFmtId="164" xfId="0" applyBorder="1" applyFont="1" applyNumberFormat="1"/>
    <xf borderId="8" fillId="2" fontId="2" numFmtId="1" xfId="0" applyBorder="1" applyFont="1" applyNumberFormat="1"/>
    <xf borderId="9" fillId="2" fontId="2" numFmtId="165" xfId="0" applyBorder="1" applyFont="1" applyNumberFormat="1"/>
    <xf borderId="2" fillId="3" fontId="2" numFmtId="0" xfId="0" applyBorder="1" applyFill="1" applyFont="1"/>
    <xf borderId="3" fillId="3" fontId="2" numFmtId="0" xfId="0" applyBorder="1" applyFont="1"/>
    <xf borderId="3" fillId="3" fontId="2" numFmtId="164" xfId="0" applyBorder="1" applyFont="1" applyNumberFormat="1"/>
    <xf borderId="3" fillId="3" fontId="2" numFmtId="1" xfId="0" applyBorder="1" applyFont="1" applyNumberFormat="1"/>
    <xf borderId="4" fillId="3" fontId="2" numFmtId="165" xfId="0" applyBorder="1" applyFont="1" applyNumberFormat="1"/>
    <xf borderId="5" fillId="3" fontId="2" numFmtId="0" xfId="0" applyBorder="1" applyFont="1"/>
    <xf borderId="0" fillId="3" fontId="2" numFmtId="0" xfId="0" applyFont="1"/>
    <xf borderId="0" fillId="3" fontId="2" numFmtId="164" xfId="0" applyFont="1" applyNumberFormat="1"/>
    <xf borderId="0" fillId="3" fontId="2" numFmtId="1" xfId="0" applyFont="1" applyNumberFormat="1"/>
    <xf borderId="6" fillId="3" fontId="2" numFmtId="165" xfId="0" applyBorder="1" applyFont="1" applyNumberFormat="1"/>
    <xf borderId="7" fillId="3" fontId="2" numFmtId="0" xfId="0" applyBorder="1" applyFont="1"/>
    <xf borderId="8" fillId="3" fontId="2" numFmtId="0" xfId="0" applyBorder="1" applyFont="1"/>
    <xf borderId="8" fillId="3" fontId="2" numFmtId="164" xfId="0" applyBorder="1" applyFont="1" applyNumberFormat="1"/>
    <xf borderId="8" fillId="3" fontId="2" numFmtId="1" xfId="0" applyBorder="1" applyFont="1" applyNumberFormat="1"/>
    <xf borderId="9" fillId="3" fontId="2" numFmtId="165" xfId="0" applyBorder="1" applyFont="1" applyNumberFormat="1"/>
    <xf borderId="2" fillId="4" fontId="2" numFmtId="0" xfId="0" applyBorder="1" applyFill="1" applyFont="1"/>
    <xf borderId="3" fillId="4" fontId="2" numFmtId="0" xfId="0" applyBorder="1" applyFont="1"/>
    <xf borderId="3" fillId="4" fontId="2" numFmtId="164" xfId="0" applyBorder="1" applyFont="1" applyNumberFormat="1"/>
    <xf borderId="3" fillId="4" fontId="2" numFmtId="1" xfId="0" applyBorder="1" applyFont="1" applyNumberFormat="1"/>
    <xf borderId="4" fillId="4" fontId="2" numFmtId="165" xfId="0" applyBorder="1" applyFont="1" applyNumberFormat="1"/>
    <xf borderId="5" fillId="4" fontId="2" numFmtId="0" xfId="0" applyBorder="1" applyFont="1"/>
    <xf borderId="0" fillId="4" fontId="2" numFmtId="0" xfId="0" applyFont="1"/>
    <xf borderId="0" fillId="4" fontId="2" numFmtId="164" xfId="0" applyFont="1" applyNumberFormat="1"/>
    <xf borderId="0" fillId="4" fontId="2" numFmtId="1" xfId="0" applyFont="1" applyNumberFormat="1"/>
    <xf borderId="6" fillId="4" fontId="2" numFmtId="165" xfId="0" applyBorder="1" applyFont="1" applyNumberFormat="1"/>
    <xf borderId="7" fillId="4" fontId="2" numFmtId="0" xfId="0" applyBorder="1" applyFont="1"/>
    <xf borderId="8" fillId="4" fontId="2" numFmtId="0" xfId="0" applyBorder="1" applyFont="1"/>
    <xf borderId="8" fillId="4" fontId="2" numFmtId="164" xfId="0" applyBorder="1" applyFont="1" applyNumberFormat="1"/>
    <xf borderId="8" fillId="4" fontId="2" numFmtId="1" xfId="0" applyBorder="1" applyFont="1" applyNumberFormat="1"/>
    <xf borderId="9" fillId="4" fontId="2" numFmtId="165" xfId="0" applyBorder="1" applyFont="1" applyNumberFormat="1"/>
    <xf borderId="2" fillId="5" fontId="2" numFmtId="0" xfId="0" applyBorder="1" applyFill="1" applyFont="1"/>
    <xf borderId="3" fillId="5" fontId="2" numFmtId="0" xfId="0" applyBorder="1" applyFont="1"/>
    <xf borderId="3" fillId="5" fontId="2" numFmtId="164" xfId="0" applyBorder="1" applyFont="1" applyNumberFormat="1"/>
    <xf borderId="3" fillId="5" fontId="2" numFmtId="1" xfId="0" applyBorder="1" applyFont="1" applyNumberFormat="1"/>
    <xf borderId="4" fillId="5" fontId="2" numFmtId="165" xfId="0" applyBorder="1" applyFont="1" applyNumberFormat="1"/>
    <xf borderId="5" fillId="5" fontId="2" numFmtId="0" xfId="0" applyBorder="1" applyFont="1"/>
    <xf borderId="0" fillId="5" fontId="2" numFmtId="0" xfId="0" applyFont="1"/>
    <xf borderId="0" fillId="5" fontId="2" numFmtId="164" xfId="0" applyFont="1" applyNumberFormat="1"/>
    <xf borderId="0" fillId="5" fontId="2" numFmtId="1" xfId="0" applyFont="1" applyNumberFormat="1"/>
    <xf borderId="6" fillId="5" fontId="2" numFmtId="165" xfId="0" applyBorder="1" applyFont="1" applyNumberFormat="1"/>
    <xf borderId="7" fillId="5" fontId="2" numFmtId="0" xfId="0" applyBorder="1" applyFont="1"/>
    <xf borderId="8" fillId="5" fontId="2" numFmtId="0" xfId="0" applyBorder="1" applyFont="1"/>
    <xf borderId="8" fillId="5" fontId="2" numFmtId="164" xfId="0" applyBorder="1" applyFont="1" applyNumberFormat="1"/>
    <xf borderId="8" fillId="5" fontId="2" numFmtId="1" xfId="0" applyBorder="1" applyFont="1" applyNumberFormat="1"/>
    <xf borderId="9" fillId="5" fontId="2" numFmtId="165" xfId="0" applyBorder="1" applyFont="1" applyNumberFormat="1"/>
    <xf borderId="2" fillId="6" fontId="2" numFmtId="0" xfId="0" applyBorder="1" applyFill="1" applyFont="1"/>
    <xf borderId="3" fillId="6" fontId="2" numFmtId="0" xfId="0" applyBorder="1" applyFont="1"/>
    <xf borderId="3" fillId="6" fontId="2" numFmtId="164" xfId="0" applyBorder="1" applyFont="1" applyNumberFormat="1"/>
    <xf borderId="3" fillId="6" fontId="2" numFmtId="1" xfId="0" applyBorder="1" applyFont="1" applyNumberFormat="1"/>
    <xf borderId="4" fillId="6" fontId="2" numFmtId="165" xfId="0" applyBorder="1" applyFont="1" applyNumberFormat="1"/>
    <xf borderId="5" fillId="6" fontId="2" numFmtId="0" xfId="0" applyBorder="1" applyFont="1"/>
    <xf borderId="0" fillId="6" fontId="2" numFmtId="0" xfId="0" applyFont="1"/>
    <xf borderId="0" fillId="6" fontId="2" numFmtId="164" xfId="0" applyFont="1" applyNumberFormat="1"/>
    <xf borderId="0" fillId="6" fontId="2" numFmtId="1" xfId="0" applyFont="1" applyNumberFormat="1"/>
    <xf borderId="6" fillId="6" fontId="2" numFmtId="165" xfId="0" applyBorder="1" applyFont="1" applyNumberFormat="1"/>
    <xf borderId="7" fillId="6" fontId="2" numFmtId="0" xfId="0" applyBorder="1" applyFont="1"/>
    <xf borderId="8" fillId="6" fontId="2" numFmtId="0" xfId="0" applyBorder="1" applyFont="1"/>
    <xf borderId="8" fillId="6" fontId="2" numFmtId="164" xfId="0" applyBorder="1" applyFont="1" applyNumberFormat="1"/>
    <xf borderId="8" fillId="6" fontId="2" numFmtId="1" xfId="0" applyBorder="1" applyFont="1" applyNumberFormat="1"/>
    <xf borderId="9" fillId="6" fontId="2" numFmtId="165" xfId="0" applyBorder="1" applyFont="1" applyNumberFormat="1"/>
    <xf borderId="2" fillId="7" fontId="2" numFmtId="0" xfId="0" applyBorder="1" applyFill="1" applyFont="1"/>
    <xf borderId="3" fillId="7" fontId="2" numFmtId="0" xfId="0" applyBorder="1" applyFont="1"/>
    <xf borderId="3" fillId="7" fontId="2" numFmtId="164" xfId="0" applyBorder="1" applyFont="1" applyNumberFormat="1"/>
    <xf borderId="3" fillId="7" fontId="2" numFmtId="1" xfId="0" applyBorder="1" applyFont="1" applyNumberFormat="1"/>
    <xf borderId="4" fillId="7" fontId="2" numFmtId="166" xfId="0" applyBorder="1" applyFont="1" applyNumberFormat="1"/>
    <xf borderId="5" fillId="7" fontId="2" numFmtId="0" xfId="0" applyBorder="1" applyFont="1"/>
    <xf borderId="0" fillId="7" fontId="2" numFmtId="0" xfId="0" applyFont="1"/>
    <xf borderId="0" fillId="7" fontId="2" numFmtId="164" xfId="0" applyFont="1" applyNumberFormat="1"/>
    <xf borderId="0" fillId="7" fontId="2" numFmtId="1" xfId="0" applyFont="1" applyNumberFormat="1"/>
    <xf borderId="6" fillId="7" fontId="2" numFmtId="166" xfId="0" applyBorder="1" applyFont="1" applyNumberFormat="1"/>
    <xf borderId="7" fillId="7" fontId="2" numFmtId="0" xfId="0" applyBorder="1" applyFont="1"/>
    <xf borderId="8" fillId="7" fontId="2" numFmtId="0" xfId="0" applyBorder="1" applyFont="1"/>
    <xf borderId="8" fillId="7" fontId="2" numFmtId="164" xfId="0" applyBorder="1" applyFont="1" applyNumberFormat="1"/>
    <xf borderId="8" fillId="7" fontId="2" numFmtId="1" xfId="0" applyBorder="1" applyFont="1" applyNumberFormat="1"/>
    <xf borderId="9" fillId="7" fontId="2" numFmtId="166" xfId="0" applyBorder="1" applyFont="1" applyNumberFormat="1"/>
    <xf borderId="2" fillId="8" fontId="2" numFmtId="0" xfId="0" applyBorder="1" applyFill="1" applyFont="1"/>
    <xf borderId="3" fillId="8" fontId="2" numFmtId="0" xfId="0" applyBorder="1" applyFont="1"/>
    <xf borderId="3" fillId="8" fontId="2" numFmtId="164" xfId="0" applyBorder="1" applyFont="1" applyNumberFormat="1"/>
    <xf borderId="3" fillId="8" fontId="2" numFmtId="1" xfId="0" applyBorder="1" applyFont="1" applyNumberFormat="1"/>
    <xf borderId="4" fillId="8" fontId="2" numFmtId="165" xfId="0" applyBorder="1" applyFont="1" applyNumberFormat="1"/>
    <xf borderId="5" fillId="8" fontId="2" numFmtId="0" xfId="0" applyBorder="1" applyFont="1"/>
    <xf borderId="0" fillId="8" fontId="2" numFmtId="0" xfId="0" applyFont="1"/>
    <xf borderId="0" fillId="8" fontId="2" numFmtId="164" xfId="0" applyFont="1" applyNumberFormat="1"/>
    <xf borderId="0" fillId="8" fontId="2" numFmtId="1" xfId="0" applyFont="1" applyNumberFormat="1"/>
    <xf borderId="6" fillId="8" fontId="2" numFmtId="165" xfId="0" applyBorder="1" applyFont="1" applyNumberFormat="1"/>
    <xf borderId="7" fillId="8" fontId="2" numFmtId="0" xfId="0" applyBorder="1" applyFont="1"/>
    <xf borderId="8" fillId="8" fontId="2" numFmtId="0" xfId="0" applyBorder="1" applyFont="1"/>
    <xf borderId="8" fillId="8" fontId="2" numFmtId="164" xfId="0" applyBorder="1" applyFont="1" applyNumberFormat="1"/>
    <xf borderId="8" fillId="8" fontId="2" numFmtId="1" xfId="0" applyBorder="1" applyFont="1" applyNumberFormat="1"/>
    <xf borderId="9" fillId="8" fontId="2" numFmtId="165" xfId="0" applyBorder="1" applyFont="1" applyNumberFormat="1"/>
    <xf borderId="2" fillId="9" fontId="2" numFmtId="0" xfId="0" applyBorder="1" applyFill="1" applyFont="1"/>
    <xf borderId="3" fillId="9" fontId="2" numFmtId="0" xfId="0" applyBorder="1" applyFont="1"/>
    <xf borderId="3" fillId="9" fontId="2" numFmtId="164" xfId="0" applyBorder="1" applyFont="1" applyNumberFormat="1"/>
    <xf borderId="3" fillId="9" fontId="2" numFmtId="1" xfId="0" applyBorder="1" applyFont="1" applyNumberFormat="1"/>
    <xf borderId="4" fillId="9" fontId="2" numFmtId="165" xfId="0" applyBorder="1" applyFont="1" applyNumberFormat="1"/>
    <xf borderId="5" fillId="9" fontId="2" numFmtId="0" xfId="0" applyBorder="1" applyFont="1"/>
    <xf borderId="0" fillId="9" fontId="2" numFmtId="0" xfId="0" applyFont="1"/>
    <xf borderId="0" fillId="9" fontId="2" numFmtId="164" xfId="0" applyFont="1" applyNumberFormat="1"/>
    <xf borderId="0" fillId="9" fontId="2" numFmtId="1" xfId="0" applyFont="1" applyNumberFormat="1"/>
    <xf borderId="6" fillId="9" fontId="2" numFmtId="165" xfId="0" applyBorder="1" applyFont="1" applyNumberFormat="1"/>
    <xf borderId="7" fillId="9" fontId="2" numFmtId="0" xfId="0" applyBorder="1" applyFont="1"/>
    <xf borderId="8" fillId="9" fontId="2" numFmtId="0" xfId="0" applyBorder="1" applyFont="1"/>
    <xf borderId="8" fillId="9" fontId="2" numFmtId="164" xfId="0" applyBorder="1" applyFont="1" applyNumberFormat="1"/>
    <xf borderId="8" fillId="9" fontId="2" numFmtId="1" xfId="0" applyBorder="1" applyFont="1" applyNumberFormat="1"/>
    <xf borderId="9" fillId="9" fontId="2" numFmtId="165" xfId="0" applyBorder="1" applyFont="1" applyNumberFormat="1"/>
    <xf borderId="2" fillId="10" fontId="2" numFmtId="0" xfId="0" applyBorder="1" applyFill="1" applyFont="1"/>
    <xf borderId="3" fillId="10" fontId="2" numFmtId="0" xfId="0" applyBorder="1" applyFont="1"/>
    <xf borderId="3" fillId="10" fontId="2" numFmtId="164" xfId="0" applyBorder="1" applyFont="1" applyNumberFormat="1"/>
    <xf borderId="3" fillId="10" fontId="2" numFmtId="1" xfId="0" applyBorder="1" applyFont="1" applyNumberFormat="1"/>
    <xf borderId="4" fillId="10" fontId="2" numFmtId="165" xfId="0" applyBorder="1" applyFont="1" applyNumberFormat="1"/>
    <xf borderId="5" fillId="10" fontId="2" numFmtId="0" xfId="0" applyBorder="1" applyFont="1"/>
    <xf borderId="0" fillId="10" fontId="2" numFmtId="0" xfId="0" applyFont="1"/>
    <xf borderId="0" fillId="10" fontId="2" numFmtId="164" xfId="0" applyFont="1" applyNumberFormat="1"/>
    <xf borderId="0" fillId="10" fontId="2" numFmtId="1" xfId="0" applyFont="1" applyNumberFormat="1"/>
    <xf borderId="6" fillId="10" fontId="2" numFmtId="165" xfId="0" applyBorder="1" applyFont="1" applyNumberFormat="1"/>
    <xf borderId="7" fillId="10" fontId="2" numFmtId="0" xfId="0" applyBorder="1" applyFont="1"/>
    <xf borderId="8" fillId="10" fontId="2" numFmtId="0" xfId="0" applyBorder="1" applyFont="1"/>
    <xf borderId="8" fillId="10" fontId="2" numFmtId="164" xfId="0" applyBorder="1" applyFont="1" applyNumberFormat="1"/>
    <xf borderId="8" fillId="10" fontId="2" numFmtId="1" xfId="0" applyBorder="1" applyFont="1" applyNumberFormat="1"/>
    <xf borderId="9" fillId="10" fontId="2" numFmtId="165" xfId="0" applyBorder="1" applyFont="1" applyNumberFormat="1"/>
    <xf borderId="10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5" numFmtId="0" xfId="0" applyAlignment="1" applyBorder="1" applyFont="1">
      <alignment horizontal="center" readingOrder="0" vertical="center"/>
    </xf>
    <xf borderId="15" fillId="0" fontId="2" numFmtId="165" xfId="0" applyAlignment="1" applyBorder="1" applyFont="1" applyNumberFormat="1">
      <alignment horizontal="center" readingOrder="0" vertical="center"/>
    </xf>
    <xf borderId="16" fillId="0" fontId="2" numFmtId="165" xfId="0" applyAlignment="1" applyBorder="1" applyFont="1" applyNumberFormat="1">
      <alignment horizontal="center" readingOrder="0" vertical="center"/>
    </xf>
    <xf borderId="17" fillId="0" fontId="2" numFmtId="165" xfId="0" applyAlignment="1" applyBorder="1" applyFont="1" applyNumberFormat="1">
      <alignment horizontal="center" readingOrder="0" vertical="center"/>
    </xf>
    <xf borderId="18" fillId="0" fontId="2" numFmtId="0" xfId="0" applyAlignment="1" applyBorder="1" applyFont="1">
      <alignment horizontal="center" vertical="center"/>
    </xf>
    <xf borderId="15" fillId="0" fontId="2" numFmtId="164" xfId="0" applyAlignment="1" applyBorder="1" applyFont="1" applyNumberFormat="1">
      <alignment horizontal="center" vertical="center"/>
    </xf>
    <xf borderId="16" fillId="0" fontId="2" numFmtId="164" xfId="0" applyAlignment="1" applyBorder="1" applyFont="1" applyNumberFormat="1">
      <alignment horizontal="center" vertical="center"/>
    </xf>
    <xf borderId="17" fillId="0" fontId="2" numFmtId="164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9" fillId="0" fontId="2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20" fillId="0" fontId="2" numFmtId="164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18" fillId="0" fontId="6" numFmtId="164" xfId="0" applyAlignment="1" applyBorder="1" applyFont="1" applyNumberFormat="1">
      <alignment horizontal="center" vertical="center"/>
    </xf>
    <xf borderId="21" fillId="0" fontId="7" numFmtId="164" xfId="0" applyAlignment="1" applyBorder="1" applyFont="1" applyNumberFormat="1">
      <alignment horizontal="center" vertical="center"/>
    </xf>
    <xf borderId="22" fillId="0" fontId="4" numFmtId="0" xfId="0" applyBorder="1" applyFont="1"/>
    <xf borderId="23" fillId="0" fontId="4" numFmtId="0" xfId="0" applyBorder="1" applyFont="1"/>
    <xf borderId="2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PRIMER GRADO PARCIAL 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PRIMERO!$B$14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PRIMERO!$C$14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PRIMERO!$D$14</c:f>
              <c:numCache/>
            </c:numRef>
          </c:val>
        </c:ser>
        <c:axId val="2110679079"/>
        <c:axId val="721626501"/>
      </c:barChart>
      <c:catAx>
        <c:axId val="2110679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626501"/>
      </c:catAx>
      <c:valAx>
        <c:axId val="721626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679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3524250</xdr:colOff>
      <xdr:row>16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f>IFERROR(__xludf.DUMMYFUNCTION("IMPORTRANGE(""https://docs.google.com/spreadsheets/d/1yE2bVnWkWF--pAxAHe5w8xpgNOtO54kuuoafly0-jNE/edit?usp=sharing"",""INDICADORES!N2:V34"")"),1.0)</f>
        <v>1</v>
      </c>
      <c r="B2" s="3" t="str">
        <f>IFERROR(__xludf.DUMMYFUNCTION("""COMPUTED_VALUE"""),"LENGUA Y COMUNICACIÓN II")</f>
        <v>LENGUA Y COMUNICACIÓN II</v>
      </c>
      <c r="C2" s="4">
        <f>IFERROR(__xludf.DUMMYFUNCTION("""COMPUTED_VALUE"""),94.68553459119497)</f>
        <v>94.68553459</v>
      </c>
      <c r="D2" s="4">
        <f>IFERROR(__xludf.DUMMYFUNCTION("""COMPUTED_VALUE"""),7.113207547169812)</f>
        <v>7.113207547</v>
      </c>
      <c r="E2" s="4">
        <f>IFERROR(__xludf.DUMMYFUNCTION("""COMPUTED_VALUE"""),3.7735849056603774)</f>
        <v>3.773584906</v>
      </c>
      <c r="F2" s="5">
        <f>IFERROR(__xludf.DUMMYFUNCTION("""COMPUTED_VALUE"""),2.0)</f>
        <v>2</v>
      </c>
      <c r="G2" s="4">
        <f>IFERROR(__xludf.DUMMYFUNCTION("""COMPUTED_VALUE"""),96.22641509433963)</f>
        <v>96.22641509</v>
      </c>
      <c r="H2" s="3">
        <f>IFERROR(__xludf.DUMMYFUNCTION("""COMPUTED_VALUE"""),1.0)</f>
        <v>1</v>
      </c>
      <c r="I2" s="6">
        <f>IFERROR(__xludf.DUMMYFUNCTION("""COMPUTED_VALUE"""),46023.0)</f>
        <v>46023</v>
      </c>
    </row>
    <row r="3">
      <c r="A3" s="7">
        <f>IFERROR(__xludf.DUMMYFUNCTION("""COMPUTED_VALUE"""),1.0)</f>
        <v>1</v>
      </c>
      <c r="B3" s="8" t="str">
        <f>IFERROR(__xludf.DUMMYFUNCTION("""COMPUTED_VALUE"""),"INGLÉS II")</f>
        <v>INGLÉS II</v>
      </c>
      <c r="C3" s="9">
        <f>IFERROR(__xludf.DUMMYFUNCTION("""COMPUTED_VALUE"""),99.51482479784366)</f>
        <v>99.5148248</v>
      </c>
      <c r="D3" s="9">
        <f>IFERROR(__xludf.DUMMYFUNCTION("""COMPUTED_VALUE"""),8.641509433962264)</f>
        <v>8.641509434</v>
      </c>
      <c r="E3" s="9">
        <f>IFERROR(__xludf.DUMMYFUNCTION("""COMPUTED_VALUE"""),7.547169811320755)</f>
        <v>7.547169811</v>
      </c>
      <c r="F3" s="10">
        <f>IFERROR(__xludf.DUMMYFUNCTION("""COMPUTED_VALUE"""),4.0)</f>
        <v>4</v>
      </c>
      <c r="G3" s="9">
        <f>IFERROR(__xludf.DUMMYFUNCTION("""COMPUTED_VALUE"""),92.45283018867924)</f>
        <v>92.45283019</v>
      </c>
      <c r="H3" s="8">
        <f>IFERROR(__xludf.DUMMYFUNCTION("""COMPUTED_VALUE"""),1.0)</f>
        <v>1</v>
      </c>
      <c r="I3" s="11">
        <f>IFERROR(__xludf.DUMMYFUNCTION("""COMPUTED_VALUE"""),46023.0)</f>
        <v>46023</v>
      </c>
    </row>
    <row r="4">
      <c r="A4" s="7">
        <f>IFERROR(__xludf.DUMMYFUNCTION("""COMPUTED_VALUE"""),1.0)</f>
        <v>1</v>
      </c>
      <c r="B4" s="8" t="str">
        <f>IFERROR(__xludf.DUMMYFUNCTION("""COMPUTED_VALUE"""),"PENSAMIENTO MATEMÁTICO II")</f>
        <v>PENSAMIENTO MATEMÁTICO II</v>
      </c>
      <c r="C4" s="9">
        <f>IFERROR(__xludf.DUMMYFUNCTION("""COMPUTED_VALUE"""),99.81132075471699)</f>
        <v>99.81132075</v>
      </c>
      <c r="D4" s="9">
        <f>IFERROR(__xludf.DUMMYFUNCTION("""COMPUTED_VALUE"""),6.452830188679245)</f>
        <v>6.452830189</v>
      </c>
      <c r="E4" s="9">
        <f>IFERROR(__xludf.DUMMYFUNCTION("""COMPUTED_VALUE"""),39.62264150943396)</f>
        <v>39.62264151</v>
      </c>
      <c r="F4" s="10">
        <f>IFERROR(__xludf.DUMMYFUNCTION("""COMPUTED_VALUE"""),21.0)</f>
        <v>21</v>
      </c>
      <c r="G4" s="9">
        <f>IFERROR(__xludf.DUMMYFUNCTION("""COMPUTED_VALUE"""),60.37735849056604)</f>
        <v>60.37735849</v>
      </c>
      <c r="H4" s="8">
        <f>IFERROR(__xludf.DUMMYFUNCTION("""COMPUTED_VALUE"""),1.0)</f>
        <v>1</v>
      </c>
      <c r="I4" s="11">
        <f>IFERROR(__xludf.DUMMYFUNCTION("""COMPUTED_VALUE"""),46023.0)</f>
        <v>46023</v>
      </c>
    </row>
    <row r="5">
      <c r="A5" s="7">
        <f>IFERROR(__xludf.DUMMYFUNCTION("""COMPUTED_VALUE"""),1.0)</f>
        <v>1</v>
      </c>
      <c r="B5" s="8" t="str">
        <f>IFERROR(__xludf.DUMMYFUNCTION("""COMPUTED_VALUE"""),"CULTURA DIGITAL II")</f>
        <v>CULTURA DIGITAL II</v>
      </c>
      <c r="C5" s="9">
        <f>IFERROR(__xludf.DUMMYFUNCTION("""COMPUTED_VALUE"""),99.24528301886792)</f>
        <v>99.24528302</v>
      </c>
      <c r="D5" s="9">
        <f>IFERROR(__xludf.DUMMYFUNCTION("""COMPUTED_VALUE"""),7.886792452830188)</f>
        <v>7.886792453</v>
      </c>
      <c r="E5" s="9">
        <f>IFERROR(__xludf.DUMMYFUNCTION("""COMPUTED_VALUE"""),11.320754716981131)</f>
        <v>11.32075472</v>
      </c>
      <c r="F5" s="10">
        <f>IFERROR(__xludf.DUMMYFUNCTION("""COMPUTED_VALUE"""),6.0)</f>
        <v>6</v>
      </c>
      <c r="G5" s="9">
        <f>IFERROR(__xludf.DUMMYFUNCTION("""COMPUTED_VALUE"""),88.67924528301887)</f>
        <v>88.67924528</v>
      </c>
      <c r="H5" s="8">
        <f>IFERROR(__xludf.DUMMYFUNCTION("""COMPUTED_VALUE"""),1.0)</f>
        <v>1</v>
      </c>
      <c r="I5" s="11">
        <f>IFERROR(__xludf.DUMMYFUNCTION("""COMPUTED_VALUE"""),46023.0)</f>
        <v>46023</v>
      </c>
    </row>
    <row r="6">
      <c r="A6" s="7">
        <f>IFERROR(__xludf.DUMMYFUNCTION("""COMPUTED_VALUE"""),1.0)</f>
        <v>1</v>
      </c>
      <c r="B6" s="8" t="str">
        <f>IFERROR(__xludf.DUMMYFUNCTION("""COMPUTED_VALUE"""),"CIENCIAS NATURALES, EXPERIMENTALES Y TECNOLOGIA II")</f>
        <v>CIENCIAS NATURALES, EXPERIMENTALES Y TECNOLOGIA II</v>
      </c>
      <c r="C6" s="9">
        <f>IFERROR(__xludf.DUMMYFUNCTION("""COMPUTED_VALUE"""),98.74213836477988)</f>
        <v>98.74213836</v>
      </c>
      <c r="D6" s="9">
        <f>IFERROR(__xludf.DUMMYFUNCTION("""COMPUTED_VALUE"""),7.886792452830188)</f>
        <v>7.886792453</v>
      </c>
      <c r="E6" s="9">
        <f>IFERROR(__xludf.DUMMYFUNCTION("""COMPUTED_VALUE"""),11.320754716981131)</f>
        <v>11.32075472</v>
      </c>
      <c r="F6" s="10">
        <f>IFERROR(__xludf.DUMMYFUNCTION("""COMPUTED_VALUE"""),6.0)</f>
        <v>6</v>
      </c>
      <c r="G6" s="9">
        <f>IFERROR(__xludf.DUMMYFUNCTION("""COMPUTED_VALUE"""),88.67924528301887)</f>
        <v>88.67924528</v>
      </c>
      <c r="H6" s="8">
        <f>IFERROR(__xludf.DUMMYFUNCTION("""COMPUTED_VALUE"""),1.0)</f>
        <v>1</v>
      </c>
      <c r="I6" s="11">
        <f>IFERROR(__xludf.DUMMYFUNCTION("""COMPUTED_VALUE"""),46023.0)</f>
        <v>46023</v>
      </c>
    </row>
    <row r="7">
      <c r="A7" s="7">
        <f>IFERROR(__xludf.DUMMYFUNCTION("""COMPUTED_VALUE"""),1.0)</f>
        <v>1</v>
      </c>
      <c r="B7" s="8" t="str">
        <f>IFERROR(__xludf.DUMMYFUNCTION("""COMPUTED_VALUE"""),"PENSAMIENTO FILOSÓFICO Y HUMANIDADES II")</f>
        <v>PENSAMIENTO FILOSÓFICO Y HUMANIDADES II</v>
      </c>
      <c r="C7" s="9">
        <f>IFERROR(__xludf.DUMMYFUNCTION("""COMPUTED_VALUE"""),99.05660377358491)</f>
        <v>99.05660377</v>
      </c>
      <c r="D7" s="9">
        <f>IFERROR(__xludf.DUMMYFUNCTION("""COMPUTED_VALUE"""),7.886792452830188)</f>
        <v>7.886792453</v>
      </c>
      <c r="E7" s="9">
        <f>IFERROR(__xludf.DUMMYFUNCTION("""COMPUTED_VALUE"""),11.320754716981131)</f>
        <v>11.32075472</v>
      </c>
      <c r="F7" s="10">
        <f>IFERROR(__xludf.DUMMYFUNCTION("""COMPUTED_VALUE"""),6.0)</f>
        <v>6</v>
      </c>
      <c r="G7" s="9">
        <f>IFERROR(__xludf.DUMMYFUNCTION("""COMPUTED_VALUE"""),88.67924528301887)</f>
        <v>88.67924528</v>
      </c>
      <c r="H7" s="8">
        <f>IFERROR(__xludf.DUMMYFUNCTION("""COMPUTED_VALUE"""),1.0)</f>
        <v>1</v>
      </c>
      <c r="I7" s="11">
        <f>IFERROR(__xludf.DUMMYFUNCTION("""COMPUTED_VALUE"""),46023.0)</f>
        <v>46023</v>
      </c>
    </row>
    <row r="8">
      <c r="A8" s="7">
        <f>IFERROR(__xludf.DUMMYFUNCTION("""COMPUTED_VALUE"""),1.0)</f>
        <v>1</v>
      </c>
      <c r="B8" s="8" t="str">
        <f>IFERROR(__xludf.DUMMYFUNCTION("""COMPUTED_VALUE"""),"CIENCIAS SOCIALES II")</f>
        <v>CIENCIAS SOCIALES II</v>
      </c>
      <c r="C8" s="9">
        <f>IFERROR(__xludf.DUMMYFUNCTION("""COMPUTED_VALUE"""),98.38274932614556)</f>
        <v>98.38274933</v>
      </c>
      <c r="D8" s="9">
        <f>IFERROR(__xludf.DUMMYFUNCTION("""COMPUTED_VALUE"""),7.886792452830188)</f>
        <v>7.886792453</v>
      </c>
      <c r="E8" s="9">
        <f>IFERROR(__xludf.DUMMYFUNCTION("""COMPUTED_VALUE"""),11.320754716981131)</f>
        <v>11.32075472</v>
      </c>
      <c r="F8" s="10">
        <f>IFERROR(__xludf.DUMMYFUNCTION("""COMPUTED_VALUE"""),6.0)</f>
        <v>6</v>
      </c>
      <c r="G8" s="9">
        <f>IFERROR(__xludf.DUMMYFUNCTION("""COMPUTED_VALUE"""),88.67924528301887)</f>
        <v>88.67924528</v>
      </c>
      <c r="H8" s="8">
        <f>IFERROR(__xludf.DUMMYFUNCTION("""COMPUTED_VALUE"""),1.0)</f>
        <v>1</v>
      </c>
      <c r="I8" s="11">
        <f>IFERROR(__xludf.DUMMYFUNCTION("""COMPUTED_VALUE"""),46023.0)</f>
        <v>46023</v>
      </c>
    </row>
    <row r="9">
      <c r="A9" s="7">
        <f>IFERROR(__xludf.DUMMYFUNCTION("""COMPUTED_VALUE"""),1.0)</f>
        <v>1</v>
      </c>
      <c r="B9" s="8" t="str">
        <f>IFERROR(__xludf.DUMMYFUNCTION("""COMPUTED_VALUE"""),"TALLER DE CIENCIAS I")</f>
        <v>TALLER DE CIENCIAS I</v>
      </c>
      <c r="C9" s="9">
        <f>IFERROR(__xludf.DUMMYFUNCTION("""COMPUTED_VALUE"""),98.58490566037736)</f>
        <v>98.58490566</v>
      </c>
      <c r="D9" s="9">
        <f>IFERROR(__xludf.DUMMYFUNCTION("""COMPUTED_VALUE"""),7.886792452830188)</f>
        <v>7.886792453</v>
      </c>
      <c r="E9" s="9">
        <f>IFERROR(__xludf.DUMMYFUNCTION("""COMPUTED_VALUE"""),11.320754716981131)</f>
        <v>11.32075472</v>
      </c>
      <c r="F9" s="10">
        <f>IFERROR(__xludf.DUMMYFUNCTION("""COMPUTED_VALUE"""),6.0)</f>
        <v>6</v>
      </c>
      <c r="G9" s="9">
        <f>IFERROR(__xludf.DUMMYFUNCTION("""COMPUTED_VALUE"""),88.67924528301887)</f>
        <v>88.67924528</v>
      </c>
      <c r="H9" s="8">
        <f>IFERROR(__xludf.DUMMYFUNCTION("""COMPUTED_VALUE"""),1.0)</f>
        <v>1</v>
      </c>
      <c r="I9" s="11">
        <f>IFERROR(__xludf.DUMMYFUNCTION("""COMPUTED_VALUE"""),46023.0)</f>
        <v>46023</v>
      </c>
    </row>
    <row r="10">
      <c r="A10" s="7">
        <f>IFERROR(__xludf.DUMMYFUNCTION("""COMPUTED_VALUE"""),1.0)</f>
        <v>1</v>
      </c>
      <c r="B10" s="8" t="str">
        <f>IFERROR(__xludf.DUMMYFUNCTION("""COMPUTED_VALUE"""),"ACTIVIDADES FISICAS Y DEPORTIVAS II")</f>
        <v>ACTIVIDADES FISICAS Y DEPORTIVAS II</v>
      </c>
      <c r="C10" s="9">
        <f>IFERROR(__xludf.DUMMYFUNCTION("""COMPUTED_VALUE"""),98.74213836477988)</f>
        <v>98.74213836</v>
      </c>
      <c r="D10" s="9">
        <f>IFERROR(__xludf.DUMMYFUNCTION("""COMPUTED_VALUE"""),7.886792452830188)</f>
        <v>7.886792453</v>
      </c>
      <c r="E10" s="9">
        <f>IFERROR(__xludf.DUMMYFUNCTION("""COMPUTED_VALUE"""),11.320754716981131)</f>
        <v>11.32075472</v>
      </c>
      <c r="F10" s="10">
        <f>IFERROR(__xludf.DUMMYFUNCTION("""COMPUTED_VALUE"""),6.0)</f>
        <v>6</v>
      </c>
      <c r="G10" s="9">
        <f>IFERROR(__xludf.DUMMYFUNCTION("""COMPUTED_VALUE"""),88.67924528301887)</f>
        <v>88.67924528</v>
      </c>
      <c r="H10" s="8">
        <f>IFERROR(__xludf.DUMMYFUNCTION("""COMPUTED_VALUE"""),1.0)</f>
        <v>1</v>
      </c>
      <c r="I10" s="11">
        <f>IFERROR(__xludf.DUMMYFUNCTION("""COMPUTED_VALUE"""),46023.0)</f>
        <v>46023</v>
      </c>
    </row>
    <row r="11">
      <c r="A11" s="7">
        <f>IFERROR(__xludf.DUMMYFUNCTION("""COMPUTED_VALUE"""),1.0)</f>
        <v>1</v>
      </c>
      <c r="B11" s="8" t="str">
        <f>IFERROR(__xludf.DUMMYFUNCTION("""COMPUTED_VALUE"""),"EDUCACION PARA LA SALUD II")</f>
        <v>EDUCACION PARA LA SALUD II</v>
      </c>
      <c r="C11" s="9">
        <f>IFERROR(__xludf.DUMMYFUNCTION("""COMPUTED_VALUE"""),97.73584905660377)</f>
        <v>97.73584906</v>
      </c>
      <c r="D11" s="9">
        <f>IFERROR(__xludf.DUMMYFUNCTION("""COMPUTED_VALUE"""),7.886792452830188)</f>
        <v>7.886792453</v>
      </c>
      <c r="E11" s="9">
        <f>IFERROR(__xludf.DUMMYFUNCTION("""COMPUTED_VALUE"""),11.320754716981131)</f>
        <v>11.32075472</v>
      </c>
      <c r="F11" s="10">
        <f>IFERROR(__xludf.DUMMYFUNCTION("""COMPUTED_VALUE"""),6.0)</f>
        <v>6</v>
      </c>
      <c r="G11" s="9">
        <f>IFERROR(__xludf.DUMMYFUNCTION("""COMPUTED_VALUE"""),88.67924528301887)</f>
        <v>88.67924528</v>
      </c>
      <c r="H11" s="8">
        <f>IFERROR(__xludf.DUMMYFUNCTION("""COMPUTED_VALUE"""),1.0)</f>
        <v>1</v>
      </c>
      <c r="I11" s="11">
        <f>IFERROR(__xludf.DUMMYFUNCTION("""COMPUTED_VALUE"""),46023.0)</f>
        <v>46023</v>
      </c>
    </row>
    <row r="12">
      <c r="A12" s="12">
        <f>IFERROR(__xludf.DUMMYFUNCTION("""COMPUTED_VALUE"""),1.0)</f>
        <v>1</v>
      </c>
      <c r="B12" s="13" t="str">
        <f>IFERROR(__xludf.DUMMYFUNCTION("""COMPUTED_VALUE"""),"TEMAS SELECTOS DE IGUALDAD Y DERECHOS HUMANOS II")</f>
        <v>TEMAS SELECTOS DE IGUALDAD Y DERECHOS HUMANOS II</v>
      </c>
      <c r="C12" s="14">
        <f>IFERROR(__xludf.DUMMYFUNCTION("""COMPUTED_VALUE"""),96.22641509433963)</f>
        <v>96.22641509</v>
      </c>
      <c r="D12" s="14">
        <f>IFERROR(__xludf.DUMMYFUNCTION("""COMPUTED_VALUE"""),7.113207547169812)</f>
        <v>7.113207547</v>
      </c>
      <c r="E12" s="14">
        <f>IFERROR(__xludf.DUMMYFUNCTION("""COMPUTED_VALUE"""),3.7735849056603774)</f>
        <v>3.773584906</v>
      </c>
      <c r="F12" s="15">
        <f>IFERROR(__xludf.DUMMYFUNCTION("""COMPUTED_VALUE"""),2.0)</f>
        <v>2</v>
      </c>
      <c r="G12" s="14">
        <f>IFERROR(__xludf.DUMMYFUNCTION("""COMPUTED_VALUE"""),96.22641509433963)</f>
        <v>96.22641509</v>
      </c>
      <c r="H12" s="13">
        <f>IFERROR(__xludf.DUMMYFUNCTION("""COMPUTED_VALUE"""),1.0)</f>
        <v>1</v>
      </c>
      <c r="I12" s="16">
        <f>IFERROR(__xludf.DUMMYFUNCTION("""COMPUTED_VALUE"""),46023.0)</f>
        <v>46023</v>
      </c>
    </row>
    <row r="13">
      <c r="A13" s="2">
        <f>IFERROR(__xludf.DUMMYFUNCTION("""COMPUTED_VALUE"""),2.0)</f>
        <v>2</v>
      </c>
      <c r="B13" s="3" t="str">
        <f>IFERROR(__xludf.DUMMYFUNCTION("""COMPUTED_VALUE"""),"LENGUA Y COMUNICACIÓN II")</f>
        <v>LENGUA Y COMUNICACIÓN II</v>
      </c>
      <c r="C13" s="4">
        <f>IFERROR(__xludf.DUMMYFUNCTION("""COMPUTED_VALUE"""),94.68553459119497)</f>
        <v>94.68553459</v>
      </c>
      <c r="D13" s="4">
        <f>IFERROR(__xludf.DUMMYFUNCTION("""COMPUTED_VALUE"""),7.113207547169812)</f>
        <v>7.113207547</v>
      </c>
      <c r="E13" s="4">
        <f>IFERROR(__xludf.DUMMYFUNCTION("""COMPUTED_VALUE"""),3.7735849056603774)</f>
        <v>3.773584906</v>
      </c>
      <c r="F13" s="5">
        <f>IFERROR(__xludf.DUMMYFUNCTION("""COMPUTED_VALUE"""),2.0)</f>
        <v>2</v>
      </c>
      <c r="G13" s="4">
        <f>IFERROR(__xludf.DUMMYFUNCTION("""COMPUTED_VALUE"""),96.22641509433963)</f>
        <v>96.22641509</v>
      </c>
      <c r="H13" s="3">
        <f>IFERROR(__xludf.DUMMYFUNCTION("""COMPUTED_VALUE"""),1.0)</f>
        <v>1</v>
      </c>
      <c r="I13" s="6">
        <f>IFERROR(__xludf.DUMMYFUNCTION("""COMPUTED_VALUE"""),46023.0)</f>
        <v>46023</v>
      </c>
    </row>
    <row r="14">
      <c r="A14" s="7">
        <f>IFERROR(__xludf.DUMMYFUNCTION("""COMPUTED_VALUE"""),2.0)</f>
        <v>2</v>
      </c>
      <c r="B14" s="8" t="str">
        <f>IFERROR(__xludf.DUMMYFUNCTION("""COMPUTED_VALUE"""),"INGLÉS II")</f>
        <v>INGLÉS II</v>
      </c>
      <c r="C14" s="9">
        <f>IFERROR(__xludf.DUMMYFUNCTION("""COMPUTED_VALUE"""),99.51482479784366)</f>
        <v>99.5148248</v>
      </c>
      <c r="D14" s="9" t="str">
        <f>IFERROR(__xludf.DUMMYFUNCTION("""COMPUTED_VALUE"""),"#DIV/0!")</f>
        <v>#DIV/0!</v>
      </c>
      <c r="E14" s="9">
        <f>IFERROR(__xludf.DUMMYFUNCTION("""COMPUTED_VALUE"""),0.0)</f>
        <v>0</v>
      </c>
      <c r="F14" s="10">
        <f>IFERROR(__xludf.DUMMYFUNCTION("""COMPUTED_VALUE"""),0.0)</f>
        <v>0</v>
      </c>
      <c r="G14" s="9">
        <f>IFERROR(__xludf.DUMMYFUNCTION("""COMPUTED_VALUE"""),0.0)</f>
        <v>0</v>
      </c>
      <c r="H14" s="8">
        <f>IFERROR(__xludf.DUMMYFUNCTION("""COMPUTED_VALUE"""),1.0)</f>
        <v>1</v>
      </c>
      <c r="I14" s="11">
        <f>IFERROR(__xludf.DUMMYFUNCTION("""COMPUTED_VALUE"""),46023.0)</f>
        <v>46023</v>
      </c>
    </row>
    <row r="15">
      <c r="A15" s="7">
        <f>IFERROR(__xludf.DUMMYFUNCTION("""COMPUTED_VALUE"""),2.0)</f>
        <v>2</v>
      </c>
      <c r="B15" s="8" t="str">
        <f>IFERROR(__xludf.DUMMYFUNCTION("""COMPUTED_VALUE"""),"PENSAMIENTO MATEMÁTICO II")</f>
        <v>PENSAMIENTO MATEMÁTICO II</v>
      </c>
      <c r="C15" s="9">
        <f>IFERROR(__xludf.DUMMYFUNCTION("""COMPUTED_VALUE"""),99.81132075471699)</f>
        <v>99.81132075</v>
      </c>
      <c r="D15" s="9" t="str">
        <f>IFERROR(__xludf.DUMMYFUNCTION("""COMPUTED_VALUE"""),"#DIV/0!")</f>
        <v>#DIV/0!</v>
      </c>
      <c r="E15" s="9">
        <f>IFERROR(__xludf.DUMMYFUNCTION("""COMPUTED_VALUE"""),0.0)</f>
        <v>0</v>
      </c>
      <c r="F15" s="10">
        <f>IFERROR(__xludf.DUMMYFUNCTION("""COMPUTED_VALUE"""),0.0)</f>
        <v>0</v>
      </c>
      <c r="G15" s="9">
        <f>IFERROR(__xludf.DUMMYFUNCTION("""COMPUTED_VALUE"""),0.0)</f>
        <v>0</v>
      </c>
      <c r="H15" s="8">
        <f>IFERROR(__xludf.DUMMYFUNCTION("""COMPUTED_VALUE"""),1.0)</f>
        <v>1</v>
      </c>
      <c r="I15" s="11">
        <f>IFERROR(__xludf.DUMMYFUNCTION("""COMPUTED_VALUE"""),46023.0)</f>
        <v>46023</v>
      </c>
    </row>
    <row r="16">
      <c r="A16" s="7">
        <f>IFERROR(__xludf.DUMMYFUNCTION("""COMPUTED_VALUE"""),2.0)</f>
        <v>2</v>
      </c>
      <c r="B16" s="8" t="str">
        <f>IFERROR(__xludf.DUMMYFUNCTION("""COMPUTED_VALUE"""),"CULTURA DIGITAL II")</f>
        <v>CULTURA DIGITAL II</v>
      </c>
      <c r="C16" s="9">
        <f>IFERROR(__xludf.DUMMYFUNCTION("""COMPUTED_VALUE"""),99.24528301886792)</f>
        <v>99.24528302</v>
      </c>
      <c r="D16" s="9" t="str">
        <f>IFERROR(__xludf.DUMMYFUNCTION("""COMPUTED_VALUE"""),"#DIV/0!")</f>
        <v>#DIV/0!</v>
      </c>
      <c r="E16" s="9">
        <f>IFERROR(__xludf.DUMMYFUNCTION("""COMPUTED_VALUE"""),0.0)</f>
        <v>0</v>
      </c>
      <c r="F16" s="10">
        <f>IFERROR(__xludf.DUMMYFUNCTION("""COMPUTED_VALUE"""),0.0)</f>
        <v>0</v>
      </c>
      <c r="G16" s="9">
        <f>IFERROR(__xludf.DUMMYFUNCTION("""COMPUTED_VALUE"""),0.0)</f>
        <v>0</v>
      </c>
      <c r="H16" s="8">
        <f>IFERROR(__xludf.DUMMYFUNCTION("""COMPUTED_VALUE"""),1.0)</f>
        <v>1</v>
      </c>
      <c r="I16" s="11">
        <f>IFERROR(__xludf.DUMMYFUNCTION("""COMPUTED_VALUE"""),46023.0)</f>
        <v>46023</v>
      </c>
    </row>
    <row r="17">
      <c r="A17" s="7">
        <f>IFERROR(__xludf.DUMMYFUNCTION("""COMPUTED_VALUE"""),2.0)</f>
        <v>2</v>
      </c>
      <c r="B17" s="8" t="str">
        <f>IFERROR(__xludf.DUMMYFUNCTION("""COMPUTED_VALUE"""),"CIENCIAS NATURALES, EXPERIMENTALES Y TECNOLOGIA II")</f>
        <v>CIENCIAS NATURALES, EXPERIMENTALES Y TECNOLOGIA II</v>
      </c>
      <c r="C17" s="9">
        <f>IFERROR(__xludf.DUMMYFUNCTION("""COMPUTED_VALUE"""),98.74213836477988)</f>
        <v>98.74213836</v>
      </c>
      <c r="D17" s="9" t="str">
        <f>IFERROR(__xludf.DUMMYFUNCTION("""COMPUTED_VALUE"""),"#DIV/0!")</f>
        <v>#DIV/0!</v>
      </c>
      <c r="E17" s="9">
        <f>IFERROR(__xludf.DUMMYFUNCTION("""COMPUTED_VALUE"""),0.0)</f>
        <v>0</v>
      </c>
      <c r="F17" s="10">
        <f>IFERROR(__xludf.DUMMYFUNCTION("""COMPUTED_VALUE"""),0.0)</f>
        <v>0</v>
      </c>
      <c r="G17" s="9">
        <f>IFERROR(__xludf.DUMMYFUNCTION("""COMPUTED_VALUE"""),0.0)</f>
        <v>0</v>
      </c>
      <c r="H17" s="8">
        <f>IFERROR(__xludf.DUMMYFUNCTION("""COMPUTED_VALUE"""),1.0)</f>
        <v>1</v>
      </c>
      <c r="I17" s="11">
        <f>IFERROR(__xludf.DUMMYFUNCTION("""COMPUTED_VALUE"""),46023.0)</f>
        <v>46023</v>
      </c>
    </row>
    <row r="18">
      <c r="A18" s="7">
        <f>IFERROR(__xludf.DUMMYFUNCTION("""COMPUTED_VALUE"""),2.0)</f>
        <v>2</v>
      </c>
      <c r="B18" s="8" t="str">
        <f>IFERROR(__xludf.DUMMYFUNCTION("""COMPUTED_VALUE"""),"PENSAMIENTO FILOSÓFICO Y HUMANIDADES II")</f>
        <v>PENSAMIENTO FILOSÓFICO Y HUMANIDADES II</v>
      </c>
      <c r="C18" s="9">
        <f>IFERROR(__xludf.DUMMYFUNCTION("""COMPUTED_VALUE"""),99.05660377358491)</f>
        <v>99.05660377</v>
      </c>
      <c r="D18" s="9" t="str">
        <f>IFERROR(__xludf.DUMMYFUNCTION("""COMPUTED_VALUE"""),"#DIV/0!")</f>
        <v>#DIV/0!</v>
      </c>
      <c r="E18" s="9">
        <f>IFERROR(__xludf.DUMMYFUNCTION("""COMPUTED_VALUE"""),0.0)</f>
        <v>0</v>
      </c>
      <c r="F18" s="10">
        <f>IFERROR(__xludf.DUMMYFUNCTION("""COMPUTED_VALUE"""),0.0)</f>
        <v>0</v>
      </c>
      <c r="G18" s="9">
        <f>IFERROR(__xludf.DUMMYFUNCTION("""COMPUTED_VALUE"""),0.0)</f>
        <v>0</v>
      </c>
      <c r="H18" s="8">
        <f>IFERROR(__xludf.DUMMYFUNCTION("""COMPUTED_VALUE"""),1.0)</f>
        <v>1</v>
      </c>
      <c r="I18" s="11">
        <f>IFERROR(__xludf.DUMMYFUNCTION("""COMPUTED_VALUE"""),46023.0)</f>
        <v>46023</v>
      </c>
    </row>
    <row r="19">
      <c r="A19" s="7">
        <f>IFERROR(__xludf.DUMMYFUNCTION("""COMPUTED_VALUE"""),2.0)</f>
        <v>2</v>
      </c>
      <c r="B19" s="8" t="str">
        <f>IFERROR(__xludf.DUMMYFUNCTION("""COMPUTED_VALUE"""),"CIENCIAS SOCIALES II")</f>
        <v>CIENCIAS SOCIALES II</v>
      </c>
      <c r="C19" s="9">
        <f>IFERROR(__xludf.DUMMYFUNCTION("""COMPUTED_VALUE"""),98.38274932614556)</f>
        <v>98.38274933</v>
      </c>
      <c r="D19" s="9" t="str">
        <f>IFERROR(__xludf.DUMMYFUNCTION("""COMPUTED_VALUE"""),"#DIV/0!")</f>
        <v>#DIV/0!</v>
      </c>
      <c r="E19" s="9">
        <f>IFERROR(__xludf.DUMMYFUNCTION("""COMPUTED_VALUE"""),0.0)</f>
        <v>0</v>
      </c>
      <c r="F19" s="10">
        <f>IFERROR(__xludf.DUMMYFUNCTION("""COMPUTED_VALUE"""),0.0)</f>
        <v>0</v>
      </c>
      <c r="G19" s="9">
        <f>IFERROR(__xludf.DUMMYFUNCTION("""COMPUTED_VALUE"""),0.0)</f>
        <v>0</v>
      </c>
      <c r="H19" s="8">
        <f>IFERROR(__xludf.DUMMYFUNCTION("""COMPUTED_VALUE"""),1.0)</f>
        <v>1</v>
      </c>
      <c r="I19" s="11">
        <f>IFERROR(__xludf.DUMMYFUNCTION("""COMPUTED_VALUE"""),46023.0)</f>
        <v>46023</v>
      </c>
    </row>
    <row r="20">
      <c r="A20" s="7">
        <f>IFERROR(__xludf.DUMMYFUNCTION("""COMPUTED_VALUE"""),2.0)</f>
        <v>2</v>
      </c>
      <c r="B20" s="8" t="str">
        <f>IFERROR(__xludf.DUMMYFUNCTION("""COMPUTED_VALUE"""),"TALLER DE CIENCIAS I")</f>
        <v>TALLER DE CIENCIAS I</v>
      </c>
      <c r="C20" s="9">
        <f>IFERROR(__xludf.DUMMYFUNCTION("""COMPUTED_VALUE"""),98.58490566037736)</f>
        <v>98.58490566</v>
      </c>
      <c r="D20" s="9" t="str">
        <f>IFERROR(__xludf.DUMMYFUNCTION("""COMPUTED_VALUE"""),"#DIV/0!")</f>
        <v>#DIV/0!</v>
      </c>
      <c r="E20" s="9">
        <f>IFERROR(__xludf.DUMMYFUNCTION("""COMPUTED_VALUE"""),0.0)</f>
        <v>0</v>
      </c>
      <c r="F20" s="10">
        <f>IFERROR(__xludf.DUMMYFUNCTION("""COMPUTED_VALUE"""),0.0)</f>
        <v>0</v>
      </c>
      <c r="G20" s="9">
        <f>IFERROR(__xludf.DUMMYFUNCTION("""COMPUTED_VALUE"""),0.0)</f>
        <v>0</v>
      </c>
      <c r="H20" s="8">
        <f>IFERROR(__xludf.DUMMYFUNCTION("""COMPUTED_VALUE"""),1.0)</f>
        <v>1</v>
      </c>
      <c r="I20" s="11">
        <f>IFERROR(__xludf.DUMMYFUNCTION("""COMPUTED_VALUE"""),46023.0)</f>
        <v>46023</v>
      </c>
    </row>
    <row r="21">
      <c r="A21" s="7">
        <f>IFERROR(__xludf.DUMMYFUNCTION("""COMPUTED_VALUE"""),2.0)</f>
        <v>2</v>
      </c>
      <c r="B21" s="8" t="str">
        <f>IFERROR(__xludf.DUMMYFUNCTION("""COMPUTED_VALUE"""),"ACTIVIDADES FISICAS Y DEPORTIVAS II")</f>
        <v>ACTIVIDADES FISICAS Y DEPORTIVAS II</v>
      </c>
      <c r="C21" s="9">
        <f>IFERROR(__xludf.DUMMYFUNCTION("""COMPUTED_VALUE"""),98.74213836477988)</f>
        <v>98.74213836</v>
      </c>
      <c r="D21" s="9" t="str">
        <f>IFERROR(__xludf.DUMMYFUNCTION("""COMPUTED_VALUE"""),"#DIV/0!")</f>
        <v>#DIV/0!</v>
      </c>
      <c r="E21" s="9">
        <f>IFERROR(__xludf.DUMMYFUNCTION("""COMPUTED_VALUE"""),0.0)</f>
        <v>0</v>
      </c>
      <c r="F21" s="10">
        <f>IFERROR(__xludf.DUMMYFUNCTION("""COMPUTED_VALUE"""),0.0)</f>
        <v>0</v>
      </c>
      <c r="G21" s="9">
        <f>IFERROR(__xludf.DUMMYFUNCTION("""COMPUTED_VALUE"""),0.0)</f>
        <v>0</v>
      </c>
      <c r="H21" s="8">
        <f>IFERROR(__xludf.DUMMYFUNCTION("""COMPUTED_VALUE"""),1.0)</f>
        <v>1</v>
      </c>
      <c r="I21" s="11">
        <f>IFERROR(__xludf.DUMMYFUNCTION("""COMPUTED_VALUE"""),46023.0)</f>
        <v>46023</v>
      </c>
    </row>
    <row r="22">
      <c r="A22" s="7">
        <f>IFERROR(__xludf.DUMMYFUNCTION("""COMPUTED_VALUE"""),2.0)</f>
        <v>2</v>
      </c>
      <c r="B22" s="8" t="str">
        <f>IFERROR(__xludf.DUMMYFUNCTION("""COMPUTED_VALUE"""),"EDUCACION PARA LA SALUD II")</f>
        <v>EDUCACION PARA LA SALUD II</v>
      </c>
      <c r="C22" s="9">
        <f>IFERROR(__xludf.DUMMYFUNCTION("""COMPUTED_VALUE"""),97.73584905660377)</f>
        <v>97.73584906</v>
      </c>
      <c r="D22" s="9" t="str">
        <f>IFERROR(__xludf.DUMMYFUNCTION("""COMPUTED_VALUE"""),"#DIV/0!")</f>
        <v>#DIV/0!</v>
      </c>
      <c r="E22" s="9">
        <f>IFERROR(__xludf.DUMMYFUNCTION("""COMPUTED_VALUE"""),0.0)</f>
        <v>0</v>
      </c>
      <c r="F22" s="10">
        <f>IFERROR(__xludf.DUMMYFUNCTION("""COMPUTED_VALUE"""),0.0)</f>
        <v>0</v>
      </c>
      <c r="G22" s="9">
        <f>IFERROR(__xludf.DUMMYFUNCTION("""COMPUTED_VALUE"""),0.0)</f>
        <v>0</v>
      </c>
      <c r="H22" s="8">
        <f>IFERROR(__xludf.DUMMYFUNCTION("""COMPUTED_VALUE"""),1.0)</f>
        <v>1</v>
      </c>
      <c r="I22" s="11">
        <f>IFERROR(__xludf.DUMMYFUNCTION("""COMPUTED_VALUE"""),46023.0)</f>
        <v>46023</v>
      </c>
    </row>
    <row r="23">
      <c r="A23" s="12">
        <f>IFERROR(__xludf.DUMMYFUNCTION("""COMPUTED_VALUE"""),2.0)</f>
        <v>2</v>
      </c>
      <c r="B23" s="13" t="str">
        <f>IFERROR(__xludf.DUMMYFUNCTION("""COMPUTED_VALUE"""),"TEMAS SELECTOS DE IGUALDAD Y DERECHOS HUMANOS II")</f>
        <v>TEMAS SELECTOS DE IGUALDAD Y DERECHOS HUMANOS II</v>
      </c>
      <c r="C23" s="14">
        <f>IFERROR(__xludf.DUMMYFUNCTION("""COMPUTED_VALUE"""),96.22641509433963)</f>
        <v>96.22641509</v>
      </c>
      <c r="D23" s="14" t="str">
        <f>IFERROR(__xludf.DUMMYFUNCTION("""COMPUTED_VALUE"""),"#DIV/0!")</f>
        <v>#DIV/0!</v>
      </c>
      <c r="E23" s="14">
        <f>IFERROR(__xludf.DUMMYFUNCTION("""COMPUTED_VALUE"""),0.0)</f>
        <v>0</v>
      </c>
      <c r="F23" s="15">
        <f>IFERROR(__xludf.DUMMYFUNCTION("""COMPUTED_VALUE"""),0.0)</f>
        <v>0</v>
      </c>
      <c r="G23" s="14">
        <f>IFERROR(__xludf.DUMMYFUNCTION("""COMPUTED_VALUE"""),0.0)</f>
        <v>0</v>
      </c>
      <c r="H23" s="13">
        <f>IFERROR(__xludf.DUMMYFUNCTION("""COMPUTED_VALUE"""),1.0)</f>
        <v>1</v>
      </c>
      <c r="I23" s="16">
        <f>IFERROR(__xludf.DUMMYFUNCTION("""COMPUTED_VALUE"""),46023.0)</f>
        <v>46023</v>
      </c>
    </row>
    <row r="24">
      <c r="A24" s="2">
        <f>IFERROR(__xludf.DUMMYFUNCTION("""COMPUTED_VALUE"""),3.0)</f>
        <v>3</v>
      </c>
      <c r="B24" s="3" t="str">
        <f>IFERROR(__xludf.DUMMYFUNCTION("""COMPUTED_VALUE"""),"LENGUA Y COMUNICACIÓN II")</f>
        <v>LENGUA Y COMUNICACIÓN II</v>
      </c>
      <c r="C24" s="4">
        <f>IFERROR(__xludf.DUMMYFUNCTION("""COMPUTED_VALUE"""),94.68553459119497)</f>
        <v>94.68553459</v>
      </c>
      <c r="D24" s="4">
        <f>IFERROR(__xludf.DUMMYFUNCTION("""COMPUTED_VALUE"""),7.113207547169812)</f>
        <v>7.113207547</v>
      </c>
      <c r="E24" s="4">
        <f>IFERROR(__xludf.DUMMYFUNCTION("""COMPUTED_VALUE"""),3.7735849056603774)</f>
        <v>3.773584906</v>
      </c>
      <c r="F24" s="5">
        <f>IFERROR(__xludf.DUMMYFUNCTION("""COMPUTED_VALUE"""),2.0)</f>
        <v>2</v>
      </c>
      <c r="G24" s="4">
        <f>IFERROR(__xludf.DUMMYFUNCTION("""COMPUTED_VALUE"""),2.0)</f>
        <v>2</v>
      </c>
      <c r="H24" s="3">
        <f>IFERROR(__xludf.DUMMYFUNCTION("""COMPUTED_VALUE"""),1.0)</f>
        <v>1</v>
      </c>
      <c r="I24" s="6">
        <f>IFERROR(__xludf.DUMMYFUNCTION("""COMPUTED_VALUE"""),46023.0)</f>
        <v>46023</v>
      </c>
    </row>
    <row r="25">
      <c r="A25" s="7">
        <f>IFERROR(__xludf.DUMMYFUNCTION("""COMPUTED_VALUE"""),3.0)</f>
        <v>3</v>
      </c>
      <c r="B25" s="8" t="str">
        <f>IFERROR(__xludf.DUMMYFUNCTION("""COMPUTED_VALUE"""),"INGLÉS II")</f>
        <v>INGLÉS II</v>
      </c>
      <c r="C25" s="9">
        <f>IFERROR(__xludf.DUMMYFUNCTION("""COMPUTED_VALUE"""),99.51482479784366)</f>
        <v>99.5148248</v>
      </c>
      <c r="D25" s="9" t="str">
        <f>IFERROR(__xludf.DUMMYFUNCTION("""COMPUTED_VALUE"""),"#DIV/0!")</f>
        <v>#DIV/0!</v>
      </c>
      <c r="E25" s="9">
        <f>IFERROR(__xludf.DUMMYFUNCTION("""COMPUTED_VALUE"""),0.0)</f>
        <v>0</v>
      </c>
      <c r="F25" s="10">
        <f>IFERROR(__xludf.DUMMYFUNCTION("""COMPUTED_VALUE"""),0.0)</f>
        <v>0</v>
      </c>
      <c r="G25" s="9">
        <f>IFERROR(__xludf.DUMMYFUNCTION("""COMPUTED_VALUE"""),0.0)</f>
        <v>0</v>
      </c>
      <c r="H25" s="8">
        <f>IFERROR(__xludf.DUMMYFUNCTION("""COMPUTED_VALUE"""),1.0)</f>
        <v>1</v>
      </c>
      <c r="I25" s="11">
        <f>IFERROR(__xludf.DUMMYFUNCTION("""COMPUTED_VALUE"""),46054.0)</f>
        <v>46054</v>
      </c>
    </row>
    <row r="26">
      <c r="A26" s="7">
        <f>IFERROR(__xludf.DUMMYFUNCTION("""COMPUTED_VALUE"""),3.0)</f>
        <v>3</v>
      </c>
      <c r="B26" s="8" t="str">
        <f>IFERROR(__xludf.DUMMYFUNCTION("""COMPUTED_VALUE"""),"PENSAMIENTO MATEMÁTICO II")</f>
        <v>PENSAMIENTO MATEMÁTICO II</v>
      </c>
      <c r="C26" s="9">
        <f>IFERROR(__xludf.DUMMYFUNCTION("""COMPUTED_VALUE"""),99.81132075471699)</f>
        <v>99.81132075</v>
      </c>
      <c r="D26" s="9" t="str">
        <f>IFERROR(__xludf.DUMMYFUNCTION("""COMPUTED_VALUE"""),"#DIV/0!")</f>
        <v>#DIV/0!</v>
      </c>
      <c r="E26" s="9">
        <f>IFERROR(__xludf.DUMMYFUNCTION("""COMPUTED_VALUE"""),0.0)</f>
        <v>0</v>
      </c>
      <c r="F26" s="10">
        <f>IFERROR(__xludf.DUMMYFUNCTION("""COMPUTED_VALUE"""),0.0)</f>
        <v>0</v>
      </c>
      <c r="G26" s="9">
        <f>IFERROR(__xludf.DUMMYFUNCTION("""COMPUTED_VALUE"""),0.0)</f>
        <v>0</v>
      </c>
      <c r="H26" s="8">
        <f>IFERROR(__xludf.DUMMYFUNCTION("""COMPUTED_VALUE"""),1.0)</f>
        <v>1</v>
      </c>
      <c r="I26" s="11">
        <f>IFERROR(__xludf.DUMMYFUNCTION("""COMPUTED_VALUE"""),46023.0)</f>
        <v>46023</v>
      </c>
    </row>
    <row r="27">
      <c r="A27" s="7">
        <f>IFERROR(__xludf.DUMMYFUNCTION("""COMPUTED_VALUE"""),3.0)</f>
        <v>3</v>
      </c>
      <c r="B27" s="8" t="str">
        <f>IFERROR(__xludf.DUMMYFUNCTION("""COMPUTED_VALUE"""),"CULTURA DIGITAL II")</f>
        <v>CULTURA DIGITAL II</v>
      </c>
      <c r="C27" s="9">
        <f>IFERROR(__xludf.DUMMYFUNCTION("""COMPUTED_VALUE"""),99.24528301886792)</f>
        <v>99.24528302</v>
      </c>
      <c r="D27" s="9" t="str">
        <f>IFERROR(__xludf.DUMMYFUNCTION("""COMPUTED_VALUE"""),"#DIV/0!")</f>
        <v>#DIV/0!</v>
      </c>
      <c r="E27" s="9">
        <f>IFERROR(__xludf.DUMMYFUNCTION("""COMPUTED_VALUE"""),0.0)</f>
        <v>0</v>
      </c>
      <c r="F27" s="10">
        <f>IFERROR(__xludf.DUMMYFUNCTION("""COMPUTED_VALUE"""),0.0)</f>
        <v>0</v>
      </c>
      <c r="G27" s="9">
        <f>IFERROR(__xludf.DUMMYFUNCTION("""COMPUTED_VALUE"""),0.0)</f>
        <v>0</v>
      </c>
      <c r="H27" s="8">
        <f>IFERROR(__xludf.DUMMYFUNCTION("""COMPUTED_VALUE"""),1.0)</f>
        <v>1</v>
      </c>
      <c r="I27" s="11">
        <f>IFERROR(__xludf.DUMMYFUNCTION("""COMPUTED_VALUE"""),46023.0)</f>
        <v>46023</v>
      </c>
    </row>
    <row r="28">
      <c r="A28" s="7">
        <f>IFERROR(__xludf.DUMMYFUNCTION("""COMPUTED_VALUE"""),3.0)</f>
        <v>3</v>
      </c>
      <c r="B28" s="8" t="str">
        <f>IFERROR(__xludf.DUMMYFUNCTION("""COMPUTED_VALUE"""),"CIENCIAS NATURALES, EXPERIMENTALES Y TECNOLOGIA II")</f>
        <v>CIENCIAS NATURALES, EXPERIMENTALES Y TECNOLOGIA II</v>
      </c>
      <c r="C28" s="9">
        <f>IFERROR(__xludf.DUMMYFUNCTION("""COMPUTED_VALUE"""),98.74213836477988)</f>
        <v>98.74213836</v>
      </c>
      <c r="D28" s="9" t="str">
        <f>IFERROR(__xludf.DUMMYFUNCTION("""COMPUTED_VALUE"""),"#DIV/0!")</f>
        <v>#DIV/0!</v>
      </c>
      <c r="E28" s="9">
        <f>IFERROR(__xludf.DUMMYFUNCTION("""COMPUTED_VALUE"""),0.0)</f>
        <v>0</v>
      </c>
      <c r="F28" s="10">
        <f>IFERROR(__xludf.DUMMYFUNCTION("""COMPUTED_VALUE"""),0.0)</f>
        <v>0</v>
      </c>
      <c r="G28" s="9">
        <f>IFERROR(__xludf.DUMMYFUNCTION("""COMPUTED_VALUE"""),0.0)</f>
        <v>0</v>
      </c>
      <c r="H28" s="8">
        <f>IFERROR(__xludf.DUMMYFUNCTION("""COMPUTED_VALUE"""),1.0)</f>
        <v>1</v>
      </c>
      <c r="I28" s="11">
        <f>IFERROR(__xludf.DUMMYFUNCTION("""COMPUTED_VALUE"""),46023.0)</f>
        <v>46023</v>
      </c>
    </row>
    <row r="29">
      <c r="A29" s="7">
        <f>IFERROR(__xludf.DUMMYFUNCTION("""COMPUTED_VALUE"""),3.0)</f>
        <v>3</v>
      </c>
      <c r="B29" s="8" t="str">
        <f>IFERROR(__xludf.DUMMYFUNCTION("""COMPUTED_VALUE"""),"PENSAMIENTO FILOSÓFICO Y HUMANIDADES II")</f>
        <v>PENSAMIENTO FILOSÓFICO Y HUMANIDADES II</v>
      </c>
      <c r="C29" s="9">
        <f>IFERROR(__xludf.DUMMYFUNCTION("""COMPUTED_VALUE"""),99.05660377358491)</f>
        <v>99.05660377</v>
      </c>
      <c r="D29" s="9" t="str">
        <f>IFERROR(__xludf.DUMMYFUNCTION("""COMPUTED_VALUE"""),"#DIV/0!")</f>
        <v>#DIV/0!</v>
      </c>
      <c r="E29" s="9">
        <f>IFERROR(__xludf.DUMMYFUNCTION("""COMPUTED_VALUE"""),0.0)</f>
        <v>0</v>
      </c>
      <c r="F29" s="10">
        <f>IFERROR(__xludf.DUMMYFUNCTION("""COMPUTED_VALUE"""),0.0)</f>
        <v>0</v>
      </c>
      <c r="G29" s="9">
        <f>IFERROR(__xludf.DUMMYFUNCTION("""COMPUTED_VALUE"""),0.0)</f>
        <v>0</v>
      </c>
      <c r="H29" s="8">
        <f>IFERROR(__xludf.DUMMYFUNCTION("""COMPUTED_VALUE"""),1.0)</f>
        <v>1</v>
      </c>
      <c r="I29" s="11">
        <f>IFERROR(__xludf.DUMMYFUNCTION("""COMPUTED_VALUE"""),46023.0)</f>
        <v>46023</v>
      </c>
    </row>
    <row r="30">
      <c r="A30" s="7">
        <f>IFERROR(__xludf.DUMMYFUNCTION("""COMPUTED_VALUE"""),3.0)</f>
        <v>3</v>
      </c>
      <c r="B30" s="8" t="str">
        <f>IFERROR(__xludf.DUMMYFUNCTION("""COMPUTED_VALUE"""),"CIENCIAS SOCIALES II")</f>
        <v>CIENCIAS SOCIALES II</v>
      </c>
      <c r="C30" s="9">
        <f>IFERROR(__xludf.DUMMYFUNCTION("""COMPUTED_VALUE"""),98.38274932614556)</f>
        <v>98.38274933</v>
      </c>
      <c r="D30" s="9" t="str">
        <f>IFERROR(__xludf.DUMMYFUNCTION("""COMPUTED_VALUE"""),"#DIV/0!")</f>
        <v>#DIV/0!</v>
      </c>
      <c r="E30" s="9">
        <f>IFERROR(__xludf.DUMMYFUNCTION("""COMPUTED_VALUE"""),0.0)</f>
        <v>0</v>
      </c>
      <c r="F30" s="10">
        <f>IFERROR(__xludf.DUMMYFUNCTION("""COMPUTED_VALUE"""),0.0)</f>
        <v>0</v>
      </c>
      <c r="G30" s="9">
        <f>IFERROR(__xludf.DUMMYFUNCTION("""COMPUTED_VALUE"""),0.0)</f>
        <v>0</v>
      </c>
      <c r="H30" s="8">
        <f>IFERROR(__xludf.DUMMYFUNCTION("""COMPUTED_VALUE"""),1.0)</f>
        <v>1</v>
      </c>
      <c r="I30" s="11">
        <f>IFERROR(__xludf.DUMMYFUNCTION("""COMPUTED_VALUE"""),46023.0)</f>
        <v>46023</v>
      </c>
    </row>
    <row r="31">
      <c r="A31" s="7">
        <f>IFERROR(__xludf.DUMMYFUNCTION("""COMPUTED_VALUE"""),3.0)</f>
        <v>3</v>
      </c>
      <c r="B31" s="8" t="str">
        <f>IFERROR(__xludf.DUMMYFUNCTION("""COMPUTED_VALUE"""),"TALLER DE CIENCIAS I")</f>
        <v>TALLER DE CIENCIAS I</v>
      </c>
      <c r="C31" s="9">
        <f>IFERROR(__xludf.DUMMYFUNCTION("""COMPUTED_VALUE"""),98.58490566037736)</f>
        <v>98.58490566</v>
      </c>
      <c r="D31" s="9" t="str">
        <f>IFERROR(__xludf.DUMMYFUNCTION("""COMPUTED_VALUE"""),"#DIV/0!")</f>
        <v>#DIV/0!</v>
      </c>
      <c r="E31" s="9">
        <f>IFERROR(__xludf.DUMMYFUNCTION("""COMPUTED_VALUE"""),0.0)</f>
        <v>0</v>
      </c>
      <c r="F31" s="10">
        <f>IFERROR(__xludf.DUMMYFUNCTION("""COMPUTED_VALUE"""),0.0)</f>
        <v>0</v>
      </c>
      <c r="G31" s="9">
        <f>IFERROR(__xludf.DUMMYFUNCTION("""COMPUTED_VALUE"""),0.0)</f>
        <v>0</v>
      </c>
      <c r="H31" s="8">
        <f>IFERROR(__xludf.DUMMYFUNCTION("""COMPUTED_VALUE"""),1.0)</f>
        <v>1</v>
      </c>
      <c r="I31" s="11">
        <f>IFERROR(__xludf.DUMMYFUNCTION("""COMPUTED_VALUE"""),46023.0)</f>
        <v>46023</v>
      </c>
    </row>
    <row r="32">
      <c r="A32" s="7">
        <f>IFERROR(__xludf.DUMMYFUNCTION("""COMPUTED_VALUE"""),3.0)</f>
        <v>3</v>
      </c>
      <c r="B32" s="8" t="str">
        <f>IFERROR(__xludf.DUMMYFUNCTION("""COMPUTED_VALUE"""),"ACTIVIDADES FISICAS Y DEPORTIVAS II")</f>
        <v>ACTIVIDADES FISICAS Y DEPORTIVAS II</v>
      </c>
      <c r="C32" s="9">
        <f>IFERROR(__xludf.DUMMYFUNCTION("""COMPUTED_VALUE"""),98.74213836477988)</f>
        <v>98.74213836</v>
      </c>
      <c r="D32" s="9" t="str">
        <f>IFERROR(__xludf.DUMMYFUNCTION("""COMPUTED_VALUE"""),"#DIV/0!")</f>
        <v>#DIV/0!</v>
      </c>
      <c r="E32" s="9">
        <f>IFERROR(__xludf.DUMMYFUNCTION("""COMPUTED_VALUE"""),0.0)</f>
        <v>0</v>
      </c>
      <c r="F32" s="10">
        <f>IFERROR(__xludf.DUMMYFUNCTION("""COMPUTED_VALUE"""),0.0)</f>
        <v>0</v>
      </c>
      <c r="G32" s="9">
        <f>IFERROR(__xludf.DUMMYFUNCTION("""COMPUTED_VALUE"""),0.0)</f>
        <v>0</v>
      </c>
      <c r="H32" s="8">
        <f>IFERROR(__xludf.DUMMYFUNCTION("""COMPUTED_VALUE"""),1.0)</f>
        <v>1</v>
      </c>
      <c r="I32" s="11">
        <f>IFERROR(__xludf.DUMMYFUNCTION("""COMPUTED_VALUE"""),46023.0)</f>
        <v>46023</v>
      </c>
    </row>
    <row r="33">
      <c r="A33" s="7">
        <f>IFERROR(__xludf.DUMMYFUNCTION("""COMPUTED_VALUE"""),3.0)</f>
        <v>3</v>
      </c>
      <c r="B33" s="8" t="str">
        <f>IFERROR(__xludf.DUMMYFUNCTION("""COMPUTED_VALUE"""),"EDUCACION PARA LA SALUD II")</f>
        <v>EDUCACION PARA LA SALUD II</v>
      </c>
      <c r="C33" s="9">
        <f>IFERROR(__xludf.DUMMYFUNCTION("""COMPUTED_VALUE"""),97.73584905660377)</f>
        <v>97.73584906</v>
      </c>
      <c r="D33" s="9" t="str">
        <f>IFERROR(__xludf.DUMMYFUNCTION("""COMPUTED_VALUE"""),"#DIV/0!")</f>
        <v>#DIV/0!</v>
      </c>
      <c r="E33" s="9">
        <f>IFERROR(__xludf.DUMMYFUNCTION("""COMPUTED_VALUE"""),0.0)</f>
        <v>0</v>
      </c>
      <c r="F33" s="10">
        <f>IFERROR(__xludf.DUMMYFUNCTION("""COMPUTED_VALUE"""),0.0)</f>
        <v>0</v>
      </c>
      <c r="G33" s="9">
        <f>IFERROR(__xludf.DUMMYFUNCTION("""COMPUTED_VALUE"""),0.0)</f>
        <v>0</v>
      </c>
      <c r="H33" s="8">
        <f>IFERROR(__xludf.DUMMYFUNCTION("""COMPUTED_VALUE"""),1.0)</f>
        <v>1</v>
      </c>
      <c r="I33" s="11">
        <f>IFERROR(__xludf.DUMMYFUNCTION("""COMPUTED_VALUE"""),46023.0)</f>
        <v>46023</v>
      </c>
    </row>
    <row r="34">
      <c r="A34" s="12">
        <f>IFERROR(__xludf.DUMMYFUNCTION("""COMPUTED_VALUE"""),3.0)</f>
        <v>3</v>
      </c>
      <c r="B34" s="13" t="str">
        <f>IFERROR(__xludf.DUMMYFUNCTION("""COMPUTED_VALUE"""),"TEMAS SELECTOS DE IGUALDAD Y DERECHOS HUMANOS II")</f>
        <v>TEMAS SELECTOS DE IGUALDAD Y DERECHOS HUMANOS II</v>
      </c>
      <c r="C34" s="14">
        <f>IFERROR(__xludf.DUMMYFUNCTION("""COMPUTED_VALUE"""),96.22641509433963)</f>
        <v>96.22641509</v>
      </c>
      <c r="D34" s="14" t="str">
        <f>IFERROR(__xludf.DUMMYFUNCTION("""COMPUTED_VALUE"""),"#DIV/0!")</f>
        <v>#DIV/0!</v>
      </c>
      <c r="E34" s="14">
        <f>IFERROR(__xludf.DUMMYFUNCTION("""COMPUTED_VALUE"""),0.0)</f>
        <v>0</v>
      </c>
      <c r="F34" s="15">
        <f>IFERROR(__xludf.DUMMYFUNCTION("""COMPUTED_VALUE"""),0.0)</f>
        <v>0</v>
      </c>
      <c r="G34" s="14">
        <f>IFERROR(__xludf.DUMMYFUNCTION("""COMPUTED_VALUE"""),0.0)</f>
        <v>0</v>
      </c>
      <c r="H34" s="13">
        <f>IFERROR(__xludf.DUMMYFUNCTION("""COMPUTED_VALUE"""),1.0)</f>
        <v>1</v>
      </c>
      <c r="I34" s="16">
        <f>IFERROR(__xludf.DUMMYFUNCTION("""COMPUTED_VALUE"""),46023.0)</f>
        <v>46023</v>
      </c>
    </row>
    <row r="35">
      <c r="A35" s="17">
        <f>IFERROR(__xludf.DUMMYFUNCTION("IMPORTRANGE(""https://docs.google.com/spreadsheets/d/18uFFbBXq5f2l-NPGZ9zfx9hK3OXfozCBcwWhjkL8Elo/edit?usp=sharing"",""INDICADORES!N2:V34"")"),1.0)</f>
        <v>1</v>
      </c>
      <c r="B35" s="18" t="str">
        <f>IFERROR(__xludf.DUMMYFUNCTION("""COMPUTED_VALUE"""),"LENGUA Y COMUNICACIÓN II")</f>
        <v>LENGUA Y COMUNICACIÓN II</v>
      </c>
      <c r="C35" s="19">
        <f>IFERROR(__xludf.DUMMYFUNCTION("""COMPUTED_VALUE"""),99.16666666666667)</f>
        <v>99.16666667</v>
      </c>
      <c r="D35" s="19">
        <f>IFERROR(__xludf.DUMMYFUNCTION("""COMPUTED_VALUE"""),7.923076923076923)</f>
        <v>7.923076923</v>
      </c>
      <c r="E35" s="19">
        <f>IFERROR(__xludf.DUMMYFUNCTION("""COMPUTED_VALUE"""),11.538461538461538)</f>
        <v>11.53846154</v>
      </c>
      <c r="F35" s="20">
        <f>IFERROR(__xludf.DUMMYFUNCTION("""COMPUTED_VALUE"""),6.0)</f>
        <v>6</v>
      </c>
      <c r="G35" s="19">
        <f>IFERROR(__xludf.DUMMYFUNCTION("""COMPUTED_VALUE"""),88.46153846153847)</f>
        <v>88.46153846</v>
      </c>
      <c r="H35" s="18">
        <f>IFERROR(__xludf.DUMMYFUNCTION("""COMPUTED_VALUE"""),1.0)</f>
        <v>1</v>
      </c>
      <c r="I35" s="21">
        <f>IFERROR(__xludf.DUMMYFUNCTION("""COMPUTED_VALUE"""),46054.0)</f>
        <v>46054</v>
      </c>
    </row>
    <row r="36">
      <c r="A36" s="22">
        <f>IFERROR(__xludf.DUMMYFUNCTION("""COMPUTED_VALUE"""),1.0)</f>
        <v>1</v>
      </c>
      <c r="B36" s="23" t="str">
        <f>IFERROR(__xludf.DUMMYFUNCTION("""COMPUTED_VALUE"""),"INGLÉS II")</f>
        <v>INGLÉS II</v>
      </c>
      <c r="C36" s="24">
        <f>IFERROR(__xludf.DUMMYFUNCTION("""COMPUTED_VALUE"""),99.8076923076923)</f>
        <v>99.80769231</v>
      </c>
      <c r="D36" s="24">
        <f>IFERROR(__xludf.DUMMYFUNCTION("""COMPUTED_VALUE"""),8.634615384615385)</f>
        <v>8.634615385</v>
      </c>
      <c r="E36" s="24">
        <f>IFERROR(__xludf.DUMMYFUNCTION("""COMPUTED_VALUE"""),7.6923076923076925)</f>
        <v>7.692307692</v>
      </c>
      <c r="F36" s="25">
        <f>IFERROR(__xludf.DUMMYFUNCTION("""COMPUTED_VALUE"""),4.0)</f>
        <v>4</v>
      </c>
      <c r="G36" s="24">
        <f>IFERROR(__xludf.DUMMYFUNCTION("""COMPUTED_VALUE"""),92.3076923076923)</f>
        <v>92.30769231</v>
      </c>
      <c r="H36" s="23">
        <f>IFERROR(__xludf.DUMMYFUNCTION("""COMPUTED_VALUE"""),1.0)</f>
        <v>1</v>
      </c>
      <c r="I36" s="26">
        <f>IFERROR(__xludf.DUMMYFUNCTION("""COMPUTED_VALUE"""),46054.0)</f>
        <v>46054</v>
      </c>
    </row>
    <row r="37">
      <c r="A37" s="22">
        <f>IFERROR(__xludf.DUMMYFUNCTION("""COMPUTED_VALUE"""),1.0)</f>
        <v>1</v>
      </c>
      <c r="B37" s="23" t="str">
        <f>IFERROR(__xludf.DUMMYFUNCTION("""COMPUTED_VALUE"""),"PENSAMIENTO MATEMÁTICO II")</f>
        <v>PENSAMIENTO MATEMÁTICO II</v>
      </c>
      <c r="C37" s="24">
        <f>IFERROR(__xludf.DUMMYFUNCTION("""COMPUTED_VALUE"""),99.8076923076923)</f>
        <v>99.80769231</v>
      </c>
      <c r="D37" s="24">
        <f>IFERROR(__xludf.DUMMYFUNCTION("""COMPUTED_VALUE"""),8.634615384615385)</f>
        <v>8.634615385</v>
      </c>
      <c r="E37" s="24">
        <f>IFERROR(__xludf.DUMMYFUNCTION("""COMPUTED_VALUE"""),7.6923076923076925)</f>
        <v>7.692307692</v>
      </c>
      <c r="F37" s="25">
        <f>IFERROR(__xludf.DUMMYFUNCTION("""COMPUTED_VALUE"""),4.0)</f>
        <v>4</v>
      </c>
      <c r="G37" s="24">
        <f>IFERROR(__xludf.DUMMYFUNCTION("""COMPUTED_VALUE"""),92.3076923076923)</f>
        <v>92.30769231</v>
      </c>
      <c r="H37" s="23">
        <f>IFERROR(__xludf.DUMMYFUNCTION("""COMPUTED_VALUE"""),1.0)</f>
        <v>1</v>
      </c>
      <c r="I37" s="26">
        <f>IFERROR(__xludf.DUMMYFUNCTION("""COMPUTED_VALUE"""),46054.0)</f>
        <v>46054</v>
      </c>
    </row>
    <row r="38">
      <c r="A38" s="22">
        <f>IFERROR(__xludf.DUMMYFUNCTION("""COMPUTED_VALUE"""),1.0)</f>
        <v>1</v>
      </c>
      <c r="B38" s="23" t="str">
        <f>IFERROR(__xludf.DUMMYFUNCTION("""COMPUTED_VALUE"""),"CULTURA DIGITAL II")</f>
        <v>CULTURA DIGITAL II</v>
      </c>
      <c r="C38" s="24">
        <f>IFERROR(__xludf.DUMMYFUNCTION("""COMPUTED_VALUE"""),96.15384615384616)</f>
        <v>96.15384615</v>
      </c>
      <c r="D38" s="24">
        <f>IFERROR(__xludf.DUMMYFUNCTION("""COMPUTED_VALUE"""),8.634615384615385)</f>
        <v>8.634615385</v>
      </c>
      <c r="E38" s="24">
        <f>IFERROR(__xludf.DUMMYFUNCTION("""COMPUTED_VALUE"""),7.6923076923076925)</f>
        <v>7.692307692</v>
      </c>
      <c r="F38" s="25">
        <f>IFERROR(__xludf.DUMMYFUNCTION("""COMPUTED_VALUE"""),4.0)</f>
        <v>4</v>
      </c>
      <c r="G38" s="24">
        <f>IFERROR(__xludf.DUMMYFUNCTION("""COMPUTED_VALUE"""),92.3076923076923)</f>
        <v>92.30769231</v>
      </c>
      <c r="H38" s="23">
        <f>IFERROR(__xludf.DUMMYFUNCTION("""COMPUTED_VALUE"""),1.0)</f>
        <v>1</v>
      </c>
      <c r="I38" s="26">
        <f>IFERROR(__xludf.DUMMYFUNCTION("""COMPUTED_VALUE"""),46054.0)</f>
        <v>46054</v>
      </c>
    </row>
    <row r="39">
      <c r="A39" s="22">
        <f>IFERROR(__xludf.DUMMYFUNCTION("""COMPUTED_VALUE"""),1.0)</f>
        <v>1</v>
      </c>
      <c r="B39" s="23" t="str">
        <f>IFERROR(__xludf.DUMMYFUNCTION("""COMPUTED_VALUE"""),"CIENCIAS NATURALES, EXPERIMENTALES Y TECNOLOGIA II")</f>
        <v>CIENCIAS NATURALES, EXPERIMENTALES Y TECNOLOGIA II</v>
      </c>
      <c r="C39" s="24">
        <f>IFERROR(__xludf.DUMMYFUNCTION("""COMPUTED_VALUE"""),98.07692307692308)</f>
        <v>98.07692308</v>
      </c>
      <c r="D39" s="24">
        <f>IFERROR(__xludf.DUMMYFUNCTION("""COMPUTED_VALUE"""),8.634615384615385)</f>
        <v>8.634615385</v>
      </c>
      <c r="E39" s="24">
        <f>IFERROR(__xludf.DUMMYFUNCTION("""COMPUTED_VALUE"""),7.6923076923076925)</f>
        <v>7.692307692</v>
      </c>
      <c r="F39" s="25">
        <f>IFERROR(__xludf.DUMMYFUNCTION("""COMPUTED_VALUE"""),4.0)</f>
        <v>4</v>
      </c>
      <c r="G39" s="24">
        <f>IFERROR(__xludf.DUMMYFUNCTION("""COMPUTED_VALUE"""),92.3076923076923)</f>
        <v>92.30769231</v>
      </c>
      <c r="H39" s="23">
        <f>IFERROR(__xludf.DUMMYFUNCTION("""COMPUTED_VALUE"""),1.0)</f>
        <v>1</v>
      </c>
      <c r="I39" s="26">
        <f>IFERROR(__xludf.DUMMYFUNCTION("""COMPUTED_VALUE"""),46054.0)</f>
        <v>46054</v>
      </c>
    </row>
    <row r="40">
      <c r="A40" s="22">
        <f>IFERROR(__xludf.DUMMYFUNCTION("""COMPUTED_VALUE"""),1.0)</f>
        <v>1</v>
      </c>
      <c r="B40" s="23" t="str">
        <f>IFERROR(__xludf.DUMMYFUNCTION("""COMPUTED_VALUE"""),"PENSAMIENTO FILOSÓFICO Y HUMANIDADES II")</f>
        <v>PENSAMIENTO FILOSÓFICO Y HUMANIDADES II</v>
      </c>
      <c r="C40" s="24">
        <f>IFERROR(__xludf.DUMMYFUNCTION("""COMPUTED_VALUE"""),96.15384615384616)</f>
        <v>96.15384615</v>
      </c>
      <c r="D40" s="24">
        <f>IFERROR(__xludf.DUMMYFUNCTION("""COMPUTED_VALUE"""),8.634615384615385)</f>
        <v>8.634615385</v>
      </c>
      <c r="E40" s="24">
        <f>IFERROR(__xludf.DUMMYFUNCTION("""COMPUTED_VALUE"""),7.6923076923076925)</f>
        <v>7.692307692</v>
      </c>
      <c r="F40" s="25">
        <f>IFERROR(__xludf.DUMMYFUNCTION("""COMPUTED_VALUE"""),4.0)</f>
        <v>4</v>
      </c>
      <c r="G40" s="24">
        <f>IFERROR(__xludf.DUMMYFUNCTION("""COMPUTED_VALUE"""),92.3076923076923)</f>
        <v>92.30769231</v>
      </c>
      <c r="H40" s="23">
        <f>IFERROR(__xludf.DUMMYFUNCTION("""COMPUTED_VALUE"""),1.0)</f>
        <v>1</v>
      </c>
      <c r="I40" s="26">
        <f>IFERROR(__xludf.DUMMYFUNCTION("""COMPUTED_VALUE"""),46054.0)</f>
        <v>46054</v>
      </c>
    </row>
    <row r="41">
      <c r="A41" s="22">
        <f>IFERROR(__xludf.DUMMYFUNCTION("""COMPUTED_VALUE"""),1.0)</f>
        <v>1</v>
      </c>
      <c r="B41" s="23" t="str">
        <f>IFERROR(__xludf.DUMMYFUNCTION("""COMPUTED_VALUE"""),"CIENCIAS SOCIALES II")</f>
        <v>CIENCIAS SOCIALES II</v>
      </c>
      <c r="C41" s="24">
        <f>IFERROR(__xludf.DUMMYFUNCTION("""COMPUTED_VALUE"""),96.15384615384616)</f>
        <v>96.15384615</v>
      </c>
      <c r="D41" s="24">
        <f>IFERROR(__xludf.DUMMYFUNCTION("""COMPUTED_VALUE"""),8.634615384615385)</f>
        <v>8.634615385</v>
      </c>
      <c r="E41" s="24">
        <f>IFERROR(__xludf.DUMMYFUNCTION("""COMPUTED_VALUE"""),7.6923076923076925)</f>
        <v>7.692307692</v>
      </c>
      <c r="F41" s="25">
        <f>IFERROR(__xludf.DUMMYFUNCTION("""COMPUTED_VALUE"""),4.0)</f>
        <v>4</v>
      </c>
      <c r="G41" s="24">
        <f>IFERROR(__xludf.DUMMYFUNCTION("""COMPUTED_VALUE"""),92.3076923076923)</f>
        <v>92.30769231</v>
      </c>
      <c r="H41" s="23">
        <f>IFERROR(__xludf.DUMMYFUNCTION("""COMPUTED_VALUE"""),1.0)</f>
        <v>1</v>
      </c>
      <c r="I41" s="26">
        <f>IFERROR(__xludf.DUMMYFUNCTION("""COMPUTED_VALUE"""),46054.0)</f>
        <v>46054</v>
      </c>
    </row>
    <row r="42">
      <c r="A42" s="22">
        <f>IFERROR(__xludf.DUMMYFUNCTION("""COMPUTED_VALUE"""),1.0)</f>
        <v>1</v>
      </c>
      <c r="B42" s="23" t="str">
        <f>IFERROR(__xludf.DUMMYFUNCTION("""COMPUTED_VALUE"""),"TALLER DE CIENCIAS I")</f>
        <v>TALLER DE CIENCIAS I</v>
      </c>
      <c r="C42" s="24">
        <f>IFERROR(__xludf.DUMMYFUNCTION("""COMPUTED_VALUE"""),96.15384615384616)</f>
        <v>96.15384615</v>
      </c>
      <c r="D42" s="24">
        <f>IFERROR(__xludf.DUMMYFUNCTION("""COMPUTED_VALUE"""),8.634615384615385)</f>
        <v>8.634615385</v>
      </c>
      <c r="E42" s="24">
        <f>IFERROR(__xludf.DUMMYFUNCTION("""COMPUTED_VALUE"""),7.6923076923076925)</f>
        <v>7.692307692</v>
      </c>
      <c r="F42" s="25">
        <f>IFERROR(__xludf.DUMMYFUNCTION("""COMPUTED_VALUE"""),4.0)</f>
        <v>4</v>
      </c>
      <c r="G42" s="24">
        <f>IFERROR(__xludf.DUMMYFUNCTION("""COMPUTED_VALUE"""),92.3076923076923)</f>
        <v>92.30769231</v>
      </c>
      <c r="H42" s="23">
        <f>IFERROR(__xludf.DUMMYFUNCTION("""COMPUTED_VALUE"""),1.0)</f>
        <v>1</v>
      </c>
      <c r="I42" s="26">
        <f>IFERROR(__xludf.DUMMYFUNCTION("""COMPUTED_VALUE"""),46054.0)</f>
        <v>46054</v>
      </c>
    </row>
    <row r="43">
      <c r="A43" s="22">
        <f>IFERROR(__xludf.DUMMYFUNCTION("""COMPUTED_VALUE"""),1.0)</f>
        <v>1</v>
      </c>
      <c r="B43" s="23" t="str">
        <f>IFERROR(__xludf.DUMMYFUNCTION("""COMPUTED_VALUE"""),"ACTIVIDADES FISICAS Y DEPORTIVAS II")</f>
        <v>ACTIVIDADES FISICAS Y DEPORTIVAS II</v>
      </c>
      <c r="C43" s="24">
        <f>IFERROR(__xludf.DUMMYFUNCTION("""COMPUTED_VALUE"""),96.15384615384616)</f>
        <v>96.15384615</v>
      </c>
      <c r="D43" s="24">
        <f>IFERROR(__xludf.DUMMYFUNCTION("""COMPUTED_VALUE"""),8.634615384615385)</f>
        <v>8.634615385</v>
      </c>
      <c r="E43" s="24">
        <f>IFERROR(__xludf.DUMMYFUNCTION("""COMPUTED_VALUE"""),7.6923076923076925)</f>
        <v>7.692307692</v>
      </c>
      <c r="F43" s="25">
        <f>IFERROR(__xludf.DUMMYFUNCTION("""COMPUTED_VALUE"""),4.0)</f>
        <v>4</v>
      </c>
      <c r="G43" s="24">
        <f>IFERROR(__xludf.DUMMYFUNCTION("""COMPUTED_VALUE"""),92.3076923076923)</f>
        <v>92.30769231</v>
      </c>
      <c r="H43" s="23">
        <f>IFERROR(__xludf.DUMMYFUNCTION("""COMPUTED_VALUE"""),1.0)</f>
        <v>1</v>
      </c>
      <c r="I43" s="26">
        <f>IFERROR(__xludf.DUMMYFUNCTION("""COMPUTED_VALUE"""),46054.0)</f>
        <v>46054</v>
      </c>
    </row>
    <row r="44">
      <c r="A44" s="22">
        <f>IFERROR(__xludf.DUMMYFUNCTION("""COMPUTED_VALUE"""),1.0)</f>
        <v>1</v>
      </c>
      <c r="B44" s="23" t="str">
        <f>IFERROR(__xludf.DUMMYFUNCTION("""COMPUTED_VALUE"""),"EDUCACION PARA LA SALUD II")</f>
        <v>EDUCACION PARA LA SALUD II</v>
      </c>
      <c r="C44" s="24">
        <f>IFERROR(__xludf.DUMMYFUNCTION("""COMPUTED_VALUE"""),96.15384615384616)</f>
        <v>96.15384615</v>
      </c>
      <c r="D44" s="24">
        <f>IFERROR(__xludf.DUMMYFUNCTION("""COMPUTED_VALUE"""),8.634615384615385)</f>
        <v>8.634615385</v>
      </c>
      <c r="E44" s="24">
        <f>IFERROR(__xludf.DUMMYFUNCTION("""COMPUTED_VALUE"""),7.6923076923076925)</f>
        <v>7.692307692</v>
      </c>
      <c r="F44" s="25">
        <f>IFERROR(__xludf.DUMMYFUNCTION("""COMPUTED_VALUE"""),4.0)</f>
        <v>4</v>
      </c>
      <c r="G44" s="24">
        <f>IFERROR(__xludf.DUMMYFUNCTION("""COMPUTED_VALUE"""),92.3076923076923)</f>
        <v>92.30769231</v>
      </c>
      <c r="H44" s="23">
        <f>IFERROR(__xludf.DUMMYFUNCTION("""COMPUTED_VALUE"""),1.0)</f>
        <v>1</v>
      </c>
      <c r="I44" s="26">
        <f>IFERROR(__xludf.DUMMYFUNCTION("""COMPUTED_VALUE"""),46054.0)</f>
        <v>46054</v>
      </c>
    </row>
    <row r="45">
      <c r="A45" s="27">
        <f>IFERROR(__xludf.DUMMYFUNCTION("""COMPUTED_VALUE"""),1.0)</f>
        <v>1</v>
      </c>
      <c r="B45" s="28" t="str">
        <f>IFERROR(__xludf.DUMMYFUNCTION("""COMPUTED_VALUE"""),"TEMAS SELECTOS DE IGUALDAD Y DERECHOS HUMANOS II")</f>
        <v>TEMAS SELECTOS DE IGUALDAD Y DERECHOS HUMANOS II</v>
      </c>
      <c r="C45" s="29">
        <f>IFERROR(__xludf.DUMMYFUNCTION("""COMPUTED_VALUE"""),96.15384615384616)</f>
        <v>96.15384615</v>
      </c>
      <c r="D45" s="29">
        <f>IFERROR(__xludf.DUMMYFUNCTION("""COMPUTED_VALUE"""),8.634615384615385)</f>
        <v>8.634615385</v>
      </c>
      <c r="E45" s="29">
        <f>IFERROR(__xludf.DUMMYFUNCTION("""COMPUTED_VALUE"""),7.6923076923076925)</f>
        <v>7.692307692</v>
      </c>
      <c r="F45" s="30">
        <f>IFERROR(__xludf.DUMMYFUNCTION("""COMPUTED_VALUE"""),4.0)</f>
        <v>4</v>
      </c>
      <c r="G45" s="29">
        <f>IFERROR(__xludf.DUMMYFUNCTION("""COMPUTED_VALUE"""),92.3076923076923)</f>
        <v>92.30769231</v>
      </c>
      <c r="H45" s="28">
        <f>IFERROR(__xludf.DUMMYFUNCTION("""COMPUTED_VALUE"""),1.0)</f>
        <v>1</v>
      </c>
      <c r="I45" s="31">
        <f>IFERROR(__xludf.DUMMYFUNCTION("""COMPUTED_VALUE"""),46054.0)</f>
        <v>46054</v>
      </c>
    </row>
    <row r="46">
      <c r="A46" s="17">
        <f>IFERROR(__xludf.DUMMYFUNCTION("""COMPUTED_VALUE"""),2.0)</f>
        <v>2</v>
      </c>
      <c r="B46" s="18" t="str">
        <f>IFERROR(__xludf.DUMMYFUNCTION("""COMPUTED_VALUE"""),"LENGUA Y COMUNICACIÓN II")</f>
        <v>LENGUA Y COMUNICACIÓN II</v>
      </c>
      <c r="C46" s="19">
        <f>IFERROR(__xludf.DUMMYFUNCTION("""COMPUTED_VALUE"""),99.16666666666667)</f>
        <v>99.16666667</v>
      </c>
      <c r="D46" s="19" t="str">
        <f>IFERROR(__xludf.DUMMYFUNCTION("""COMPUTED_VALUE"""),"#DIV/0!")</f>
        <v>#DIV/0!</v>
      </c>
      <c r="E46" s="19">
        <f>IFERROR(__xludf.DUMMYFUNCTION("""COMPUTED_VALUE"""),0.0)</f>
        <v>0</v>
      </c>
      <c r="F46" s="20">
        <f>IFERROR(__xludf.DUMMYFUNCTION("""COMPUTED_VALUE"""),0.0)</f>
        <v>0</v>
      </c>
      <c r="G46" s="19">
        <f>IFERROR(__xludf.DUMMYFUNCTION("""COMPUTED_VALUE"""),0.0)</f>
        <v>0</v>
      </c>
      <c r="H46" s="18">
        <f>IFERROR(__xludf.DUMMYFUNCTION("""COMPUTED_VALUE"""),1.0)</f>
        <v>1</v>
      </c>
      <c r="I46" s="21">
        <f>IFERROR(__xludf.DUMMYFUNCTION("""COMPUTED_VALUE"""),46054.0)</f>
        <v>46054</v>
      </c>
    </row>
    <row r="47">
      <c r="A47" s="22">
        <f>IFERROR(__xludf.DUMMYFUNCTION("""COMPUTED_VALUE"""),2.0)</f>
        <v>2</v>
      </c>
      <c r="B47" s="23" t="str">
        <f>IFERROR(__xludf.DUMMYFUNCTION("""COMPUTED_VALUE"""),"INGLÉS II")</f>
        <v>INGLÉS II</v>
      </c>
      <c r="C47" s="24">
        <f>IFERROR(__xludf.DUMMYFUNCTION("""COMPUTED_VALUE"""),99.8076923076923)</f>
        <v>99.80769231</v>
      </c>
      <c r="D47" s="24" t="str">
        <f>IFERROR(__xludf.DUMMYFUNCTION("""COMPUTED_VALUE"""),"#DIV/0!")</f>
        <v>#DIV/0!</v>
      </c>
      <c r="E47" s="24">
        <f>IFERROR(__xludf.DUMMYFUNCTION("""COMPUTED_VALUE"""),0.0)</f>
        <v>0</v>
      </c>
      <c r="F47" s="25">
        <f>IFERROR(__xludf.DUMMYFUNCTION("""COMPUTED_VALUE"""),0.0)</f>
        <v>0</v>
      </c>
      <c r="G47" s="24">
        <f>IFERROR(__xludf.DUMMYFUNCTION("""COMPUTED_VALUE"""),0.0)</f>
        <v>0</v>
      </c>
      <c r="H47" s="23">
        <f>IFERROR(__xludf.DUMMYFUNCTION("""COMPUTED_VALUE"""),1.0)</f>
        <v>1</v>
      </c>
      <c r="I47" s="26">
        <f>IFERROR(__xludf.DUMMYFUNCTION("""COMPUTED_VALUE"""),46054.0)</f>
        <v>46054</v>
      </c>
    </row>
    <row r="48">
      <c r="A48" s="22">
        <f>IFERROR(__xludf.DUMMYFUNCTION("""COMPUTED_VALUE"""),2.0)</f>
        <v>2</v>
      </c>
      <c r="B48" s="23" t="str">
        <f>IFERROR(__xludf.DUMMYFUNCTION("""COMPUTED_VALUE"""),"PENSAMIENTO MATEMÁTICO II")</f>
        <v>PENSAMIENTO MATEMÁTICO II</v>
      </c>
      <c r="C48" s="24">
        <f>IFERROR(__xludf.DUMMYFUNCTION("""COMPUTED_VALUE"""),99.8076923076923)</f>
        <v>99.80769231</v>
      </c>
      <c r="D48" s="24" t="str">
        <f>IFERROR(__xludf.DUMMYFUNCTION("""COMPUTED_VALUE"""),"#DIV/0!")</f>
        <v>#DIV/0!</v>
      </c>
      <c r="E48" s="24">
        <f>IFERROR(__xludf.DUMMYFUNCTION("""COMPUTED_VALUE"""),0.0)</f>
        <v>0</v>
      </c>
      <c r="F48" s="25">
        <f>IFERROR(__xludf.DUMMYFUNCTION("""COMPUTED_VALUE"""),0.0)</f>
        <v>0</v>
      </c>
      <c r="G48" s="24">
        <f>IFERROR(__xludf.DUMMYFUNCTION("""COMPUTED_VALUE"""),0.0)</f>
        <v>0</v>
      </c>
      <c r="H48" s="23">
        <f>IFERROR(__xludf.DUMMYFUNCTION("""COMPUTED_VALUE"""),1.0)</f>
        <v>1</v>
      </c>
      <c r="I48" s="26">
        <f>IFERROR(__xludf.DUMMYFUNCTION("""COMPUTED_VALUE"""),46054.0)</f>
        <v>46054</v>
      </c>
    </row>
    <row r="49">
      <c r="A49" s="22">
        <f>IFERROR(__xludf.DUMMYFUNCTION("""COMPUTED_VALUE"""),2.0)</f>
        <v>2</v>
      </c>
      <c r="B49" s="23" t="str">
        <f>IFERROR(__xludf.DUMMYFUNCTION("""COMPUTED_VALUE"""),"CULTURA DIGITAL II")</f>
        <v>CULTURA DIGITAL II</v>
      </c>
      <c r="C49" s="24">
        <f>IFERROR(__xludf.DUMMYFUNCTION("""COMPUTED_VALUE"""),96.15384615384616)</f>
        <v>96.15384615</v>
      </c>
      <c r="D49" s="24" t="str">
        <f>IFERROR(__xludf.DUMMYFUNCTION("""COMPUTED_VALUE"""),"#DIV/0!")</f>
        <v>#DIV/0!</v>
      </c>
      <c r="E49" s="24">
        <f>IFERROR(__xludf.DUMMYFUNCTION("""COMPUTED_VALUE"""),0.0)</f>
        <v>0</v>
      </c>
      <c r="F49" s="25">
        <f>IFERROR(__xludf.DUMMYFUNCTION("""COMPUTED_VALUE"""),0.0)</f>
        <v>0</v>
      </c>
      <c r="G49" s="24">
        <f>IFERROR(__xludf.DUMMYFUNCTION("""COMPUTED_VALUE"""),0.0)</f>
        <v>0</v>
      </c>
      <c r="H49" s="23">
        <f>IFERROR(__xludf.DUMMYFUNCTION("""COMPUTED_VALUE"""),1.0)</f>
        <v>1</v>
      </c>
      <c r="I49" s="26">
        <f>IFERROR(__xludf.DUMMYFUNCTION("""COMPUTED_VALUE"""),46054.0)</f>
        <v>46054</v>
      </c>
    </row>
    <row r="50">
      <c r="A50" s="22">
        <f>IFERROR(__xludf.DUMMYFUNCTION("""COMPUTED_VALUE"""),2.0)</f>
        <v>2</v>
      </c>
      <c r="B50" s="23" t="str">
        <f>IFERROR(__xludf.DUMMYFUNCTION("""COMPUTED_VALUE"""),"CIENCIAS NATURALES, EXPERIMENTALES Y TECNOLOGIA II")</f>
        <v>CIENCIAS NATURALES, EXPERIMENTALES Y TECNOLOGIA II</v>
      </c>
      <c r="C50" s="24">
        <f>IFERROR(__xludf.DUMMYFUNCTION("""COMPUTED_VALUE"""),98.07692307692308)</f>
        <v>98.07692308</v>
      </c>
      <c r="D50" s="24" t="str">
        <f>IFERROR(__xludf.DUMMYFUNCTION("""COMPUTED_VALUE"""),"#DIV/0!")</f>
        <v>#DIV/0!</v>
      </c>
      <c r="E50" s="24">
        <f>IFERROR(__xludf.DUMMYFUNCTION("""COMPUTED_VALUE"""),0.0)</f>
        <v>0</v>
      </c>
      <c r="F50" s="25">
        <f>IFERROR(__xludf.DUMMYFUNCTION("""COMPUTED_VALUE"""),0.0)</f>
        <v>0</v>
      </c>
      <c r="G50" s="24">
        <f>IFERROR(__xludf.DUMMYFUNCTION("""COMPUTED_VALUE"""),0.0)</f>
        <v>0</v>
      </c>
      <c r="H50" s="23">
        <f>IFERROR(__xludf.DUMMYFUNCTION("""COMPUTED_VALUE"""),1.0)</f>
        <v>1</v>
      </c>
      <c r="I50" s="26">
        <f>IFERROR(__xludf.DUMMYFUNCTION("""COMPUTED_VALUE"""),46054.0)</f>
        <v>46054</v>
      </c>
    </row>
    <row r="51">
      <c r="A51" s="22">
        <f>IFERROR(__xludf.DUMMYFUNCTION("""COMPUTED_VALUE"""),2.0)</f>
        <v>2</v>
      </c>
      <c r="B51" s="23" t="str">
        <f>IFERROR(__xludf.DUMMYFUNCTION("""COMPUTED_VALUE"""),"PENSAMIENTO FILOSÓFICO Y HUMANIDADES II")</f>
        <v>PENSAMIENTO FILOSÓFICO Y HUMANIDADES II</v>
      </c>
      <c r="C51" s="24">
        <f>IFERROR(__xludf.DUMMYFUNCTION("""COMPUTED_VALUE"""),96.15384615384616)</f>
        <v>96.15384615</v>
      </c>
      <c r="D51" s="24" t="str">
        <f>IFERROR(__xludf.DUMMYFUNCTION("""COMPUTED_VALUE"""),"#DIV/0!")</f>
        <v>#DIV/0!</v>
      </c>
      <c r="E51" s="24">
        <f>IFERROR(__xludf.DUMMYFUNCTION("""COMPUTED_VALUE"""),0.0)</f>
        <v>0</v>
      </c>
      <c r="F51" s="25">
        <f>IFERROR(__xludf.DUMMYFUNCTION("""COMPUTED_VALUE"""),0.0)</f>
        <v>0</v>
      </c>
      <c r="G51" s="24">
        <f>IFERROR(__xludf.DUMMYFUNCTION("""COMPUTED_VALUE"""),0.0)</f>
        <v>0</v>
      </c>
      <c r="H51" s="23">
        <f>IFERROR(__xludf.DUMMYFUNCTION("""COMPUTED_VALUE"""),1.0)</f>
        <v>1</v>
      </c>
      <c r="I51" s="26">
        <f>IFERROR(__xludf.DUMMYFUNCTION("""COMPUTED_VALUE"""),46054.0)</f>
        <v>46054</v>
      </c>
    </row>
    <row r="52">
      <c r="A52" s="22">
        <f>IFERROR(__xludf.DUMMYFUNCTION("""COMPUTED_VALUE"""),2.0)</f>
        <v>2</v>
      </c>
      <c r="B52" s="23" t="str">
        <f>IFERROR(__xludf.DUMMYFUNCTION("""COMPUTED_VALUE"""),"CIENCIAS SOCIALES II")</f>
        <v>CIENCIAS SOCIALES II</v>
      </c>
      <c r="C52" s="24">
        <f>IFERROR(__xludf.DUMMYFUNCTION("""COMPUTED_VALUE"""),96.15384615384616)</f>
        <v>96.15384615</v>
      </c>
      <c r="D52" s="24" t="str">
        <f>IFERROR(__xludf.DUMMYFUNCTION("""COMPUTED_VALUE"""),"#DIV/0!")</f>
        <v>#DIV/0!</v>
      </c>
      <c r="E52" s="24">
        <f>IFERROR(__xludf.DUMMYFUNCTION("""COMPUTED_VALUE"""),0.0)</f>
        <v>0</v>
      </c>
      <c r="F52" s="25">
        <f>IFERROR(__xludf.DUMMYFUNCTION("""COMPUTED_VALUE"""),0.0)</f>
        <v>0</v>
      </c>
      <c r="G52" s="24">
        <f>IFERROR(__xludf.DUMMYFUNCTION("""COMPUTED_VALUE"""),0.0)</f>
        <v>0</v>
      </c>
      <c r="H52" s="23">
        <f>IFERROR(__xludf.DUMMYFUNCTION("""COMPUTED_VALUE"""),1.0)</f>
        <v>1</v>
      </c>
      <c r="I52" s="26">
        <f>IFERROR(__xludf.DUMMYFUNCTION("""COMPUTED_VALUE"""),46054.0)</f>
        <v>46054</v>
      </c>
    </row>
    <row r="53">
      <c r="A53" s="22">
        <f>IFERROR(__xludf.DUMMYFUNCTION("""COMPUTED_VALUE"""),2.0)</f>
        <v>2</v>
      </c>
      <c r="B53" s="23" t="str">
        <f>IFERROR(__xludf.DUMMYFUNCTION("""COMPUTED_VALUE"""),"TALLER DE CIENCIAS I")</f>
        <v>TALLER DE CIENCIAS I</v>
      </c>
      <c r="C53" s="24">
        <f>IFERROR(__xludf.DUMMYFUNCTION("""COMPUTED_VALUE"""),96.15384615384616)</f>
        <v>96.15384615</v>
      </c>
      <c r="D53" s="24" t="str">
        <f>IFERROR(__xludf.DUMMYFUNCTION("""COMPUTED_VALUE"""),"#DIV/0!")</f>
        <v>#DIV/0!</v>
      </c>
      <c r="E53" s="24">
        <f>IFERROR(__xludf.DUMMYFUNCTION("""COMPUTED_VALUE"""),0.0)</f>
        <v>0</v>
      </c>
      <c r="F53" s="25">
        <f>IFERROR(__xludf.DUMMYFUNCTION("""COMPUTED_VALUE"""),0.0)</f>
        <v>0</v>
      </c>
      <c r="G53" s="24">
        <f>IFERROR(__xludf.DUMMYFUNCTION("""COMPUTED_VALUE"""),0.0)</f>
        <v>0</v>
      </c>
      <c r="H53" s="23">
        <f>IFERROR(__xludf.DUMMYFUNCTION("""COMPUTED_VALUE"""),1.0)</f>
        <v>1</v>
      </c>
      <c r="I53" s="26">
        <f>IFERROR(__xludf.DUMMYFUNCTION("""COMPUTED_VALUE"""),46054.0)</f>
        <v>46054</v>
      </c>
    </row>
    <row r="54">
      <c r="A54" s="22">
        <f>IFERROR(__xludf.DUMMYFUNCTION("""COMPUTED_VALUE"""),2.0)</f>
        <v>2</v>
      </c>
      <c r="B54" s="23" t="str">
        <f>IFERROR(__xludf.DUMMYFUNCTION("""COMPUTED_VALUE"""),"ACTIVIDADES FISICAS Y DEPORTIVAS II")</f>
        <v>ACTIVIDADES FISICAS Y DEPORTIVAS II</v>
      </c>
      <c r="C54" s="24">
        <f>IFERROR(__xludf.DUMMYFUNCTION("""COMPUTED_VALUE"""),96.15384615384616)</f>
        <v>96.15384615</v>
      </c>
      <c r="D54" s="24" t="str">
        <f>IFERROR(__xludf.DUMMYFUNCTION("""COMPUTED_VALUE"""),"#DIV/0!")</f>
        <v>#DIV/0!</v>
      </c>
      <c r="E54" s="24">
        <f>IFERROR(__xludf.DUMMYFUNCTION("""COMPUTED_VALUE"""),0.0)</f>
        <v>0</v>
      </c>
      <c r="F54" s="25">
        <f>IFERROR(__xludf.DUMMYFUNCTION("""COMPUTED_VALUE"""),0.0)</f>
        <v>0</v>
      </c>
      <c r="G54" s="24">
        <f>IFERROR(__xludf.DUMMYFUNCTION("""COMPUTED_VALUE"""),0.0)</f>
        <v>0</v>
      </c>
      <c r="H54" s="23">
        <f>IFERROR(__xludf.DUMMYFUNCTION("""COMPUTED_VALUE"""),1.0)</f>
        <v>1</v>
      </c>
      <c r="I54" s="26">
        <f>IFERROR(__xludf.DUMMYFUNCTION("""COMPUTED_VALUE"""),46054.0)</f>
        <v>46054</v>
      </c>
    </row>
    <row r="55">
      <c r="A55" s="22">
        <f>IFERROR(__xludf.DUMMYFUNCTION("""COMPUTED_VALUE"""),2.0)</f>
        <v>2</v>
      </c>
      <c r="B55" s="23" t="str">
        <f>IFERROR(__xludf.DUMMYFUNCTION("""COMPUTED_VALUE"""),"EDUCACION PARA LA SALUD II")</f>
        <v>EDUCACION PARA LA SALUD II</v>
      </c>
      <c r="C55" s="24">
        <f>IFERROR(__xludf.DUMMYFUNCTION("""COMPUTED_VALUE"""),96.15384615384616)</f>
        <v>96.15384615</v>
      </c>
      <c r="D55" s="24" t="str">
        <f>IFERROR(__xludf.DUMMYFUNCTION("""COMPUTED_VALUE"""),"#DIV/0!")</f>
        <v>#DIV/0!</v>
      </c>
      <c r="E55" s="24">
        <f>IFERROR(__xludf.DUMMYFUNCTION("""COMPUTED_VALUE"""),0.0)</f>
        <v>0</v>
      </c>
      <c r="F55" s="25">
        <f>IFERROR(__xludf.DUMMYFUNCTION("""COMPUTED_VALUE"""),0.0)</f>
        <v>0</v>
      </c>
      <c r="G55" s="24">
        <f>IFERROR(__xludf.DUMMYFUNCTION("""COMPUTED_VALUE"""),0.0)</f>
        <v>0</v>
      </c>
      <c r="H55" s="23">
        <f>IFERROR(__xludf.DUMMYFUNCTION("""COMPUTED_VALUE"""),1.0)</f>
        <v>1</v>
      </c>
      <c r="I55" s="26">
        <f>IFERROR(__xludf.DUMMYFUNCTION("""COMPUTED_VALUE"""),46054.0)</f>
        <v>46054</v>
      </c>
    </row>
    <row r="56">
      <c r="A56" s="27">
        <f>IFERROR(__xludf.DUMMYFUNCTION("""COMPUTED_VALUE"""),2.0)</f>
        <v>2</v>
      </c>
      <c r="B56" s="28" t="str">
        <f>IFERROR(__xludf.DUMMYFUNCTION("""COMPUTED_VALUE"""),"TEMAS SELECTOS DE IGUALDAD Y DERECHOS HUMANOS II")</f>
        <v>TEMAS SELECTOS DE IGUALDAD Y DERECHOS HUMANOS II</v>
      </c>
      <c r="C56" s="29">
        <f>IFERROR(__xludf.DUMMYFUNCTION("""COMPUTED_VALUE"""),96.15384615384616)</f>
        <v>96.15384615</v>
      </c>
      <c r="D56" s="29" t="str">
        <f>IFERROR(__xludf.DUMMYFUNCTION("""COMPUTED_VALUE"""),"#DIV/0!")</f>
        <v>#DIV/0!</v>
      </c>
      <c r="E56" s="29">
        <f>IFERROR(__xludf.DUMMYFUNCTION("""COMPUTED_VALUE"""),0.0)</f>
        <v>0</v>
      </c>
      <c r="F56" s="30">
        <f>IFERROR(__xludf.DUMMYFUNCTION("""COMPUTED_VALUE"""),0.0)</f>
        <v>0</v>
      </c>
      <c r="G56" s="29">
        <f>IFERROR(__xludf.DUMMYFUNCTION("""COMPUTED_VALUE"""),0.0)</f>
        <v>0</v>
      </c>
      <c r="H56" s="28">
        <f>IFERROR(__xludf.DUMMYFUNCTION("""COMPUTED_VALUE"""),1.0)</f>
        <v>1</v>
      </c>
      <c r="I56" s="31">
        <f>IFERROR(__xludf.DUMMYFUNCTION("""COMPUTED_VALUE"""),46054.0)</f>
        <v>46054</v>
      </c>
    </row>
    <row r="57">
      <c r="A57" s="17">
        <f>IFERROR(__xludf.DUMMYFUNCTION("""COMPUTED_VALUE"""),3.0)</f>
        <v>3</v>
      </c>
      <c r="B57" s="18" t="str">
        <f>IFERROR(__xludf.DUMMYFUNCTION("""COMPUTED_VALUE"""),"LENGUA Y COMUNICACIÓN II")</f>
        <v>LENGUA Y COMUNICACIÓN II</v>
      </c>
      <c r="C57" s="19">
        <f>IFERROR(__xludf.DUMMYFUNCTION("""COMPUTED_VALUE"""),99.16666666666667)</f>
        <v>99.16666667</v>
      </c>
      <c r="D57" s="19" t="str">
        <f>IFERROR(__xludf.DUMMYFUNCTION("""COMPUTED_VALUE"""),"#DIV/0!")</f>
        <v>#DIV/0!</v>
      </c>
      <c r="E57" s="19">
        <f>IFERROR(__xludf.DUMMYFUNCTION("""COMPUTED_VALUE"""),0.0)</f>
        <v>0</v>
      </c>
      <c r="F57" s="20">
        <f>IFERROR(__xludf.DUMMYFUNCTION("""COMPUTED_VALUE"""),0.0)</f>
        <v>0</v>
      </c>
      <c r="G57" s="19">
        <f>IFERROR(__xludf.DUMMYFUNCTION("""COMPUTED_VALUE"""),0.0)</f>
        <v>0</v>
      </c>
      <c r="H57" s="18">
        <f>IFERROR(__xludf.DUMMYFUNCTION("""COMPUTED_VALUE"""),1.0)</f>
        <v>1</v>
      </c>
      <c r="I57" s="21">
        <f>IFERROR(__xludf.DUMMYFUNCTION("""COMPUTED_VALUE"""),46054.0)</f>
        <v>46054</v>
      </c>
    </row>
    <row r="58">
      <c r="A58" s="22">
        <f>IFERROR(__xludf.DUMMYFUNCTION("""COMPUTED_VALUE"""),3.0)</f>
        <v>3</v>
      </c>
      <c r="B58" s="23" t="str">
        <f>IFERROR(__xludf.DUMMYFUNCTION("""COMPUTED_VALUE"""),"INGLÉS II")</f>
        <v>INGLÉS II</v>
      </c>
      <c r="C58" s="24">
        <f>IFERROR(__xludf.DUMMYFUNCTION("""COMPUTED_VALUE"""),99.8076923076923)</f>
        <v>99.80769231</v>
      </c>
      <c r="D58" s="24" t="str">
        <f>IFERROR(__xludf.DUMMYFUNCTION("""COMPUTED_VALUE"""),"#DIV/0!")</f>
        <v>#DIV/0!</v>
      </c>
      <c r="E58" s="24">
        <f>IFERROR(__xludf.DUMMYFUNCTION("""COMPUTED_VALUE"""),0.0)</f>
        <v>0</v>
      </c>
      <c r="F58" s="25">
        <f>IFERROR(__xludf.DUMMYFUNCTION("""COMPUTED_VALUE"""),0.0)</f>
        <v>0</v>
      </c>
      <c r="G58" s="24">
        <f>IFERROR(__xludf.DUMMYFUNCTION("""COMPUTED_VALUE"""),0.0)</f>
        <v>0</v>
      </c>
      <c r="H58" s="23">
        <f>IFERROR(__xludf.DUMMYFUNCTION("""COMPUTED_VALUE"""),1.0)</f>
        <v>1</v>
      </c>
      <c r="I58" s="26">
        <f>IFERROR(__xludf.DUMMYFUNCTION("""COMPUTED_VALUE"""),46054.0)</f>
        <v>46054</v>
      </c>
    </row>
    <row r="59">
      <c r="A59" s="22">
        <f>IFERROR(__xludf.DUMMYFUNCTION("""COMPUTED_VALUE"""),3.0)</f>
        <v>3</v>
      </c>
      <c r="B59" s="23" t="str">
        <f>IFERROR(__xludf.DUMMYFUNCTION("""COMPUTED_VALUE"""),"PENSAMIENTO MATEMÁTICO II")</f>
        <v>PENSAMIENTO MATEMÁTICO II</v>
      </c>
      <c r="C59" s="24">
        <f>IFERROR(__xludf.DUMMYFUNCTION("""COMPUTED_VALUE"""),99.8076923076923)</f>
        <v>99.80769231</v>
      </c>
      <c r="D59" s="24" t="str">
        <f>IFERROR(__xludf.DUMMYFUNCTION("""COMPUTED_VALUE"""),"#DIV/0!")</f>
        <v>#DIV/0!</v>
      </c>
      <c r="E59" s="24">
        <f>IFERROR(__xludf.DUMMYFUNCTION("""COMPUTED_VALUE"""),0.0)</f>
        <v>0</v>
      </c>
      <c r="F59" s="25">
        <f>IFERROR(__xludf.DUMMYFUNCTION("""COMPUTED_VALUE"""),0.0)</f>
        <v>0</v>
      </c>
      <c r="G59" s="24">
        <f>IFERROR(__xludf.DUMMYFUNCTION("""COMPUTED_VALUE"""),0.0)</f>
        <v>0</v>
      </c>
      <c r="H59" s="23">
        <f>IFERROR(__xludf.DUMMYFUNCTION("""COMPUTED_VALUE"""),1.0)</f>
        <v>1</v>
      </c>
      <c r="I59" s="26">
        <f>IFERROR(__xludf.DUMMYFUNCTION("""COMPUTED_VALUE"""),46054.0)</f>
        <v>46054</v>
      </c>
    </row>
    <row r="60">
      <c r="A60" s="22">
        <f>IFERROR(__xludf.DUMMYFUNCTION("""COMPUTED_VALUE"""),3.0)</f>
        <v>3</v>
      </c>
      <c r="B60" s="23" t="str">
        <f>IFERROR(__xludf.DUMMYFUNCTION("""COMPUTED_VALUE"""),"CULTURA DIGITAL II")</f>
        <v>CULTURA DIGITAL II</v>
      </c>
      <c r="C60" s="24">
        <f>IFERROR(__xludf.DUMMYFUNCTION("""COMPUTED_VALUE"""),96.15384615384616)</f>
        <v>96.15384615</v>
      </c>
      <c r="D60" s="24" t="str">
        <f>IFERROR(__xludf.DUMMYFUNCTION("""COMPUTED_VALUE"""),"#DIV/0!")</f>
        <v>#DIV/0!</v>
      </c>
      <c r="E60" s="24">
        <f>IFERROR(__xludf.DUMMYFUNCTION("""COMPUTED_VALUE"""),0.0)</f>
        <v>0</v>
      </c>
      <c r="F60" s="25">
        <f>IFERROR(__xludf.DUMMYFUNCTION("""COMPUTED_VALUE"""),0.0)</f>
        <v>0</v>
      </c>
      <c r="G60" s="24">
        <f>IFERROR(__xludf.DUMMYFUNCTION("""COMPUTED_VALUE"""),0.0)</f>
        <v>0</v>
      </c>
      <c r="H60" s="23">
        <f>IFERROR(__xludf.DUMMYFUNCTION("""COMPUTED_VALUE"""),1.0)</f>
        <v>1</v>
      </c>
      <c r="I60" s="26">
        <f>IFERROR(__xludf.DUMMYFUNCTION("""COMPUTED_VALUE"""),46054.0)</f>
        <v>46054</v>
      </c>
    </row>
    <row r="61">
      <c r="A61" s="22">
        <f>IFERROR(__xludf.DUMMYFUNCTION("""COMPUTED_VALUE"""),3.0)</f>
        <v>3</v>
      </c>
      <c r="B61" s="23" t="str">
        <f>IFERROR(__xludf.DUMMYFUNCTION("""COMPUTED_VALUE"""),"CIENCIAS NATURALES, EXPERIMENTALES Y TECNOLOGIA II")</f>
        <v>CIENCIAS NATURALES, EXPERIMENTALES Y TECNOLOGIA II</v>
      </c>
      <c r="C61" s="24">
        <f>IFERROR(__xludf.DUMMYFUNCTION("""COMPUTED_VALUE"""),98.07692307692308)</f>
        <v>98.07692308</v>
      </c>
      <c r="D61" s="24" t="str">
        <f>IFERROR(__xludf.DUMMYFUNCTION("""COMPUTED_VALUE"""),"#DIV/0!")</f>
        <v>#DIV/0!</v>
      </c>
      <c r="E61" s="24">
        <f>IFERROR(__xludf.DUMMYFUNCTION("""COMPUTED_VALUE"""),0.0)</f>
        <v>0</v>
      </c>
      <c r="F61" s="25">
        <f>IFERROR(__xludf.DUMMYFUNCTION("""COMPUTED_VALUE"""),0.0)</f>
        <v>0</v>
      </c>
      <c r="G61" s="24">
        <f>IFERROR(__xludf.DUMMYFUNCTION("""COMPUTED_VALUE"""),0.0)</f>
        <v>0</v>
      </c>
      <c r="H61" s="23">
        <f>IFERROR(__xludf.DUMMYFUNCTION("""COMPUTED_VALUE"""),1.0)</f>
        <v>1</v>
      </c>
      <c r="I61" s="26">
        <f>IFERROR(__xludf.DUMMYFUNCTION("""COMPUTED_VALUE"""),46054.0)</f>
        <v>46054</v>
      </c>
    </row>
    <row r="62">
      <c r="A62" s="22">
        <f>IFERROR(__xludf.DUMMYFUNCTION("""COMPUTED_VALUE"""),3.0)</f>
        <v>3</v>
      </c>
      <c r="B62" s="23" t="str">
        <f>IFERROR(__xludf.DUMMYFUNCTION("""COMPUTED_VALUE"""),"PENSAMIENTO FILOSÓFICO Y HUMANIDADES II")</f>
        <v>PENSAMIENTO FILOSÓFICO Y HUMANIDADES II</v>
      </c>
      <c r="C62" s="24">
        <f>IFERROR(__xludf.DUMMYFUNCTION("""COMPUTED_VALUE"""),96.15384615384616)</f>
        <v>96.15384615</v>
      </c>
      <c r="D62" s="24" t="str">
        <f>IFERROR(__xludf.DUMMYFUNCTION("""COMPUTED_VALUE"""),"#DIV/0!")</f>
        <v>#DIV/0!</v>
      </c>
      <c r="E62" s="24">
        <f>IFERROR(__xludf.DUMMYFUNCTION("""COMPUTED_VALUE"""),0.0)</f>
        <v>0</v>
      </c>
      <c r="F62" s="25">
        <f>IFERROR(__xludf.DUMMYFUNCTION("""COMPUTED_VALUE"""),0.0)</f>
        <v>0</v>
      </c>
      <c r="G62" s="24">
        <f>IFERROR(__xludf.DUMMYFUNCTION("""COMPUTED_VALUE"""),0.0)</f>
        <v>0</v>
      </c>
      <c r="H62" s="23">
        <f>IFERROR(__xludf.DUMMYFUNCTION("""COMPUTED_VALUE"""),1.0)</f>
        <v>1</v>
      </c>
      <c r="I62" s="26">
        <f>IFERROR(__xludf.DUMMYFUNCTION("""COMPUTED_VALUE"""),46054.0)</f>
        <v>46054</v>
      </c>
    </row>
    <row r="63">
      <c r="A63" s="22">
        <f>IFERROR(__xludf.DUMMYFUNCTION("""COMPUTED_VALUE"""),3.0)</f>
        <v>3</v>
      </c>
      <c r="B63" s="23" t="str">
        <f>IFERROR(__xludf.DUMMYFUNCTION("""COMPUTED_VALUE"""),"CIENCIAS SOCIALES II")</f>
        <v>CIENCIAS SOCIALES II</v>
      </c>
      <c r="C63" s="24">
        <f>IFERROR(__xludf.DUMMYFUNCTION("""COMPUTED_VALUE"""),96.15384615384616)</f>
        <v>96.15384615</v>
      </c>
      <c r="D63" s="24" t="str">
        <f>IFERROR(__xludf.DUMMYFUNCTION("""COMPUTED_VALUE"""),"#DIV/0!")</f>
        <v>#DIV/0!</v>
      </c>
      <c r="E63" s="24">
        <f>IFERROR(__xludf.DUMMYFUNCTION("""COMPUTED_VALUE"""),0.0)</f>
        <v>0</v>
      </c>
      <c r="F63" s="25">
        <f>IFERROR(__xludf.DUMMYFUNCTION("""COMPUTED_VALUE"""),0.0)</f>
        <v>0</v>
      </c>
      <c r="G63" s="24">
        <f>IFERROR(__xludf.DUMMYFUNCTION("""COMPUTED_VALUE"""),0.0)</f>
        <v>0</v>
      </c>
      <c r="H63" s="23">
        <f>IFERROR(__xludf.DUMMYFUNCTION("""COMPUTED_VALUE"""),1.0)</f>
        <v>1</v>
      </c>
      <c r="I63" s="26">
        <f>IFERROR(__xludf.DUMMYFUNCTION("""COMPUTED_VALUE"""),46054.0)</f>
        <v>46054</v>
      </c>
    </row>
    <row r="64">
      <c r="A64" s="22">
        <f>IFERROR(__xludf.DUMMYFUNCTION("""COMPUTED_VALUE"""),3.0)</f>
        <v>3</v>
      </c>
      <c r="B64" s="23" t="str">
        <f>IFERROR(__xludf.DUMMYFUNCTION("""COMPUTED_VALUE"""),"TALLER DE CIENCIAS I")</f>
        <v>TALLER DE CIENCIAS I</v>
      </c>
      <c r="C64" s="24">
        <f>IFERROR(__xludf.DUMMYFUNCTION("""COMPUTED_VALUE"""),96.15384615384616)</f>
        <v>96.15384615</v>
      </c>
      <c r="D64" s="24" t="str">
        <f>IFERROR(__xludf.DUMMYFUNCTION("""COMPUTED_VALUE"""),"#DIV/0!")</f>
        <v>#DIV/0!</v>
      </c>
      <c r="E64" s="24">
        <f>IFERROR(__xludf.DUMMYFUNCTION("""COMPUTED_VALUE"""),0.0)</f>
        <v>0</v>
      </c>
      <c r="F64" s="25">
        <f>IFERROR(__xludf.DUMMYFUNCTION("""COMPUTED_VALUE"""),0.0)</f>
        <v>0</v>
      </c>
      <c r="G64" s="24">
        <f>IFERROR(__xludf.DUMMYFUNCTION("""COMPUTED_VALUE"""),0.0)</f>
        <v>0</v>
      </c>
      <c r="H64" s="23">
        <f>IFERROR(__xludf.DUMMYFUNCTION("""COMPUTED_VALUE"""),1.0)</f>
        <v>1</v>
      </c>
      <c r="I64" s="26">
        <f>IFERROR(__xludf.DUMMYFUNCTION("""COMPUTED_VALUE"""),46054.0)</f>
        <v>46054</v>
      </c>
    </row>
    <row r="65">
      <c r="A65" s="22">
        <f>IFERROR(__xludf.DUMMYFUNCTION("""COMPUTED_VALUE"""),3.0)</f>
        <v>3</v>
      </c>
      <c r="B65" s="23" t="str">
        <f>IFERROR(__xludf.DUMMYFUNCTION("""COMPUTED_VALUE"""),"ACTIVIDADES FISICAS Y DEPORTIVAS II")</f>
        <v>ACTIVIDADES FISICAS Y DEPORTIVAS II</v>
      </c>
      <c r="C65" s="24">
        <f>IFERROR(__xludf.DUMMYFUNCTION("""COMPUTED_VALUE"""),96.15384615384616)</f>
        <v>96.15384615</v>
      </c>
      <c r="D65" s="24" t="str">
        <f>IFERROR(__xludf.DUMMYFUNCTION("""COMPUTED_VALUE"""),"#DIV/0!")</f>
        <v>#DIV/0!</v>
      </c>
      <c r="E65" s="24">
        <f>IFERROR(__xludf.DUMMYFUNCTION("""COMPUTED_VALUE"""),0.0)</f>
        <v>0</v>
      </c>
      <c r="F65" s="25">
        <f>IFERROR(__xludf.DUMMYFUNCTION("""COMPUTED_VALUE"""),0.0)</f>
        <v>0</v>
      </c>
      <c r="G65" s="24">
        <f>IFERROR(__xludf.DUMMYFUNCTION("""COMPUTED_VALUE"""),0.0)</f>
        <v>0</v>
      </c>
      <c r="H65" s="23">
        <f>IFERROR(__xludf.DUMMYFUNCTION("""COMPUTED_VALUE"""),1.0)</f>
        <v>1</v>
      </c>
      <c r="I65" s="26">
        <f>IFERROR(__xludf.DUMMYFUNCTION("""COMPUTED_VALUE"""),46054.0)</f>
        <v>46054</v>
      </c>
    </row>
    <row r="66">
      <c r="A66" s="22">
        <f>IFERROR(__xludf.DUMMYFUNCTION("""COMPUTED_VALUE"""),3.0)</f>
        <v>3</v>
      </c>
      <c r="B66" s="23" t="str">
        <f>IFERROR(__xludf.DUMMYFUNCTION("""COMPUTED_VALUE"""),"EDUCACION PARA LA SALUD II")</f>
        <v>EDUCACION PARA LA SALUD II</v>
      </c>
      <c r="C66" s="24">
        <f>IFERROR(__xludf.DUMMYFUNCTION("""COMPUTED_VALUE"""),96.15384615384616)</f>
        <v>96.15384615</v>
      </c>
      <c r="D66" s="24" t="str">
        <f>IFERROR(__xludf.DUMMYFUNCTION("""COMPUTED_VALUE"""),"#DIV/0!")</f>
        <v>#DIV/0!</v>
      </c>
      <c r="E66" s="24">
        <f>IFERROR(__xludf.DUMMYFUNCTION("""COMPUTED_VALUE"""),0.0)</f>
        <v>0</v>
      </c>
      <c r="F66" s="25">
        <f>IFERROR(__xludf.DUMMYFUNCTION("""COMPUTED_VALUE"""),0.0)</f>
        <v>0</v>
      </c>
      <c r="G66" s="24">
        <f>IFERROR(__xludf.DUMMYFUNCTION("""COMPUTED_VALUE"""),0.0)</f>
        <v>0</v>
      </c>
      <c r="H66" s="23">
        <f>IFERROR(__xludf.DUMMYFUNCTION("""COMPUTED_VALUE"""),1.0)</f>
        <v>1</v>
      </c>
      <c r="I66" s="26">
        <f>IFERROR(__xludf.DUMMYFUNCTION("""COMPUTED_VALUE"""),46054.0)</f>
        <v>46054</v>
      </c>
    </row>
    <row r="67">
      <c r="A67" s="27">
        <f>IFERROR(__xludf.DUMMYFUNCTION("""COMPUTED_VALUE"""),3.0)</f>
        <v>3</v>
      </c>
      <c r="B67" s="28" t="str">
        <f>IFERROR(__xludf.DUMMYFUNCTION("""COMPUTED_VALUE"""),"TEMAS SELECTOS DE IGUALDAD Y DERECHOS HUMANOS II")</f>
        <v>TEMAS SELECTOS DE IGUALDAD Y DERECHOS HUMANOS II</v>
      </c>
      <c r="C67" s="29">
        <f>IFERROR(__xludf.DUMMYFUNCTION("""COMPUTED_VALUE"""),96.15384615384616)</f>
        <v>96.15384615</v>
      </c>
      <c r="D67" s="29" t="str">
        <f>IFERROR(__xludf.DUMMYFUNCTION("""COMPUTED_VALUE"""),"#DIV/0!")</f>
        <v>#DIV/0!</v>
      </c>
      <c r="E67" s="29">
        <f>IFERROR(__xludf.DUMMYFUNCTION("""COMPUTED_VALUE"""),0.0)</f>
        <v>0</v>
      </c>
      <c r="F67" s="30">
        <f>IFERROR(__xludf.DUMMYFUNCTION("""COMPUTED_VALUE"""),0.0)</f>
        <v>0</v>
      </c>
      <c r="G67" s="29">
        <f>IFERROR(__xludf.DUMMYFUNCTION("""COMPUTED_VALUE"""),0.0)</f>
        <v>0</v>
      </c>
      <c r="H67" s="28">
        <f>IFERROR(__xludf.DUMMYFUNCTION("""COMPUTED_VALUE"""),1.0)</f>
        <v>1</v>
      </c>
      <c r="I67" s="31">
        <f>IFERROR(__xludf.DUMMYFUNCTION("""COMPUTED_VALUE"""),46054.0)</f>
        <v>46054</v>
      </c>
    </row>
    <row r="68">
      <c r="A68" s="32">
        <f>IFERROR(__xludf.DUMMYFUNCTION("IMPORTRANGE(""https://docs.google.com/spreadsheets/d/1bC3bjH6t41KuVpZ0FciNQw0ah7cVyj-DZYQqFaFdMfA/edit?usp=sharing"",""INDICADORES!N2:V34"")"),1.0)</f>
        <v>1</v>
      </c>
      <c r="B68" s="33" t="str">
        <f>IFERROR(__xludf.DUMMYFUNCTION("""COMPUTED_VALUE"""),"LENGUA Y COMUNICACIÓN II")</f>
        <v>LENGUA Y COMUNICACIÓN II</v>
      </c>
      <c r="C68" s="34">
        <f>IFERROR(__xludf.DUMMYFUNCTION("""COMPUTED_VALUE"""),99.15094339622641)</f>
        <v>99.1509434</v>
      </c>
      <c r="D68" s="34">
        <f>IFERROR(__xludf.DUMMYFUNCTION("""COMPUTED_VALUE"""),7.886792452830188)</f>
        <v>7.886792453</v>
      </c>
      <c r="E68" s="34">
        <f>IFERROR(__xludf.DUMMYFUNCTION("""COMPUTED_VALUE"""),11.320754716981131)</f>
        <v>11.32075472</v>
      </c>
      <c r="F68" s="35">
        <f>IFERROR(__xludf.DUMMYFUNCTION("""COMPUTED_VALUE"""),6.0)</f>
        <v>6</v>
      </c>
      <c r="G68" s="34">
        <f>IFERROR(__xludf.DUMMYFUNCTION("""COMPUTED_VALUE"""),88.67924528301887)</f>
        <v>88.67924528</v>
      </c>
      <c r="H68" s="33">
        <f>IFERROR(__xludf.DUMMYFUNCTION("""COMPUTED_VALUE"""),1.0)</f>
        <v>1</v>
      </c>
      <c r="I68" s="36">
        <f>IFERROR(__xludf.DUMMYFUNCTION("""COMPUTED_VALUE"""),46082.0)</f>
        <v>46082</v>
      </c>
    </row>
    <row r="69">
      <c r="A69" s="37">
        <f>IFERROR(__xludf.DUMMYFUNCTION("""COMPUTED_VALUE"""),1.0)</f>
        <v>1</v>
      </c>
      <c r="B69" s="38" t="str">
        <f>IFERROR(__xludf.DUMMYFUNCTION("""COMPUTED_VALUE"""),"INGLÉS II")</f>
        <v>INGLÉS II</v>
      </c>
      <c r="C69" s="39">
        <f>IFERROR(__xludf.DUMMYFUNCTION("""COMPUTED_VALUE"""),99.81132075471699)</f>
        <v>99.81132075</v>
      </c>
      <c r="D69" s="39">
        <f>IFERROR(__xludf.DUMMYFUNCTION("""COMPUTED_VALUE"""),8.641509433962264)</f>
        <v>8.641509434</v>
      </c>
      <c r="E69" s="39">
        <f>IFERROR(__xludf.DUMMYFUNCTION("""COMPUTED_VALUE"""),7.547169811320755)</f>
        <v>7.547169811</v>
      </c>
      <c r="F69" s="40">
        <f>IFERROR(__xludf.DUMMYFUNCTION("""COMPUTED_VALUE"""),4.0)</f>
        <v>4</v>
      </c>
      <c r="G69" s="39">
        <f>IFERROR(__xludf.DUMMYFUNCTION("""COMPUTED_VALUE"""),92.45283018867924)</f>
        <v>92.45283019</v>
      </c>
      <c r="H69" s="38">
        <f>IFERROR(__xludf.DUMMYFUNCTION("""COMPUTED_VALUE"""),1.0)</f>
        <v>1</v>
      </c>
      <c r="I69" s="41">
        <f>IFERROR(__xludf.DUMMYFUNCTION("""COMPUTED_VALUE"""),46082.0)</f>
        <v>46082</v>
      </c>
    </row>
    <row r="70">
      <c r="A70" s="37">
        <f>IFERROR(__xludf.DUMMYFUNCTION("""COMPUTED_VALUE"""),1.0)</f>
        <v>1</v>
      </c>
      <c r="B70" s="38" t="str">
        <f>IFERROR(__xludf.DUMMYFUNCTION("""COMPUTED_VALUE"""),"PENSAMIENTO MATEMÁTICO II")</f>
        <v>PENSAMIENTO MATEMÁTICO II</v>
      </c>
      <c r="C70" s="39">
        <f>IFERROR(__xludf.DUMMYFUNCTION("""COMPUTED_VALUE"""),99.81132075471699)</f>
        <v>99.81132075</v>
      </c>
      <c r="D70" s="39">
        <f>IFERROR(__xludf.DUMMYFUNCTION("""COMPUTED_VALUE"""),6.452830188679245)</f>
        <v>6.452830189</v>
      </c>
      <c r="E70" s="39">
        <f>IFERROR(__xludf.DUMMYFUNCTION("""COMPUTED_VALUE"""),39.62264150943396)</f>
        <v>39.62264151</v>
      </c>
      <c r="F70" s="40">
        <f>IFERROR(__xludf.DUMMYFUNCTION("""COMPUTED_VALUE"""),21.0)</f>
        <v>21</v>
      </c>
      <c r="G70" s="39">
        <f>IFERROR(__xludf.DUMMYFUNCTION("""COMPUTED_VALUE"""),60.37735849056604)</f>
        <v>60.37735849</v>
      </c>
      <c r="H70" s="38">
        <f>IFERROR(__xludf.DUMMYFUNCTION("""COMPUTED_VALUE"""),1.0)</f>
        <v>1</v>
      </c>
      <c r="I70" s="41">
        <f>IFERROR(__xludf.DUMMYFUNCTION("""COMPUTED_VALUE"""),46082.0)</f>
        <v>46082</v>
      </c>
    </row>
    <row r="71">
      <c r="A71" s="37">
        <f>IFERROR(__xludf.DUMMYFUNCTION("""COMPUTED_VALUE"""),1.0)</f>
        <v>1</v>
      </c>
      <c r="B71" s="38" t="str">
        <f>IFERROR(__xludf.DUMMYFUNCTION("""COMPUTED_VALUE"""),"CULTURA DIGITAL II")</f>
        <v>CULTURA DIGITAL II</v>
      </c>
      <c r="C71" s="39">
        <f>IFERROR(__xludf.DUMMYFUNCTION("""COMPUTED_VALUE"""),99.24528301886792)</f>
        <v>99.24528302</v>
      </c>
      <c r="D71" s="39">
        <f>IFERROR(__xludf.DUMMYFUNCTION("""COMPUTED_VALUE"""),7.886792452830188)</f>
        <v>7.886792453</v>
      </c>
      <c r="E71" s="39">
        <f>IFERROR(__xludf.DUMMYFUNCTION("""COMPUTED_VALUE"""),11.320754716981131)</f>
        <v>11.32075472</v>
      </c>
      <c r="F71" s="40">
        <f>IFERROR(__xludf.DUMMYFUNCTION("""COMPUTED_VALUE"""),6.0)</f>
        <v>6</v>
      </c>
      <c r="G71" s="39">
        <f>IFERROR(__xludf.DUMMYFUNCTION("""COMPUTED_VALUE"""),88.67924528301887)</f>
        <v>88.67924528</v>
      </c>
      <c r="H71" s="38">
        <f>IFERROR(__xludf.DUMMYFUNCTION("""COMPUTED_VALUE"""),1.0)</f>
        <v>1</v>
      </c>
      <c r="I71" s="41">
        <f>IFERROR(__xludf.DUMMYFUNCTION("""COMPUTED_VALUE"""),46082.0)</f>
        <v>46082</v>
      </c>
    </row>
    <row r="72">
      <c r="A72" s="37">
        <f>IFERROR(__xludf.DUMMYFUNCTION("""COMPUTED_VALUE"""),1.0)</f>
        <v>1</v>
      </c>
      <c r="B72" s="38" t="str">
        <f>IFERROR(__xludf.DUMMYFUNCTION("""COMPUTED_VALUE"""),"CIENCIAS NATURALES, EXPERIMENTALES Y TECNOLOGIA II")</f>
        <v>CIENCIAS NATURALES, EXPERIMENTALES Y TECNOLOGIA II</v>
      </c>
      <c r="C72" s="39">
        <f>IFERROR(__xludf.DUMMYFUNCTION("""COMPUTED_VALUE"""),98.74213836477988)</f>
        <v>98.74213836</v>
      </c>
      <c r="D72" s="39">
        <f>IFERROR(__xludf.DUMMYFUNCTION("""COMPUTED_VALUE"""),7.886792452830188)</f>
        <v>7.886792453</v>
      </c>
      <c r="E72" s="39">
        <f>IFERROR(__xludf.DUMMYFUNCTION("""COMPUTED_VALUE"""),11.320754716981131)</f>
        <v>11.32075472</v>
      </c>
      <c r="F72" s="40">
        <f>IFERROR(__xludf.DUMMYFUNCTION("""COMPUTED_VALUE"""),6.0)</f>
        <v>6</v>
      </c>
      <c r="G72" s="39">
        <f>IFERROR(__xludf.DUMMYFUNCTION("""COMPUTED_VALUE"""),88.67924528301887)</f>
        <v>88.67924528</v>
      </c>
      <c r="H72" s="38">
        <f>IFERROR(__xludf.DUMMYFUNCTION("""COMPUTED_VALUE"""),1.0)</f>
        <v>1</v>
      </c>
      <c r="I72" s="41">
        <f>IFERROR(__xludf.DUMMYFUNCTION("""COMPUTED_VALUE"""),46082.0)</f>
        <v>46082</v>
      </c>
    </row>
    <row r="73">
      <c r="A73" s="37">
        <f>IFERROR(__xludf.DUMMYFUNCTION("""COMPUTED_VALUE"""),1.0)</f>
        <v>1</v>
      </c>
      <c r="B73" s="38" t="str">
        <f>IFERROR(__xludf.DUMMYFUNCTION("""COMPUTED_VALUE"""),"PENSAMIENTO FILOSÓFICO Y HUMANIDADES II")</f>
        <v>PENSAMIENTO FILOSÓFICO Y HUMANIDADES II</v>
      </c>
      <c r="C73" s="39">
        <f>IFERROR(__xludf.DUMMYFUNCTION("""COMPUTED_VALUE"""),99.05660377358491)</f>
        <v>99.05660377</v>
      </c>
      <c r="D73" s="39">
        <f>IFERROR(__xludf.DUMMYFUNCTION("""COMPUTED_VALUE"""),7.886792452830188)</f>
        <v>7.886792453</v>
      </c>
      <c r="E73" s="39">
        <f>IFERROR(__xludf.DUMMYFUNCTION("""COMPUTED_VALUE"""),11.320754716981131)</f>
        <v>11.32075472</v>
      </c>
      <c r="F73" s="40">
        <f>IFERROR(__xludf.DUMMYFUNCTION("""COMPUTED_VALUE"""),6.0)</f>
        <v>6</v>
      </c>
      <c r="G73" s="39">
        <f>IFERROR(__xludf.DUMMYFUNCTION("""COMPUTED_VALUE"""),88.67924528301887)</f>
        <v>88.67924528</v>
      </c>
      <c r="H73" s="38">
        <f>IFERROR(__xludf.DUMMYFUNCTION("""COMPUTED_VALUE"""),1.0)</f>
        <v>1</v>
      </c>
      <c r="I73" s="41">
        <f>IFERROR(__xludf.DUMMYFUNCTION("""COMPUTED_VALUE"""),46082.0)</f>
        <v>46082</v>
      </c>
    </row>
    <row r="74">
      <c r="A74" s="37">
        <f>IFERROR(__xludf.DUMMYFUNCTION("""COMPUTED_VALUE"""),1.0)</f>
        <v>1</v>
      </c>
      <c r="B74" s="38" t="str">
        <f>IFERROR(__xludf.DUMMYFUNCTION("""COMPUTED_VALUE"""),"CIENCIAS SOCIALES II")</f>
        <v>CIENCIAS SOCIALES II</v>
      </c>
      <c r="C74" s="39">
        <f>IFERROR(__xludf.DUMMYFUNCTION("""COMPUTED_VALUE"""),98.38274932614556)</f>
        <v>98.38274933</v>
      </c>
      <c r="D74" s="39">
        <f>IFERROR(__xludf.DUMMYFUNCTION("""COMPUTED_VALUE"""),7.886792452830188)</f>
        <v>7.886792453</v>
      </c>
      <c r="E74" s="39">
        <f>IFERROR(__xludf.DUMMYFUNCTION("""COMPUTED_VALUE"""),11.320754716981131)</f>
        <v>11.32075472</v>
      </c>
      <c r="F74" s="40">
        <f>IFERROR(__xludf.DUMMYFUNCTION("""COMPUTED_VALUE"""),6.0)</f>
        <v>6</v>
      </c>
      <c r="G74" s="39">
        <f>IFERROR(__xludf.DUMMYFUNCTION("""COMPUTED_VALUE"""),88.67924528301887)</f>
        <v>88.67924528</v>
      </c>
      <c r="H74" s="38">
        <f>IFERROR(__xludf.DUMMYFUNCTION("""COMPUTED_VALUE"""),1.0)</f>
        <v>1</v>
      </c>
      <c r="I74" s="41">
        <f>IFERROR(__xludf.DUMMYFUNCTION("""COMPUTED_VALUE"""),46082.0)</f>
        <v>46082</v>
      </c>
    </row>
    <row r="75">
      <c r="A75" s="37">
        <f>IFERROR(__xludf.DUMMYFUNCTION("""COMPUTED_VALUE"""),1.0)</f>
        <v>1</v>
      </c>
      <c r="B75" s="38" t="str">
        <f>IFERROR(__xludf.DUMMYFUNCTION("""COMPUTED_VALUE"""),"TALLER DE CIENCIAS I")</f>
        <v>TALLER DE CIENCIAS I</v>
      </c>
      <c r="C75" s="39">
        <f>IFERROR(__xludf.DUMMYFUNCTION("""COMPUTED_VALUE"""),98.58490566037736)</f>
        <v>98.58490566</v>
      </c>
      <c r="D75" s="39">
        <f>IFERROR(__xludf.DUMMYFUNCTION("""COMPUTED_VALUE"""),7.886792452830188)</f>
        <v>7.886792453</v>
      </c>
      <c r="E75" s="39">
        <f>IFERROR(__xludf.DUMMYFUNCTION("""COMPUTED_VALUE"""),11.320754716981131)</f>
        <v>11.32075472</v>
      </c>
      <c r="F75" s="40">
        <f>IFERROR(__xludf.DUMMYFUNCTION("""COMPUTED_VALUE"""),6.0)</f>
        <v>6</v>
      </c>
      <c r="G75" s="39">
        <f>IFERROR(__xludf.DUMMYFUNCTION("""COMPUTED_VALUE"""),88.67924528301887)</f>
        <v>88.67924528</v>
      </c>
      <c r="H75" s="38">
        <f>IFERROR(__xludf.DUMMYFUNCTION("""COMPUTED_VALUE"""),1.0)</f>
        <v>1</v>
      </c>
      <c r="I75" s="41">
        <f>IFERROR(__xludf.DUMMYFUNCTION("""COMPUTED_VALUE"""),46082.0)</f>
        <v>46082</v>
      </c>
    </row>
    <row r="76">
      <c r="A76" s="37">
        <f>IFERROR(__xludf.DUMMYFUNCTION("""COMPUTED_VALUE"""),1.0)</f>
        <v>1</v>
      </c>
      <c r="B76" s="38" t="str">
        <f>IFERROR(__xludf.DUMMYFUNCTION("""COMPUTED_VALUE"""),"ACTIVIDADES FISICAS Y DEPORTIVAS II")</f>
        <v>ACTIVIDADES FISICAS Y DEPORTIVAS II</v>
      </c>
      <c r="C76" s="39">
        <f>IFERROR(__xludf.DUMMYFUNCTION("""COMPUTED_VALUE"""),98.74213836477988)</f>
        <v>98.74213836</v>
      </c>
      <c r="D76" s="39">
        <f>IFERROR(__xludf.DUMMYFUNCTION("""COMPUTED_VALUE"""),7.886792452830188)</f>
        <v>7.886792453</v>
      </c>
      <c r="E76" s="39">
        <f>IFERROR(__xludf.DUMMYFUNCTION("""COMPUTED_VALUE"""),11.320754716981131)</f>
        <v>11.32075472</v>
      </c>
      <c r="F76" s="40">
        <f>IFERROR(__xludf.DUMMYFUNCTION("""COMPUTED_VALUE"""),6.0)</f>
        <v>6</v>
      </c>
      <c r="G76" s="39">
        <f>IFERROR(__xludf.DUMMYFUNCTION("""COMPUTED_VALUE"""),88.67924528301887)</f>
        <v>88.67924528</v>
      </c>
      <c r="H76" s="38">
        <f>IFERROR(__xludf.DUMMYFUNCTION("""COMPUTED_VALUE"""),1.0)</f>
        <v>1</v>
      </c>
      <c r="I76" s="41">
        <f>IFERROR(__xludf.DUMMYFUNCTION("""COMPUTED_VALUE"""),46082.0)</f>
        <v>46082</v>
      </c>
    </row>
    <row r="77">
      <c r="A77" s="37">
        <f>IFERROR(__xludf.DUMMYFUNCTION("""COMPUTED_VALUE"""),1.0)</f>
        <v>1</v>
      </c>
      <c r="B77" s="38" t="str">
        <f>IFERROR(__xludf.DUMMYFUNCTION("""COMPUTED_VALUE"""),"EDUCACION PARA LA SALUD II")</f>
        <v>EDUCACION PARA LA SALUD II</v>
      </c>
      <c r="C77" s="39">
        <f>IFERROR(__xludf.DUMMYFUNCTION("""COMPUTED_VALUE"""),97.73584905660377)</f>
        <v>97.73584906</v>
      </c>
      <c r="D77" s="39">
        <f>IFERROR(__xludf.DUMMYFUNCTION("""COMPUTED_VALUE"""),7.886792452830188)</f>
        <v>7.886792453</v>
      </c>
      <c r="E77" s="39">
        <f>IFERROR(__xludf.DUMMYFUNCTION("""COMPUTED_VALUE"""),11.320754716981131)</f>
        <v>11.32075472</v>
      </c>
      <c r="F77" s="40">
        <f>IFERROR(__xludf.DUMMYFUNCTION("""COMPUTED_VALUE"""),6.0)</f>
        <v>6</v>
      </c>
      <c r="G77" s="39">
        <f>IFERROR(__xludf.DUMMYFUNCTION("""COMPUTED_VALUE"""),88.67924528301887)</f>
        <v>88.67924528</v>
      </c>
      <c r="H77" s="38">
        <f>IFERROR(__xludf.DUMMYFUNCTION("""COMPUTED_VALUE"""),1.0)</f>
        <v>1</v>
      </c>
      <c r="I77" s="41">
        <f>IFERROR(__xludf.DUMMYFUNCTION("""COMPUTED_VALUE"""),46082.0)</f>
        <v>46082</v>
      </c>
    </row>
    <row r="78">
      <c r="A78" s="42">
        <f>IFERROR(__xludf.DUMMYFUNCTION("""COMPUTED_VALUE"""),1.0)</f>
        <v>1</v>
      </c>
      <c r="B78" s="43" t="str">
        <f>IFERROR(__xludf.DUMMYFUNCTION("""COMPUTED_VALUE"""),"TEMAS SELECTOS DE IGUALDAD Y DERECHOS HUMANOS II")</f>
        <v>TEMAS SELECTOS DE IGUALDAD Y DERECHOS HUMANOS II</v>
      </c>
      <c r="C78" s="44">
        <f>IFERROR(__xludf.DUMMYFUNCTION("""COMPUTED_VALUE"""),98.38274932614556)</f>
        <v>98.38274933</v>
      </c>
      <c r="D78" s="44">
        <f>IFERROR(__xludf.DUMMYFUNCTION("""COMPUTED_VALUE"""),7.886792452830188)</f>
        <v>7.886792453</v>
      </c>
      <c r="E78" s="44">
        <f>IFERROR(__xludf.DUMMYFUNCTION("""COMPUTED_VALUE"""),11.320754716981131)</f>
        <v>11.32075472</v>
      </c>
      <c r="F78" s="45">
        <f>IFERROR(__xludf.DUMMYFUNCTION("""COMPUTED_VALUE"""),6.0)</f>
        <v>6</v>
      </c>
      <c r="G78" s="44">
        <f>IFERROR(__xludf.DUMMYFUNCTION("""COMPUTED_VALUE"""),88.67924528301887)</f>
        <v>88.67924528</v>
      </c>
      <c r="H78" s="43">
        <f>IFERROR(__xludf.DUMMYFUNCTION("""COMPUTED_VALUE"""),1.0)</f>
        <v>1</v>
      </c>
      <c r="I78" s="46">
        <f>IFERROR(__xludf.DUMMYFUNCTION("""COMPUTED_VALUE"""),46082.0)</f>
        <v>46082</v>
      </c>
    </row>
    <row r="79">
      <c r="A79" s="32">
        <f>IFERROR(__xludf.DUMMYFUNCTION("""COMPUTED_VALUE"""),2.0)</f>
        <v>2</v>
      </c>
      <c r="B79" s="33" t="str">
        <f>IFERROR(__xludf.DUMMYFUNCTION("""COMPUTED_VALUE"""),"LENGUA Y COMUNICACIÓN II")</f>
        <v>LENGUA Y COMUNICACIÓN II</v>
      </c>
      <c r="C79" s="34">
        <f>IFERROR(__xludf.DUMMYFUNCTION("""COMPUTED_VALUE"""),99.15094339622641)</f>
        <v>99.1509434</v>
      </c>
      <c r="D79" s="34" t="str">
        <f>IFERROR(__xludf.DUMMYFUNCTION("""COMPUTED_VALUE"""),"#DIV/0!")</f>
        <v>#DIV/0!</v>
      </c>
      <c r="E79" s="34">
        <f>IFERROR(__xludf.DUMMYFUNCTION("""COMPUTED_VALUE"""),0.0)</f>
        <v>0</v>
      </c>
      <c r="F79" s="35">
        <f>IFERROR(__xludf.DUMMYFUNCTION("""COMPUTED_VALUE"""),0.0)</f>
        <v>0</v>
      </c>
      <c r="G79" s="34">
        <f>IFERROR(__xludf.DUMMYFUNCTION("""COMPUTED_VALUE"""),0.0)</f>
        <v>0</v>
      </c>
      <c r="H79" s="33">
        <f>IFERROR(__xludf.DUMMYFUNCTION("""COMPUTED_VALUE"""),1.0)</f>
        <v>1</v>
      </c>
      <c r="I79" s="36">
        <f>IFERROR(__xludf.DUMMYFUNCTION("""COMPUTED_VALUE"""),46082.0)</f>
        <v>46082</v>
      </c>
    </row>
    <row r="80">
      <c r="A80" s="37">
        <f>IFERROR(__xludf.DUMMYFUNCTION("""COMPUTED_VALUE"""),2.0)</f>
        <v>2</v>
      </c>
      <c r="B80" s="38" t="str">
        <f>IFERROR(__xludf.DUMMYFUNCTION("""COMPUTED_VALUE"""),"INGLÉS II")</f>
        <v>INGLÉS II</v>
      </c>
      <c r="C80" s="39">
        <f>IFERROR(__xludf.DUMMYFUNCTION("""COMPUTED_VALUE"""),99.81132075471699)</f>
        <v>99.81132075</v>
      </c>
      <c r="D80" s="39" t="str">
        <f>IFERROR(__xludf.DUMMYFUNCTION("""COMPUTED_VALUE"""),"#DIV/0!")</f>
        <v>#DIV/0!</v>
      </c>
      <c r="E80" s="39">
        <f>IFERROR(__xludf.DUMMYFUNCTION("""COMPUTED_VALUE"""),0.0)</f>
        <v>0</v>
      </c>
      <c r="F80" s="40">
        <f>IFERROR(__xludf.DUMMYFUNCTION("""COMPUTED_VALUE"""),0.0)</f>
        <v>0</v>
      </c>
      <c r="G80" s="39">
        <f>IFERROR(__xludf.DUMMYFUNCTION("""COMPUTED_VALUE"""),0.0)</f>
        <v>0</v>
      </c>
      <c r="H80" s="38">
        <f>IFERROR(__xludf.DUMMYFUNCTION("""COMPUTED_VALUE"""),1.0)</f>
        <v>1</v>
      </c>
      <c r="I80" s="41">
        <f>IFERROR(__xludf.DUMMYFUNCTION("""COMPUTED_VALUE"""),46082.0)</f>
        <v>46082</v>
      </c>
    </row>
    <row r="81">
      <c r="A81" s="37">
        <f>IFERROR(__xludf.DUMMYFUNCTION("""COMPUTED_VALUE"""),2.0)</f>
        <v>2</v>
      </c>
      <c r="B81" s="38" t="str">
        <f>IFERROR(__xludf.DUMMYFUNCTION("""COMPUTED_VALUE"""),"PENSAMIENTO MATEMÁTICO II")</f>
        <v>PENSAMIENTO MATEMÁTICO II</v>
      </c>
      <c r="C81" s="39">
        <f>IFERROR(__xludf.DUMMYFUNCTION("""COMPUTED_VALUE"""),99.81132075471699)</f>
        <v>99.81132075</v>
      </c>
      <c r="D81" s="39" t="str">
        <f>IFERROR(__xludf.DUMMYFUNCTION("""COMPUTED_VALUE"""),"#DIV/0!")</f>
        <v>#DIV/0!</v>
      </c>
      <c r="E81" s="39">
        <f>IFERROR(__xludf.DUMMYFUNCTION("""COMPUTED_VALUE"""),0.0)</f>
        <v>0</v>
      </c>
      <c r="F81" s="40">
        <f>IFERROR(__xludf.DUMMYFUNCTION("""COMPUTED_VALUE"""),0.0)</f>
        <v>0</v>
      </c>
      <c r="G81" s="39">
        <f>IFERROR(__xludf.DUMMYFUNCTION("""COMPUTED_VALUE"""),0.0)</f>
        <v>0</v>
      </c>
      <c r="H81" s="38">
        <f>IFERROR(__xludf.DUMMYFUNCTION("""COMPUTED_VALUE"""),1.0)</f>
        <v>1</v>
      </c>
      <c r="I81" s="41">
        <f>IFERROR(__xludf.DUMMYFUNCTION("""COMPUTED_VALUE"""),46082.0)</f>
        <v>46082</v>
      </c>
    </row>
    <row r="82">
      <c r="A82" s="37">
        <f>IFERROR(__xludf.DUMMYFUNCTION("""COMPUTED_VALUE"""),2.0)</f>
        <v>2</v>
      </c>
      <c r="B82" s="38" t="str">
        <f>IFERROR(__xludf.DUMMYFUNCTION("""COMPUTED_VALUE"""),"CULTURA DIGITAL II")</f>
        <v>CULTURA DIGITAL II</v>
      </c>
      <c r="C82" s="39">
        <f>IFERROR(__xludf.DUMMYFUNCTION("""COMPUTED_VALUE"""),99.24528301886792)</f>
        <v>99.24528302</v>
      </c>
      <c r="D82" s="39" t="str">
        <f>IFERROR(__xludf.DUMMYFUNCTION("""COMPUTED_VALUE"""),"#DIV/0!")</f>
        <v>#DIV/0!</v>
      </c>
      <c r="E82" s="39">
        <f>IFERROR(__xludf.DUMMYFUNCTION("""COMPUTED_VALUE"""),0.0)</f>
        <v>0</v>
      </c>
      <c r="F82" s="40">
        <f>IFERROR(__xludf.DUMMYFUNCTION("""COMPUTED_VALUE"""),0.0)</f>
        <v>0</v>
      </c>
      <c r="G82" s="39">
        <f>IFERROR(__xludf.DUMMYFUNCTION("""COMPUTED_VALUE"""),0.0)</f>
        <v>0</v>
      </c>
      <c r="H82" s="38">
        <f>IFERROR(__xludf.DUMMYFUNCTION("""COMPUTED_VALUE"""),1.0)</f>
        <v>1</v>
      </c>
      <c r="I82" s="41">
        <f>IFERROR(__xludf.DUMMYFUNCTION("""COMPUTED_VALUE"""),46082.0)</f>
        <v>46082</v>
      </c>
    </row>
    <row r="83">
      <c r="A83" s="37">
        <f>IFERROR(__xludf.DUMMYFUNCTION("""COMPUTED_VALUE"""),2.0)</f>
        <v>2</v>
      </c>
      <c r="B83" s="38" t="str">
        <f>IFERROR(__xludf.DUMMYFUNCTION("""COMPUTED_VALUE"""),"CIENCIAS NATURALES, EXPERIMENTALES Y TECNOLOGIA II")</f>
        <v>CIENCIAS NATURALES, EXPERIMENTALES Y TECNOLOGIA II</v>
      </c>
      <c r="C83" s="39">
        <f>IFERROR(__xludf.DUMMYFUNCTION("""COMPUTED_VALUE"""),98.74213836477988)</f>
        <v>98.74213836</v>
      </c>
      <c r="D83" s="39" t="str">
        <f>IFERROR(__xludf.DUMMYFUNCTION("""COMPUTED_VALUE"""),"#DIV/0!")</f>
        <v>#DIV/0!</v>
      </c>
      <c r="E83" s="39">
        <f>IFERROR(__xludf.DUMMYFUNCTION("""COMPUTED_VALUE"""),0.0)</f>
        <v>0</v>
      </c>
      <c r="F83" s="40">
        <f>IFERROR(__xludf.DUMMYFUNCTION("""COMPUTED_VALUE"""),0.0)</f>
        <v>0</v>
      </c>
      <c r="G83" s="39">
        <f>IFERROR(__xludf.DUMMYFUNCTION("""COMPUTED_VALUE"""),0.0)</f>
        <v>0</v>
      </c>
      <c r="H83" s="38">
        <f>IFERROR(__xludf.DUMMYFUNCTION("""COMPUTED_VALUE"""),1.0)</f>
        <v>1</v>
      </c>
      <c r="I83" s="41">
        <f>IFERROR(__xludf.DUMMYFUNCTION("""COMPUTED_VALUE"""),46082.0)</f>
        <v>46082</v>
      </c>
    </row>
    <row r="84">
      <c r="A84" s="37">
        <f>IFERROR(__xludf.DUMMYFUNCTION("""COMPUTED_VALUE"""),2.0)</f>
        <v>2</v>
      </c>
      <c r="B84" s="38" t="str">
        <f>IFERROR(__xludf.DUMMYFUNCTION("""COMPUTED_VALUE"""),"PENSAMIENTO FILOSÓFICO Y HUMANIDADES II")</f>
        <v>PENSAMIENTO FILOSÓFICO Y HUMANIDADES II</v>
      </c>
      <c r="C84" s="39">
        <f>IFERROR(__xludf.DUMMYFUNCTION("""COMPUTED_VALUE"""),99.05660377358491)</f>
        <v>99.05660377</v>
      </c>
      <c r="D84" s="39" t="str">
        <f>IFERROR(__xludf.DUMMYFUNCTION("""COMPUTED_VALUE"""),"#DIV/0!")</f>
        <v>#DIV/0!</v>
      </c>
      <c r="E84" s="39">
        <f>IFERROR(__xludf.DUMMYFUNCTION("""COMPUTED_VALUE"""),0.0)</f>
        <v>0</v>
      </c>
      <c r="F84" s="40">
        <f>IFERROR(__xludf.DUMMYFUNCTION("""COMPUTED_VALUE"""),0.0)</f>
        <v>0</v>
      </c>
      <c r="G84" s="39">
        <f>IFERROR(__xludf.DUMMYFUNCTION("""COMPUTED_VALUE"""),0.0)</f>
        <v>0</v>
      </c>
      <c r="H84" s="38">
        <f>IFERROR(__xludf.DUMMYFUNCTION("""COMPUTED_VALUE"""),1.0)</f>
        <v>1</v>
      </c>
      <c r="I84" s="41">
        <f>IFERROR(__xludf.DUMMYFUNCTION("""COMPUTED_VALUE"""),46082.0)</f>
        <v>46082</v>
      </c>
    </row>
    <row r="85">
      <c r="A85" s="37">
        <f>IFERROR(__xludf.DUMMYFUNCTION("""COMPUTED_VALUE"""),2.0)</f>
        <v>2</v>
      </c>
      <c r="B85" s="38" t="str">
        <f>IFERROR(__xludf.DUMMYFUNCTION("""COMPUTED_VALUE"""),"CIENCIAS SOCIALES II")</f>
        <v>CIENCIAS SOCIALES II</v>
      </c>
      <c r="C85" s="39">
        <f>IFERROR(__xludf.DUMMYFUNCTION("""COMPUTED_VALUE"""),98.38274932614556)</f>
        <v>98.38274933</v>
      </c>
      <c r="D85" s="39" t="str">
        <f>IFERROR(__xludf.DUMMYFUNCTION("""COMPUTED_VALUE"""),"#DIV/0!")</f>
        <v>#DIV/0!</v>
      </c>
      <c r="E85" s="39">
        <f>IFERROR(__xludf.DUMMYFUNCTION("""COMPUTED_VALUE"""),0.0)</f>
        <v>0</v>
      </c>
      <c r="F85" s="40">
        <f>IFERROR(__xludf.DUMMYFUNCTION("""COMPUTED_VALUE"""),0.0)</f>
        <v>0</v>
      </c>
      <c r="G85" s="39">
        <f>IFERROR(__xludf.DUMMYFUNCTION("""COMPUTED_VALUE"""),0.0)</f>
        <v>0</v>
      </c>
      <c r="H85" s="38">
        <f>IFERROR(__xludf.DUMMYFUNCTION("""COMPUTED_VALUE"""),1.0)</f>
        <v>1</v>
      </c>
      <c r="I85" s="41">
        <f>IFERROR(__xludf.DUMMYFUNCTION("""COMPUTED_VALUE"""),46082.0)</f>
        <v>46082</v>
      </c>
    </row>
    <row r="86">
      <c r="A86" s="37">
        <f>IFERROR(__xludf.DUMMYFUNCTION("""COMPUTED_VALUE"""),2.0)</f>
        <v>2</v>
      </c>
      <c r="B86" s="38" t="str">
        <f>IFERROR(__xludf.DUMMYFUNCTION("""COMPUTED_VALUE"""),"TALLER DE CIENCIAS I")</f>
        <v>TALLER DE CIENCIAS I</v>
      </c>
      <c r="C86" s="39">
        <f>IFERROR(__xludf.DUMMYFUNCTION("""COMPUTED_VALUE"""),98.58490566037736)</f>
        <v>98.58490566</v>
      </c>
      <c r="D86" s="39" t="str">
        <f>IFERROR(__xludf.DUMMYFUNCTION("""COMPUTED_VALUE"""),"#DIV/0!")</f>
        <v>#DIV/0!</v>
      </c>
      <c r="E86" s="39">
        <f>IFERROR(__xludf.DUMMYFUNCTION("""COMPUTED_VALUE"""),0.0)</f>
        <v>0</v>
      </c>
      <c r="F86" s="40">
        <f>IFERROR(__xludf.DUMMYFUNCTION("""COMPUTED_VALUE"""),0.0)</f>
        <v>0</v>
      </c>
      <c r="G86" s="39">
        <f>IFERROR(__xludf.DUMMYFUNCTION("""COMPUTED_VALUE"""),0.0)</f>
        <v>0</v>
      </c>
      <c r="H86" s="38">
        <f>IFERROR(__xludf.DUMMYFUNCTION("""COMPUTED_VALUE"""),1.0)</f>
        <v>1</v>
      </c>
      <c r="I86" s="41">
        <f>IFERROR(__xludf.DUMMYFUNCTION("""COMPUTED_VALUE"""),46082.0)</f>
        <v>46082</v>
      </c>
    </row>
    <row r="87">
      <c r="A87" s="37">
        <f>IFERROR(__xludf.DUMMYFUNCTION("""COMPUTED_VALUE"""),2.0)</f>
        <v>2</v>
      </c>
      <c r="B87" s="38" t="str">
        <f>IFERROR(__xludf.DUMMYFUNCTION("""COMPUTED_VALUE"""),"ACTIVIDADES FISICAS Y DEPORTIVAS II")</f>
        <v>ACTIVIDADES FISICAS Y DEPORTIVAS II</v>
      </c>
      <c r="C87" s="39">
        <f>IFERROR(__xludf.DUMMYFUNCTION("""COMPUTED_VALUE"""),98.74213836477988)</f>
        <v>98.74213836</v>
      </c>
      <c r="D87" s="39" t="str">
        <f>IFERROR(__xludf.DUMMYFUNCTION("""COMPUTED_VALUE"""),"#DIV/0!")</f>
        <v>#DIV/0!</v>
      </c>
      <c r="E87" s="39">
        <f>IFERROR(__xludf.DUMMYFUNCTION("""COMPUTED_VALUE"""),0.0)</f>
        <v>0</v>
      </c>
      <c r="F87" s="40">
        <f>IFERROR(__xludf.DUMMYFUNCTION("""COMPUTED_VALUE"""),0.0)</f>
        <v>0</v>
      </c>
      <c r="G87" s="39">
        <f>IFERROR(__xludf.DUMMYFUNCTION("""COMPUTED_VALUE"""),0.0)</f>
        <v>0</v>
      </c>
      <c r="H87" s="38">
        <f>IFERROR(__xludf.DUMMYFUNCTION("""COMPUTED_VALUE"""),1.0)</f>
        <v>1</v>
      </c>
      <c r="I87" s="41">
        <f>IFERROR(__xludf.DUMMYFUNCTION("""COMPUTED_VALUE"""),46082.0)</f>
        <v>46082</v>
      </c>
    </row>
    <row r="88">
      <c r="A88" s="37">
        <f>IFERROR(__xludf.DUMMYFUNCTION("""COMPUTED_VALUE"""),2.0)</f>
        <v>2</v>
      </c>
      <c r="B88" s="38" t="str">
        <f>IFERROR(__xludf.DUMMYFUNCTION("""COMPUTED_VALUE"""),"EDUCACION PARA LA SALUD II")</f>
        <v>EDUCACION PARA LA SALUD II</v>
      </c>
      <c r="C88" s="39">
        <f>IFERROR(__xludf.DUMMYFUNCTION("""COMPUTED_VALUE"""),97.73584905660377)</f>
        <v>97.73584906</v>
      </c>
      <c r="D88" s="39" t="str">
        <f>IFERROR(__xludf.DUMMYFUNCTION("""COMPUTED_VALUE"""),"#DIV/0!")</f>
        <v>#DIV/0!</v>
      </c>
      <c r="E88" s="39">
        <f>IFERROR(__xludf.DUMMYFUNCTION("""COMPUTED_VALUE"""),0.0)</f>
        <v>0</v>
      </c>
      <c r="F88" s="40">
        <f>IFERROR(__xludf.DUMMYFUNCTION("""COMPUTED_VALUE"""),0.0)</f>
        <v>0</v>
      </c>
      <c r="G88" s="39">
        <f>IFERROR(__xludf.DUMMYFUNCTION("""COMPUTED_VALUE"""),0.0)</f>
        <v>0</v>
      </c>
      <c r="H88" s="38">
        <f>IFERROR(__xludf.DUMMYFUNCTION("""COMPUTED_VALUE"""),1.0)</f>
        <v>1</v>
      </c>
      <c r="I88" s="41">
        <f>IFERROR(__xludf.DUMMYFUNCTION("""COMPUTED_VALUE"""),46082.0)</f>
        <v>46082</v>
      </c>
    </row>
    <row r="89">
      <c r="A89" s="42">
        <f>IFERROR(__xludf.DUMMYFUNCTION("""COMPUTED_VALUE"""),2.0)</f>
        <v>2</v>
      </c>
      <c r="B89" s="43" t="str">
        <f>IFERROR(__xludf.DUMMYFUNCTION("""COMPUTED_VALUE"""),"TEMAS SELECTOS DE IGUALDAD Y DERECHOS HUMANOS II")</f>
        <v>TEMAS SELECTOS DE IGUALDAD Y DERECHOS HUMANOS II</v>
      </c>
      <c r="C89" s="44">
        <f>IFERROR(__xludf.DUMMYFUNCTION("""COMPUTED_VALUE"""),98.38274932614556)</f>
        <v>98.38274933</v>
      </c>
      <c r="D89" s="44" t="str">
        <f>IFERROR(__xludf.DUMMYFUNCTION("""COMPUTED_VALUE"""),"#DIV/0!")</f>
        <v>#DIV/0!</v>
      </c>
      <c r="E89" s="44">
        <f>IFERROR(__xludf.DUMMYFUNCTION("""COMPUTED_VALUE"""),0.0)</f>
        <v>0</v>
      </c>
      <c r="F89" s="45">
        <f>IFERROR(__xludf.DUMMYFUNCTION("""COMPUTED_VALUE"""),0.0)</f>
        <v>0</v>
      </c>
      <c r="G89" s="44">
        <f>IFERROR(__xludf.DUMMYFUNCTION("""COMPUTED_VALUE"""),0.0)</f>
        <v>0</v>
      </c>
      <c r="H89" s="43">
        <f>IFERROR(__xludf.DUMMYFUNCTION("""COMPUTED_VALUE"""),1.0)</f>
        <v>1</v>
      </c>
      <c r="I89" s="46">
        <f>IFERROR(__xludf.DUMMYFUNCTION("""COMPUTED_VALUE"""),46082.0)</f>
        <v>46082</v>
      </c>
    </row>
    <row r="90">
      <c r="A90" s="32">
        <f>IFERROR(__xludf.DUMMYFUNCTION("""COMPUTED_VALUE"""),3.0)</f>
        <v>3</v>
      </c>
      <c r="B90" s="33" t="str">
        <f>IFERROR(__xludf.DUMMYFUNCTION("""COMPUTED_VALUE"""),"LENGUA Y COMUNICACIÓN II")</f>
        <v>LENGUA Y COMUNICACIÓN II</v>
      </c>
      <c r="C90" s="34">
        <f>IFERROR(__xludf.DUMMYFUNCTION("""COMPUTED_VALUE"""),99.15094339622641)</f>
        <v>99.1509434</v>
      </c>
      <c r="D90" s="34" t="str">
        <f>IFERROR(__xludf.DUMMYFUNCTION("""COMPUTED_VALUE"""),"#DIV/0!")</f>
        <v>#DIV/0!</v>
      </c>
      <c r="E90" s="34">
        <f>IFERROR(__xludf.DUMMYFUNCTION("""COMPUTED_VALUE"""),0.0)</f>
        <v>0</v>
      </c>
      <c r="F90" s="35">
        <f>IFERROR(__xludf.DUMMYFUNCTION("""COMPUTED_VALUE"""),0.0)</f>
        <v>0</v>
      </c>
      <c r="G90" s="34">
        <f>IFERROR(__xludf.DUMMYFUNCTION("""COMPUTED_VALUE"""),0.0)</f>
        <v>0</v>
      </c>
      <c r="H90" s="33">
        <f>IFERROR(__xludf.DUMMYFUNCTION("""COMPUTED_VALUE"""),1.0)</f>
        <v>1</v>
      </c>
      <c r="I90" s="36">
        <f>IFERROR(__xludf.DUMMYFUNCTION("""COMPUTED_VALUE"""),46082.0)</f>
        <v>46082</v>
      </c>
    </row>
    <row r="91">
      <c r="A91" s="37">
        <f>IFERROR(__xludf.DUMMYFUNCTION("""COMPUTED_VALUE"""),3.0)</f>
        <v>3</v>
      </c>
      <c r="B91" s="38" t="str">
        <f>IFERROR(__xludf.DUMMYFUNCTION("""COMPUTED_VALUE"""),"INGLÉS II")</f>
        <v>INGLÉS II</v>
      </c>
      <c r="C91" s="39">
        <f>IFERROR(__xludf.DUMMYFUNCTION("""COMPUTED_VALUE"""),99.81132075471699)</f>
        <v>99.81132075</v>
      </c>
      <c r="D91" s="39" t="str">
        <f>IFERROR(__xludf.DUMMYFUNCTION("""COMPUTED_VALUE"""),"#DIV/0!")</f>
        <v>#DIV/0!</v>
      </c>
      <c r="E91" s="39">
        <f>IFERROR(__xludf.DUMMYFUNCTION("""COMPUTED_VALUE"""),0.0)</f>
        <v>0</v>
      </c>
      <c r="F91" s="40">
        <f>IFERROR(__xludf.DUMMYFUNCTION("""COMPUTED_VALUE"""),0.0)</f>
        <v>0</v>
      </c>
      <c r="G91" s="39">
        <f>IFERROR(__xludf.DUMMYFUNCTION("""COMPUTED_VALUE"""),0.0)</f>
        <v>0</v>
      </c>
      <c r="H91" s="38">
        <f>IFERROR(__xludf.DUMMYFUNCTION("""COMPUTED_VALUE"""),1.0)</f>
        <v>1</v>
      </c>
      <c r="I91" s="41">
        <f>IFERROR(__xludf.DUMMYFUNCTION("""COMPUTED_VALUE"""),46082.0)</f>
        <v>46082</v>
      </c>
    </row>
    <row r="92">
      <c r="A92" s="37">
        <f>IFERROR(__xludf.DUMMYFUNCTION("""COMPUTED_VALUE"""),3.0)</f>
        <v>3</v>
      </c>
      <c r="B92" s="38" t="str">
        <f>IFERROR(__xludf.DUMMYFUNCTION("""COMPUTED_VALUE"""),"PENSAMIENTO MATEMÁTICO II")</f>
        <v>PENSAMIENTO MATEMÁTICO II</v>
      </c>
      <c r="C92" s="39">
        <f>IFERROR(__xludf.DUMMYFUNCTION("""COMPUTED_VALUE"""),99.81132075471699)</f>
        <v>99.81132075</v>
      </c>
      <c r="D92" s="39" t="str">
        <f>IFERROR(__xludf.DUMMYFUNCTION("""COMPUTED_VALUE"""),"#DIV/0!")</f>
        <v>#DIV/0!</v>
      </c>
      <c r="E92" s="39">
        <f>IFERROR(__xludf.DUMMYFUNCTION("""COMPUTED_VALUE"""),0.0)</f>
        <v>0</v>
      </c>
      <c r="F92" s="40">
        <f>IFERROR(__xludf.DUMMYFUNCTION("""COMPUTED_VALUE"""),0.0)</f>
        <v>0</v>
      </c>
      <c r="G92" s="39">
        <f>IFERROR(__xludf.DUMMYFUNCTION("""COMPUTED_VALUE"""),0.0)</f>
        <v>0</v>
      </c>
      <c r="H92" s="38">
        <f>IFERROR(__xludf.DUMMYFUNCTION("""COMPUTED_VALUE"""),1.0)</f>
        <v>1</v>
      </c>
      <c r="I92" s="41">
        <f>IFERROR(__xludf.DUMMYFUNCTION("""COMPUTED_VALUE"""),46082.0)</f>
        <v>46082</v>
      </c>
    </row>
    <row r="93">
      <c r="A93" s="37">
        <f>IFERROR(__xludf.DUMMYFUNCTION("""COMPUTED_VALUE"""),3.0)</f>
        <v>3</v>
      </c>
      <c r="B93" s="38" t="str">
        <f>IFERROR(__xludf.DUMMYFUNCTION("""COMPUTED_VALUE"""),"CULTURA DIGITAL II")</f>
        <v>CULTURA DIGITAL II</v>
      </c>
      <c r="C93" s="39">
        <f>IFERROR(__xludf.DUMMYFUNCTION("""COMPUTED_VALUE"""),99.24528301886792)</f>
        <v>99.24528302</v>
      </c>
      <c r="D93" s="39" t="str">
        <f>IFERROR(__xludf.DUMMYFUNCTION("""COMPUTED_VALUE"""),"#DIV/0!")</f>
        <v>#DIV/0!</v>
      </c>
      <c r="E93" s="39">
        <f>IFERROR(__xludf.DUMMYFUNCTION("""COMPUTED_VALUE"""),0.0)</f>
        <v>0</v>
      </c>
      <c r="F93" s="40">
        <f>IFERROR(__xludf.DUMMYFUNCTION("""COMPUTED_VALUE"""),0.0)</f>
        <v>0</v>
      </c>
      <c r="G93" s="39">
        <f>IFERROR(__xludf.DUMMYFUNCTION("""COMPUTED_VALUE"""),0.0)</f>
        <v>0</v>
      </c>
      <c r="H93" s="38">
        <f>IFERROR(__xludf.DUMMYFUNCTION("""COMPUTED_VALUE"""),1.0)</f>
        <v>1</v>
      </c>
      <c r="I93" s="41">
        <f>IFERROR(__xludf.DUMMYFUNCTION("""COMPUTED_VALUE"""),46082.0)</f>
        <v>46082</v>
      </c>
    </row>
    <row r="94">
      <c r="A94" s="37">
        <f>IFERROR(__xludf.DUMMYFUNCTION("""COMPUTED_VALUE"""),3.0)</f>
        <v>3</v>
      </c>
      <c r="B94" s="38" t="str">
        <f>IFERROR(__xludf.DUMMYFUNCTION("""COMPUTED_VALUE"""),"CIENCIAS NATURALES, EXPERIMENTALES Y TECNOLOGIA II")</f>
        <v>CIENCIAS NATURALES, EXPERIMENTALES Y TECNOLOGIA II</v>
      </c>
      <c r="C94" s="39">
        <f>IFERROR(__xludf.DUMMYFUNCTION("""COMPUTED_VALUE"""),98.74213836477988)</f>
        <v>98.74213836</v>
      </c>
      <c r="D94" s="39" t="str">
        <f>IFERROR(__xludf.DUMMYFUNCTION("""COMPUTED_VALUE"""),"#DIV/0!")</f>
        <v>#DIV/0!</v>
      </c>
      <c r="E94" s="39">
        <f>IFERROR(__xludf.DUMMYFUNCTION("""COMPUTED_VALUE"""),0.0)</f>
        <v>0</v>
      </c>
      <c r="F94" s="40">
        <f>IFERROR(__xludf.DUMMYFUNCTION("""COMPUTED_VALUE"""),0.0)</f>
        <v>0</v>
      </c>
      <c r="G94" s="39">
        <f>IFERROR(__xludf.DUMMYFUNCTION("""COMPUTED_VALUE"""),0.0)</f>
        <v>0</v>
      </c>
      <c r="H94" s="38">
        <f>IFERROR(__xludf.DUMMYFUNCTION("""COMPUTED_VALUE"""),1.0)</f>
        <v>1</v>
      </c>
      <c r="I94" s="41">
        <f>IFERROR(__xludf.DUMMYFUNCTION("""COMPUTED_VALUE"""),46082.0)</f>
        <v>46082</v>
      </c>
    </row>
    <row r="95">
      <c r="A95" s="37">
        <f>IFERROR(__xludf.DUMMYFUNCTION("""COMPUTED_VALUE"""),3.0)</f>
        <v>3</v>
      </c>
      <c r="B95" s="38" t="str">
        <f>IFERROR(__xludf.DUMMYFUNCTION("""COMPUTED_VALUE"""),"PENSAMIENTO FILOSÓFICO Y HUMANIDADES II")</f>
        <v>PENSAMIENTO FILOSÓFICO Y HUMANIDADES II</v>
      </c>
      <c r="C95" s="39">
        <f>IFERROR(__xludf.DUMMYFUNCTION("""COMPUTED_VALUE"""),99.05660377358491)</f>
        <v>99.05660377</v>
      </c>
      <c r="D95" s="39" t="str">
        <f>IFERROR(__xludf.DUMMYFUNCTION("""COMPUTED_VALUE"""),"#DIV/0!")</f>
        <v>#DIV/0!</v>
      </c>
      <c r="E95" s="39">
        <f>IFERROR(__xludf.DUMMYFUNCTION("""COMPUTED_VALUE"""),0.0)</f>
        <v>0</v>
      </c>
      <c r="F95" s="40">
        <f>IFERROR(__xludf.DUMMYFUNCTION("""COMPUTED_VALUE"""),0.0)</f>
        <v>0</v>
      </c>
      <c r="G95" s="39">
        <f>IFERROR(__xludf.DUMMYFUNCTION("""COMPUTED_VALUE"""),0.0)</f>
        <v>0</v>
      </c>
      <c r="H95" s="38">
        <f>IFERROR(__xludf.DUMMYFUNCTION("""COMPUTED_VALUE"""),1.0)</f>
        <v>1</v>
      </c>
      <c r="I95" s="41">
        <f>IFERROR(__xludf.DUMMYFUNCTION("""COMPUTED_VALUE"""),46082.0)</f>
        <v>46082</v>
      </c>
    </row>
    <row r="96">
      <c r="A96" s="37">
        <f>IFERROR(__xludf.DUMMYFUNCTION("""COMPUTED_VALUE"""),3.0)</f>
        <v>3</v>
      </c>
      <c r="B96" s="38" t="str">
        <f>IFERROR(__xludf.DUMMYFUNCTION("""COMPUTED_VALUE"""),"CIENCIAS SOCIALES II")</f>
        <v>CIENCIAS SOCIALES II</v>
      </c>
      <c r="C96" s="39">
        <f>IFERROR(__xludf.DUMMYFUNCTION("""COMPUTED_VALUE"""),98.38274932614556)</f>
        <v>98.38274933</v>
      </c>
      <c r="D96" s="39" t="str">
        <f>IFERROR(__xludf.DUMMYFUNCTION("""COMPUTED_VALUE"""),"#DIV/0!")</f>
        <v>#DIV/0!</v>
      </c>
      <c r="E96" s="39">
        <f>IFERROR(__xludf.DUMMYFUNCTION("""COMPUTED_VALUE"""),0.0)</f>
        <v>0</v>
      </c>
      <c r="F96" s="40">
        <f>IFERROR(__xludf.DUMMYFUNCTION("""COMPUTED_VALUE"""),0.0)</f>
        <v>0</v>
      </c>
      <c r="G96" s="39">
        <f>IFERROR(__xludf.DUMMYFUNCTION("""COMPUTED_VALUE"""),0.0)</f>
        <v>0</v>
      </c>
      <c r="H96" s="38">
        <f>IFERROR(__xludf.DUMMYFUNCTION("""COMPUTED_VALUE"""),1.0)</f>
        <v>1</v>
      </c>
      <c r="I96" s="41">
        <f>IFERROR(__xludf.DUMMYFUNCTION("""COMPUTED_VALUE"""),46082.0)</f>
        <v>46082</v>
      </c>
    </row>
    <row r="97">
      <c r="A97" s="37">
        <f>IFERROR(__xludf.DUMMYFUNCTION("""COMPUTED_VALUE"""),3.0)</f>
        <v>3</v>
      </c>
      <c r="B97" s="38" t="str">
        <f>IFERROR(__xludf.DUMMYFUNCTION("""COMPUTED_VALUE"""),"TALLER DE CIENCIAS I")</f>
        <v>TALLER DE CIENCIAS I</v>
      </c>
      <c r="C97" s="39">
        <f>IFERROR(__xludf.DUMMYFUNCTION("""COMPUTED_VALUE"""),98.58490566037736)</f>
        <v>98.58490566</v>
      </c>
      <c r="D97" s="39" t="str">
        <f>IFERROR(__xludf.DUMMYFUNCTION("""COMPUTED_VALUE"""),"#DIV/0!")</f>
        <v>#DIV/0!</v>
      </c>
      <c r="E97" s="39">
        <f>IFERROR(__xludf.DUMMYFUNCTION("""COMPUTED_VALUE"""),0.0)</f>
        <v>0</v>
      </c>
      <c r="F97" s="40">
        <f>IFERROR(__xludf.DUMMYFUNCTION("""COMPUTED_VALUE"""),0.0)</f>
        <v>0</v>
      </c>
      <c r="G97" s="39">
        <f>IFERROR(__xludf.DUMMYFUNCTION("""COMPUTED_VALUE"""),0.0)</f>
        <v>0</v>
      </c>
      <c r="H97" s="38">
        <f>IFERROR(__xludf.DUMMYFUNCTION("""COMPUTED_VALUE"""),1.0)</f>
        <v>1</v>
      </c>
      <c r="I97" s="41">
        <f>IFERROR(__xludf.DUMMYFUNCTION("""COMPUTED_VALUE"""),46082.0)</f>
        <v>46082</v>
      </c>
    </row>
    <row r="98">
      <c r="A98" s="37">
        <f>IFERROR(__xludf.DUMMYFUNCTION("""COMPUTED_VALUE"""),3.0)</f>
        <v>3</v>
      </c>
      <c r="B98" s="38" t="str">
        <f>IFERROR(__xludf.DUMMYFUNCTION("""COMPUTED_VALUE"""),"ACTIVIDADES FISICAS Y DEPORTIVAS II")</f>
        <v>ACTIVIDADES FISICAS Y DEPORTIVAS II</v>
      </c>
      <c r="C98" s="39">
        <f>IFERROR(__xludf.DUMMYFUNCTION("""COMPUTED_VALUE"""),98.74213836477988)</f>
        <v>98.74213836</v>
      </c>
      <c r="D98" s="39" t="str">
        <f>IFERROR(__xludf.DUMMYFUNCTION("""COMPUTED_VALUE"""),"#DIV/0!")</f>
        <v>#DIV/0!</v>
      </c>
      <c r="E98" s="39">
        <f>IFERROR(__xludf.DUMMYFUNCTION("""COMPUTED_VALUE"""),0.0)</f>
        <v>0</v>
      </c>
      <c r="F98" s="40">
        <f>IFERROR(__xludf.DUMMYFUNCTION("""COMPUTED_VALUE"""),0.0)</f>
        <v>0</v>
      </c>
      <c r="G98" s="39">
        <f>IFERROR(__xludf.DUMMYFUNCTION("""COMPUTED_VALUE"""),0.0)</f>
        <v>0</v>
      </c>
      <c r="H98" s="38">
        <f>IFERROR(__xludf.DUMMYFUNCTION("""COMPUTED_VALUE"""),1.0)</f>
        <v>1</v>
      </c>
      <c r="I98" s="41">
        <f>IFERROR(__xludf.DUMMYFUNCTION("""COMPUTED_VALUE"""),46082.0)</f>
        <v>46082</v>
      </c>
    </row>
    <row r="99">
      <c r="A99" s="37">
        <f>IFERROR(__xludf.DUMMYFUNCTION("""COMPUTED_VALUE"""),3.0)</f>
        <v>3</v>
      </c>
      <c r="B99" s="38" t="str">
        <f>IFERROR(__xludf.DUMMYFUNCTION("""COMPUTED_VALUE"""),"EDUCACION PARA LA SALUD II")</f>
        <v>EDUCACION PARA LA SALUD II</v>
      </c>
      <c r="C99" s="39">
        <f>IFERROR(__xludf.DUMMYFUNCTION("""COMPUTED_VALUE"""),97.73584905660377)</f>
        <v>97.73584906</v>
      </c>
      <c r="D99" s="39" t="str">
        <f>IFERROR(__xludf.DUMMYFUNCTION("""COMPUTED_VALUE"""),"#DIV/0!")</f>
        <v>#DIV/0!</v>
      </c>
      <c r="E99" s="39">
        <f>IFERROR(__xludf.DUMMYFUNCTION("""COMPUTED_VALUE"""),0.0)</f>
        <v>0</v>
      </c>
      <c r="F99" s="40">
        <f>IFERROR(__xludf.DUMMYFUNCTION("""COMPUTED_VALUE"""),0.0)</f>
        <v>0</v>
      </c>
      <c r="G99" s="39">
        <f>IFERROR(__xludf.DUMMYFUNCTION("""COMPUTED_VALUE"""),0.0)</f>
        <v>0</v>
      </c>
      <c r="H99" s="38">
        <f>IFERROR(__xludf.DUMMYFUNCTION("""COMPUTED_VALUE"""),1.0)</f>
        <v>1</v>
      </c>
      <c r="I99" s="41">
        <f>IFERROR(__xludf.DUMMYFUNCTION("""COMPUTED_VALUE"""),46082.0)</f>
        <v>46082</v>
      </c>
    </row>
    <row r="100">
      <c r="A100" s="42">
        <f>IFERROR(__xludf.DUMMYFUNCTION("""COMPUTED_VALUE"""),3.0)</f>
        <v>3</v>
      </c>
      <c r="B100" s="43" t="str">
        <f>IFERROR(__xludf.DUMMYFUNCTION("""COMPUTED_VALUE"""),"TEMAS SELECTOS DE IGUALDAD Y DERECHOS HUMANOS II")</f>
        <v>TEMAS SELECTOS DE IGUALDAD Y DERECHOS HUMANOS II</v>
      </c>
      <c r="C100" s="44">
        <f>IFERROR(__xludf.DUMMYFUNCTION("""COMPUTED_VALUE"""),98.38274932614556)</f>
        <v>98.38274933</v>
      </c>
      <c r="D100" s="44" t="str">
        <f>IFERROR(__xludf.DUMMYFUNCTION("""COMPUTED_VALUE"""),"#DIV/0!")</f>
        <v>#DIV/0!</v>
      </c>
      <c r="E100" s="44">
        <f>IFERROR(__xludf.DUMMYFUNCTION("""COMPUTED_VALUE"""),0.0)</f>
        <v>0</v>
      </c>
      <c r="F100" s="45">
        <f>IFERROR(__xludf.DUMMYFUNCTION("""COMPUTED_VALUE"""),0.0)</f>
        <v>0</v>
      </c>
      <c r="G100" s="44">
        <f>IFERROR(__xludf.DUMMYFUNCTION("""COMPUTED_VALUE"""),0.0)</f>
        <v>0</v>
      </c>
      <c r="H100" s="43">
        <f>IFERROR(__xludf.DUMMYFUNCTION("""COMPUTED_VALUE"""),1.0)</f>
        <v>1</v>
      </c>
      <c r="I100" s="46">
        <f>IFERROR(__xludf.DUMMYFUNCTION("""COMPUTED_VALUE"""),46082.0)</f>
        <v>46082</v>
      </c>
    </row>
    <row r="101">
      <c r="A101" s="47">
        <f>IFERROR(__xludf.DUMMYFUNCTION("IMPORTRANGE(""https://docs.google.com/spreadsheets/d/1Y2t3bI0urWJrNdqCakJagZ2b2bpLpbevCyUErB6c_qE/edit?usp=sharing"",""INDICADORES!N2:V40"")"),1.0)</f>
        <v>1</v>
      </c>
      <c r="B101" s="48" t="str">
        <f>IFERROR(__xludf.DUMMYFUNCTION("""COMPUTED_VALUE"""),"PENSAMIENTO LITERARIO")</f>
        <v>PENSAMIENTO LITERARIO</v>
      </c>
      <c r="C101" s="49">
        <f>IFERROR(__xludf.DUMMYFUNCTION("""COMPUTED_VALUE"""),99.04255319148936)</f>
        <v>99.04255319</v>
      </c>
      <c r="D101" s="49">
        <f>IFERROR(__xludf.DUMMYFUNCTION("""COMPUTED_VALUE"""),7.659574468085107)</f>
        <v>7.659574468</v>
      </c>
      <c r="E101" s="49">
        <f>IFERROR(__xludf.DUMMYFUNCTION("""COMPUTED_VALUE"""),12.76595744680851)</f>
        <v>12.76595745</v>
      </c>
      <c r="F101" s="50">
        <f>IFERROR(__xludf.DUMMYFUNCTION("""COMPUTED_VALUE"""),6.0)</f>
        <v>6</v>
      </c>
      <c r="G101" s="49">
        <f>IFERROR(__xludf.DUMMYFUNCTION("""COMPUTED_VALUE"""),87.23404255319149)</f>
        <v>87.23404255</v>
      </c>
      <c r="H101" s="48">
        <f>IFERROR(__xludf.DUMMYFUNCTION("""COMPUTED_VALUE"""),2.0)</f>
        <v>2</v>
      </c>
      <c r="I101" s="51">
        <f>IFERROR(__xludf.DUMMYFUNCTION("""COMPUTED_VALUE"""),46024.0)</f>
        <v>46024</v>
      </c>
    </row>
    <row r="102">
      <c r="A102" s="52">
        <f>IFERROR(__xludf.DUMMYFUNCTION("""COMPUTED_VALUE"""),1.0)</f>
        <v>1</v>
      </c>
      <c r="B102" s="53" t="str">
        <f>IFERROR(__xludf.DUMMYFUNCTION("""COMPUTED_VALUE"""),"INGLÉS IV")</f>
        <v>INGLÉS IV</v>
      </c>
      <c r="C102" s="54">
        <f>IFERROR(__xludf.DUMMYFUNCTION("""COMPUTED_VALUE"""),99.04255319148936)</f>
        <v>99.04255319</v>
      </c>
      <c r="D102" s="54">
        <f>IFERROR(__xludf.DUMMYFUNCTION("""COMPUTED_VALUE"""),7.659574468085107)</f>
        <v>7.659574468</v>
      </c>
      <c r="E102" s="54">
        <f>IFERROR(__xludf.DUMMYFUNCTION("""COMPUTED_VALUE"""),12.76595744680851)</f>
        <v>12.76595745</v>
      </c>
      <c r="F102" s="55">
        <f>IFERROR(__xludf.DUMMYFUNCTION("""COMPUTED_VALUE"""),6.0)</f>
        <v>6</v>
      </c>
      <c r="G102" s="54">
        <f>IFERROR(__xludf.DUMMYFUNCTION("""COMPUTED_VALUE"""),87.23404255319149)</f>
        <v>87.23404255</v>
      </c>
      <c r="H102" s="53">
        <f>IFERROR(__xludf.DUMMYFUNCTION("""COMPUTED_VALUE"""),2.0)</f>
        <v>2</v>
      </c>
      <c r="I102" s="56">
        <f>IFERROR(__xludf.DUMMYFUNCTION("""COMPUTED_VALUE"""),46024.0)</f>
        <v>46024</v>
      </c>
    </row>
    <row r="103">
      <c r="A103" s="52">
        <f>IFERROR(__xludf.DUMMYFUNCTION("""COMPUTED_VALUE"""),1.0)</f>
        <v>1</v>
      </c>
      <c r="B103" s="53" t="str">
        <f>IFERROR(__xludf.DUMMYFUNCTION("""COMPUTED_VALUE"""),"TEMAS SELECTOS DE MATEMÁTICAS I")</f>
        <v>TEMAS SELECTOS DE MATEMÁTICAS I</v>
      </c>
      <c r="C103" s="54">
        <f>IFERROR(__xludf.DUMMYFUNCTION("""COMPUTED_VALUE"""),99.04255319148936)</f>
        <v>99.04255319</v>
      </c>
      <c r="D103" s="54">
        <f>IFERROR(__xludf.DUMMYFUNCTION("""COMPUTED_VALUE"""),7.659574468085107)</f>
        <v>7.659574468</v>
      </c>
      <c r="E103" s="54">
        <f>IFERROR(__xludf.DUMMYFUNCTION("""COMPUTED_VALUE"""),12.76595744680851)</f>
        <v>12.76595745</v>
      </c>
      <c r="F103" s="55">
        <f>IFERROR(__xludf.DUMMYFUNCTION("""COMPUTED_VALUE"""),6.0)</f>
        <v>6</v>
      </c>
      <c r="G103" s="54">
        <f>IFERROR(__xludf.DUMMYFUNCTION("""COMPUTED_VALUE"""),87.23404255319149)</f>
        <v>87.23404255</v>
      </c>
      <c r="H103" s="53">
        <f>IFERROR(__xludf.DUMMYFUNCTION("""COMPUTED_VALUE"""),2.0)</f>
        <v>2</v>
      </c>
      <c r="I103" s="56">
        <f>IFERROR(__xludf.DUMMYFUNCTION("""COMPUTED_VALUE"""),46024.0)</f>
        <v>46024</v>
      </c>
    </row>
    <row r="104">
      <c r="A104" s="52">
        <f>IFERROR(__xludf.DUMMYFUNCTION("""COMPUTED_VALUE"""),1.0)</f>
        <v>1</v>
      </c>
      <c r="B104" s="53" t="str">
        <f>IFERROR(__xludf.DUMMYFUNCTION("""COMPUTED_VALUE"""),"CONCIENCIA HISTORICA I")</f>
        <v>CONCIENCIA HISTORICA I</v>
      </c>
      <c r="C104" s="54">
        <f>IFERROR(__xludf.DUMMYFUNCTION("""COMPUTED_VALUE"""),96.80851063829788)</f>
        <v>96.80851064</v>
      </c>
      <c r="D104" s="54">
        <f>IFERROR(__xludf.DUMMYFUNCTION("""COMPUTED_VALUE"""),7.659574468085107)</f>
        <v>7.659574468</v>
      </c>
      <c r="E104" s="54">
        <f>IFERROR(__xludf.DUMMYFUNCTION("""COMPUTED_VALUE"""),12.76595744680851)</f>
        <v>12.76595745</v>
      </c>
      <c r="F104" s="55">
        <f>IFERROR(__xludf.DUMMYFUNCTION("""COMPUTED_VALUE"""),6.0)</f>
        <v>6</v>
      </c>
      <c r="G104" s="54">
        <f>IFERROR(__xludf.DUMMYFUNCTION("""COMPUTED_VALUE"""),87.23404255319149)</f>
        <v>87.23404255</v>
      </c>
      <c r="H104" s="53">
        <f>IFERROR(__xludf.DUMMYFUNCTION("""COMPUTED_VALUE"""),2.0)</f>
        <v>2</v>
      </c>
      <c r="I104" s="56">
        <f>IFERROR(__xludf.DUMMYFUNCTION("""COMPUTED_VALUE"""),46024.0)</f>
        <v>46024</v>
      </c>
    </row>
    <row r="105">
      <c r="A105" s="52">
        <f>IFERROR(__xludf.DUMMYFUNCTION("""COMPUTED_VALUE"""),1.0)</f>
        <v>1</v>
      </c>
      <c r="B105" s="53" t="str">
        <f>IFERROR(__xludf.DUMMYFUNCTION("""COMPUTED_VALUE"""),"TALLER DE CULTURA DIGITAL")</f>
        <v>TALLER DE CULTURA DIGITAL</v>
      </c>
      <c r="C105" s="54">
        <f>IFERROR(__xludf.DUMMYFUNCTION("""COMPUTED_VALUE"""),95.2127659574468)</f>
        <v>95.21276596</v>
      </c>
      <c r="D105" s="54">
        <f>IFERROR(__xludf.DUMMYFUNCTION("""COMPUTED_VALUE"""),7.659574468085107)</f>
        <v>7.659574468</v>
      </c>
      <c r="E105" s="54">
        <f>IFERROR(__xludf.DUMMYFUNCTION("""COMPUTED_VALUE"""),12.76595744680851)</f>
        <v>12.76595745</v>
      </c>
      <c r="F105" s="55">
        <f>IFERROR(__xludf.DUMMYFUNCTION("""COMPUTED_VALUE"""),6.0)</f>
        <v>6</v>
      </c>
      <c r="G105" s="54">
        <f>IFERROR(__xludf.DUMMYFUNCTION("""COMPUTED_VALUE"""),87.23404255319149)</f>
        <v>87.23404255</v>
      </c>
      <c r="H105" s="53">
        <f>IFERROR(__xludf.DUMMYFUNCTION("""COMPUTED_VALUE"""),2.0)</f>
        <v>2</v>
      </c>
      <c r="I105" s="56">
        <f>IFERROR(__xludf.DUMMYFUNCTION("""COMPUTED_VALUE"""),46024.0)</f>
        <v>46024</v>
      </c>
    </row>
    <row r="106">
      <c r="A106" s="52">
        <f>IFERROR(__xludf.DUMMYFUNCTION("""COMPUTED_VALUE"""),1.0)</f>
        <v>1</v>
      </c>
      <c r="B106" s="53" t="str">
        <f>IFERROR(__xludf.DUMMYFUNCTION("""COMPUTED_VALUE"""),"REACCIONES QUÍMICAS")</f>
        <v>REACCIONES QUÍMICAS</v>
      </c>
      <c r="C106" s="54">
        <f>IFERROR(__xludf.DUMMYFUNCTION("""COMPUTED_VALUE"""),96.17021276595744)</f>
        <v>96.17021277</v>
      </c>
      <c r="D106" s="54">
        <f>IFERROR(__xludf.DUMMYFUNCTION("""COMPUTED_VALUE"""),7.659574468085107)</f>
        <v>7.659574468</v>
      </c>
      <c r="E106" s="54">
        <f>IFERROR(__xludf.DUMMYFUNCTION("""COMPUTED_VALUE"""),12.76595744680851)</f>
        <v>12.76595745</v>
      </c>
      <c r="F106" s="55">
        <f>IFERROR(__xludf.DUMMYFUNCTION("""COMPUTED_VALUE"""),6.0)</f>
        <v>6</v>
      </c>
      <c r="G106" s="54">
        <f>IFERROR(__xludf.DUMMYFUNCTION("""COMPUTED_VALUE"""),87.23404255319149)</f>
        <v>87.23404255</v>
      </c>
      <c r="H106" s="53">
        <f>IFERROR(__xludf.DUMMYFUNCTION("""COMPUTED_VALUE"""),2.0)</f>
        <v>2</v>
      </c>
      <c r="I106" s="56">
        <f>IFERROR(__xludf.DUMMYFUNCTION("""COMPUTED_VALUE"""),46024.0)</f>
        <v>46024</v>
      </c>
    </row>
    <row r="107">
      <c r="A107" s="52">
        <f>IFERROR(__xludf.DUMMYFUNCTION("""COMPUTED_VALUE"""),1.0)</f>
        <v>1</v>
      </c>
      <c r="B107" s="53" t="str">
        <f>IFERROR(__xludf.DUMMYFUNCTION("""COMPUTED_VALUE"""),"ESPACIO Y SOCIEDAD")</f>
        <v>ESPACIO Y SOCIEDAD</v>
      </c>
      <c r="C107" s="54">
        <f>IFERROR(__xludf.DUMMYFUNCTION("""COMPUTED_VALUE"""),94.25531914893617)</f>
        <v>94.25531915</v>
      </c>
      <c r="D107" s="54">
        <f>IFERROR(__xludf.DUMMYFUNCTION("""COMPUTED_VALUE"""),7.659574468085107)</f>
        <v>7.659574468</v>
      </c>
      <c r="E107" s="54">
        <f>IFERROR(__xludf.DUMMYFUNCTION("""COMPUTED_VALUE"""),12.76595744680851)</f>
        <v>12.76595745</v>
      </c>
      <c r="F107" s="55">
        <f>IFERROR(__xludf.DUMMYFUNCTION("""COMPUTED_VALUE"""),6.0)</f>
        <v>6</v>
      </c>
      <c r="G107" s="54">
        <f>IFERROR(__xludf.DUMMYFUNCTION("""COMPUTED_VALUE"""),87.23404255319149)</f>
        <v>87.23404255</v>
      </c>
      <c r="H107" s="53">
        <f>IFERROR(__xludf.DUMMYFUNCTION("""COMPUTED_VALUE"""),2.0)</f>
        <v>2</v>
      </c>
      <c r="I107" s="56">
        <f>IFERROR(__xludf.DUMMYFUNCTION("""COMPUTED_VALUE"""),46024.0)</f>
        <v>46024</v>
      </c>
    </row>
    <row r="108">
      <c r="A108" s="52">
        <f>IFERROR(__xludf.DUMMYFUNCTION("""COMPUTED_VALUE"""),1.0)</f>
        <v>1</v>
      </c>
      <c r="B108" s="53" t="str">
        <f>IFERROR(__xludf.DUMMYFUNCTION("""COMPUTED_VALUE"""),"CIENCIAS SOCIALES III")</f>
        <v>CIENCIAS SOCIALES III</v>
      </c>
      <c r="C108" s="54">
        <f>IFERROR(__xludf.DUMMYFUNCTION("""COMPUTED_VALUE"""),95.2127659574468)</f>
        <v>95.21276596</v>
      </c>
      <c r="D108" s="54">
        <f>IFERROR(__xludf.DUMMYFUNCTION("""COMPUTED_VALUE"""),7.659574468085107)</f>
        <v>7.659574468</v>
      </c>
      <c r="E108" s="54">
        <f>IFERROR(__xludf.DUMMYFUNCTION("""COMPUTED_VALUE"""),12.76595744680851)</f>
        <v>12.76595745</v>
      </c>
      <c r="F108" s="55">
        <f>IFERROR(__xludf.DUMMYFUNCTION("""COMPUTED_VALUE"""),6.0)</f>
        <v>6</v>
      </c>
      <c r="G108" s="54">
        <f>IFERROR(__xludf.DUMMYFUNCTION("""COMPUTED_VALUE"""),87.23404255319149)</f>
        <v>87.23404255</v>
      </c>
      <c r="H108" s="53">
        <f>IFERROR(__xludf.DUMMYFUNCTION("""COMPUTED_VALUE"""),2.0)</f>
        <v>2</v>
      </c>
      <c r="I108" s="56">
        <f>IFERROR(__xludf.DUMMYFUNCTION("""COMPUTED_VALUE"""),46024.0)</f>
        <v>46024</v>
      </c>
    </row>
    <row r="109">
      <c r="A109" s="52">
        <f>IFERROR(__xludf.DUMMYFUNCTION("""COMPUTED_VALUE"""),1.0)</f>
        <v>1</v>
      </c>
      <c r="B109" s="53" t="str">
        <f>IFERROR(__xludf.DUMMYFUNCTION("""COMPUTED_VALUE"""),"COMUNIDADES VIRTUALES")</f>
        <v>COMUNIDADES VIRTUALES</v>
      </c>
      <c r="C109" s="54">
        <f>IFERROR(__xludf.DUMMYFUNCTION("""COMPUTED_VALUE"""),94.77756286266924)</f>
        <v>94.77756286</v>
      </c>
      <c r="D109" s="54">
        <f>IFERROR(__xludf.DUMMYFUNCTION("""COMPUTED_VALUE"""),7.659574468085107)</f>
        <v>7.659574468</v>
      </c>
      <c r="E109" s="54">
        <f>IFERROR(__xludf.DUMMYFUNCTION("""COMPUTED_VALUE"""),12.76595744680851)</f>
        <v>12.76595745</v>
      </c>
      <c r="F109" s="55">
        <f>IFERROR(__xludf.DUMMYFUNCTION("""COMPUTED_VALUE"""),6.0)</f>
        <v>6</v>
      </c>
      <c r="G109" s="54">
        <f>IFERROR(__xludf.DUMMYFUNCTION("""COMPUTED_VALUE"""),87.23404255319149)</f>
        <v>87.23404255</v>
      </c>
      <c r="H109" s="53">
        <f>IFERROR(__xludf.DUMMYFUNCTION("""COMPUTED_VALUE"""),2.0)</f>
        <v>2</v>
      </c>
      <c r="I109" s="56">
        <f>IFERROR(__xludf.DUMMYFUNCTION("""COMPUTED_VALUE"""),46024.0)</f>
        <v>46024</v>
      </c>
    </row>
    <row r="110">
      <c r="A110" s="52">
        <f>IFERROR(__xludf.DUMMYFUNCTION("""COMPUTED_VALUE"""),1.0)</f>
        <v>1</v>
      </c>
      <c r="B110" s="53" t="str">
        <f>IFERROR(__xludf.DUMMYFUNCTION("""COMPUTED_VALUE"""),"MANTENIMIENTO DE REDES DE CÓMPUTO")</f>
        <v>MANTENIMIENTO DE REDES DE CÓMPUTO</v>
      </c>
      <c r="C110" s="54">
        <f>IFERROR(__xludf.DUMMYFUNCTION("""COMPUTED_VALUE"""),92.81914893617021)</f>
        <v>92.81914894</v>
      </c>
      <c r="D110" s="54">
        <f>IFERROR(__xludf.DUMMYFUNCTION("""COMPUTED_VALUE"""),7.659574468085107)</f>
        <v>7.659574468</v>
      </c>
      <c r="E110" s="54">
        <f>IFERROR(__xludf.DUMMYFUNCTION("""COMPUTED_VALUE"""),12.76595744680851)</f>
        <v>12.76595745</v>
      </c>
      <c r="F110" s="55">
        <f>IFERROR(__xludf.DUMMYFUNCTION("""COMPUTED_VALUE"""),6.0)</f>
        <v>6</v>
      </c>
      <c r="G110" s="54">
        <f>IFERROR(__xludf.DUMMYFUNCTION("""COMPUTED_VALUE"""),87.23404255319149)</f>
        <v>87.23404255</v>
      </c>
      <c r="H110" s="53">
        <f>IFERROR(__xludf.DUMMYFUNCTION("""COMPUTED_VALUE"""),2.0)</f>
        <v>2</v>
      </c>
      <c r="I110" s="56">
        <f>IFERROR(__xludf.DUMMYFUNCTION("""COMPUTED_VALUE"""),46024.0)</f>
        <v>46024</v>
      </c>
    </row>
    <row r="111">
      <c r="A111" s="52">
        <f>IFERROR(__xludf.DUMMYFUNCTION("""COMPUTED_VALUE"""),1.0)</f>
        <v>1</v>
      </c>
      <c r="B111" s="53" t="str">
        <f>IFERROR(__xludf.DUMMYFUNCTION("""COMPUTED_VALUE"""),"ACTIVIDADES ARTÍSTICAS Y CULTURALES I ")</f>
        <v>ACTIVIDADES ARTÍSTICAS Y CULTURALES I </v>
      </c>
      <c r="C111" s="54">
        <f>IFERROR(__xludf.DUMMYFUNCTION("""COMPUTED_VALUE"""),92.81914893617021)</f>
        <v>92.81914894</v>
      </c>
      <c r="D111" s="54">
        <f>IFERROR(__xludf.DUMMYFUNCTION("""COMPUTED_VALUE"""),7.659574468085107)</f>
        <v>7.659574468</v>
      </c>
      <c r="E111" s="54">
        <f>IFERROR(__xludf.DUMMYFUNCTION("""COMPUTED_VALUE"""),12.76595744680851)</f>
        <v>12.76595745</v>
      </c>
      <c r="F111" s="55">
        <f>IFERROR(__xludf.DUMMYFUNCTION("""COMPUTED_VALUE"""),6.0)</f>
        <v>6</v>
      </c>
      <c r="G111" s="54">
        <f>IFERROR(__xludf.DUMMYFUNCTION("""COMPUTED_VALUE"""),87.23404255319149)</f>
        <v>87.23404255</v>
      </c>
      <c r="H111" s="53">
        <f>IFERROR(__xludf.DUMMYFUNCTION("""COMPUTED_VALUE"""),2.0)</f>
        <v>2</v>
      </c>
      <c r="I111" s="56">
        <f>IFERROR(__xludf.DUMMYFUNCTION("""COMPUTED_VALUE"""),46024.0)</f>
        <v>46024</v>
      </c>
    </row>
    <row r="112">
      <c r="A112" s="52">
        <f>IFERROR(__xludf.DUMMYFUNCTION("""COMPUTED_VALUE"""),1.0)</f>
        <v>1</v>
      </c>
      <c r="B112" s="53" t="str">
        <f>IFERROR(__xludf.DUMMYFUNCTION("""COMPUTED_VALUE"""),"EDUCACIÓN INTEGRAL EN SEXUALIDAD Y GÉNERO II")</f>
        <v>EDUCACIÓN INTEGRAL EN SEXUALIDAD Y GÉNERO II</v>
      </c>
      <c r="C112" s="54">
        <f>IFERROR(__xludf.DUMMYFUNCTION("""COMPUTED_VALUE"""),92.81914893617021)</f>
        <v>92.81914894</v>
      </c>
      <c r="D112" s="54">
        <f>IFERROR(__xludf.DUMMYFUNCTION("""COMPUTED_VALUE"""),7.659574468085107)</f>
        <v>7.659574468</v>
      </c>
      <c r="E112" s="54">
        <f>IFERROR(__xludf.DUMMYFUNCTION("""COMPUTED_VALUE"""),12.76595744680851)</f>
        <v>12.76595745</v>
      </c>
      <c r="F112" s="55">
        <f>IFERROR(__xludf.DUMMYFUNCTION("""COMPUTED_VALUE"""),6.0)</f>
        <v>6</v>
      </c>
      <c r="G112" s="54">
        <f>IFERROR(__xludf.DUMMYFUNCTION("""COMPUTED_VALUE"""),87.23404255319149)</f>
        <v>87.23404255</v>
      </c>
      <c r="H112" s="53">
        <f>IFERROR(__xludf.DUMMYFUNCTION("""COMPUTED_VALUE"""),2.0)</f>
        <v>2</v>
      </c>
      <c r="I112" s="56">
        <f>IFERROR(__xludf.DUMMYFUNCTION("""COMPUTED_VALUE"""),46024.0)</f>
        <v>46024</v>
      </c>
    </row>
    <row r="113">
      <c r="A113" s="57">
        <f>IFERROR(__xludf.DUMMYFUNCTION("""COMPUTED_VALUE"""),1.0)</f>
        <v>1</v>
      </c>
      <c r="B113" s="58" t="str">
        <f>IFERROR(__xludf.DUMMYFUNCTION("""COMPUTED_VALUE"""),"TEMAS SELECTOS DE IGUALDAD Y DERECHOS HUMANOS IV")</f>
        <v>TEMAS SELECTOS DE IGUALDAD Y DERECHOS HUMANOS IV</v>
      </c>
      <c r="C113" s="59">
        <f>IFERROR(__xludf.DUMMYFUNCTION("""COMPUTED_VALUE"""),92.81914893617021)</f>
        <v>92.81914894</v>
      </c>
      <c r="D113" s="59">
        <f>IFERROR(__xludf.DUMMYFUNCTION("""COMPUTED_VALUE"""),7.659574468085107)</f>
        <v>7.659574468</v>
      </c>
      <c r="E113" s="59">
        <f>IFERROR(__xludf.DUMMYFUNCTION("""COMPUTED_VALUE"""),12.76595744680851)</f>
        <v>12.76595745</v>
      </c>
      <c r="F113" s="60">
        <f>IFERROR(__xludf.DUMMYFUNCTION("""COMPUTED_VALUE"""),6.0)</f>
        <v>6</v>
      </c>
      <c r="G113" s="59">
        <f>IFERROR(__xludf.DUMMYFUNCTION("""COMPUTED_VALUE"""),87.23404255319149)</f>
        <v>87.23404255</v>
      </c>
      <c r="H113" s="58">
        <f>IFERROR(__xludf.DUMMYFUNCTION("""COMPUTED_VALUE"""),2.0)</f>
        <v>2</v>
      </c>
      <c r="I113" s="61">
        <f>IFERROR(__xludf.DUMMYFUNCTION("""COMPUTED_VALUE"""),46024.0)</f>
        <v>46024</v>
      </c>
    </row>
    <row r="114">
      <c r="A114" s="47">
        <f>IFERROR(__xludf.DUMMYFUNCTION("""COMPUTED_VALUE"""),2.0)</f>
        <v>2</v>
      </c>
      <c r="B114" s="48" t="str">
        <f>IFERROR(__xludf.DUMMYFUNCTION("""COMPUTED_VALUE"""),"PENSAMIENTO LITERARIO")</f>
        <v>PENSAMIENTO LITERARIO</v>
      </c>
      <c r="C114" s="49">
        <f>IFERROR(__xludf.DUMMYFUNCTION("""COMPUTED_VALUE"""),99.04255319148936)</f>
        <v>99.04255319</v>
      </c>
      <c r="D114" s="49" t="str">
        <f>IFERROR(__xludf.DUMMYFUNCTION("""COMPUTED_VALUE"""),"#DIV/0!")</f>
        <v>#DIV/0!</v>
      </c>
      <c r="E114" s="49">
        <f>IFERROR(__xludf.DUMMYFUNCTION("""COMPUTED_VALUE"""),0.0)</f>
        <v>0</v>
      </c>
      <c r="F114" s="50">
        <f>IFERROR(__xludf.DUMMYFUNCTION("""COMPUTED_VALUE"""),0.0)</f>
        <v>0</v>
      </c>
      <c r="G114" s="49">
        <f>IFERROR(__xludf.DUMMYFUNCTION("""COMPUTED_VALUE"""),0.0)</f>
        <v>0</v>
      </c>
      <c r="H114" s="48">
        <f>IFERROR(__xludf.DUMMYFUNCTION("""COMPUTED_VALUE"""),2.0)</f>
        <v>2</v>
      </c>
      <c r="I114" s="51">
        <f>IFERROR(__xludf.DUMMYFUNCTION("""COMPUTED_VALUE"""),46024.0)</f>
        <v>46024</v>
      </c>
    </row>
    <row r="115">
      <c r="A115" s="52">
        <f>IFERROR(__xludf.DUMMYFUNCTION("""COMPUTED_VALUE"""),2.0)</f>
        <v>2</v>
      </c>
      <c r="B115" s="53" t="str">
        <f>IFERROR(__xludf.DUMMYFUNCTION("""COMPUTED_VALUE"""),"INGLÉS IV")</f>
        <v>INGLÉS IV</v>
      </c>
      <c r="C115" s="54">
        <f>IFERROR(__xludf.DUMMYFUNCTION("""COMPUTED_VALUE"""),99.04255319148936)</f>
        <v>99.04255319</v>
      </c>
      <c r="D115" s="54" t="str">
        <f>IFERROR(__xludf.DUMMYFUNCTION("""COMPUTED_VALUE"""),"#DIV/0!")</f>
        <v>#DIV/0!</v>
      </c>
      <c r="E115" s="54">
        <f>IFERROR(__xludf.DUMMYFUNCTION("""COMPUTED_VALUE"""),0.0)</f>
        <v>0</v>
      </c>
      <c r="F115" s="55">
        <f>IFERROR(__xludf.DUMMYFUNCTION("""COMPUTED_VALUE"""),0.0)</f>
        <v>0</v>
      </c>
      <c r="G115" s="54">
        <f>IFERROR(__xludf.DUMMYFUNCTION("""COMPUTED_VALUE"""),0.0)</f>
        <v>0</v>
      </c>
      <c r="H115" s="53">
        <f>IFERROR(__xludf.DUMMYFUNCTION("""COMPUTED_VALUE"""),2.0)</f>
        <v>2</v>
      </c>
      <c r="I115" s="56">
        <f>IFERROR(__xludf.DUMMYFUNCTION("""COMPUTED_VALUE"""),46024.0)</f>
        <v>46024</v>
      </c>
    </row>
    <row r="116">
      <c r="A116" s="52">
        <f>IFERROR(__xludf.DUMMYFUNCTION("""COMPUTED_VALUE"""),2.0)</f>
        <v>2</v>
      </c>
      <c r="B116" s="53" t="str">
        <f>IFERROR(__xludf.DUMMYFUNCTION("""COMPUTED_VALUE"""),"TEMAS SELECTOS DE MATEMÁTICAS I")</f>
        <v>TEMAS SELECTOS DE MATEMÁTICAS I</v>
      </c>
      <c r="C116" s="54">
        <f>IFERROR(__xludf.DUMMYFUNCTION("""COMPUTED_VALUE"""),99.04255319148936)</f>
        <v>99.04255319</v>
      </c>
      <c r="D116" s="54" t="str">
        <f>IFERROR(__xludf.DUMMYFUNCTION("""COMPUTED_VALUE"""),"#DIV/0!")</f>
        <v>#DIV/0!</v>
      </c>
      <c r="E116" s="54">
        <f>IFERROR(__xludf.DUMMYFUNCTION("""COMPUTED_VALUE"""),0.0)</f>
        <v>0</v>
      </c>
      <c r="F116" s="55">
        <f>IFERROR(__xludf.DUMMYFUNCTION("""COMPUTED_VALUE"""),0.0)</f>
        <v>0</v>
      </c>
      <c r="G116" s="54">
        <f>IFERROR(__xludf.DUMMYFUNCTION("""COMPUTED_VALUE"""),0.0)</f>
        <v>0</v>
      </c>
      <c r="H116" s="53">
        <f>IFERROR(__xludf.DUMMYFUNCTION("""COMPUTED_VALUE"""),2.0)</f>
        <v>2</v>
      </c>
      <c r="I116" s="56">
        <f>IFERROR(__xludf.DUMMYFUNCTION("""COMPUTED_VALUE"""),46024.0)</f>
        <v>46024</v>
      </c>
    </row>
    <row r="117">
      <c r="A117" s="52">
        <f>IFERROR(__xludf.DUMMYFUNCTION("""COMPUTED_VALUE"""),2.0)</f>
        <v>2</v>
      </c>
      <c r="B117" s="53" t="str">
        <f>IFERROR(__xludf.DUMMYFUNCTION("""COMPUTED_VALUE"""),"CONCIENCIA HISTORICA I")</f>
        <v>CONCIENCIA HISTORICA I</v>
      </c>
      <c r="C117" s="54">
        <f>IFERROR(__xludf.DUMMYFUNCTION("""COMPUTED_VALUE"""),96.80851063829788)</f>
        <v>96.80851064</v>
      </c>
      <c r="D117" s="54" t="str">
        <f>IFERROR(__xludf.DUMMYFUNCTION("""COMPUTED_VALUE"""),"#DIV/0!")</f>
        <v>#DIV/0!</v>
      </c>
      <c r="E117" s="54">
        <f>IFERROR(__xludf.DUMMYFUNCTION("""COMPUTED_VALUE"""),0.0)</f>
        <v>0</v>
      </c>
      <c r="F117" s="55">
        <f>IFERROR(__xludf.DUMMYFUNCTION("""COMPUTED_VALUE"""),0.0)</f>
        <v>0</v>
      </c>
      <c r="G117" s="54">
        <f>IFERROR(__xludf.DUMMYFUNCTION("""COMPUTED_VALUE"""),0.0)</f>
        <v>0</v>
      </c>
      <c r="H117" s="53">
        <f>IFERROR(__xludf.DUMMYFUNCTION("""COMPUTED_VALUE"""),2.0)</f>
        <v>2</v>
      </c>
      <c r="I117" s="56">
        <f>IFERROR(__xludf.DUMMYFUNCTION("""COMPUTED_VALUE"""),46024.0)</f>
        <v>46024</v>
      </c>
    </row>
    <row r="118">
      <c r="A118" s="52">
        <f>IFERROR(__xludf.DUMMYFUNCTION("""COMPUTED_VALUE"""),2.0)</f>
        <v>2</v>
      </c>
      <c r="B118" s="53" t="str">
        <f>IFERROR(__xludf.DUMMYFUNCTION("""COMPUTED_VALUE"""),"TALLER DE CULTURA DIGITAL")</f>
        <v>TALLER DE CULTURA DIGITAL</v>
      </c>
      <c r="C118" s="54">
        <f>IFERROR(__xludf.DUMMYFUNCTION("""COMPUTED_VALUE"""),95.2127659574468)</f>
        <v>95.21276596</v>
      </c>
      <c r="D118" s="54" t="str">
        <f>IFERROR(__xludf.DUMMYFUNCTION("""COMPUTED_VALUE"""),"#DIV/0!")</f>
        <v>#DIV/0!</v>
      </c>
      <c r="E118" s="54">
        <f>IFERROR(__xludf.DUMMYFUNCTION("""COMPUTED_VALUE"""),0.0)</f>
        <v>0</v>
      </c>
      <c r="F118" s="55">
        <f>IFERROR(__xludf.DUMMYFUNCTION("""COMPUTED_VALUE"""),0.0)</f>
        <v>0</v>
      </c>
      <c r="G118" s="54">
        <f>IFERROR(__xludf.DUMMYFUNCTION("""COMPUTED_VALUE"""),0.0)</f>
        <v>0</v>
      </c>
      <c r="H118" s="53">
        <f>IFERROR(__xludf.DUMMYFUNCTION("""COMPUTED_VALUE"""),2.0)</f>
        <v>2</v>
      </c>
      <c r="I118" s="56">
        <f>IFERROR(__xludf.DUMMYFUNCTION("""COMPUTED_VALUE"""),46024.0)</f>
        <v>46024</v>
      </c>
    </row>
    <row r="119">
      <c r="A119" s="52">
        <f>IFERROR(__xludf.DUMMYFUNCTION("""COMPUTED_VALUE"""),2.0)</f>
        <v>2</v>
      </c>
      <c r="B119" s="53" t="str">
        <f>IFERROR(__xludf.DUMMYFUNCTION("""COMPUTED_VALUE"""),"REACCIONES QUÍMICAS")</f>
        <v>REACCIONES QUÍMICAS</v>
      </c>
      <c r="C119" s="54">
        <f>IFERROR(__xludf.DUMMYFUNCTION("""COMPUTED_VALUE"""),96.17021276595744)</f>
        <v>96.17021277</v>
      </c>
      <c r="D119" s="54" t="str">
        <f>IFERROR(__xludf.DUMMYFUNCTION("""COMPUTED_VALUE"""),"#DIV/0!")</f>
        <v>#DIV/0!</v>
      </c>
      <c r="E119" s="54">
        <f>IFERROR(__xludf.DUMMYFUNCTION("""COMPUTED_VALUE"""),0.0)</f>
        <v>0</v>
      </c>
      <c r="F119" s="55">
        <f>IFERROR(__xludf.DUMMYFUNCTION("""COMPUTED_VALUE"""),0.0)</f>
        <v>0</v>
      </c>
      <c r="G119" s="54">
        <f>IFERROR(__xludf.DUMMYFUNCTION("""COMPUTED_VALUE"""),0.0)</f>
        <v>0</v>
      </c>
      <c r="H119" s="53">
        <f>IFERROR(__xludf.DUMMYFUNCTION("""COMPUTED_VALUE"""),2.0)</f>
        <v>2</v>
      </c>
      <c r="I119" s="56">
        <f>IFERROR(__xludf.DUMMYFUNCTION("""COMPUTED_VALUE"""),46024.0)</f>
        <v>46024</v>
      </c>
    </row>
    <row r="120">
      <c r="A120" s="52">
        <f>IFERROR(__xludf.DUMMYFUNCTION("""COMPUTED_VALUE"""),2.0)</f>
        <v>2</v>
      </c>
      <c r="B120" s="53" t="str">
        <f>IFERROR(__xludf.DUMMYFUNCTION("""COMPUTED_VALUE"""),"ESPACIO Y SOCIEDAD")</f>
        <v>ESPACIO Y SOCIEDAD</v>
      </c>
      <c r="C120" s="54">
        <f>IFERROR(__xludf.DUMMYFUNCTION("""COMPUTED_VALUE"""),94.25531914893617)</f>
        <v>94.25531915</v>
      </c>
      <c r="D120" s="54" t="str">
        <f>IFERROR(__xludf.DUMMYFUNCTION("""COMPUTED_VALUE"""),"#DIV/0!")</f>
        <v>#DIV/0!</v>
      </c>
      <c r="E120" s="54">
        <f>IFERROR(__xludf.DUMMYFUNCTION("""COMPUTED_VALUE"""),0.0)</f>
        <v>0</v>
      </c>
      <c r="F120" s="55">
        <f>IFERROR(__xludf.DUMMYFUNCTION("""COMPUTED_VALUE"""),0.0)</f>
        <v>0</v>
      </c>
      <c r="G120" s="54">
        <f>IFERROR(__xludf.DUMMYFUNCTION("""COMPUTED_VALUE"""),0.0)</f>
        <v>0</v>
      </c>
      <c r="H120" s="53">
        <f>IFERROR(__xludf.DUMMYFUNCTION("""COMPUTED_VALUE"""),2.0)</f>
        <v>2</v>
      </c>
      <c r="I120" s="56">
        <f>IFERROR(__xludf.DUMMYFUNCTION("""COMPUTED_VALUE"""),46024.0)</f>
        <v>46024</v>
      </c>
    </row>
    <row r="121">
      <c r="A121" s="52">
        <f>IFERROR(__xludf.DUMMYFUNCTION("""COMPUTED_VALUE"""),2.0)</f>
        <v>2</v>
      </c>
      <c r="B121" s="53" t="str">
        <f>IFERROR(__xludf.DUMMYFUNCTION("""COMPUTED_VALUE"""),"CIENCIAS SOCIALES III")</f>
        <v>CIENCIAS SOCIALES III</v>
      </c>
      <c r="C121" s="54">
        <f>IFERROR(__xludf.DUMMYFUNCTION("""COMPUTED_VALUE"""),95.2127659574468)</f>
        <v>95.21276596</v>
      </c>
      <c r="D121" s="54" t="str">
        <f>IFERROR(__xludf.DUMMYFUNCTION("""COMPUTED_VALUE"""),"#DIV/0!")</f>
        <v>#DIV/0!</v>
      </c>
      <c r="E121" s="54">
        <f>IFERROR(__xludf.DUMMYFUNCTION("""COMPUTED_VALUE"""),0.0)</f>
        <v>0</v>
      </c>
      <c r="F121" s="55">
        <f>IFERROR(__xludf.DUMMYFUNCTION("""COMPUTED_VALUE"""),0.0)</f>
        <v>0</v>
      </c>
      <c r="G121" s="54">
        <f>IFERROR(__xludf.DUMMYFUNCTION("""COMPUTED_VALUE"""),0.0)</f>
        <v>0</v>
      </c>
      <c r="H121" s="53">
        <f>IFERROR(__xludf.DUMMYFUNCTION("""COMPUTED_VALUE"""),2.0)</f>
        <v>2</v>
      </c>
      <c r="I121" s="56">
        <f>IFERROR(__xludf.DUMMYFUNCTION("""COMPUTED_VALUE"""),46024.0)</f>
        <v>46024</v>
      </c>
    </row>
    <row r="122">
      <c r="A122" s="52">
        <f>IFERROR(__xludf.DUMMYFUNCTION("""COMPUTED_VALUE"""),2.0)</f>
        <v>2</v>
      </c>
      <c r="B122" s="53" t="str">
        <f>IFERROR(__xludf.DUMMYFUNCTION("""COMPUTED_VALUE"""),"COMUNIDADES VIRTUALES")</f>
        <v>COMUNIDADES VIRTUALES</v>
      </c>
      <c r="C122" s="54">
        <f>IFERROR(__xludf.DUMMYFUNCTION("""COMPUTED_VALUE"""),94.77756286266924)</f>
        <v>94.77756286</v>
      </c>
      <c r="D122" s="54" t="str">
        <f>IFERROR(__xludf.DUMMYFUNCTION("""COMPUTED_VALUE"""),"#DIV/0!")</f>
        <v>#DIV/0!</v>
      </c>
      <c r="E122" s="54">
        <f>IFERROR(__xludf.DUMMYFUNCTION("""COMPUTED_VALUE"""),0.0)</f>
        <v>0</v>
      </c>
      <c r="F122" s="55">
        <f>IFERROR(__xludf.DUMMYFUNCTION("""COMPUTED_VALUE"""),0.0)</f>
        <v>0</v>
      </c>
      <c r="G122" s="54">
        <f>IFERROR(__xludf.DUMMYFUNCTION("""COMPUTED_VALUE"""),0.0)</f>
        <v>0</v>
      </c>
      <c r="H122" s="53">
        <f>IFERROR(__xludf.DUMMYFUNCTION("""COMPUTED_VALUE"""),2.0)</f>
        <v>2</v>
      </c>
      <c r="I122" s="56">
        <f>IFERROR(__xludf.DUMMYFUNCTION("""COMPUTED_VALUE"""),46024.0)</f>
        <v>46024</v>
      </c>
    </row>
    <row r="123">
      <c r="A123" s="52">
        <f>IFERROR(__xludf.DUMMYFUNCTION("""COMPUTED_VALUE"""),2.0)</f>
        <v>2</v>
      </c>
      <c r="B123" s="53" t="str">
        <f>IFERROR(__xludf.DUMMYFUNCTION("""COMPUTED_VALUE"""),"MANTENIMIENTO DE REDES DE CÓMPUTO")</f>
        <v>MANTENIMIENTO DE REDES DE CÓMPUTO</v>
      </c>
      <c r="C123" s="54">
        <f>IFERROR(__xludf.DUMMYFUNCTION("""COMPUTED_VALUE"""),92.81914893617021)</f>
        <v>92.81914894</v>
      </c>
      <c r="D123" s="54" t="str">
        <f>IFERROR(__xludf.DUMMYFUNCTION("""COMPUTED_VALUE"""),"#DIV/0!")</f>
        <v>#DIV/0!</v>
      </c>
      <c r="E123" s="54">
        <f>IFERROR(__xludf.DUMMYFUNCTION("""COMPUTED_VALUE"""),0.0)</f>
        <v>0</v>
      </c>
      <c r="F123" s="55">
        <f>IFERROR(__xludf.DUMMYFUNCTION("""COMPUTED_VALUE"""),0.0)</f>
        <v>0</v>
      </c>
      <c r="G123" s="54">
        <f>IFERROR(__xludf.DUMMYFUNCTION("""COMPUTED_VALUE"""),0.0)</f>
        <v>0</v>
      </c>
      <c r="H123" s="53">
        <f>IFERROR(__xludf.DUMMYFUNCTION("""COMPUTED_VALUE"""),2.0)</f>
        <v>2</v>
      </c>
      <c r="I123" s="56">
        <f>IFERROR(__xludf.DUMMYFUNCTION("""COMPUTED_VALUE"""),46024.0)</f>
        <v>46024</v>
      </c>
    </row>
    <row r="124">
      <c r="A124" s="52">
        <f>IFERROR(__xludf.DUMMYFUNCTION("""COMPUTED_VALUE"""),2.0)</f>
        <v>2</v>
      </c>
      <c r="B124" s="53" t="str">
        <f>IFERROR(__xludf.DUMMYFUNCTION("""COMPUTED_VALUE"""),"ACTIVIDADES ARTÍSTICAS Y CULTURALES I ")</f>
        <v>ACTIVIDADES ARTÍSTICAS Y CULTURALES I </v>
      </c>
      <c r="C124" s="54">
        <f>IFERROR(__xludf.DUMMYFUNCTION("""COMPUTED_VALUE"""),92.81914893617021)</f>
        <v>92.81914894</v>
      </c>
      <c r="D124" s="54" t="str">
        <f>IFERROR(__xludf.DUMMYFUNCTION("""COMPUTED_VALUE"""),"#DIV/0!")</f>
        <v>#DIV/0!</v>
      </c>
      <c r="E124" s="54">
        <f>IFERROR(__xludf.DUMMYFUNCTION("""COMPUTED_VALUE"""),0.0)</f>
        <v>0</v>
      </c>
      <c r="F124" s="55">
        <f>IFERROR(__xludf.DUMMYFUNCTION("""COMPUTED_VALUE"""),0.0)</f>
        <v>0</v>
      </c>
      <c r="G124" s="54">
        <f>IFERROR(__xludf.DUMMYFUNCTION("""COMPUTED_VALUE"""),0.0)</f>
        <v>0</v>
      </c>
      <c r="H124" s="53">
        <f>IFERROR(__xludf.DUMMYFUNCTION("""COMPUTED_VALUE"""),2.0)</f>
        <v>2</v>
      </c>
      <c r="I124" s="56">
        <f>IFERROR(__xludf.DUMMYFUNCTION("""COMPUTED_VALUE"""),46024.0)</f>
        <v>46024</v>
      </c>
    </row>
    <row r="125">
      <c r="A125" s="52">
        <f>IFERROR(__xludf.DUMMYFUNCTION("""COMPUTED_VALUE"""),2.0)</f>
        <v>2</v>
      </c>
      <c r="B125" s="53" t="str">
        <f>IFERROR(__xludf.DUMMYFUNCTION("""COMPUTED_VALUE"""),"EDUCACIÓN INTEGRAL EN SEXUALIDAD Y GÉNERO II")</f>
        <v>EDUCACIÓN INTEGRAL EN SEXUALIDAD Y GÉNERO II</v>
      </c>
      <c r="C125" s="54">
        <f>IFERROR(__xludf.DUMMYFUNCTION("""COMPUTED_VALUE"""),92.81914893617021)</f>
        <v>92.81914894</v>
      </c>
      <c r="D125" s="54" t="str">
        <f>IFERROR(__xludf.DUMMYFUNCTION("""COMPUTED_VALUE"""),"#DIV/0!")</f>
        <v>#DIV/0!</v>
      </c>
      <c r="E125" s="54">
        <f>IFERROR(__xludf.DUMMYFUNCTION("""COMPUTED_VALUE"""),0.0)</f>
        <v>0</v>
      </c>
      <c r="F125" s="55">
        <f>IFERROR(__xludf.DUMMYFUNCTION("""COMPUTED_VALUE"""),0.0)</f>
        <v>0</v>
      </c>
      <c r="G125" s="54">
        <f>IFERROR(__xludf.DUMMYFUNCTION("""COMPUTED_VALUE"""),0.0)</f>
        <v>0</v>
      </c>
      <c r="H125" s="53">
        <f>IFERROR(__xludf.DUMMYFUNCTION("""COMPUTED_VALUE"""),2.0)</f>
        <v>2</v>
      </c>
      <c r="I125" s="56">
        <f>IFERROR(__xludf.DUMMYFUNCTION("""COMPUTED_VALUE"""),46024.0)</f>
        <v>46024</v>
      </c>
    </row>
    <row r="126">
      <c r="A126" s="57">
        <f>IFERROR(__xludf.DUMMYFUNCTION("""COMPUTED_VALUE"""),2.0)</f>
        <v>2</v>
      </c>
      <c r="B126" s="58" t="str">
        <f>IFERROR(__xludf.DUMMYFUNCTION("""COMPUTED_VALUE"""),"TEMAS SELECTOS DE IGUALDAD Y DERECHOS HUMANOS IV")</f>
        <v>TEMAS SELECTOS DE IGUALDAD Y DERECHOS HUMANOS IV</v>
      </c>
      <c r="C126" s="59">
        <f>IFERROR(__xludf.DUMMYFUNCTION("""COMPUTED_VALUE"""),92.81914893617021)</f>
        <v>92.81914894</v>
      </c>
      <c r="D126" s="59" t="str">
        <f>IFERROR(__xludf.DUMMYFUNCTION("""COMPUTED_VALUE"""),"#DIV/0!")</f>
        <v>#DIV/0!</v>
      </c>
      <c r="E126" s="59">
        <f>IFERROR(__xludf.DUMMYFUNCTION("""COMPUTED_VALUE"""),0.0)</f>
        <v>0</v>
      </c>
      <c r="F126" s="60">
        <f>IFERROR(__xludf.DUMMYFUNCTION("""COMPUTED_VALUE"""),0.0)</f>
        <v>0</v>
      </c>
      <c r="G126" s="59">
        <f>IFERROR(__xludf.DUMMYFUNCTION("""COMPUTED_VALUE"""),0.0)</f>
        <v>0</v>
      </c>
      <c r="H126" s="58">
        <f>IFERROR(__xludf.DUMMYFUNCTION("""COMPUTED_VALUE"""),2.0)</f>
        <v>2</v>
      </c>
      <c r="I126" s="61">
        <f>IFERROR(__xludf.DUMMYFUNCTION("""COMPUTED_VALUE"""),46024.0)</f>
        <v>46024</v>
      </c>
    </row>
    <row r="127">
      <c r="A127" s="47">
        <f>IFERROR(__xludf.DUMMYFUNCTION("""COMPUTED_VALUE"""),3.0)</f>
        <v>3</v>
      </c>
      <c r="B127" s="48" t="str">
        <f>IFERROR(__xludf.DUMMYFUNCTION("""COMPUTED_VALUE"""),"PENSAMIENTO LITERARIO")</f>
        <v>PENSAMIENTO LITERARIO</v>
      </c>
      <c r="C127" s="49">
        <f>IFERROR(__xludf.DUMMYFUNCTION("""COMPUTED_VALUE"""),99.04255319148936)</f>
        <v>99.04255319</v>
      </c>
      <c r="D127" s="49" t="str">
        <f>IFERROR(__xludf.DUMMYFUNCTION("""COMPUTED_VALUE"""),"#DIV/0!")</f>
        <v>#DIV/0!</v>
      </c>
      <c r="E127" s="49">
        <f>IFERROR(__xludf.DUMMYFUNCTION("""COMPUTED_VALUE"""),0.0)</f>
        <v>0</v>
      </c>
      <c r="F127" s="50">
        <f>IFERROR(__xludf.DUMMYFUNCTION("""COMPUTED_VALUE"""),0.0)</f>
        <v>0</v>
      </c>
      <c r="G127" s="49">
        <f>IFERROR(__xludf.DUMMYFUNCTION("""COMPUTED_VALUE"""),0.0)</f>
        <v>0</v>
      </c>
      <c r="H127" s="48">
        <f>IFERROR(__xludf.DUMMYFUNCTION("""COMPUTED_VALUE"""),2.0)</f>
        <v>2</v>
      </c>
      <c r="I127" s="51">
        <f>IFERROR(__xludf.DUMMYFUNCTION("""COMPUTED_VALUE"""),46024.0)</f>
        <v>46024</v>
      </c>
    </row>
    <row r="128">
      <c r="A128" s="52">
        <f>IFERROR(__xludf.DUMMYFUNCTION("""COMPUTED_VALUE"""),3.0)</f>
        <v>3</v>
      </c>
      <c r="B128" s="53" t="str">
        <f>IFERROR(__xludf.DUMMYFUNCTION("""COMPUTED_VALUE"""),"INGLÉS IV")</f>
        <v>INGLÉS IV</v>
      </c>
      <c r="C128" s="54">
        <f>IFERROR(__xludf.DUMMYFUNCTION("""COMPUTED_VALUE"""),99.04255319148936)</f>
        <v>99.04255319</v>
      </c>
      <c r="D128" s="54" t="str">
        <f>IFERROR(__xludf.DUMMYFUNCTION("""COMPUTED_VALUE"""),"#DIV/0!")</f>
        <v>#DIV/0!</v>
      </c>
      <c r="E128" s="54">
        <f>IFERROR(__xludf.DUMMYFUNCTION("""COMPUTED_VALUE"""),0.0)</f>
        <v>0</v>
      </c>
      <c r="F128" s="55">
        <f>IFERROR(__xludf.DUMMYFUNCTION("""COMPUTED_VALUE"""),0.0)</f>
        <v>0</v>
      </c>
      <c r="G128" s="54">
        <f>IFERROR(__xludf.DUMMYFUNCTION("""COMPUTED_VALUE"""),0.0)</f>
        <v>0</v>
      </c>
      <c r="H128" s="53">
        <f>IFERROR(__xludf.DUMMYFUNCTION("""COMPUTED_VALUE"""),2.0)</f>
        <v>2</v>
      </c>
      <c r="I128" s="56">
        <f>IFERROR(__xludf.DUMMYFUNCTION("""COMPUTED_VALUE"""),46024.0)</f>
        <v>46024</v>
      </c>
    </row>
    <row r="129">
      <c r="A129" s="52">
        <f>IFERROR(__xludf.DUMMYFUNCTION("""COMPUTED_VALUE"""),3.0)</f>
        <v>3</v>
      </c>
      <c r="B129" s="53" t="str">
        <f>IFERROR(__xludf.DUMMYFUNCTION("""COMPUTED_VALUE"""),"TEMAS SELECTOS DE MATEMÁTICAS I")</f>
        <v>TEMAS SELECTOS DE MATEMÁTICAS I</v>
      </c>
      <c r="C129" s="54">
        <f>IFERROR(__xludf.DUMMYFUNCTION("""COMPUTED_VALUE"""),99.04255319148936)</f>
        <v>99.04255319</v>
      </c>
      <c r="D129" s="54" t="str">
        <f>IFERROR(__xludf.DUMMYFUNCTION("""COMPUTED_VALUE"""),"#DIV/0!")</f>
        <v>#DIV/0!</v>
      </c>
      <c r="E129" s="54">
        <f>IFERROR(__xludf.DUMMYFUNCTION("""COMPUTED_VALUE"""),0.0)</f>
        <v>0</v>
      </c>
      <c r="F129" s="55">
        <f>IFERROR(__xludf.DUMMYFUNCTION("""COMPUTED_VALUE"""),0.0)</f>
        <v>0</v>
      </c>
      <c r="G129" s="54">
        <f>IFERROR(__xludf.DUMMYFUNCTION("""COMPUTED_VALUE"""),0.0)</f>
        <v>0</v>
      </c>
      <c r="H129" s="53">
        <f>IFERROR(__xludf.DUMMYFUNCTION("""COMPUTED_VALUE"""),2.0)</f>
        <v>2</v>
      </c>
      <c r="I129" s="56">
        <f>IFERROR(__xludf.DUMMYFUNCTION("""COMPUTED_VALUE"""),46024.0)</f>
        <v>46024</v>
      </c>
    </row>
    <row r="130">
      <c r="A130" s="52">
        <f>IFERROR(__xludf.DUMMYFUNCTION("""COMPUTED_VALUE"""),3.0)</f>
        <v>3</v>
      </c>
      <c r="B130" s="53" t="str">
        <f>IFERROR(__xludf.DUMMYFUNCTION("""COMPUTED_VALUE"""),"CONCIENCIA HISTORICA I")</f>
        <v>CONCIENCIA HISTORICA I</v>
      </c>
      <c r="C130" s="54">
        <f>IFERROR(__xludf.DUMMYFUNCTION("""COMPUTED_VALUE"""),96.80851063829788)</f>
        <v>96.80851064</v>
      </c>
      <c r="D130" s="54" t="str">
        <f>IFERROR(__xludf.DUMMYFUNCTION("""COMPUTED_VALUE"""),"#DIV/0!")</f>
        <v>#DIV/0!</v>
      </c>
      <c r="E130" s="54">
        <f>IFERROR(__xludf.DUMMYFUNCTION("""COMPUTED_VALUE"""),0.0)</f>
        <v>0</v>
      </c>
      <c r="F130" s="55">
        <f>IFERROR(__xludf.DUMMYFUNCTION("""COMPUTED_VALUE"""),0.0)</f>
        <v>0</v>
      </c>
      <c r="G130" s="54">
        <f>IFERROR(__xludf.DUMMYFUNCTION("""COMPUTED_VALUE"""),0.0)</f>
        <v>0</v>
      </c>
      <c r="H130" s="53">
        <f>IFERROR(__xludf.DUMMYFUNCTION("""COMPUTED_VALUE"""),2.0)</f>
        <v>2</v>
      </c>
      <c r="I130" s="56">
        <f>IFERROR(__xludf.DUMMYFUNCTION("""COMPUTED_VALUE"""),46024.0)</f>
        <v>46024</v>
      </c>
    </row>
    <row r="131">
      <c r="A131" s="52">
        <f>IFERROR(__xludf.DUMMYFUNCTION("""COMPUTED_VALUE"""),3.0)</f>
        <v>3</v>
      </c>
      <c r="B131" s="53" t="str">
        <f>IFERROR(__xludf.DUMMYFUNCTION("""COMPUTED_VALUE"""),"TALLER DE CULTURA DIGITAL")</f>
        <v>TALLER DE CULTURA DIGITAL</v>
      </c>
      <c r="C131" s="54">
        <f>IFERROR(__xludf.DUMMYFUNCTION("""COMPUTED_VALUE"""),95.2127659574468)</f>
        <v>95.21276596</v>
      </c>
      <c r="D131" s="54" t="str">
        <f>IFERROR(__xludf.DUMMYFUNCTION("""COMPUTED_VALUE"""),"#DIV/0!")</f>
        <v>#DIV/0!</v>
      </c>
      <c r="E131" s="54">
        <f>IFERROR(__xludf.DUMMYFUNCTION("""COMPUTED_VALUE"""),0.0)</f>
        <v>0</v>
      </c>
      <c r="F131" s="55">
        <f>IFERROR(__xludf.DUMMYFUNCTION("""COMPUTED_VALUE"""),0.0)</f>
        <v>0</v>
      </c>
      <c r="G131" s="54">
        <f>IFERROR(__xludf.DUMMYFUNCTION("""COMPUTED_VALUE"""),0.0)</f>
        <v>0</v>
      </c>
      <c r="H131" s="53">
        <f>IFERROR(__xludf.DUMMYFUNCTION("""COMPUTED_VALUE"""),2.0)</f>
        <v>2</v>
      </c>
      <c r="I131" s="56">
        <f>IFERROR(__xludf.DUMMYFUNCTION("""COMPUTED_VALUE"""),46024.0)</f>
        <v>46024</v>
      </c>
    </row>
    <row r="132">
      <c r="A132" s="52">
        <f>IFERROR(__xludf.DUMMYFUNCTION("""COMPUTED_VALUE"""),3.0)</f>
        <v>3</v>
      </c>
      <c r="B132" s="53" t="str">
        <f>IFERROR(__xludf.DUMMYFUNCTION("""COMPUTED_VALUE"""),"REACCIONES QUÍMICAS")</f>
        <v>REACCIONES QUÍMICAS</v>
      </c>
      <c r="C132" s="54">
        <f>IFERROR(__xludf.DUMMYFUNCTION("""COMPUTED_VALUE"""),96.17021276595744)</f>
        <v>96.17021277</v>
      </c>
      <c r="D132" s="54" t="str">
        <f>IFERROR(__xludf.DUMMYFUNCTION("""COMPUTED_VALUE"""),"#DIV/0!")</f>
        <v>#DIV/0!</v>
      </c>
      <c r="E132" s="54">
        <f>IFERROR(__xludf.DUMMYFUNCTION("""COMPUTED_VALUE"""),0.0)</f>
        <v>0</v>
      </c>
      <c r="F132" s="55">
        <f>IFERROR(__xludf.DUMMYFUNCTION("""COMPUTED_VALUE"""),0.0)</f>
        <v>0</v>
      </c>
      <c r="G132" s="54">
        <f>IFERROR(__xludf.DUMMYFUNCTION("""COMPUTED_VALUE"""),0.0)</f>
        <v>0</v>
      </c>
      <c r="H132" s="53">
        <f>IFERROR(__xludf.DUMMYFUNCTION("""COMPUTED_VALUE"""),2.0)</f>
        <v>2</v>
      </c>
      <c r="I132" s="56">
        <f>IFERROR(__xludf.DUMMYFUNCTION("""COMPUTED_VALUE"""),46024.0)</f>
        <v>46024</v>
      </c>
    </row>
    <row r="133">
      <c r="A133" s="52">
        <f>IFERROR(__xludf.DUMMYFUNCTION("""COMPUTED_VALUE"""),3.0)</f>
        <v>3</v>
      </c>
      <c r="B133" s="53" t="str">
        <f>IFERROR(__xludf.DUMMYFUNCTION("""COMPUTED_VALUE"""),"ESPACIO Y SOCIEDAD")</f>
        <v>ESPACIO Y SOCIEDAD</v>
      </c>
      <c r="C133" s="54">
        <f>IFERROR(__xludf.DUMMYFUNCTION("""COMPUTED_VALUE"""),94.25531914893617)</f>
        <v>94.25531915</v>
      </c>
      <c r="D133" s="54" t="str">
        <f>IFERROR(__xludf.DUMMYFUNCTION("""COMPUTED_VALUE"""),"#DIV/0!")</f>
        <v>#DIV/0!</v>
      </c>
      <c r="E133" s="54">
        <f>IFERROR(__xludf.DUMMYFUNCTION("""COMPUTED_VALUE"""),0.0)</f>
        <v>0</v>
      </c>
      <c r="F133" s="55">
        <f>IFERROR(__xludf.DUMMYFUNCTION("""COMPUTED_VALUE"""),0.0)</f>
        <v>0</v>
      </c>
      <c r="G133" s="54">
        <f>IFERROR(__xludf.DUMMYFUNCTION("""COMPUTED_VALUE"""),0.0)</f>
        <v>0</v>
      </c>
      <c r="H133" s="53">
        <f>IFERROR(__xludf.DUMMYFUNCTION("""COMPUTED_VALUE"""),2.0)</f>
        <v>2</v>
      </c>
      <c r="I133" s="56">
        <f>IFERROR(__xludf.DUMMYFUNCTION("""COMPUTED_VALUE"""),46024.0)</f>
        <v>46024</v>
      </c>
    </row>
    <row r="134">
      <c r="A134" s="52">
        <f>IFERROR(__xludf.DUMMYFUNCTION("""COMPUTED_VALUE"""),3.0)</f>
        <v>3</v>
      </c>
      <c r="B134" s="53" t="str">
        <f>IFERROR(__xludf.DUMMYFUNCTION("""COMPUTED_VALUE"""),"CIENCIAS SOCIALES III")</f>
        <v>CIENCIAS SOCIALES III</v>
      </c>
      <c r="C134" s="54">
        <f>IFERROR(__xludf.DUMMYFUNCTION("""COMPUTED_VALUE"""),95.2127659574468)</f>
        <v>95.21276596</v>
      </c>
      <c r="D134" s="54" t="str">
        <f>IFERROR(__xludf.DUMMYFUNCTION("""COMPUTED_VALUE"""),"#DIV/0!")</f>
        <v>#DIV/0!</v>
      </c>
      <c r="E134" s="54">
        <f>IFERROR(__xludf.DUMMYFUNCTION("""COMPUTED_VALUE"""),0.0)</f>
        <v>0</v>
      </c>
      <c r="F134" s="55">
        <f>IFERROR(__xludf.DUMMYFUNCTION("""COMPUTED_VALUE"""),0.0)</f>
        <v>0</v>
      </c>
      <c r="G134" s="54">
        <f>IFERROR(__xludf.DUMMYFUNCTION("""COMPUTED_VALUE"""),0.0)</f>
        <v>0</v>
      </c>
      <c r="H134" s="53">
        <f>IFERROR(__xludf.DUMMYFUNCTION("""COMPUTED_VALUE"""),2.0)</f>
        <v>2</v>
      </c>
      <c r="I134" s="56">
        <f>IFERROR(__xludf.DUMMYFUNCTION("""COMPUTED_VALUE"""),46024.0)</f>
        <v>46024</v>
      </c>
    </row>
    <row r="135">
      <c r="A135" s="52">
        <f>IFERROR(__xludf.DUMMYFUNCTION("""COMPUTED_VALUE"""),3.0)</f>
        <v>3</v>
      </c>
      <c r="B135" s="53" t="str">
        <f>IFERROR(__xludf.DUMMYFUNCTION("""COMPUTED_VALUE"""),"COMUNIDADES VIRTUALES")</f>
        <v>COMUNIDADES VIRTUALES</v>
      </c>
      <c r="C135" s="54">
        <f>IFERROR(__xludf.DUMMYFUNCTION("""COMPUTED_VALUE"""),94.77756286266924)</f>
        <v>94.77756286</v>
      </c>
      <c r="D135" s="54" t="str">
        <f>IFERROR(__xludf.DUMMYFUNCTION("""COMPUTED_VALUE"""),"#DIV/0!")</f>
        <v>#DIV/0!</v>
      </c>
      <c r="E135" s="54">
        <f>IFERROR(__xludf.DUMMYFUNCTION("""COMPUTED_VALUE"""),0.0)</f>
        <v>0</v>
      </c>
      <c r="F135" s="55">
        <f>IFERROR(__xludf.DUMMYFUNCTION("""COMPUTED_VALUE"""),0.0)</f>
        <v>0</v>
      </c>
      <c r="G135" s="54">
        <f>IFERROR(__xludf.DUMMYFUNCTION("""COMPUTED_VALUE"""),0.0)</f>
        <v>0</v>
      </c>
      <c r="H135" s="53">
        <f>IFERROR(__xludf.DUMMYFUNCTION("""COMPUTED_VALUE"""),2.0)</f>
        <v>2</v>
      </c>
      <c r="I135" s="56">
        <f>IFERROR(__xludf.DUMMYFUNCTION("""COMPUTED_VALUE"""),46024.0)</f>
        <v>46024</v>
      </c>
    </row>
    <row r="136">
      <c r="A136" s="52">
        <f>IFERROR(__xludf.DUMMYFUNCTION("""COMPUTED_VALUE"""),3.0)</f>
        <v>3</v>
      </c>
      <c r="B136" s="53" t="str">
        <f>IFERROR(__xludf.DUMMYFUNCTION("""COMPUTED_VALUE"""),"MANTENIMIENTO DE REDES DE CÓMPUTO")</f>
        <v>MANTENIMIENTO DE REDES DE CÓMPUTO</v>
      </c>
      <c r="C136" s="54">
        <f>IFERROR(__xludf.DUMMYFUNCTION("""COMPUTED_VALUE"""),92.81914893617021)</f>
        <v>92.81914894</v>
      </c>
      <c r="D136" s="54" t="str">
        <f>IFERROR(__xludf.DUMMYFUNCTION("""COMPUTED_VALUE"""),"#DIV/0!")</f>
        <v>#DIV/0!</v>
      </c>
      <c r="E136" s="54">
        <f>IFERROR(__xludf.DUMMYFUNCTION("""COMPUTED_VALUE"""),0.0)</f>
        <v>0</v>
      </c>
      <c r="F136" s="55">
        <f>IFERROR(__xludf.DUMMYFUNCTION("""COMPUTED_VALUE"""),0.0)</f>
        <v>0</v>
      </c>
      <c r="G136" s="54">
        <f>IFERROR(__xludf.DUMMYFUNCTION("""COMPUTED_VALUE"""),0.0)</f>
        <v>0</v>
      </c>
      <c r="H136" s="53">
        <f>IFERROR(__xludf.DUMMYFUNCTION("""COMPUTED_VALUE"""),2.0)</f>
        <v>2</v>
      </c>
      <c r="I136" s="56">
        <f>IFERROR(__xludf.DUMMYFUNCTION("""COMPUTED_VALUE"""),46024.0)</f>
        <v>46024</v>
      </c>
    </row>
    <row r="137">
      <c r="A137" s="52">
        <f>IFERROR(__xludf.DUMMYFUNCTION("""COMPUTED_VALUE"""),3.0)</f>
        <v>3</v>
      </c>
      <c r="B137" s="53" t="str">
        <f>IFERROR(__xludf.DUMMYFUNCTION("""COMPUTED_VALUE"""),"ACTIVIDADES ARTÍSTICAS Y CULTURALES I ")</f>
        <v>ACTIVIDADES ARTÍSTICAS Y CULTURALES I </v>
      </c>
      <c r="C137" s="54">
        <f>IFERROR(__xludf.DUMMYFUNCTION("""COMPUTED_VALUE"""),92.81914893617021)</f>
        <v>92.81914894</v>
      </c>
      <c r="D137" s="54" t="str">
        <f>IFERROR(__xludf.DUMMYFUNCTION("""COMPUTED_VALUE"""),"#DIV/0!")</f>
        <v>#DIV/0!</v>
      </c>
      <c r="E137" s="54">
        <f>IFERROR(__xludf.DUMMYFUNCTION("""COMPUTED_VALUE"""),0.0)</f>
        <v>0</v>
      </c>
      <c r="F137" s="55">
        <f>IFERROR(__xludf.DUMMYFUNCTION("""COMPUTED_VALUE"""),0.0)</f>
        <v>0</v>
      </c>
      <c r="G137" s="54">
        <f>IFERROR(__xludf.DUMMYFUNCTION("""COMPUTED_VALUE"""),0.0)</f>
        <v>0</v>
      </c>
      <c r="H137" s="53">
        <f>IFERROR(__xludf.DUMMYFUNCTION("""COMPUTED_VALUE"""),2.0)</f>
        <v>2</v>
      </c>
      <c r="I137" s="56">
        <f>IFERROR(__xludf.DUMMYFUNCTION("""COMPUTED_VALUE"""),46024.0)</f>
        <v>46024</v>
      </c>
    </row>
    <row r="138">
      <c r="A138" s="52">
        <f>IFERROR(__xludf.DUMMYFUNCTION("""COMPUTED_VALUE"""),3.0)</f>
        <v>3</v>
      </c>
      <c r="B138" s="53" t="str">
        <f>IFERROR(__xludf.DUMMYFUNCTION("""COMPUTED_VALUE"""),"EDUCACIÓN INTEGRAL EN SEXUALIDAD Y GÉNERO II")</f>
        <v>EDUCACIÓN INTEGRAL EN SEXUALIDAD Y GÉNERO II</v>
      </c>
      <c r="C138" s="54">
        <f>IFERROR(__xludf.DUMMYFUNCTION("""COMPUTED_VALUE"""),92.81914893617021)</f>
        <v>92.81914894</v>
      </c>
      <c r="D138" s="54" t="str">
        <f>IFERROR(__xludf.DUMMYFUNCTION("""COMPUTED_VALUE"""),"#DIV/0!")</f>
        <v>#DIV/0!</v>
      </c>
      <c r="E138" s="54">
        <f>IFERROR(__xludf.DUMMYFUNCTION("""COMPUTED_VALUE"""),0.0)</f>
        <v>0</v>
      </c>
      <c r="F138" s="55">
        <f>IFERROR(__xludf.DUMMYFUNCTION("""COMPUTED_VALUE"""),0.0)</f>
        <v>0</v>
      </c>
      <c r="G138" s="54">
        <f>IFERROR(__xludf.DUMMYFUNCTION("""COMPUTED_VALUE"""),0.0)</f>
        <v>0</v>
      </c>
      <c r="H138" s="53">
        <f>IFERROR(__xludf.DUMMYFUNCTION("""COMPUTED_VALUE"""),2.0)</f>
        <v>2</v>
      </c>
      <c r="I138" s="56">
        <f>IFERROR(__xludf.DUMMYFUNCTION("""COMPUTED_VALUE"""),46024.0)</f>
        <v>46024</v>
      </c>
    </row>
    <row r="139">
      <c r="A139" s="57">
        <f>IFERROR(__xludf.DUMMYFUNCTION("""COMPUTED_VALUE"""),3.0)</f>
        <v>3</v>
      </c>
      <c r="B139" s="58" t="str">
        <f>IFERROR(__xludf.DUMMYFUNCTION("""COMPUTED_VALUE"""),"TEMAS SELECTOS DE IGUALDAD Y DERECHOS HUMANOS IV")</f>
        <v>TEMAS SELECTOS DE IGUALDAD Y DERECHOS HUMANOS IV</v>
      </c>
      <c r="C139" s="59">
        <f>IFERROR(__xludf.DUMMYFUNCTION("""COMPUTED_VALUE"""),92.81914893617021)</f>
        <v>92.81914894</v>
      </c>
      <c r="D139" s="59" t="str">
        <f>IFERROR(__xludf.DUMMYFUNCTION("""COMPUTED_VALUE"""),"#DIV/0!")</f>
        <v>#DIV/0!</v>
      </c>
      <c r="E139" s="59">
        <f>IFERROR(__xludf.DUMMYFUNCTION("""COMPUTED_VALUE"""),0.0)</f>
        <v>0</v>
      </c>
      <c r="F139" s="60">
        <f>IFERROR(__xludf.DUMMYFUNCTION("""COMPUTED_VALUE"""),0.0)</f>
        <v>0</v>
      </c>
      <c r="G139" s="59">
        <f>IFERROR(__xludf.DUMMYFUNCTION("""COMPUTED_VALUE"""),0.0)</f>
        <v>0</v>
      </c>
      <c r="H139" s="58">
        <f>IFERROR(__xludf.DUMMYFUNCTION("""COMPUTED_VALUE"""),2.0)</f>
        <v>2</v>
      </c>
      <c r="I139" s="61">
        <f>IFERROR(__xludf.DUMMYFUNCTION("""COMPUTED_VALUE"""),46024.0)</f>
        <v>46024</v>
      </c>
    </row>
    <row r="140">
      <c r="A140" s="62">
        <f>IFERROR(__xludf.DUMMYFUNCTION("IMPORTRANGE(""https://docs.google.com/spreadsheets/d/16kj0IEXEVptbMHpVMZbDkScHwyLE6lGDpEnxlz4AI9k/edit?usp=sharing"",""INDICADORES!N2:V40"")"),1.0)</f>
        <v>1</v>
      </c>
      <c r="B140" s="63" t="str">
        <f>IFERROR(__xludf.DUMMYFUNCTION("""COMPUTED_VALUE"""),"PENSAMIENTO LITERARIO")</f>
        <v>PENSAMIENTO LITERARIO</v>
      </c>
      <c r="C140" s="64">
        <f>IFERROR(__xludf.DUMMYFUNCTION("""COMPUTED_VALUE"""),99.1)</f>
        <v>99.1</v>
      </c>
      <c r="D140" s="64">
        <f>IFERROR(__xludf.DUMMYFUNCTION("""COMPUTED_VALUE"""),7.68)</f>
        <v>7.68</v>
      </c>
      <c r="E140" s="64">
        <f>IFERROR(__xludf.DUMMYFUNCTION("""COMPUTED_VALUE"""),12.0)</f>
        <v>12</v>
      </c>
      <c r="F140" s="65">
        <f>IFERROR(__xludf.DUMMYFUNCTION("""COMPUTED_VALUE"""),6.0)</f>
        <v>6</v>
      </c>
      <c r="G140" s="64">
        <f>IFERROR(__xludf.DUMMYFUNCTION("""COMPUTED_VALUE"""),88.0)</f>
        <v>88</v>
      </c>
      <c r="H140" s="63">
        <f>IFERROR(__xludf.DUMMYFUNCTION("""COMPUTED_VALUE"""),2.0)</f>
        <v>2</v>
      </c>
      <c r="I140" s="66">
        <f>IFERROR(__xludf.DUMMYFUNCTION("""COMPUTED_VALUE"""),46055.0)</f>
        <v>46055</v>
      </c>
    </row>
    <row r="141">
      <c r="A141" s="67">
        <f>IFERROR(__xludf.DUMMYFUNCTION("""COMPUTED_VALUE"""),1.0)</f>
        <v>1</v>
      </c>
      <c r="B141" s="68" t="str">
        <f>IFERROR(__xludf.DUMMYFUNCTION("""COMPUTED_VALUE"""),"INGLÉS IV")</f>
        <v>INGLÉS IV</v>
      </c>
      <c r="C141" s="69">
        <f>IFERROR(__xludf.DUMMYFUNCTION("""COMPUTED_VALUE"""),99.1)</f>
        <v>99.1</v>
      </c>
      <c r="D141" s="69">
        <f>IFERROR(__xludf.DUMMYFUNCTION("""COMPUTED_VALUE"""),7.68)</f>
        <v>7.68</v>
      </c>
      <c r="E141" s="69">
        <f>IFERROR(__xludf.DUMMYFUNCTION("""COMPUTED_VALUE"""),12.0)</f>
        <v>12</v>
      </c>
      <c r="F141" s="70">
        <f>IFERROR(__xludf.DUMMYFUNCTION("""COMPUTED_VALUE"""),6.0)</f>
        <v>6</v>
      </c>
      <c r="G141" s="69">
        <f>IFERROR(__xludf.DUMMYFUNCTION("""COMPUTED_VALUE"""),88.0)</f>
        <v>88</v>
      </c>
      <c r="H141" s="68">
        <f>IFERROR(__xludf.DUMMYFUNCTION("""COMPUTED_VALUE"""),2.0)</f>
        <v>2</v>
      </c>
      <c r="I141" s="71">
        <f>IFERROR(__xludf.DUMMYFUNCTION("""COMPUTED_VALUE"""),46055.0)</f>
        <v>46055</v>
      </c>
    </row>
    <row r="142">
      <c r="A142" s="67">
        <f>IFERROR(__xludf.DUMMYFUNCTION("""COMPUTED_VALUE"""),1.0)</f>
        <v>1</v>
      </c>
      <c r="B142" s="68" t="str">
        <f>IFERROR(__xludf.DUMMYFUNCTION("""COMPUTED_VALUE"""),"TEMAS SELECTOS DE MATEMÁTICAS I")</f>
        <v>TEMAS SELECTOS DE MATEMÁTICAS I</v>
      </c>
      <c r="C142" s="69">
        <f>IFERROR(__xludf.DUMMYFUNCTION("""COMPUTED_VALUE"""),99.1)</f>
        <v>99.1</v>
      </c>
      <c r="D142" s="69">
        <f>IFERROR(__xludf.DUMMYFUNCTION("""COMPUTED_VALUE"""),7.68)</f>
        <v>7.68</v>
      </c>
      <c r="E142" s="69">
        <f>IFERROR(__xludf.DUMMYFUNCTION("""COMPUTED_VALUE"""),12.0)</f>
        <v>12</v>
      </c>
      <c r="F142" s="70">
        <f>IFERROR(__xludf.DUMMYFUNCTION("""COMPUTED_VALUE"""),6.0)</f>
        <v>6</v>
      </c>
      <c r="G142" s="69">
        <f>IFERROR(__xludf.DUMMYFUNCTION("""COMPUTED_VALUE"""),88.0)</f>
        <v>88</v>
      </c>
      <c r="H142" s="68">
        <f>IFERROR(__xludf.DUMMYFUNCTION("""COMPUTED_VALUE"""),2.0)</f>
        <v>2</v>
      </c>
      <c r="I142" s="71">
        <f>IFERROR(__xludf.DUMMYFUNCTION("""COMPUTED_VALUE"""),46055.0)</f>
        <v>46055</v>
      </c>
    </row>
    <row r="143">
      <c r="A143" s="67">
        <f>IFERROR(__xludf.DUMMYFUNCTION("""COMPUTED_VALUE"""),1.0)</f>
        <v>1</v>
      </c>
      <c r="B143" s="68" t="str">
        <f>IFERROR(__xludf.DUMMYFUNCTION("""COMPUTED_VALUE"""),"CONCIENCIA HISTORICA I")</f>
        <v>CONCIENCIA HISTORICA I</v>
      </c>
      <c r="C143" s="69">
        <f>IFERROR(__xludf.DUMMYFUNCTION("""COMPUTED_VALUE"""),97.0)</f>
        <v>97</v>
      </c>
      <c r="D143" s="69">
        <f>IFERROR(__xludf.DUMMYFUNCTION("""COMPUTED_VALUE"""),7.68)</f>
        <v>7.68</v>
      </c>
      <c r="E143" s="69">
        <f>IFERROR(__xludf.DUMMYFUNCTION("""COMPUTED_VALUE"""),12.0)</f>
        <v>12</v>
      </c>
      <c r="F143" s="70">
        <f>IFERROR(__xludf.DUMMYFUNCTION("""COMPUTED_VALUE"""),6.0)</f>
        <v>6</v>
      </c>
      <c r="G143" s="69">
        <f>IFERROR(__xludf.DUMMYFUNCTION("""COMPUTED_VALUE"""),88.0)</f>
        <v>88</v>
      </c>
      <c r="H143" s="68">
        <f>IFERROR(__xludf.DUMMYFUNCTION("""COMPUTED_VALUE"""),2.0)</f>
        <v>2</v>
      </c>
      <c r="I143" s="71">
        <f>IFERROR(__xludf.DUMMYFUNCTION("""COMPUTED_VALUE"""),46055.0)</f>
        <v>46055</v>
      </c>
    </row>
    <row r="144">
      <c r="A144" s="67">
        <f>IFERROR(__xludf.DUMMYFUNCTION("""COMPUTED_VALUE"""),1.0)</f>
        <v>1</v>
      </c>
      <c r="B144" s="68" t="str">
        <f>IFERROR(__xludf.DUMMYFUNCTION("""COMPUTED_VALUE"""),"TALLER DE CULTURA DIGITAL")</f>
        <v>TALLER DE CULTURA DIGITAL</v>
      </c>
      <c r="C144" s="69">
        <f>IFERROR(__xludf.DUMMYFUNCTION("""COMPUTED_VALUE"""),95.5)</f>
        <v>95.5</v>
      </c>
      <c r="D144" s="69">
        <f>IFERROR(__xludf.DUMMYFUNCTION("""COMPUTED_VALUE"""),7.68)</f>
        <v>7.68</v>
      </c>
      <c r="E144" s="69">
        <f>IFERROR(__xludf.DUMMYFUNCTION("""COMPUTED_VALUE"""),12.0)</f>
        <v>12</v>
      </c>
      <c r="F144" s="70">
        <f>IFERROR(__xludf.DUMMYFUNCTION("""COMPUTED_VALUE"""),6.0)</f>
        <v>6</v>
      </c>
      <c r="G144" s="69">
        <f>IFERROR(__xludf.DUMMYFUNCTION("""COMPUTED_VALUE"""),88.0)</f>
        <v>88</v>
      </c>
      <c r="H144" s="68">
        <f>IFERROR(__xludf.DUMMYFUNCTION("""COMPUTED_VALUE"""),2.0)</f>
        <v>2</v>
      </c>
      <c r="I144" s="71">
        <f>IFERROR(__xludf.DUMMYFUNCTION("""COMPUTED_VALUE"""),46055.0)</f>
        <v>46055</v>
      </c>
    </row>
    <row r="145">
      <c r="A145" s="67">
        <f>IFERROR(__xludf.DUMMYFUNCTION("""COMPUTED_VALUE"""),1.0)</f>
        <v>1</v>
      </c>
      <c r="B145" s="68" t="str">
        <f>IFERROR(__xludf.DUMMYFUNCTION("""COMPUTED_VALUE"""),"REACCIONES QUÍMICAS")</f>
        <v>REACCIONES QUÍMICAS</v>
      </c>
      <c r="C145" s="69">
        <f>IFERROR(__xludf.DUMMYFUNCTION("""COMPUTED_VALUE"""),96.4)</f>
        <v>96.4</v>
      </c>
      <c r="D145" s="69">
        <f>IFERROR(__xludf.DUMMYFUNCTION("""COMPUTED_VALUE"""),7.68)</f>
        <v>7.68</v>
      </c>
      <c r="E145" s="69">
        <f>IFERROR(__xludf.DUMMYFUNCTION("""COMPUTED_VALUE"""),12.0)</f>
        <v>12</v>
      </c>
      <c r="F145" s="70">
        <f>IFERROR(__xludf.DUMMYFUNCTION("""COMPUTED_VALUE"""),6.0)</f>
        <v>6</v>
      </c>
      <c r="G145" s="69">
        <f>IFERROR(__xludf.DUMMYFUNCTION("""COMPUTED_VALUE"""),88.0)</f>
        <v>88</v>
      </c>
      <c r="H145" s="68">
        <f>IFERROR(__xludf.DUMMYFUNCTION("""COMPUTED_VALUE"""),2.0)</f>
        <v>2</v>
      </c>
      <c r="I145" s="71">
        <f>IFERROR(__xludf.DUMMYFUNCTION("""COMPUTED_VALUE"""),46055.0)</f>
        <v>46055</v>
      </c>
    </row>
    <row r="146">
      <c r="A146" s="67">
        <f>IFERROR(__xludf.DUMMYFUNCTION("""COMPUTED_VALUE"""),1.0)</f>
        <v>1</v>
      </c>
      <c r="B146" s="68" t="str">
        <f>IFERROR(__xludf.DUMMYFUNCTION("""COMPUTED_VALUE"""),"ESPACIO Y SOCIEDAD")</f>
        <v>ESPACIO Y SOCIEDAD</v>
      </c>
      <c r="C146" s="69">
        <f>IFERROR(__xludf.DUMMYFUNCTION("""COMPUTED_VALUE"""),94.6)</f>
        <v>94.6</v>
      </c>
      <c r="D146" s="69">
        <f>IFERROR(__xludf.DUMMYFUNCTION("""COMPUTED_VALUE"""),7.68)</f>
        <v>7.68</v>
      </c>
      <c r="E146" s="69">
        <f>IFERROR(__xludf.DUMMYFUNCTION("""COMPUTED_VALUE"""),12.0)</f>
        <v>12</v>
      </c>
      <c r="F146" s="70">
        <f>IFERROR(__xludf.DUMMYFUNCTION("""COMPUTED_VALUE"""),6.0)</f>
        <v>6</v>
      </c>
      <c r="G146" s="69">
        <f>IFERROR(__xludf.DUMMYFUNCTION("""COMPUTED_VALUE"""),88.0)</f>
        <v>88</v>
      </c>
      <c r="H146" s="68">
        <f>IFERROR(__xludf.DUMMYFUNCTION("""COMPUTED_VALUE"""),2.0)</f>
        <v>2</v>
      </c>
      <c r="I146" s="71">
        <f>IFERROR(__xludf.DUMMYFUNCTION("""COMPUTED_VALUE"""),46055.0)</f>
        <v>46055</v>
      </c>
    </row>
    <row r="147">
      <c r="A147" s="67">
        <f>IFERROR(__xludf.DUMMYFUNCTION("""COMPUTED_VALUE"""),1.0)</f>
        <v>1</v>
      </c>
      <c r="B147" s="68" t="str">
        <f>IFERROR(__xludf.DUMMYFUNCTION("""COMPUTED_VALUE"""),"CIENCIAS SOCIALES III")</f>
        <v>CIENCIAS SOCIALES III</v>
      </c>
      <c r="C147" s="69">
        <f>IFERROR(__xludf.DUMMYFUNCTION("""COMPUTED_VALUE"""),95.5)</f>
        <v>95.5</v>
      </c>
      <c r="D147" s="69">
        <f>IFERROR(__xludf.DUMMYFUNCTION("""COMPUTED_VALUE"""),7.68)</f>
        <v>7.68</v>
      </c>
      <c r="E147" s="69">
        <f>IFERROR(__xludf.DUMMYFUNCTION("""COMPUTED_VALUE"""),12.0)</f>
        <v>12</v>
      </c>
      <c r="F147" s="70">
        <f>IFERROR(__xludf.DUMMYFUNCTION("""COMPUTED_VALUE"""),6.0)</f>
        <v>6</v>
      </c>
      <c r="G147" s="69">
        <f>IFERROR(__xludf.DUMMYFUNCTION("""COMPUTED_VALUE"""),88.0)</f>
        <v>88</v>
      </c>
      <c r="H147" s="68">
        <f>IFERROR(__xludf.DUMMYFUNCTION("""COMPUTED_VALUE"""),2.0)</f>
        <v>2</v>
      </c>
      <c r="I147" s="71">
        <f>IFERROR(__xludf.DUMMYFUNCTION("""COMPUTED_VALUE"""),46055.0)</f>
        <v>46055</v>
      </c>
    </row>
    <row r="148">
      <c r="A148" s="67">
        <f>IFERROR(__xludf.DUMMYFUNCTION("""COMPUTED_VALUE"""),1.0)</f>
        <v>1</v>
      </c>
      <c r="B148" s="68" t="str">
        <f>IFERROR(__xludf.DUMMYFUNCTION("""COMPUTED_VALUE"""),"COMUNIDADES VIRTUALES")</f>
        <v>COMUNIDADES VIRTUALES</v>
      </c>
      <c r="C148" s="69">
        <f>IFERROR(__xludf.DUMMYFUNCTION("""COMPUTED_VALUE"""),95.0909090909091)</f>
        <v>95.09090909</v>
      </c>
      <c r="D148" s="69">
        <f>IFERROR(__xludf.DUMMYFUNCTION("""COMPUTED_VALUE"""),7.68)</f>
        <v>7.68</v>
      </c>
      <c r="E148" s="69">
        <f>IFERROR(__xludf.DUMMYFUNCTION("""COMPUTED_VALUE"""),12.0)</f>
        <v>12</v>
      </c>
      <c r="F148" s="70">
        <f>IFERROR(__xludf.DUMMYFUNCTION("""COMPUTED_VALUE"""),6.0)</f>
        <v>6</v>
      </c>
      <c r="G148" s="69">
        <f>IFERROR(__xludf.DUMMYFUNCTION("""COMPUTED_VALUE"""),88.0)</f>
        <v>88</v>
      </c>
      <c r="H148" s="68">
        <f>IFERROR(__xludf.DUMMYFUNCTION("""COMPUTED_VALUE"""),2.0)</f>
        <v>2</v>
      </c>
      <c r="I148" s="71">
        <f>IFERROR(__xludf.DUMMYFUNCTION("""COMPUTED_VALUE"""),46055.0)</f>
        <v>46055</v>
      </c>
    </row>
    <row r="149">
      <c r="A149" s="67">
        <f>IFERROR(__xludf.DUMMYFUNCTION("""COMPUTED_VALUE"""),1.0)</f>
        <v>1</v>
      </c>
      <c r="B149" s="68" t="str">
        <f>IFERROR(__xludf.DUMMYFUNCTION("""COMPUTED_VALUE"""),"MANTENIMIENTO DE REDES DE CÓMPUTO")</f>
        <v>MANTENIMIENTO DE REDES DE CÓMPUTO</v>
      </c>
      <c r="C149" s="69">
        <f>IFERROR(__xludf.DUMMYFUNCTION("""COMPUTED_VALUE"""),93.25)</f>
        <v>93.25</v>
      </c>
      <c r="D149" s="69">
        <f>IFERROR(__xludf.DUMMYFUNCTION("""COMPUTED_VALUE"""),7.68)</f>
        <v>7.68</v>
      </c>
      <c r="E149" s="69">
        <f>IFERROR(__xludf.DUMMYFUNCTION("""COMPUTED_VALUE"""),12.0)</f>
        <v>12</v>
      </c>
      <c r="F149" s="70">
        <f>IFERROR(__xludf.DUMMYFUNCTION("""COMPUTED_VALUE"""),6.0)</f>
        <v>6</v>
      </c>
      <c r="G149" s="69">
        <f>IFERROR(__xludf.DUMMYFUNCTION("""COMPUTED_VALUE"""),88.0)</f>
        <v>88</v>
      </c>
      <c r="H149" s="68">
        <f>IFERROR(__xludf.DUMMYFUNCTION("""COMPUTED_VALUE"""),2.0)</f>
        <v>2</v>
      </c>
      <c r="I149" s="71">
        <f>IFERROR(__xludf.DUMMYFUNCTION("""COMPUTED_VALUE"""),46055.0)</f>
        <v>46055</v>
      </c>
    </row>
    <row r="150">
      <c r="A150" s="67">
        <f>IFERROR(__xludf.DUMMYFUNCTION("""COMPUTED_VALUE"""),1.0)</f>
        <v>1</v>
      </c>
      <c r="B150" s="68" t="str">
        <f>IFERROR(__xludf.DUMMYFUNCTION("""COMPUTED_VALUE"""),"ACTIVIDADES ARTÍSTICAS Y CULTURALES I ")</f>
        <v>ACTIVIDADES ARTÍSTICAS Y CULTURALES I </v>
      </c>
      <c r="C150" s="69">
        <f>IFERROR(__xludf.DUMMYFUNCTION("""COMPUTED_VALUE"""),93.25)</f>
        <v>93.25</v>
      </c>
      <c r="D150" s="69">
        <f>IFERROR(__xludf.DUMMYFUNCTION("""COMPUTED_VALUE"""),7.68)</f>
        <v>7.68</v>
      </c>
      <c r="E150" s="69">
        <f>IFERROR(__xludf.DUMMYFUNCTION("""COMPUTED_VALUE"""),12.0)</f>
        <v>12</v>
      </c>
      <c r="F150" s="70">
        <f>IFERROR(__xludf.DUMMYFUNCTION("""COMPUTED_VALUE"""),6.0)</f>
        <v>6</v>
      </c>
      <c r="G150" s="69">
        <f>IFERROR(__xludf.DUMMYFUNCTION("""COMPUTED_VALUE"""),88.0)</f>
        <v>88</v>
      </c>
      <c r="H150" s="68">
        <f>IFERROR(__xludf.DUMMYFUNCTION("""COMPUTED_VALUE"""),2.0)</f>
        <v>2</v>
      </c>
      <c r="I150" s="71">
        <f>IFERROR(__xludf.DUMMYFUNCTION("""COMPUTED_VALUE"""),46055.0)</f>
        <v>46055</v>
      </c>
    </row>
    <row r="151">
      <c r="A151" s="67">
        <f>IFERROR(__xludf.DUMMYFUNCTION("""COMPUTED_VALUE"""),1.0)</f>
        <v>1</v>
      </c>
      <c r="B151" s="68" t="str">
        <f>IFERROR(__xludf.DUMMYFUNCTION("""COMPUTED_VALUE"""),"EDUCACIÓN INTEGRAL EN SEXUALIDAD Y GÉNERO II")</f>
        <v>EDUCACIÓN INTEGRAL EN SEXUALIDAD Y GÉNERO II</v>
      </c>
      <c r="C151" s="69">
        <f>IFERROR(__xludf.DUMMYFUNCTION("""COMPUTED_VALUE"""),93.25)</f>
        <v>93.25</v>
      </c>
      <c r="D151" s="69">
        <f>IFERROR(__xludf.DUMMYFUNCTION("""COMPUTED_VALUE"""),7.68)</f>
        <v>7.68</v>
      </c>
      <c r="E151" s="69">
        <f>IFERROR(__xludf.DUMMYFUNCTION("""COMPUTED_VALUE"""),12.0)</f>
        <v>12</v>
      </c>
      <c r="F151" s="70">
        <f>IFERROR(__xludf.DUMMYFUNCTION("""COMPUTED_VALUE"""),6.0)</f>
        <v>6</v>
      </c>
      <c r="G151" s="69">
        <f>IFERROR(__xludf.DUMMYFUNCTION("""COMPUTED_VALUE"""),88.0)</f>
        <v>88</v>
      </c>
      <c r="H151" s="68">
        <f>IFERROR(__xludf.DUMMYFUNCTION("""COMPUTED_VALUE"""),2.0)</f>
        <v>2</v>
      </c>
      <c r="I151" s="71">
        <f>IFERROR(__xludf.DUMMYFUNCTION("""COMPUTED_VALUE"""),46055.0)</f>
        <v>46055</v>
      </c>
    </row>
    <row r="152">
      <c r="A152" s="72">
        <f>IFERROR(__xludf.DUMMYFUNCTION("""COMPUTED_VALUE"""),1.0)</f>
        <v>1</v>
      </c>
      <c r="B152" s="73" t="str">
        <f>IFERROR(__xludf.DUMMYFUNCTION("""COMPUTED_VALUE"""),"TEMAS SELECTOS DE IGUALDAD Y DERECHOS HUMANOS IV")</f>
        <v>TEMAS SELECTOS DE IGUALDAD Y DERECHOS HUMANOS IV</v>
      </c>
      <c r="C152" s="74">
        <f>IFERROR(__xludf.DUMMYFUNCTION("""COMPUTED_VALUE"""),93.25)</f>
        <v>93.25</v>
      </c>
      <c r="D152" s="74">
        <f>IFERROR(__xludf.DUMMYFUNCTION("""COMPUTED_VALUE"""),7.68)</f>
        <v>7.68</v>
      </c>
      <c r="E152" s="74">
        <f>IFERROR(__xludf.DUMMYFUNCTION("""COMPUTED_VALUE"""),12.0)</f>
        <v>12</v>
      </c>
      <c r="F152" s="75">
        <f>IFERROR(__xludf.DUMMYFUNCTION("""COMPUTED_VALUE"""),6.0)</f>
        <v>6</v>
      </c>
      <c r="G152" s="74">
        <f>IFERROR(__xludf.DUMMYFUNCTION("""COMPUTED_VALUE"""),88.0)</f>
        <v>88</v>
      </c>
      <c r="H152" s="73">
        <f>IFERROR(__xludf.DUMMYFUNCTION("""COMPUTED_VALUE"""),2.0)</f>
        <v>2</v>
      </c>
      <c r="I152" s="76">
        <f>IFERROR(__xludf.DUMMYFUNCTION("""COMPUTED_VALUE"""),46055.0)</f>
        <v>46055</v>
      </c>
    </row>
    <row r="153">
      <c r="A153" s="62">
        <f>IFERROR(__xludf.DUMMYFUNCTION("""COMPUTED_VALUE"""),2.0)</f>
        <v>2</v>
      </c>
      <c r="B153" s="63" t="str">
        <f>IFERROR(__xludf.DUMMYFUNCTION("""COMPUTED_VALUE"""),"PENSAMIENTO LITERARIO")</f>
        <v>PENSAMIENTO LITERARIO</v>
      </c>
      <c r="C153" s="64">
        <f>IFERROR(__xludf.DUMMYFUNCTION("""COMPUTED_VALUE"""),99.1)</f>
        <v>99.1</v>
      </c>
      <c r="D153" s="64" t="str">
        <f>IFERROR(__xludf.DUMMYFUNCTION("""COMPUTED_VALUE"""),"#DIV/0!")</f>
        <v>#DIV/0!</v>
      </c>
      <c r="E153" s="64">
        <f>IFERROR(__xludf.DUMMYFUNCTION("""COMPUTED_VALUE"""),0.0)</f>
        <v>0</v>
      </c>
      <c r="F153" s="65">
        <f>IFERROR(__xludf.DUMMYFUNCTION("""COMPUTED_VALUE"""),0.0)</f>
        <v>0</v>
      </c>
      <c r="G153" s="64">
        <f>IFERROR(__xludf.DUMMYFUNCTION("""COMPUTED_VALUE"""),0.0)</f>
        <v>0</v>
      </c>
      <c r="H153" s="63">
        <f>IFERROR(__xludf.DUMMYFUNCTION("""COMPUTED_VALUE"""),2.0)</f>
        <v>2</v>
      </c>
      <c r="I153" s="66">
        <f>IFERROR(__xludf.DUMMYFUNCTION("""COMPUTED_VALUE"""),46055.0)</f>
        <v>46055</v>
      </c>
    </row>
    <row r="154">
      <c r="A154" s="67">
        <f>IFERROR(__xludf.DUMMYFUNCTION("""COMPUTED_VALUE"""),2.0)</f>
        <v>2</v>
      </c>
      <c r="B154" s="68" t="str">
        <f>IFERROR(__xludf.DUMMYFUNCTION("""COMPUTED_VALUE"""),"INGLÉS IV")</f>
        <v>INGLÉS IV</v>
      </c>
      <c r="C154" s="69">
        <f>IFERROR(__xludf.DUMMYFUNCTION("""COMPUTED_VALUE"""),99.1)</f>
        <v>99.1</v>
      </c>
      <c r="D154" s="69" t="str">
        <f>IFERROR(__xludf.DUMMYFUNCTION("""COMPUTED_VALUE"""),"#DIV/0!")</f>
        <v>#DIV/0!</v>
      </c>
      <c r="E154" s="69">
        <f>IFERROR(__xludf.DUMMYFUNCTION("""COMPUTED_VALUE"""),0.0)</f>
        <v>0</v>
      </c>
      <c r="F154" s="70">
        <f>IFERROR(__xludf.DUMMYFUNCTION("""COMPUTED_VALUE"""),0.0)</f>
        <v>0</v>
      </c>
      <c r="G154" s="69">
        <f>IFERROR(__xludf.DUMMYFUNCTION("""COMPUTED_VALUE"""),0.0)</f>
        <v>0</v>
      </c>
      <c r="H154" s="68">
        <f>IFERROR(__xludf.DUMMYFUNCTION("""COMPUTED_VALUE"""),2.0)</f>
        <v>2</v>
      </c>
      <c r="I154" s="71">
        <f>IFERROR(__xludf.DUMMYFUNCTION("""COMPUTED_VALUE"""),46055.0)</f>
        <v>46055</v>
      </c>
    </row>
    <row r="155">
      <c r="A155" s="67">
        <f>IFERROR(__xludf.DUMMYFUNCTION("""COMPUTED_VALUE"""),2.0)</f>
        <v>2</v>
      </c>
      <c r="B155" s="68" t="str">
        <f>IFERROR(__xludf.DUMMYFUNCTION("""COMPUTED_VALUE"""),"TEMAS SELECTOS DE MATEMÁTICAS I")</f>
        <v>TEMAS SELECTOS DE MATEMÁTICAS I</v>
      </c>
      <c r="C155" s="69">
        <f>IFERROR(__xludf.DUMMYFUNCTION("""COMPUTED_VALUE"""),99.1)</f>
        <v>99.1</v>
      </c>
      <c r="D155" s="69" t="str">
        <f>IFERROR(__xludf.DUMMYFUNCTION("""COMPUTED_VALUE"""),"#DIV/0!")</f>
        <v>#DIV/0!</v>
      </c>
      <c r="E155" s="69">
        <f>IFERROR(__xludf.DUMMYFUNCTION("""COMPUTED_VALUE"""),0.0)</f>
        <v>0</v>
      </c>
      <c r="F155" s="70">
        <f>IFERROR(__xludf.DUMMYFUNCTION("""COMPUTED_VALUE"""),0.0)</f>
        <v>0</v>
      </c>
      <c r="G155" s="69">
        <f>IFERROR(__xludf.DUMMYFUNCTION("""COMPUTED_VALUE"""),0.0)</f>
        <v>0</v>
      </c>
      <c r="H155" s="68">
        <f>IFERROR(__xludf.DUMMYFUNCTION("""COMPUTED_VALUE"""),2.0)</f>
        <v>2</v>
      </c>
      <c r="I155" s="71">
        <f>IFERROR(__xludf.DUMMYFUNCTION("""COMPUTED_VALUE"""),46055.0)</f>
        <v>46055</v>
      </c>
    </row>
    <row r="156">
      <c r="A156" s="67">
        <f>IFERROR(__xludf.DUMMYFUNCTION("""COMPUTED_VALUE"""),2.0)</f>
        <v>2</v>
      </c>
      <c r="B156" s="68" t="str">
        <f>IFERROR(__xludf.DUMMYFUNCTION("""COMPUTED_VALUE"""),"CONCIENCIA HISTORICA I")</f>
        <v>CONCIENCIA HISTORICA I</v>
      </c>
      <c r="C156" s="69">
        <f>IFERROR(__xludf.DUMMYFUNCTION("""COMPUTED_VALUE"""),97.0)</f>
        <v>97</v>
      </c>
      <c r="D156" s="69" t="str">
        <f>IFERROR(__xludf.DUMMYFUNCTION("""COMPUTED_VALUE"""),"#DIV/0!")</f>
        <v>#DIV/0!</v>
      </c>
      <c r="E156" s="69">
        <f>IFERROR(__xludf.DUMMYFUNCTION("""COMPUTED_VALUE"""),0.0)</f>
        <v>0</v>
      </c>
      <c r="F156" s="70">
        <f>IFERROR(__xludf.DUMMYFUNCTION("""COMPUTED_VALUE"""),0.0)</f>
        <v>0</v>
      </c>
      <c r="G156" s="69">
        <f>IFERROR(__xludf.DUMMYFUNCTION("""COMPUTED_VALUE"""),0.0)</f>
        <v>0</v>
      </c>
      <c r="H156" s="68">
        <f>IFERROR(__xludf.DUMMYFUNCTION("""COMPUTED_VALUE"""),2.0)</f>
        <v>2</v>
      </c>
      <c r="I156" s="71">
        <f>IFERROR(__xludf.DUMMYFUNCTION("""COMPUTED_VALUE"""),46055.0)</f>
        <v>46055</v>
      </c>
    </row>
    <row r="157">
      <c r="A157" s="67">
        <f>IFERROR(__xludf.DUMMYFUNCTION("""COMPUTED_VALUE"""),2.0)</f>
        <v>2</v>
      </c>
      <c r="B157" s="68" t="str">
        <f>IFERROR(__xludf.DUMMYFUNCTION("""COMPUTED_VALUE"""),"TALLER DE CULTURA DIGITAL")</f>
        <v>TALLER DE CULTURA DIGITAL</v>
      </c>
      <c r="C157" s="69">
        <f>IFERROR(__xludf.DUMMYFUNCTION("""COMPUTED_VALUE"""),95.5)</f>
        <v>95.5</v>
      </c>
      <c r="D157" s="69" t="str">
        <f>IFERROR(__xludf.DUMMYFUNCTION("""COMPUTED_VALUE"""),"#DIV/0!")</f>
        <v>#DIV/0!</v>
      </c>
      <c r="E157" s="69">
        <f>IFERROR(__xludf.DUMMYFUNCTION("""COMPUTED_VALUE"""),0.0)</f>
        <v>0</v>
      </c>
      <c r="F157" s="70">
        <f>IFERROR(__xludf.DUMMYFUNCTION("""COMPUTED_VALUE"""),0.0)</f>
        <v>0</v>
      </c>
      <c r="G157" s="69">
        <f>IFERROR(__xludf.DUMMYFUNCTION("""COMPUTED_VALUE"""),0.0)</f>
        <v>0</v>
      </c>
      <c r="H157" s="68">
        <f>IFERROR(__xludf.DUMMYFUNCTION("""COMPUTED_VALUE"""),2.0)</f>
        <v>2</v>
      </c>
      <c r="I157" s="71">
        <f>IFERROR(__xludf.DUMMYFUNCTION("""COMPUTED_VALUE"""),46055.0)</f>
        <v>46055</v>
      </c>
    </row>
    <row r="158">
      <c r="A158" s="67">
        <f>IFERROR(__xludf.DUMMYFUNCTION("""COMPUTED_VALUE"""),2.0)</f>
        <v>2</v>
      </c>
      <c r="B158" s="68" t="str">
        <f>IFERROR(__xludf.DUMMYFUNCTION("""COMPUTED_VALUE"""),"REACCIONES QUÍMICAS")</f>
        <v>REACCIONES QUÍMICAS</v>
      </c>
      <c r="C158" s="69">
        <f>IFERROR(__xludf.DUMMYFUNCTION("""COMPUTED_VALUE"""),96.4)</f>
        <v>96.4</v>
      </c>
      <c r="D158" s="69" t="str">
        <f>IFERROR(__xludf.DUMMYFUNCTION("""COMPUTED_VALUE"""),"#DIV/0!")</f>
        <v>#DIV/0!</v>
      </c>
      <c r="E158" s="69">
        <f>IFERROR(__xludf.DUMMYFUNCTION("""COMPUTED_VALUE"""),0.0)</f>
        <v>0</v>
      </c>
      <c r="F158" s="70">
        <f>IFERROR(__xludf.DUMMYFUNCTION("""COMPUTED_VALUE"""),0.0)</f>
        <v>0</v>
      </c>
      <c r="G158" s="69">
        <f>IFERROR(__xludf.DUMMYFUNCTION("""COMPUTED_VALUE"""),0.0)</f>
        <v>0</v>
      </c>
      <c r="H158" s="68">
        <f>IFERROR(__xludf.DUMMYFUNCTION("""COMPUTED_VALUE"""),2.0)</f>
        <v>2</v>
      </c>
      <c r="I158" s="71">
        <f>IFERROR(__xludf.DUMMYFUNCTION("""COMPUTED_VALUE"""),46055.0)</f>
        <v>46055</v>
      </c>
    </row>
    <row r="159">
      <c r="A159" s="67">
        <f>IFERROR(__xludf.DUMMYFUNCTION("""COMPUTED_VALUE"""),2.0)</f>
        <v>2</v>
      </c>
      <c r="B159" s="68" t="str">
        <f>IFERROR(__xludf.DUMMYFUNCTION("""COMPUTED_VALUE"""),"ESPACIO Y SOCIEDAD")</f>
        <v>ESPACIO Y SOCIEDAD</v>
      </c>
      <c r="C159" s="69">
        <f>IFERROR(__xludf.DUMMYFUNCTION("""COMPUTED_VALUE"""),94.6)</f>
        <v>94.6</v>
      </c>
      <c r="D159" s="69" t="str">
        <f>IFERROR(__xludf.DUMMYFUNCTION("""COMPUTED_VALUE"""),"#DIV/0!")</f>
        <v>#DIV/0!</v>
      </c>
      <c r="E159" s="69">
        <f>IFERROR(__xludf.DUMMYFUNCTION("""COMPUTED_VALUE"""),0.0)</f>
        <v>0</v>
      </c>
      <c r="F159" s="70">
        <f>IFERROR(__xludf.DUMMYFUNCTION("""COMPUTED_VALUE"""),0.0)</f>
        <v>0</v>
      </c>
      <c r="G159" s="69">
        <f>IFERROR(__xludf.DUMMYFUNCTION("""COMPUTED_VALUE"""),0.0)</f>
        <v>0</v>
      </c>
      <c r="H159" s="68">
        <f>IFERROR(__xludf.DUMMYFUNCTION("""COMPUTED_VALUE"""),2.0)</f>
        <v>2</v>
      </c>
      <c r="I159" s="71">
        <f>IFERROR(__xludf.DUMMYFUNCTION("""COMPUTED_VALUE"""),46055.0)</f>
        <v>46055</v>
      </c>
    </row>
    <row r="160">
      <c r="A160" s="67">
        <f>IFERROR(__xludf.DUMMYFUNCTION("""COMPUTED_VALUE"""),2.0)</f>
        <v>2</v>
      </c>
      <c r="B160" s="68" t="str">
        <f>IFERROR(__xludf.DUMMYFUNCTION("""COMPUTED_VALUE"""),"CIENCIAS SOCIALES III")</f>
        <v>CIENCIAS SOCIALES III</v>
      </c>
      <c r="C160" s="69">
        <f>IFERROR(__xludf.DUMMYFUNCTION("""COMPUTED_VALUE"""),95.5)</f>
        <v>95.5</v>
      </c>
      <c r="D160" s="69" t="str">
        <f>IFERROR(__xludf.DUMMYFUNCTION("""COMPUTED_VALUE"""),"#DIV/0!")</f>
        <v>#DIV/0!</v>
      </c>
      <c r="E160" s="69">
        <f>IFERROR(__xludf.DUMMYFUNCTION("""COMPUTED_VALUE"""),0.0)</f>
        <v>0</v>
      </c>
      <c r="F160" s="70">
        <f>IFERROR(__xludf.DUMMYFUNCTION("""COMPUTED_VALUE"""),0.0)</f>
        <v>0</v>
      </c>
      <c r="G160" s="69">
        <f>IFERROR(__xludf.DUMMYFUNCTION("""COMPUTED_VALUE"""),0.0)</f>
        <v>0</v>
      </c>
      <c r="H160" s="68">
        <f>IFERROR(__xludf.DUMMYFUNCTION("""COMPUTED_VALUE"""),2.0)</f>
        <v>2</v>
      </c>
      <c r="I160" s="71">
        <f>IFERROR(__xludf.DUMMYFUNCTION("""COMPUTED_VALUE"""),46055.0)</f>
        <v>46055</v>
      </c>
    </row>
    <row r="161">
      <c r="A161" s="67">
        <f>IFERROR(__xludf.DUMMYFUNCTION("""COMPUTED_VALUE"""),2.0)</f>
        <v>2</v>
      </c>
      <c r="B161" s="68" t="str">
        <f>IFERROR(__xludf.DUMMYFUNCTION("""COMPUTED_VALUE"""),"COMUNIDADES VIRTUALES")</f>
        <v>COMUNIDADES VIRTUALES</v>
      </c>
      <c r="C161" s="69">
        <f>IFERROR(__xludf.DUMMYFUNCTION("""COMPUTED_VALUE"""),95.0909090909091)</f>
        <v>95.09090909</v>
      </c>
      <c r="D161" s="69" t="str">
        <f>IFERROR(__xludf.DUMMYFUNCTION("""COMPUTED_VALUE"""),"#DIV/0!")</f>
        <v>#DIV/0!</v>
      </c>
      <c r="E161" s="69">
        <f>IFERROR(__xludf.DUMMYFUNCTION("""COMPUTED_VALUE"""),0.0)</f>
        <v>0</v>
      </c>
      <c r="F161" s="70">
        <f>IFERROR(__xludf.DUMMYFUNCTION("""COMPUTED_VALUE"""),0.0)</f>
        <v>0</v>
      </c>
      <c r="G161" s="69">
        <f>IFERROR(__xludf.DUMMYFUNCTION("""COMPUTED_VALUE"""),0.0)</f>
        <v>0</v>
      </c>
      <c r="H161" s="68">
        <f>IFERROR(__xludf.DUMMYFUNCTION("""COMPUTED_VALUE"""),2.0)</f>
        <v>2</v>
      </c>
      <c r="I161" s="71">
        <f>IFERROR(__xludf.DUMMYFUNCTION("""COMPUTED_VALUE"""),46055.0)</f>
        <v>46055</v>
      </c>
    </row>
    <row r="162">
      <c r="A162" s="67">
        <f>IFERROR(__xludf.DUMMYFUNCTION("""COMPUTED_VALUE"""),2.0)</f>
        <v>2</v>
      </c>
      <c r="B162" s="68" t="str">
        <f>IFERROR(__xludf.DUMMYFUNCTION("""COMPUTED_VALUE"""),"MANTENIMIENTO DE REDES DE CÓMPUTO")</f>
        <v>MANTENIMIENTO DE REDES DE CÓMPUTO</v>
      </c>
      <c r="C162" s="69">
        <f>IFERROR(__xludf.DUMMYFUNCTION("""COMPUTED_VALUE"""),93.25)</f>
        <v>93.25</v>
      </c>
      <c r="D162" s="69" t="str">
        <f>IFERROR(__xludf.DUMMYFUNCTION("""COMPUTED_VALUE"""),"#DIV/0!")</f>
        <v>#DIV/0!</v>
      </c>
      <c r="E162" s="69">
        <f>IFERROR(__xludf.DUMMYFUNCTION("""COMPUTED_VALUE"""),0.0)</f>
        <v>0</v>
      </c>
      <c r="F162" s="70">
        <f>IFERROR(__xludf.DUMMYFUNCTION("""COMPUTED_VALUE"""),0.0)</f>
        <v>0</v>
      </c>
      <c r="G162" s="69">
        <f>IFERROR(__xludf.DUMMYFUNCTION("""COMPUTED_VALUE"""),0.0)</f>
        <v>0</v>
      </c>
      <c r="H162" s="68">
        <f>IFERROR(__xludf.DUMMYFUNCTION("""COMPUTED_VALUE"""),2.0)</f>
        <v>2</v>
      </c>
      <c r="I162" s="71">
        <f>IFERROR(__xludf.DUMMYFUNCTION("""COMPUTED_VALUE"""),46055.0)</f>
        <v>46055</v>
      </c>
    </row>
    <row r="163">
      <c r="A163" s="67">
        <f>IFERROR(__xludf.DUMMYFUNCTION("""COMPUTED_VALUE"""),2.0)</f>
        <v>2</v>
      </c>
      <c r="B163" s="68" t="str">
        <f>IFERROR(__xludf.DUMMYFUNCTION("""COMPUTED_VALUE"""),"ACTIVIDADES ARTÍSTICAS Y CULTURALES I ")</f>
        <v>ACTIVIDADES ARTÍSTICAS Y CULTURALES I </v>
      </c>
      <c r="C163" s="69">
        <f>IFERROR(__xludf.DUMMYFUNCTION("""COMPUTED_VALUE"""),93.25)</f>
        <v>93.25</v>
      </c>
      <c r="D163" s="69" t="str">
        <f>IFERROR(__xludf.DUMMYFUNCTION("""COMPUTED_VALUE"""),"#DIV/0!")</f>
        <v>#DIV/0!</v>
      </c>
      <c r="E163" s="69">
        <f>IFERROR(__xludf.DUMMYFUNCTION("""COMPUTED_VALUE"""),0.0)</f>
        <v>0</v>
      </c>
      <c r="F163" s="70">
        <f>IFERROR(__xludf.DUMMYFUNCTION("""COMPUTED_VALUE"""),0.0)</f>
        <v>0</v>
      </c>
      <c r="G163" s="69">
        <f>IFERROR(__xludf.DUMMYFUNCTION("""COMPUTED_VALUE"""),0.0)</f>
        <v>0</v>
      </c>
      <c r="H163" s="68">
        <f>IFERROR(__xludf.DUMMYFUNCTION("""COMPUTED_VALUE"""),2.0)</f>
        <v>2</v>
      </c>
      <c r="I163" s="71">
        <f>IFERROR(__xludf.DUMMYFUNCTION("""COMPUTED_VALUE"""),46055.0)</f>
        <v>46055</v>
      </c>
    </row>
    <row r="164">
      <c r="A164" s="67">
        <f>IFERROR(__xludf.DUMMYFUNCTION("""COMPUTED_VALUE"""),2.0)</f>
        <v>2</v>
      </c>
      <c r="B164" s="68" t="str">
        <f>IFERROR(__xludf.DUMMYFUNCTION("""COMPUTED_VALUE"""),"EDUCACIÓN INTEGRAL EN SEXUALIDAD Y GÉNERO II")</f>
        <v>EDUCACIÓN INTEGRAL EN SEXUALIDAD Y GÉNERO II</v>
      </c>
      <c r="C164" s="69">
        <f>IFERROR(__xludf.DUMMYFUNCTION("""COMPUTED_VALUE"""),93.25)</f>
        <v>93.25</v>
      </c>
      <c r="D164" s="69" t="str">
        <f>IFERROR(__xludf.DUMMYFUNCTION("""COMPUTED_VALUE"""),"#DIV/0!")</f>
        <v>#DIV/0!</v>
      </c>
      <c r="E164" s="69">
        <f>IFERROR(__xludf.DUMMYFUNCTION("""COMPUTED_VALUE"""),0.0)</f>
        <v>0</v>
      </c>
      <c r="F164" s="70">
        <f>IFERROR(__xludf.DUMMYFUNCTION("""COMPUTED_VALUE"""),0.0)</f>
        <v>0</v>
      </c>
      <c r="G164" s="69">
        <f>IFERROR(__xludf.DUMMYFUNCTION("""COMPUTED_VALUE"""),0.0)</f>
        <v>0</v>
      </c>
      <c r="H164" s="68">
        <f>IFERROR(__xludf.DUMMYFUNCTION("""COMPUTED_VALUE"""),2.0)</f>
        <v>2</v>
      </c>
      <c r="I164" s="71">
        <f>IFERROR(__xludf.DUMMYFUNCTION("""COMPUTED_VALUE"""),46055.0)</f>
        <v>46055</v>
      </c>
    </row>
    <row r="165">
      <c r="A165" s="72">
        <f>IFERROR(__xludf.DUMMYFUNCTION("""COMPUTED_VALUE"""),2.0)</f>
        <v>2</v>
      </c>
      <c r="B165" s="73" t="str">
        <f>IFERROR(__xludf.DUMMYFUNCTION("""COMPUTED_VALUE"""),"TEMAS SELECTOS DE IGUALDAD Y DERECHOS HUMANOS IV")</f>
        <v>TEMAS SELECTOS DE IGUALDAD Y DERECHOS HUMANOS IV</v>
      </c>
      <c r="C165" s="74">
        <f>IFERROR(__xludf.DUMMYFUNCTION("""COMPUTED_VALUE"""),93.25)</f>
        <v>93.25</v>
      </c>
      <c r="D165" s="74" t="str">
        <f>IFERROR(__xludf.DUMMYFUNCTION("""COMPUTED_VALUE"""),"#DIV/0!")</f>
        <v>#DIV/0!</v>
      </c>
      <c r="E165" s="74">
        <f>IFERROR(__xludf.DUMMYFUNCTION("""COMPUTED_VALUE"""),0.0)</f>
        <v>0</v>
      </c>
      <c r="F165" s="75">
        <f>IFERROR(__xludf.DUMMYFUNCTION("""COMPUTED_VALUE"""),0.0)</f>
        <v>0</v>
      </c>
      <c r="G165" s="74">
        <f>IFERROR(__xludf.DUMMYFUNCTION("""COMPUTED_VALUE"""),0.0)</f>
        <v>0</v>
      </c>
      <c r="H165" s="73">
        <f>IFERROR(__xludf.DUMMYFUNCTION("""COMPUTED_VALUE"""),2.0)</f>
        <v>2</v>
      </c>
      <c r="I165" s="76">
        <f>IFERROR(__xludf.DUMMYFUNCTION("""COMPUTED_VALUE"""),46055.0)</f>
        <v>46055</v>
      </c>
    </row>
    <row r="166">
      <c r="A166" s="62">
        <f>IFERROR(__xludf.DUMMYFUNCTION("""COMPUTED_VALUE"""),3.0)</f>
        <v>3</v>
      </c>
      <c r="B166" s="63" t="str">
        <f>IFERROR(__xludf.DUMMYFUNCTION("""COMPUTED_VALUE"""),"PENSAMIENTO LITERARIO")</f>
        <v>PENSAMIENTO LITERARIO</v>
      </c>
      <c r="C166" s="64">
        <f>IFERROR(__xludf.DUMMYFUNCTION("""COMPUTED_VALUE"""),99.1)</f>
        <v>99.1</v>
      </c>
      <c r="D166" s="64" t="str">
        <f>IFERROR(__xludf.DUMMYFUNCTION("""COMPUTED_VALUE"""),"#DIV/0!")</f>
        <v>#DIV/0!</v>
      </c>
      <c r="E166" s="64">
        <f>IFERROR(__xludf.DUMMYFUNCTION("""COMPUTED_VALUE"""),0.0)</f>
        <v>0</v>
      </c>
      <c r="F166" s="65">
        <f>IFERROR(__xludf.DUMMYFUNCTION("""COMPUTED_VALUE"""),0.0)</f>
        <v>0</v>
      </c>
      <c r="G166" s="64">
        <f>IFERROR(__xludf.DUMMYFUNCTION("""COMPUTED_VALUE"""),0.0)</f>
        <v>0</v>
      </c>
      <c r="H166" s="63">
        <f>IFERROR(__xludf.DUMMYFUNCTION("""COMPUTED_VALUE"""),2.0)</f>
        <v>2</v>
      </c>
      <c r="I166" s="66">
        <f>IFERROR(__xludf.DUMMYFUNCTION("""COMPUTED_VALUE"""),46055.0)</f>
        <v>46055</v>
      </c>
    </row>
    <row r="167">
      <c r="A167" s="67">
        <f>IFERROR(__xludf.DUMMYFUNCTION("""COMPUTED_VALUE"""),3.0)</f>
        <v>3</v>
      </c>
      <c r="B167" s="68" t="str">
        <f>IFERROR(__xludf.DUMMYFUNCTION("""COMPUTED_VALUE"""),"INGLÉS IV")</f>
        <v>INGLÉS IV</v>
      </c>
      <c r="C167" s="69">
        <f>IFERROR(__xludf.DUMMYFUNCTION("""COMPUTED_VALUE"""),99.1)</f>
        <v>99.1</v>
      </c>
      <c r="D167" s="69" t="str">
        <f>IFERROR(__xludf.DUMMYFUNCTION("""COMPUTED_VALUE"""),"#DIV/0!")</f>
        <v>#DIV/0!</v>
      </c>
      <c r="E167" s="69">
        <f>IFERROR(__xludf.DUMMYFUNCTION("""COMPUTED_VALUE"""),0.0)</f>
        <v>0</v>
      </c>
      <c r="F167" s="70">
        <f>IFERROR(__xludf.DUMMYFUNCTION("""COMPUTED_VALUE"""),0.0)</f>
        <v>0</v>
      </c>
      <c r="G167" s="69">
        <f>IFERROR(__xludf.DUMMYFUNCTION("""COMPUTED_VALUE"""),0.0)</f>
        <v>0</v>
      </c>
      <c r="H167" s="68">
        <f>IFERROR(__xludf.DUMMYFUNCTION("""COMPUTED_VALUE"""),2.0)</f>
        <v>2</v>
      </c>
      <c r="I167" s="71">
        <f>IFERROR(__xludf.DUMMYFUNCTION("""COMPUTED_VALUE"""),46055.0)</f>
        <v>46055</v>
      </c>
    </row>
    <row r="168">
      <c r="A168" s="67">
        <f>IFERROR(__xludf.DUMMYFUNCTION("""COMPUTED_VALUE"""),3.0)</f>
        <v>3</v>
      </c>
      <c r="B168" s="68" t="str">
        <f>IFERROR(__xludf.DUMMYFUNCTION("""COMPUTED_VALUE"""),"TEMAS SELECTOS DE MATEMÁTICAS I")</f>
        <v>TEMAS SELECTOS DE MATEMÁTICAS I</v>
      </c>
      <c r="C168" s="69">
        <f>IFERROR(__xludf.DUMMYFUNCTION("""COMPUTED_VALUE"""),99.1)</f>
        <v>99.1</v>
      </c>
      <c r="D168" s="69" t="str">
        <f>IFERROR(__xludf.DUMMYFUNCTION("""COMPUTED_VALUE"""),"#DIV/0!")</f>
        <v>#DIV/0!</v>
      </c>
      <c r="E168" s="69">
        <f>IFERROR(__xludf.DUMMYFUNCTION("""COMPUTED_VALUE"""),0.0)</f>
        <v>0</v>
      </c>
      <c r="F168" s="70">
        <f>IFERROR(__xludf.DUMMYFUNCTION("""COMPUTED_VALUE"""),0.0)</f>
        <v>0</v>
      </c>
      <c r="G168" s="69">
        <f>IFERROR(__xludf.DUMMYFUNCTION("""COMPUTED_VALUE"""),0.0)</f>
        <v>0</v>
      </c>
      <c r="H168" s="68">
        <f>IFERROR(__xludf.DUMMYFUNCTION("""COMPUTED_VALUE"""),2.0)</f>
        <v>2</v>
      </c>
      <c r="I168" s="71">
        <f>IFERROR(__xludf.DUMMYFUNCTION("""COMPUTED_VALUE"""),46055.0)</f>
        <v>46055</v>
      </c>
    </row>
    <row r="169">
      <c r="A169" s="67">
        <f>IFERROR(__xludf.DUMMYFUNCTION("""COMPUTED_VALUE"""),3.0)</f>
        <v>3</v>
      </c>
      <c r="B169" s="68" t="str">
        <f>IFERROR(__xludf.DUMMYFUNCTION("""COMPUTED_VALUE"""),"CONCIENCIA HISTORICA I")</f>
        <v>CONCIENCIA HISTORICA I</v>
      </c>
      <c r="C169" s="69">
        <f>IFERROR(__xludf.DUMMYFUNCTION("""COMPUTED_VALUE"""),97.0)</f>
        <v>97</v>
      </c>
      <c r="D169" s="69" t="str">
        <f>IFERROR(__xludf.DUMMYFUNCTION("""COMPUTED_VALUE"""),"#DIV/0!")</f>
        <v>#DIV/0!</v>
      </c>
      <c r="E169" s="69">
        <f>IFERROR(__xludf.DUMMYFUNCTION("""COMPUTED_VALUE"""),0.0)</f>
        <v>0</v>
      </c>
      <c r="F169" s="70">
        <f>IFERROR(__xludf.DUMMYFUNCTION("""COMPUTED_VALUE"""),0.0)</f>
        <v>0</v>
      </c>
      <c r="G169" s="69">
        <f>IFERROR(__xludf.DUMMYFUNCTION("""COMPUTED_VALUE"""),0.0)</f>
        <v>0</v>
      </c>
      <c r="H169" s="68">
        <f>IFERROR(__xludf.DUMMYFUNCTION("""COMPUTED_VALUE"""),2.0)</f>
        <v>2</v>
      </c>
      <c r="I169" s="71">
        <f>IFERROR(__xludf.DUMMYFUNCTION("""COMPUTED_VALUE"""),46055.0)</f>
        <v>46055</v>
      </c>
    </row>
    <row r="170">
      <c r="A170" s="67">
        <f>IFERROR(__xludf.DUMMYFUNCTION("""COMPUTED_VALUE"""),3.0)</f>
        <v>3</v>
      </c>
      <c r="B170" s="68" t="str">
        <f>IFERROR(__xludf.DUMMYFUNCTION("""COMPUTED_VALUE"""),"TALLER DE CULTURA DIGITAL")</f>
        <v>TALLER DE CULTURA DIGITAL</v>
      </c>
      <c r="C170" s="69">
        <f>IFERROR(__xludf.DUMMYFUNCTION("""COMPUTED_VALUE"""),95.5)</f>
        <v>95.5</v>
      </c>
      <c r="D170" s="69" t="str">
        <f>IFERROR(__xludf.DUMMYFUNCTION("""COMPUTED_VALUE"""),"#DIV/0!")</f>
        <v>#DIV/0!</v>
      </c>
      <c r="E170" s="69">
        <f>IFERROR(__xludf.DUMMYFUNCTION("""COMPUTED_VALUE"""),0.0)</f>
        <v>0</v>
      </c>
      <c r="F170" s="70">
        <f>IFERROR(__xludf.DUMMYFUNCTION("""COMPUTED_VALUE"""),0.0)</f>
        <v>0</v>
      </c>
      <c r="G170" s="69">
        <f>IFERROR(__xludf.DUMMYFUNCTION("""COMPUTED_VALUE"""),0.0)</f>
        <v>0</v>
      </c>
      <c r="H170" s="68">
        <f>IFERROR(__xludf.DUMMYFUNCTION("""COMPUTED_VALUE"""),2.0)</f>
        <v>2</v>
      </c>
      <c r="I170" s="71">
        <f>IFERROR(__xludf.DUMMYFUNCTION("""COMPUTED_VALUE"""),46055.0)</f>
        <v>46055</v>
      </c>
    </row>
    <row r="171">
      <c r="A171" s="67">
        <f>IFERROR(__xludf.DUMMYFUNCTION("""COMPUTED_VALUE"""),3.0)</f>
        <v>3</v>
      </c>
      <c r="B171" s="68" t="str">
        <f>IFERROR(__xludf.DUMMYFUNCTION("""COMPUTED_VALUE"""),"REACCIONES QUÍMICAS")</f>
        <v>REACCIONES QUÍMICAS</v>
      </c>
      <c r="C171" s="69">
        <f>IFERROR(__xludf.DUMMYFUNCTION("""COMPUTED_VALUE"""),96.4)</f>
        <v>96.4</v>
      </c>
      <c r="D171" s="69" t="str">
        <f>IFERROR(__xludf.DUMMYFUNCTION("""COMPUTED_VALUE"""),"#DIV/0!")</f>
        <v>#DIV/0!</v>
      </c>
      <c r="E171" s="69">
        <f>IFERROR(__xludf.DUMMYFUNCTION("""COMPUTED_VALUE"""),0.0)</f>
        <v>0</v>
      </c>
      <c r="F171" s="70">
        <f>IFERROR(__xludf.DUMMYFUNCTION("""COMPUTED_VALUE"""),0.0)</f>
        <v>0</v>
      </c>
      <c r="G171" s="69">
        <f>IFERROR(__xludf.DUMMYFUNCTION("""COMPUTED_VALUE"""),0.0)</f>
        <v>0</v>
      </c>
      <c r="H171" s="68">
        <f>IFERROR(__xludf.DUMMYFUNCTION("""COMPUTED_VALUE"""),2.0)</f>
        <v>2</v>
      </c>
      <c r="I171" s="71">
        <f>IFERROR(__xludf.DUMMYFUNCTION("""COMPUTED_VALUE"""),46055.0)</f>
        <v>46055</v>
      </c>
    </row>
    <row r="172">
      <c r="A172" s="67">
        <f>IFERROR(__xludf.DUMMYFUNCTION("""COMPUTED_VALUE"""),3.0)</f>
        <v>3</v>
      </c>
      <c r="B172" s="68" t="str">
        <f>IFERROR(__xludf.DUMMYFUNCTION("""COMPUTED_VALUE"""),"ESPACIO Y SOCIEDAD")</f>
        <v>ESPACIO Y SOCIEDAD</v>
      </c>
      <c r="C172" s="69">
        <f>IFERROR(__xludf.DUMMYFUNCTION("""COMPUTED_VALUE"""),94.6)</f>
        <v>94.6</v>
      </c>
      <c r="D172" s="69" t="str">
        <f>IFERROR(__xludf.DUMMYFUNCTION("""COMPUTED_VALUE"""),"#DIV/0!")</f>
        <v>#DIV/0!</v>
      </c>
      <c r="E172" s="69">
        <f>IFERROR(__xludf.DUMMYFUNCTION("""COMPUTED_VALUE"""),0.0)</f>
        <v>0</v>
      </c>
      <c r="F172" s="70">
        <f>IFERROR(__xludf.DUMMYFUNCTION("""COMPUTED_VALUE"""),0.0)</f>
        <v>0</v>
      </c>
      <c r="G172" s="69">
        <f>IFERROR(__xludf.DUMMYFUNCTION("""COMPUTED_VALUE"""),0.0)</f>
        <v>0</v>
      </c>
      <c r="H172" s="68">
        <f>IFERROR(__xludf.DUMMYFUNCTION("""COMPUTED_VALUE"""),2.0)</f>
        <v>2</v>
      </c>
      <c r="I172" s="71">
        <f>IFERROR(__xludf.DUMMYFUNCTION("""COMPUTED_VALUE"""),46055.0)</f>
        <v>46055</v>
      </c>
    </row>
    <row r="173">
      <c r="A173" s="67">
        <f>IFERROR(__xludf.DUMMYFUNCTION("""COMPUTED_VALUE"""),3.0)</f>
        <v>3</v>
      </c>
      <c r="B173" s="68" t="str">
        <f>IFERROR(__xludf.DUMMYFUNCTION("""COMPUTED_VALUE"""),"CIENCIAS SOCIALES III")</f>
        <v>CIENCIAS SOCIALES III</v>
      </c>
      <c r="C173" s="69">
        <f>IFERROR(__xludf.DUMMYFUNCTION("""COMPUTED_VALUE"""),95.5)</f>
        <v>95.5</v>
      </c>
      <c r="D173" s="69" t="str">
        <f>IFERROR(__xludf.DUMMYFUNCTION("""COMPUTED_VALUE"""),"#DIV/0!")</f>
        <v>#DIV/0!</v>
      </c>
      <c r="E173" s="69">
        <f>IFERROR(__xludf.DUMMYFUNCTION("""COMPUTED_VALUE"""),0.0)</f>
        <v>0</v>
      </c>
      <c r="F173" s="70">
        <f>IFERROR(__xludf.DUMMYFUNCTION("""COMPUTED_VALUE"""),0.0)</f>
        <v>0</v>
      </c>
      <c r="G173" s="69">
        <f>IFERROR(__xludf.DUMMYFUNCTION("""COMPUTED_VALUE"""),0.0)</f>
        <v>0</v>
      </c>
      <c r="H173" s="68">
        <f>IFERROR(__xludf.DUMMYFUNCTION("""COMPUTED_VALUE"""),2.0)</f>
        <v>2</v>
      </c>
      <c r="I173" s="71">
        <f>IFERROR(__xludf.DUMMYFUNCTION("""COMPUTED_VALUE"""),46055.0)</f>
        <v>46055</v>
      </c>
    </row>
    <row r="174">
      <c r="A174" s="67">
        <f>IFERROR(__xludf.DUMMYFUNCTION("""COMPUTED_VALUE"""),3.0)</f>
        <v>3</v>
      </c>
      <c r="B174" s="68" t="str">
        <f>IFERROR(__xludf.DUMMYFUNCTION("""COMPUTED_VALUE"""),"COMUNIDADES VIRTUALES")</f>
        <v>COMUNIDADES VIRTUALES</v>
      </c>
      <c r="C174" s="69">
        <f>IFERROR(__xludf.DUMMYFUNCTION("""COMPUTED_VALUE"""),95.0909090909091)</f>
        <v>95.09090909</v>
      </c>
      <c r="D174" s="69" t="str">
        <f>IFERROR(__xludf.DUMMYFUNCTION("""COMPUTED_VALUE"""),"#DIV/0!")</f>
        <v>#DIV/0!</v>
      </c>
      <c r="E174" s="69">
        <f>IFERROR(__xludf.DUMMYFUNCTION("""COMPUTED_VALUE"""),0.0)</f>
        <v>0</v>
      </c>
      <c r="F174" s="70">
        <f>IFERROR(__xludf.DUMMYFUNCTION("""COMPUTED_VALUE"""),0.0)</f>
        <v>0</v>
      </c>
      <c r="G174" s="69">
        <f>IFERROR(__xludf.DUMMYFUNCTION("""COMPUTED_VALUE"""),0.0)</f>
        <v>0</v>
      </c>
      <c r="H174" s="68">
        <f>IFERROR(__xludf.DUMMYFUNCTION("""COMPUTED_VALUE"""),2.0)</f>
        <v>2</v>
      </c>
      <c r="I174" s="71">
        <f>IFERROR(__xludf.DUMMYFUNCTION("""COMPUTED_VALUE"""),46055.0)</f>
        <v>46055</v>
      </c>
    </row>
    <row r="175">
      <c r="A175" s="67">
        <f>IFERROR(__xludf.DUMMYFUNCTION("""COMPUTED_VALUE"""),3.0)</f>
        <v>3</v>
      </c>
      <c r="B175" s="68" t="str">
        <f>IFERROR(__xludf.DUMMYFUNCTION("""COMPUTED_VALUE"""),"MANTENIMIENTO DE REDES DE CÓMPUTO")</f>
        <v>MANTENIMIENTO DE REDES DE CÓMPUTO</v>
      </c>
      <c r="C175" s="69">
        <f>IFERROR(__xludf.DUMMYFUNCTION("""COMPUTED_VALUE"""),93.25)</f>
        <v>93.25</v>
      </c>
      <c r="D175" s="69" t="str">
        <f>IFERROR(__xludf.DUMMYFUNCTION("""COMPUTED_VALUE"""),"#DIV/0!")</f>
        <v>#DIV/0!</v>
      </c>
      <c r="E175" s="69">
        <f>IFERROR(__xludf.DUMMYFUNCTION("""COMPUTED_VALUE"""),0.0)</f>
        <v>0</v>
      </c>
      <c r="F175" s="70">
        <f>IFERROR(__xludf.DUMMYFUNCTION("""COMPUTED_VALUE"""),0.0)</f>
        <v>0</v>
      </c>
      <c r="G175" s="69">
        <f>IFERROR(__xludf.DUMMYFUNCTION("""COMPUTED_VALUE"""),0.0)</f>
        <v>0</v>
      </c>
      <c r="H175" s="68">
        <f>IFERROR(__xludf.DUMMYFUNCTION("""COMPUTED_VALUE"""),2.0)</f>
        <v>2</v>
      </c>
      <c r="I175" s="71">
        <f>IFERROR(__xludf.DUMMYFUNCTION("""COMPUTED_VALUE"""),46055.0)</f>
        <v>46055</v>
      </c>
    </row>
    <row r="176">
      <c r="A176" s="67">
        <f>IFERROR(__xludf.DUMMYFUNCTION("""COMPUTED_VALUE"""),3.0)</f>
        <v>3</v>
      </c>
      <c r="B176" s="68" t="str">
        <f>IFERROR(__xludf.DUMMYFUNCTION("""COMPUTED_VALUE"""),"ACTIVIDADES ARTÍSTICAS Y CULTURALES I ")</f>
        <v>ACTIVIDADES ARTÍSTICAS Y CULTURALES I </v>
      </c>
      <c r="C176" s="69">
        <f>IFERROR(__xludf.DUMMYFUNCTION("""COMPUTED_VALUE"""),93.25)</f>
        <v>93.25</v>
      </c>
      <c r="D176" s="69" t="str">
        <f>IFERROR(__xludf.DUMMYFUNCTION("""COMPUTED_VALUE"""),"#DIV/0!")</f>
        <v>#DIV/0!</v>
      </c>
      <c r="E176" s="69">
        <f>IFERROR(__xludf.DUMMYFUNCTION("""COMPUTED_VALUE"""),0.0)</f>
        <v>0</v>
      </c>
      <c r="F176" s="70">
        <f>IFERROR(__xludf.DUMMYFUNCTION("""COMPUTED_VALUE"""),0.0)</f>
        <v>0</v>
      </c>
      <c r="G176" s="69">
        <f>IFERROR(__xludf.DUMMYFUNCTION("""COMPUTED_VALUE"""),0.0)</f>
        <v>0</v>
      </c>
      <c r="H176" s="68">
        <f>IFERROR(__xludf.DUMMYFUNCTION("""COMPUTED_VALUE"""),2.0)</f>
        <v>2</v>
      </c>
      <c r="I176" s="71">
        <f>IFERROR(__xludf.DUMMYFUNCTION("""COMPUTED_VALUE"""),46055.0)</f>
        <v>46055</v>
      </c>
    </row>
    <row r="177">
      <c r="A177" s="67">
        <f>IFERROR(__xludf.DUMMYFUNCTION("""COMPUTED_VALUE"""),3.0)</f>
        <v>3</v>
      </c>
      <c r="B177" s="68" t="str">
        <f>IFERROR(__xludf.DUMMYFUNCTION("""COMPUTED_VALUE"""),"EDUCACIÓN INTEGRAL EN SEXUALIDAD Y GÉNERO II")</f>
        <v>EDUCACIÓN INTEGRAL EN SEXUALIDAD Y GÉNERO II</v>
      </c>
      <c r="C177" s="69">
        <f>IFERROR(__xludf.DUMMYFUNCTION("""COMPUTED_VALUE"""),93.25)</f>
        <v>93.25</v>
      </c>
      <c r="D177" s="69" t="str">
        <f>IFERROR(__xludf.DUMMYFUNCTION("""COMPUTED_VALUE"""),"#DIV/0!")</f>
        <v>#DIV/0!</v>
      </c>
      <c r="E177" s="69">
        <f>IFERROR(__xludf.DUMMYFUNCTION("""COMPUTED_VALUE"""),0.0)</f>
        <v>0</v>
      </c>
      <c r="F177" s="70">
        <f>IFERROR(__xludf.DUMMYFUNCTION("""COMPUTED_VALUE"""),0.0)</f>
        <v>0</v>
      </c>
      <c r="G177" s="69">
        <f>IFERROR(__xludf.DUMMYFUNCTION("""COMPUTED_VALUE"""),0.0)</f>
        <v>0</v>
      </c>
      <c r="H177" s="68">
        <f>IFERROR(__xludf.DUMMYFUNCTION("""COMPUTED_VALUE"""),2.0)</f>
        <v>2</v>
      </c>
      <c r="I177" s="71">
        <f>IFERROR(__xludf.DUMMYFUNCTION("""COMPUTED_VALUE"""),46055.0)</f>
        <v>46055</v>
      </c>
    </row>
    <row r="178">
      <c r="A178" s="72">
        <f>IFERROR(__xludf.DUMMYFUNCTION("""COMPUTED_VALUE"""),3.0)</f>
        <v>3</v>
      </c>
      <c r="B178" s="73" t="str">
        <f>IFERROR(__xludf.DUMMYFUNCTION("""COMPUTED_VALUE"""),"TEMAS SELECTOS DE IGUALDAD Y DERECHOS HUMANOS IV")</f>
        <v>TEMAS SELECTOS DE IGUALDAD Y DERECHOS HUMANOS IV</v>
      </c>
      <c r="C178" s="74">
        <f>IFERROR(__xludf.DUMMYFUNCTION("""COMPUTED_VALUE"""),93.25)</f>
        <v>93.25</v>
      </c>
      <c r="D178" s="74" t="str">
        <f>IFERROR(__xludf.DUMMYFUNCTION("""COMPUTED_VALUE"""),"#DIV/0!")</f>
        <v>#DIV/0!</v>
      </c>
      <c r="E178" s="74">
        <f>IFERROR(__xludf.DUMMYFUNCTION("""COMPUTED_VALUE"""),0.0)</f>
        <v>0</v>
      </c>
      <c r="F178" s="75">
        <f>IFERROR(__xludf.DUMMYFUNCTION("""COMPUTED_VALUE"""),0.0)</f>
        <v>0</v>
      </c>
      <c r="G178" s="74">
        <f>IFERROR(__xludf.DUMMYFUNCTION("""COMPUTED_VALUE"""),0.0)</f>
        <v>0</v>
      </c>
      <c r="H178" s="73">
        <f>IFERROR(__xludf.DUMMYFUNCTION("""COMPUTED_VALUE"""),2.0)</f>
        <v>2</v>
      </c>
      <c r="I178" s="76">
        <f>IFERROR(__xludf.DUMMYFUNCTION("""COMPUTED_VALUE"""),46055.0)</f>
        <v>46055</v>
      </c>
    </row>
    <row r="179">
      <c r="A179" s="77">
        <f>IFERROR(__xludf.DUMMYFUNCTION("IMPORTRANGE(""https://docs.google.com/spreadsheets/d/1rdtrjP3LiMJgI70CTLt7cOZ1vO3zeaWvg0YXkpzFtDw/edit?usp=sharing"",""INDICADORES!N2:V40"")"),1.0)</f>
        <v>1</v>
      </c>
      <c r="B179" s="78" t="str">
        <f>IFERROR(__xludf.DUMMYFUNCTION("""COMPUTED_VALUE"""),"PENSAMIENTO LITERARIO")</f>
        <v>PENSAMIENTO LITERARIO</v>
      </c>
      <c r="C179" s="79">
        <f>IFERROR(__xludf.DUMMYFUNCTION("""COMPUTED_VALUE"""),99.0)</f>
        <v>99</v>
      </c>
      <c r="D179" s="79">
        <f>IFERROR(__xludf.DUMMYFUNCTION("""COMPUTED_VALUE"""),7.644444444444445)</f>
        <v>7.644444444</v>
      </c>
      <c r="E179" s="79">
        <f>IFERROR(__xludf.DUMMYFUNCTION("""COMPUTED_VALUE"""),13.333333333333334)</f>
        <v>13.33333333</v>
      </c>
      <c r="F179" s="80">
        <f>IFERROR(__xludf.DUMMYFUNCTION("""COMPUTED_VALUE"""),6.0)</f>
        <v>6</v>
      </c>
      <c r="G179" s="79">
        <f>IFERROR(__xludf.DUMMYFUNCTION("""COMPUTED_VALUE"""),86.66666666666667)</f>
        <v>86.66666667</v>
      </c>
      <c r="H179" s="78">
        <f>IFERROR(__xludf.DUMMYFUNCTION("""COMPUTED_VALUE"""),2.0)</f>
        <v>2</v>
      </c>
      <c r="I179" s="81">
        <f>IFERROR(__xludf.DUMMYFUNCTION("""COMPUTED_VALUE"""),46056.0)</f>
        <v>46056</v>
      </c>
    </row>
    <row r="180">
      <c r="A180" s="82">
        <f>IFERROR(__xludf.DUMMYFUNCTION("""COMPUTED_VALUE"""),1.0)</f>
        <v>1</v>
      </c>
      <c r="B180" s="83" t="str">
        <f>IFERROR(__xludf.DUMMYFUNCTION("""COMPUTED_VALUE"""),"INGLÉS IV")</f>
        <v>INGLÉS IV</v>
      </c>
      <c r="C180" s="84">
        <f>IFERROR(__xludf.DUMMYFUNCTION("""COMPUTED_VALUE"""),99.03703703703704)</f>
        <v>99.03703704</v>
      </c>
      <c r="D180" s="84">
        <f>IFERROR(__xludf.DUMMYFUNCTION("""COMPUTED_VALUE"""),7.7555555555555555)</f>
        <v>7.755555556</v>
      </c>
      <c r="E180" s="84">
        <f>IFERROR(__xludf.DUMMYFUNCTION("""COMPUTED_VALUE"""),11.11111111111111)</f>
        <v>11.11111111</v>
      </c>
      <c r="F180" s="85">
        <f>IFERROR(__xludf.DUMMYFUNCTION("""COMPUTED_VALUE"""),5.0)</f>
        <v>5</v>
      </c>
      <c r="G180" s="84">
        <f>IFERROR(__xludf.DUMMYFUNCTION("""COMPUTED_VALUE"""),88.88888888888889)</f>
        <v>88.88888889</v>
      </c>
      <c r="H180" s="83">
        <f>IFERROR(__xludf.DUMMYFUNCTION("""COMPUTED_VALUE"""),2.0)</f>
        <v>2</v>
      </c>
      <c r="I180" s="86">
        <f>IFERROR(__xludf.DUMMYFUNCTION("""COMPUTED_VALUE"""),46056.0)</f>
        <v>46056</v>
      </c>
    </row>
    <row r="181">
      <c r="A181" s="82">
        <f>IFERROR(__xludf.DUMMYFUNCTION("""COMPUTED_VALUE"""),1.0)</f>
        <v>1</v>
      </c>
      <c r="B181" s="83" t="str">
        <f>IFERROR(__xludf.DUMMYFUNCTION("""COMPUTED_VALUE"""),"TEMAS SELECTOS DE MATEMÁTICAS I")</f>
        <v>TEMAS SELECTOS DE MATEMÁTICAS I</v>
      </c>
      <c r="C181" s="84">
        <f>IFERROR(__xludf.DUMMYFUNCTION("""COMPUTED_VALUE"""),99.0)</f>
        <v>99</v>
      </c>
      <c r="D181" s="84">
        <f>IFERROR(__xludf.DUMMYFUNCTION("""COMPUTED_VALUE"""),7.7555555555555555)</f>
        <v>7.755555556</v>
      </c>
      <c r="E181" s="84">
        <f>IFERROR(__xludf.DUMMYFUNCTION("""COMPUTED_VALUE"""),11.11111111111111)</f>
        <v>11.11111111</v>
      </c>
      <c r="F181" s="85">
        <f>IFERROR(__xludf.DUMMYFUNCTION("""COMPUTED_VALUE"""),5.0)</f>
        <v>5</v>
      </c>
      <c r="G181" s="84">
        <f>IFERROR(__xludf.DUMMYFUNCTION("""COMPUTED_VALUE"""),88.88888888888889)</f>
        <v>88.88888889</v>
      </c>
      <c r="H181" s="83">
        <f>IFERROR(__xludf.DUMMYFUNCTION("""COMPUTED_VALUE"""),2.0)</f>
        <v>2</v>
      </c>
      <c r="I181" s="86">
        <f>IFERROR(__xludf.DUMMYFUNCTION("""COMPUTED_VALUE"""),46056.0)</f>
        <v>46056</v>
      </c>
    </row>
    <row r="182">
      <c r="A182" s="82">
        <f>IFERROR(__xludf.DUMMYFUNCTION("""COMPUTED_VALUE"""),1.0)</f>
        <v>1</v>
      </c>
      <c r="B182" s="83" t="str">
        <f>IFERROR(__xludf.DUMMYFUNCTION("""COMPUTED_VALUE"""),"CONCIENCIA HISTORICA I")</f>
        <v>CONCIENCIA HISTORICA I</v>
      </c>
      <c r="C182" s="84">
        <f>IFERROR(__xludf.DUMMYFUNCTION("""COMPUTED_VALUE"""),96.66666666666667)</f>
        <v>96.66666667</v>
      </c>
      <c r="D182" s="84">
        <f>IFERROR(__xludf.DUMMYFUNCTION("""COMPUTED_VALUE"""),7.6)</f>
        <v>7.6</v>
      </c>
      <c r="E182" s="84">
        <f>IFERROR(__xludf.DUMMYFUNCTION("""COMPUTED_VALUE"""),13.333333333333334)</f>
        <v>13.33333333</v>
      </c>
      <c r="F182" s="85">
        <f>IFERROR(__xludf.DUMMYFUNCTION("""COMPUTED_VALUE"""),6.0)</f>
        <v>6</v>
      </c>
      <c r="G182" s="84">
        <f>IFERROR(__xludf.DUMMYFUNCTION("""COMPUTED_VALUE"""),86.66666666666667)</f>
        <v>86.66666667</v>
      </c>
      <c r="H182" s="83">
        <f>IFERROR(__xludf.DUMMYFUNCTION("""COMPUTED_VALUE"""),2.0)</f>
        <v>2</v>
      </c>
      <c r="I182" s="86">
        <f>IFERROR(__xludf.DUMMYFUNCTION("""COMPUTED_VALUE"""),46056.0)</f>
        <v>46056</v>
      </c>
    </row>
    <row r="183">
      <c r="A183" s="82">
        <f>IFERROR(__xludf.DUMMYFUNCTION("""COMPUTED_VALUE"""),1.0)</f>
        <v>1</v>
      </c>
      <c r="B183" s="83" t="str">
        <f>IFERROR(__xludf.DUMMYFUNCTION("""COMPUTED_VALUE"""),"TALLER DE CULTURA DIGITAL")</f>
        <v>TALLER DE CULTURA DIGITAL</v>
      </c>
      <c r="C183" s="84">
        <f>IFERROR(__xludf.DUMMYFUNCTION("""COMPUTED_VALUE"""),95.0)</f>
        <v>95</v>
      </c>
      <c r="D183" s="84">
        <f>IFERROR(__xludf.DUMMYFUNCTION("""COMPUTED_VALUE"""),7.666666666666667)</f>
        <v>7.666666667</v>
      </c>
      <c r="E183" s="84">
        <f>IFERROR(__xludf.DUMMYFUNCTION("""COMPUTED_VALUE"""),11.11111111111111)</f>
        <v>11.11111111</v>
      </c>
      <c r="F183" s="85">
        <f>IFERROR(__xludf.DUMMYFUNCTION("""COMPUTED_VALUE"""),5.0)</f>
        <v>5</v>
      </c>
      <c r="G183" s="84">
        <f>IFERROR(__xludf.DUMMYFUNCTION("""COMPUTED_VALUE"""),88.88888888888889)</f>
        <v>88.88888889</v>
      </c>
      <c r="H183" s="83">
        <f>IFERROR(__xludf.DUMMYFUNCTION("""COMPUTED_VALUE"""),2.0)</f>
        <v>2</v>
      </c>
      <c r="I183" s="86">
        <f>IFERROR(__xludf.DUMMYFUNCTION("""COMPUTED_VALUE"""),46056.0)</f>
        <v>46056</v>
      </c>
    </row>
    <row r="184">
      <c r="A184" s="82">
        <f>IFERROR(__xludf.DUMMYFUNCTION("""COMPUTED_VALUE"""),1.0)</f>
        <v>1</v>
      </c>
      <c r="B184" s="83" t="str">
        <f>IFERROR(__xludf.DUMMYFUNCTION("""COMPUTED_VALUE"""),"REACCIONES QUÍMICAS")</f>
        <v>REACCIONES QUÍMICAS</v>
      </c>
      <c r="C184" s="84">
        <f>IFERROR(__xludf.DUMMYFUNCTION("""COMPUTED_VALUE"""),96.0)</f>
        <v>96</v>
      </c>
      <c r="D184" s="84">
        <f>IFERROR(__xludf.DUMMYFUNCTION("""COMPUTED_VALUE"""),7.6)</f>
        <v>7.6</v>
      </c>
      <c r="E184" s="84">
        <f>IFERROR(__xludf.DUMMYFUNCTION("""COMPUTED_VALUE"""),13.333333333333334)</f>
        <v>13.33333333</v>
      </c>
      <c r="F184" s="85">
        <f>IFERROR(__xludf.DUMMYFUNCTION("""COMPUTED_VALUE"""),6.0)</f>
        <v>6</v>
      </c>
      <c r="G184" s="84">
        <f>IFERROR(__xludf.DUMMYFUNCTION("""COMPUTED_VALUE"""),86.66666666666667)</f>
        <v>86.66666667</v>
      </c>
      <c r="H184" s="83">
        <f>IFERROR(__xludf.DUMMYFUNCTION("""COMPUTED_VALUE"""),2.0)</f>
        <v>2</v>
      </c>
      <c r="I184" s="86">
        <f>IFERROR(__xludf.DUMMYFUNCTION("""COMPUTED_VALUE"""),46056.0)</f>
        <v>46056</v>
      </c>
    </row>
    <row r="185">
      <c r="A185" s="82">
        <f>IFERROR(__xludf.DUMMYFUNCTION("""COMPUTED_VALUE"""),1.0)</f>
        <v>1</v>
      </c>
      <c r="B185" s="83" t="str">
        <f>IFERROR(__xludf.DUMMYFUNCTION("""COMPUTED_VALUE"""),"ESPACIO Y SOCIEDAD")</f>
        <v>ESPACIO Y SOCIEDAD</v>
      </c>
      <c r="C185" s="84">
        <f>IFERROR(__xludf.DUMMYFUNCTION("""COMPUTED_VALUE"""),94.0)</f>
        <v>94</v>
      </c>
      <c r="D185" s="84">
        <f>IFERROR(__xludf.DUMMYFUNCTION("""COMPUTED_VALUE"""),7.6)</f>
        <v>7.6</v>
      </c>
      <c r="E185" s="84">
        <f>IFERROR(__xludf.DUMMYFUNCTION("""COMPUTED_VALUE"""),13.333333333333334)</f>
        <v>13.33333333</v>
      </c>
      <c r="F185" s="85">
        <f>IFERROR(__xludf.DUMMYFUNCTION("""COMPUTED_VALUE"""),6.0)</f>
        <v>6</v>
      </c>
      <c r="G185" s="84">
        <f>IFERROR(__xludf.DUMMYFUNCTION("""COMPUTED_VALUE"""),86.66666666666667)</f>
        <v>86.66666667</v>
      </c>
      <c r="H185" s="83">
        <f>IFERROR(__xludf.DUMMYFUNCTION("""COMPUTED_VALUE"""),2.0)</f>
        <v>2</v>
      </c>
      <c r="I185" s="86">
        <f>IFERROR(__xludf.DUMMYFUNCTION("""COMPUTED_VALUE"""),46056.0)</f>
        <v>46056</v>
      </c>
    </row>
    <row r="186">
      <c r="A186" s="82">
        <f>IFERROR(__xludf.DUMMYFUNCTION("""COMPUTED_VALUE"""),1.0)</f>
        <v>1</v>
      </c>
      <c r="B186" s="83" t="str">
        <f>IFERROR(__xludf.DUMMYFUNCTION("""COMPUTED_VALUE"""),"CIENCIAS SOCIALES III")</f>
        <v>CIENCIAS SOCIALES III</v>
      </c>
      <c r="C186" s="84">
        <f>IFERROR(__xludf.DUMMYFUNCTION("""COMPUTED_VALUE"""),95.0)</f>
        <v>95</v>
      </c>
      <c r="D186" s="84">
        <f>IFERROR(__xludf.DUMMYFUNCTION("""COMPUTED_VALUE"""),7.6)</f>
        <v>7.6</v>
      </c>
      <c r="E186" s="84">
        <f>IFERROR(__xludf.DUMMYFUNCTION("""COMPUTED_VALUE"""),13.333333333333334)</f>
        <v>13.33333333</v>
      </c>
      <c r="F186" s="85">
        <f>IFERROR(__xludf.DUMMYFUNCTION("""COMPUTED_VALUE"""),6.0)</f>
        <v>6</v>
      </c>
      <c r="G186" s="84">
        <f>IFERROR(__xludf.DUMMYFUNCTION("""COMPUTED_VALUE"""),86.66666666666667)</f>
        <v>86.66666667</v>
      </c>
      <c r="H186" s="83">
        <f>IFERROR(__xludf.DUMMYFUNCTION("""COMPUTED_VALUE"""),2.0)</f>
        <v>2</v>
      </c>
      <c r="I186" s="86">
        <f>IFERROR(__xludf.DUMMYFUNCTION("""COMPUTED_VALUE"""),46056.0)</f>
        <v>46056</v>
      </c>
    </row>
    <row r="187">
      <c r="A187" s="82">
        <f>IFERROR(__xludf.DUMMYFUNCTION("""COMPUTED_VALUE"""),1.0)</f>
        <v>1</v>
      </c>
      <c r="B187" s="83" t="str">
        <f>IFERROR(__xludf.DUMMYFUNCTION("""COMPUTED_VALUE"""),"COMUNIDADES VIRTUALES")</f>
        <v>COMUNIDADES VIRTUALES</v>
      </c>
      <c r="C187" s="84">
        <f>IFERROR(__xludf.DUMMYFUNCTION("""COMPUTED_VALUE"""),94.54545454545455)</f>
        <v>94.54545455</v>
      </c>
      <c r="D187" s="84">
        <f>IFERROR(__xludf.DUMMYFUNCTION("""COMPUTED_VALUE"""),7.6)</f>
        <v>7.6</v>
      </c>
      <c r="E187" s="84">
        <f>IFERROR(__xludf.DUMMYFUNCTION("""COMPUTED_VALUE"""),13.333333333333334)</f>
        <v>13.33333333</v>
      </c>
      <c r="F187" s="85">
        <f>IFERROR(__xludf.DUMMYFUNCTION("""COMPUTED_VALUE"""),6.0)</f>
        <v>6</v>
      </c>
      <c r="G187" s="84">
        <f>IFERROR(__xludf.DUMMYFUNCTION("""COMPUTED_VALUE"""),86.66666666666667)</f>
        <v>86.66666667</v>
      </c>
      <c r="H187" s="83">
        <f>IFERROR(__xludf.DUMMYFUNCTION("""COMPUTED_VALUE"""),2.0)</f>
        <v>2</v>
      </c>
      <c r="I187" s="86">
        <f>IFERROR(__xludf.DUMMYFUNCTION("""COMPUTED_VALUE"""),46056.0)</f>
        <v>46056</v>
      </c>
    </row>
    <row r="188">
      <c r="A188" s="82">
        <f>IFERROR(__xludf.DUMMYFUNCTION("""COMPUTED_VALUE"""),1.0)</f>
        <v>1</v>
      </c>
      <c r="B188" s="83" t="str">
        <f>IFERROR(__xludf.DUMMYFUNCTION("""COMPUTED_VALUE"""),"MANTENIMIENTO DE REDES DE CÓMPUTO")</f>
        <v>MANTENIMIENTO DE REDES DE CÓMPUTO</v>
      </c>
      <c r="C188" s="84">
        <f>IFERROR(__xludf.DUMMYFUNCTION("""COMPUTED_VALUE"""),92.5)</f>
        <v>92.5</v>
      </c>
      <c r="D188" s="84">
        <f>IFERROR(__xludf.DUMMYFUNCTION("""COMPUTED_VALUE"""),7.6)</f>
        <v>7.6</v>
      </c>
      <c r="E188" s="84">
        <f>IFERROR(__xludf.DUMMYFUNCTION("""COMPUTED_VALUE"""),13.333333333333334)</f>
        <v>13.33333333</v>
      </c>
      <c r="F188" s="85">
        <f>IFERROR(__xludf.DUMMYFUNCTION("""COMPUTED_VALUE"""),6.0)</f>
        <v>6</v>
      </c>
      <c r="G188" s="84">
        <f>IFERROR(__xludf.DUMMYFUNCTION("""COMPUTED_VALUE"""),86.66666666666667)</f>
        <v>86.66666667</v>
      </c>
      <c r="H188" s="83">
        <f>IFERROR(__xludf.DUMMYFUNCTION("""COMPUTED_VALUE"""),2.0)</f>
        <v>2</v>
      </c>
      <c r="I188" s="86">
        <f>IFERROR(__xludf.DUMMYFUNCTION("""COMPUTED_VALUE"""),46056.0)</f>
        <v>46056</v>
      </c>
    </row>
    <row r="189">
      <c r="A189" s="82">
        <f>IFERROR(__xludf.DUMMYFUNCTION("""COMPUTED_VALUE"""),1.0)</f>
        <v>1</v>
      </c>
      <c r="B189" s="83" t="str">
        <f>IFERROR(__xludf.DUMMYFUNCTION("""COMPUTED_VALUE"""),"ACTIVIDADES ARTÍSTICAS Y CULTURALES I ")</f>
        <v>ACTIVIDADES ARTÍSTICAS Y CULTURALES I </v>
      </c>
      <c r="C189" s="84">
        <f>IFERROR(__xludf.DUMMYFUNCTION("""COMPUTED_VALUE"""),92.5)</f>
        <v>92.5</v>
      </c>
      <c r="D189" s="84">
        <f>IFERROR(__xludf.DUMMYFUNCTION("""COMPUTED_VALUE"""),7.6)</f>
        <v>7.6</v>
      </c>
      <c r="E189" s="84">
        <f>IFERROR(__xludf.DUMMYFUNCTION("""COMPUTED_VALUE"""),13.333333333333334)</f>
        <v>13.33333333</v>
      </c>
      <c r="F189" s="85">
        <f>IFERROR(__xludf.DUMMYFUNCTION("""COMPUTED_VALUE"""),6.0)</f>
        <v>6</v>
      </c>
      <c r="G189" s="84">
        <f>IFERROR(__xludf.DUMMYFUNCTION("""COMPUTED_VALUE"""),86.66666666666667)</f>
        <v>86.66666667</v>
      </c>
      <c r="H189" s="83">
        <f>IFERROR(__xludf.DUMMYFUNCTION("""COMPUTED_VALUE"""),2.0)</f>
        <v>2</v>
      </c>
      <c r="I189" s="86">
        <f>IFERROR(__xludf.DUMMYFUNCTION("""COMPUTED_VALUE"""),46056.0)</f>
        <v>46056</v>
      </c>
    </row>
    <row r="190">
      <c r="A190" s="82">
        <f>IFERROR(__xludf.DUMMYFUNCTION("""COMPUTED_VALUE"""),1.0)</f>
        <v>1</v>
      </c>
      <c r="B190" s="83" t="str">
        <f>IFERROR(__xludf.DUMMYFUNCTION("""COMPUTED_VALUE"""),"EDUCACIÓN INTEGRAL EN SEXUALIDAD Y GÉNERO II")</f>
        <v>EDUCACIÓN INTEGRAL EN SEXUALIDAD Y GÉNERO II</v>
      </c>
      <c r="C190" s="84">
        <f>IFERROR(__xludf.DUMMYFUNCTION("""COMPUTED_VALUE"""),92.5)</f>
        <v>92.5</v>
      </c>
      <c r="D190" s="84">
        <f>IFERROR(__xludf.DUMMYFUNCTION("""COMPUTED_VALUE"""),7.6)</f>
        <v>7.6</v>
      </c>
      <c r="E190" s="84">
        <f>IFERROR(__xludf.DUMMYFUNCTION("""COMPUTED_VALUE"""),13.333333333333334)</f>
        <v>13.33333333</v>
      </c>
      <c r="F190" s="85">
        <f>IFERROR(__xludf.DUMMYFUNCTION("""COMPUTED_VALUE"""),6.0)</f>
        <v>6</v>
      </c>
      <c r="G190" s="84">
        <f>IFERROR(__xludf.DUMMYFUNCTION("""COMPUTED_VALUE"""),86.66666666666667)</f>
        <v>86.66666667</v>
      </c>
      <c r="H190" s="83">
        <f>IFERROR(__xludf.DUMMYFUNCTION("""COMPUTED_VALUE"""),2.0)</f>
        <v>2</v>
      </c>
      <c r="I190" s="86">
        <f>IFERROR(__xludf.DUMMYFUNCTION("""COMPUTED_VALUE"""),46056.0)</f>
        <v>46056</v>
      </c>
    </row>
    <row r="191">
      <c r="A191" s="87">
        <f>IFERROR(__xludf.DUMMYFUNCTION("""COMPUTED_VALUE"""),1.0)</f>
        <v>1</v>
      </c>
      <c r="B191" s="88" t="str">
        <f>IFERROR(__xludf.DUMMYFUNCTION("""COMPUTED_VALUE"""),"TEMAS SELECTOS DE IGUALDAD Y DERECHOS HUMANOS IV")</f>
        <v>TEMAS SELECTOS DE IGUALDAD Y DERECHOS HUMANOS IV</v>
      </c>
      <c r="C191" s="89">
        <f>IFERROR(__xludf.DUMMYFUNCTION("""COMPUTED_VALUE"""),92.5)</f>
        <v>92.5</v>
      </c>
      <c r="D191" s="89">
        <f>IFERROR(__xludf.DUMMYFUNCTION("""COMPUTED_VALUE"""),7.644444444444445)</f>
        <v>7.644444444</v>
      </c>
      <c r="E191" s="89">
        <f>IFERROR(__xludf.DUMMYFUNCTION("""COMPUTED_VALUE"""),13.333333333333334)</f>
        <v>13.33333333</v>
      </c>
      <c r="F191" s="90">
        <f>IFERROR(__xludf.DUMMYFUNCTION("""COMPUTED_VALUE"""),6.0)</f>
        <v>6</v>
      </c>
      <c r="G191" s="89">
        <f>IFERROR(__xludf.DUMMYFUNCTION("""COMPUTED_VALUE"""),86.66666666666667)</f>
        <v>86.66666667</v>
      </c>
      <c r="H191" s="88">
        <f>IFERROR(__xludf.DUMMYFUNCTION("""COMPUTED_VALUE"""),2.0)</f>
        <v>2</v>
      </c>
      <c r="I191" s="91">
        <f>IFERROR(__xludf.DUMMYFUNCTION("""COMPUTED_VALUE"""),46056.0)</f>
        <v>46056</v>
      </c>
    </row>
    <row r="192">
      <c r="A192" s="77">
        <f>IFERROR(__xludf.DUMMYFUNCTION("""COMPUTED_VALUE"""),2.0)</f>
        <v>2</v>
      </c>
      <c r="B192" s="78" t="str">
        <f>IFERROR(__xludf.DUMMYFUNCTION("""COMPUTED_VALUE"""),"PENSAMIENTO LITERARIO")</f>
        <v>PENSAMIENTO LITERARIO</v>
      </c>
      <c r="C192" s="79">
        <f>IFERROR(__xludf.DUMMYFUNCTION("""COMPUTED_VALUE"""),99.0)</f>
        <v>99</v>
      </c>
      <c r="D192" s="79" t="str">
        <f>IFERROR(__xludf.DUMMYFUNCTION("""COMPUTED_VALUE"""),"#DIV/0!")</f>
        <v>#DIV/0!</v>
      </c>
      <c r="E192" s="79">
        <f>IFERROR(__xludf.DUMMYFUNCTION("""COMPUTED_VALUE"""),0.0)</f>
        <v>0</v>
      </c>
      <c r="F192" s="80">
        <f>IFERROR(__xludf.DUMMYFUNCTION("""COMPUTED_VALUE"""),0.0)</f>
        <v>0</v>
      </c>
      <c r="G192" s="79">
        <f>IFERROR(__xludf.DUMMYFUNCTION("""COMPUTED_VALUE"""),0.0)</f>
        <v>0</v>
      </c>
      <c r="H192" s="78">
        <f>IFERROR(__xludf.DUMMYFUNCTION("""COMPUTED_VALUE"""),2.0)</f>
        <v>2</v>
      </c>
      <c r="I192" s="81">
        <f>IFERROR(__xludf.DUMMYFUNCTION("""COMPUTED_VALUE"""),46056.0)</f>
        <v>46056</v>
      </c>
    </row>
    <row r="193">
      <c r="A193" s="82">
        <f>IFERROR(__xludf.DUMMYFUNCTION("""COMPUTED_VALUE"""),2.0)</f>
        <v>2</v>
      </c>
      <c r="B193" s="83" t="str">
        <f>IFERROR(__xludf.DUMMYFUNCTION("""COMPUTED_VALUE"""),"INGLÉS IV")</f>
        <v>INGLÉS IV</v>
      </c>
      <c r="C193" s="84">
        <f>IFERROR(__xludf.DUMMYFUNCTION("""COMPUTED_VALUE"""),99.03703703703704)</f>
        <v>99.03703704</v>
      </c>
      <c r="D193" s="84" t="str">
        <f>IFERROR(__xludf.DUMMYFUNCTION("""COMPUTED_VALUE"""),"#DIV/0!")</f>
        <v>#DIV/0!</v>
      </c>
      <c r="E193" s="84">
        <f>IFERROR(__xludf.DUMMYFUNCTION("""COMPUTED_VALUE"""),0.0)</f>
        <v>0</v>
      </c>
      <c r="F193" s="85">
        <f>IFERROR(__xludf.DUMMYFUNCTION("""COMPUTED_VALUE"""),0.0)</f>
        <v>0</v>
      </c>
      <c r="G193" s="84">
        <f>IFERROR(__xludf.DUMMYFUNCTION("""COMPUTED_VALUE"""),0.0)</f>
        <v>0</v>
      </c>
      <c r="H193" s="83">
        <f>IFERROR(__xludf.DUMMYFUNCTION("""COMPUTED_VALUE"""),2.0)</f>
        <v>2</v>
      </c>
      <c r="I193" s="86">
        <f>IFERROR(__xludf.DUMMYFUNCTION("""COMPUTED_VALUE"""),46056.0)</f>
        <v>46056</v>
      </c>
    </row>
    <row r="194">
      <c r="A194" s="82">
        <f>IFERROR(__xludf.DUMMYFUNCTION("""COMPUTED_VALUE"""),2.0)</f>
        <v>2</v>
      </c>
      <c r="B194" s="83" t="str">
        <f>IFERROR(__xludf.DUMMYFUNCTION("""COMPUTED_VALUE"""),"TEMAS SELECTOS DE MATEMÁTICAS I")</f>
        <v>TEMAS SELECTOS DE MATEMÁTICAS I</v>
      </c>
      <c r="C194" s="84">
        <f>IFERROR(__xludf.DUMMYFUNCTION("""COMPUTED_VALUE"""),99.0)</f>
        <v>99</v>
      </c>
      <c r="D194" s="84" t="str">
        <f>IFERROR(__xludf.DUMMYFUNCTION("""COMPUTED_VALUE"""),"#DIV/0!")</f>
        <v>#DIV/0!</v>
      </c>
      <c r="E194" s="84">
        <f>IFERROR(__xludf.DUMMYFUNCTION("""COMPUTED_VALUE"""),0.0)</f>
        <v>0</v>
      </c>
      <c r="F194" s="85">
        <f>IFERROR(__xludf.DUMMYFUNCTION("""COMPUTED_VALUE"""),0.0)</f>
        <v>0</v>
      </c>
      <c r="G194" s="84">
        <f>IFERROR(__xludf.DUMMYFUNCTION("""COMPUTED_VALUE"""),0.0)</f>
        <v>0</v>
      </c>
      <c r="H194" s="83">
        <f>IFERROR(__xludf.DUMMYFUNCTION("""COMPUTED_VALUE"""),2.0)</f>
        <v>2</v>
      </c>
      <c r="I194" s="86">
        <f>IFERROR(__xludf.DUMMYFUNCTION("""COMPUTED_VALUE"""),46056.0)</f>
        <v>46056</v>
      </c>
    </row>
    <row r="195">
      <c r="A195" s="82">
        <f>IFERROR(__xludf.DUMMYFUNCTION("""COMPUTED_VALUE"""),2.0)</f>
        <v>2</v>
      </c>
      <c r="B195" s="83" t="str">
        <f>IFERROR(__xludf.DUMMYFUNCTION("""COMPUTED_VALUE"""),"CONCIENCIA HISTORICA I")</f>
        <v>CONCIENCIA HISTORICA I</v>
      </c>
      <c r="C195" s="84">
        <f>IFERROR(__xludf.DUMMYFUNCTION("""COMPUTED_VALUE"""),96.66666666666667)</f>
        <v>96.66666667</v>
      </c>
      <c r="D195" s="84" t="str">
        <f>IFERROR(__xludf.DUMMYFUNCTION("""COMPUTED_VALUE"""),"#DIV/0!")</f>
        <v>#DIV/0!</v>
      </c>
      <c r="E195" s="84">
        <f>IFERROR(__xludf.DUMMYFUNCTION("""COMPUTED_VALUE"""),0.0)</f>
        <v>0</v>
      </c>
      <c r="F195" s="85">
        <f>IFERROR(__xludf.DUMMYFUNCTION("""COMPUTED_VALUE"""),0.0)</f>
        <v>0</v>
      </c>
      <c r="G195" s="84">
        <f>IFERROR(__xludf.DUMMYFUNCTION("""COMPUTED_VALUE"""),0.0)</f>
        <v>0</v>
      </c>
      <c r="H195" s="83">
        <f>IFERROR(__xludf.DUMMYFUNCTION("""COMPUTED_VALUE"""),2.0)</f>
        <v>2</v>
      </c>
      <c r="I195" s="86">
        <f>IFERROR(__xludf.DUMMYFUNCTION("""COMPUTED_VALUE"""),46056.0)</f>
        <v>46056</v>
      </c>
    </row>
    <row r="196">
      <c r="A196" s="82">
        <f>IFERROR(__xludf.DUMMYFUNCTION("""COMPUTED_VALUE"""),2.0)</f>
        <v>2</v>
      </c>
      <c r="B196" s="83" t="str">
        <f>IFERROR(__xludf.DUMMYFUNCTION("""COMPUTED_VALUE"""),"TALLER DE CULTURA DIGITAL")</f>
        <v>TALLER DE CULTURA DIGITAL</v>
      </c>
      <c r="C196" s="84">
        <f>IFERROR(__xludf.DUMMYFUNCTION("""COMPUTED_VALUE"""),95.0)</f>
        <v>95</v>
      </c>
      <c r="D196" s="84" t="str">
        <f>IFERROR(__xludf.DUMMYFUNCTION("""COMPUTED_VALUE"""),"#DIV/0!")</f>
        <v>#DIV/0!</v>
      </c>
      <c r="E196" s="84">
        <f>IFERROR(__xludf.DUMMYFUNCTION("""COMPUTED_VALUE"""),0.0)</f>
        <v>0</v>
      </c>
      <c r="F196" s="85">
        <f>IFERROR(__xludf.DUMMYFUNCTION("""COMPUTED_VALUE"""),0.0)</f>
        <v>0</v>
      </c>
      <c r="G196" s="84">
        <f>IFERROR(__xludf.DUMMYFUNCTION("""COMPUTED_VALUE"""),0.0)</f>
        <v>0</v>
      </c>
      <c r="H196" s="83">
        <f>IFERROR(__xludf.DUMMYFUNCTION("""COMPUTED_VALUE"""),2.0)</f>
        <v>2</v>
      </c>
      <c r="I196" s="86">
        <f>IFERROR(__xludf.DUMMYFUNCTION("""COMPUTED_VALUE"""),46056.0)</f>
        <v>46056</v>
      </c>
    </row>
    <row r="197">
      <c r="A197" s="82">
        <f>IFERROR(__xludf.DUMMYFUNCTION("""COMPUTED_VALUE"""),2.0)</f>
        <v>2</v>
      </c>
      <c r="B197" s="83" t="str">
        <f>IFERROR(__xludf.DUMMYFUNCTION("""COMPUTED_VALUE"""),"REACCIONES QUÍMICAS")</f>
        <v>REACCIONES QUÍMICAS</v>
      </c>
      <c r="C197" s="84">
        <f>IFERROR(__xludf.DUMMYFUNCTION("""COMPUTED_VALUE"""),96.0)</f>
        <v>96</v>
      </c>
      <c r="D197" s="84" t="str">
        <f>IFERROR(__xludf.DUMMYFUNCTION("""COMPUTED_VALUE"""),"#DIV/0!")</f>
        <v>#DIV/0!</v>
      </c>
      <c r="E197" s="84">
        <f>IFERROR(__xludf.DUMMYFUNCTION("""COMPUTED_VALUE"""),0.0)</f>
        <v>0</v>
      </c>
      <c r="F197" s="85">
        <f>IFERROR(__xludf.DUMMYFUNCTION("""COMPUTED_VALUE"""),0.0)</f>
        <v>0</v>
      </c>
      <c r="G197" s="84">
        <f>IFERROR(__xludf.DUMMYFUNCTION("""COMPUTED_VALUE"""),0.0)</f>
        <v>0</v>
      </c>
      <c r="H197" s="83">
        <f>IFERROR(__xludf.DUMMYFUNCTION("""COMPUTED_VALUE"""),2.0)</f>
        <v>2</v>
      </c>
      <c r="I197" s="86">
        <f>IFERROR(__xludf.DUMMYFUNCTION("""COMPUTED_VALUE"""),46056.0)</f>
        <v>46056</v>
      </c>
    </row>
    <row r="198">
      <c r="A198" s="82">
        <f>IFERROR(__xludf.DUMMYFUNCTION("""COMPUTED_VALUE"""),2.0)</f>
        <v>2</v>
      </c>
      <c r="B198" s="83" t="str">
        <f>IFERROR(__xludf.DUMMYFUNCTION("""COMPUTED_VALUE"""),"ESPACIO Y SOCIEDAD")</f>
        <v>ESPACIO Y SOCIEDAD</v>
      </c>
      <c r="C198" s="84">
        <f>IFERROR(__xludf.DUMMYFUNCTION("""COMPUTED_VALUE"""),94.0)</f>
        <v>94</v>
      </c>
      <c r="D198" s="84" t="str">
        <f>IFERROR(__xludf.DUMMYFUNCTION("""COMPUTED_VALUE"""),"#DIV/0!")</f>
        <v>#DIV/0!</v>
      </c>
      <c r="E198" s="84">
        <f>IFERROR(__xludf.DUMMYFUNCTION("""COMPUTED_VALUE"""),0.0)</f>
        <v>0</v>
      </c>
      <c r="F198" s="85">
        <f>IFERROR(__xludf.DUMMYFUNCTION("""COMPUTED_VALUE"""),0.0)</f>
        <v>0</v>
      </c>
      <c r="G198" s="84">
        <f>IFERROR(__xludf.DUMMYFUNCTION("""COMPUTED_VALUE"""),0.0)</f>
        <v>0</v>
      </c>
      <c r="H198" s="83">
        <f>IFERROR(__xludf.DUMMYFUNCTION("""COMPUTED_VALUE"""),2.0)</f>
        <v>2</v>
      </c>
      <c r="I198" s="86">
        <f>IFERROR(__xludf.DUMMYFUNCTION("""COMPUTED_VALUE"""),46056.0)</f>
        <v>46056</v>
      </c>
    </row>
    <row r="199">
      <c r="A199" s="82">
        <f>IFERROR(__xludf.DUMMYFUNCTION("""COMPUTED_VALUE"""),2.0)</f>
        <v>2</v>
      </c>
      <c r="B199" s="83" t="str">
        <f>IFERROR(__xludf.DUMMYFUNCTION("""COMPUTED_VALUE"""),"CIENCIAS SOCIALES III")</f>
        <v>CIENCIAS SOCIALES III</v>
      </c>
      <c r="C199" s="84">
        <f>IFERROR(__xludf.DUMMYFUNCTION("""COMPUTED_VALUE"""),95.0)</f>
        <v>95</v>
      </c>
      <c r="D199" s="84" t="str">
        <f>IFERROR(__xludf.DUMMYFUNCTION("""COMPUTED_VALUE"""),"#DIV/0!")</f>
        <v>#DIV/0!</v>
      </c>
      <c r="E199" s="84">
        <f>IFERROR(__xludf.DUMMYFUNCTION("""COMPUTED_VALUE"""),0.0)</f>
        <v>0</v>
      </c>
      <c r="F199" s="85">
        <f>IFERROR(__xludf.DUMMYFUNCTION("""COMPUTED_VALUE"""),0.0)</f>
        <v>0</v>
      </c>
      <c r="G199" s="84">
        <f>IFERROR(__xludf.DUMMYFUNCTION("""COMPUTED_VALUE"""),0.0)</f>
        <v>0</v>
      </c>
      <c r="H199" s="83">
        <f>IFERROR(__xludf.DUMMYFUNCTION("""COMPUTED_VALUE"""),2.0)</f>
        <v>2</v>
      </c>
      <c r="I199" s="86">
        <f>IFERROR(__xludf.DUMMYFUNCTION("""COMPUTED_VALUE"""),46056.0)</f>
        <v>46056</v>
      </c>
    </row>
    <row r="200">
      <c r="A200" s="82">
        <f>IFERROR(__xludf.DUMMYFUNCTION("""COMPUTED_VALUE"""),2.0)</f>
        <v>2</v>
      </c>
      <c r="B200" s="83" t="str">
        <f>IFERROR(__xludf.DUMMYFUNCTION("""COMPUTED_VALUE"""),"COMUNIDADES VIRTUALES")</f>
        <v>COMUNIDADES VIRTUALES</v>
      </c>
      <c r="C200" s="84">
        <f>IFERROR(__xludf.DUMMYFUNCTION("""COMPUTED_VALUE"""),94.54545454545455)</f>
        <v>94.54545455</v>
      </c>
      <c r="D200" s="84" t="str">
        <f>IFERROR(__xludf.DUMMYFUNCTION("""COMPUTED_VALUE"""),"#DIV/0!")</f>
        <v>#DIV/0!</v>
      </c>
      <c r="E200" s="84">
        <f>IFERROR(__xludf.DUMMYFUNCTION("""COMPUTED_VALUE"""),0.0)</f>
        <v>0</v>
      </c>
      <c r="F200" s="85">
        <f>IFERROR(__xludf.DUMMYFUNCTION("""COMPUTED_VALUE"""),0.0)</f>
        <v>0</v>
      </c>
      <c r="G200" s="84">
        <f>IFERROR(__xludf.DUMMYFUNCTION("""COMPUTED_VALUE"""),0.0)</f>
        <v>0</v>
      </c>
      <c r="H200" s="83">
        <f>IFERROR(__xludf.DUMMYFUNCTION("""COMPUTED_VALUE"""),2.0)</f>
        <v>2</v>
      </c>
      <c r="I200" s="86">
        <f>IFERROR(__xludf.DUMMYFUNCTION("""COMPUTED_VALUE"""),46056.0)</f>
        <v>46056</v>
      </c>
    </row>
    <row r="201">
      <c r="A201" s="82">
        <f>IFERROR(__xludf.DUMMYFUNCTION("""COMPUTED_VALUE"""),2.0)</f>
        <v>2</v>
      </c>
      <c r="B201" s="83" t="str">
        <f>IFERROR(__xludf.DUMMYFUNCTION("""COMPUTED_VALUE"""),"MANTENIMIENTO DE REDES DE CÓMPUTO")</f>
        <v>MANTENIMIENTO DE REDES DE CÓMPUTO</v>
      </c>
      <c r="C201" s="84">
        <f>IFERROR(__xludf.DUMMYFUNCTION("""COMPUTED_VALUE"""),92.5)</f>
        <v>92.5</v>
      </c>
      <c r="D201" s="84" t="str">
        <f>IFERROR(__xludf.DUMMYFUNCTION("""COMPUTED_VALUE"""),"#DIV/0!")</f>
        <v>#DIV/0!</v>
      </c>
      <c r="E201" s="84">
        <f>IFERROR(__xludf.DUMMYFUNCTION("""COMPUTED_VALUE"""),0.0)</f>
        <v>0</v>
      </c>
      <c r="F201" s="85">
        <f>IFERROR(__xludf.DUMMYFUNCTION("""COMPUTED_VALUE"""),0.0)</f>
        <v>0</v>
      </c>
      <c r="G201" s="84">
        <f>IFERROR(__xludf.DUMMYFUNCTION("""COMPUTED_VALUE"""),0.0)</f>
        <v>0</v>
      </c>
      <c r="H201" s="83">
        <f>IFERROR(__xludf.DUMMYFUNCTION("""COMPUTED_VALUE"""),2.0)</f>
        <v>2</v>
      </c>
      <c r="I201" s="86">
        <f>IFERROR(__xludf.DUMMYFUNCTION("""COMPUTED_VALUE"""),46056.0)</f>
        <v>46056</v>
      </c>
    </row>
    <row r="202">
      <c r="A202" s="82">
        <f>IFERROR(__xludf.DUMMYFUNCTION("""COMPUTED_VALUE"""),2.0)</f>
        <v>2</v>
      </c>
      <c r="B202" s="83" t="str">
        <f>IFERROR(__xludf.DUMMYFUNCTION("""COMPUTED_VALUE"""),"ACTIVIDADES ARTÍSTICAS Y CULTURALES I ")</f>
        <v>ACTIVIDADES ARTÍSTICAS Y CULTURALES I </v>
      </c>
      <c r="C202" s="84">
        <f>IFERROR(__xludf.DUMMYFUNCTION("""COMPUTED_VALUE"""),92.5)</f>
        <v>92.5</v>
      </c>
      <c r="D202" s="84" t="str">
        <f>IFERROR(__xludf.DUMMYFUNCTION("""COMPUTED_VALUE"""),"#DIV/0!")</f>
        <v>#DIV/0!</v>
      </c>
      <c r="E202" s="84">
        <f>IFERROR(__xludf.DUMMYFUNCTION("""COMPUTED_VALUE"""),0.0)</f>
        <v>0</v>
      </c>
      <c r="F202" s="85">
        <f>IFERROR(__xludf.DUMMYFUNCTION("""COMPUTED_VALUE"""),0.0)</f>
        <v>0</v>
      </c>
      <c r="G202" s="84">
        <f>IFERROR(__xludf.DUMMYFUNCTION("""COMPUTED_VALUE"""),0.0)</f>
        <v>0</v>
      </c>
      <c r="H202" s="83">
        <f>IFERROR(__xludf.DUMMYFUNCTION("""COMPUTED_VALUE"""),2.0)</f>
        <v>2</v>
      </c>
      <c r="I202" s="86">
        <f>IFERROR(__xludf.DUMMYFUNCTION("""COMPUTED_VALUE"""),46056.0)</f>
        <v>46056</v>
      </c>
    </row>
    <row r="203">
      <c r="A203" s="82">
        <f>IFERROR(__xludf.DUMMYFUNCTION("""COMPUTED_VALUE"""),2.0)</f>
        <v>2</v>
      </c>
      <c r="B203" s="83" t="str">
        <f>IFERROR(__xludf.DUMMYFUNCTION("""COMPUTED_VALUE"""),"EDUCACIÓN INTEGRAL EN SEXUALIDAD Y GÉNERO II")</f>
        <v>EDUCACIÓN INTEGRAL EN SEXUALIDAD Y GÉNERO II</v>
      </c>
      <c r="C203" s="84">
        <f>IFERROR(__xludf.DUMMYFUNCTION("""COMPUTED_VALUE"""),92.5)</f>
        <v>92.5</v>
      </c>
      <c r="D203" s="84" t="str">
        <f>IFERROR(__xludf.DUMMYFUNCTION("""COMPUTED_VALUE"""),"#DIV/0!")</f>
        <v>#DIV/0!</v>
      </c>
      <c r="E203" s="84">
        <f>IFERROR(__xludf.DUMMYFUNCTION("""COMPUTED_VALUE"""),0.0)</f>
        <v>0</v>
      </c>
      <c r="F203" s="85">
        <f>IFERROR(__xludf.DUMMYFUNCTION("""COMPUTED_VALUE"""),0.0)</f>
        <v>0</v>
      </c>
      <c r="G203" s="84">
        <f>IFERROR(__xludf.DUMMYFUNCTION("""COMPUTED_VALUE"""),0.0)</f>
        <v>0</v>
      </c>
      <c r="H203" s="83">
        <f>IFERROR(__xludf.DUMMYFUNCTION("""COMPUTED_VALUE"""),2.0)</f>
        <v>2</v>
      </c>
      <c r="I203" s="86">
        <f>IFERROR(__xludf.DUMMYFUNCTION("""COMPUTED_VALUE"""),46056.0)</f>
        <v>46056</v>
      </c>
    </row>
    <row r="204">
      <c r="A204" s="87">
        <f>IFERROR(__xludf.DUMMYFUNCTION("""COMPUTED_VALUE"""),2.0)</f>
        <v>2</v>
      </c>
      <c r="B204" s="88" t="str">
        <f>IFERROR(__xludf.DUMMYFUNCTION("""COMPUTED_VALUE"""),"TEMAS SELECTOS DE IGUALDAD Y DERECHOS HUMANOS IV")</f>
        <v>TEMAS SELECTOS DE IGUALDAD Y DERECHOS HUMANOS IV</v>
      </c>
      <c r="C204" s="89">
        <f>IFERROR(__xludf.DUMMYFUNCTION("""COMPUTED_VALUE"""),92.5)</f>
        <v>92.5</v>
      </c>
      <c r="D204" s="89" t="str">
        <f>IFERROR(__xludf.DUMMYFUNCTION("""COMPUTED_VALUE"""),"#DIV/0!")</f>
        <v>#DIV/0!</v>
      </c>
      <c r="E204" s="89">
        <f>IFERROR(__xludf.DUMMYFUNCTION("""COMPUTED_VALUE"""),0.0)</f>
        <v>0</v>
      </c>
      <c r="F204" s="90">
        <f>IFERROR(__xludf.DUMMYFUNCTION("""COMPUTED_VALUE"""),0.0)</f>
        <v>0</v>
      </c>
      <c r="G204" s="89">
        <f>IFERROR(__xludf.DUMMYFUNCTION("""COMPUTED_VALUE"""),0.0)</f>
        <v>0</v>
      </c>
      <c r="H204" s="88">
        <f>IFERROR(__xludf.DUMMYFUNCTION("""COMPUTED_VALUE"""),2.0)</f>
        <v>2</v>
      </c>
      <c r="I204" s="91">
        <f>IFERROR(__xludf.DUMMYFUNCTION("""COMPUTED_VALUE"""),46056.0)</f>
        <v>46056</v>
      </c>
    </row>
    <row r="205">
      <c r="A205" s="77">
        <f>IFERROR(__xludf.DUMMYFUNCTION("""COMPUTED_VALUE"""),3.0)</f>
        <v>3</v>
      </c>
      <c r="B205" s="78" t="str">
        <f>IFERROR(__xludf.DUMMYFUNCTION("""COMPUTED_VALUE"""),"PENSAMIENTO LITERARIO")</f>
        <v>PENSAMIENTO LITERARIO</v>
      </c>
      <c r="C205" s="79">
        <f>IFERROR(__xludf.DUMMYFUNCTION("""COMPUTED_VALUE"""),99.0)</f>
        <v>99</v>
      </c>
      <c r="D205" s="79" t="str">
        <f>IFERROR(__xludf.DUMMYFUNCTION("""COMPUTED_VALUE"""),"#DIV/0!")</f>
        <v>#DIV/0!</v>
      </c>
      <c r="E205" s="79">
        <f>IFERROR(__xludf.DUMMYFUNCTION("""COMPUTED_VALUE"""),0.0)</f>
        <v>0</v>
      </c>
      <c r="F205" s="80">
        <f>IFERROR(__xludf.DUMMYFUNCTION("""COMPUTED_VALUE"""),0.0)</f>
        <v>0</v>
      </c>
      <c r="G205" s="79">
        <f>IFERROR(__xludf.DUMMYFUNCTION("""COMPUTED_VALUE"""),0.0)</f>
        <v>0</v>
      </c>
      <c r="H205" s="78">
        <f>IFERROR(__xludf.DUMMYFUNCTION("""COMPUTED_VALUE"""),2.0)</f>
        <v>2</v>
      </c>
      <c r="I205" s="81">
        <f>IFERROR(__xludf.DUMMYFUNCTION("""COMPUTED_VALUE"""),46056.0)</f>
        <v>46056</v>
      </c>
    </row>
    <row r="206">
      <c r="A206" s="82">
        <f>IFERROR(__xludf.DUMMYFUNCTION("""COMPUTED_VALUE"""),3.0)</f>
        <v>3</v>
      </c>
      <c r="B206" s="83" t="str">
        <f>IFERROR(__xludf.DUMMYFUNCTION("""COMPUTED_VALUE"""),"INGLÉS IV")</f>
        <v>INGLÉS IV</v>
      </c>
      <c r="C206" s="84">
        <f>IFERROR(__xludf.DUMMYFUNCTION("""COMPUTED_VALUE"""),99.03703703703704)</f>
        <v>99.03703704</v>
      </c>
      <c r="D206" s="84" t="str">
        <f>IFERROR(__xludf.DUMMYFUNCTION("""COMPUTED_VALUE"""),"#DIV/0!")</f>
        <v>#DIV/0!</v>
      </c>
      <c r="E206" s="84">
        <f>IFERROR(__xludf.DUMMYFUNCTION("""COMPUTED_VALUE"""),0.0)</f>
        <v>0</v>
      </c>
      <c r="F206" s="85">
        <f>IFERROR(__xludf.DUMMYFUNCTION("""COMPUTED_VALUE"""),0.0)</f>
        <v>0</v>
      </c>
      <c r="G206" s="84">
        <f>IFERROR(__xludf.DUMMYFUNCTION("""COMPUTED_VALUE"""),0.0)</f>
        <v>0</v>
      </c>
      <c r="H206" s="83">
        <f>IFERROR(__xludf.DUMMYFUNCTION("""COMPUTED_VALUE"""),2.0)</f>
        <v>2</v>
      </c>
      <c r="I206" s="86">
        <f>IFERROR(__xludf.DUMMYFUNCTION("""COMPUTED_VALUE"""),46056.0)</f>
        <v>46056</v>
      </c>
    </row>
    <row r="207">
      <c r="A207" s="82">
        <f>IFERROR(__xludf.DUMMYFUNCTION("""COMPUTED_VALUE"""),3.0)</f>
        <v>3</v>
      </c>
      <c r="B207" s="83" t="str">
        <f>IFERROR(__xludf.DUMMYFUNCTION("""COMPUTED_VALUE"""),"TEMAS SELECTOS DE MATEMÁTICAS I")</f>
        <v>TEMAS SELECTOS DE MATEMÁTICAS I</v>
      </c>
      <c r="C207" s="84">
        <f>IFERROR(__xludf.DUMMYFUNCTION("""COMPUTED_VALUE"""),99.0)</f>
        <v>99</v>
      </c>
      <c r="D207" s="84" t="str">
        <f>IFERROR(__xludf.DUMMYFUNCTION("""COMPUTED_VALUE"""),"#DIV/0!")</f>
        <v>#DIV/0!</v>
      </c>
      <c r="E207" s="84">
        <f>IFERROR(__xludf.DUMMYFUNCTION("""COMPUTED_VALUE"""),0.0)</f>
        <v>0</v>
      </c>
      <c r="F207" s="85">
        <f>IFERROR(__xludf.DUMMYFUNCTION("""COMPUTED_VALUE"""),0.0)</f>
        <v>0</v>
      </c>
      <c r="G207" s="84">
        <f>IFERROR(__xludf.DUMMYFUNCTION("""COMPUTED_VALUE"""),0.0)</f>
        <v>0</v>
      </c>
      <c r="H207" s="83">
        <f>IFERROR(__xludf.DUMMYFUNCTION("""COMPUTED_VALUE"""),2.0)</f>
        <v>2</v>
      </c>
      <c r="I207" s="86">
        <f>IFERROR(__xludf.DUMMYFUNCTION("""COMPUTED_VALUE"""),46056.0)</f>
        <v>46056</v>
      </c>
    </row>
    <row r="208">
      <c r="A208" s="82">
        <f>IFERROR(__xludf.DUMMYFUNCTION("""COMPUTED_VALUE"""),3.0)</f>
        <v>3</v>
      </c>
      <c r="B208" s="83" t="str">
        <f>IFERROR(__xludf.DUMMYFUNCTION("""COMPUTED_VALUE"""),"CONCIENCIA HISTORICA I")</f>
        <v>CONCIENCIA HISTORICA I</v>
      </c>
      <c r="C208" s="84">
        <f>IFERROR(__xludf.DUMMYFUNCTION("""COMPUTED_VALUE"""),96.66666666666667)</f>
        <v>96.66666667</v>
      </c>
      <c r="D208" s="84" t="str">
        <f>IFERROR(__xludf.DUMMYFUNCTION("""COMPUTED_VALUE"""),"#DIV/0!")</f>
        <v>#DIV/0!</v>
      </c>
      <c r="E208" s="84">
        <f>IFERROR(__xludf.DUMMYFUNCTION("""COMPUTED_VALUE"""),0.0)</f>
        <v>0</v>
      </c>
      <c r="F208" s="85">
        <f>IFERROR(__xludf.DUMMYFUNCTION("""COMPUTED_VALUE"""),0.0)</f>
        <v>0</v>
      </c>
      <c r="G208" s="84">
        <f>IFERROR(__xludf.DUMMYFUNCTION("""COMPUTED_VALUE"""),0.0)</f>
        <v>0</v>
      </c>
      <c r="H208" s="83">
        <f>IFERROR(__xludf.DUMMYFUNCTION("""COMPUTED_VALUE"""),2.0)</f>
        <v>2</v>
      </c>
      <c r="I208" s="86">
        <f>IFERROR(__xludf.DUMMYFUNCTION("""COMPUTED_VALUE"""),46056.0)</f>
        <v>46056</v>
      </c>
    </row>
    <row r="209">
      <c r="A209" s="82">
        <f>IFERROR(__xludf.DUMMYFUNCTION("""COMPUTED_VALUE"""),3.0)</f>
        <v>3</v>
      </c>
      <c r="B209" s="83" t="str">
        <f>IFERROR(__xludf.DUMMYFUNCTION("""COMPUTED_VALUE"""),"TALLER DE CULTURA DIGITAL")</f>
        <v>TALLER DE CULTURA DIGITAL</v>
      </c>
      <c r="C209" s="84">
        <f>IFERROR(__xludf.DUMMYFUNCTION("""COMPUTED_VALUE"""),95.0)</f>
        <v>95</v>
      </c>
      <c r="D209" s="84" t="str">
        <f>IFERROR(__xludf.DUMMYFUNCTION("""COMPUTED_VALUE"""),"#DIV/0!")</f>
        <v>#DIV/0!</v>
      </c>
      <c r="E209" s="84">
        <f>IFERROR(__xludf.DUMMYFUNCTION("""COMPUTED_VALUE"""),0.0)</f>
        <v>0</v>
      </c>
      <c r="F209" s="85">
        <f>IFERROR(__xludf.DUMMYFUNCTION("""COMPUTED_VALUE"""),0.0)</f>
        <v>0</v>
      </c>
      <c r="G209" s="84">
        <f>IFERROR(__xludf.DUMMYFUNCTION("""COMPUTED_VALUE"""),0.0)</f>
        <v>0</v>
      </c>
      <c r="H209" s="83">
        <f>IFERROR(__xludf.DUMMYFUNCTION("""COMPUTED_VALUE"""),2.0)</f>
        <v>2</v>
      </c>
      <c r="I209" s="86">
        <f>IFERROR(__xludf.DUMMYFUNCTION("""COMPUTED_VALUE"""),46056.0)</f>
        <v>46056</v>
      </c>
    </row>
    <row r="210">
      <c r="A210" s="82">
        <f>IFERROR(__xludf.DUMMYFUNCTION("""COMPUTED_VALUE"""),3.0)</f>
        <v>3</v>
      </c>
      <c r="B210" s="83" t="str">
        <f>IFERROR(__xludf.DUMMYFUNCTION("""COMPUTED_VALUE"""),"REACCIONES QUÍMICAS")</f>
        <v>REACCIONES QUÍMICAS</v>
      </c>
      <c r="C210" s="84">
        <f>IFERROR(__xludf.DUMMYFUNCTION("""COMPUTED_VALUE"""),96.0)</f>
        <v>96</v>
      </c>
      <c r="D210" s="84" t="str">
        <f>IFERROR(__xludf.DUMMYFUNCTION("""COMPUTED_VALUE"""),"#DIV/0!")</f>
        <v>#DIV/0!</v>
      </c>
      <c r="E210" s="84">
        <f>IFERROR(__xludf.DUMMYFUNCTION("""COMPUTED_VALUE"""),0.0)</f>
        <v>0</v>
      </c>
      <c r="F210" s="85">
        <f>IFERROR(__xludf.DUMMYFUNCTION("""COMPUTED_VALUE"""),0.0)</f>
        <v>0</v>
      </c>
      <c r="G210" s="84">
        <f>IFERROR(__xludf.DUMMYFUNCTION("""COMPUTED_VALUE"""),0.0)</f>
        <v>0</v>
      </c>
      <c r="H210" s="83">
        <f>IFERROR(__xludf.DUMMYFUNCTION("""COMPUTED_VALUE"""),2.0)</f>
        <v>2</v>
      </c>
      <c r="I210" s="86">
        <f>IFERROR(__xludf.DUMMYFUNCTION("""COMPUTED_VALUE"""),46056.0)</f>
        <v>46056</v>
      </c>
    </row>
    <row r="211">
      <c r="A211" s="82">
        <f>IFERROR(__xludf.DUMMYFUNCTION("""COMPUTED_VALUE"""),3.0)</f>
        <v>3</v>
      </c>
      <c r="B211" s="83" t="str">
        <f>IFERROR(__xludf.DUMMYFUNCTION("""COMPUTED_VALUE"""),"ESPACIO Y SOCIEDAD")</f>
        <v>ESPACIO Y SOCIEDAD</v>
      </c>
      <c r="C211" s="84">
        <f>IFERROR(__xludf.DUMMYFUNCTION("""COMPUTED_VALUE"""),94.0)</f>
        <v>94</v>
      </c>
      <c r="D211" s="84" t="str">
        <f>IFERROR(__xludf.DUMMYFUNCTION("""COMPUTED_VALUE"""),"#DIV/0!")</f>
        <v>#DIV/0!</v>
      </c>
      <c r="E211" s="84">
        <f>IFERROR(__xludf.DUMMYFUNCTION("""COMPUTED_VALUE"""),0.0)</f>
        <v>0</v>
      </c>
      <c r="F211" s="85">
        <f>IFERROR(__xludf.DUMMYFUNCTION("""COMPUTED_VALUE"""),0.0)</f>
        <v>0</v>
      </c>
      <c r="G211" s="84">
        <f>IFERROR(__xludf.DUMMYFUNCTION("""COMPUTED_VALUE"""),0.0)</f>
        <v>0</v>
      </c>
      <c r="H211" s="83">
        <f>IFERROR(__xludf.DUMMYFUNCTION("""COMPUTED_VALUE"""),2.0)</f>
        <v>2</v>
      </c>
      <c r="I211" s="86">
        <f>IFERROR(__xludf.DUMMYFUNCTION("""COMPUTED_VALUE"""),46056.0)</f>
        <v>46056</v>
      </c>
    </row>
    <row r="212">
      <c r="A212" s="82">
        <f>IFERROR(__xludf.DUMMYFUNCTION("""COMPUTED_VALUE"""),3.0)</f>
        <v>3</v>
      </c>
      <c r="B212" s="83" t="str">
        <f>IFERROR(__xludf.DUMMYFUNCTION("""COMPUTED_VALUE"""),"CIENCIAS SOCIALES III")</f>
        <v>CIENCIAS SOCIALES III</v>
      </c>
      <c r="C212" s="84">
        <f>IFERROR(__xludf.DUMMYFUNCTION("""COMPUTED_VALUE"""),95.0)</f>
        <v>95</v>
      </c>
      <c r="D212" s="84" t="str">
        <f>IFERROR(__xludf.DUMMYFUNCTION("""COMPUTED_VALUE"""),"#DIV/0!")</f>
        <v>#DIV/0!</v>
      </c>
      <c r="E212" s="84">
        <f>IFERROR(__xludf.DUMMYFUNCTION("""COMPUTED_VALUE"""),0.0)</f>
        <v>0</v>
      </c>
      <c r="F212" s="85">
        <f>IFERROR(__xludf.DUMMYFUNCTION("""COMPUTED_VALUE"""),0.0)</f>
        <v>0</v>
      </c>
      <c r="G212" s="84">
        <f>IFERROR(__xludf.DUMMYFUNCTION("""COMPUTED_VALUE"""),0.0)</f>
        <v>0</v>
      </c>
      <c r="H212" s="83">
        <f>IFERROR(__xludf.DUMMYFUNCTION("""COMPUTED_VALUE"""),2.0)</f>
        <v>2</v>
      </c>
      <c r="I212" s="86">
        <f>IFERROR(__xludf.DUMMYFUNCTION("""COMPUTED_VALUE"""),46056.0)</f>
        <v>46056</v>
      </c>
    </row>
    <row r="213">
      <c r="A213" s="82">
        <f>IFERROR(__xludf.DUMMYFUNCTION("""COMPUTED_VALUE"""),3.0)</f>
        <v>3</v>
      </c>
      <c r="B213" s="83" t="str">
        <f>IFERROR(__xludf.DUMMYFUNCTION("""COMPUTED_VALUE"""),"COMUNIDADES VIRTUALES")</f>
        <v>COMUNIDADES VIRTUALES</v>
      </c>
      <c r="C213" s="84">
        <f>IFERROR(__xludf.DUMMYFUNCTION("""COMPUTED_VALUE"""),94.54545454545455)</f>
        <v>94.54545455</v>
      </c>
      <c r="D213" s="84" t="str">
        <f>IFERROR(__xludf.DUMMYFUNCTION("""COMPUTED_VALUE"""),"#DIV/0!")</f>
        <v>#DIV/0!</v>
      </c>
      <c r="E213" s="84">
        <f>IFERROR(__xludf.DUMMYFUNCTION("""COMPUTED_VALUE"""),0.0)</f>
        <v>0</v>
      </c>
      <c r="F213" s="85">
        <f>IFERROR(__xludf.DUMMYFUNCTION("""COMPUTED_VALUE"""),0.0)</f>
        <v>0</v>
      </c>
      <c r="G213" s="84">
        <f>IFERROR(__xludf.DUMMYFUNCTION("""COMPUTED_VALUE"""),0.0)</f>
        <v>0</v>
      </c>
      <c r="H213" s="83">
        <f>IFERROR(__xludf.DUMMYFUNCTION("""COMPUTED_VALUE"""),2.0)</f>
        <v>2</v>
      </c>
      <c r="I213" s="86">
        <f>IFERROR(__xludf.DUMMYFUNCTION("""COMPUTED_VALUE"""),46056.0)</f>
        <v>46056</v>
      </c>
    </row>
    <row r="214">
      <c r="A214" s="82">
        <f>IFERROR(__xludf.DUMMYFUNCTION("""COMPUTED_VALUE"""),3.0)</f>
        <v>3</v>
      </c>
      <c r="B214" s="83" t="str">
        <f>IFERROR(__xludf.DUMMYFUNCTION("""COMPUTED_VALUE"""),"MANTENIMIENTO DE REDES DE CÓMPUTO")</f>
        <v>MANTENIMIENTO DE REDES DE CÓMPUTO</v>
      </c>
      <c r="C214" s="84">
        <f>IFERROR(__xludf.DUMMYFUNCTION("""COMPUTED_VALUE"""),92.5)</f>
        <v>92.5</v>
      </c>
      <c r="D214" s="84" t="str">
        <f>IFERROR(__xludf.DUMMYFUNCTION("""COMPUTED_VALUE"""),"#DIV/0!")</f>
        <v>#DIV/0!</v>
      </c>
      <c r="E214" s="84">
        <f>IFERROR(__xludf.DUMMYFUNCTION("""COMPUTED_VALUE"""),0.0)</f>
        <v>0</v>
      </c>
      <c r="F214" s="85">
        <f>IFERROR(__xludf.DUMMYFUNCTION("""COMPUTED_VALUE"""),0.0)</f>
        <v>0</v>
      </c>
      <c r="G214" s="84">
        <f>IFERROR(__xludf.DUMMYFUNCTION("""COMPUTED_VALUE"""),0.0)</f>
        <v>0</v>
      </c>
      <c r="H214" s="83">
        <f>IFERROR(__xludf.DUMMYFUNCTION("""COMPUTED_VALUE"""),2.0)</f>
        <v>2</v>
      </c>
      <c r="I214" s="86">
        <f>IFERROR(__xludf.DUMMYFUNCTION("""COMPUTED_VALUE"""),46056.0)</f>
        <v>46056</v>
      </c>
    </row>
    <row r="215">
      <c r="A215" s="82">
        <f>IFERROR(__xludf.DUMMYFUNCTION("""COMPUTED_VALUE"""),3.0)</f>
        <v>3</v>
      </c>
      <c r="B215" s="83" t="str">
        <f>IFERROR(__xludf.DUMMYFUNCTION("""COMPUTED_VALUE"""),"ACTIVIDADES ARTÍSTICAS Y CULTURALES I ")</f>
        <v>ACTIVIDADES ARTÍSTICAS Y CULTURALES I </v>
      </c>
      <c r="C215" s="84">
        <f>IFERROR(__xludf.DUMMYFUNCTION("""COMPUTED_VALUE"""),92.5)</f>
        <v>92.5</v>
      </c>
      <c r="D215" s="84" t="str">
        <f>IFERROR(__xludf.DUMMYFUNCTION("""COMPUTED_VALUE"""),"#DIV/0!")</f>
        <v>#DIV/0!</v>
      </c>
      <c r="E215" s="84">
        <f>IFERROR(__xludf.DUMMYFUNCTION("""COMPUTED_VALUE"""),0.0)</f>
        <v>0</v>
      </c>
      <c r="F215" s="85">
        <f>IFERROR(__xludf.DUMMYFUNCTION("""COMPUTED_VALUE"""),0.0)</f>
        <v>0</v>
      </c>
      <c r="G215" s="84">
        <f>IFERROR(__xludf.DUMMYFUNCTION("""COMPUTED_VALUE"""),0.0)</f>
        <v>0</v>
      </c>
      <c r="H215" s="83">
        <f>IFERROR(__xludf.DUMMYFUNCTION("""COMPUTED_VALUE"""),2.0)</f>
        <v>2</v>
      </c>
      <c r="I215" s="86">
        <f>IFERROR(__xludf.DUMMYFUNCTION("""COMPUTED_VALUE"""),46056.0)</f>
        <v>46056</v>
      </c>
    </row>
    <row r="216">
      <c r="A216" s="82">
        <f>IFERROR(__xludf.DUMMYFUNCTION("""COMPUTED_VALUE"""),3.0)</f>
        <v>3</v>
      </c>
      <c r="B216" s="83" t="str">
        <f>IFERROR(__xludf.DUMMYFUNCTION("""COMPUTED_VALUE"""),"EDUCACIÓN INTEGRAL EN SEXUALIDAD Y GÉNERO II")</f>
        <v>EDUCACIÓN INTEGRAL EN SEXUALIDAD Y GÉNERO II</v>
      </c>
      <c r="C216" s="84">
        <f>IFERROR(__xludf.DUMMYFUNCTION("""COMPUTED_VALUE"""),92.5)</f>
        <v>92.5</v>
      </c>
      <c r="D216" s="84" t="str">
        <f>IFERROR(__xludf.DUMMYFUNCTION("""COMPUTED_VALUE"""),"#DIV/0!")</f>
        <v>#DIV/0!</v>
      </c>
      <c r="E216" s="84">
        <f>IFERROR(__xludf.DUMMYFUNCTION("""COMPUTED_VALUE"""),0.0)</f>
        <v>0</v>
      </c>
      <c r="F216" s="85">
        <f>IFERROR(__xludf.DUMMYFUNCTION("""COMPUTED_VALUE"""),0.0)</f>
        <v>0</v>
      </c>
      <c r="G216" s="84">
        <f>IFERROR(__xludf.DUMMYFUNCTION("""COMPUTED_VALUE"""),0.0)</f>
        <v>0</v>
      </c>
      <c r="H216" s="83">
        <f>IFERROR(__xludf.DUMMYFUNCTION("""COMPUTED_VALUE"""),2.0)</f>
        <v>2</v>
      </c>
      <c r="I216" s="86">
        <f>IFERROR(__xludf.DUMMYFUNCTION("""COMPUTED_VALUE"""),46056.0)</f>
        <v>46056</v>
      </c>
    </row>
    <row r="217">
      <c r="A217" s="87">
        <f>IFERROR(__xludf.DUMMYFUNCTION("""COMPUTED_VALUE"""),3.0)</f>
        <v>3</v>
      </c>
      <c r="B217" s="88" t="str">
        <f>IFERROR(__xludf.DUMMYFUNCTION("""COMPUTED_VALUE"""),"TEMAS SELECTOS DE IGUALDAD Y DERECHOS HUMANOS IV")</f>
        <v>TEMAS SELECTOS DE IGUALDAD Y DERECHOS HUMANOS IV</v>
      </c>
      <c r="C217" s="89">
        <f>IFERROR(__xludf.DUMMYFUNCTION("""COMPUTED_VALUE"""),92.5)</f>
        <v>92.5</v>
      </c>
      <c r="D217" s="89" t="str">
        <f>IFERROR(__xludf.DUMMYFUNCTION("""COMPUTED_VALUE"""),"#DIV/0!")</f>
        <v>#DIV/0!</v>
      </c>
      <c r="E217" s="89">
        <f>IFERROR(__xludf.DUMMYFUNCTION("""COMPUTED_VALUE"""),0.0)</f>
        <v>0</v>
      </c>
      <c r="F217" s="90">
        <f>IFERROR(__xludf.DUMMYFUNCTION("""COMPUTED_VALUE"""),0.0)</f>
        <v>0</v>
      </c>
      <c r="G217" s="89">
        <f>IFERROR(__xludf.DUMMYFUNCTION("""COMPUTED_VALUE"""),0.0)</f>
        <v>0</v>
      </c>
      <c r="H217" s="88">
        <f>IFERROR(__xludf.DUMMYFUNCTION("""COMPUTED_VALUE"""),2.0)</f>
        <v>2</v>
      </c>
      <c r="I217" s="91">
        <f>IFERROR(__xludf.DUMMYFUNCTION("""COMPUTED_VALUE"""),46056.0)</f>
        <v>46056</v>
      </c>
    </row>
    <row r="218">
      <c r="A218" s="92">
        <f>IFERROR(__xludf.DUMMYFUNCTION("IMPORTRANGE(""https://docs.google.com/spreadsheets/d/1KdYPmLZ4Mkiy8eWCRKbIfIycEZEiOpOmqr95CPiizhI/edit?usp=sharing"",""INDICADORES!N2:V37"")"),1.0)</f>
        <v>1</v>
      </c>
      <c r="B218" s="93" t="str">
        <f>IFERROR(__xludf.DUMMYFUNCTION("""COMPUTED_VALUE"""),"CIENCIAS DE LA COMUNICACIÓN I")</f>
        <v>CIENCIAS DE LA COMUNICACIÓN I</v>
      </c>
      <c r="C218" s="94">
        <f>IFERROR(__xludf.DUMMYFUNCTION("""COMPUTED_VALUE"""),99.0)</f>
        <v>99</v>
      </c>
      <c r="D218" s="94">
        <f>IFERROR(__xludf.DUMMYFUNCTION("""COMPUTED_VALUE"""),7.711111111111111)</f>
        <v>7.711111111</v>
      </c>
      <c r="E218" s="94">
        <f>IFERROR(__xludf.DUMMYFUNCTION("""COMPUTED_VALUE"""),11.11111111111111)</f>
        <v>11.11111111</v>
      </c>
      <c r="F218" s="95">
        <f>IFERROR(__xludf.DUMMYFUNCTION("""COMPUTED_VALUE"""),5.0)</f>
        <v>5</v>
      </c>
      <c r="G218" s="94">
        <f>IFERROR(__xludf.DUMMYFUNCTION("""COMPUTED_VALUE"""),88.88888888888889)</f>
        <v>88.88888889</v>
      </c>
      <c r="H218" s="93">
        <f>IFERROR(__xludf.DUMMYFUNCTION("""COMPUTED_VALUE"""),3.0)</f>
        <v>3</v>
      </c>
      <c r="I218" s="96">
        <f>IFERROR(__xludf.DUMMYFUNCTION("""COMPUTED_VALUE"""),46025.0)</f>
        <v>46025</v>
      </c>
    </row>
    <row r="219">
      <c r="A219" s="97">
        <f>IFERROR(__xludf.DUMMYFUNCTION("""COMPUTED_VALUE"""),1.0)</f>
        <v>1</v>
      </c>
      <c r="B219" s="98" t="str">
        <f>IFERROR(__xludf.DUMMYFUNCTION("""COMPUTED_VALUE"""),"TEMAS SELECTOS DE INGLÉS II")</f>
        <v>TEMAS SELECTOS DE INGLÉS II</v>
      </c>
      <c r="C219" s="99">
        <f>IFERROR(__xludf.DUMMYFUNCTION("""COMPUTED_VALUE"""),99.0)</f>
        <v>99</v>
      </c>
      <c r="D219" s="99">
        <f>IFERROR(__xludf.DUMMYFUNCTION("""COMPUTED_VALUE"""),7.711111111111111)</f>
        <v>7.711111111</v>
      </c>
      <c r="E219" s="99">
        <f>IFERROR(__xludf.DUMMYFUNCTION("""COMPUTED_VALUE"""),11.11111111111111)</f>
        <v>11.11111111</v>
      </c>
      <c r="F219" s="100">
        <f>IFERROR(__xludf.DUMMYFUNCTION("""COMPUTED_VALUE"""),5.0)</f>
        <v>5</v>
      </c>
      <c r="G219" s="99">
        <f>IFERROR(__xludf.DUMMYFUNCTION("""COMPUTED_VALUE"""),88.88888888888889)</f>
        <v>88.88888889</v>
      </c>
      <c r="H219" s="98">
        <f>IFERROR(__xludf.DUMMYFUNCTION("""COMPUTED_VALUE"""),3.0)</f>
        <v>3</v>
      </c>
      <c r="I219" s="101">
        <f>IFERROR(__xludf.DUMMYFUNCTION("""COMPUTED_VALUE"""),46025.0)</f>
        <v>46025</v>
      </c>
    </row>
    <row r="220">
      <c r="A220" s="97">
        <f>IFERROR(__xludf.DUMMYFUNCTION("""COMPUTED_VALUE"""),1.0)</f>
        <v>1</v>
      </c>
      <c r="B220" s="98" t="str">
        <f>IFERROR(__xludf.DUMMYFUNCTION("""COMPUTED_VALUE"""),"TEMAS SELECTOS DE MATEMÁTICAS II")</f>
        <v>TEMAS SELECTOS DE MATEMÁTICAS II</v>
      </c>
      <c r="C220" s="99">
        <f>IFERROR(__xludf.DUMMYFUNCTION("""COMPUTED_VALUE"""),99.0)</f>
        <v>99</v>
      </c>
      <c r="D220" s="99">
        <f>IFERROR(__xludf.DUMMYFUNCTION("""COMPUTED_VALUE"""),7.711111111111111)</f>
        <v>7.711111111</v>
      </c>
      <c r="E220" s="99">
        <f>IFERROR(__xludf.DUMMYFUNCTION("""COMPUTED_VALUE"""),11.11111111111111)</f>
        <v>11.11111111</v>
      </c>
      <c r="F220" s="100">
        <f>IFERROR(__xludf.DUMMYFUNCTION("""COMPUTED_VALUE"""),5.0)</f>
        <v>5</v>
      </c>
      <c r="G220" s="99">
        <f>IFERROR(__xludf.DUMMYFUNCTION("""COMPUTED_VALUE"""),88.88888888888889)</f>
        <v>88.88888889</v>
      </c>
      <c r="H220" s="98">
        <f>IFERROR(__xludf.DUMMYFUNCTION("""COMPUTED_VALUE"""),3.0)</f>
        <v>3</v>
      </c>
      <c r="I220" s="101">
        <f>IFERROR(__xludf.DUMMYFUNCTION("""COMPUTED_VALUE"""),46025.0)</f>
        <v>46025</v>
      </c>
    </row>
    <row r="221">
      <c r="A221" s="97">
        <f>IFERROR(__xludf.DUMMYFUNCTION("""COMPUTED_VALUE"""),1.0)</f>
        <v>1</v>
      </c>
      <c r="B221" s="98" t="str">
        <f>IFERROR(__xludf.DUMMYFUNCTION("""COMPUTED_VALUE"""),"CONCIENCIA HISTORICA III")</f>
        <v>CONCIENCIA HISTORICA III</v>
      </c>
      <c r="C221" s="99">
        <f>IFERROR(__xludf.DUMMYFUNCTION("""COMPUTED_VALUE"""),96.66666666666667)</f>
        <v>96.66666667</v>
      </c>
      <c r="D221" s="99">
        <f>IFERROR(__xludf.DUMMYFUNCTION("""COMPUTED_VALUE"""),7.711111111111111)</f>
        <v>7.711111111</v>
      </c>
      <c r="E221" s="99">
        <f>IFERROR(__xludf.DUMMYFUNCTION("""COMPUTED_VALUE"""),11.11111111111111)</f>
        <v>11.11111111</v>
      </c>
      <c r="F221" s="100">
        <f>IFERROR(__xludf.DUMMYFUNCTION("""COMPUTED_VALUE"""),5.0)</f>
        <v>5</v>
      </c>
      <c r="G221" s="99">
        <f>IFERROR(__xludf.DUMMYFUNCTION("""COMPUTED_VALUE"""),88.88888888888889)</f>
        <v>88.88888889</v>
      </c>
      <c r="H221" s="98">
        <f>IFERROR(__xludf.DUMMYFUNCTION("""COMPUTED_VALUE"""),3.0)</f>
        <v>3</v>
      </c>
      <c r="I221" s="101">
        <f>IFERROR(__xludf.DUMMYFUNCTION("""COMPUTED_VALUE"""),46025.0)</f>
        <v>46025</v>
      </c>
    </row>
    <row r="222">
      <c r="A222" s="97">
        <f>IFERROR(__xludf.DUMMYFUNCTION("""COMPUTED_VALUE"""),1.0)</f>
        <v>1</v>
      </c>
      <c r="B222" s="98" t="str">
        <f>IFERROR(__xludf.DUMMYFUNCTION("""COMPUTED_VALUE"""),"ORGANISMOS")</f>
        <v>ORGANISMOS</v>
      </c>
      <c r="C222" s="99">
        <f>IFERROR(__xludf.DUMMYFUNCTION("""COMPUTED_VALUE"""),95.0)</f>
        <v>95</v>
      </c>
      <c r="D222" s="99">
        <f>IFERROR(__xludf.DUMMYFUNCTION("""COMPUTED_VALUE"""),7.711111111111111)</f>
        <v>7.711111111</v>
      </c>
      <c r="E222" s="99">
        <f>IFERROR(__xludf.DUMMYFUNCTION("""COMPUTED_VALUE"""),11.11111111111111)</f>
        <v>11.11111111</v>
      </c>
      <c r="F222" s="100">
        <f>IFERROR(__xludf.DUMMYFUNCTION("""COMPUTED_VALUE"""),5.0)</f>
        <v>5</v>
      </c>
      <c r="G222" s="99">
        <f>IFERROR(__xludf.DUMMYFUNCTION("""COMPUTED_VALUE"""),88.88888888888889)</f>
        <v>88.88888889</v>
      </c>
      <c r="H222" s="98">
        <f>IFERROR(__xludf.DUMMYFUNCTION("""COMPUTED_VALUE"""),3.0)</f>
        <v>3</v>
      </c>
      <c r="I222" s="101">
        <f>IFERROR(__xludf.DUMMYFUNCTION("""COMPUTED_VALUE"""),46025.0)</f>
        <v>46025</v>
      </c>
    </row>
    <row r="223">
      <c r="A223" s="97">
        <f>IFERROR(__xludf.DUMMYFUNCTION("""COMPUTED_VALUE"""),1.0)</f>
        <v>1</v>
      </c>
      <c r="B223" s="98" t="str">
        <f>IFERROR(__xludf.DUMMYFUNCTION("""COMPUTED_VALUE"""),"TEMAS SELECTOS DE FILOSOFÍA")</f>
        <v>TEMAS SELECTOS DE FILOSOFÍA</v>
      </c>
      <c r="C223" s="99">
        <f>IFERROR(__xludf.DUMMYFUNCTION("""COMPUTED_VALUE"""),96.0)</f>
        <v>96</v>
      </c>
      <c r="D223" s="99">
        <f>IFERROR(__xludf.DUMMYFUNCTION("""COMPUTED_VALUE"""),7.711111111111111)</f>
        <v>7.711111111</v>
      </c>
      <c r="E223" s="99">
        <f>IFERROR(__xludf.DUMMYFUNCTION("""COMPUTED_VALUE"""),11.11111111111111)</f>
        <v>11.11111111</v>
      </c>
      <c r="F223" s="100">
        <f>IFERROR(__xludf.DUMMYFUNCTION("""COMPUTED_VALUE"""),5.0)</f>
        <v>5</v>
      </c>
      <c r="G223" s="99">
        <f>IFERROR(__xludf.DUMMYFUNCTION("""COMPUTED_VALUE"""),88.88888888888889)</f>
        <v>88.88888889</v>
      </c>
      <c r="H223" s="98">
        <f>IFERROR(__xludf.DUMMYFUNCTION("""COMPUTED_VALUE"""),3.0)</f>
        <v>3</v>
      </c>
      <c r="I223" s="101">
        <f>IFERROR(__xludf.DUMMYFUNCTION("""COMPUTED_VALUE"""),46025.0)</f>
        <v>46025</v>
      </c>
    </row>
    <row r="224">
      <c r="A224" s="97">
        <f>IFERROR(__xludf.DUMMYFUNCTION("""COMPUTED_VALUE"""),1.0)</f>
        <v>1</v>
      </c>
      <c r="B224" s="98" t="str">
        <f>IFERROR(__xludf.DUMMYFUNCTION("""COMPUTED_VALUE"""),"DISEÑO DIGITAL ")</f>
        <v>DISEÑO DIGITAL </v>
      </c>
      <c r="C224" s="99">
        <f>IFERROR(__xludf.DUMMYFUNCTION("""COMPUTED_VALUE"""),94.0)</f>
        <v>94</v>
      </c>
      <c r="D224" s="99">
        <f>IFERROR(__xludf.DUMMYFUNCTION("""COMPUTED_VALUE"""),7.711111111111111)</f>
        <v>7.711111111</v>
      </c>
      <c r="E224" s="99">
        <f>IFERROR(__xludf.DUMMYFUNCTION("""COMPUTED_VALUE"""),11.11111111111111)</f>
        <v>11.11111111</v>
      </c>
      <c r="F224" s="100">
        <f>IFERROR(__xludf.DUMMYFUNCTION("""COMPUTED_VALUE"""),5.0)</f>
        <v>5</v>
      </c>
      <c r="G224" s="99">
        <f>IFERROR(__xludf.DUMMYFUNCTION("""COMPUTED_VALUE"""),88.88888888888889)</f>
        <v>88.88888889</v>
      </c>
      <c r="H224" s="98">
        <f>IFERROR(__xludf.DUMMYFUNCTION("""COMPUTED_VALUE"""),3.0)</f>
        <v>3</v>
      </c>
      <c r="I224" s="101">
        <f>IFERROR(__xludf.DUMMYFUNCTION("""COMPUTED_VALUE"""),46025.0)</f>
        <v>46025</v>
      </c>
    </row>
    <row r="225">
      <c r="A225" s="97">
        <f>IFERROR(__xludf.DUMMYFUNCTION("""COMPUTED_VALUE"""),1.0)</f>
        <v>1</v>
      </c>
      <c r="B225" s="98" t="str">
        <f>IFERROR(__xludf.DUMMYFUNCTION("""COMPUTED_VALUE"""),"ECONOMÍA I")</f>
        <v>ECONOMÍA I</v>
      </c>
      <c r="C225" s="99">
        <f>IFERROR(__xludf.DUMMYFUNCTION("""COMPUTED_VALUE"""),95.0)</f>
        <v>95</v>
      </c>
      <c r="D225" s="99">
        <f>IFERROR(__xludf.DUMMYFUNCTION("""COMPUTED_VALUE"""),7.711111111111111)</f>
        <v>7.711111111</v>
      </c>
      <c r="E225" s="99">
        <f>IFERROR(__xludf.DUMMYFUNCTION("""COMPUTED_VALUE"""),11.11111111111111)</f>
        <v>11.11111111</v>
      </c>
      <c r="F225" s="100">
        <f>IFERROR(__xludf.DUMMYFUNCTION("""COMPUTED_VALUE"""),5.0)</f>
        <v>5</v>
      </c>
      <c r="G225" s="99">
        <f>IFERROR(__xludf.DUMMYFUNCTION("""COMPUTED_VALUE"""),88.88888888888889)</f>
        <v>88.88888889</v>
      </c>
      <c r="H225" s="98">
        <f>IFERROR(__xludf.DUMMYFUNCTION("""COMPUTED_VALUE"""),3.0)</f>
        <v>3</v>
      </c>
      <c r="I225" s="101">
        <f>IFERROR(__xludf.DUMMYFUNCTION("""COMPUTED_VALUE"""),46025.0)</f>
        <v>46025</v>
      </c>
    </row>
    <row r="226">
      <c r="A226" s="97">
        <f>IFERROR(__xludf.DUMMYFUNCTION("""COMPUTED_VALUE"""),1.0)</f>
        <v>1</v>
      </c>
      <c r="B226" s="98" t="str">
        <f>IFERROR(__xludf.DUMMYFUNCTION("""COMPUTED_VALUE"""),"PÁGINAS WEB")</f>
        <v>PÁGINAS WEB</v>
      </c>
      <c r="C226" s="99">
        <f>IFERROR(__xludf.DUMMYFUNCTION("""COMPUTED_VALUE"""),94.54545454545455)</f>
        <v>94.54545455</v>
      </c>
      <c r="D226" s="99">
        <f>IFERROR(__xludf.DUMMYFUNCTION("""COMPUTED_VALUE"""),7.711111111111111)</f>
        <v>7.711111111</v>
      </c>
      <c r="E226" s="99">
        <f>IFERROR(__xludf.DUMMYFUNCTION("""COMPUTED_VALUE"""),11.11111111111111)</f>
        <v>11.11111111</v>
      </c>
      <c r="F226" s="100">
        <f>IFERROR(__xludf.DUMMYFUNCTION("""COMPUTED_VALUE"""),5.0)</f>
        <v>5</v>
      </c>
      <c r="G226" s="99">
        <f>IFERROR(__xludf.DUMMYFUNCTION("""COMPUTED_VALUE"""),88.88888888888889)</f>
        <v>88.88888889</v>
      </c>
      <c r="H226" s="98">
        <f>IFERROR(__xludf.DUMMYFUNCTION("""COMPUTED_VALUE"""),3.0)</f>
        <v>3</v>
      </c>
      <c r="I226" s="101">
        <f>IFERROR(__xludf.DUMMYFUNCTION("""COMPUTED_VALUE"""),46025.0)</f>
        <v>46025</v>
      </c>
    </row>
    <row r="227">
      <c r="A227" s="97">
        <f>IFERROR(__xludf.DUMMYFUNCTION("""COMPUTED_VALUE"""),1.0)</f>
        <v>1</v>
      </c>
      <c r="B227" s="98" t="str">
        <f>IFERROR(__xludf.DUMMYFUNCTION("""COMPUTED_VALUE"""),"ACTIVIDADES ARTÍSTICAS Y CULTURALES III")</f>
        <v>ACTIVIDADES ARTÍSTICAS Y CULTURALES III</v>
      </c>
      <c r="C227" s="99">
        <f>IFERROR(__xludf.DUMMYFUNCTION("""COMPUTED_VALUE"""),92.5)</f>
        <v>92.5</v>
      </c>
      <c r="D227" s="99">
        <f>IFERROR(__xludf.DUMMYFUNCTION("""COMPUTED_VALUE"""),7.711111111111111)</f>
        <v>7.711111111</v>
      </c>
      <c r="E227" s="99">
        <f>IFERROR(__xludf.DUMMYFUNCTION("""COMPUTED_VALUE"""),11.11111111111111)</f>
        <v>11.11111111</v>
      </c>
      <c r="F227" s="100">
        <f>IFERROR(__xludf.DUMMYFUNCTION("""COMPUTED_VALUE"""),5.0)</f>
        <v>5</v>
      </c>
      <c r="G227" s="99">
        <f>IFERROR(__xludf.DUMMYFUNCTION("""COMPUTED_VALUE"""),88.88888888888889)</f>
        <v>88.88888889</v>
      </c>
      <c r="H227" s="98">
        <f>IFERROR(__xludf.DUMMYFUNCTION("""COMPUTED_VALUE"""),3.0)</f>
        <v>3</v>
      </c>
      <c r="I227" s="101">
        <f>IFERROR(__xludf.DUMMYFUNCTION("""COMPUTED_VALUE"""),46025.0)</f>
        <v>46025</v>
      </c>
    </row>
    <row r="228">
      <c r="A228" s="97">
        <f>IFERROR(__xludf.DUMMYFUNCTION("""COMPUTED_VALUE"""),1.0)</f>
        <v>1</v>
      </c>
      <c r="B228" s="98" t="str">
        <f>IFERROR(__xludf.DUMMYFUNCTION("""COMPUTED_VALUE"""),"PRÁCTICA Y COLABORACIÓN CIUDADANA II")</f>
        <v>PRÁCTICA Y COLABORACIÓN CIUDADANA II</v>
      </c>
      <c r="C228" s="99">
        <f>IFERROR(__xludf.DUMMYFUNCTION("""COMPUTED_VALUE"""),92.5)</f>
        <v>92.5</v>
      </c>
      <c r="D228" s="99">
        <f>IFERROR(__xludf.DUMMYFUNCTION("""COMPUTED_VALUE"""),7.711111111111111)</f>
        <v>7.711111111</v>
      </c>
      <c r="E228" s="99">
        <f>IFERROR(__xludf.DUMMYFUNCTION("""COMPUTED_VALUE"""),11.11111111111111)</f>
        <v>11.11111111</v>
      </c>
      <c r="F228" s="100">
        <f>IFERROR(__xludf.DUMMYFUNCTION("""COMPUTED_VALUE"""),5.0)</f>
        <v>5</v>
      </c>
      <c r="G228" s="99">
        <f>IFERROR(__xludf.DUMMYFUNCTION("""COMPUTED_VALUE"""),88.88888888888889)</f>
        <v>88.88888889</v>
      </c>
      <c r="H228" s="98">
        <f>IFERROR(__xludf.DUMMYFUNCTION("""COMPUTED_VALUE"""),3.0)</f>
        <v>3</v>
      </c>
      <c r="I228" s="101">
        <f>IFERROR(__xludf.DUMMYFUNCTION("""COMPUTED_VALUE"""),46025.0)</f>
        <v>46025</v>
      </c>
    </row>
    <row r="229">
      <c r="A229" s="102">
        <f>IFERROR(__xludf.DUMMYFUNCTION("""COMPUTED_VALUE"""),1.0)</f>
        <v>1</v>
      </c>
      <c r="B229" s="103" t="str">
        <f>IFERROR(__xludf.DUMMYFUNCTION("""COMPUTED_VALUE"""),"TEMAS SELECTOS DE IGUALDAD Y DERECHOS HUMANOS VI ")</f>
        <v>TEMAS SELECTOS DE IGUALDAD Y DERECHOS HUMANOS VI </v>
      </c>
      <c r="C229" s="104">
        <f>IFERROR(__xludf.DUMMYFUNCTION("""COMPUTED_VALUE"""),92.5)</f>
        <v>92.5</v>
      </c>
      <c r="D229" s="104">
        <f>IFERROR(__xludf.DUMMYFUNCTION("""COMPUTED_VALUE"""),7.711111111111111)</f>
        <v>7.711111111</v>
      </c>
      <c r="E229" s="104">
        <f>IFERROR(__xludf.DUMMYFUNCTION("""COMPUTED_VALUE"""),11.11111111111111)</f>
        <v>11.11111111</v>
      </c>
      <c r="F229" s="105">
        <f>IFERROR(__xludf.DUMMYFUNCTION("""COMPUTED_VALUE"""),5.0)</f>
        <v>5</v>
      </c>
      <c r="G229" s="104">
        <f>IFERROR(__xludf.DUMMYFUNCTION("""COMPUTED_VALUE"""),88.88888888888889)</f>
        <v>88.88888889</v>
      </c>
      <c r="H229" s="103">
        <f>IFERROR(__xludf.DUMMYFUNCTION("""COMPUTED_VALUE"""),3.0)</f>
        <v>3</v>
      </c>
      <c r="I229" s="106">
        <f>IFERROR(__xludf.DUMMYFUNCTION("""COMPUTED_VALUE"""),46025.0)</f>
        <v>46025</v>
      </c>
    </row>
    <row r="230">
      <c r="A230" s="92">
        <f>IFERROR(__xludf.DUMMYFUNCTION("""COMPUTED_VALUE"""),2.0)</f>
        <v>2</v>
      </c>
      <c r="B230" s="93" t="str">
        <f>IFERROR(__xludf.DUMMYFUNCTION("""COMPUTED_VALUE"""),"CIENCIAS DE LA COMUNICACIÓN I")</f>
        <v>CIENCIAS DE LA COMUNICACIÓN I</v>
      </c>
      <c r="C230" s="94">
        <f>IFERROR(__xludf.DUMMYFUNCTION("""COMPUTED_VALUE"""),99.0)</f>
        <v>99</v>
      </c>
      <c r="D230" s="94" t="str">
        <f>IFERROR(__xludf.DUMMYFUNCTION("""COMPUTED_VALUE"""),"#DIV/0!")</f>
        <v>#DIV/0!</v>
      </c>
      <c r="E230" s="94">
        <f>IFERROR(__xludf.DUMMYFUNCTION("""COMPUTED_VALUE"""),0.0)</f>
        <v>0</v>
      </c>
      <c r="F230" s="95">
        <f>IFERROR(__xludf.DUMMYFUNCTION("""COMPUTED_VALUE"""),0.0)</f>
        <v>0</v>
      </c>
      <c r="G230" s="94">
        <f>IFERROR(__xludf.DUMMYFUNCTION("""COMPUTED_VALUE"""),0.0)</f>
        <v>0</v>
      </c>
      <c r="H230" s="93">
        <f>IFERROR(__xludf.DUMMYFUNCTION("""COMPUTED_VALUE"""),3.0)</f>
        <v>3</v>
      </c>
      <c r="I230" s="96">
        <f>IFERROR(__xludf.DUMMYFUNCTION("""COMPUTED_VALUE"""),46025.0)</f>
        <v>46025</v>
      </c>
    </row>
    <row r="231">
      <c r="A231" s="97">
        <f>IFERROR(__xludf.DUMMYFUNCTION("""COMPUTED_VALUE"""),2.0)</f>
        <v>2</v>
      </c>
      <c r="B231" s="98" t="str">
        <f>IFERROR(__xludf.DUMMYFUNCTION("""COMPUTED_VALUE"""),"TEMAS SELECTOS DE INGLÉS II")</f>
        <v>TEMAS SELECTOS DE INGLÉS II</v>
      </c>
      <c r="C231" s="99">
        <f>IFERROR(__xludf.DUMMYFUNCTION("""COMPUTED_VALUE"""),99.0)</f>
        <v>99</v>
      </c>
      <c r="D231" s="99" t="str">
        <f>IFERROR(__xludf.DUMMYFUNCTION("""COMPUTED_VALUE"""),"#DIV/0!")</f>
        <v>#DIV/0!</v>
      </c>
      <c r="E231" s="99">
        <f>IFERROR(__xludf.DUMMYFUNCTION("""COMPUTED_VALUE"""),0.0)</f>
        <v>0</v>
      </c>
      <c r="F231" s="100">
        <f>IFERROR(__xludf.DUMMYFUNCTION("""COMPUTED_VALUE"""),0.0)</f>
        <v>0</v>
      </c>
      <c r="G231" s="99">
        <f>IFERROR(__xludf.DUMMYFUNCTION("""COMPUTED_VALUE"""),0.0)</f>
        <v>0</v>
      </c>
      <c r="H231" s="98">
        <f>IFERROR(__xludf.DUMMYFUNCTION("""COMPUTED_VALUE"""),3.0)</f>
        <v>3</v>
      </c>
      <c r="I231" s="101">
        <f>IFERROR(__xludf.DUMMYFUNCTION("""COMPUTED_VALUE"""),46025.0)</f>
        <v>46025</v>
      </c>
    </row>
    <row r="232">
      <c r="A232" s="97">
        <f>IFERROR(__xludf.DUMMYFUNCTION("""COMPUTED_VALUE"""),2.0)</f>
        <v>2</v>
      </c>
      <c r="B232" s="98" t="str">
        <f>IFERROR(__xludf.DUMMYFUNCTION("""COMPUTED_VALUE"""),"TEMAS SELECTOS DE MATEMÁTICAS II")</f>
        <v>TEMAS SELECTOS DE MATEMÁTICAS II</v>
      </c>
      <c r="C232" s="99">
        <f>IFERROR(__xludf.DUMMYFUNCTION("""COMPUTED_VALUE"""),99.0)</f>
        <v>99</v>
      </c>
      <c r="D232" s="99" t="str">
        <f>IFERROR(__xludf.DUMMYFUNCTION("""COMPUTED_VALUE"""),"#DIV/0!")</f>
        <v>#DIV/0!</v>
      </c>
      <c r="E232" s="99">
        <f>IFERROR(__xludf.DUMMYFUNCTION("""COMPUTED_VALUE"""),0.0)</f>
        <v>0</v>
      </c>
      <c r="F232" s="100">
        <f>IFERROR(__xludf.DUMMYFUNCTION("""COMPUTED_VALUE"""),0.0)</f>
        <v>0</v>
      </c>
      <c r="G232" s="99">
        <f>IFERROR(__xludf.DUMMYFUNCTION("""COMPUTED_VALUE"""),0.0)</f>
        <v>0</v>
      </c>
      <c r="H232" s="98">
        <f>IFERROR(__xludf.DUMMYFUNCTION("""COMPUTED_VALUE"""),3.0)</f>
        <v>3</v>
      </c>
      <c r="I232" s="101">
        <f>IFERROR(__xludf.DUMMYFUNCTION("""COMPUTED_VALUE"""),46025.0)</f>
        <v>46025</v>
      </c>
    </row>
    <row r="233">
      <c r="A233" s="97">
        <f>IFERROR(__xludf.DUMMYFUNCTION("""COMPUTED_VALUE"""),2.0)</f>
        <v>2</v>
      </c>
      <c r="B233" s="98" t="str">
        <f>IFERROR(__xludf.DUMMYFUNCTION("""COMPUTED_VALUE"""),"CONCIENCIA HISTORICA III")</f>
        <v>CONCIENCIA HISTORICA III</v>
      </c>
      <c r="C233" s="99">
        <f>IFERROR(__xludf.DUMMYFUNCTION("""COMPUTED_VALUE"""),96.66666666666667)</f>
        <v>96.66666667</v>
      </c>
      <c r="D233" s="99" t="str">
        <f>IFERROR(__xludf.DUMMYFUNCTION("""COMPUTED_VALUE"""),"#DIV/0!")</f>
        <v>#DIV/0!</v>
      </c>
      <c r="E233" s="99">
        <f>IFERROR(__xludf.DUMMYFUNCTION("""COMPUTED_VALUE"""),0.0)</f>
        <v>0</v>
      </c>
      <c r="F233" s="100">
        <f>IFERROR(__xludf.DUMMYFUNCTION("""COMPUTED_VALUE"""),0.0)</f>
        <v>0</v>
      </c>
      <c r="G233" s="99">
        <f>IFERROR(__xludf.DUMMYFUNCTION("""COMPUTED_VALUE"""),0.0)</f>
        <v>0</v>
      </c>
      <c r="H233" s="98">
        <f>IFERROR(__xludf.DUMMYFUNCTION("""COMPUTED_VALUE"""),3.0)</f>
        <v>3</v>
      </c>
      <c r="I233" s="101">
        <f>IFERROR(__xludf.DUMMYFUNCTION("""COMPUTED_VALUE"""),46025.0)</f>
        <v>46025</v>
      </c>
    </row>
    <row r="234">
      <c r="A234" s="97">
        <f>IFERROR(__xludf.DUMMYFUNCTION("""COMPUTED_VALUE"""),2.0)</f>
        <v>2</v>
      </c>
      <c r="B234" s="98" t="str">
        <f>IFERROR(__xludf.DUMMYFUNCTION("""COMPUTED_VALUE"""),"ORGANISMOS")</f>
        <v>ORGANISMOS</v>
      </c>
      <c r="C234" s="99">
        <f>IFERROR(__xludf.DUMMYFUNCTION("""COMPUTED_VALUE"""),95.0)</f>
        <v>95</v>
      </c>
      <c r="D234" s="99" t="str">
        <f>IFERROR(__xludf.DUMMYFUNCTION("""COMPUTED_VALUE"""),"#DIV/0!")</f>
        <v>#DIV/0!</v>
      </c>
      <c r="E234" s="99">
        <f>IFERROR(__xludf.DUMMYFUNCTION("""COMPUTED_VALUE"""),0.0)</f>
        <v>0</v>
      </c>
      <c r="F234" s="100">
        <f>IFERROR(__xludf.DUMMYFUNCTION("""COMPUTED_VALUE"""),0.0)</f>
        <v>0</v>
      </c>
      <c r="G234" s="99">
        <f>IFERROR(__xludf.DUMMYFUNCTION("""COMPUTED_VALUE"""),0.0)</f>
        <v>0</v>
      </c>
      <c r="H234" s="98">
        <f>IFERROR(__xludf.DUMMYFUNCTION("""COMPUTED_VALUE"""),3.0)</f>
        <v>3</v>
      </c>
      <c r="I234" s="101">
        <f>IFERROR(__xludf.DUMMYFUNCTION("""COMPUTED_VALUE"""),46025.0)</f>
        <v>46025</v>
      </c>
    </row>
    <row r="235">
      <c r="A235" s="97">
        <f>IFERROR(__xludf.DUMMYFUNCTION("""COMPUTED_VALUE"""),2.0)</f>
        <v>2</v>
      </c>
      <c r="B235" s="98" t="str">
        <f>IFERROR(__xludf.DUMMYFUNCTION("""COMPUTED_VALUE"""),"TEMAS SELECTOS DE FILOSOFÍA")</f>
        <v>TEMAS SELECTOS DE FILOSOFÍA</v>
      </c>
      <c r="C235" s="99">
        <f>IFERROR(__xludf.DUMMYFUNCTION("""COMPUTED_VALUE"""),96.0)</f>
        <v>96</v>
      </c>
      <c r="D235" s="99" t="str">
        <f>IFERROR(__xludf.DUMMYFUNCTION("""COMPUTED_VALUE"""),"#DIV/0!")</f>
        <v>#DIV/0!</v>
      </c>
      <c r="E235" s="99">
        <f>IFERROR(__xludf.DUMMYFUNCTION("""COMPUTED_VALUE"""),0.0)</f>
        <v>0</v>
      </c>
      <c r="F235" s="100">
        <f>IFERROR(__xludf.DUMMYFUNCTION("""COMPUTED_VALUE"""),0.0)</f>
        <v>0</v>
      </c>
      <c r="G235" s="99">
        <f>IFERROR(__xludf.DUMMYFUNCTION("""COMPUTED_VALUE"""),0.0)</f>
        <v>0</v>
      </c>
      <c r="H235" s="98">
        <f>IFERROR(__xludf.DUMMYFUNCTION("""COMPUTED_VALUE"""),3.0)</f>
        <v>3</v>
      </c>
      <c r="I235" s="101">
        <f>IFERROR(__xludf.DUMMYFUNCTION("""COMPUTED_VALUE"""),46025.0)</f>
        <v>46025</v>
      </c>
    </row>
    <row r="236">
      <c r="A236" s="97">
        <f>IFERROR(__xludf.DUMMYFUNCTION("""COMPUTED_VALUE"""),2.0)</f>
        <v>2</v>
      </c>
      <c r="B236" s="98" t="str">
        <f>IFERROR(__xludf.DUMMYFUNCTION("""COMPUTED_VALUE"""),"DISEÑO DIGITAL ")</f>
        <v>DISEÑO DIGITAL </v>
      </c>
      <c r="C236" s="99">
        <f>IFERROR(__xludf.DUMMYFUNCTION("""COMPUTED_VALUE"""),94.0)</f>
        <v>94</v>
      </c>
      <c r="D236" s="99" t="str">
        <f>IFERROR(__xludf.DUMMYFUNCTION("""COMPUTED_VALUE"""),"#DIV/0!")</f>
        <v>#DIV/0!</v>
      </c>
      <c r="E236" s="99">
        <f>IFERROR(__xludf.DUMMYFUNCTION("""COMPUTED_VALUE"""),0.0)</f>
        <v>0</v>
      </c>
      <c r="F236" s="100">
        <f>IFERROR(__xludf.DUMMYFUNCTION("""COMPUTED_VALUE"""),0.0)</f>
        <v>0</v>
      </c>
      <c r="G236" s="99">
        <f>IFERROR(__xludf.DUMMYFUNCTION("""COMPUTED_VALUE"""),0.0)</f>
        <v>0</v>
      </c>
      <c r="H236" s="98">
        <f>IFERROR(__xludf.DUMMYFUNCTION("""COMPUTED_VALUE"""),3.0)</f>
        <v>3</v>
      </c>
      <c r="I236" s="101">
        <f>IFERROR(__xludf.DUMMYFUNCTION("""COMPUTED_VALUE"""),46025.0)</f>
        <v>46025</v>
      </c>
    </row>
    <row r="237">
      <c r="A237" s="97">
        <f>IFERROR(__xludf.DUMMYFUNCTION("""COMPUTED_VALUE"""),2.0)</f>
        <v>2</v>
      </c>
      <c r="B237" s="98" t="str">
        <f>IFERROR(__xludf.DUMMYFUNCTION("""COMPUTED_VALUE"""),"ECONOMÍA I")</f>
        <v>ECONOMÍA I</v>
      </c>
      <c r="C237" s="99">
        <f>IFERROR(__xludf.DUMMYFUNCTION("""COMPUTED_VALUE"""),95.0)</f>
        <v>95</v>
      </c>
      <c r="D237" s="99" t="str">
        <f>IFERROR(__xludf.DUMMYFUNCTION("""COMPUTED_VALUE"""),"#DIV/0!")</f>
        <v>#DIV/0!</v>
      </c>
      <c r="E237" s="99">
        <f>IFERROR(__xludf.DUMMYFUNCTION("""COMPUTED_VALUE"""),0.0)</f>
        <v>0</v>
      </c>
      <c r="F237" s="100">
        <f>IFERROR(__xludf.DUMMYFUNCTION("""COMPUTED_VALUE"""),0.0)</f>
        <v>0</v>
      </c>
      <c r="G237" s="99">
        <f>IFERROR(__xludf.DUMMYFUNCTION("""COMPUTED_VALUE"""),0.0)</f>
        <v>0</v>
      </c>
      <c r="H237" s="98">
        <f>IFERROR(__xludf.DUMMYFUNCTION("""COMPUTED_VALUE"""),3.0)</f>
        <v>3</v>
      </c>
      <c r="I237" s="101">
        <f>IFERROR(__xludf.DUMMYFUNCTION("""COMPUTED_VALUE"""),46025.0)</f>
        <v>46025</v>
      </c>
    </row>
    <row r="238">
      <c r="A238" s="97">
        <f>IFERROR(__xludf.DUMMYFUNCTION("""COMPUTED_VALUE"""),2.0)</f>
        <v>2</v>
      </c>
      <c r="B238" s="98" t="str">
        <f>IFERROR(__xludf.DUMMYFUNCTION("""COMPUTED_VALUE"""),"PÁGINAS WEB")</f>
        <v>PÁGINAS WEB</v>
      </c>
      <c r="C238" s="99">
        <f>IFERROR(__xludf.DUMMYFUNCTION("""COMPUTED_VALUE"""),94.54545454545455)</f>
        <v>94.54545455</v>
      </c>
      <c r="D238" s="99" t="str">
        <f>IFERROR(__xludf.DUMMYFUNCTION("""COMPUTED_VALUE"""),"#DIV/0!")</f>
        <v>#DIV/0!</v>
      </c>
      <c r="E238" s="99">
        <f>IFERROR(__xludf.DUMMYFUNCTION("""COMPUTED_VALUE"""),0.0)</f>
        <v>0</v>
      </c>
      <c r="F238" s="100">
        <f>IFERROR(__xludf.DUMMYFUNCTION("""COMPUTED_VALUE"""),0.0)</f>
        <v>0</v>
      </c>
      <c r="G238" s="99">
        <f>IFERROR(__xludf.DUMMYFUNCTION("""COMPUTED_VALUE"""),0.0)</f>
        <v>0</v>
      </c>
      <c r="H238" s="98">
        <f>IFERROR(__xludf.DUMMYFUNCTION("""COMPUTED_VALUE"""),3.0)</f>
        <v>3</v>
      </c>
      <c r="I238" s="101">
        <f>IFERROR(__xludf.DUMMYFUNCTION("""COMPUTED_VALUE"""),46025.0)</f>
        <v>46025</v>
      </c>
    </row>
    <row r="239">
      <c r="A239" s="97">
        <f>IFERROR(__xludf.DUMMYFUNCTION("""COMPUTED_VALUE"""),2.0)</f>
        <v>2</v>
      </c>
      <c r="B239" s="98" t="str">
        <f>IFERROR(__xludf.DUMMYFUNCTION("""COMPUTED_VALUE"""),"ACTIVIDADES ARTÍSTICAS Y CULTURALES III")</f>
        <v>ACTIVIDADES ARTÍSTICAS Y CULTURALES III</v>
      </c>
      <c r="C239" s="99">
        <f>IFERROR(__xludf.DUMMYFUNCTION("""COMPUTED_VALUE"""),92.5)</f>
        <v>92.5</v>
      </c>
      <c r="D239" s="99" t="str">
        <f>IFERROR(__xludf.DUMMYFUNCTION("""COMPUTED_VALUE"""),"#DIV/0!")</f>
        <v>#DIV/0!</v>
      </c>
      <c r="E239" s="99">
        <f>IFERROR(__xludf.DUMMYFUNCTION("""COMPUTED_VALUE"""),0.0)</f>
        <v>0</v>
      </c>
      <c r="F239" s="100">
        <f>IFERROR(__xludf.DUMMYFUNCTION("""COMPUTED_VALUE"""),0.0)</f>
        <v>0</v>
      </c>
      <c r="G239" s="99">
        <f>IFERROR(__xludf.DUMMYFUNCTION("""COMPUTED_VALUE"""),0.0)</f>
        <v>0</v>
      </c>
      <c r="H239" s="98">
        <f>IFERROR(__xludf.DUMMYFUNCTION("""COMPUTED_VALUE"""),3.0)</f>
        <v>3</v>
      </c>
      <c r="I239" s="101">
        <f>IFERROR(__xludf.DUMMYFUNCTION("""COMPUTED_VALUE"""),46025.0)</f>
        <v>46025</v>
      </c>
    </row>
    <row r="240">
      <c r="A240" s="97">
        <f>IFERROR(__xludf.DUMMYFUNCTION("""COMPUTED_VALUE"""),2.0)</f>
        <v>2</v>
      </c>
      <c r="B240" s="98" t="str">
        <f>IFERROR(__xludf.DUMMYFUNCTION("""COMPUTED_VALUE"""),"PRÁCTICA Y COLABORACIÓN CIUDADANA II")</f>
        <v>PRÁCTICA Y COLABORACIÓN CIUDADANA II</v>
      </c>
      <c r="C240" s="99">
        <f>IFERROR(__xludf.DUMMYFUNCTION("""COMPUTED_VALUE"""),92.5)</f>
        <v>92.5</v>
      </c>
      <c r="D240" s="99" t="str">
        <f>IFERROR(__xludf.DUMMYFUNCTION("""COMPUTED_VALUE"""),"#DIV/0!")</f>
        <v>#DIV/0!</v>
      </c>
      <c r="E240" s="99">
        <f>IFERROR(__xludf.DUMMYFUNCTION("""COMPUTED_VALUE"""),0.0)</f>
        <v>0</v>
      </c>
      <c r="F240" s="100">
        <f>IFERROR(__xludf.DUMMYFUNCTION("""COMPUTED_VALUE"""),0.0)</f>
        <v>0</v>
      </c>
      <c r="G240" s="99">
        <f>IFERROR(__xludf.DUMMYFUNCTION("""COMPUTED_VALUE"""),0.0)</f>
        <v>0</v>
      </c>
      <c r="H240" s="98">
        <f>IFERROR(__xludf.DUMMYFUNCTION("""COMPUTED_VALUE"""),3.0)</f>
        <v>3</v>
      </c>
      <c r="I240" s="101">
        <f>IFERROR(__xludf.DUMMYFUNCTION("""COMPUTED_VALUE"""),46025.0)</f>
        <v>46025</v>
      </c>
    </row>
    <row r="241">
      <c r="A241" s="102">
        <f>IFERROR(__xludf.DUMMYFUNCTION("""COMPUTED_VALUE"""),2.0)</f>
        <v>2</v>
      </c>
      <c r="B241" s="103" t="str">
        <f>IFERROR(__xludf.DUMMYFUNCTION("""COMPUTED_VALUE"""),"TEMAS SELECTOS DE IGUALDAD Y DERECHOS HUMANOS VI ")</f>
        <v>TEMAS SELECTOS DE IGUALDAD Y DERECHOS HUMANOS VI </v>
      </c>
      <c r="C241" s="104">
        <f>IFERROR(__xludf.DUMMYFUNCTION("""COMPUTED_VALUE"""),92.5)</f>
        <v>92.5</v>
      </c>
      <c r="D241" s="104" t="str">
        <f>IFERROR(__xludf.DUMMYFUNCTION("""COMPUTED_VALUE"""),"#DIV/0!")</f>
        <v>#DIV/0!</v>
      </c>
      <c r="E241" s="104">
        <f>IFERROR(__xludf.DUMMYFUNCTION("""COMPUTED_VALUE"""),0.0)</f>
        <v>0</v>
      </c>
      <c r="F241" s="105">
        <f>IFERROR(__xludf.DUMMYFUNCTION("""COMPUTED_VALUE"""),0.0)</f>
        <v>0</v>
      </c>
      <c r="G241" s="104">
        <f>IFERROR(__xludf.DUMMYFUNCTION("""COMPUTED_VALUE"""),0.0)</f>
        <v>0</v>
      </c>
      <c r="H241" s="103">
        <f>IFERROR(__xludf.DUMMYFUNCTION("""COMPUTED_VALUE"""),3.0)</f>
        <v>3</v>
      </c>
      <c r="I241" s="106">
        <f>IFERROR(__xludf.DUMMYFUNCTION("""COMPUTED_VALUE"""),46025.0)</f>
        <v>46025</v>
      </c>
    </row>
    <row r="242">
      <c r="A242" s="92">
        <f>IFERROR(__xludf.DUMMYFUNCTION("""COMPUTED_VALUE"""),3.0)</f>
        <v>3</v>
      </c>
      <c r="B242" s="93" t="str">
        <f>IFERROR(__xludf.DUMMYFUNCTION("""COMPUTED_VALUE"""),"CIENCIAS DE LA COMUNICACIÓN I")</f>
        <v>CIENCIAS DE LA COMUNICACIÓN I</v>
      </c>
      <c r="C242" s="94">
        <f>IFERROR(__xludf.DUMMYFUNCTION("""COMPUTED_VALUE"""),99.0)</f>
        <v>99</v>
      </c>
      <c r="D242" s="94" t="str">
        <f>IFERROR(__xludf.DUMMYFUNCTION("""COMPUTED_VALUE"""),"#DIV/0!")</f>
        <v>#DIV/0!</v>
      </c>
      <c r="E242" s="94">
        <f>IFERROR(__xludf.DUMMYFUNCTION("""COMPUTED_VALUE"""),0.0)</f>
        <v>0</v>
      </c>
      <c r="F242" s="95">
        <f>IFERROR(__xludf.DUMMYFUNCTION("""COMPUTED_VALUE"""),0.0)</f>
        <v>0</v>
      </c>
      <c r="G242" s="94">
        <f>IFERROR(__xludf.DUMMYFUNCTION("""COMPUTED_VALUE"""),0.0)</f>
        <v>0</v>
      </c>
      <c r="H242" s="93">
        <f>IFERROR(__xludf.DUMMYFUNCTION("""COMPUTED_VALUE"""),3.0)</f>
        <v>3</v>
      </c>
      <c r="I242" s="96">
        <f>IFERROR(__xludf.DUMMYFUNCTION("""COMPUTED_VALUE"""),46025.0)</f>
        <v>46025</v>
      </c>
    </row>
    <row r="243">
      <c r="A243" s="97">
        <f>IFERROR(__xludf.DUMMYFUNCTION("""COMPUTED_VALUE"""),3.0)</f>
        <v>3</v>
      </c>
      <c r="B243" s="98" t="str">
        <f>IFERROR(__xludf.DUMMYFUNCTION("""COMPUTED_VALUE"""),"TEMAS SELECTOS DE INGLÉS II")</f>
        <v>TEMAS SELECTOS DE INGLÉS II</v>
      </c>
      <c r="C243" s="99">
        <f>IFERROR(__xludf.DUMMYFUNCTION("""COMPUTED_VALUE"""),99.0)</f>
        <v>99</v>
      </c>
      <c r="D243" s="99" t="str">
        <f>IFERROR(__xludf.DUMMYFUNCTION("""COMPUTED_VALUE"""),"#DIV/0!")</f>
        <v>#DIV/0!</v>
      </c>
      <c r="E243" s="99">
        <f>IFERROR(__xludf.DUMMYFUNCTION("""COMPUTED_VALUE"""),0.0)</f>
        <v>0</v>
      </c>
      <c r="F243" s="100">
        <f>IFERROR(__xludf.DUMMYFUNCTION("""COMPUTED_VALUE"""),0.0)</f>
        <v>0</v>
      </c>
      <c r="G243" s="99">
        <f>IFERROR(__xludf.DUMMYFUNCTION("""COMPUTED_VALUE"""),0.0)</f>
        <v>0</v>
      </c>
      <c r="H243" s="98">
        <f>IFERROR(__xludf.DUMMYFUNCTION("""COMPUTED_VALUE"""),3.0)</f>
        <v>3</v>
      </c>
      <c r="I243" s="101">
        <f>IFERROR(__xludf.DUMMYFUNCTION("""COMPUTED_VALUE"""),46025.0)</f>
        <v>46025</v>
      </c>
    </row>
    <row r="244">
      <c r="A244" s="97">
        <f>IFERROR(__xludf.DUMMYFUNCTION("""COMPUTED_VALUE"""),3.0)</f>
        <v>3</v>
      </c>
      <c r="B244" s="98" t="str">
        <f>IFERROR(__xludf.DUMMYFUNCTION("""COMPUTED_VALUE"""),"TEMAS SELECTOS DE MATEMÁTICAS II")</f>
        <v>TEMAS SELECTOS DE MATEMÁTICAS II</v>
      </c>
      <c r="C244" s="99">
        <f>IFERROR(__xludf.DUMMYFUNCTION("""COMPUTED_VALUE"""),99.0)</f>
        <v>99</v>
      </c>
      <c r="D244" s="99" t="str">
        <f>IFERROR(__xludf.DUMMYFUNCTION("""COMPUTED_VALUE"""),"#DIV/0!")</f>
        <v>#DIV/0!</v>
      </c>
      <c r="E244" s="99">
        <f>IFERROR(__xludf.DUMMYFUNCTION("""COMPUTED_VALUE"""),0.0)</f>
        <v>0</v>
      </c>
      <c r="F244" s="100">
        <f>IFERROR(__xludf.DUMMYFUNCTION("""COMPUTED_VALUE"""),0.0)</f>
        <v>0</v>
      </c>
      <c r="G244" s="99">
        <f>IFERROR(__xludf.DUMMYFUNCTION("""COMPUTED_VALUE"""),0.0)</f>
        <v>0</v>
      </c>
      <c r="H244" s="98">
        <f>IFERROR(__xludf.DUMMYFUNCTION("""COMPUTED_VALUE"""),3.0)</f>
        <v>3</v>
      </c>
      <c r="I244" s="101">
        <f>IFERROR(__xludf.DUMMYFUNCTION("""COMPUTED_VALUE"""),46025.0)</f>
        <v>46025</v>
      </c>
    </row>
    <row r="245">
      <c r="A245" s="97">
        <f>IFERROR(__xludf.DUMMYFUNCTION("""COMPUTED_VALUE"""),3.0)</f>
        <v>3</v>
      </c>
      <c r="B245" s="98" t="str">
        <f>IFERROR(__xludf.DUMMYFUNCTION("""COMPUTED_VALUE"""),"CONCIENCIA HISTORICA III")</f>
        <v>CONCIENCIA HISTORICA III</v>
      </c>
      <c r="C245" s="99">
        <f>IFERROR(__xludf.DUMMYFUNCTION("""COMPUTED_VALUE"""),96.66666666666667)</f>
        <v>96.66666667</v>
      </c>
      <c r="D245" s="99" t="str">
        <f>IFERROR(__xludf.DUMMYFUNCTION("""COMPUTED_VALUE"""),"#DIV/0!")</f>
        <v>#DIV/0!</v>
      </c>
      <c r="E245" s="99">
        <f>IFERROR(__xludf.DUMMYFUNCTION("""COMPUTED_VALUE"""),0.0)</f>
        <v>0</v>
      </c>
      <c r="F245" s="100">
        <f>IFERROR(__xludf.DUMMYFUNCTION("""COMPUTED_VALUE"""),0.0)</f>
        <v>0</v>
      </c>
      <c r="G245" s="99">
        <f>IFERROR(__xludf.DUMMYFUNCTION("""COMPUTED_VALUE"""),0.0)</f>
        <v>0</v>
      </c>
      <c r="H245" s="98">
        <f>IFERROR(__xludf.DUMMYFUNCTION("""COMPUTED_VALUE"""),3.0)</f>
        <v>3</v>
      </c>
      <c r="I245" s="101">
        <f>IFERROR(__xludf.DUMMYFUNCTION("""COMPUTED_VALUE"""),46025.0)</f>
        <v>46025</v>
      </c>
    </row>
    <row r="246">
      <c r="A246" s="97">
        <f>IFERROR(__xludf.DUMMYFUNCTION("""COMPUTED_VALUE"""),3.0)</f>
        <v>3</v>
      </c>
      <c r="B246" s="98" t="str">
        <f>IFERROR(__xludf.DUMMYFUNCTION("""COMPUTED_VALUE"""),"ORGANISMOS")</f>
        <v>ORGANISMOS</v>
      </c>
      <c r="C246" s="99">
        <f>IFERROR(__xludf.DUMMYFUNCTION("""COMPUTED_VALUE"""),95.0)</f>
        <v>95</v>
      </c>
      <c r="D246" s="99" t="str">
        <f>IFERROR(__xludf.DUMMYFUNCTION("""COMPUTED_VALUE"""),"#DIV/0!")</f>
        <v>#DIV/0!</v>
      </c>
      <c r="E246" s="99">
        <f>IFERROR(__xludf.DUMMYFUNCTION("""COMPUTED_VALUE"""),0.0)</f>
        <v>0</v>
      </c>
      <c r="F246" s="100">
        <f>IFERROR(__xludf.DUMMYFUNCTION("""COMPUTED_VALUE"""),0.0)</f>
        <v>0</v>
      </c>
      <c r="G246" s="99">
        <f>IFERROR(__xludf.DUMMYFUNCTION("""COMPUTED_VALUE"""),0.0)</f>
        <v>0</v>
      </c>
      <c r="H246" s="98">
        <f>IFERROR(__xludf.DUMMYFUNCTION("""COMPUTED_VALUE"""),3.0)</f>
        <v>3</v>
      </c>
      <c r="I246" s="101">
        <f>IFERROR(__xludf.DUMMYFUNCTION("""COMPUTED_VALUE"""),46025.0)</f>
        <v>46025</v>
      </c>
    </row>
    <row r="247">
      <c r="A247" s="97">
        <f>IFERROR(__xludf.DUMMYFUNCTION("""COMPUTED_VALUE"""),3.0)</f>
        <v>3</v>
      </c>
      <c r="B247" s="98" t="str">
        <f>IFERROR(__xludf.DUMMYFUNCTION("""COMPUTED_VALUE"""),"TEMAS SELECTOS DE FILOSOFÍA")</f>
        <v>TEMAS SELECTOS DE FILOSOFÍA</v>
      </c>
      <c r="C247" s="99">
        <f>IFERROR(__xludf.DUMMYFUNCTION("""COMPUTED_VALUE"""),96.0)</f>
        <v>96</v>
      </c>
      <c r="D247" s="99" t="str">
        <f>IFERROR(__xludf.DUMMYFUNCTION("""COMPUTED_VALUE"""),"#DIV/0!")</f>
        <v>#DIV/0!</v>
      </c>
      <c r="E247" s="99">
        <f>IFERROR(__xludf.DUMMYFUNCTION("""COMPUTED_VALUE"""),0.0)</f>
        <v>0</v>
      </c>
      <c r="F247" s="100">
        <f>IFERROR(__xludf.DUMMYFUNCTION("""COMPUTED_VALUE"""),0.0)</f>
        <v>0</v>
      </c>
      <c r="G247" s="99">
        <f>IFERROR(__xludf.DUMMYFUNCTION("""COMPUTED_VALUE"""),0.0)</f>
        <v>0</v>
      </c>
      <c r="H247" s="98">
        <f>IFERROR(__xludf.DUMMYFUNCTION("""COMPUTED_VALUE"""),3.0)</f>
        <v>3</v>
      </c>
      <c r="I247" s="101">
        <f>IFERROR(__xludf.DUMMYFUNCTION("""COMPUTED_VALUE"""),46025.0)</f>
        <v>46025</v>
      </c>
    </row>
    <row r="248">
      <c r="A248" s="97">
        <f>IFERROR(__xludf.DUMMYFUNCTION("""COMPUTED_VALUE"""),3.0)</f>
        <v>3</v>
      </c>
      <c r="B248" s="98" t="str">
        <f>IFERROR(__xludf.DUMMYFUNCTION("""COMPUTED_VALUE"""),"DISEÑO DIGITAL ")</f>
        <v>DISEÑO DIGITAL </v>
      </c>
      <c r="C248" s="99">
        <f>IFERROR(__xludf.DUMMYFUNCTION("""COMPUTED_VALUE"""),94.0)</f>
        <v>94</v>
      </c>
      <c r="D248" s="99" t="str">
        <f>IFERROR(__xludf.DUMMYFUNCTION("""COMPUTED_VALUE"""),"#DIV/0!")</f>
        <v>#DIV/0!</v>
      </c>
      <c r="E248" s="99">
        <f>IFERROR(__xludf.DUMMYFUNCTION("""COMPUTED_VALUE"""),0.0)</f>
        <v>0</v>
      </c>
      <c r="F248" s="100">
        <f>IFERROR(__xludf.DUMMYFUNCTION("""COMPUTED_VALUE"""),0.0)</f>
        <v>0</v>
      </c>
      <c r="G248" s="99">
        <f>IFERROR(__xludf.DUMMYFUNCTION("""COMPUTED_VALUE"""),0.0)</f>
        <v>0</v>
      </c>
      <c r="H248" s="98">
        <f>IFERROR(__xludf.DUMMYFUNCTION("""COMPUTED_VALUE"""),3.0)</f>
        <v>3</v>
      </c>
      <c r="I248" s="101">
        <f>IFERROR(__xludf.DUMMYFUNCTION("""COMPUTED_VALUE"""),46025.0)</f>
        <v>46025</v>
      </c>
    </row>
    <row r="249">
      <c r="A249" s="97">
        <f>IFERROR(__xludf.DUMMYFUNCTION("""COMPUTED_VALUE"""),3.0)</f>
        <v>3</v>
      </c>
      <c r="B249" s="98" t="str">
        <f>IFERROR(__xludf.DUMMYFUNCTION("""COMPUTED_VALUE"""),"ECONOMÍA I")</f>
        <v>ECONOMÍA I</v>
      </c>
      <c r="C249" s="99">
        <f>IFERROR(__xludf.DUMMYFUNCTION("""COMPUTED_VALUE"""),95.0)</f>
        <v>95</v>
      </c>
      <c r="D249" s="99" t="str">
        <f>IFERROR(__xludf.DUMMYFUNCTION("""COMPUTED_VALUE"""),"#DIV/0!")</f>
        <v>#DIV/0!</v>
      </c>
      <c r="E249" s="99">
        <f>IFERROR(__xludf.DUMMYFUNCTION("""COMPUTED_VALUE"""),0.0)</f>
        <v>0</v>
      </c>
      <c r="F249" s="100">
        <f>IFERROR(__xludf.DUMMYFUNCTION("""COMPUTED_VALUE"""),0.0)</f>
        <v>0</v>
      </c>
      <c r="G249" s="99">
        <f>IFERROR(__xludf.DUMMYFUNCTION("""COMPUTED_VALUE"""),0.0)</f>
        <v>0</v>
      </c>
      <c r="H249" s="98">
        <f>IFERROR(__xludf.DUMMYFUNCTION("""COMPUTED_VALUE"""),3.0)</f>
        <v>3</v>
      </c>
      <c r="I249" s="101">
        <f>IFERROR(__xludf.DUMMYFUNCTION("""COMPUTED_VALUE"""),46025.0)</f>
        <v>46025</v>
      </c>
    </row>
    <row r="250">
      <c r="A250" s="97">
        <f>IFERROR(__xludf.DUMMYFUNCTION("""COMPUTED_VALUE"""),3.0)</f>
        <v>3</v>
      </c>
      <c r="B250" s="98" t="str">
        <f>IFERROR(__xludf.DUMMYFUNCTION("""COMPUTED_VALUE"""),"PÁGINAS WEB")</f>
        <v>PÁGINAS WEB</v>
      </c>
      <c r="C250" s="99">
        <f>IFERROR(__xludf.DUMMYFUNCTION("""COMPUTED_VALUE"""),94.54545454545455)</f>
        <v>94.54545455</v>
      </c>
      <c r="D250" s="99" t="str">
        <f>IFERROR(__xludf.DUMMYFUNCTION("""COMPUTED_VALUE"""),"#DIV/0!")</f>
        <v>#DIV/0!</v>
      </c>
      <c r="E250" s="99">
        <f>IFERROR(__xludf.DUMMYFUNCTION("""COMPUTED_VALUE"""),0.0)</f>
        <v>0</v>
      </c>
      <c r="F250" s="100">
        <f>IFERROR(__xludf.DUMMYFUNCTION("""COMPUTED_VALUE"""),0.0)</f>
        <v>0</v>
      </c>
      <c r="G250" s="99">
        <f>IFERROR(__xludf.DUMMYFUNCTION("""COMPUTED_VALUE"""),0.0)</f>
        <v>0</v>
      </c>
      <c r="H250" s="98">
        <f>IFERROR(__xludf.DUMMYFUNCTION("""COMPUTED_VALUE"""),3.0)</f>
        <v>3</v>
      </c>
      <c r="I250" s="101">
        <f>IFERROR(__xludf.DUMMYFUNCTION("""COMPUTED_VALUE"""),46025.0)</f>
        <v>46025</v>
      </c>
    </row>
    <row r="251">
      <c r="A251" s="97">
        <f>IFERROR(__xludf.DUMMYFUNCTION("""COMPUTED_VALUE"""),3.0)</f>
        <v>3</v>
      </c>
      <c r="B251" s="98" t="str">
        <f>IFERROR(__xludf.DUMMYFUNCTION("""COMPUTED_VALUE"""),"ACTIVIDADES ARTÍSTICAS Y CULTURALES III")</f>
        <v>ACTIVIDADES ARTÍSTICAS Y CULTURALES III</v>
      </c>
      <c r="C251" s="99">
        <f>IFERROR(__xludf.DUMMYFUNCTION("""COMPUTED_VALUE"""),92.5)</f>
        <v>92.5</v>
      </c>
      <c r="D251" s="99" t="str">
        <f>IFERROR(__xludf.DUMMYFUNCTION("""COMPUTED_VALUE"""),"#DIV/0!")</f>
        <v>#DIV/0!</v>
      </c>
      <c r="E251" s="99">
        <f>IFERROR(__xludf.DUMMYFUNCTION("""COMPUTED_VALUE"""),0.0)</f>
        <v>0</v>
      </c>
      <c r="F251" s="100">
        <f>IFERROR(__xludf.DUMMYFUNCTION("""COMPUTED_VALUE"""),0.0)</f>
        <v>0</v>
      </c>
      <c r="G251" s="99">
        <f>IFERROR(__xludf.DUMMYFUNCTION("""COMPUTED_VALUE"""),0.0)</f>
        <v>0</v>
      </c>
      <c r="H251" s="98">
        <f>IFERROR(__xludf.DUMMYFUNCTION("""COMPUTED_VALUE"""),3.0)</f>
        <v>3</v>
      </c>
      <c r="I251" s="101">
        <f>IFERROR(__xludf.DUMMYFUNCTION("""COMPUTED_VALUE"""),46025.0)</f>
        <v>46025</v>
      </c>
    </row>
    <row r="252">
      <c r="A252" s="97">
        <f>IFERROR(__xludf.DUMMYFUNCTION("""COMPUTED_VALUE"""),3.0)</f>
        <v>3</v>
      </c>
      <c r="B252" s="98" t="str">
        <f>IFERROR(__xludf.DUMMYFUNCTION("""COMPUTED_VALUE"""),"PRÁCTICA Y COLABORACIÓN CIUDADANA II")</f>
        <v>PRÁCTICA Y COLABORACIÓN CIUDADANA II</v>
      </c>
      <c r="C252" s="99">
        <f>IFERROR(__xludf.DUMMYFUNCTION("""COMPUTED_VALUE"""),92.5)</f>
        <v>92.5</v>
      </c>
      <c r="D252" s="99" t="str">
        <f>IFERROR(__xludf.DUMMYFUNCTION("""COMPUTED_VALUE"""),"#DIV/0!")</f>
        <v>#DIV/0!</v>
      </c>
      <c r="E252" s="99">
        <f>IFERROR(__xludf.DUMMYFUNCTION("""COMPUTED_VALUE"""),0.0)</f>
        <v>0</v>
      </c>
      <c r="F252" s="100">
        <f>IFERROR(__xludf.DUMMYFUNCTION("""COMPUTED_VALUE"""),0.0)</f>
        <v>0</v>
      </c>
      <c r="G252" s="99">
        <f>IFERROR(__xludf.DUMMYFUNCTION("""COMPUTED_VALUE"""),0.0)</f>
        <v>0</v>
      </c>
      <c r="H252" s="98">
        <f>IFERROR(__xludf.DUMMYFUNCTION("""COMPUTED_VALUE"""),3.0)</f>
        <v>3</v>
      </c>
      <c r="I252" s="101">
        <f>IFERROR(__xludf.DUMMYFUNCTION("""COMPUTED_VALUE"""),46025.0)</f>
        <v>46025</v>
      </c>
    </row>
    <row r="253">
      <c r="A253" s="102">
        <f>IFERROR(__xludf.DUMMYFUNCTION("""COMPUTED_VALUE"""),3.0)</f>
        <v>3</v>
      </c>
      <c r="B253" s="103" t="str">
        <f>IFERROR(__xludf.DUMMYFUNCTION("""COMPUTED_VALUE"""),"TEMAS SELECTOS DE IGUALDAD Y DERECHOS HUMANOS VI ")</f>
        <v>TEMAS SELECTOS DE IGUALDAD Y DERECHOS HUMANOS VI </v>
      </c>
      <c r="C253" s="104">
        <f>IFERROR(__xludf.DUMMYFUNCTION("""COMPUTED_VALUE"""),92.5)</f>
        <v>92.5</v>
      </c>
      <c r="D253" s="104" t="str">
        <f>IFERROR(__xludf.DUMMYFUNCTION("""COMPUTED_VALUE"""),"#DIV/0!")</f>
        <v>#DIV/0!</v>
      </c>
      <c r="E253" s="104">
        <f>IFERROR(__xludf.DUMMYFUNCTION("""COMPUTED_VALUE"""),0.0)</f>
        <v>0</v>
      </c>
      <c r="F253" s="105">
        <f>IFERROR(__xludf.DUMMYFUNCTION("""COMPUTED_VALUE"""),0.0)</f>
        <v>0</v>
      </c>
      <c r="G253" s="104">
        <f>IFERROR(__xludf.DUMMYFUNCTION("""COMPUTED_VALUE"""),0.0)</f>
        <v>0</v>
      </c>
      <c r="H253" s="103">
        <f>IFERROR(__xludf.DUMMYFUNCTION("""COMPUTED_VALUE"""),3.0)</f>
        <v>3</v>
      </c>
      <c r="I253" s="106">
        <f>IFERROR(__xludf.DUMMYFUNCTION("""COMPUTED_VALUE"""),46025.0)</f>
        <v>46025</v>
      </c>
    </row>
    <row r="254">
      <c r="A254" s="107">
        <f>IFERROR(__xludf.DUMMYFUNCTION("IMPORTRANGE(""https://docs.google.com/spreadsheets/d/1iAX3AWzjpHqmEt8bstmoFNG1hU-yiu6EEATgB3aUvR8/edit?usp=sharing"",""INDICADORES!N2:V37"")"),1.0)</f>
        <v>1</v>
      </c>
      <c r="B254" s="108" t="str">
        <f>IFERROR(__xludf.DUMMYFUNCTION("""COMPUTED_VALUE"""),"CIENCIAS DE LA COMUNICACIÓN I")</f>
        <v>CIENCIAS DE LA COMUNICACIÓN I</v>
      </c>
      <c r="C254" s="109">
        <f>IFERROR(__xludf.DUMMYFUNCTION("""COMPUTED_VALUE"""),98.875)</f>
        <v>98.875</v>
      </c>
      <c r="D254" s="109">
        <f>IFERROR(__xludf.DUMMYFUNCTION("""COMPUTED_VALUE"""),7.575)</f>
        <v>7.575</v>
      </c>
      <c r="E254" s="109">
        <f>IFERROR(__xludf.DUMMYFUNCTION("""COMPUTED_VALUE"""),12.5)</f>
        <v>12.5</v>
      </c>
      <c r="F254" s="110">
        <f>IFERROR(__xludf.DUMMYFUNCTION("""COMPUTED_VALUE"""),5.0)</f>
        <v>5</v>
      </c>
      <c r="G254" s="109">
        <f>IFERROR(__xludf.DUMMYFUNCTION("""COMPUTED_VALUE"""),87.5)</f>
        <v>87.5</v>
      </c>
      <c r="H254" s="108">
        <f>IFERROR(__xludf.DUMMYFUNCTION("""COMPUTED_VALUE"""),3.0)</f>
        <v>3</v>
      </c>
      <c r="I254" s="111">
        <f>IFERROR(__xludf.DUMMYFUNCTION("""COMPUTED_VALUE"""),46056.0)</f>
        <v>46056</v>
      </c>
    </row>
    <row r="255">
      <c r="A255" s="112">
        <f>IFERROR(__xludf.DUMMYFUNCTION("""COMPUTED_VALUE"""),1.0)</f>
        <v>1</v>
      </c>
      <c r="B255" s="113" t="str">
        <f>IFERROR(__xludf.DUMMYFUNCTION("""COMPUTED_VALUE"""),"TEMAS SELECTOS DE INGLÉS II")</f>
        <v>TEMAS SELECTOS DE INGLÉS II</v>
      </c>
      <c r="C255" s="114">
        <f>IFERROR(__xludf.DUMMYFUNCTION("""COMPUTED_VALUE"""),98.875)</f>
        <v>98.875</v>
      </c>
      <c r="D255" s="114">
        <f>IFERROR(__xludf.DUMMYFUNCTION("""COMPUTED_VALUE"""),7.575)</f>
        <v>7.575</v>
      </c>
      <c r="E255" s="114">
        <f>IFERROR(__xludf.DUMMYFUNCTION("""COMPUTED_VALUE"""),12.5)</f>
        <v>12.5</v>
      </c>
      <c r="F255" s="115">
        <f>IFERROR(__xludf.DUMMYFUNCTION("""COMPUTED_VALUE"""),5.0)</f>
        <v>5</v>
      </c>
      <c r="G255" s="114">
        <f>IFERROR(__xludf.DUMMYFUNCTION("""COMPUTED_VALUE"""),87.5)</f>
        <v>87.5</v>
      </c>
      <c r="H255" s="113">
        <f>IFERROR(__xludf.DUMMYFUNCTION("""COMPUTED_VALUE"""),3.0)</f>
        <v>3</v>
      </c>
      <c r="I255" s="116">
        <f>IFERROR(__xludf.DUMMYFUNCTION("""COMPUTED_VALUE"""),46056.0)</f>
        <v>46056</v>
      </c>
    </row>
    <row r="256">
      <c r="A256" s="112">
        <f>IFERROR(__xludf.DUMMYFUNCTION("""COMPUTED_VALUE"""),1.0)</f>
        <v>1</v>
      </c>
      <c r="B256" s="113" t="str">
        <f>IFERROR(__xludf.DUMMYFUNCTION("""COMPUTED_VALUE"""),"TEMAS SELECTOS DE MATEMÁTICAS II")</f>
        <v>TEMAS SELECTOS DE MATEMÁTICAS II</v>
      </c>
      <c r="C256" s="114">
        <f>IFERROR(__xludf.DUMMYFUNCTION("""COMPUTED_VALUE"""),98.95833333333333)</f>
        <v>98.95833333</v>
      </c>
      <c r="D256" s="114">
        <f>IFERROR(__xludf.DUMMYFUNCTION("""COMPUTED_VALUE"""),7.65)</f>
        <v>7.65</v>
      </c>
      <c r="E256" s="114">
        <f>IFERROR(__xludf.DUMMYFUNCTION("""COMPUTED_VALUE"""),10.0)</f>
        <v>10</v>
      </c>
      <c r="F256" s="115">
        <f>IFERROR(__xludf.DUMMYFUNCTION("""COMPUTED_VALUE"""),4.0)</f>
        <v>4</v>
      </c>
      <c r="G256" s="114">
        <f>IFERROR(__xludf.DUMMYFUNCTION("""COMPUTED_VALUE"""),90.0)</f>
        <v>90</v>
      </c>
      <c r="H256" s="113">
        <f>IFERROR(__xludf.DUMMYFUNCTION("""COMPUTED_VALUE"""),3.0)</f>
        <v>3</v>
      </c>
      <c r="I256" s="116">
        <f>IFERROR(__xludf.DUMMYFUNCTION("""COMPUTED_VALUE"""),46056.0)</f>
        <v>46056</v>
      </c>
    </row>
    <row r="257">
      <c r="A257" s="112">
        <f>IFERROR(__xludf.DUMMYFUNCTION("""COMPUTED_VALUE"""),1.0)</f>
        <v>1</v>
      </c>
      <c r="B257" s="113" t="str">
        <f>IFERROR(__xludf.DUMMYFUNCTION("""COMPUTED_VALUE"""),"CONCIENCIA HISTORICA III")</f>
        <v>CONCIENCIA HISTORICA III</v>
      </c>
      <c r="C257" s="114">
        <f>IFERROR(__xludf.DUMMYFUNCTION("""COMPUTED_VALUE"""),96.25)</f>
        <v>96.25</v>
      </c>
      <c r="D257" s="114">
        <f>IFERROR(__xludf.DUMMYFUNCTION("""COMPUTED_VALUE"""),7.575)</f>
        <v>7.575</v>
      </c>
      <c r="E257" s="114">
        <f>IFERROR(__xludf.DUMMYFUNCTION("""COMPUTED_VALUE"""),12.5)</f>
        <v>12.5</v>
      </c>
      <c r="F257" s="115">
        <f>IFERROR(__xludf.DUMMYFUNCTION("""COMPUTED_VALUE"""),5.0)</f>
        <v>5</v>
      </c>
      <c r="G257" s="114">
        <f>IFERROR(__xludf.DUMMYFUNCTION("""COMPUTED_VALUE"""),87.5)</f>
        <v>87.5</v>
      </c>
      <c r="H257" s="113">
        <f>IFERROR(__xludf.DUMMYFUNCTION("""COMPUTED_VALUE"""),3.0)</f>
        <v>3</v>
      </c>
      <c r="I257" s="116">
        <f>IFERROR(__xludf.DUMMYFUNCTION("""COMPUTED_VALUE"""),46056.0)</f>
        <v>46056</v>
      </c>
    </row>
    <row r="258">
      <c r="A258" s="112">
        <f>IFERROR(__xludf.DUMMYFUNCTION("""COMPUTED_VALUE"""),1.0)</f>
        <v>1</v>
      </c>
      <c r="B258" s="113" t="str">
        <f>IFERROR(__xludf.DUMMYFUNCTION("""COMPUTED_VALUE"""),"ORGANISMOS")</f>
        <v>ORGANISMOS</v>
      </c>
      <c r="C258" s="114">
        <f>IFERROR(__xludf.DUMMYFUNCTION("""COMPUTED_VALUE"""),94.375)</f>
        <v>94.375</v>
      </c>
      <c r="D258" s="114">
        <f>IFERROR(__xludf.DUMMYFUNCTION("""COMPUTED_VALUE"""),7.575)</f>
        <v>7.575</v>
      </c>
      <c r="E258" s="114">
        <f>IFERROR(__xludf.DUMMYFUNCTION("""COMPUTED_VALUE"""),12.5)</f>
        <v>12.5</v>
      </c>
      <c r="F258" s="115">
        <f>IFERROR(__xludf.DUMMYFUNCTION("""COMPUTED_VALUE"""),5.0)</f>
        <v>5</v>
      </c>
      <c r="G258" s="114">
        <f>IFERROR(__xludf.DUMMYFUNCTION("""COMPUTED_VALUE"""),87.5)</f>
        <v>87.5</v>
      </c>
      <c r="H258" s="113">
        <f>IFERROR(__xludf.DUMMYFUNCTION("""COMPUTED_VALUE"""),3.0)</f>
        <v>3</v>
      </c>
      <c r="I258" s="116">
        <f>IFERROR(__xludf.DUMMYFUNCTION("""COMPUTED_VALUE"""),46056.0)</f>
        <v>46056</v>
      </c>
    </row>
    <row r="259">
      <c r="A259" s="112">
        <f>IFERROR(__xludf.DUMMYFUNCTION("""COMPUTED_VALUE"""),1.0)</f>
        <v>1</v>
      </c>
      <c r="B259" s="113" t="str">
        <f>IFERROR(__xludf.DUMMYFUNCTION("""COMPUTED_VALUE"""),"TEMAS SELECTOS DE FILOSOFÍA")</f>
        <v>TEMAS SELECTOS DE FILOSOFÍA</v>
      </c>
      <c r="C259" s="114">
        <f>IFERROR(__xludf.DUMMYFUNCTION("""COMPUTED_VALUE"""),95.5)</f>
        <v>95.5</v>
      </c>
      <c r="D259" s="114">
        <f>IFERROR(__xludf.DUMMYFUNCTION("""COMPUTED_VALUE"""),7.575)</f>
        <v>7.575</v>
      </c>
      <c r="E259" s="114">
        <f>IFERROR(__xludf.DUMMYFUNCTION("""COMPUTED_VALUE"""),12.5)</f>
        <v>12.5</v>
      </c>
      <c r="F259" s="115">
        <f>IFERROR(__xludf.DUMMYFUNCTION("""COMPUTED_VALUE"""),5.0)</f>
        <v>5</v>
      </c>
      <c r="G259" s="114">
        <f>IFERROR(__xludf.DUMMYFUNCTION("""COMPUTED_VALUE"""),87.5)</f>
        <v>87.5</v>
      </c>
      <c r="H259" s="113">
        <f>IFERROR(__xludf.DUMMYFUNCTION("""COMPUTED_VALUE"""),3.0)</f>
        <v>3</v>
      </c>
      <c r="I259" s="116">
        <f>IFERROR(__xludf.DUMMYFUNCTION("""COMPUTED_VALUE"""),46056.0)</f>
        <v>46056</v>
      </c>
    </row>
    <row r="260">
      <c r="A260" s="112">
        <f>IFERROR(__xludf.DUMMYFUNCTION("""COMPUTED_VALUE"""),1.0)</f>
        <v>1</v>
      </c>
      <c r="B260" s="113" t="str">
        <f>IFERROR(__xludf.DUMMYFUNCTION("""COMPUTED_VALUE"""),"DISEÑO DIGITAL ")</f>
        <v>DISEÑO DIGITAL </v>
      </c>
      <c r="C260" s="114">
        <f>IFERROR(__xludf.DUMMYFUNCTION("""COMPUTED_VALUE"""),93.25)</f>
        <v>93.25</v>
      </c>
      <c r="D260" s="114">
        <f>IFERROR(__xludf.DUMMYFUNCTION("""COMPUTED_VALUE"""),7.575)</f>
        <v>7.575</v>
      </c>
      <c r="E260" s="114">
        <f>IFERROR(__xludf.DUMMYFUNCTION("""COMPUTED_VALUE"""),12.5)</f>
        <v>12.5</v>
      </c>
      <c r="F260" s="115">
        <f>IFERROR(__xludf.DUMMYFUNCTION("""COMPUTED_VALUE"""),5.0)</f>
        <v>5</v>
      </c>
      <c r="G260" s="114">
        <f>IFERROR(__xludf.DUMMYFUNCTION("""COMPUTED_VALUE"""),87.5)</f>
        <v>87.5</v>
      </c>
      <c r="H260" s="113">
        <f>IFERROR(__xludf.DUMMYFUNCTION("""COMPUTED_VALUE"""),3.0)</f>
        <v>3</v>
      </c>
      <c r="I260" s="116">
        <f>IFERROR(__xludf.DUMMYFUNCTION("""COMPUTED_VALUE"""),46056.0)</f>
        <v>46056</v>
      </c>
    </row>
    <row r="261">
      <c r="A261" s="112">
        <f>IFERROR(__xludf.DUMMYFUNCTION("""COMPUTED_VALUE"""),1.0)</f>
        <v>1</v>
      </c>
      <c r="B261" s="113" t="str">
        <f>IFERROR(__xludf.DUMMYFUNCTION("""COMPUTED_VALUE"""),"ECONOMÍA I")</f>
        <v>ECONOMÍA I</v>
      </c>
      <c r="C261" s="114">
        <f>IFERROR(__xludf.DUMMYFUNCTION("""COMPUTED_VALUE"""),94.375)</f>
        <v>94.375</v>
      </c>
      <c r="D261" s="114">
        <f>IFERROR(__xludf.DUMMYFUNCTION("""COMPUTED_VALUE"""),7.575)</f>
        <v>7.575</v>
      </c>
      <c r="E261" s="114">
        <f>IFERROR(__xludf.DUMMYFUNCTION("""COMPUTED_VALUE"""),12.5)</f>
        <v>12.5</v>
      </c>
      <c r="F261" s="115">
        <f>IFERROR(__xludf.DUMMYFUNCTION("""COMPUTED_VALUE"""),5.0)</f>
        <v>5</v>
      </c>
      <c r="G261" s="114">
        <f>IFERROR(__xludf.DUMMYFUNCTION("""COMPUTED_VALUE"""),87.5)</f>
        <v>87.5</v>
      </c>
      <c r="H261" s="113">
        <f>IFERROR(__xludf.DUMMYFUNCTION("""COMPUTED_VALUE"""),3.0)</f>
        <v>3</v>
      </c>
      <c r="I261" s="116">
        <f>IFERROR(__xludf.DUMMYFUNCTION("""COMPUTED_VALUE"""),46056.0)</f>
        <v>46056</v>
      </c>
    </row>
    <row r="262">
      <c r="A262" s="112">
        <f>IFERROR(__xludf.DUMMYFUNCTION("""COMPUTED_VALUE"""),1.0)</f>
        <v>1</v>
      </c>
      <c r="B262" s="113" t="str">
        <f>IFERROR(__xludf.DUMMYFUNCTION("""COMPUTED_VALUE"""),"PÁGINAS WEB")</f>
        <v>PÁGINAS WEB</v>
      </c>
      <c r="C262" s="114">
        <f>IFERROR(__xludf.DUMMYFUNCTION("""COMPUTED_VALUE"""),93.86363636363636)</f>
        <v>93.86363636</v>
      </c>
      <c r="D262" s="114">
        <f>IFERROR(__xludf.DUMMYFUNCTION("""COMPUTED_VALUE"""),7.575)</f>
        <v>7.575</v>
      </c>
      <c r="E262" s="114">
        <f>IFERROR(__xludf.DUMMYFUNCTION("""COMPUTED_VALUE"""),12.5)</f>
        <v>12.5</v>
      </c>
      <c r="F262" s="115">
        <f>IFERROR(__xludf.DUMMYFUNCTION("""COMPUTED_VALUE"""),5.0)</f>
        <v>5</v>
      </c>
      <c r="G262" s="114">
        <f>IFERROR(__xludf.DUMMYFUNCTION("""COMPUTED_VALUE"""),87.5)</f>
        <v>87.5</v>
      </c>
      <c r="H262" s="113">
        <f>IFERROR(__xludf.DUMMYFUNCTION("""COMPUTED_VALUE"""),3.0)</f>
        <v>3</v>
      </c>
      <c r="I262" s="116">
        <f>IFERROR(__xludf.DUMMYFUNCTION("""COMPUTED_VALUE"""),46056.0)</f>
        <v>46056</v>
      </c>
    </row>
    <row r="263">
      <c r="A263" s="112">
        <f>IFERROR(__xludf.DUMMYFUNCTION("""COMPUTED_VALUE"""),1.0)</f>
        <v>1</v>
      </c>
      <c r="B263" s="113" t="str">
        <f>IFERROR(__xludf.DUMMYFUNCTION("""COMPUTED_VALUE"""),"ACTIVIDADES ARTÍSTICAS Y CULTURALES III")</f>
        <v>ACTIVIDADES ARTÍSTICAS Y CULTURALES III</v>
      </c>
      <c r="C263" s="114">
        <f>IFERROR(__xludf.DUMMYFUNCTION("""COMPUTED_VALUE"""),91.5625)</f>
        <v>91.5625</v>
      </c>
      <c r="D263" s="114">
        <f>IFERROR(__xludf.DUMMYFUNCTION("""COMPUTED_VALUE"""),7.575)</f>
        <v>7.575</v>
      </c>
      <c r="E263" s="114">
        <f>IFERROR(__xludf.DUMMYFUNCTION("""COMPUTED_VALUE"""),12.5)</f>
        <v>12.5</v>
      </c>
      <c r="F263" s="115">
        <f>IFERROR(__xludf.DUMMYFUNCTION("""COMPUTED_VALUE"""),5.0)</f>
        <v>5</v>
      </c>
      <c r="G263" s="114">
        <f>IFERROR(__xludf.DUMMYFUNCTION("""COMPUTED_VALUE"""),87.5)</f>
        <v>87.5</v>
      </c>
      <c r="H263" s="113">
        <f>IFERROR(__xludf.DUMMYFUNCTION("""COMPUTED_VALUE"""),3.0)</f>
        <v>3</v>
      </c>
      <c r="I263" s="116">
        <f>IFERROR(__xludf.DUMMYFUNCTION("""COMPUTED_VALUE"""),46056.0)</f>
        <v>46056</v>
      </c>
    </row>
    <row r="264">
      <c r="A264" s="112">
        <f>IFERROR(__xludf.DUMMYFUNCTION("""COMPUTED_VALUE"""),1.0)</f>
        <v>1</v>
      </c>
      <c r="B264" s="113" t="str">
        <f>IFERROR(__xludf.DUMMYFUNCTION("""COMPUTED_VALUE"""),"PRÁCTICA Y COLABORACIÓN CIUDADANA II")</f>
        <v>PRÁCTICA Y COLABORACIÓN CIUDADANA II</v>
      </c>
      <c r="C264" s="114">
        <f>IFERROR(__xludf.DUMMYFUNCTION("""COMPUTED_VALUE"""),91.5625)</f>
        <v>91.5625</v>
      </c>
      <c r="D264" s="114">
        <f>IFERROR(__xludf.DUMMYFUNCTION("""COMPUTED_VALUE"""),7.575)</f>
        <v>7.575</v>
      </c>
      <c r="E264" s="114">
        <f>IFERROR(__xludf.DUMMYFUNCTION("""COMPUTED_VALUE"""),12.5)</f>
        <v>12.5</v>
      </c>
      <c r="F264" s="115">
        <f>IFERROR(__xludf.DUMMYFUNCTION("""COMPUTED_VALUE"""),5.0)</f>
        <v>5</v>
      </c>
      <c r="G264" s="114">
        <f>IFERROR(__xludf.DUMMYFUNCTION("""COMPUTED_VALUE"""),87.5)</f>
        <v>87.5</v>
      </c>
      <c r="H264" s="113">
        <f>IFERROR(__xludf.DUMMYFUNCTION("""COMPUTED_VALUE"""),3.0)</f>
        <v>3</v>
      </c>
      <c r="I264" s="116">
        <f>IFERROR(__xludf.DUMMYFUNCTION("""COMPUTED_VALUE"""),46056.0)</f>
        <v>46056</v>
      </c>
    </row>
    <row r="265">
      <c r="A265" s="117">
        <f>IFERROR(__xludf.DUMMYFUNCTION("""COMPUTED_VALUE"""),1.0)</f>
        <v>1</v>
      </c>
      <c r="B265" s="118" t="str">
        <f>IFERROR(__xludf.DUMMYFUNCTION("""COMPUTED_VALUE"""),"TEMAS SELECTOS DE IGUALDAD Y DERECHOS HUMANOS VI ")</f>
        <v>TEMAS SELECTOS DE IGUALDAD Y DERECHOS HUMANOS VI </v>
      </c>
      <c r="C265" s="119">
        <f>IFERROR(__xludf.DUMMYFUNCTION("""COMPUTED_VALUE"""),91.5625)</f>
        <v>91.5625</v>
      </c>
      <c r="D265" s="119">
        <f>IFERROR(__xludf.DUMMYFUNCTION("""COMPUTED_VALUE"""),7.575)</f>
        <v>7.575</v>
      </c>
      <c r="E265" s="119">
        <f>IFERROR(__xludf.DUMMYFUNCTION("""COMPUTED_VALUE"""),12.5)</f>
        <v>12.5</v>
      </c>
      <c r="F265" s="120">
        <f>IFERROR(__xludf.DUMMYFUNCTION("""COMPUTED_VALUE"""),5.0)</f>
        <v>5</v>
      </c>
      <c r="G265" s="119">
        <f>IFERROR(__xludf.DUMMYFUNCTION("""COMPUTED_VALUE"""),87.5)</f>
        <v>87.5</v>
      </c>
      <c r="H265" s="118">
        <f>IFERROR(__xludf.DUMMYFUNCTION("""COMPUTED_VALUE"""),3.0)</f>
        <v>3</v>
      </c>
      <c r="I265" s="121">
        <f>IFERROR(__xludf.DUMMYFUNCTION("""COMPUTED_VALUE"""),46056.0)</f>
        <v>46056</v>
      </c>
    </row>
    <row r="266">
      <c r="A266" s="107">
        <f>IFERROR(__xludf.DUMMYFUNCTION("""COMPUTED_VALUE"""),2.0)</f>
        <v>2</v>
      </c>
      <c r="B266" s="108" t="str">
        <f>IFERROR(__xludf.DUMMYFUNCTION("""COMPUTED_VALUE"""),"CIENCIAS DE LA COMUNICACIÓN I")</f>
        <v>CIENCIAS DE LA COMUNICACIÓN I</v>
      </c>
      <c r="C266" s="109">
        <f>IFERROR(__xludf.DUMMYFUNCTION("""COMPUTED_VALUE"""),98.875)</f>
        <v>98.875</v>
      </c>
      <c r="D266" s="109" t="str">
        <f>IFERROR(__xludf.DUMMYFUNCTION("""COMPUTED_VALUE"""),"#DIV/0!")</f>
        <v>#DIV/0!</v>
      </c>
      <c r="E266" s="109">
        <f>IFERROR(__xludf.DUMMYFUNCTION("""COMPUTED_VALUE"""),0.0)</f>
        <v>0</v>
      </c>
      <c r="F266" s="110">
        <f>IFERROR(__xludf.DUMMYFUNCTION("""COMPUTED_VALUE"""),0.0)</f>
        <v>0</v>
      </c>
      <c r="G266" s="109">
        <f>IFERROR(__xludf.DUMMYFUNCTION("""COMPUTED_VALUE"""),0.0)</f>
        <v>0</v>
      </c>
      <c r="H266" s="108">
        <f>IFERROR(__xludf.DUMMYFUNCTION("""COMPUTED_VALUE"""),3.0)</f>
        <v>3</v>
      </c>
      <c r="I266" s="111">
        <f>IFERROR(__xludf.DUMMYFUNCTION("""COMPUTED_VALUE"""),46056.0)</f>
        <v>46056</v>
      </c>
    </row>
    <row r="267">
      <c r="A267" s="112">
        <f>IFERROR(__xludf.DUMMYFUNCTION("""COMPUTED_VALUE"""),2.0)</f>
        <v>2</v>
      </c>
      <c r="B267" s="113" t="str">
        <f>IFERROR(__xludf.DUMMYFUNCTION("""COMPUTED_VALUE"""),"TEMAS SELECTOS DE INGLÉS II")</f>
        <v>TEMAS SELECTOS DE INGLÉS II</v>
      </c>
      <c r="C267" s="114">
        <f>IFERROR(__xludf.DUMMYFUNCTION("""COMPUTED_VALUE"""),98.875)</f>
        <v>98.875</v>
      </c>
      <c r="D267" s="114" t="str">
        <f>IFERROR(__xludf.DUMMYFUNCTION("""COMPUTED_VALUE"""),"#DIV/0!")</f>
        <v>#DIV/0!</v>
      </c>
      <c r="E267" s="114">
        <f>IFERROR(__xludf.DUMMYFUNCTION("""COMPUTED_VALUE"""),0.0)</f>
        <v>0</v>
      </c>
      <c r="F267" s="115">
        <f>IFERROR(__xludf.DUMMYFUNCTION("""COMPUTED_VALUE"""),0.0)</f>
        <v>0</v>
      </c>
      <c r="G267" s="114">
        <f>IFERROR(__xludf.DUMMYFUNCTION("""COMPUTED_VALUE"""),0.0)</f>
        <v>0</v>
      </c>
      <c r="H267" s="113">
        <f>IFERROR(__xludf.DUMMYFUNCTION("""COMPUTED_VALUE"""),3.0)</f>
        <v>3</v>
      </c>
      <c r="I267" s="116">
        <f>IFERROR(__xludf.DUMMYFUNCTION("""COMPUTED_VALUE"""),46056.0)</f>
        <v>46056</v>
      </c>
    </row>
    <row r="268">
      <c r="A268" s="112">
        <f>IFERROR(__xludf.DUMMYFUNCTION("""COMPUTED_VALUE"""),2.0)</f>
        <v>2</v>
      </c>
      <c r="B268" s="113" t="str">
        <f>IFERROR(__xludf.DUMMYFUNCTION("""COMPUTED_VALUE"""),"TEMAS SELECTOS DE MATEMÁTICAS II")</f>
        <v>TEMAS SELECTOS DE MATEMÁTICAS II</v>
      </c>
      <c r="C268" s="114">
        <f>IFERROR(__xludf.DUMMYFUNCTION("""COMPUTED_VALUE"""),98.95833333333333)</f>
        <v>98.95833333</v>
      </c>
      <c r="D268" s="114" t="str">
        <f>IFERROR(__xludf.DUMMYFUNCTION("""COMPUTED_VALUE"""),"#DIV/0!")</f>
        <v>#DIV/0!</v>
      </c>
      <c r="E268" s="114">
        <f>IFERROR(__xludf.DUMMYFUNCTION("""COMPUTED_VALUE"""),0.0)</f>
        <v>0</v>
      </c>
      <c r="F268" s="115">
        <f>IFERROR(__xludf.DUMMYFUNCTION("""COMPUTED_VALUE"""),0.0)</f>
        <v>0</v>
      </c>
      <c r="G268" s="114">
        <f>IFERROR(__xludf.DUMMYFUNCTION("""COMPUTED_VALUE"""),0.0)</f>
        <v>0</v>
      </c>
      <c r="H268" s="113">
        <f>IFERROR(__xludf.DUMMYFUNCTION("""COMPUTED_VALUE"""),3.0)</f>
        <v>3</v>
      </c>
      <c r="I268" s="116">
        <f>IFERROR(__xludf.DUMMYFUNCTION("""COMPUTED_VALUE"""),46056.0)</f>
        <v>46056</v>
      </c>
    </row>
    <row r="269">
      <c r="A269" s="112">
        <f>IFERROR(__xludf.DUMMYFUNCTION("""COMPUTED_VALUE"""),2.0)</f>
        <v>2</v>
      </c>
      <c r="B269" s="113" t="str">
        <f>IFERROR(__xludf.DUMMYFUNCTION("""COMPUTED_VALUE"""),"CONCIENCIA HISTORICA III")</f>
        <v>CONCIENCIA HISTORICA III</v>
      </c>
      <c r="C269" s="114">
        <f>IFERROR(__xludf.DUMMYFUNCTION("""COMPUTED_VALUE"""),96.25)</f>
        <v>96.25</v>
      </c>
      <c r="D269" s="114" t="str">
        <f>IFERROR(__xludf.DUMMYFUNCTION("""COMPUTED_VALUE"""),"#DIV/0!")</f>
        <v>#DIV/0!</v>
      </c>
      <c r="E269" s="114">
        <f>IFERROR(__xludf.DUMMYFUNCTION("""COMPUTED_VALUE"""),0.0)</f>
        <v>0</v>
      </c>
      <c r="F269" s="115">
        <f>IFERROR(__xludf.DUMMYFUNCTION("""COMPUTED_VALUE"""),0.0)</f>
        <v>0</v>
      </c>
      <c r="G269" s="114">
        <f>IFERROR(__xludf.DUMMYFUNCTION("""COMPUTED_VALUE"""),0.0)</f>
        <v>0</v>
      </c>
      <c r="H269" s="113">
        <f>IFERROR(__xludf.DUMMYFUNCTION("""COMPUTED_VALUE"""),3.0)</f>
        <v>3</v>
      </c>
      <c r="I269" s="116">
        <f>IFERROR(__xludf.DUMMYFUNCTION("""COMPUTED_VALUE"""),46056.0)</f>
        <v>46056</v>
      </c>
    </row>
    <row r="270">
      <c r="A270" s="112">
        <f>IFERROR(__xludf.DUMMYFUNCTION("""COMPUTED_VALUE"""),2.0)</f>
        <v>2</v>
      </c>
      <c r="B270" s="113" t="str">
        <f>IFERROR(__xludf.DUMMYFUNCTION("""COMPUTED_VALUE"""),"ORGANISMOS")</f>
        <v>ORGANISMOS</v>
      </c>
      <c r="C270" s="114">
        <f>IFERROR(__xludf.DUMMYFUNCTION("""COMPUTED_VALUE"""),94.375)</f>
        <v>94.375</v>
      </c>
      <c r="D270" s="114" t="str">
        <f>IFERROR(__xludf.DUMMYFUNCTION("""COMPUTED_VALUE"""),"#DIV/0!")</f>
        <v>#DIV/0!</v>
      </c>
      <c r="E270" s="114">
        <f>IFERROR(__xludf.DUMMYFUNCTION("""COMPUTED_VALUE"""),0.0)</f>
        <v>0</v>
      </c>
      <c r="F270" s="115">
        <f>IFERROR(__xludf.DUMMYFUNCTION("""COMPUTED_VALUE"""),0.0)</f>
        <v>0</v>
      </c>
      <c r="G270" s="114">
        <f>IFERROR(__xludf.DUMMYFUNCTION("""COMPUTED_VALUE"""),0.0)</f>
        <v>0</v>
      </c>
      <c r="H270" s="113">
        <f>IFERROR(__xludf.DUMMYFUNCTION("""COMPUTED_VALUE"""),3.0)</f>
        <v>3</v>
      </c>
      <c r="I270" s="116">
        <f>IFERROR(__xludf.DUMMYFUNCTION("""COMPUTED_VALUE"""),46056.0)</f>
        <v>46056</v>
      </c>
    </row>
    <row r="271">
      <c r="A271" s="112">
        <f>IFERROR(__xludf.DUMMYFUNCTION("""COMPUTED_VALUE"""),2.0)</f>
        <v>2</v>
      </c>
      <c r="B271" s="113" t="str">
        <f>IFERROR(__xludf.DUMMYFUNCTION("""COMPUTED_VALUE"""),"TEMAS SELECTOS DE FILOSOFÍA")</f>
        <v>TEMAS SELECTOS DE FILOSOFÍA</v>
      </c>
      <c r="C271" s="114">
        <f>IFERROR(__xludf.DUMMYFUNCTION("""COMPUTED_VALUE"""),95.5)</f>
        <v>95.5</v>
      </c>
      <c r="D271" s="114" t="str">
        <f>IFERROR(__xludf.DUMMYFUNCTION("""COMPUTED_VALUE"""),"#DIV/0!")</f>
        <v>#DIV/0!</v>
      </c>
      <c r="E271" s="114">
        <f>IFERROR(__xludf.DUMMYFUNCTION("""COMPUTED_VALUE"""),0.0)</f>
        <v>0</v>
      </c>
      <c r="F271" s="115">
        <f>IFERROR(__xludf.DUMMYFUNCTION("""COMPUTED_VALUE"""),0.0)</f>
        <v>0</v>
      </c>
      <c r="G271" s="114">
        <f>IFERROR(__xludf.DUMMYFUNCTION("""COMPUTED_VALUE"""),0.0)</f>
        <v>0</v>
      </c>
      <c r="H271" s="113">
        <f>IFERROR(__xludf.DUMMYFUNCTION("""COMPUTED_VALUE"""),3.0)</f>
        <v>3</v>
      </c>
      <c r="I271" s="116">
        <f>IFERROR(__xludf.DUMMYFUNCTION("""COMPUTED_VALUE"""),46056.0)</f>
        <v>46056</v>
      </c>
    </row>
    <row r="272">
      <c r="A272" s="112">
        <f>IFERROR(__xludf.DUMMYFUNCTION("""COMPUTED_VALUE"""),2.0)</f>
        <v>2</v>
      </c>
      <c r="B272" s="113" t="str">
        <f>IFERROR(__xludf.DUMMYFUNCTION("""COMPUTED_VALUE"""),"DISEÑO DIGITAL ")</f>
        <v>DISEÑO DIGITAL </v>
      </c>
      <c r="C272" s="114">
        <f>IFERROR(__xludf.DUMMYFUNCTION("""COMPUTED_VALUE"""),93.25)</f>
        <v>93.25</v>
      </c>
      <c r="D272" s="114" t="str">
        <f>IFERROR(__xludf.DUMMYFUNCTION("""COMPUTED_VALUE"""),"#DIV/0!")</f>
        <v>#DIV/0!</v>
      </c>
      <c r="E272" s="114">
        <f>IFERROR(__xludf.DUMMYFUNCTION("""COMPUTED_VALUE"""),0.0)</f>
        <v>0</v>
      </c>
      <c r="F272" s="115">
        <f>IFERROR(__xludf.DUMMYFUNCTION("""COMPUTED_VALUE"""),0.0)</f>
        <v>0</v>
      </c>
      <c r="G272" s="114">
        <f>IFERROR(__xludf.DUMMYFUNCTION("""COMPUTED_VALUE"""),0.0)</f>
        <v>0</v>
      </c>
      <c r="H272" s="113">
        <f>IFERROR(__xludf.DUMMYFUNCTION("""COMPUTED_VALUE"""),3.0)</f>
        <v>3</v>
      </c>
      <c r="I272" s="116">
        <f>IFERROR(__xludf.DUMMYFUNCTION("""COMPUTED_VALUE"""),46056.0)</f>
        <v>46056</v>
      </c>
    </row>
    <row r="273">
      <c r="A273" s="112">
        <f>IFERROR(__xludf.DUMMYFUNCTION("""COMPUTED_VALUE"""),2.0)</f>
        <v>2</v>
      </c>
      <c r="B273" s="113" t="str">
        <f>IFERROR(__xludf.DUMMYFUNCTION("""COMPUTED_VALUE"""),"ECONOMÍA I")</f>
        <v>ECONOMÍA I</v>
      </c>
      <c r="C273" s="114">
        <f>IFERROR(__xludf.DUMMYFUNCTION("""COMPUTED_VALUE"""),94.375)</f>
        <v>94.375</v>
      </c>
      <c r="D273" s="114" t="str">
        <f>IFERROR(__xludf.DUMMYFUNCTION("""COMPUTED_VALUE"""),"#DIV/0!")</f>
        <v>#DIV/0!</v>
      </c>
      <c r="E273" s="114">
        <f>IFERROR(__xludf.DUMMYFUNCTION("""COMPUTED_VALUE"""),0.0)</f>
        <v>0</v>
      </c>
      <c r="F273" s="115">
        <f>IFERROR(__xludf.DUMMYFUNCTION("""COMPUTED_VALUE"""),0.0)</f>
        <v>0</v>
      </c>
      <c r="G273" s="114">
        <f>IFERROR(__xludf.DUMMYFUNCTION("""COMPUTED_VALUE"""),0.0)</f>
        <v>0</v>
      </c>
      <c r="H273" s="113">
        <f>IFERROR(__xludf.DUMMYFUNCTION("""COMPUTED_VALUE"""),3.0)</f>
        <v>3</v>
      </c>
      <c r="I273" s="116">
        <f>IFERROR(__xludf.DUMMYFUNCTION("""COMPUTED_VALUE"""),46056.0)</f>
        <v>46056</v>
      </c>
    </row>
    <row r="274">
      <c r="A274" s="112">
        <f>IFERROR(__xludf.DUMMYFUNCTION("""COMPUTED_VALUE"""),2.0)</f>
        <v>2</v>
      </c>
      <c r="B274" s="113" t="str">
        <f>IFERROR(__xludf.DUMMYFUNCTION("""COMPUTED_VALUE"""),"PÁGINAS WEB")</f>
        <v>PÁGINAS WEB</v>
      </c>
      <c r="C274" s="114">
        <f>IFERROR(__xludf.DUMMYFUNCTION("""COMPUTED_VALUE"""),93.86363636363636)</f>
        <v>93.86363636</v>
      </c>
      <c r="D274" s="114" t="str">
        <f>IFERROR(__xludf.DUMMYFUNCTION("""COMPUTED_VALUE"""),"#DIV/0!")</f>
        <v>#DIV/0!</v>
      </c>
      <c r="E274" s="114">
        <f>IFERROR(__xludf.DUMMYFUNCTION("""COMPUTED_VALUE"""),0.0)</f>
        <v>0</v>
      </c>
      <c r="F274" s="115">
        <f>IFERROR(__xludf.DUMMYFUNCTION("""COMPUTED_VALUE"""),0.0)</f>
        <v>0</v>
      </c>
      <c r="G274" s="114">
        <f>IFERROR(__xludf.DUMMYFUNCTION("""COMPUTED_VALUE"""),0.0)</f>
        <v>0</v>
      </c>
      <c r="H274" s="113">
        <f>IFERROR(__xludf.DUMMYFUNCTION("""COMPUTED_VALUE"""),3.0)</f>
        <v>3</v>
      </c>
      <c r="I274" s="116">
        <f>IFERROR(__xludf.DUMMYFUNCTION("""COMPUTED_VALUE"""),46056.0)</f>
        <v>46056</v>
      </c>
    </row>
    <row r="275">
      <c r="A275" s="112">
        <f>IFERROR(__xludf.DUMMYFUNCTION("""COMPUTED_VALUE"""),2.0)</f>
        <v>2</v>
      </c>
      <c r="B275" s="113" t="str">
        <f>IFERROR(__xludf.DUMMYFUNCTION("""COMPUTED_VALUE"""),"ACTIVIDADES ARTÍSTICAS Y CULTURALES III")</f>
        <v>ACTIVIDADES ARTÍSTICAS Y CULTURALES III</v>
      </c>
      <c r="C275" s="114">
        <f>IFERROR(__xludf.DUMMYFUNCTION("""COMPUTED_VALUE"""),91.5625)</f>
        <v>91.5625</v>
      </c>
      <c r="D275" s="114" t="str">
        <f>IFERROR(__xludf.DUMMYFUNCTION("""COMPUTED_VALUE"""),"#DIV/0!")</f>
        <v>#DIV/0!</v>
      </c>
      <c r="E275" s="114">
        <f>IFERROR(__xludf.DUMMYFUNCTION("""COMPUTED_VALUE"""),0.0)</f>
        <v>0</v>
      </c>
      <c r="F275" s="115">
        <f>IFERROR(__xludf.DUMMYFUNCTION("""COMPUTED_VALUE"""),0.0)</f>
        <v>0</v>
      </c>
      <c r="G275" s="114">
        <f>IFERROR(__xludf.DUMMYFUNCTION("""COMPUTED_VALUE"""),0.0)</f>
        <v>0</v>
      </c>
      <c r="H275" s="113">
        <f>IFERROR(__xludf.DUMMYFUNCTION("""COMPUTED_VALUE"""),3.0)</f>
        <v>3</v>
      </c>
      <c r="I275" s="116">
        <f>IFERROR(__xludf.DUMMYFUNCTION("""COMPUTED_VALUE"""),46056.0)</f>
        <v>46056</v>
      </c>
    </row>
    <row r="276">
      <c r="A276" s="112">
        <f>IFERROR(__xludf.DUMMYFUNCTION("""COMPUTED_VALUE"""),2.0)</f>
        <v>2</v>
      </c>
      <c r="B276" s="113" t="str">
        <f>IFERROR(__xludf.DUMMYFUNCTION("""COMPUTED_VALUE"""),"PRÁCTICA Y COLABORACIÓN CIUDADANA II")</f>
        <v>PRÁCTICA Y COLABORACIÓN CIUDADANA II</v>
      </c>
      <c r="C276" s="114">
        <f>IFERROR(__xludf.DUMMYFUNCTION("""COMPUTED_VALUE"""),91.5625)</f>
        <v>91.5625</v>
      </c>
      <c r="D276" s="114" t="str">
        <f>IFERROR(__xludf.DUMMYFUNCTION("""COMPUTED_VALUE"""),"#DIV/0!")</f>
        <v>#DIV/0!</v>
      </c>
      <c r="E276" s="114">
        <f>IFERROR(__xludf.DUMMYFUNCTION("""COMPUTED_VALUE"""),0.0)</f>
        <v>0</v>
      </c>
      <c r="F276" s="115">
        <f>IFERROR(__xludf.DUMMYFUNCTION("""COMPUTED_VALUE"""),0.0)</f>
        <v>0</v>
      </c>
      <c r="G276" s="114">
        <f>IFERROR(__xludf.DUMMYFUNCTION("""COMPUTED_VALUE"""),0.0)</f>
        <v>0</v>
      </c>
      <c r="H276" s="113">
        <f>IFERROR(__xludf.DUMMYFUNCTION("""COMPUTED_VALUE"""),3.0)</f>
        <v>3</v>
      </c>
      <c r="I276" s="116">
        <f>IFERROR(__xludf.DUMMYFUNCTION("""COMPUTED_VALUE"""),46056.0)</f>
        <v>46056</v>
      </c>
    </row>
    <row r="277">
      <c r="A277" s="117">
        <f>IFERROR(__xludf.DUMMYFUNCTION("""COMPUTED_VALUE"""),2.0)</f>
        <v>2</v>
      </c>
      <c r="B277" s="118" t="str">
        <f>IFERROR(__xludf.DUMMYFUNCTION("""COMPUTED_VALUE"""),"TEMAS SELECTOS DE IGUALDAD Y DERECHOS HUMANOS VI ")</f>
        <v>TEMAS SELECTOS DE IGUALDAD Y DERECHOS HUMANOS VI </v>
      </c>
      <c r="C277" s="119">
        <f>IFERROR(__xludf.DUMMYFUNCTION("""COMPUTED_VALUE"""),91.5625)</f>
        <v>91.5625</v>
      </c>
      <c r="D277" s="119" t="str">
        <f>IFERROR(__xludf.DUMMYFUNCTION("""COMPUTED_VALUE"""),"#DIV/0!")</f>
        <v>#DIV/0!</v>
      </c>
      <c r="E277" s="119">
        <f>IFERROR(__xludf.DUMMYFUNCTION("""COMPUTED_VALUE"""),0.0)</f>
        <v>0</v>
      </c>
      <c r="F277" s="120">
        <f>IFERROR(__xludf.DUMMYFUNCTION("""COMPUTED_VALUE"""),0.0)</f>
        <v>0</v>
      </c>
      <c r="G277" s="119">
        <f>IFERROR(__xludf.DUMMYFUNCTION("""COMPUTED_VALUE"""),0.0)</f>
        <v>0</v>
      </c>
      <c r="H277" s="118">
        <f>IFERROR(__xludf.DUMMYFUNCTION("""COMPUTED_VALUE"""),3.0)</f>
        <v>3</v>
      </c>
      <c r="I277" s="121">
        <f>IFERROR(__xludf.DUMMYFUNCTION("""COMPUTED_VALUE"""),46056.0)</f>
        <v>46056</v>
      </c>
    </row>
    <row r="278">
      <c r="A278" s="107">
        <f>IFERROR(__xludf.DUMMYFUNCTION("""COMPUTED_VALUE"""),3.0)</f>
        <v>3</v>
      </c>
      <c r="B278" s="108" t="str">
        <f>IFERROR(__xludf.DUMMYFUNCTION("""COMPUTED_VALUE"""),"CIENCIAS DE LA COMUNICACIÓN I")</f>
        <v>CIENCIAS DE LA COMUNICACIÓN I</v>
      </c>
      <c r="C278" s="109">
        <f>IFERROR(__xludf.DUMMYFUNCTION("""COMPUTED_VALUE"""),98.875)</f>
        <v>98.875</v>
      </c>
      <c r="D278" s="109" t="str">
        <f>IFERROR(__xludf.DUMMYFUNCTION("""COMPUTED_VALUE"""),"#DIV/0!")</f>
        <v>#DIV/0!</v>
      </c>
      <c r="E278" s="109">
        <f>IFERROR(__xludf.DUMMYFUNCTION("""COMPUTED_VALUE"""),0.0)</f>
        <v>0</v>
      </c>
      <c r="F278" s="110">
        <f>IFERROR(__xludf.DUMMYFUNCTION("""COMPUTED_VALUE"""),0.0)</f>
        <v>0</v>
      </c>
      <c r="G278" s="109">
        <f>IFERROR(__xludf.DUMMYFUNCTION("""COMPUTED_VALUE"""),0.0)</f>
        <v>0</v>
      </c>
      <c r="H278" s="108">
        <f>IFERROR(__xludf.DUMMYFUNCTION("""COMPUTED_VALUE"""),3.0)</f>
        <v>3</v>
      </c>
      <c r="I278" s="111">
        <f>IFERROR(__xludf.DUMMYFUNCTION("""COMPUTED_VALUE"""),46056.0)</f>
        <v>46056</v>
      </c>
    </row>
    <row r="279">
      <c r="A279" s="112">
        <f>IFERROR(__xludf.DUMMYFUNCTION("""COMPUTED_VALUE"""),3.0)</f>
        <v>3</v>
      </c>
      <c r="B279" s="113" t="str">
        <f>IFERROR(__xludf.DUMMYFUNCTION("""COMPUTED_VALUE"""),"TEMAS SELECTOS DE INGLÉS II")</f>
        <v>TEMAS SELECTOS DE INGLÉS II</v>
      </c>
      <c r="C279" s="114">
        <f>IFERROR(__xludf.DUMMYFUNCTION("""COMPUTED_VALUE"""),98.875)</f>
        <v>98.875</v>
      </c>
      <c r="D279" s="114" t="str">
        <f>IFERROR(__xludf.DUMMYFUNCTION("""COMPUTED_VALUE"""),"#DIV/0!")</f>
        <v>#DIV/0!</v>
      </c>
      <c r="E279" s="114">
        <f>IFERROR(__xludf.DUMMYFUNCTION("""COMPUTED_VALUE"""),0.0)</f>
        <v>0</v>
      </c>
      <c r="F279" s="115">
        <f>IFERROR(__xludf.DUMMYFUNCTION("""COMPUTED_VALUE"""),0.0)</f>
        <v>0</v>
      </c>
      <c r="G279" s="114">
        <f>IFERROR(__xludf.DUMMYFUNCTION("""COMPUTED_VALUE"""),0.0)</f>
        <v>0</v>
      </c>
      <c r="H279" s="113">
        <f>IFERROR(__xludf.DUMMYFUNCTION("""COMPUTED_VALUE"""),3.0)</f>
        <v>3</v>
      </c>
      <c r="I279" s="116">
        <f>IFERROR(__xludf.DUMMYFUNCTION("""COMPUTED_VALUE"""),46056.0)</f>
        <v>46056</v>
      </c>
    </row>
    <row r="280">
      <c r="A280" s="112">
        <f>IFERROR(__xludf.DUMMYFUNCTION("""COMPUTED_VALUE"""),3.0)</f>
        <v>3</v>
      </c>
      <c r="B280" s="113" t="str">
        <f>IFERROR(__xludf.DUMMYFUNCTION("""COMPUTED_VALUE"""),"TEMAS SELECTOS DE MATEMÁTICAS II")</f>
        <v>TEMAS SELECTOS DE MATEMÁTICAS II</v>
      </c>
      <c r="C280" s="114">
        <f>IFERROR(__xludf.DUMMYFUNCTION("""COMPUTED_VALUE"""),98.95833333333333)</f>
        <v>98.95833333</v>
      </c>
      <c r="D280" s="114" t="str">
        <f>IFERROR(__xludf.DUMMYFUNCTION("""COMPUTED_VALUE"""),"#DIV/0!")</f>
        <v>#DIV/0!</v>
      </c>
      <c r="E280" s="114">
        <f>IFERROR(__xludf.DUMMYFUNCTION("""COMPUTED_VALUE"""),0.0)</f>
        <v>0</v>
      </c>
      <c r="F280" s="115">
        <f>IFERROR(__xludf.DUMMYFUNCTION("""COMPUTED_VALUE"""),0.0)</f>
        <v>0</v>
      </c>
      <c r="G280" s="114">
        <f>IFERROR(__xludf.DUMMYFUNCTION("""COMPUTED_VALUE"""),0.0)</f>
        <v>0</v>
      </c>
      <c r="H280" s="113">
        <f>IFERROR(__xludf.DUMMYFUNCTION("""COMPUTED_VALUE"""),3.0)</f>
        <v>3</v>
      </c>
      <c r="I280" s="116">
        <f>IFERROR(__xludf.DUMMYFUNCTION("""COMPUTED_VALUE"""),46056.0)</f>
        <v>46056</v>
      </c>
    </row>
    <row r="281">
      <c r="A281" s="112">
        <f>IFERROR(__xludf.DUMMYFUNCTION("""COMPUTED_VALUE"""),3.0)</f>
        <v>3</v>
      </c>
      <c r="B281" s="113" t="str">
        <f>IFERROR(__xludf.DUMMYFUNCTION("""COMPUTED_VALUE"""),"CONCIENCIA HISTORICA III")</f>
        <v>CONCIENCIA HISTORICA III</v>
      </c>
      <c r="C281" s="114">
        <f>IFERROR(__xludf.DUMMYFUNCTION("""COMPUTED_VALUE"""),96.25)</f>
        <v>96.25</v>
      </c>
      <c r="D281" s="114" t="str">
        <f>IFERROR(__xludf.DUMMYFUNCTION("""COMPUTED_VALUE"""),"#DIV/0!")</f>
        <v>#DIV/0!</v>
      </c>
      <c r="E281" s="114">
        <f>IFERROR(__xludf.DUMMYFUNCTION("""COMPUTED_VALUE"""),0.0)</f>
        <v>0</v>
      </c>
      <c r="F281" s="115">
        <f>IFERROR(__xludf.DUMMYFUNCTION("""COMPUTED_VALUE"""),0.0)</f>
        <v>0</v>
      </c>
      <c r="G281" s="114">
        <f>IFERROR(__xludf.DUMMYFUNCTION("""COMPUTED_VALUE"""),0.0)</f>
        <v>0</v>
      </c>
      <c r="H281" s="113">
        <f>IFERROR(__xludf.DUMMYFUNCTION("""COMPUTED_VALUE"""),3.0)</f>
        <v>3</v>
      </c>
      <c r="I281" s="116">
        <f>IFERROR(__xludf.DUMMYFUNCTION("""COMPUTED_VALUE"""),46056.0)</f>
        <v>46056</v>
      </c>
    </row>
    <row r="282">
      <c r="A282" s="112">
        <f>IFERROR(__xludf.DUMMYFUNCTION("""COMPUTED_VALUE"""),3.0)</f>
        <v>3</v>
      </c>
      <c r="B282" s="113" t="str">
        <f>IFERROR(__xludf.DUMMYFUNCTION("""COMPUTED_VALUE"""),"ORGANISMOS")</f>
        <v>ORGANISMOS</v>
      </c>
      <c r="C282" s="114">
        <f>IFERROR(__xludf.DUMMYFUNCTION("""COMPUTED_VALUE"""),94.375)</f>
        <v>94.375</v>
      </c>
      <c r="D282" s="114" t="str">
        <f>IFERROR(__xludf.DUMMYFUNCTION("""COMPUTED_VALUE"""),"#DIV/0!")</f>
        <v>#DIV/0!</v>
      </c>
      <c r="E282" s="114">
        <f>IFERROR(__xludf.DUMMYFUNCTION("""COMPUTED_VALUE"""),0.0)</f>
        <v>0</v>
      </c>
      <c r="F282" s="115">
        <f>IFERROR(__xludf.DUMMYFUNCTION("""COMPUTED_VALUE"""),0.0)</f>
        <v>0</v>
      </c>
      <c r="G282" s="114">
        <f>IFERROR(__xludf.DUMMYFUNCTION("""COMPUTED_VALUE"""),0.0)</f>
        <v>0</v>
      </c>
      <c r="H282" s="113">
        <f>IFERROR(__xludf.DUMMYFUNCTION("""COMPUTED_VALUE"""),3.0)</f>
        <v>3</v>
      </c>
      <c r="I282" s="116">
        <f>IFERROR(__xludf.DUMMYFUNCTION("""COMPUTED_VALUE"""),46056.0)</f>
        <v>46056</v>
      </c>
    </row>
    <row r="283">
      <c r="A283" s="112">
        <f>IFERROR(__xludf.DUMMYFUNCTION("""COMPUTED_VALUE"""),3.0)</f>
        <v>3</v>
      </c>
      <c r="B283" s="113" t="str">
        <f>IFERROR(__xludf.DUMMYFUNCTION("""COMPUTED_VALUE"""),"TEMAS SELECTOS DE FILOSOFÍA")</f>
        <v>TEMAS SELECTOS DE FILOSOFÍA</v>
      </c>
      <c r="C283" s="114">
        <f>IFERROR(__xludf.DUMMYFUNCTION("""COMPUTED_VALUE"""),95.5)</f>
        <v>95.5</v>
      </c>
      <c r="D283" s="114" t="str">
        <f>IFERROR(__xludf.DUMMYFUNCTION("""COMPUTED_VALUE"""),"#DIV/0!")</f>
        <v>#DIV/0!</v>
      </c>
      <c r="E283" s="114">
        <f>IFERROR(__xludf.DUMMYFUNCTION("""COMPUTED_VALUE"""),0.0)</f>
        <v>0</v>
      </c>
      <c r="F283" s="115">
        <f>IFERROR(__xludf.DUMMYFUNCTION("""COMPUTED_VALUE"""),0.0)</f>
        <v>0</v>
      </c>
      <c r="G283" s="114">
        <f>IFERROR(__xludf.DUMMYFUNCTION("""COMPUTED_VALUE"""),0.0)</f>
        <v>0</v>
      </c>
      <c r="H283" s="113">
        <f>IFERROR(__xludf.DUMMYFUNCTION("""COMPUTED_VALUE"""),3.0)</f>
        <v>3</v>
      </c>
      <c r="I283" s="116">
        <f>IFERROR(__xludf.DUMMYFUNCTION("""COMPUTED_VALUE"""),46056.0)</f>
        <v>46056</v>
      </c>
    </row>
    <row r="284">
      <c r="A284" s="112">
        <f>IFERROR(__xludf.DUMMYFUNCTION("""COMPUTED_VALUE"""),3.0)</f>
        <v>3</v>
      </c>
      <c r="B284" s="113" t="str">
        <f>IFERROR(__xludf.DUMMYFUNCTION("""COMPUTED_VALUE"""),"DISEÑO DIGITAL ")</f>
        <v>DISEÑO DIGITAL </v>
      </c>
      <c r="C284" s="114">
        <f>IFERROR(__xludf.DUMMYFUNCTION("""COMPUTED_VALUE"""),93.25)</f>
        <v>93.25</v>
      </c>
      <c r="D284" s="114" t="str">
        <f>IFERROR(__xludf.DUMMYFUNCTION("""COMPUTED_VALUE"""),"#DIV/0!")</f>
        <v>#DIV/0!</v>
      </c>
      <c r="E284" s="114">
        <f>IFERROR(__xludf.DUMMYFUNCTION("""COMPUTED_VALUE"""),0.0)</f>
        <v>0</v>
      </c>
      <c r="F284" s="115">
        <f>IFERROR(__xludf.DUMMYFUNCTION("""COMPUTED_VALUE"""),0.0)</f>
        <v>0</v>
      </c>
      <c r="G284" s="114">
        <f>IFERROR(__xludf.DUMMYFUNCTION("""COMPUTED_VALUE"""),0.0)</f>
        <v>0</v>
      </c>
      <c r="H284" s="113">
        <f>IFERROR(__xludf.DUMMYFUNCTION("""COMPUTED_VALUE"""),3.0)</f>
        <v>3</v>
      </c>
      <c r="I284" s="116">
        <f>IFERROR(__xludf.DUMMYFUNCTION("""COMPUTED_VALUE"""),46056.0)</f>
        <v>46056</v>
      </c>
    </row>
    <row r="285">
      <c r="A285" s="112">
        <f>IFERROR(__xludf.DUMMYFUNCTION("""COMPUTED_VALUE"""),3.0)</f>
        <v>3</v>
      </c>
      <c r="B285" s="113" t="str">
        <f>IFERROR(__xludf.DUMMYFUNCTION("""COMPUTED_VALUE"""),"ECONOMÍA I")</f>
        <v>ECONOMÍA I</v>
      </c>
      <c r="C285" s="114">
        <f>IFERROR(__xludf.DUMMYFUNCTION("""COMPUTED_VALUE"""),94.375)</f>
        <v>94.375</v>
      </c>
      <c r="D285" s="114" t="str">
        <f>IFERROR(__xludf.DUMMYFUNCTION("""COMPUTED_VALUE"""),"#DIV/0!")</f>
        <v>#DIV/0!</v>
      </c>
      <c r="E285" s="114">
        <f>IFERROR(__xludf.DUMMYFUNCTION("""COMPUTED_VALUE"""),0.0)</f>
        <v>0</v>
      </c>
      <c r="F285" s="115">
        <f>IFERROR(__xludf.DUMMYFUNCTION("""COMPUTED_VALUE"""),0.0)</f>
        <v>0</v>
      </c>
      <c r="G285" s="114">
        <f>IFERROR(__xludf.DUMMYFUNCTION("""COMPUTED_VALUE"""),0.0)</f>
        <v>0</v>
      </c>
      <c r="H285" s="113">
        <f>IFERROR(__xludf.DUMMYFUNCTION("""COMPUTED_VALUE"""),3.0)</f>
        <v>3</v>
      </c>
      <c r="I285" s="116">
        <f>IFERROR(__xludf.DUMMYFUNCTION("""COMPUTED_VALUE"""),46056.0)</f>
        <v>46056</v>
      </c>
    </row>
    <row r="286">
      <c r="A286" s="112">
        <f>IFERROR(__xludf.DUMMYFUNCTION("""COMPUTED_VALUE"""),3.0)</f>
        <v>3</v>
      </c>
      <c r="B286" s="113" t="str">
        <f>IFERROR(__xludf.DUMMYFUNCTION("""COMPUTED_VALUE"""),"PÁGINAS WEB")</f>
        <v>PÁGINAS WEB</v>
      </c>
      <c r="C286" s="114">
        <f>IFERROR(__xludf.DUMMYFUNCTION("""COMPUTED_VALUE"""),93.86363636363636)</f>
        <v>93.86363636</v>
      </c>
      <c r="D286" s="114" t="str">
        <f>IFERROR(__xludf.DUMMYFUNCTION("""COMPUTED_VALUE"""),"#DIV/0!")</f>
        <v>#DIV/0!</v>
      </c>
      <c r="E286" s="114">
        <f>IFERROR(__xludf.DUMMYFUNCTION("""COMPUTED_VALUE"""),0.0)</f>
        <v>0</v>
      </c>
      <c r="F286" s="115">
        <f>IFERROR(__xludf.DUMMYFUNCTION("""COMPUTED_VALUE"""),0.0)</f>
        <v>0</v>
      </c>
      <c r="G286" s="114">
        <f>IFERROR(__xludf.DUMMYFUNCTION("""COMPUTED_VALUE"""),0.0)</f>
        <v>0</v>
      </c>
      <c r="H286" s="113">
        <f>IFERROR(__xludf.DUMMYFUNCTION("""COMPUTED_VALUE"""),3.0)</f>
        <v>3</v>
      </c>
      <c r="I286" s="116">
        <f>IFERROR(__xludf.DUMMYFUNCTION("""COMPUTED_VALUE"""),46056.0)</f>
        <v>46056</v>
      </c>
    </row>
    <row r="287">
      <c r="A287" s="112">
        <f>IFERROR(__xludf.DUMMYFUNCTION("""COMPUTED_VALUE"""),3.0)</f>
        <v>3</v>
      </c>
      <c r="B287" s="113" t="str">
        <f>IFERROR(__xludf.DUMMYFUNCTION("""COMPUTED_VALUE"""),"ACTIVIDADES ARTÍSTICAS Y CULTURALES III")</f>
        <v>ACTIVIDADES ARTÍSTICAS Y CULTURALES III</v>
      </c>
      <c r="C287" s="114">
        <f>IFERROR(__xludf.DUMMYFUNCTION("""COMPUTED_VALUE"""),91.5625)</f>
        <v>91.5625</v>
      </c>
      <c r="D287" s="114" t="str">
        <f>IFERROR(__xludf.DUMMYFUNCTION("""COMPUTED_VALUE"""),"#DIV/0!")</f>
        <v>#DIV/0!</v>
      </c>
      <c r="E287" s="114">
        <f>IFERROR(__xludf.DUMMYFUNCTION("""COMPUTED_VALUE"""),0.0)</f>
        <v>0</v>
      </c>
      <c r="F287" s="115">
        <f>IFERROR(__xludf.DUMMYFUNCTION("""COMPUTED_VALUE"""),0.0)</f>
        <v>0</v>
      </c>
      <c r="G287" s="114">
        <f>IFERROR(__xludf.DUMMYFUNCTION("""COMPUTED_VALUE"""),0.0)</f>
        <v>0</v>
      </c>
      <c r="H287" s="113">
        <f>IFERROR(__xludf.DUMMYFUNCTION("""COMPUTED_VALUE"""),3.0)</f>
        <v>3</v>
      </c>
      <c r="I287" s="116">
        <f>IFERROR(__xludf.DUMMYFUNCTION("""COMPUTED_VALUE"""),46056.0)</f>
        <v>46056</v>
      </c>
    </row>
    <row r="288">
      <c r="A288" s="112">
        <f>IFERROR(__xludf.DUMMYFUNCTION("""COMPUTED_VALUE"""),3.0)</f>
        <v>3</v>
      </c>
      <c r="B288" s="113" t="str">
        <f>IFERROR(__xludf.DUMMYFUNCTION("""COMPUTED_VALUE"""),"PRÁCTICA Y COLABORACIÓN CIUDADANA II")</f>
        <v>PRÁCTICA Y COLABORACIÓN CIUDADANA II</v>
      </c>
      <c r="C288" s="114">
        <f>IFERROR(__xludf.DUMMYFUNCTION("""COMPUTED_VALUE"""),91.5625)</f>
        <v>91.5625</v>
      </c>
      <c r="D288" s="114" t="str">
        <f>IFERROR(__xludf.DUMMYFUNCTION("""COMPUTED_VALUE"""),"#DIV/0!")</f>
        <v>#DIV/0!</v>
      </c>
      <c r="E288" s="114">
        <f>IFERROR(__xludf.DUMMYFUNCTION("""COMPUTED_VALUE"""),0.0)</f>
        <v>0</v>
      </c>
      <c r="F288" s="115">
        <f>IFERROR(__xludf.DUMMYFUNCTION("""COMPUTED_VALUE"""),0.0)</f>
        <v>0</v>
      </c>
      <c r="G288" s="114">
        <f>IFERROR(__xludf.DUMMYFUNCTION("""COMPUTED_VALUE"""),0.0)</f>
        <v>0</v>
      </c>
      <c r="H288" s="113">
        <f>IFERROR(__xludf.DUMMYFUNCTION("""COMPUTED_VALUE"""),3.0)</f>
        <v>3</v>
      </c>
      <c r="I288" s="116">
        <f>IFERROR(__xludf.DUMMYFUNCTION("""COMPUTED_VALUE"""),46056.0)</f>
        <v>46056</v>
      </c>
    </row>
    <row r="289">
      <c r="A289" s="117">
        <f>IFERROR(__xludf.DUMMYFUNCTION("""COMPUTED_VALUE"""),3.0)</f>
        <v>3</v>
      </c>
      <c r="B289" s="118" t="str">
        <f>IFERROR(__xludf.DUMMYFUNCTION("""COMPUTED_VALUE"""),"TEMAS SELECTOS DE IGUALDAD Y DERECHOS HUMANOS VI ")</f>
        <v>TEMAS SELECTOS DE IGUALDAD Y DERECHOS HUMANOS VI </v>
      </c>
      <c r="C289" s="119">
        <f>IFERROR(__xludf.DUMMYFUNCTION("""COMPUTED_VALUE"""),91.5625)</f>
        <v>91.5625</v>
      </c>
      <c r="D289" s="119" t="str">
        <f>IFERROR(__xludf.DUMMYFUNCTION("""COMPUTED_VALUE"""),"#DIV/0!")</f>
        <v>#DIV/0!</v>
      </c>
      <c r="E289" s="119">
        <f>IFERROR(__xludf.DUMMYFUNCTION("""COMPUTED_VALUE"""),0.0)</f>
        <v>0</v>
      </c>
      <c r="F289" s="120">
        <f>IFERROR(__xludf.DUMMYFUNCTION("""COMPUTED_VALUE"""),0.0)</f>
        <v>0</v>
      </c>
      <c r="G289" s="119">
        <f>IFERROR(__xludf.DUMMYFUNCTION("""COMPUTED_VALUE"""),0.0)</f>
        <v>0</v>
      </c>
      <c r="H289" s="118">
        <f>IFERROR(__xludf.DUMMYFUNCTION("""COMPUTED_VALUE"""),3.0)</f>
        <v>3</v>
      </c>
      <c r="I289" s="121">
        <f>IFERROR(__xludf.DUMMYFUNCTION("""COMPUTED_VALUE"""),46056.0)</f>
        <v>46056</v>
      </c>
    </row>
    <row r="290">
      <c r="A290" s="122">
        <f>IFERROR(__xludf.DUMMYFUNCTION("IMPORTRANGE(""https://docs.google.com/spreadsheets/d/1BM6VKXY5IhnBt10mTgFYyrKk5ezW8BnUi9nz9xHAOC0/edit?usp=sharing"",""INDICADORES!N2:V37"")"),1.0)</f>
        <v>1</v>
      </c>
      <c r="B290" s="123" t="str">
        <f>IFERROR(__xludf.DUMMYFUNCTION("""COMPUTED_VALUE"""),"CIENCIAS DE LA COMUNICACIÓN I")</f>
        <v>CIENCIAS DE LA COMUNICACIÓN I</v>
      </c>
      <c r="C290" s="124">
        <f>IFERROR(__xludf.DUMMYFUNCTION("""COMPUTED_VALUE"""),99.0)</f>
        <v>99</v>
      </c>
      <c r="D290" s="124">
        <f>IFERROR(__xludf.DUMMYFUNCTION("""COMPUTED_VALUE"""),7.711111111111111)</f>
        <v>7.711111111</v>
      </c>
      <c r="E290" s="124">
        <f>IFERROR(__xludf.DUMMYFUNCTION("""COMPUTED_VALUE"""),11.11111111111111)</f>
        <v>11.11111111</v>
      </c>
      <c r="F290" s="125">
        <f>IFERROR(__xludf.DUMMYFUNCTION("""COMPUTED_VALUE"""),5.0)</f>
        <v>5</v>
      </c>
      <c r="G290" s="124">
        <f>IFERROR(__xludf.DUMMYFUNCTION("""COMPUTED_VALUE"""),88.88888888888889)</f>
        <v>88.88888889</v>
      </c>
      <c r="H290" s="123">
        <f>IFERROR(__xludf.DUMMYFUNCTION("""COMPUTED_VALUE"""),3.0)</f>
        <v>3</v>
      </c>
      <c r="I290" s="126">
        <f>IFERROR(__xludf.DUMMYFUNCTION("""COMPUTED_VALUE"""),46084.0)</f>
        <v>46084</v>
      </c>
    </row>
    <row r="291">
      <c r="A291" s="127">
        <f>IFERROR(__xludf.DUMMYFUNCTION("""COMPUTED_VALUE"""),1.0)</f>
        <v>1</v>
      </c>
      <c r="B291" s="128" t="str">
        <f>IFERROR(__xludf.DUMMYFUNCTION("""COMPUTED_VALUE"""),"TEMAS SELECTOS DE INGLÉS II")</f>
        <v>TEMAS SELECTOS DE INGLÉS II</v>
      </c>
      <c r="C291" s="129">
        <f>IFERROR(__xludf.DUMMYFUNCTION("""COMPUTED_VALUE"""),99.0)</f>
        <v>99</v>
      </c>
      <c r="D291" s="129">
        <f>IFERROR(__xludf.DUMMYFUNCTION("""COMPUTED_VALUE"""),7.711111111111111)</f>
        <v>7.711111111</v>
      </c>
      <c r="E291" s="129">
        <f>IFERROR(__xludf.DUMMYFUNCTION("""COMPUTED_VALUE"""),11.11111111111111)</f>
        <v>11.11111111</v>
      </c>
      <c r="F291" s="130">
        <f>IFERROR(__xludf.DUMMYFUNCTION("""COMPUTED_VALUE"""),5.0)</f>
        <v>5</v>
      </c>
      <c r="G291" s="129">
        <f>IFERROR(__xludf.DUMMYFUNCTION("""COMPUTED_VALUE"""),88.88888888888889)</f>
        <v>88.88888889</v>
      </c>
      <c r="H291" s="128">
        <f>IFERROR(__xludf.DUMMYFUNCTION("""COMPUTED_VALUE"""),3.0)</f>
        <v>3</v>
      </c>
      <c r="I291" s="131">
        <f>IFERROR(__xludf.DUMMYFUNCTION("""COMPUTED_VALUE"""),46084.0)</f>
        <v>46084</v>
      </c>
    </row>
    <row r="292">
      <c r="A292" s="127">
        <f>IFERROR(__xludf.DUMMYFUNCTION("""COMPUTED_VALUE"""),1.0)</f>
        <v>1</v>
      </c>
      <c r="B292" s="128" t="str">
        <f>IFERROR(__xludf.DUMMYFUNCTION("""COMPUTED_VALUE"""),"TEMAS SELECTOS DE MATEMÁTICAS II")</f>
        <v>TEMAS SELECTOS DE MATEMÁTICAS II</v>
      </c>
      <c r="C292" s="129">
        <f>IFERROR(__xludf.DUMMYFUNCTION("""COMPUTED_VALUE"""),99.0)</f>
        <v>99</v>
      </c>
      <c r="D292" s="129">
        <f>IFERROR(__xludf.DUMMYFUNCTION("""COMPUTED_VALUE"""),7.711111111111111)</f>
        <v>7.711111111</v>
      </c>
      <c r="E292" s="129">
        <f>IFERROR(__xludf.DUMMYFUNCTION("""COMPUTED_VALUE"""),11.11111111111111)</f>
        <v>11.11111111</v>
      </c>
      <c r="F292" s="130">
        <f>IFERROR(__xludf.DUMMYFUNCTION("""COMPUTED_VALUE"""),5.0)</f>
        <v>5</v>
      </c>
      <c r="G292" s="129">
        <f>IFERROR(__xludf.DUMMYFUNCTION("""COMPUTED_VALUE"""),88.88888888888889)</f>
        <v>88.88888889</v>
      </c>
      <c r="H292" s="128">
        <f>IFERROR(__xludf.DUMMYFUNCTION("""COMPUTED_VALUE"""),3.0)</f>
        <v>3</v>
      </c>
      <c r="I292" s="131">
        <f>IFERROR(__xludf.DUMMYFUNCTION("""COMPUTED_VALUE"""),46084.0)</f>
        <v>46084</v>
      </c>
    </row>
    <row r="293">
      <c r="A293" s="127">
        <f>IFERROR(__xludf.DUMMYFUNCTION("""COMPUTED_VALUE"""),1.0)</f>
        <v>1</v>
      </c>
      <c r="B293" s="128" t="str">
        <f>IFERROR(__xludf.DUMMYFUNCTION("""COMPUTED_VALUE"""),"CONCIENCIA HISTORICA III")</f>
        <v>CONCIENCIA HISTORICA III</v>
      </c>
      <c r="C293" s="129">
        <f>IFERROR(__xludf.DUMMYFUNCTION("""COMPUTED_VALUE"""),96.66666666666667)</f>
        <v>96.66666667</v>
      </c>
      <c r="D293" s="129">
        <f>IFERROR(__xludf.DUMMYFUNCTION("""COMPUTED_VALUE"""),7.711111111111111)</f>
        <v>7.711111111</v>
      </c>
      <c r="E293" s="129">
        <f>IFERROR(__xludf.DUMMYFUNCTION("""COMPUTED_VALUE"""),11.11111111111111)</f>
        <v>11.11111111</v>
      </c>
      <c r="F293" s="130">
        <f>IFERROR(__xludf.DUMMYFUNCTION("""COMPUTED_VALUE"""),5.0)</f>
        <v>5</v>
      </c>
      <c r="G293" s="129">
        <f>IFERROR(__xludf.DUMMYFUNCTION("""COMPUTED_VALUE"""),88.88888888888889)</f>
        <v>88.88888889</v>
      </c>
      <c r="H293" s="128">
        <f>IFERROR(__xludf.DUMMYFUNCTION("""COMPUTED_VALUE"""),3.0)</f>
        <v>3</v>
      </c>
      <c r="I293" s="131">
        <f>IFERROR(__xludf.DUMMYFUNCTION("""COMPUTED_VALUE"""),46084.0)</f>
        <v>46084</v>
      </c>
    </row>
    <row r="294">
      <c r="A294" s="127">
        <f>IFERROR(__xludf.DUMMYFUNCTION("""COMPUTED_VALUE"""),1.0)</f>
        <v>1</v>
      </c>
      <c r="B294" s="128" t="str">
        <f>IFERROR(__xludf.DUMMYFUNCTION("""COMPUTED_VALUE"""),"ORGANISMOS")</f>
        <v>ORGANISMOS</v>
      </c>
      <c r="C294" s="129">
        <f>IFERROR(__xludf.DUMMYFUNCTION("""COMPUTED_VALUE"""),95.0)</f>
        <v>95</v>
      </c>
      <c r="D294" s="129">
        <f>IFERROR(__xludf.DUMMYFUNCTION("""COMPUTED_VALUE"""),7.711111111111111)</f>
        <v>7.711111111</v>
      </c>
      <c r="E294" s="129">
        <f>IFERROR(__xludf.DUMMYFUNCTION("""COMPUTED_VALUE"""),11.11111111111111)</f>
        <v>11.11111111</v>
      </c>
      <c r="F294" s="130">
        <f>IFERROR(__xludf.DUMMYFUNCTION("""COMPUTED_VALUE"""),5.0)</f>
        <v>5</v>
      </c>
      <c r="G294" s="129">
        <f>IFERROR(__xludf.DUMMYFUNCTION("""COMPUTED_VALUE"""),88.88888888888889)</f>
        <v>88.88888889</v>
      </c>
      <c r="H294" s="128">
        <f>IFERROR(__xludf.DUMMYFUNCTION("""COMPUTED_VALUE"""),3.0)</f>
        <v>3</v>
      </c>
      <c r="I294" s="131">
        <f>IFERROR(__xludf.DUMMYFUNCTION("""COMPUTED_VALUE"""),46084.0)</f>
        <v>46084</v>
      </c>
    </row>
    <row r="295">
      <c r="A295" s="127">
        <f>IFERROR(__xludf.DUMMYFUNCTION("""COMPUTED_VALUE"""),1.0)</f>
        <v>1</v>
      </c>
      <c r="B295" s="128" t="str">
        <f>IFERROR(__xludf.DUMMYFUNCTION("""COMPUTED_VALUE"""),"TEMAS SELECTOS DE FILOSOFÍA")</f>
        <v>TEMAS SELECTOS DE FILOSOFÍA</v>
      </c>
      <c r="C295" s="129">
        <f>IFERROR(__xludf.DUMMYFUNCTION("""COMPUTED_VALUE"""),96.0)</f>
        <v>96</v>
      </c>
      <c r="D295" s="129">
        <f>IFERROR(__xludf.DUMMYFUNCTION("""COMPUTED_VALUE"""),7.711111111111111)</f>
        <v>7.711111111</v>
      </c>
      <c r="E295" s="129">
        <f>IFERROR(__xludf.DUMMYFUNCTION("""COMPUTED_VALUE"""),11.11111111111111)</f>
        <v>11.11111111</v>
      </c>
      <c r="F295" s="130">
        <f>IFERROR(__xludf.DUMMYFUNCTION("""COMPUTED_VALUE"""),5.0)</f>
        <v>5</v>
      </c>
      <c r="G295" s="129">
        <f>IFERROR(__xludf.DUMMYFUNCTION("""COMPUTED_VALUE"""),88.88888888888889)</f>
        <v>88.88888889</v>
      </c>
      <c r="H295" s="128">
        <f>IFERROR(__xludf.DUMMYFUNCTION("""COMPUTED_VALUE"""),3.0)</f>
        <v>3</v>
      </c>
      <c r="I295" s="131">
        <f>IFERROR(__xludf.DUMMYFUNCTION("""COMPUTED_VALUE"""),46084.0)</f>
        <v>46084</v>
      </c>
    </row>
    <row r="296">
      <c r="A296" s="127">
        <f>IFERROR(__xludf.DUMMYFUNCTION("""COMPUTED_VALUE"""),1.0)</f>
        <v>1</v>
      </c>
      <c r="B296" s="128" t="str">
        <f>IFERROR(__xludf.DUMMYFUNCTION("""COMPUTED_VALUE"""),"DISEÑO DIGITAL ")</f>
        <v>DISEÑO DIGITAL </v>
      </c>
      <c r="C296" s="129">
        <f>IFERROR(__xludf.DUMMYFUNCTION("""COMPUTED_VALUE"""),94.0)</f>
        <v>94</v>
      </c>
      <c r="D296" s="129">
        <f>IFERROR(__xludf.DUMMYFUNCTION("""COMPUTED_VALUE"""),7.711111111111111)</f>
        <v>7.711111111</v>
      </c>
      <c r="E296" s="129">
        <f>IFERROR(__xludf.DUMMYFUNCTION("""COMPUTED_VALUE"""),11.11111111111111)</f>
        <v>11.11111111</v>
      </c>
      <c r="F296" s="130">
        <f>IFERROR(__xludf.DUMMYFUNCTION("""COMPUTED_VALUE"""),5.0)</f>
        <v>5</v>
      </c>
      <c r="G296" s="129">
        <f>IFERROR(__xludf.DUMMYFUNCTION("""COMPUTED_VALUE"""),88.88888888888889)</f>
        <v>88.88888889</v>
      </c>
      <c r="H296" s="128">
        <f>IFERROR(__xludf.DUMMYFUNCTION("""COMPUTED_VALUE"""),3.0)</f>
        <v>3</v>
      </c>
      <c r="I296" s="131">
        <f>IFERROR(__xludf.DUMMYFUNCTION("""COMPUTED_VALUE"""),46084.0)</f>
        <v>46084</v>
      </c>
    </row>
    <row r="297">
      <c r="A297" s="127">
        <f>IFERROR(__xludf.DUMMYFUNCTION("""COMPUTED_VALUE"""),1.0)</f>
        <v>1</v>
      </c>
      <c r="B297" s="128" t="str">
        <f>IFERROR(__xludf.DUMMYFUNCTION("""COMPUTED_VALUE"""),"ECONOMÍA I")</f>
        <v>ECONOMÍA I</v>
      </c>
      <c r="C297" s="129">
        <f>IFERROR(__xludf.DUMMYFUNCTION("""COMPUTED_VALUE"""),95.0)</f>
        <v>95</v>
      </c>
      <c r="D297" s="129">
        <f>IFERROR(__xludf.DUMMYFUNCTION("""COMPUTED_VALUE"""),7.711111111111111)</f>
        <v>7.711111111</v>
      </c>
      <c r="E297" s="129">
        <f>IFERROR(__xludf.DUMMYFUNCTION("""COMPUTED_VALUE"""),11.11111111111111)</f>
        <v>11.11111111</v>
      </c>
      <c r="F297" s="130">
        <f>IFERROR(__xludf.DUMMYFUNCTION("""COMPUTED_VALUE"""),5.0)</f>
        <v>5</v>
      </c>
      <c r="G297" s="129">
        <f>IFERROR(__xludf.DUMMYFUNCTION("""COMPUTED_VALUE"""),88.88888888888889)</f>
        <v>88.88888889</v>
      </c>
      <c r="H297" s="128">
        <f>IFERROR(__xludf.DUMMYFUNCTION("""COMPUTED_VALUE"""),3.0)</f>
        <v>3</v>
      </c>
      <c r="I297" s="131">
        <f>IFERROR(__xludf.DUMMYFUNCTION("""COMPUTED_VALUE"""),46084.0)</f>
        <v>46084</v>
      </c>
    </row>
    <row r="298">
      <c r="A298" s="127">
        <f>IFERROR(__xludf.DUMMYFUNCTION("""COMPUTED_VALUE"""),1.0)</f>
        <v>1</v>
      </c>
      <c r="B298" s="128" t="str">
        <f>IFERROR(__xludf.DUMMYFUNCTION("""COMPUTED_VALUE"""),"PÁGINAS WEB")</f>
        <v>PÁGINAS WEB</v>
      </c>
      <c r="C298" s="129">
        <f>IFERROR(__xludf.DUMMYFUNCTION("""COMPUTED_VALUE"""),94.54545454545455)</f>
        <v>94.54545455</v>
      </c>
      <c r="D298" s="129">
        <f>IFERROR(__xludf.DUMMYFUNCTION("""COMPUTED_VALUE"""),7.711111111111111)</f>
        <v>7.711111111</v>
      </c>
      <c r="E298" s="129">
        <f>IFERROR(__xludf.DUMMYFUNCTION("""COMPUTED_VALUE"""),11.11111111111111)</f>
        <v>11.11111111</v>
      </c>
      <c r="F298" s="130">
        <f>IFERROR(__xludf.DUMMYFUNCTION("""COMPUTED_VALUE"""),5.0)</f>
        <v>5</v>
      </c>
      <c r="G298" s="129">
        <f>IFERROR(__xludf.DUMMYFUNCTION("""COMPUTED_VALUE"""),88.88888888888889)</f>
        <v>88.88888889</v>
      </c>
      <c r="H298" s="128">
        <f>IFERROR(__xludf.DUMMYFUNCTION("""COMPUTED_VALUE"""),3.0)</f>
        <v>3</v>
      </c>
      <c r="I298" s="131">
        <f>IFERROR(__xludf.DUMMYFUNCTION("""COMPUTED_VALUE"""),46084.0)</f>
        <v>46084</v>
      </c>
    </row>
    <row r="299">
      <c r="A299" s="127">
        <f>IFERROR(__xludf.DUMMYFUNCTION("""COMPUTED_VALUE"""),1.0)</f>
        <v>1</v>
      </c>
      <c r="B299" s="128" t="str">
        <f>IFERROR(__xludf.DUMMYFUNCTION("""COMPUTED_VALUE"""),"ACTIVIDADES ARTÍSTICAS Y CULTURALES III")</f>
        <v>ACTIVIDADES ARTÍSTICAS Y CULTURALES III</v>
      </c>
      <c r="C299" s="129">
        <f>IFERROR(__xludf.DUMMYFUNCTION("""COMPUTED_VALUE"""),92.5)</f>
        <v>92.5</v>
      </c>
      <c r="D299" s="129">
        <f>IFERROR(__xludf.DUMMYFUNCTION("""COMPUTED_VALUE"""),7.711111111111111)</f>
        <v>7.711111111</v>
      </c>
      <c r="E299" s="129">
        <f>IFERROR(__xludf.DUMMYFUNCTION("""COMPUTED_VALUE"""),11.11111111111111)</f>
        <v>11.11111111</v>
      </c>
      <c r="F299" s="130">
        <f>IFERROR(__xludf.DUMMYFUNCTION("""COMPUTED_VALUE"""),5.0)</f>
        <v>5</v>
      </c>
      <c r="G299" s="129">
        <f>IFERROR(__xludf.DUMMYFUNCTION("""COMPUTED_VALUE"""),88.88888888888889)</f>
        <v>88.88888889</v>
      </c>
      <c r="H299" s="128">
        <f>IFERROR(__xludf.DUMMYFUNCTION("""COMPUTED_VALUE"""),3.0)</f>
        <v>3</v>
      </c>
      <c r="I299" s="131">
        <f>IFERROR(__xludf.DUMMYFUNCTION("""COMPUTED_VALUE"""),46084.0)</f>
        <v>46084</v>
      </c>
    </row>
    <row r="300">
      <c r="A300" s="127">
        <f>IFERROR(__xludf.DUMMYFUNCTION("""COMPUTED_VALUE"""),1.0)</f>
        <v>1</v>
      </c>
      <c r="B300" s="128" t="str">
        <f>IFERROR(__xludf.DUMMYFUNCTION("""COMPUTED_VALUE"""),"PRÁCTICA Y COLABORACIÓN CIUDADANA II")</f>
        <v>PRÁCTICA Y COLABORACIÓN CIUDADANA II</v>
      </c>
      <c r="C300" s="129">
        <f>IFERROR(__xludf.DUMMYFUNCTION("""COMPUTED_VALUE"""),92.5)</f>
        <v>92.5</v>
      </c>
      <c r="D300" s="129">
        <f>IFERROR(__xludf.DUMMYFUNCTION("""COMPUTED_VALUE"""),7.711111111111111)</f>
        <v>7.711111111</v>
      </c>
      <c r="E300" s="129">
        <f>IFERROR(__xludf.DUMMYFUNCTION("""COMPUTED_VALUE"""),11.11111111111111)</f>
        <v>11.11111111</v>
      </c>
      <c r="F300" s="130">
        <f>IFERROR(__xludf.DUMMYFUNCTION("""COMPUTED_VALUE"""),5.0)</f>
        <v>5</v>
      </c>
      <c r="G300" s="129">
        <f>IFERROR(__xludf.DUMMYFUNCTION("""COMPUTED_VALUE"""),88.88888888888889)</f>
        <v>88.88888889</v>
      </c>
      <c r="H300" s="128">
        <f>IFERROR(__xludf.DUMMYFUNCTION("""COMPUTED_VALUE"""),3.0)</f>
        <v>3</v>
      </c>
      <c r="I300" s="131">
        <f>IFERROR(__xludf.DUMMYFUNCTION("""COMPUTED_VALUE"""),46084.0)</f>
        <v>46084</v>
      </c>
    </row>
    <row r="301">
      <c r="A301" s="132">
        <f>IFERROR(__xludf.DUMMYFUNCTION("""COMPUTED_VALUE"""),1.0)</f>
        <v>1</v>
      </c>
      <c r="B301" s="133" t="str">
        <f>IFERROR(__xludf.DUMMYFUNCTION("""COMPUTED_VALUE"""),"TEMAS SELECTOS DE IGUALDAD Y DERECHOS HUMANOS VI ")</f>
        <v>TEMAS SELECTOS DE IGUALDAD Y DERECHOS HUMANOS VI </v>
      </c>
      <c r="C301" s="134">
        <f>IFERROR(__xludf.DUMMYFUNCTION("""COMPUTED_VALUE"""),92.5)</f>
        <v>92.5</v>
      </c>
      <c r="D301" s="134">
        <f>IFERROR(__xludf.DUMMYFUNCTION("""COMPUTED_VALUE"""),7.711111111111111)</f>
        <v>7.711111111</v>
      </c>
      <c r="E301" s="134">
        <f>IFERROR(__xludf.DUMMYFUNCTION("""COMPUTED_VALUE"""),11.11111111111111)</f>
        <v>11.11111111</v>
      </c>
      <c r="F301" s="135">
        <f>IFERROR(__xludf.DUMMYFUNCTION("""COMPUTED_VALUE"""),5.0)</f>
        <v>5</v>
      </c>
      <c r="G301" s="134">
        <f>IFERROR(__xludf.DUMMYFUNCTION("""COMPUTED_VALUE"""),88.88888888888889)</f>
        <v>88.88888889</v>
      </c>
      <c r="H301" s="133">
        <f>IFERROR(__xludf.DUMMYFUNCTION("""COMPUTED_VALUE"""),3.0)</f>
        <v>3</v>
      </c>
      <c r="I301" s="136">
        <f>IFERROR(__xludf.DUMMYFUNCTION("""COMPUTED_VALUE"""),46084.0)</f>
        <v>46084</v>
      </c>
    </row>
    <row r="302">
      <c r="A302" s="122">
        <f>IFERROR(__xludf.DUMMYFUNCTION("""COMPUTED_VALUE"""),2.0)</f>
        <v>2</v>
      </c>
      <c r="B302" s="123" t="str">
        <f>IFERROR(__xludf.DUMMYFUNCTION("""COMPUTED_VALUE"""),"CIENCIAS DE LA COMUNICACIÓN I")</f>
        <v>CIENCIAS DE LA COMUNICACIÓN I</v>
      </c>
      <c r="C302" s="124">
        <f>IFERROR(__xludf.DUMMYFUNCTION("""COMPUTED_VALUE"""),99.0)</f>
        <v>99</v>
      </c>
      <c r="D302" s="124" t="str">
        <f>IFERROR(__xludf.DUMMYFUNCTION("""COMPUTED_VALUE"""),"#DIV/0!")</f>
        <v>#DIV/0!</v>
      </c>
      <c r="E302" s="124">
        <f>IFERROR(__xludf.DUMMYFUNCTION("""COMPUTED_VALUE"""),0.0)</f>
        <v>0</v>
      </c>
      <c r="F302" s="125">
        <f>IFERROR(__xludf.DUMMYFUNCTION("""COMPUTED_VALUE"""),0.0)</f>
        <v>0</v>
      </c>
      <c r="G302" s="124">
        <f>IFERROR(__xludf.DUMMYFUNCTION("""COMPUTED_VALUE"""),0.0)</f>
        <v>0</v>
      </c>
      <c r="H302" s="123">
        <f>IFERROR(__xludf.DUMMYFUNCTION("""COMPUTED_VALUE"""),3.0)</f>
        <v>3</v>
      </c>
      <c r="I302" s="126">
        <f>IFERROR(__xludf.DUMMYFUNCTION("""COMPUTED_VALUE"""),46084.0)</f>
        <v>46084</v>
      </c>
    </row>
    <row r="303">
      <c r="A303" s="127">
        <f>IFERROR(__xludf.DUMMYFUNCTION("""COMPUTED_VALUE"""),2.0)</f>
        <v>2</v>
      </c>
      <c r="B303" s="128" t="str">
        <f>IFERROR(__xludf.DUMMYFUNCTION("""COMPUTED_VALUE"""),"TEMAS SELECTOS DE INGLÉS II")</f>
        <v>TEMAS SELECTOS DE INGLÉS II</v>
      </c>
      <c r="C303" s="129">
        <f>IFERROR(__xludf.DUMMYFUNCTION("""COMPUTED_VALUE"""),99.0)</f>
        <v>99</v>
      </c>
      <c r="D303" s="129" t="str">
        <f>IFERROR(__xludf.DUMMYFUNCTION("""COMPUTED_VALUE"""),"#DIV/0!")</f>
        <v>#DIV/0!</v>
      </c>
      <c r="E303" s="129">
        <f>IFERROR(__xludf.DUMMYFUNCTION("""COMPUTED_VALUE"""),0.0)</f>
        <v>0</v>
      </c>
      <c r="F303" s="130">
        <f>IFERROR(__xludf.DUMMYFUNCTION("""COMPUTED_VALUE"""),0.0)</f>
        <v>0</v>
      </c>
      <c r="G303" s="129">
        <f>IFERROR(__xludf.DUMMYFUNCTION("""COMPUTED_VALUE"""),0.0)</f>
        <v>0</v>
      </c>
      <c r="H303" s="128">
        <f>IFERROR(__xludf.DUMMYFUNCTION("""COMPUTED_VALUE"""),3.0)</f>
        <v>3</v>
      </c>
      <c r="I303" s="131">
        <f>IFERROR(__xludf.DUMMYFUNCTION("""COMPUTED_VALUE"""),46084.0)</f>
        <v>46084</v>
      </c>
    </row>
    <row r="304">
      <c r="A304" s="127">
        <f>IFERROR(__xludf.DUMMYFUNCTION("""COMPUTED_VALUE"""),2.0)</f>
        <v>2</v>
      </c>
      <c r="B304" s="128" t="str">
        <f>IFERROR(__xludf.DUMMYFUNCTION("""COMPUTED_VALUE"""),"TEMAS SELECTOS DE MATEMÁTICAS II")</f>
        <v>TEMAS SELECTOS DE MATEMÁTICAS II</v>
      </c>
      <c r="C304" s="129">
        <f>IFERROR(__xludf.DUMMYFUNCTION("""COMPUTED_VALUE"""),99.0)</f>
        <v>99</v>
      </c>
      <c r="D304" s="129" t="str">
        <f>IFERROR(__xludf.DUMMYFUNCTION("""COMPUTED_VALUE"""),"#DIV/0!")</f>
        <v>#DIV/0!</v>
      </c>
      <c r="E304" s="129">
        <f>IFERROR(__xludf.DUMMYFUNCTION("""COMPUTED_VALUE"""),0.0)</f>
        <v>0</v>
      </c>
      <c r="F304" s="130">
        <f>IFERROR(__xludf.DUMMYFUNCTION("""COMPUTED_VALUE"""),0.0)</f>
        <v>0</v>
      </c>
      <c r="G304" s="129">
        <f>IFERROR(__xludf.DUMMYFUNCTION("""COMPUTED_VALUE"""),0.0)</f>
        <v>0</v>
      </c>
      <c r="H304" s="128">
        <f>IFERROR(__xludf.DUMMYFUNCTION("""COMPUTED_VALUE"""),3.0)</f>
        <v>3</v>
      </c>
      <c r="I304" s="131">
        <f>IFERROR(__xludf.DUMMYFUNCTION("""COMPUTED_VALUE"""),46084.0)</f>
        <v>46084</v>
      </c>
    </row>
    <row r="305">
      <c r="A305" s="127">
        <f>IFERROR(__xludf.DUMMYFUNCTION("""COMPUTED_VALUE"""),2.0)</f>
        <v>2</v>
      </c>
      <c r="B305" s="128" t="str">
        <f>IFERROR(__xludf.DUMMYFUNCTION("""COMPUTED_VALUE"""),"CONCIENCIA HISTORICA III")</f>
        <v>CONCIENCIA HISTORICA III</v>
      </c>
      <c r="C305" s="129">
        <f>IFERROR(__xludf.DUMMYFUNCTION("""COMPUTED_VALUE"""),96.66666666666667)</f>
        <v>96.66666667</v>
      </c>
      <c r="D305" s="129" t="str">
        <f>IFERROR(__xludf.DUMMYFUNCTION("""COMPUTED_VALUE"""),"#DIV/0!")</f>
        <v>#DIV/0!</v>
      </c>
      <c r="E305" s="129">
        <f>IFERROR(__xludf.DUMMYFUNCTION("""COMPUTED_VALUE"""),0.0)</f>
        <v>0</v>
      </c>
      <c r="F305" s="130">
        <f>IFERROR(__xludf.DUMMYFUNCTION("""COMPUTED_VALUE"""),0.0)</f>
        <v>0</v>
      </c>
      <c r="G305" s="129">
        <f>IFERROR(__xludf.DUMMYFUNCTION("""COMPUTED_VALUE"""),0.0)</f>
        <v>0</v>
      </c>
      <c r="H305" s="128">
        <f>IFERROR(__xludf.DUMMYFUNCTION("""COMPUTED_VALUE"""),3.0)</f>
        <v>3</v>
      </c>
      <c r="I305" s="131">
        <f>IFERROR(__xludf.DUMMYFUNCTION("""COMPUTED_VALUE"""),46084.0)</f>
        <v>46084</v>
      </c>
    </row>
    <row r="306">
      <c r="A306" s="127">
        <f>IFERROR(__xludf.DUMMYFUNCTION("""COMPUTED_VALUE"""),2.0)</f>
        <v>2</v>
      </c>
      <c r="B306" s="128" t="str">
        <f>IFERROR(__xludf.DUMMYFUNCTION("""COMPUTED_VALUE"""),"ORGANISMOS")</f>
        <v>ORGANISMOS</v>
      </c>
      <c r="C306" s="129">
        <f>IFERROR(__xludf.DUMMYFUNCTION("""COMPUTED_VALUE"""),95.0)</f>
        <v>95</v>
      </c>
      <c r="D306" s="129" t="str">
        <f>IFERROR(__xludf.DUMMYFUNCTION("""COMPUTED_VALUE"""),"#DIV/0!")</f>
        <v>#DIV/0!</v>
      </c>
      <c r="E306" s="129">
        <f>IFERROR(__xludf.DUMMYFUNCTION("""COMPUTED_VALUE"""),0.0)</f>
        <v>0</v>
      </c>
      <c r="F306" s="130">
        <f>IFERROR(__xludf.DUMMYFUNCTION("""COMPUTED_VALUE"""),0.0)</f>
        <v>0</v>
      </c>
      <c r="G306" s="129">
        <f>IFERROR(__xludf.DUMMYFUNCTION("""COMPUTED_VALUE"""),0.0)</f>
        <v>0</v>
      </c>
      <c r="H306" s="128">
        <f>IFERROR(__xludf.DUMMYFUNCTION("""COMPUTED_VALUE"""),3.0)</f>
        <v>3</v>
      </c>
      <c r="I306" s="131">
        <f>IFERROR(__xludf.DUMMYFUNCTION("""COMPUTED_VALUE"""),46084.0)</f>
        <v>46084</v>
      </c>
    </row>
    <row r="307">
      <c r="A307" s="127">
        <f>IFERROR(__xludf.DUMMYFUNCTION("""COMPUTED_VALUE"""),2.0)</f>
        <v>2</v>
      </c>
      <c r="B307" s="128" t="str">
        <f>IFERROR(__xludf.DUMMYFUNCTION("""COMPUTED_VALUE"""),"TEMAS SELECTOS DE FILOSOFÍA")</f>
        <v>TEMAS SELECTOS DE FILOSOFÍA</v>
      </c>
      <c r="C307" s="129">
        <f>IFERROR(__xludf.DUMMYFUNCTION("""COMPUTED_VALUE"""),96.0)</f>
        <v>96</v>
      </c>
      <c r="D307" s="129" t="str">
        <f>IFERROR(__xludf.DUMMYFUNCTION("""COMPUTED_VALUE"""),"#DIV/0!")</f>
        <v>#DIV/0!</v>
      </c>
      <c r="E307" s="129">
        <f>IFERROR(__xludf.DUMMYFUNCTION("""COMPUTED_VALUE"""),0.0)</f>
        <v>0</v>
      </c>
      <c r="F307" s="130">
        <f>IFERROR(__xludf.DUMMYFUNCTION("""COMPUTED_VALUE"""),0.0)</f>
        <v>0</v>
      </c>
      <c r="G307" s="129">
        <f>IFERROR(__xludf.DUMMYFUNCTION("""COMPUTED_VALUE"""),0.0)</f>
        <v>0</v>
      </c>
      <c r="H307" s="128">
        <f>IFERROR(__xludf.DUMMYFUNCTION("""COMPUTED_VALUE"""),3.0)</f>
        <v>3</v>
      </c>
      <c r="I307" s="131">
        <f>IFERROR(__xludf.DUMMYFUNCTION("""COMPUTED_VALUE"""),46084.0)</f>
        <v>46084</v>
      </c>
    </row>
    <row r="308">
      <c r="A308" s="127">
        <f>IFERROR(__xludf.DUMMYFUNCTION("""COMPUTED_VALUE"""),2.0)</f>
        <v>2</v>
      </c>
      <c r="B308" s="128" t="str">
        <f>IFERROR(__xludf.DUMMYFUNCTION("""COMPUTED_VALUE"""),"DISEÑO DIGITAL ")</f>
        <v>DISEÑO DIGITAL </v>
      </c>
      <c r="C308" s="129">
        <f>IFERROR(__xludf.DUMMYFUNCTION("""COMPUTED_VALUE"""),94.0)</f>
        <v>94</v>
      </c>
      <c r="D308" s="129" t="str">
        <f>IFERROR(__xludf.DUMMYFUNCTION("""COMPUTED_VALUE"""),"#DIV/0!")</f>
        <v>#DIV/0!</v>
      </c>
      <c r="E308" s="129">
        <f>IFERROR(__xludf.DUMMYFUNCTION("""COMPUTED_VALUE"""),0.0)</f>
        <v>0</v>
      </c>
      <c r="F308" s="130">
        <f>IFERROR(__xludf.DUMMYFUNCTION("""COMPUTED_VALUE"""),0.0)</f>
        <v>0</v>
      </c>
      <c r="G308" s="129">
        <f>IFERROR(__xludf.DUMMYFUNCTION("""COMPUTED_VALUE"""),0.0)</f>
        <v>0</v>
      </c>
      <c r="H308" s="128">
        <f>IFERROR(__xludf.DUMMYFUNCTION("""COMPUTED_VALUE"""),3.0)</f>
        <v>3</v>
      </c>
      <c r="I308" s="131">
        <f>IFERROR(__xludf.DUMMYFUNCTION("""COMPUTED_VALUE"""),46084.0)</f>
        <v>46084</v>
      </c>
    </row>
    <row r="309">
      <c r="A309" s="127">
        <f>IFERROR(__xludf.DUMMYFUNCTION("""COMPUTED_VALUE"""),2.0)</f>
        <v>2</v>
      </c>
      <c r="B309" s="128" t="str">
        <f>IFERROR(__xludf.DUMMYFUNCTION("""COMPUTED_VALUE"""),"ECONOMÍA I")</f>
        <v>ECONOMÍA I</v>
      </c>
      <c r="C309" s="129">
        <f>IFERROR(__xludf.DUMMYFUNCTION("""COMPUTED_VALUE"""),95.0)</f>
        <v>95</v>
      </c>
      <c r="D309" s="129" t="str">
        <f>IFERROR(__xludf.DUMMYFUNCTION("""COMPUTED_VALUE"""),"#DIV/0!")</f>
        <v>#DIV/0!</v>
      </c>
      <c r="E309" s="129">
        <f>IFERROR(__xludf.DUMMYFUNCTION("""COMPUTED_VALUE"""),0.0)</f>
        <v>0</v>
      </c>
      <c r="F309" s="130">
        <f>IFERROR(__xludf.DUMMYFUNCTION("""COMPUTED_VALUE"""),0.0)</f>
        <v>0</v>
      </c>
      <c r="G309" s="129">
        <f>IFERROR(__xludf.DUMMYFUNCTION("""COMPUTED_VALUE"""),0.0)</f>
        <v>0</v>
      </c>
      <c r="H309" s="128">
        <f>IFERROR(__xludf.DUMMYFUNCTION("""COMPUTED_VALUE"""),3.0)</f>
        <v>3</v>
      </c>
      <c r="I309" s="131">
        <f>IFERROR(__xludf.DUMMYFUNCTION("""COMPUTED_VALUE"""),46084.0)</f>
        <v>46084</v>
      </c>
    </row>
    <row r="310">
      <c r="A310" s="127">
        <f>IFERROR(__xludf.DUMMYFUNCTION("""COMPUTED_VALUE"""),2.0)</f>
        <v>2</v>
      </c>
      <c r="B310" s="128" t="str">
        <f>IFERROR(__xludf.DUMMYFUNCTION("""COMPUTED_VALUE"""),"PÁGINAS WEB")</f>
        <v>PÁGINAS WEB</v>
      </c>
      <c r="C310" s="129">
        <f>IFERROR(__xludf.DUMMYFUNCTION("""COMPUTED_VALUE"""),94.54545454545455)</f>
        <v>94.54545455</v>
      </c>
      <c r="D310" s="129" t="str">
        <f>IFERROR(__xludf.DUMMYFUNCTION("""COMPUTED_VALUE"""),"#DIV/0!")</f>
        <v>#DIV/0!</v>
      </c>
      <c r="E310" s="129">
        <f>IFERROR(__xludf.DUMMYFUNCTION("""COMPUTED_VALUE"""),0.0)</f>
        <v>0</v>
      </c>
      <c r="F310" s="130">
        <f>IFERROR(__xludf.DUMMYFUNCTION("""COMPUTED_VALUE"""),0.0)</f>
        <v>0</v>
      </c>
      <c r="G310" s="129">
        <f>IFERROR(__xludf.DUMMYFUNCTION("""COMPUTED_VALUE"""),0.0)</f>
        <v>0</v>
      </c>
      <c r="H310" s="128">
        <f>IFERROR(__xludf.DUMMYFUNCTION("""COMPUTED_VALUE"""),3.0)</f>
        <v>3</v>
      </c>
      <c r="I310" s="131">
        <f>IFERROR(__xludf.DUMMYFUNCTION("""COMPUTED_VALUE"""),46084.0)</f>
        <v>46084</v>
      </c>
    </row>
    <row r="311">
      <c r="A311" s="127">
        <f>IFERROR(__xludf.DUMMYFUNCTION("""COMPUTED_VALUE"""),2.0)</f>
        <v>2</v>
      </c>
      <c r="B311" s="128" t="str">
        <f>IFERROR(__xludf.DUMMYFUNCTION("""COMPUTED_VALUE"""),"ACTIVIDADES ARTÍSTICAS Y CULTURALES III")</f>
        <v>ACTIVIDADES ARTÍSTICAS Y CULTURALES III</v>
      </c>
      <c r="C311" s="129">
        <f>IFERROR(__xludf.DUMMYFUNCTION("""COMPUTED_VALUE"""),92.5)</f>
        <v>92.5</v>
      </c>
      <c r="D311" s="129" t="str">
        <f>IFERROR(__xludf.DUMMYFUNCTION("""COMPUTED_VALUE"""),"#DIV/0!")</f>
        <v>#DIV/0!</v>
      </c>
      <c r="E311" s="129">
        <f>IFERROR(__xludf.DUMMYFUNCTION("""COMPUTED_VALUE"""),0.0)</f>
        <v>0</v>
      </c>
      <c r="F311" s="130">
        <f>IFERROR(__xludf.DUMMYFUNCTION("""COMPUTED_VALUE"""),0.0)</f>
        <v>0</v>
      </c>
      <c r="G311" s="129">
        <f>IFERROR(__xludf.DUMMYFUNCTION("""COMPUTED_VALUE"""),0.0)</f>
        <v>0</v>
      </c>
      <c r="H311" s="128">
        <f>IFERROR(__xludf.DUMMYFUNCTION("""COMPUTED_VALUE"""),3.0)</f>
        <v>3</v>
      </c>
      <c r="I311" s="131">
        <f>IFERROR(__xludf.DUMMYFUNCTION("""COMPUTED_VALUE"""),46084.0)</f>
        <v>46084</v>
      </c>
    </row>
    <row r="312">
      <c r="A312" s="127">
        <f>IFERROR(__xludf.DUMMYFUNCTION("""COMPUTED_VALUE"""),2.0)</f>
        <v>2</v>
      </c>
      <c r="B312" s="128" t="str">
        <f>IFERROR(__xludf.DUMMYFUNCTION("""COMPUTED_VALUE"""),"PRÁCTICA Y COLABORACIÓN CIUDADANA II")</f>
        <v>PRÁCTICA Y COLABORACIÓN CIUDADANA II</v>
      </c>
      <c r="C312" s="129">
        <f>IFERROR(__xludf.DUMMYFUNCTION("""COMPUTED_VALUE"""),92.5)</f>
        <v>92.5</v>
      </c>
      <c r="D312" s="129" t="str">
        <f>IFERROR(__xludf.DUMMYFUNCTION("""COMPUTED_VALUE"""),"#DIV/0!")</f>
        <v>#DIV/0!</v>
      </c>
      <c r="E312" s="129">
        <f>IFERROR(__xludf.DUMMYFUNCTION("""COMPUTED_VALUE"""),0.0)</f>
        <v>0</v>
      </c>
      <c r="F312" s="130">
        <f>IFERROR(__xludf.DUMMYFUNCTION("""COMPUTED_VALUE"""),0.0)</f>
        <v>0</v>
      </c>
      <c r="G312" s="129">
        <f>IFERROR(__xludf.DUMMYFUNCTION("""COMPUTED_VALUE"""),0.0)</f>
        <v>0</v>
      </c>
      <c r="H312" s="128">
        <f>IFERROR(__xludf.DUMMYFUNCTION("""COMPUTED_VALUE"""),3.0)</f>
        <v>3</v>
      </c>
      <c r="I312" s="131">
        <f>IFERROR(__xludf.DUMMYFUNCTION("""COMPUTED_VALUE"""),46084.0)</f>
        <v>46084</v>
      </c>
    </row>
    <row r="313">
      <c r="A313" s="132">
        <f>IFERROR(__xludf.DUMMYFUNCTION("""COMPUTED_VALUE"""),2.0)</f>
        <v>2</v>
      </c>
      <c r="B313" s="133" t="str">
        <f>IFERROR(__xludf.DUMMYFUNCTION("""COMPUTED_VALUE"""),"TEMAS SELECTOS DE IGUALDAD Y DERECHOS HUMANOS VI ")</f>
        <v>TEMAS SELECTOS DE IGUALDAD Y DERECHOS HUMANOS VI </v>
      </c>
      <c r="C313" s="134">
        <f>IFERROR(__xludf.DUMMYFUNCTION("""COMPUTED_VALUE"""),92.5)</f>
        <v>92.5</v>
      </c>
      <c r="D313" s="134" t="str">
        <f>IFERROR(__xludf.DUMMYFUNCTION("""COMPUTED_VALUE"""),"#DIV/0!")</f>
        <v>#DIV/0!</v>
      </c>
      <c r="E313" s="134">
        <f>IFERROR(__xludf.DUMMYFUNCTION("""COMPUTED_VALUE"""),0.0)</f>
        <v>0</v>
      </c>
      <c r="F313" s="135">
        <f>IFERROR(__xludf.DUMMYFUNCTION("""COMPUTED_VALUE"""),0.0)</f>
        <v>0</v>
      </c>
      <c r="G313" s="134">
        <f>IFERROR(__xludf.DUMMYFUNCTION("""COMPUTED_VALUE"""),0.0)</f>
        <v>0</v>
      </c>
      <c r="H313" s="133">
        <f>IFERROR(__xludf.DUMMYFUNCTION("""COMPUTED_VALUE"""),3.0)</f>
        <v>3</v>
      </c>
      <c r="I313" s="136">
        <f>IFERROR(__xludf.DUMMYFUNCTION("""COMPUTED_VALUE"""),46084.0)</f>
        <v>46084</v>
      </c>
    </row>
    <row r="314">
      <c r="A314" s="122">
        <f>IFERROR(__xludf.DUMMYFUNCTION("""COMPUTED_VALUE"""),3.0)</f>
        <v>3</v>
      </c>
      <c r="B314" s="123" t="str">
        <f>IFERROR(__xludf.DUMMYFUNCTION("""COMPUTED_VALUE"""),"CIENCIAS DE LA COMUNICACIÓN I")</f>
        <v>CIENCIAS DE LA COMUNICACIÓN I</v>
      </c>
      <c r="C314" s="124">
        <f>IFERROR(__xludf.DUMMYFUNCTION("""COMPUTED_VALUE"""),99.0)</f>
        <v>99</v>
      </c>
      <c r="D314" s="124" t="str">
        <f>IFERROR(__xludf.DUMMYFUNCTION("""COMPUTED_VALUE"""),"#DIV/0!")</f>
        <v>#DIV/0!</v>
      </c>
      <c r="E314" s="124">
        <f>IFERROR(__xludf.DUMMYFUNCTION("""COMPUTED_VALUE"""),0.0)</f>
        <v>0</v>
      </c>
      <c r="F314" s="125">
        <f>IFERROR(__xludf.DUMMYFUNCTION("""COMPUTED_VALUE"""),0.0)</f>
        <v>0</v>
      </c>
      <c r="G314" s="124">
        <f>IFERROR(__xludf.DUMMYFUNCTION("""COMPUTED_VALUE"""),0.0)</f>
        <v>0</v>
      </c>
      <c r="H314" s="123">
        <f>IFERROR(__xludf.DUMMYFUNCTION("""COMPUTED_VALUE"""),3.0)</f>
        <v>3</v>
      </c>
      <c r="I314" s="126">
        <f>IFERROR(__xludf.DUMMYFUNCTION("""COMPUTED_VALUE"""),46084.0)</f>
        <v>46084</v>
      </c>
    </row>
    <row r="315">
      <c r="A315" s="127">
        <f>IFERROR(__xludf.DUMMYFUNCTION("""COMPUTED_VALUE"""),3.0)</f>
        <v>3</v>
      </c>
      <c r="B315" s="128" t="str">
        <f>IFERROR(__xludf.DUMMYFUNCTION("""COMPUTED_VALUE"""),"TEMAS SELECTOS DE INGLÉS II")</f>
        <v>TEMAS SELECTOS DE INGLÉS II</v>
      </c>
      <c r="C315" s="129">
        <f>IFERROR(__xludf.DUMMYFUNCTION("""COMPUTED_VALUE"""),99.0)</f>
        <v>99</v>
      </c>
      <c r="D315" s="129" t="str">
        <f>IFERROR(__xludf.DUMMYFUNCTION("""COMPUTED_VALUE"""),"#DIV/0!")</f>
        <v>#DIV/0!</v>
      </c>
      <c r="E315" s="129">
        <f>IFERROR(__xludf.DUMMYFUNCTION("""COMPUTED_VALUE"""),0.0)</f>
        <v>0</v>
      </c>
      <c r="F315" s="130">
        <f>IFERROR(__xludf.DUMMYFUNCTION("""COMPUTED_VALUE"""),0.0)</f>
        <v>0</v>
      </c>
      <c r="G315" s="129">
        <f>IFERROR(__xludf.DUMMYFUNCTION("""COMPUTED_VALUE"""),0.0)</f>
        <v>0</v>
      </c>
      <c r="H315" s="128">
        <f>IFERROR(__xludf.DUMMYFUNCTION("""COMPUTED_VALUE"""),3.0)</f>
        <v>3</v>
      </c>
      <c r="I315" s="131">
        <f>IFERROR(__xludf.DUMMYFUNCTION("""COMPUTED_VALUE"""),46084.0)</f>
        <v>46084</v>
      </c>
    </row>
    <row r="316">
      <c r="A316" s="127">
        <f>IFERROR(__xludf.DUMMYFUNCTION("""COMPUTED_VALUE"""),3.0)</f>
        <v>3</v>
      </c>
      <c r="B316" s="128" t="str">
        <f>IFERROR(__xludf.DUMMYFUNCTION("""COMPUTED_VALUE"""),"TEMAS SELECTOS DE MATEMÁTICAS II")</f>
        <v>TEMAS SELECTOS DE MATEMÁTICAS II</v>
      </c>
      <c r="C316" s="129">
        <f>IFERROR(__xludf.DUMMYFUNCTION("""COMPUTED_VALUE"""),99.0)</f>
        <v>99</v>
      </c>
      <c r="D316" s="129" t="str">
        <f>IFERROR(__xludf.DUMMYFUNCTION("""COMPUTED_VALUE"""),"#DIV/0!")</f>
        <v>#DIV/0!</v>
      </c>
      <c r="E316" s="129">
        <f>IFERROR(__xludf.DUMMYFUNCTION("""COMPUTED_VALUE"""),0.0)</f>
        <v>0</v>
      </c>
      <c r="F316" s="130">
        <f>IFERROR(__xludf.DUMMYFUNCTION("""COMPUTED_VALUE"""),0.0)</f>
        <v>0</v>
      </c>
      <c r="G316" s="129">
        <f>IFERROR(__xludf.DUMMYFUNCTION("""COMPUTED_VALUE"""),0.0)</f>
        <v>0</v>
      </c>
      <c r="H316" s="128">
        <f>IFERROR(__xludf.DUMMYFUNCTION("""COMPUTED_VALUE"""),3.0)</f>
        <v>3</v>
      </c>
      <c r="I316" s="131">
        <f>IFERROR(__xludf.DUMMYFUNCTION("""COMPUTED_VALUE"""),46084.0)</f>
        <v>46084</v>
      </c>
    </row>
    <row r="317">
      <c r="A317" s="127">
        <f>IFERROR(__xludf.DUMMYFUNCTION("""COMPUTED_VALUE"""),3.0)</f>
        <v>3</v>
      </c>
      <c r="B317" s="128" t="str">
        <f>IFERROR(__xludf.DUMMYFUNCTION("""COMPUTED_VALUE"""),"CONCIENCIA HISTORICA III")</f>
        <v>CONCIENCIA HISTORICA III</v>
      </c>
      <c r="C317" s="129">
        <f>IFERROR(__xludf.DUMMYFUNCTION("""COMPUTED_VALUE"""),96.66666666666667)</f>
        <v>96.66666667</v>
      </c>
      <c r="D317" s="129" t="str">
        <f>IFERROR(__xludf.DUMMYFUNCTION("""COMPUTED_VALUE"""),"#DIV/0!")</f>
        <v>#DIV/0!</v>
      </c>
      <c r="E317" s="129">
        <f>IFERROR(__xludf.DUMMYFUNCTION("""COMPUTED_VALUE"""),0.0)</f>
        <v>0</v>
      </c>
      <c r="F317" s="130">
        <f>IFERROR(__xludf.DUMMYFUNCTION("""COMPUTED_VALUE"""),0.0)</f>
        <v>0</v>
      </c>
      <c r="G317" s="129">
        <f>IFERROR(__xludf.DUMMYFUNCTION("""COMPUTED_VALUE"""),0.0)</f>
        <v>0</v>
      </c>
      <c r="H317" s="128">
        <f>IFERROR(__xludf.DUMMYFUNCTION("""COMPUTED_VALUE"""),3.0)</f>
        <v>3</v>
      </c>
      <c r="I317" s="131">
        <f>IFERROR(__xludf.DUMMYFUNCTION("""COMPUTED_VALUE"""),46084.0)</f>
        <v>46084</v>
      </c>
    </row>
    <row r="318">
      <c r="A318" s="127">
        <f>IFERROR(__xludf.DUMMYFUNCTION("""COMPUTED_VALUE"""),3.0)</f>
        <v>3</v>
      </c>
      <c r="B318" s="128" t="str">
        <f>IFERROR(__xludf.DUMMYFUNCTION("""COMPUTED_VALUE"""),"ORGANISMOS")</f>
        <v>ORGANISMOS</v>
      </c>
      <c r="C318" s="129">
        <f>IFERROR(__xludf.DUMMYFUNCTION("""COMPUTED_VALUE"""),95.0)</f>
        <v>95</v>
      </c>
      <c r="D318" s="129" t="str">
        <f>IFERROR(__xludf.DUMMYFUNCTION("""COMPUTED_VALUE"""),"#DIV/0!")</f>
        <v>#DIV/0!</v>
      </c>
      <c r="E318" s="129">
        <f>IFERROR(__xludf.DUMMYFUNCTION("""COMPUTED_VALUE"""),0.0)</f>
        <v>0</v>
      </c>
      <c r="F318" s="130">
        <f>IFERROR(__xludf.DUMMYFUNCTION("""COMPUTED_VALUE"""),0.0)</f>
        <v>0</v>
      </c>
      <c r="G318" s="129">
        <f>IFERROR(__xludf.DUMMYFUNCTION("""COMPUTED_VALUE"""),0.0)</f>
        <v>0</v>
      </c>
      <c r="H318" s="128">
        <f>IFERROR(__xludf.DUMMYFUNCTION("""COMPUTED_VALUE"""),3.0)</f>
        <v>3</v>
      </c>
      <c r="I318" s="131">
        <f>IFERROR(__xludf.DUMMYFUNCTION("""COMPUTED_VALUE"""),46084.0)</f>
        <v>46084</v>
      </c>
    </row>
    <row r="319">
      <c r="A319" s="127">
        <f>IFERROR(__xludf.DUMMYFUNCTION("""COMPUTED_VALUE"""),3.0)</f>
        <v>3</v>
      </c>
      <c r="B319" s="128" t="str">
        <f>IFERROR(__xludf.DUMMYFUNCTION("""COMPUTED_VALUE"""),"TEMAS SELECTOS DE FILOSOFÍA")</f>
        <v>TEMAS SELECTOS DE FILOSOFÍA</v>
      </c>
      <c r="C319" s="129">
        <f>IFERROR(__xludf.DUMMYFUNCTION("""COMPUTED_VALUE"""),96.0)</f>
        <v>96</v>
      </c>
      <c r="D319" s="129" t="str">
        <f>IFERROR(__xludf.DUMMYFUNCTION("""COMPUTED_VALUE"""),"#DIV/0!")</f>
        <v>#DIV/0!</v>
      </c>
      <c r="E319" s="129">
        <f>IFERROR(__xludf.DUMMYFUNCTION("""COMPUTED_VALUE"""),0.0)</f>
        <v>0</v>
      </c>
      <c r="F319" s="130">
        <f>IFERROR(__xludf.DUMMYFUNCTION("""COMPUTED_VALUE"""),0.0)</f>
        <v>0</v>
      </c>
      <c r="G319" s="129">
        <f>IFERROR(__xludf.DUMMYFUNCTION("""COMPUTED_VALUE"""),0.0)</f>
        <v>0</v>
      </c>
      <c r="H319" s="128">
        <f>IFERROR(__xludf.DUMMYFUNCTION("""COMPUTED_VALUE"""),3.0)</f>
        <v>3</v>
      </c>
      <c r="I319" s="131">
        <f>IFERROR(__xludf.DUMMYFUNCTION("""COMPUTED_VALUE"""),46084.0)</f>
        <v>46084</v>
      </c>
    </row>
    <row r="320">
      <c r="A320" s="127">
        <f>IFERROR(__xludf.DUMMYFUNCTION("""COMPUTED_VALUE"""),3.0)</f>
        <v>3</v>
      </c>
      <c r="B320" s="128" t="str">
        <f>IFERROR(__xludf.DUMMYFUNCTION("""COMPUTED_VALUE"""),"DISEÑO DIGITAL ")</f>
        <v>DISEÑO DIGITAL </v>
      </c>
      <c r="C320" s="129">
        <f>IFERROR(__xludf.DUMMYFUNCTION("""COMPUTED_VALUE"""),94.0)</f>
        <v>94</v>
      </c>
      <c r="D320" s="129" t="str">
        <f>IFERROR(__xludf.DUMMYFUNCTION("""COMPUTED_VALUE"""),"#DIV/0!")</f>
        <v>#DIV/0!</v>
      </c>
      <c r="E320" s="129">
        <f>IFERROR(__xludf.DUMMYFUNCTION("""COMPUTED_VALUE"""),0.0)</f>
        <v>0</v>
      </c>
      <c r="F320" s="130">
        <f>IFERROR(__xludf.DUMMYFUNCTION("""COMPUTED_VALUE"""),0.0)</f>
        <v>0</v>
      </c>
      <c r="G320" s="129">
        <f>IFERROR(__xludf.DUMMYFUNCTION("""COMPUTED_VALUE"""),0.0)</f>
        <v>0</v>
      </c>
      <c r="H320" s="128">
        <f>IFERROR(__xludf.DUMMYFUNCTION("""COMPUTED_VALUE"""),3.0)</f>
        <v>3</v>
      </c>
      <c r="I320" s="131">
        <f>IFERROR(__xludf.DUMMYFUNCTION("""COMPUTED_VALUE"""),46084.0)</f>
        <v>46084</v>
      </c>
    </row>
    <row r="321">
      <c r="A321" s="127">
        <f>IFERROR(__xludf.DUMMYFUNCTION("""COMPUTED_VALUE"""),3.0)</f>
        <v>3</v>
      </c>
      <c r="B321" s="128" t="str">
        <f>IFERROR(__xludf.DUMMYFUNCTION("""COMPUTED_VALUE"""),"ECONOMÍA I")</f>
        <v>ECONOMÍA I</v>
      </c>
      <c r="C321" s="129">
        <f>IFERROR(__xludf.DUMMYFUNCTION("""COMPUTED_VALUE"""),95.0)</f>
        <v>95</v>
      </c>
      <c r="D321" s="129" t="str">
        <f>IFERROR(__xludf.DUMMYFUNCTION("""COMPUTED_VALUE"""),"#DIV/0!")</f>
        <v>#DIV/0!</v>
      </c>
      <c r="E321" s="129">
        <f>IFERROR(__xludf.DUMMYFUNCTION("""COMPUTED_VALUE"""),0.0)</f>
        <v>0</v>
      </c>
      <c r="F321" s="130">
        <f>IFERROR(__xludf.DUMMYFUNCTION("""COMPUTED_VALUE"""),0.0)</f>
        <v>0</v>
      </c>
      <c r="G321" s="129">
        <f>IFERROR(__xludf.DUMMYFUNCTION("""COMPUTED_VALUE"""),0.0)</f>
        <v>0</v>
      </c>
      <c r="H321" s="128">
        <f>IFERROR(__xludf.DUMMYFUNCTION("""COMPUTED_VALUE"""),3.0)</f>
        <v>3</v>
      </c>
      <c r="I321" s="131">
        <f>IFERROR(__xludf.DUMMYFUNCTION("""COMPUTED_VALUE"""),46084.0)</f>
        <v>46084</v>
      </c>
    </row>
    <row r="322">
      <c r="A322" s="127">
        <f>IFERROR(__xludf.DUMMYFUNCTION("""COMPUTED_VALUE"""),3.0)</f>
        <v>3</v>
      </c>
      <c r="B322" s="128" t="str">
        <f>IFERROR(__xludf.DUMMYFUNCTION("""COMPUTED_VALUE"""),"PÁGINAS WEB")</f>
        <v>PÁGINAS WEB</v>
      </c>
      <c r="C322" s="129">
        <f>IFERROR(__xludf.DUMMYFUNCTION("""COMPUTED_VALUE"""),94.54545454545455)</f>
        <v>94.54545455</v>
      </c>
      <c r="D322" s="129" t="str">
        <f>IFERROR(__xludf.DUMMYFUNCTION("""COMPUTED_VALUE"""),"#DIV/0!")</f>
        <v>#DIV/0!</v>
      </c>
      <c r="E322" s="129">
        <f>IFERROR(__xludf.DUMMYFUNCTION("""COMPUTED_VALUE"""),0.0)</f>
        <v>0</v>
      </c>
      <c r="F322" s="130">
        <f>IFERROR(__xludf.DUMMYFUNCTION("""COMPUTED_VALUE"""),0.0)</f>
        <v>0</v>
      </c>
      <c r="G322" s="129">
        <f>IFERROR(__xludf.DUMMYFUNCTION("""COMPUTED_VALUE"""),0.0)</f>
        <v>0</v>
      </c>
      <c r="H322" s="128">
        <f>IFERROR(__xludf.DUMMYFUNCTION("""COMPUTED_VALUE"""),3.0)</f>
        <v>3</v>
      </c>
      <c r="I322" s="131">
        <f>IFERROR(__xludf.DUMMYFUNCTION("""COMPUTED_VALUE"""),46084.0)</f>
        <v>46084</v>
      </c>
    </row>
    <row r="323">
      <c r="A323" s="127">
        <f>IFERROR(__xludf.DUMMYFUNCTION("""COMPUTED_VALUE"""),3.0)</f>
        <v>3</v>
      </c>
      <c r="B323" s="128" t="str">
        <f>IFERROR(__xludf.DUMMYFUNCTION("""COMPUTED_VALUE"""),"ACTIVIDADES ARTÍSTICAS Y CULTURALES III")</f>
        <v>ACTIVIDADES ARTÍSTICAS Y CULTURALES III</v>
      </c>
      <c r="C323" s="129">
        <f>IFERROR(__xludf.DUMMYFUNCTION("""COMPUTED_VALUE"""),92.5)</f>
        <v>92.5</v>
      </c>
      <c r="D323" s="129" t="str">
        <f>IFERROR(__xludf.DUMMYFUNCTION("""COMPUTED_VALUE"""),"#DIV/0!")</f>
        <v>#DIV/0!</v>
      </c>
      <c r="E323" s="129">
        <f>IFERROR(__xludf.DUMMYFUNCTION("""COMPUTED_VALUE"""),0.0)</f>
        <v>0</v>
      </c>
      <c r="F323" s="130">
        <f>IFERROR(__xludf.DUMMYFUNCTION("""COMPUTED_VALUE"""),0.0)</f>
        <v>0</v>
      </c>
      <c r="G323" s="129">
        <f>IFERROR(__xludf.DUMMYFUNCTION("""COMPUTED_VALUE"""),0.0)</f>
        <v>0</v>
      </c>
      <c r="H323" s="128">
        <f>IFERROR(__xludf.DUMMYFUNCTION("""COMPUTED_VALUE"""),3.0)</f>
        <v>3</v>
      </c>
      <c r="I323" s="131">
        <f>IFERROR(__xludf.DUMMYFUNCTION("""COMPUTED_VALUE"""),46084.0)</f>
        <v>46084</v>
      </c>
    </row>
    <row r="324">
      <c r="A324" s="127">
        <f>IFERROR(__xludf.DUMMYFUNCTION("""COMPUTED_VALUE"""),3.0)</f>
        <v>3</v>
      </c>
      <c r="B324" s="128" t="str">
        <f>IFERROR(__xludf.DUMMYFUNCTION("""COMPUTED_VALUE"""),"PRÁCTICA Y COLABORACIÓN CIUDADANA II")</f>
        <v>PRÁCTICA Y COLABORACIÓN CIUDADANA II</v>
      </c>
      <c r="C324" s="129">
        <f>IFERROR(__xludf.DUMMYFUNCTION("""COMPUTED_VALUE"""),92.5)</f>
        <v>92.5</v>
      </c>
      <c r="D324" s="129" t="str">
        <f>IFERROR(__xludf.DUMMYFUNCTION("""COMPUTED_VALUE"""),"#DIV/0!")</f>
        <v>#DIV/0!</v>
      </c>
      <c r="E324" s="129">
        <f>IFERROR(__xludf.DUMMYFUNCTION("""COMPUTED_VALUE"""),0.0)</f>
        <v>0</v>
      </c>
      <c r="F324" s="130">
        <f>IFERROR(__xludf.DUMMYFUNCTION("""COMPUTED_VALUE"""),0.0)</f>
        <v>0</v>
      </c>
      <c r="G324" s="129">
        <f>IFERROR(__xludf.DUMMYFUNCTION("""COMPUTED_VALUE"""),0.0)</f>
        <v>0</v>
      </c>
      <c r="H324" s="128">
        <f>IFERROR(__xludf.DUMMYFUNCTION("""COMPUTED_VALUE"""),3.0)</f>
        <v>3</v>
      </c>
      <c r="I324" s="131">
        <f>IFERROR(__xludf.DUMMYFUNCTION("""COMPUTED_VALUE"""),46084.0)</f>
        <v>46084</v>
      </c>
    </row>
    <row r="325">
      <c r="A325" s="132">
        <f>IFERROR(__xludf.DUMMYFUNCTION("""COMPUTED_VALUE"""),3.0)</f>
        <v>3</v>
      </c>
      <c r="B325" s="133" t="str">
        <f>IFERROR(__xludf.DUMMYFUNCTION("""COMPUTED_VALUE"""),"TEMAS SELECTOS DE IGUALDAD Y DERECHOS HUMANOS VI ")</f>
        <v>TEMAS SELECTOS DE IGUALDAD Y DERECHOS HUMANOS VI </v>
      </c>
      <c r="C325" s="134">
        <f>IFERROR(__xludf.DUMMYFUNCTION("""COMPUTED_VALUE"""),92.5)</f>
        <v>92.5</v>
      </c>
      <c r="D325" s="134" t="str">
        <f>IFERROR(__xludf.DUMMYFUNCTION("""COMPUTED_VALUE"""),"#DIV/0!")</f>
        <v>#DIV/0!</v>
      </c>
      <c r="E325" s="134">
        <f>IFERROR(__xludf.DUMMYFUNCTION("""COMPUTED_VALUE"""),0.0)</f>
        <v>0</v>
      </c>
      <c r="F325" s="135">
        <f>IFERROR(__xludf.DUMMYFUNCTION("""COMPUTED_VALUE"""),0.0)</f>
        <v>0</v>
      </c>
      <c r="G325" s="134">
        <f>IFERROR(__xludf.DUMMYFUNCTION("""COMPUTED_VALUE"""),0.0)</f>
        <v>0</v>
      </c>
      <c r="H325" s="133">
        <f>IFERROR(__xludf.DUMMYFUNCTION("""COMPUTED_VALUE"""),3.0)</f>
        <v>3</v>
      </c>
      <c r="I325" s="136">
        <f>IFERROR(__xludf.DUMMYFUNCTION("""COMPUTED_VALUE"""),46084.0)</f>
        <v>46084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</cols>
  <sheetData>
    <row r="1">
      <c r="A1" s="137" t="s">
        <v>9</v>
      </c>
      <c r="B1" s="138" t="s">
        <v>10</v>
      </c>
      <c r="C1" s="139"/>
      <c r="D1" s="140"/>
      <c r="E1" s="138" t="s">
        <v>11</v>
      </c>
      <c r="F1" s="139"/>
      <c r="G1" s="140"/>
      <c r="H1" s="138" t="s">
        <v>12</v>
      </c>
      <c r="I1" s="139"/>
      <c r="J1" s="140"/>
    </row>
    <row r="2">
      <c r="A2" s="141" t="s">
        <v>13</v>
      </c>
      <c r="B2" s="142">
        <v>46023.0</v>
      </c>
      <c r="C2" s="143">
        <v>46054.0</v>
      </c>
      <c r="D2" s="144">
        <v>46082.0</v>
      </c>
      <c r="E2" s="142">
        <v>46023.0</v>
      </c>
      <c r="F2" s="143">
        <v>46054.0</v>
      </c>
      <c r="G2" s="144">
        <v>46082.0</v>
      </c>
      <c r="H2" s="142">
        <v>46023.0</v>
      </c>
      <c r="I2" s="143">
        <v>46054.0</v>
      </c>
      <c r="J2" s="144">
        <v>46082.0</v>
      </c>
    </row>
    <row r="3">
      <c r="A3" s="145" t="str">
        <f>'TURNO MATUTINO'!B2</f>
        <v>LENGUA Y COMUNICACIÓN II</v>
      </c>
      <c r="B3" s="146">
        <f>'TURNO MATUTINO'!D2</f>
        <v>7.113207547</v>
      </c>
      <c r="C3" s="147">
        <f>'TURNO MATUTINO'!D35</f>
        <v>7.923076923</v>
      </c>
      <c r="D3" s="148">
        <f>'TURNO MATUTINO'!D68</f>
        <v>7.886792453</v>
      </c>
      <c r="E3" s="149"/>
      <c r="F3" s="150"/>
      <c r="G3" s="151"/>
      <c r="H3" s="149"/>
      <c r="I3" s="150"/>
      <c r="J3" s="151"/>
    </row>
    <row r="4">
      <c r="A4" s="145" t="str">
        <f>'TURNO MATUTINO'!B3</f>
        <v>INGLÉS II</v>
      </c>
      <c r="B4" s="146">
        <f>'TURNO MATUTINO'!D3</f>
        <v>8.641509434</v>
      </c>
      <c r="C4" s="147">
        <f>'TURNO MATUTINO'!D36</f>
        <v>8.634615385</v>
      </c>
      <c r="D4" s="148">
        <f>'TURNO MATUTINO'!D69</f>
        <v>8.641509434</v>
      </c>
      <c r="E4" s="149"/>
      <c r="F4" s="150"/>
      <c r="G4" s="151"/>
      <c r="H4" s="149"/>
      <c r="I4" s="150"/>
      <c r="J4" s="151"/>
    </row>
    <row r="5">
      <c r="A5" s="145" t="str">
        <f>'TURNO MATUTINO'!B4</f>
        <v>PENSAMIENTO MATEMÁTICO II</v>
      </c>
      <c r="B5" s="146">
        <f>'TURNO MATUTINO'!D4</f>
        <v>6.452830189</v>
      </c>
      <c r="C5" s="147">
        <f>'TURNO MATUTINO'!D37</f>
        <v>8.634615385</v>
      </c>
      <c r="D5" s="148">
        <f>'TURNO MATUTINO'!D70</f>
        <v>6.452830189</v>
      </c>
      <c r="E5" s="149"/>
      <c r="F5" s="150"/>
      <c r="G5" s="151"/>
      <c r="H5" s="149"/>
      <c r="I5" s="150"/>
      <c r="J5" s="151"/>
    </row>
    <row r="6">
      <c r="A6" s="145" t="str">
        <f>'TURNO MATUTINO'!B5</f>
        <v>CULTURA DIGITAL II</v>
      </c>
      <c r="B6" s="146">
        <f>'TURNO MATUTINO'!D5</f>
        <v>7.886792453</v>
      </c>
      <c r="C6" s="147">
        <f>'TURNO MATUTINO'!D38</f>
        <v>8.634615385</v>
      </c>
      <c r="D6" s="148">
        <f>'TURNO MATUTINO'!D71</f>
        <v>7.886792453</v>
      </c>
      <c r="E6" s="149"/>
      <c r="F6" s="150"/>
      <c r="G6" s="151"/>
      <c r="H6" s="149"/>
      <c r="I6" s="150"/>
      <c r="J6" s="151"/>
    </row>
    <row r="7">
      <c r="A7" s="145" t="str">
        <f>'TURNO MATUTINO'!B6</f>
        <v>CIENCIAS NATURALES, EXPERIMENTALES Y TECNOLOGIA II</v>
      </c>
      <c r="B7" s="146">
        <f>'TURNO MATUTINO'!D6</f>
        <v>7.886792453</v>
      </c>
      <c r="C7" s="147">
        <f>'TURNO MATUTINO'!D39</f>
        <v>8.634615385</v>
      </c>
      <c r="D7" s="148">
        <f>'TURNO MATUTINO'!D72</f>
        <v>7.886792453</v>
      </c>
      <c r="E7" s="149"/>
      <c r="F7" s="150"/>
      <c r="G7" s="151"/>
      <c r="H7" s="149"/>
      <c r="I7" s="150"/>
      <c r="J7" s="151"/>
    </row>
    <row r="8">
      <c r="A8" s="145" t="str">
        <f>'TURNO MATUTINO'!B7</f>
        <v>PENSAMIENTO FILOSÓFICO Y HUMANIDADES II</v>
      </c>
      <c r="B8" s="146">
        <f>'TURNO MATUTINO'!D7</f>
        <v>7.886792453</v>
      </c>
      <c r="C8" s="147">
        <f>'TURNO MATUTINO'!D40</f>
        <v>8.634615385</v>
      </c>
      <c r="D8" s="148">
        <f>'TURNO MATUTINO'!D73</f>
        <v>7.886792453</v>
      </c>
      <c r="E8" s="149"/>
      <c r="F8" s="150"/>
      <c r="G8" s="151"/>
      <c r="H8" s="149"/>
      <c r="I8" s="150"/>
      <c r="J8" s="151"/>
    </row>
    <row r="9">
      <c r="A9" s="145" t="str">
        <f>'TURNO MATUTINO'!B8</f>
        <v>CIENCIAS SOCIALES II</v>
      </c>
      <c r="B9" s="146">
        <f>'TURNO MATUTINO'!D8</f>
        <v>7.886792453</v>
      </c>
      <c r="C9" s="147">
        <f>'TURNO MATUTINO'!D41</f>
        <v>8.634615385</v>
      </c>
      <c r="D9" s="148">
        <f>'TURNO MATUTINO'!D74</f>
        <v>7.886792453</v>
      </c>
      <c r="E9" s="149"/>
      <c r="F9" s="150"/>
      <c r="G9" s="151"/>
      <c r="H9" s="149"/>
      <c r="I9" s="150"/>
      <c r="J9" s="151"/>
    </row>
    <row r="10">
      <c r="A10" s="145" t="str">
        <f>'TURNO MATUTINO'!B9</f>
        <v>TALLER DE CIENCIAS I</v>
      </c>
      <c r="B10" s="146">
        <f>'TURNO MATUTINO'!D9</f>
        <v>7.886792453</v>
      </c>
      <c r="C10" s="147">
        <f>'TURNO MATUTINO'!D42</f>
        <v>8.634615385</v>
      </c>
      <c r="D10" s="148">
        <f>'TURNO MATUTINO'!D75</f>
        <v>7.886792453</v>
      </c>
      <c r="E10" s="149"/>
      <c r="F10" s="150"/>
      <c r="G10" s="151"/>
      <c r="H10" s="149"/>
      <c r="I10" s="150"/>
      <c r="J10" s="151"/>
    </row>
    <row r="11">
      <c r="A11" s="145" t="str">
        <f>'TURNO MATUTINO'!B10</f>
        <v>ACTIVIDADES FISICAS Y DEPORTIVAS II</v>
      </c>
      <c r="B11" s="146">
        <f>'TURNO MATUTINO'!D10</f>
        <v>7.886792453</v>
      </c>
      <c r="C11" s="147">
        <f>'TURNO MATUTINO'!D43</f>
        <v>8.634615385</v>
      </c>
      <c r="D11" s="148">
        <f>'TURNO MATUTINO'!D76</f>
        <v>7.886792453</v>
      </c>
      <c r="E11" s="149"/>
      <c r="F11" s="150"/>
      <c r="G11" s="151"/>
      <c r="H11" s="149"/>
      <c r="I11" s="150"/>
      <c r="J11" s="151"/>
    </row>
    <row r="12">
      <c r="A12" s="145" t="str">
        <f>'TURNO MATUTINO'!B11</f>
        <v>EDUCACION PARA LA SALUD II</v>
      </c>
      <c r="B12" s="146">
        <f>'TURNO MATUTINO'!D11</f>
        <v>7.886792453</v>
      </c>
      <c r="C12" s="147">
        <f>'TURNO MATUTINO'!D44</f>
        <v>8.634615385</v>
      </c>
      <c r="D12" s="148">
        <f>'TURNO MATUTINO'!D77</f>
        <v>7.886792453</v>
      </c>
      <c r="E12" s="149"/>
      <c r="F12" s="150"/>
      <c r="G12" s="151"/>
      <c r="H12" s="149"/>
      <c r="I12" s="150"/>
      <c r="J12" s="151"/>
    </row>
    <row r="13">
      <c r="A13" s="145" t="str">
        <f>'TURNO MATUTINO'!B12</f>
        <v>TEMAS SELECTOS DE IGUALDAD Y DERECHOS HUMANOS II</v>
      </c>
      <c r="B13" s="152">
        <f>'TURNO MATUTINO'!D12</f>
        <v>7.113207547</v>
      </c>
      <c r="C13" s="153">
        <f>'TURNO MATUTINO'!D45</f>
        <v>8.634615385</v>
      </c>
      <c r="D13" s="154">
        <f>'TURNO MATUTINO'!D78</f>
        <v>7.886792453</v>
      </c>
      <c r="E13" s="155"/>
      <c r="F13" s="156"/>
      <c r="G13" s="157"/>
      <c r="H13" s="155"/>
      <c r="I13" s="156"/>
      <c r="J13" s="157"/>
    </row>
    <row r="14">
      <c r="A14" s="145"/>
      <c r="B14" s="158">
        <f t="shared" ref="B14:D14" si="1">AVERAGE(B3:B13)</f>
        <v>7.684391081</v>
      </c>
      <c r="C14" s="158">
        <f t="shared" si="1"/>
        <v>8.56993007</v>
      </c>
      <c r="D14" s="158">
        <f t="shared" si="1"/>
        <v>7.825042882</v>
      </c>
      <c r="E14" s="145"/>
      <c r="F14" s="145"/>
      <c r="G14" s="145"/>
      <c r="H14" s="145"/>
      <c r="I14" s="145"/>
      <c r="J14" s="145"/>
    </row>
    <row r="15">
      <c r="B15" s="159">
        <f>AVERAGE(B14:D14)</f>
        <v>8.026454677</v>
      </c>
      <c r="C15" s="160"/>
      <c r="D15" s="161"/>
      <c r="E15" s="162"/>
      <c r="F15" s="160"/>
      <c r="G15" s="161"/>
      <c r="H15" s="162"/>
      <c r="I15" s="160"/>
      <c r="J15" s="161"/>
    </row>
  </sheetData>
  <mergeCells count="6">
    <mergeCell ref="B1:D1"/>
    <mergeCell ref="E1:G1"/>
    <mergeCell ref="H1:J1"/>
    <mergeCell ref="B15:D15"/>
    <mergeCell ref="E15:G15"/>
    <mergeCell ref="H15:J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