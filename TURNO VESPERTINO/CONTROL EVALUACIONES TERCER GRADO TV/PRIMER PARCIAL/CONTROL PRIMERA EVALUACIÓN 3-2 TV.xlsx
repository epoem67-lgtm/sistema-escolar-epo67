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2 ciencias de la comunicación" sheetId="1" r:id="rId5"/>
    <sheet state="visible" name="3-2 temas selectos de ingles ii" sheetId="2" r:id="rId6"/>
    <sheet state="visible" name="3-2 temas selectos de matematic" sheetId="3" r:id="rId7"/>
    <sheet state="visible" name="3-2 conciencia historica iii" sheetId="4" r:id="rId8"/>
    <sheet state="visible" name="3-2 organismos" sheetId="5" r:id="rId9"/>
    <sheet state="visible" name="3-2 temas selectos de filosofia" sheetId="6" r:id="rId10"/>
    <sheet state="visible" name="3-2 economia i" sheetId="7" r:id="rId11"/>
    <sheet state="visible" name="3-2 paginas web" sheetId="8" r:id="rId12"/>
    <sheet state="visible" name="3-2 diseño digital" sheetId="9" r:id="rId13"/>
    <sheet state="visible" name="3-2 actividades artisticas y cu" sheetId="10" r:id="rId14"/>
    <sheet state="visible" name="3-2 practica y colaboracion ciu" sheetId="11" r:id="rId15"/>
    <sheet state="visible" name="3-2 temas selectos de igualdad " sheetId="12" r:id="rId16"/>
  </sheets>
  <definedNames/>
  <calcPr/>
</workbook>
</file>

<file path=xl/sharedStrings.xml><?xml version="1.0" encoding="utf-8"?>
<sst xmlns="http://schemas.openxmlformats.org/spreadsheetml/2006/main" count="2112" uniqueCount="167">
  <si>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</si>
  <si>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</si>
  <si>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</si>
  <si>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</si>
  <si>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</si>
  <si>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</si>
  <si>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</si>
  <si>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SEXTO SEMESTRE
VESPERTINO</t>
  </si>
  <si>
    <t>UAC</t>
  </si>
  <si>
    <t>CIENCIAS DE LA COMUNICACIÓN 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</si>
  <si>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</si>
  <si>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</si>
  <si>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</si>
  <si>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</si>
  <si>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</si>
  <si>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</si>
  <si>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</si>
  <si>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</si>
  <si>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</si>
  <si>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</si>
  <si>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</si>
  <si>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</si>
  <si>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</si>
  <si>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MELENDEZ</t>
  </si>
  <si>
    <t>JUNO SHAKTY</t>
  </si>
  <si>
    <t>AMAYA</t>
  </si>
  <si>
    <t>PULIDO</t>
  </si>
  <si>
    <t>ZOE VICTORIA</t>
  </si>
  <si>
    <t>BARCENAS</t>
  </si>
  <si>
    <t>GONZALEZ</t>
  </si>
  <si>
    <t>RICARDO YAMIL</t>
  </si>
  <si>
    <t>BUENDIA</t>
  </si>
  <si>
    <t>CASTRO</t>
  </si>
  <si>
    <t>ERIC RAFAEL</t>
  </si>
  <si>
    <t>CACIQUE</t>
  </si>
  <si>
    <t>HIDALGO</t>
  </si>
  <si>
    <t>CARLOS FERNANDO</t>
  </si>
  <si>
    <t>CAMACHO</t>
  </si>
  <si>
    <t>VILLA</t>
  </si>
  <si>
    <t>CARLOS RODRIGO</t>
  </si>
  <si>
    <t>CASTILLO</t>
  </si>
  <si>
    <t>DOMINGUEZ</t>
  </si>
  <si>
    <t xml:space="preserve">DANNA PAOLA </t>
  </si>
  <si>
    <t>CHAN</t>
  </si>
  <si>
    <t>AVILA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</si>
  <si>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</si>
  <si>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</si>
  <si>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</si>
  <si>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</si>
  <si>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</si>
  <si>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</si>
  <si>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DANIEL</t>
  </si>
  <si>
    <t>DENYS ABRIL</t>
  </si>
  <si>
    <t>GARCIA</t>
  </si>
  <si>
    <t>CARDENAS</t>
  </si>
  <si>
    <t>JERSON SEBASTIAN</t>
  </si>
  <si>
    <t>GARDUÑO</t>
  </si>
  <si>
    <t>SALCEDO</t>
  </si>
  <si>
    <t>LEONARDO</t>
  </si>
  <si>
    <t>GODINEZ</t>
  </si>
  <si>
    <t>ALCALA</t>
  </si>
  <si>
    <t>JOSHUA TRISTAN</t>
  </si>
  <si>
    <t>BAUTISTA</t>
  </si>
  <si>
    <t>EMILIANO</t>
  </si>
  <si>
    <t xml:space="preserve">JACQUELINE </t>
  </si>
  <si>
    <t>MARTINEZ</t>
  </si>
  <si>
    <t>SANTIAGO</t>
  </si>
  <si>
    <t>RAMIREZ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</si>
  <si>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</si>
  <si>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</si>
  <si>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</si>
  <si>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</si>
  <si>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</si>
  <si>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</si>
  <si>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</si>
  <si>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>FLORES</t>
  </si>
  <si>
    <t>XIMENA</t>
  </si>
  <si>
    <t xml:space="preserve">IBARRA </t>
  </si>
  <si>
    <t>MORALES</t>
  </si>
  <si>
    <t>URIEL</t>
  </si>
  <si>
    <t>JIMENEZ</t>
  </si>
  <si>
    <t>CONTRERAS</t>
  </si>
  <si>
    <t>BERENICE</t>
  </si>
  <si>
    <t>SANTILLAN</t>
  </si>
  <si>
    <t>HECTOR</t>
  </si>
  <si>
    <t>LOMELI</t>
  </si>
  <si>
    <t>LEZAMA</t>
  </si>
  <si>
    <t>MARIANA</t>
  </si>
  <si>
    <t>LUNA</t>
  </si>
  <si>
    <t>SANCHEZ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</si>
  <si>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</si>
  <si>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</si>
  <si>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</si>
  <si>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</si>
  <si>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</si>
  <si>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</si>
  <si>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</si>
  <si>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</si>
  <si>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</si>
  <si>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</si>
  <si>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</si>
  <si>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</si>
  <si>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</si>
  <si>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PEÑA</t>
  </si>
  <si>
    <t>SANDOVAL</t>
  </si>
  <si>
    <t>DAYANNE PAULETTE</t>
  </si>
  <si>
    <t>PEREZ</t>
  </si>
  <si>
    <t>HERNANDEZ</t>
  </si>
  <si>
    <t>RAMSES</t>
  </si>
  <si>
    <t>PICAZO</t>
  </si>
  <si>
    <t>ESCOBEDO</t>
  </si>
  <si>
    <t>EMILIO MATEO</t>
  </si>
  <si>
    <t>RENTERIA</t>
  </si>
  <si>
    <t>CUEVAS</t>
  </si>
  <si>
    <t>INGRID VALERIA</t>
  </si>
  <si>
    <t>RIOS</t>
  </si>
  <si>
    <t>LOPEZ</t>
  </si>
  <si>
    <t>RICARDO AXEL</t>
  </si>
  <si>
    <t>RODRIGUEZ</t>
  </si>
  <si>
    <t>BOLAÑOS</t>
  </si>
  <si>
    <t>ZAVALA</t>
  </si>
  <si>
    <t>VALERIA CITLALLI</t>
  </si>
  <si>
    <t>SAAVEDRA</t>
  </si>
  <si>
    <t>SOTO</t>
  </si>
  <si>
    <t>BETSY KAROLINA</t>
  </si>
  <si>
    <t>SALAZAR</t>
  </si>
  <si>
    <t>ALVAREZ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</si>
  <si>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</si>
  <si>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</si>
  <si>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</si>
  <si>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</si>
  <si>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</si>
  <si>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</si>
  <si>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</si>
  <si>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</si>
  <si>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</si>
  <si>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</si>
  <si>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</si>
  <si>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</si>
  <si>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</si>
  <si>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</si>
  <si>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</si>
  <si>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</si>
  <si>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</si>
  <si>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</si>
  <si>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</si>
  <si>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</si>
  <si>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</si>
  <si>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</si>
  <si>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</si>
  <si>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</si>
  <si>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</si>
  <si>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</si>
  <si>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</si>
  <si>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</si>
  <si>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</si>
  <si>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>TEMAS SELECTOS DE INGLÉS II</t>
  </si>
  <si>
    <t>TEMAS SELECTOS DE MATEMÁTICAS II</t>
  </si>
  <si>
    <t>CONCIENCIA HISTÓRICA III</t>
  </si>
  <si>
    <t>ORGANISMOS</t>
  </si>
  <si>
    <t>TEMAS SELECTOS DE FILOSOFÍA</t>
  </si>
  <si>
    <t>ECONOMÍA I</t>
  </si>
  <si>
    <t>PÁGINAS WEB</t>
  </si>
  <si>
    <t>DISEÑO DIGITAL</t>
  </si>
  <si>
    <t>ACTIVIDADES ARTÍSTICAS Y CULTURALES III</t>
  </si>
  <si>
    <t>PRÁCTICA Y COLABORACIÓN CIUDADANA II</t>
  </si>
  <si>
    <t>TEMAS SELECTOS DE IGUALDAD Y DERECHOS HUMANOS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</si>
</sst>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5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5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2" fillId="0" fontId="19" numFmtId="0" xfId="0" applyAlignment="1" applyBorder="1" applyFont="1">
      <alignment horizontal="right"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  <xf borderId="0" fillId="0" fontId="5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14" fillId="2" fontId="5" numFmtId="0" xfId="0" applyAlignment="1" applyBorder="1" applyFont="1">
      <alignment horizontal="center" readingOrder="0" shrinkToFit="0" vertical="center" wrapText="1"/>
    </xf>
    <xf borderId="23" fillId="0" fontId="13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70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156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157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158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110"/>
      <c r="F17" s="110"/>
      <c r="G17" s="110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159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160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161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162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163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164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165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9" t="s">
        <v>166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62" si="1">SUM(E17:H17)</f>
        <v>0</v>
      </c>
      <c r="J17" s="58"/>
      <c r="K17" s="59">
        <f t="shared" ref="K17:K62" si="2">IF(M17&lt;6,5,M17)</f>
        <v>5</v>
      </c>
      <c r="L17" s="60"/>
      <c r="M17" s="61">
        <f t="shared" ref="M17:M6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54" t="s">
        <v>25</v>
      </c>
      <c r="C18" s="54" t="s">
        <v>26</v>
      </c>
      <c r="D18" s="55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54" t="s">
        <v>28</v>
      </c>
      <c r="C19" s="54" t="s">
        <v>29</v>
      </c>
      <c r="D19" s="55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54" t="s">
        <v>31</v>
      </c>
      <c r="C20" s="54" t="s">
        <v>32</v>
      </c>
      <c r="D20" s="55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54" t="s">
        <v>34</v>
      </c>
      <c r="C21" s="54" t="s">
        <v>35</v>
      </c>
      <c r="D21" s="55" t="s">
        <v>36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54" t="s">
        <v>37</v>
      </c>
      <c r="C22" s="54" t="s">
        <v>38</v>
      </c>
      <c r="D22" s="55" t="s">
        <v>39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54" t="s">
        <v>40</v>
      </c>
      <c r="C23" s="54" t="s">
        <v>41</v>
      </c>
      <c r="D23" s="55" t="s">
        <v>42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54" t="s">
        <v>43</v>
      </c>
      <c r="C24" s="54" t="s">
        <v>44</v>
      </c>
      <c r="D24" s="55" t="s">
        <v>45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54" t="s">
        <v>46</v>
      </c>
      <c r="C25" s="54" t="s">
        <v>47</v>
      </c>
      <c r="D25" s="55" t="s">
        <v>48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54" t="s">
        <v>49</v>
      </c>
      <c r="C26" s="54" t="s">
        <v>50</v>
      </c>
      <c r="D26" s="55" t="s">
        <v>51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54" t="s">
        <v>41</v>
      </c>
      <c r="C27" s="54" t="s">
        <v>38</v>
      </c>
      <c r="D27" s="55" t="s">
        <v>52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54" t="s">
        <v>53</v>
      </c>
      <c r="C28" s="54" t="s">
        <v>54</v>
      </c>
      <c r="D28" s="55" t="s">
        <v>55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54" t="s">
        <v>56</v>
      </c>
      <c r="C29" s="54" t="s">
        <v>57</v>
      </c>
      <c r="D29" s="55" t="s">
        <v>58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54" t="s">
        <v>59</v>
      </c>
      <c r="C30" s="54" t="s">
        <v>60</v>
      </c>
      <c r="D30" s="55" t="s">
        <v>61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54" t="s">
        <v>29</v>
      </c>
      <c r="C31" s="54" t="s">
        <v>62</v>
      </c>
      <c r="D31" s="55" t="s">
        <v>63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54" t="s">
        <v>29</v>
      </c>
      <c r="C32" s="54" t="s">
        <v>40</v>
      </c>
      <c r="D32" s="55" t="s">
        <v>64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54" t="s">
        <v>29</v>
      </c>
      <c r="C33" s="54" t="s">
        <v>65</v>
      </c>
      <c r="D33" s="55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54" t="s">
        <v>29</v>
      </c>
      <c r="C34" s="54" t="s">
        <v>67</v>
      </c>
      <c r="D34" s="55" t="s">
        <v>68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54" t="s">
        <v>69</v>
      </c>
      <c r="C35" s="54" t="s">
        <v>70</v>
      </c>
      <c r="D35" s="55" t="s">
        <v>71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54" t="s">
        <v>69</v>
      </c>
      <c r="C36" s="54" t="s">
        <v>72</v>
      </c>
      <c r="D36" s="55" t="s">
        <v>73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54" t="s">
        <v>74</v>
      </c>
      <c r="C37" s="54" t="s">
        <v>75</v>
      </c>
      <c r="D37" s="55" t="s">
        <v>76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54" t="s">
        <v>77</v>
      </c>
      <c r="C38" s="54" t="s">
        <v>78</v>
      </c>
      <c r="D38" s="55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54" t="s">
        <v>80</v>
      </c>
      <c r="C39" s="54" t="s">
        <v>81</v>
      </c>
      <c r="D39" s="55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54" t="s">
        <v>80</v>
      </c>
      <c r="C40" s="54" t="s">
        <v>83</v>
      </c>
      <c r="D40" s="55" t="s">
        <v>84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54" t="s">
        <v>85</v>
      </c>
      <c r="C41" s="54" t="s">
        <v>86</v>
      </c>
      <c r="D41" s="55" t="s">
        <v>87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54" t="s">
        <v>88</v>
      </c>
      <c r="C42" s="54" t="s">
        <v>89</v>
      </c>
      <c r="D42" s="55" t="s">
        <v>90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54" t="s">
        <v>65</v>
      </c>
      <c r="C43" s="54" t="s">
        <v>91</v>
      </c>
      <c r="D43" s="55" t="s">
        <v>92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54" t="s">
        <v>93</v>
      </c>
      <c r="C44" s="54" t="s">
        <v>94</v>
      </c>
      <c r="D44" s="55" t="s">
        <v>95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54" t="s">
        <v>78</v>
      </c>
      <c r="C45" s="54" t="s">
        <v>32</v>
      </c>
      <c r="D45" s="55" t="s">
        <v>96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54" t="s">
        <v>97</v>
      </c>
      <c r="C46" s="54" t="s">
        <v>98</v>
      </c>
      <c r="D46" s="55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54" t="s">
        <v>100</v>
      </c>
      <c r="C47" s="54" t="s">
        <v>101</v>
      </c>
      <c r="D47" s="55" t="s">
        <v>102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54" t="s">
        <v>103</v>
      </c>
      <c r="C48" s="54" t="s">
        <v>104</v>
      </c>
      <c r="D48" s="55" t="s">
        <v>105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54" t="s">
        <v>106</v>
      </c>
      <c r="C49" s="54" t="s">
        <v>107</v>
      </c>
      <c r="D49" s="55" t="s">
        <v>68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54" t="s">
        <v>106</v>
      </c>
      <c r="C50" s="54" t="s">
        <v>65</v>
      </c>
      <c r="D50" s="55" t="s">
        <v>108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54" t="s">
        <v>109</v>
      </c>
      <c r="C51" s="54" t="s">
        <v>110</v>
      </c>
      <c r="D51" s="55" t="s">
        <v>111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54" t="s">
        <v>112</v>
      </c>
      <c r="C52" s="54" t="s">
        <v>113</v>
      </c>
      <c r="D52" s="55" t="s">
        <v>114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54" t="s">
        <v>115</v>
      </c>
      <c r="C53" s="54" t="s">
        <v>116</v>
      </c>
      <c r="D53" s="55" t="s">
        <v>117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54" t="s">
        <v>118</v>
      </c>
      <c r="C54" s="54" t="s">
        <v>119</v>
      </c>
      <c r="D54" s="55" t="s">
        <v>58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54" t="s">
        <v>118</v>
      </c>
      <c r="C55" s="54" t="s">
        <v>120</v>
      </c>
      <c r="D55" s="55" t="s">
        <v>121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54" t="s">
        <v>122</v>
      </c>
      <c r="C56" s="54" t="s">
        <v>123</v>
      </c>
      <c r="D56" s="55" t="s">
        <v>124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54" t="s">
        <v>125</v>
      </c>
      <c r="C57" s="54" t="s">
        <v>126</v>
      </c>
      <c r="D57" s="55" t="s">
        <v>127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54" t="s">
        <v>66</v>
      </c>
      <c r="C58" s="54" t="s">
        <v>128</v>
      </c>
      <c r="D58" s="55" t="s">
        <v>129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3">
        <v>43.0</v>
      </c>
      <c r="B59" s="54" t="s">
        <v>130</v>
      </c>
      <c r="C59" s="54" t="s">
        <v>131</v>
      </c>
      <c r="D59" s="55" t="s">
        <v>132</v>
      </c>
      <c r="E59" s="56"/>
      <c r="F59" s="56"/>
      <c r="G59" s="56"/>
      <c r="H59" s="56"/>
      <c r="I59" s="57">
        <f t="shared" si="1"/>
        <v>0</v>
      </c>
      <c r="J59" s="58"/>
      <c r="K59" s="59">
        <f t="shared" si="2"/>
        <v>5</v>
      </c>
      <c r="L59" s="53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3">
        <v>44.0</v>
      </c>
      <c r="B60" s="54" t="s">
        <v>133</v>
      </c>
      <c r="C60" s="54" t="s">
        <v>134</v>
      </c>
      <c r="D60" s="55" t="s">
        <v>135</v>
      </c>
      <c r="E60" s="56"/>
      <c r="F60" s="56"/>
      <c r="G60" s="56"/>
      <c r="H60" s="56"/>
      <c r="I60" s="57">
        <f t="shared" si="1"/>
        <v>0</v>
      </c>
      <c r="J60" s="58"/>
      <c r="K60" s="59">
        <f t="shared" si="2"/>
        <v>5</v>
      </c>
      <c r="L60" s="53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3">
        <v>45.0</v>
      </c>
      <c r="B61" s="54" t="s">
        <v>136</v>
      </c>
      <c r="C61" s="54" t="s">
        <v>128</v>
      </c>
      <c r="D61" s="55" t="s">
        <v>137</v>
      </c>
      <c r="E61" s="56"/>
      <c r="F61" s="56"/>
      <c r="G61" s="56"/>
      <c r="H61" s="56"/>
      <c r="I61" s="57">
        <f t="shared" si="1"/>
        <v>0</v>
      </c>
      <c r="J61" s="58"/>
      <c r="K61" s="59">
        <f t="shared" si="2"/>
        <v>5</v>
      </c>
      <c r="L61" s="53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3">
        <v>46.0</v>
      </c>
      <c r="B62" s="54" t="s">
        <v>138</v>
      </c>
      <c r="C62" s="54" t="s">
        <v>139</v>
      </c>
      <c r="D62" s="55" t="s">
        <v>140</v>
      </c>
      <c r="E62" s="56"/>
      <c r="F62" s="56"/>
      <c r="G62" s="56"/>
      <c r="H62" s="56"/>
      <c r="I62" s="57">
        <f t="shared" si="1"/>
        <v>0</v>
      </c>
      <c r="J62" s="58"/>
      <c r="K62" s="59">
        <f t="shared" si="2"/>
        <v>5</v>
      </c>
      <c r="L62" s="53"/>
      <c r="M62" s="6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6"/>
      <c r="B63" s="63"/>
      <c r="C63" s="63"/>
      <c r="D63" s="63"/>
      <c r="E63" s="64"/>
      <c r="F63" s="64"/>
      <c r="G63" s="63"/>
      <c r="H63" s="63"/>
      <c r="I63" s="63"/>
      <c r="J63" s="63"/>
      <c r="K63" s="1"/>
      <c r="L63" s="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65" t="s">
        <v>141</v>
      </c>
      <c r="C64" s="66"/>
      <c r="D64" s="67">
        <f>COUNT(A17:A62)</f>
        <v>46</v>
      </c>
      <c r="E64" s="63"/>
      <c r="F64" s="63"/>
      <c r="G64" s="68" t="s">
        <v>142</v>
      </c>
      <c r="H64" s="68"/>
      <c r="I64" s="68" t="s">
        <v>143</v>
      </c>
      <c r="K64" s="69" t="s">
        <v>144</v>
      </c>
      <c r="L64" s="70" t="s">
        <v>145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71" t="s">
        <v>146</v>
      </c>
      <c r="C65" s="72"/>
      <c r="D65" s="73">
        <f>COUNTIF(K17:K62,"BAJA")</f>
        <v>0</v>
      </c>
      <c r="E65" s="63"/>
      <c r="F65" s="63"/>
      <c r="H65" s="68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74" t="s">
        <v>147</v>
      </c>
      <c r="C66" s="72"/>
      <c r="D66" s="75">
        <f>D64-D65</f>
        <v>46</v>
      </c>
      <c r="E66" s="63"/>
      <c r="F66" s="63"/>
      <c r="G66" s="76"/>
      <c r="H66" s="77"/>
      <c r="I66" s="76"/>
      <c r="J66" s="76"/>
      <c r="K66" s="78"/>
      <c r="L66" s="7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4" t="s">
        <v>148</v>
      </c>
      <c r="C67" s="72"/>
      <c r="D67" s="80">
        <f>COUNTIF(K17:K62,"&gt;=6")</f>
        <v>0</v>
      </c>
      <c r="E67" s="63"/>
      <c r="F67" s="63"/>
      <c r="G67" s="76"/>
      <c r="H67" s="77"/>
      <c r="I67" s="76"/>
      <c r="J67" s="76"/>
      <c r="K67" s="78"/>
      <c r="L67" s="7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4" t="s">
        <v>149</v>
      </c>
      <c r="C68" s="72"/>
      <c r="D68" s="80">
        <f>D66-D67</f>
        <v>46</v>
      </c>
      <c r="E68" s="63"/>
      <c r="F68" s="63"/>
      <c r="G68" s="81"/>
      <c r="H68" s="77"/>
      <c r="I68" s="81"/>
      <c r="J68" s="81"/>
      <c r="K68" s="82"/>
      <c r="L68" s="8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B69" s="74" t="s">
        <v>150</v>
      </c>
      <c r="C69" s="72"/>
      <c r="D69" s="84">
        <f>D67*100/D66</f>
        <v>0</v>
      </c>
      <c r="E69" s="63"/>
      <c r="F69" s="63"/>
      <c r="G69" s="85" t="s">
        <v>151</v>
      </c>
      <c r="H69" s="86"/>
      <c r="I69" s="87" t="s">
        <v>152</v>
      </c>
      <c r="K69" s="88" t="s">
        <v>153</v>
      </c>
      <c r="L69" s="89" t="s">
        <v>154</v>
      </c>
      <c r="M69" s="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91" t="s">
        <v>155</v>
      </c>
      <c r="C70" s="92"/>
      <c r="D70" s="93">
        <f>AVERAGE(K17:K62)</f>
        <v>5</v>
      </c>
      <c r="E70" s="63"/>
      <c r="F70" s="63"/>
      <c r="H70" s="86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94"/>
      <c r="B72" s="95"/>
      <c r="C72" s="96"/>
      <c r="D72" s="96"/>
      <c r="E72" s="63"/>
      <c r="H72" s="7"/>
      <c r="I72" s="7"/>
      <c r="J72" s="7"/>
      <c r="K72" s="7"/>
      <c r="L72" s="97"/>
      <c r="M72" s="9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63"/>
      <c r="C73" s="63"/>
      <c r="D73" s="63"/>
      <c r="E73" s="7"/>
      <c r="F73" s="7"/>
      <c r="G73" s="1"/>
      <c r="H73" s="1"/>
      <c r="I73" s="1"/>
      <c r="J73" s="1"/>
      <c r="K73" s="1"/>
      <c r="L73" s="8"/>
      <c r="M73" s="10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9"/>
      <c r="B74" s="63"/>
      <c r="C74" s="63"/>
      <c r="D74" s="63"/>
      <c r="E74" s="7"/>
      <c r="F74" s="7"/>
      <c r="G74" s="1"/>
      <c r="H74" s="1"/>
      <c r="I74" s="1"/>
      <c r="J74" s="1"/>
      <c r="K74" s="1"/>
      <c r="L74" s="8"/>
      <c r="M74" s="10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1"/>
      <c r="B75" s="102"/>
      <c r="C75" s="102"/>
      <c r="D75" s="102"/>
      <c r="E75" s="103"/>
      <c r="F75" s="103"/>
      <c r="G75" s="104"/>
      <c r="H75" s="104"/>
      <c r="I75" s="104"/>
      <c r="J75" s="104"/>
      <c r="K75" s="104"/>
      <c r="L75" s="105"/>
      <c r="M75" s="10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07"/>
      <c r="L76" s="107"/>
      <c r="M76" s="10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07"/>
      <c r="L77" s="107"/>
      <c r="M77" s="10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07"/>
      <c r="L78" s="107"/>
      <c r="M78" s="10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07"/>
      <c r="L79" s="107"/>
      <c r="M79" s="10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0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6"/>
      <c r="C84" s="106"/>
      <c r="D84" s="106"/>
      <c r="E84" s="106"/>
      <c r="F84" s="10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6"/>
      <c r="C85" s="106"/>
      <c r="D85" s="106"/>
      <c r="E85" s="106"/>
      <c r="F85" s="10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6"/>
      <c r="C86" s="106"/>
      <c r="D86" s="106"/>
      <c r="E86" s="106"/>
      <c r="F86" s="10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6"/>
      <c r="C87" s="106"/>
      <c r="D87" s="106"/>
      <c r="E87" s="106"/>
      <c r="F87" s="10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F14:F15"/>
    <mergeCell ref="G14:G15"/>
    <mergeCell ref="G64:G65"/>
    <mergeCell ref="I64:J65"/>
    <mergeCell ref="K64:K65"/>
    <mergeCell ref="L64:L65"/>
    <mergeCell ref="A9:L9"/>
    <mergeCell ref="E10:L10"/>
    <mergeCell ref="A13:B13"/>
    <mergeCell ref="C13:D13"/>
    <mergeCell ref="H13:H15"/>
    <mergeCell ref="I13:I14"/>
    <mergeCell ref="J13:L14"/>
    <mergeCell ref="J15:L15"/>
    <mergeCell ref="B68:C68"/>
    <mergeCell ref="B69:C69"/>
    <mergeCell ref="G69:G70"/>
    <mergeCell ref="I69:J70"/>
    <mergeCell ref="K69:K70"/>
    <mergeCell ref="L69:L70"/>
    <mergeCell ref="B70:C70"/>
    <mergeCell ref="E72:G72"/>
    <mergeCell ref="B14:D14"/>
    <mergeCell ref="E14:E15"/>
    <mergeCell ref="B16:D16"/>
    <mergeCell ref="B64:C64"/>
    <mergeCell ref="B65:C65"/>
    <mergeCell ref="B66:C66"/>
    <mergeCell ref="B67:C67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