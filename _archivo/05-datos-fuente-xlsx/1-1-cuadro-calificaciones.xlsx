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RO" sheetId="1" r:id="rId4"/>
  </sheets>
  <definedNames/>
  <calcPr/>
  <extLst>
    <ext uri="GoogleSheetsCustomDataVersion2">
      <go:sheetsCustomData xmlns:go="http://customooxmlschemas.google.com/" r:id="rId5" roundtripDataChecksum="lYw4u73CZd3q8z1Q0wBsxZywdrcwgf7uxucSyoSUB08="/>
    </ext>
  </extLst>
</workbook>
</file>

<file path=xl/sharedStrings.xml><?xml version="1.0" encoding="utf-8"?>
<sst xmlns="http://schemas.openxmlformats.org/spreadsheetml/2006/main" count="75" uniqueCount="74">
  <si>
    <t>ESCUELA PREPARATORIA OFICIAL NÚM. 67</t>
  </si>
  <si>
    <t>CONTROL DE LA PRIMERA EVALUACIÓN</t>
  </si>
  <si>
    <t>Nombre del Profr.:</t>
  </si>
  <si>
    <t>I</t>
  </si>
  <si>
    <t>II</t>
  </si>
  <si>
    <t>III</t>
  </si>
  <si>
    <t>IV</t>
  </si>
  <si>
    <t>PUNTAJE EXTRA</t>
  </si>
  <si>
    <t xml:space="preserve">PRIMER PARCIAL </t>
  </si>
  <si>
    <t xml:space="preserve">UAC: </t>
  </si>
  <si>
    <r>
      <rPr>
        <rFont val="Arial"/>
        <b/>
        <color rgb="FF000000"/>
        <sz val="11.0"/>
      </rPr>
      <t xml:space="preserve">PRIMER </t>
    </r>
    <r>
      <rPr>
        <rFont val="Arial"/>
        <b val="0"/>
        <color rgb="FF000000"/>
        <sz val="11.0"/>
      </rPr>
      <t>GRADO</t>
    </r>
    <r>
      <rPr>
        <rFont val="Arial"/>
        <b/>
        <color rgb="FF000000"/>
        <sz val="11.0"/>
      </rPr>
      <t xml:space="preserve">   GRUPO: 3</t>
    </r>
  </si>
  <si>
    <t>RÚBRICAS</t>
  </si>
  <si>
    <t>CICLO ESCOLAR 2025-2026</t>
  </si>
  <si>
    <t>No.</t>
  </si>
  <si>
    <t>NOMBRE DEL ALUMNO</t>
  </si>
  <si>
    <t>Evaluación continua (Tareas, trabajo en clase, trabajo colaborativo)</t>
  </si>
  <si>
    <t>Actitud y valores institucionales en clase.</t>
  </si>
  <si>
    <t>Suma Rúbricas</t>
  </si>
  <si>
    <t>Faltas</t>
  </si>
  <si>
    <t>Calificación Definitiva</t>
  </si>
  <si>
    <t>FIRMA</t>
  </si>
  <si>
    <t>AGUILAR HERNANDEZ VICTORIA GUADALUPE</t>
  </si>
  <si>
    <t>AGUILAR PEREZ MAYA ZOE</t>
  </si>
  <si>
    <t>AVENDA-O GUEVARA SADDAM DE JESUS</t>
  </si>
  <si>
    <t>BIBIANO SANTOS GAEL EMILIANO</t>
  </si>
  <si>
    <t>BUENO MORALES EMILIANO RAMSES</t>
  </si>
  <si>
    <t>CALDERON COLIN ALAN JESUS</t>
  </si>
  <si>
    <t>CASASOLA QUINTERO MELANY</t>
  </si>
  <si>
    <t>CASTELAN FLORES IRVIN</t>
  </si>
  <si>
    <t>DE LA LUZ VEGA YAEL ALEXANDER</t>
  </si>
  <si>
    <t>DE LEON LOPEZ ABEL GERARDO</t>
  </si>
  <si>
    <t>EZEQUIEL SANTOS JAVIER</t>
  </si>
  <si>
    <t>FLORES AGUILAR MELANI JOSELYN</t>
  </si>
  <si>
    <t>FRANCO RUIZ IAN ESTEBAN</t>
  </si>
  <si>
    <t>GARCIA QUIROZ MONICA JAZMIN</t>
  </si>
  <si>
    <t>HERNANDEZ BAUTISTA INGRID MAYURIT</t>
  </si>
  <si>
    <t>HERNANDEZ CILLO ALINE MICHELLE</t>
  </si>
  <si>
    <t>HERNANDEZ MAGUEYAL JOSE AUSTIN</t>
  </si>
  <si>
    <t>HERNANDEZ NESTOR CAMILA ALEJANDRA</t>
  </si>
  <si>
    <t>JIMENEZ LARA REGINA JIMENA</t>
  </si>
  <si>
    <t>JUAREZ GARCIA ANTONIO ZAID</t>
  </si>
  <si>
    <t>LIRA JIMENEZ URIEL</t>
  </si>
  <si>
    <t>LOPEZ JIMENEZ MARIA FERNANDA</t>
  </si>
  <si>
    <t>LOZANO LOPEZ DANA VALERIA</t>
  </si>
  <si>
    <t>MARTINEZ SANCHEZ ERICK ALFONSO</t>
  </si>
  <si>
    <t>MENDEZ GONZALEZ JESUS ALEJANDRO</t>
  </si>
  <si>
    <t>MORALES CRUZ ANGEL RAMSES</t>
  </si>
  <si>
    <t>MUÑOZ ROSAS MOISES</t>
  </si>
  <si>
    <t>NIETO GUADALUPE MIGUEL ANGEL</t>
  </si>
  <si>
    <t>OLGUIN ACUÑA IVANNA DANAE</t>
  </si>
  <si>
    <t>PADILLA ARELLANO BRITTANY SOLANGE</t>
  </si>
  <si>
    <t>QUEMADA MURGUIA NATHALIA</t>
  </si>
  <si>
    <t>RAMIRO VARGAS FLOR ALISON</t>
  </si>
  <si>
    <t>RETIZ MONTIEL CAMILA DANNAE</t>
  </si>
  <si>
    <t>SANCHEZ ESQUIVEL KARIME ALEXANDRA</t>
  </si>
  <si>
    <t>SANCHEZ SILVESTRE CAREN PAOLA</t>
  </si>
  <si>
    <t>VEGA LICEA LAILA DASHA</t>
  </si>
  <si>
    <t>VEGA ZACARIAS XIMENA</t>
  </si>
  <si>
    <t>VENTURA FLORENCIO MARIO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</si>
  <si>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</si>
  <si>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</si>
  <si>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</si>
  <si>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</si>
  <si>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</si>
  <si>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</si>
  <si>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</si>
  <si>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</si>
  <si>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</si>
  <si>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</si>
  <si>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IVAN HERNANDEZ PEREZ</t>
  </si>
  <si>
    <t>PROFRA. GUADALUPE JULIETA CARERA ALLENDE</t>
  </si>
  <si>
    <t>PROFR. GABRIELA ALEJANDRA HERNÁNDEZ HERNÁNDEZ</t>
  </si>
  <si>
    <t>PROFRA. KARINA ZAMORA SALAZAR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</si>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</sst>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1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1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b/>
      <sz val="11.0"/>
      <color rgb="FF000000"/>
      <name val="Arial"/>
    </font>
    <font>
      <b/>
      <sz val="9.0"/>
      <color theme="1"/>
      <name val="Gotham Book"/>
    </font>
    <font>
      <sz val="15.0"/>
      <color theme="1"/>
      <name val="Montserrat"/>
    </font>
    <font>
      <sz val="11.0"/>
      <color theme="1"/>
      <name val="Arial"/>
    </font>
    <font>
      <b/>
      <sz val="12.0"/>
      <color theme="1"/>
      <name val="Gotham Book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8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vertical="center"/>
    </xf>
    <xf borderId="0" fillId="0" fontId="4" numFmtId="0" xfId="0" applyFont="1"/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left" readingOrder="0" vertical="center"/>
    </xf>
    <xf borderId="7" fillId="0" fontId="3" numFmtId="0" xfId="0" applyBorder="1" applyFont="1"/>
    <xf borderId="8" fillId="2" fontId="4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shrinkToFit="0" vertical="center" wrapText="1"/>
    </xf>
    <xf borderId="9" fillId="2" fontId="4" numFmtId="9" xfId="0" applyAlignment="1" applyBorder="1" applyFont="1" applyNumberFormat="1">
      <alignment horizontal="center" vertical="center"/>
    </xf>
    <xf borderId="10" fillId="2" fontId="5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1" fillId="2" fontId="6" numFmtId="0" xfId="0" applyAlignment="1" applyBorder="1" applyFont="1">
      <alignment horizontal="left" readingOrder="0" shrinkToFit="0" vertical="top" wrapText="1"/>
    </xf>
    <xf borderId="12" fillId="0" fontId="3" numFmtId="0" xfId="0" applyBorder="1" applyFont="1"/>
    <xf borderId="13" fillId="2" fontId="7" numFmtId="9" xfId="0" applyAlignment="1" applyBorder="1" applyFont="1" applyNumberFormat="1">
      <alignment horizontal="center" shrinkToFit="0" vertical="bottom" wrapText="1"/>
    </xf>
    <xf borderId="13" fillId="2" fontId="8" numFmtId="9" xfId="0" applyAlignment="1" applyBorder="1" applyFont="1" applyNumberFormat="1">
      <alignment vertical="bottom"/>
    </xf>
    <xf borderId="13" fillId="2" fontId="7" numFmtId="9" xfId="0" applyAlignment="1" applyBorder="1" applyFont="1" applyNumberForma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2" fontId="9" numFmtId="0" xfId="0" applyAlignment="1" applyBorder="1" applyFont="1">
      <alignment vertical="center"/>
    </xf>
    <xf borderId="13" fillId="2" fontId="4" numFmtId="0" xfId="0" applyAlignment="1" applyBorder="1" applyFont="1">
      <alignment horizontal="center" vertical="center"/>
    </xf>
    <xf borderId="19" fillId="2" fontId="4" numFmtId="0" xfId="0" applyAlignment="1" applyBorder="1" applyFont="1">
      <alignment horizontal="center" vertical="bottom"/>
    </xf>
    <xf borderId="20" fillId="0" fontId="3" numFmtId="0" xfId="0" applyBorder="1" applyFont="1"/>
    <xf borderId="21" fillId="2" fontId="10" numFmtId="0" xfId="0" applyAlignment="1" applyBorder="1" applyFont="1">
      <alignment horizontal="center" shrinkToFit="0" vertical="center" wrapText="1"/>
    </xf>
    <xf borderId="13" fillId="2" fontId="4" numFmtId="0" xfId="0" applyAlignment="1" applyBorder="1" applyFont="1">
      <alignment horizontal="center" shrinkToFit="0" vertical="center" wrapText="1"/>
    </xf>
    <xf borderId="22" fillId="2" fontId="5" numFmtId="0" xfId="0" applyAlignment="1" applyBorder="1" applyFont="1">
      <alignment horizontal="center" vertical="center"/>
    </xf>
    <xf borderId="23" fillId="0" fontId="3" numFmtId="0" xfId="0" applyBorder="1" applyFont="1"/>
    <xf borderId="18" fillId="2" fontId="4" numFmtId="0" xfId="0" applyAlignment="1" applyBorder="1" applyFont="1">
      <alignment horizontal="center" vertical="center"/>
    </xf>
    <xf borderId="13" fillId="2" fontId="10" numFmtId="0" xfId="0" applyAlignment="1" applyBorder="1" applyFont="1">
      <alignment horizontal="center" shrinkToFit="0" vertical="bottom" wrapText="1"/>
    </xf>
    <xf borderId="13" fillId="2" fontId="8" numFmtId="0" xfId="0" applyAlignment="1" applyBorder="1" applyFont="1">
      <alignment vertical="bottom"/>
    </xf>
    <xf borderId="13" fillId="2" fontId="10" numFmtId="0" xfId="0" applyAlignment="1" applyBorder="1" applyFont="1">
      <alignment horizontal="center" shrinkToFit="0" vertical="center" wrapText="1"/>
    </xf>
    <xf borderId="13" fillId="2" fontId="5" numFmtId="0" xfId="0" applyAlignment="1" applyBorder="1" applyFont="1">
      <alignment horizontal="center" shrinkToFit="0" vertical="center" wrapText="1"/>
    </xf>
    <xf borderId="24" fillId="2" fontId="4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13" fillId="3" fontId="11" numFmtId="0" xfId="0" applyAlignment="1" applyBorder="1" applyFill="1" applyFont="1">
      <alignment vertical="bottom"/>
    </xf>
    <xf borderId="14" fillId="0" fontId="12" numFmtId="164" xfId="0" applyAlignment="1" applyBorder="1" applyFont="1" applyNumberFormat="1">
      <alignment horizontal="center" vertical="center"/>
    </xf>
    <xf borderId="14" fillId="0" fontId="1" numFmtId="164" xfId="0" applyAlignment="1" applyBorder="1" applyFont="1" applyNumberFormat="1">
      <alignment horizontal="center" vertical="center"/>
    </xf>
    <xf borderId="26" fillId="0" fontId="12" numFmtId="0" xfId="0" applyAlignment="1" applyBorder="1" applyFont="1">
      <alignment horizontal="center" vertical="center"/>
    </xf>
    <xf borderId="14" fillId="0" fontId="1" numFmtId="1" xfId="0" applyAlignment="1" applyBorder="1" applyFont="1" applyNumberFormat="1">
      <alignment horizontal="center" vertical="center"/>
    </xf>
    <xf borderId="15" fillId="0" fontId="13" numFmtId="1" xfId="0" applyAlignment="1" applyBorder="1" applyFont="1" applyNumberFormat="1">
      <alignment horizontal="center" vertical="center"/>
    </xf>
    <xf borderId="27" fillId="0" fontId="1" numFmtId="1" xfId="0" applyAlignment="1" applyBorder="1" applyFont="1" applyNumberFormat="1">
      <alignment horizontal="center" vertical="center"/>
    </xf>
    <xf borderId="18" fillId="0" fontId="1" numFmtId="0" xfId="0" applyAlignment="1" applyBorder="1" applyFont="1">
      <alignment horizontal="center" vertical="center"/>
    </xf>
    <xf borderId="14" fillId="3" fontId="11" numFmtId="0" xfId="0" applyAlignment="1" applyBorder="1" applyFont="1">
      <alignment vertical="bottom"/>
    </xf>
    <xf borderId="24" fillId="0" fontId="1" numFmtId="0" xfId="0" applyAlignment="1" applyBorder="1" applyFont="1">
      <alignment horizontal="center" vertical="center"/>
    </xf>
    <xf borderId="14" fillId="0" fontId="11" numFmtId="0" xfId="0" applyAlignment="1" applyBorder="1" applyFont="1">
      <alignment vertical="bottom"/>
    </xf>
    <xf borderId="0" fillId="0" fontId="1" numFmtId="0" xfId="0" applyAlignment="1" applyFont="1">
      <alignment horizontal="center" vertical="center"/>
    </xf>
    <xf borderId="28" fillId="0" fontId="1" numFmtId="0" xfId="0" applyAlignment="1" applyBorder="1" applyFont="1">
      <alignment horizontal="right" shrinkToFit="1" vertical="center" wrapText="0"/>
    </xf>
    <xf borderId="28" fillId="0" fontId="14" numFmtId="0" xfId="0" applyAlignment="1" applyBorder="1" applyFont="1">
      <alignment shrinkToFit="1" vertical="center" wrapText="0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16" numFmtId="0" xfId="0" applyAlignment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horizontal="right" shrinkToFit="1" vertical="center" wrapText="0"/>
    </xf>
    <xf borderId="30" fillId="0" fontId="14" numFmtId="0" xfId="0" applyAlignment="1" applyBorder="1" applyFont="1">
      <alignment shrinkToFit="1" vertical="center" wrapText="0"/>
    </xf>
    <xf borderId="29" fillId="0" fontId="14" numFmtId="0" xfId="0" applyAlignment="1" applyBorder="1" applyFont="1">
      <alignment shrinkToFit="1" vertical="center" wrapText="0"/>
    </xf>
    <xf borderId="0" fillId="0" fontId="17" numFmtId="0" xfId="0" applyAlignment="1" applyFont="1">
      <alignment shrinkToFit="1" vertical="center" wrapText="0"/>
    </xf>
    <xf borderId="0" fillId="0" fontId="17" numFmtId="0" xfId="0" applyAlignment="1" applyFont="1">
      <alignment horizontal="center" vertical="center"/>
    </xf>
    <xf borderId="0" fillId="0" fontId="17" numFmtId="0" xfId="0" applyFont="1"/>
    <xf borderId="5" fillId="0" fontId="17" numFmtId="0" xfId="0" applyBorder="1" applyFont="1"/>
    <xf borderId="29" fillId="0" fontId="14" numFmtId="1" xfId="0" applyAlignment="1" applyBorder="1" applyFont="1" applyNumberFormat="1">
      <alignment shrinkToFit="1" vertical="center" wrapText="0"/>
    </xf>
    <xf borderId="16" fillId="0" fontId="17" numFmtId="0" xfId="0" applyAlignment="1" applyBorder="1" applyFont="1">
      <alignment shrinkToFit="1" vertical="center" wrapText="0"/>
    </xf>
    <xf borderId="16" fillId="0" fontId="17" numFmtId="0" xfId="0" applyBorder="1" applyFont="1"/>
    <xf borderId="17" fillId="0" fontId="17" numFmtId="0" xfId="0" applyBorder="1" applyFont="1"/>
    <xf borderId="29" fillId="0" fontId="14" numFmtId="2" xfId="0" applyAlignment="1" applyBorder="1" applyFont="1" applyNumberFormat="1">
      <alignment shrinkToFit="1" vertical="center" wrapText="0"/>
    </xf>
    <xf borderId="31" fillId="0" fontId="6" numFmtId="0" xfId="0" applyAlignment="1" applyBorder="1" applyFont="1">
      <alignment horizontal="center" shrinkToFit="0" vertical="top" wrapText="1"/>
    </xf>
    <xf borderId="31" fillId="0" fontId="3" numFmtId="0" xfId="0" applyBorder="1" applyFont="1"/>
    <xf borderId="0" fillId="0" fontId="17" numFmtId="0" xfId="0" applyAlignment="1" applyFont="1">
      <alignment horizontal="center" vertical="top"/>
    </xf>
    <xf borderId="0" fillId="0" fontId="6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5" fillId="0" fontId="4" numFmtId="0" xfId="0" applyAlignment="1" applyBorder="1" applyFont="1">
      <alignment horizontal="center" shrinkToFit="0" vertical="top" wrapText="1"/>
    </xf>
    <xf borderId="0" fillId="0" fontId="15" numFmtId="0" xfId="0" applyFont="1"/>
    <xf borderId="32" fillId="0" fontId="1" numFmtId="0" xfId="0" applyAlignment="1" applyBorder="1" applyFont="1">
      <alignment horizontal="right" shrinkToFit="1" vertical="center" wrapText="0"/>
    </xf>
    <xf borderId="32" fillId="0" fontId="13" numFmtId="2" xfId="0" applyAlignment="1" applyBorder="1" applyFont="1" applyNumberFormat="1">
      <alignment vertical="center"/>
    </xf>
    <xf borderId="33" fillId="4" fontId="1" numFmtId="0" xfId="0" applyAlignment="1" applyBorder="1" applyFill="1" applyFont="1">
      <alignment vertical="center"/>
    </xf>
    <xf borderId="34" fillId="4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19" numFmtId="0" xfId="0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vertical="center"/>
    </xf>
    <xf borderId="36" fillId="0" fontId="1" numFmtId="0" xfId="0" applyBorder="1" applyFont="1"/>
    <xf borderId="37" fillId="0" fontId="1" numFmtId="0" xfId="0" applyBorder="1" applyFont="1"/>
    <xf borderId="0" fillId="0" fontId="20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1</xdr:row>
      <xdr:rowOff>190500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 - </a:t>
          </a:r>
          <a:r>
            <a:rPr lang="en-US" sz="900">
              <a:highlight>
                <a:srgbClr val="FFFFFF"/>
              </a:highlight>
              <a:latin typeface="Montserrat"/>
              <a:ea typeface="Montserrat"/>
              <a:cs typeface="Montserrat"/>
              <a:sym typeface="Montserrat"/>
            </a:rPr>
            <a:t>15EBH0168U</a:t>
          </a:r>
          <a:endParaRPr sz="900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0</xdr:col>
      <xdr:colOff>0</xdr:colOff>
      <xdr:row>63</xdr:row>
      <xdr:rowOff>152400</xdr:rowOff>
    </xdr:from>
    <xdr:ext cx="14220825" cy="361950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Av. Nevado de Toluca S/N, Esq. Iztaccihuatl, Col. Infonavit Norte, Cuautitlán Izcalli, Estado de México.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2229 3609. Correo Electrónico epo113@edugem.gob.mx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62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8.71"/>
    <col customWidth="1" min="3" max="6" width="9.71"/>
    <col customWidth="1" min="7" max="9" width="13.71"/>
    <col customWidth="1" hidden="1" min="10" max="10" width="22.0"/>
    <col customWidth="1" min="11" max="11" width="19.71"/>
    <col customWidth="1" min="12" max="12" width="36.43"/>
    <col customWidth="1" min="13" max="13" width="11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1"/>
      <c r="D3" s="1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1"/>
      <c r="D4" s="1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1"/>
      <c r="D5" s="1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1"/>
      <c r="D6" s="1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1"/>
      <c r="D7" s="1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1"/>
      <c r="D8" s="1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3"/>
      <c r="D11" s="14"/>
      <c r="E11" s="1"/>
      <c r="F11" s="1"/>
      <c r="G11" s="1"/>
      <c r="H11" s="1"/>
      <c r="I11" s="1"/>
      <c r="J11" s="14"/>
      <c r="K11" s="14"/>
      <c r="L11" s="1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6"/>
      <c r="C12" s="13"/>
      <c r="D12" s="14"/>
      <c r="E12" s="1"/>
      <c r="F12" s="1"/>
      <c r="G12" s="1"/>
      <c r="H12" s="1"/>
      <c r="I12" s="1"/>
      <c r="J12" s="14"/>
      <c r="K12" s="14"/>
      <c r="L12" s="1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7" t="s">
        <v>2</v>
      </c>
      <c r="B13" s="18"/>
      <c r="C13" s="19" t="s">
        <v>3</v>
      </c>
      <c r="D13" s="19" t="s">
        <v>4</v>
      </c>
      <c r="E13" s="19" t="s">
        <v>5</v>
      </c>
      <c r="F13" s="19" t="s">
        <v>6</v>
      </c>
      <c r="G13" s="20" t="s">
        <v>7</v>
      </c>
      <c r="H13" s="21">
        <v>1.0</v>
      </c>
      <c r="I13" s="22" t="s">
        <v>8</v>
      </c>
      <c r="J13" s="23"/>
      <c r="K13" s="23"/>
      <c r="L13" s="2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25" t="s">
        <v>9</v>
      </c>
      <c r="B14" s="26"/>
      <c r="C14" s="27">
        <v>0.9</v>
      </c>
      <c r="D14" s="27">
        <v>0.1</v>
      </c>
      <c r="E14" s="28"/>
      <c r="F14" s="28"/>
      <c r="G14" s="29"/>
      <c r="H14" s="30"/>
      <c r="I14" s="31"/>
      <c r="J14" s="32"/>
      <c r="K14" s="32"/>
      <c r="L14" s="3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4" t="s">
        <v>10</v>
      </c>
      <c r="B15" s="35"/>
      <c r="C15" s="36" t="s">
        <v>11</v>
      </c>
      <c r="D15" s="37"/>
      <c r="E15" s="37"/>
      <c r="F15" s="26"/>
      <c r="G15" s="38"/>
      <c r="H15" s="39"/>
      <c r="I15" s="40" t="s">
        <v>12</v>
      </c>
      <c r="J15" s="37"/>
      <c r="K15" s="37"/>
      <c r="L15" s="4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2" t="s">
        <v>13</v>
      </c>
      <c r="B16" s="35" t="s">
        <v>14</v>
      </c>
      <c r="C16" s="43" t="s">
        <v>15</v>
      </c>
      <c r="D16" s="43" t="s">
        <v>16</v>
      </c>
      <c r="E16" s="44"/>
      <c r="F16" s="44"/>
      <c r="G16" s="45"/>
      <c r="H16" s="46" t="s">
        <v>17</v>
      </c>
      <c r="I16" s="39" t="s">
        <v>18</v>
      </c>
      <c r="J16" s="39" t="s">
        <v>19</v>
      </c>
      <c r="K16" s="39" t="s">
        <v>19</v>
      </c>
      <c r="L16" s="47" t="s">
        <v>20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48">
        <v>1.0</v>
      </c>
      <c r="B17" s="49" t="s">
        <v>21</v>
      </c>
      <c r="C17" s="50">
        <v>9.0</v>
      </c>
      <c r="D17" s="50">
        <v>1.0</v>
      </c>
      <c r="E17" s="50"/>
      <c r="F17" s="50"/>
      <c r="G17" s="50"/>
      <c r="H17" s="51">
        <f t="shared" ref="H17:H54" si="1">SUM(C17:G17)</f>
        <v>10</v>
      </c>
      <c r="I17" s="52">
        <v>0.0</v>
      </c>
      <c r="J17" s="53">
        <f t="shared" ref="J17:J54" si="2">IF(H17&gt;=6,ROUND(H17,0),TRUNC(H17,0))</f>
        <v>10</v>
      </c>
      <c r="K17" s="54">
        <f t="shared" ref="K17:K54" si="3">IF(J17&lt;6,5,J17)</f>
        <v>10</v>
      </c>
      <c r="L17" s="5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6">
        <v>2.0</v>
      </c>
      <c r="B18" s="57" t="s">
        <v>22</v>
      </c>
      <c r="C18" s="50">
        <v>9.0</v>
      </c>
      <c r="D18" s="50">
        <v>1.0</v>
      </c>
      <c r="E18" s="50"/>
      <c r="F18" s="50"/>
      <c r="G18" s="50"/>
      <c r="H18" s="51">
        <f t="shared" si="1"/>
        <v>10</v>
      </c>
      <c r="I18" s="52">
        <v>2.0</v>
      </c>
      <c r="J18" s="53">
        <f t="shared" si="2"/>
        <v>10</v>
      </c>
      <c r="K18" s="54">
        <f t="shared" si="3"/>
        <v>10</v>
      </c>
      <c r="L18" s="5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48">
        <v>3.0</v>
      </c>
      <c r="B19" s="57" t="s">
        <v>23</v>
      </c>
      <c r="C19" s="50">
        <v>7.0</v>
      </c>
      <c r="D19" s="50">
        <v>1.0</v>
      </c>
      <c r="E19" s="50"/>
      <c r="F19" s="50"/>
      <c r="G19" s="50"/>
      <c r="H19" s="51">
        <f t="shared" si="1"/>
        <v>8</v>
      </c>
      <c r="I19" s="52">
        <v>3.0</v>
      </c>
      <c r="J19" s="53">
        <f t="shared" si="2"/>
        <v>8</v>
      </c>
      <c r="K19" s="54">
        <f t="shared" si="3"/>
        <v>8</v>
      </c>
      <c r="L19" s="5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6">
        <v>4.0</v>
      </c>
      <c r="B20" s="59" t="s">
        <v>24</v>
      </c>
      <c r="C20" s="50">
        <v>9.0</v>
      </c>
      <c r="D20" s="50">
        <v>1.0</v>
      </c>
      <c r="E20" s="50"/>
      <c r="F20" s="50"/>
      <c r="G20" s="50"/>
      <c r="H20" s="51">
        <f t="shared" si="1"/>
        <v>10</v>
      </c>
      <c r="I20" s="52">
        <v>1.0</v>
      </c>
      <c r="J20" s="53">
        <f t="shared" si="2"/>
        <v>10</v>
      </c>
      <c r="K20" s="54">
        <f t="shared" si="3"/>
        <v>10</v>
      </c>
      <c r="L20" s="5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48">
        <v>5.0</v>
      </c>
      <c r="B21" s="57" t="s">
        <v>25</v>
      </c>
      <c r="C21" s="50">
        <v>9.0</v>
      </c>
      <c r="D21" s="50">
        <v>1.0</v>
      </c>
      <c r="E21" s="50"/>
      <c r="F21" s="50"/>
      <c r="G21" s="50"/>
      <c r="H21" s="51">
        <f t="shared" si="1"/>
        <v>10</v>
      </c>
      <c r="I21" s="52">
        <v>0.0</v>
      </c>
      <c r="J21" s="53">
        <f t="shared" si="2"/>
        <v>10</v>
      </c>
      <c r="K21" s="54">
        <f t="shared" si="3"/>
        <v>10</v>
      </c>
      <c r="L21" s="5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6">
        <v>6.0</v>
      </c>
      <c r="B22" s="57" t="s">
        <v>26</v>
      </c>
      <c r="C22" s="50">
        <v>9.0</v>
      </c>
      <c r="D22" s="50">
        <v>1.0</v>
      </c>
      <c r="E22" s="50"/>
      <c r="F22" s="50"/>
      <c r="G22" s="50"/>
      <c r="H22" s="51">
        <f t="shared" si="1"/>
        <v>10</v>
      </c>
      <c r="I22" s="52">
        <v>1.0</v>
      </c>
      <c r="J22" s="53">
        <f t="shared" si="2"/>
        <v>10</v>
      </c>
      <c r="K22" s="54">
        <f t="shared" si="3"/>
        <v>10</v>
      </c>
      <c r="L22" s="5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48">
        <v>7.0</v>
      </c>
      <c r="B23" s="57" t="s">
        <v>27</v>
      </c>
      <c r="C23" s="50">
        <v>9.0</v>
      </c>
      <c r="D23" s="50">
        <v>1.0</v>
      </c>
      <c r="E23" s="50"/>
      <c r="F23" s="50"/>
      <c r="G23" s="50"/>
      <c r="H23" s="51">
        <f t="shared" si="1"/>
        <v>10</v>
      </c>
      <c r="I23" s="52">
        <v>0.0</v>
      </c>
      <c r="J23" s="53">
        <f t="shared" si="2"/>
        <v>10</v>
      </c>
      <c r="K23" s="54">
        <f t="shared" si="3"/>
        <v>10</v>
      </c>
      <c r="L23" s="5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6">
        <v>8.0</v>
      </c>
      <c r="B24" s="57" t="s">
        <v>28</v>
      </c>
      <c r="C24" s="50">
        <v>8.0</v>
      </c>
      <c r="D24" s="50">
        <v>1.0</v>
      </c>
      <c r="E24" s="50"/>
      <c r="F24" s="50"/>
      <c r="G24" s="50"/>
      <c r="H24" s="51">
        <f t="shared" si="1"/>
        <v>9</v>
      </c>
      <c r="I24" s="52">
        <v>0.0</v>
      </c>
      <c r="J24" s="53">
        <f t="shared" si="2"/>
        <v>9</v>
      </c>
      <c r="K24" s="54">
        <f t="shared" si="3"/>
        <v>9</v>
      </c>
      <c r="L24" s="5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48">
        <v>9.0</v>
      </c>
      <c r="B25" s="57" t="s">
        <v>29</v>
      </c>
      <c r="C25" s="50">
        <v>8.0</v>
      </c>
      <c r="D25" s="50">
        <v>1.0</v>
      </c>
      <c r="E25" s="50"/>
      <c r="F25" s="50"/>
      <c r="G25" s="50"/>
      <c r="H25" s="51">
        <f t="shared" si="1"/>
        <v>9</v>
      </c>
      <c r="I25" s="52">
        <v>3.0</v>
      </c>
      <c r="J25" s="53">
        <f t="shared" si="2"/>
        <v>9</v>
      </c>
      <c r="K25" s="54">
        <f t="shared" si="3"/>
        <v>9</v>
      </c>
      <c r="L25" s="5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6">
        <v>10.0</v>
      </c>
      <c r="B26" s="57" t="s">
        <v>30</v>
      </c>
      <c r="C26" s="50">
        <v>9.0</v>
      </c>
      <c r="D26" s="50">
        <v>1.0</v>
      </c>
      <c r="E26" s="50"/>
      <c r="F26" s="50"/>
      <c r="G26" s="50"/>
      <c r="H26" s="51">
        <f t="shared" si="1"/>
        <v>10</v>
      </c>
      <c r="I26" s="52">
        <v>0.0</v>
      </c>
      <c r="J26" s="53">
        <f t="shared" si="2"/>
        <v>10</v>
      </c>
      <c r="K26" s="54">
        <f t="shared" si="3"/>
        <v>10</v>
      </c>
      <c r="L26" s="5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48">
        <v>11.0</v>
      </c>
      <c r="B27" s="57" t="s">
        <v>31</v>
      </c>
      <c r="C27" s="50">
        <v>9.0</v>
      </c>
      <c r="D27" s="50">
        <v>1.0</v>
      </c>
      <c r="E27" s="50"/>
      <c r="F27" s="50"/>
      <c r="G27" s="50"/>
      <c r="H27" s="51">
        <f t="shared" si="1"/>
        <v>10</v>
      </c>
      <c r="I27" s="52">
        <v>1.0</v>
      </c>
      <c r="J27" s="53">
        <f t="shared" si="2"/>
        <v>10</v>
      </c>
      <c r="K27" s="54">
        <f t="shared" si="3"/>
        <v>10</v>
      </c>
      <c r="L27" s="5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6">
        <v>12.0</v>
      </c>
      <c r="B28" s="57" t="s">
        <v>32</v>
      </c>
      <c r="C28" s="50">
        <v>8.0</v>
      </c>
      <c r="D28" s="50">
        <v>1.0</v>
      </c>
      <c r="E28" s="50"/>
      <c r="F28" s="50"/>
      <c r="G28" s="50"/>
      <c r="H28" s="51">
        <f t="shared" si="1"/>
        <v>9</v>
      </c>
      <c r="I28" s="52">
        <v>0.0</v>
      </c>
      <c r="J28" s="53">
        <f t="shared" si="2"/>
        <v>9</v>
      </c>
      <c r="K28" s="54">
        <f t="shared" si="3"/>
        <v>9</v>
      </c>
      <c r="L28" s="5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48">
        <v>13.0</v>
      </c>
      <c r="B29" s="57" t="s">
        <v>33</v>
      </c>
      <c r="C29" s="50">
        <v>7.0</v>
      </c>
      <c r="D29" s="50">
        <v>1.0</v>
      </c>
      <c r="E29" s="50"/>
      <c r="F29" s="50"/>
      <c r="G29" s="50"/>
      <c r="H29" s="51">
        <f t="shared" si="1"/>
        <v>8</v>
      </c>
      <c r="I29" s="52">
        <v>0.0</v>
      </c>
      <c r="J29" s="53">
        <f t="shared" si="2"/>
        <v>8</v>
      </c>
      <c r="K29" s="54">
        <f t="shared" si="3"/>
        <v>8</v>
      </c>
      <c r="L29" s="5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6">
        <v>14.0</v>
      </c>
      <c r="B30" s="57" t="s">
        <v>34</v>
      </c>
      <c r="C30" s="50">
        <v>9.0</v>
      </c>
      <c r="D30" s="50">
        <v>1.0</v>
      </c>
      <c r="E30" s="50"/>
      <c r="F30" s="50"/>
      <c r="G30" s="50"/>
      <c r="H30" s="51">
        <f t="shared" si="1"/>
        <v>10</v>
      </c>
      <c r="I30" s="52">
        <v>1.0</v>
      </c>
      <c r="J30" s="53">
        <f t="shared" si="2"/>
        <v>10</v>
      </c>
      <c r="K30" s="54">
        <f t="shared" si="3"/>
        <v>10</v>
      </c>
      <c r="L30" s="5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48">
        <v>15.0</v>
      </c>
      <c r="B31" s="57" t="s">
        <v>35</v>
      </c>
      <c r="C31" s="50">
        <v>9.0</v>
      </c>
      <c r="D31" s="50">
        <v>1.0</v>
      </c>
      <c r="E31" s="50"/>
      <c r="F31" s="50"/>
      <c r="G31" s="50"/>
      <c r="H31" s="51">
        <f t="shared" si="1"/>
        <v>10</v>
      </c>
      <c r="I31" s="52">
        <v>0.0</v>
      </c>
      <c r="J31" s="53">
        <f t="shared" si="2"/>
        <v>10</v>
      </c>
      <c r="K31" s="54">
        <f t="shared" si="3"/>
        <v>10</v>
      </c>
      <c r="L31" s="5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6">
        <v>16.0</v>
      </c>
      <c r="B32" s="57" t="s">
        <v>36</v>
      </c>
      <c r="C32" s="50">
        <v>9.0</v>
      </c>
      <c r="D32" s="50">
        <v>1.0</v>
      </c>
      <c r="E32" s="50"/>
      <c r="F32" s="50"/>
      <c r="G32" s="50"/>
      <c r="H32" s="51">
        <f t="shared" si="1"/>
        <v>10</v>
      </c>
      <c r="I32" s="52">
        <v>0.0</v>
      </c>
      <c r="J32" s="53">
        <f t="shared" si="2"/>
        <v>10</v>
      </c>
      <c r="K32" s="54">
        <f t="shared" si="3"/>
        <v>10</v>
      </c>
      <c r="L32" s="5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48">
        <v>17.0</v>
      </c>
      <c r="B33" s="59" t="s">
        <v>37</v>
      </c>
      <c r="C33" s="50">
        <v>7.0</v>
      </c>
      <c r="D33" s="50">
        <v>1.0</v>
      </c>
      <c r="E33" s="50"/>
      <c r="F33" s="50"/>
      <c r="G33" s="50"/>
      <c r="H33" s="51">
        <f t="shared" si="1"/>
        <v>8</v>
      </c>
      <c r="I33" s="52">
        <v>2.0</v>
      </c>
      <c r="J33" s="53">
        <f t="shared" si="2"/>
        <v>8</v>
      </c>
      <c r="K33" s="54">
        <f t="shared" si="3"/>
        <v>8</v>
      </c>
      <c r="L33" s="5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6">
        <v>18.0</v>
      </c>
      <c r="B34" s="57" t="s">
        <v>38</v>
      </c>
      <c r="C34" s="50">
        <v>7.0</v>
      </c>
      <c r="D34" s="50">
        <v>1.0</v>
      </c>
      <c r="E34" s="50"/>
      <c r="F34" s="50"/>
      <c r="G34" s="50"/>
      <c r="H34" s="51">
        <f t="shared" si="1"/>
        <v>8</v>
      </c>
      <c r="I34" s="52">
        <v>0.0</v>
      </c>
      <c r="J34" s="53">
        <f t="shared" si="2"/>
        <v>8</v>
      </c>
      <c r="K34" s="54">
        <f t="shared" si="3"/>
        <v>8</v>
      </c>
      <c r="L34" s="5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48">
        <v>19.0</v>
      </c>
      <c r="B35" s="57" t="s">
        <v>39</v>
      </c>
      <c r="C35" s="50">
        <v>9.0</v>
      </c>
      <c r="D35" s="50">
        <v>1.0</v>
      </c>
      <c r="E35" s="50"/>
      <c r="F35" s="50"/>
      <c r="G35" s="50"/>
      <c r="H35" s="51">
        <f t="shared" si="1"/>
        <v>10</v>
      </c>
      <c r="I35" s="52">
        <v>1.0</v>
      </c>
      <c r="J35" s="53">
        <f t="shared" si="2"/>
        <v>10</v>
      </c>
      <c r="K35" s="54">
        <f t="shared" si="3"/>
        <v>10</v>
      </c>
      <c r="L35" s="5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6">
        <v>20.0</v>
      </c>
      <c r="B36" s="57" t="s">
        <v>40</v>
      </c>
      <c r="C36" s="50">
        <v>7.0</v>
      </c>
      <c r="D36" s="50">
        <v>1.0</v>
      </c>
      <c r="E36" s="50"/>
      <c r="F36" s="50"/>
      <c r="G36" s="50"/>
      <c r="H36" s="51">
        <f t="shared" si="1"/>
        <v>8</v>
      </c>
      <c r="I36" s="52">
        <v>0.0</v>
      </c>
      <c r="J36" s="53">
        <f t="shared" si="2"/>
        <v>8</v>
      </c>
      <c r="K36" s="54">
        <f t="shared" si="3"/>
        <v>8</v>
      </c>
      <c r="L36" s="5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48">
        <v>21.0</v>
      </c>
      <c r="B37" s="57" t="s">
        <v>41</v>
      </c>
      <c r="C37" s="50">
        <v>7.0</v>
      </c>
      <c r="D37" s="50">
        <v>1.0</v>
      </c>
      <c r="E37" s="50"/>
      <c r="F37" s="50"/>
      <c r="G37" s="50"/>
      <c r="H37" s="51">
        <f t="shared" si="1"/>
        <v>8</v>
      </c>
      <c r="I37" s="52">
        <v>0.0</v>
      </c>
      <c r="J37" s="53">
        <f t="shared" si="2"/>
        <v>8</v>
      </c>
      <c r="K37" s="54">
        <f t="shared" si="3"/>
        <v>8</v>
      </c>
      <c r="L37" s="5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6">
        <v>22.0</v>
      </c>
      <c r="B38" s="57" t="s">
        <v>42</v>
      </c>
      <c r="C38" s="50">
        <v>9.0</v>
      </c>
      <c r="D38" s="50">
        <v>1.0</v>
      </c>
      <c r="E38" s="50"/>
      <c r="F38" s="50"/>
      <c r="G38" s="50"/>
      <c r="H38" s="51">
        <f t="shared" si="1"/>
        <v>10</v>
      </c>
      <c r="I38" s="52">
        <v>1.0</v>
      </c>
      <c r="J38" s="53">
        <f t="shared" si="2"/>
        <v>10</v>
      </c>
      <c r="K38" s="54">
        <f t="shared" si="3"/>
        <v>10</v>
      </c>
      <c r="L38" s="5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48">
        <v>23.0</v>
      </c>
      <c r="B39" s="57" t="s">
        <v>43</v>
      </c>
      <c r="C39" s="50">
        <v>5.0</v>
      </c>
      <c r="D39" s="50">
        <v>1.0</v>
      </c>
      <c r="E39" s="50"/>
      <c r="F39" s="50"/>
      <c r="G39" s="50"/>
      <c r="H39" s="51">
        <f t="shared" si="1"/>
        <v>6</v>
      </c>
      <c r="I39" s="52">
        <v>0.0</v>
      </c>
      <c r="J39" s="53">
        <f t="shared" si="2"/>
        <v>6</v>
      </c>
      <c r="K39" s="54">
        <f t="shared" si="3"/>
        <v>6</v>
      </c>
      <c r="L39" s="5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6">
        <v>24.0</v>
      </c>
      <c r="B40" s="57" t="s">
        <v>44</v>
      </c>
      <c r="C40" s="50">
        <v>9.0</v>
      </c>
      <c r="D40" s="50">
        <v>1.0</v>
      </c>
      <c r="E40" s="50"/>
      <c r="F40" s="50"/>
      <c r="G40" s="50"/>
      <c r="H40" s="51">
        <f t="shared" si="1"/>
        <v>10</v>
      </c>
      <c r="I40" s="52">
        <v>0.0</v>
      </c>
      <c r="J40" s="53">
        <f t="shared" si="2"/>
        <v>10</v>
      </c>
      <c r="K40" s="54">
        <f t="shared" si="3"/>
        <v>10</v>
      </c>
      <c r="L40" s="5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48">
        <v>25.0</v>
      </c>
      <c r="B41" s="57" t="s">
        <v>45</v>
      </c>
      <c r="C41" s="50">
        <v>9.0</v>
      </c>
      <c r="D41" s="50">
        <v>1.0</v>
      </c>
      <c r="E41" s="50"/>
      <c r="F41" s="50"/>
      <c r="G41" s="50"/>
      <c r="H41" s="51">
        <f t="shared" si="1"/>
        <v>10</v>
      </c>
      <c r="I41" s="52">
        <v>0.0</v>
      </c>
      <c r="J41" s="53">
        <f t="shared" si="2"/>
        <v>10</v>
      </c>
      <c r="K41" s="54">
        <f t="shared" si="3"/>
        <v>10</v>
      </c>
      <c r="L41" s="5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6">
        <v>26.0</v>
      </c>
      <c r="B42" s="57" t="s">
        <v>46</v>
      </c>
      <c r="C42" s="50">
        <v>9.0</v>
      </c>
      <c r="D42" s="50">
        <v>1.0</v>
      </c>
      <c r="E42" s="50"/>
      <c r="F42" s="50"/>
      <c r="G42" s="50"/>
      <c r="H42" s="51">
        <f t="shared" si="1"/>
        <v>10</v>
      </c>
      <c r="I42" s="52">
        <v>0.0</v>
      </c>
      <c r="J42" s="53">
        <f t="shared" si="2"/>
        <v>10</v>
      </c>
      <c r="K42" s="54">
        <f t="shared" si="3"/>
        <v>10</v>
      </c>
      <c r="L42" s="5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48">
        <v>27.0</v>
      </c>
      <c r="B43" s="57" t="s">
        <v>47</v>
      </c>
      <c r="C43" s="50">
        <v>9.0</v>
      </c>
      <c r="D43" s="50">
        <v>1.0</v>
      </c>
      <c r="E43" s="50"/>
      <c r="F43" s="50"/>
      <c r="G43" s="50"/>
      <c r="H43" s="51">
        <f t="shared" si="1"/>
        <v>10</v>
      </c>
      <c r="I43" s="52">
        <v>0.0</v>
      </c>
      <c r="J43" s="53">
        <f t="shared" si="2"/>
        <v>10</v>
      </c>
      <c r="K43" s="54">
        <f t="shared" si="3"/>
        <v>10</v>
      </c>
      <c r="L43" s="5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6">
        <v>28.0</v>
      </c>
      <c r="B44" s="57" t="s">
        <v>48</v>
      </c>
      <c r="C44" s="50">
        <v>9.0</v>
      </c>
      <c r="D44" s="50">
        <v>1.0</v>
      </c>
      <c r="E44" s="50"/>
      <c r="F44" s="50"/>
      <c r="G44" s="50"/>
      <c r="H44" s="51">
        <f t="shared" si="1"/>
        <v>10</v>
      </c>
      <c r="I44" s="52">
        <v>1.0</v>
      </c>
      <c r="J44" s="53">
        <f t="shared" si="2"/>
        <v>10</v>
      </c>
      <c r="K44" s="54">
        <f t="shared" si="3"/>
        <v>10</v>
      </c>
      <c r="L44" s="5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48">
        <v>29.0</v>
      </c>
      <c r="B45" s="59" t="s">
        <v>49</v>
      </c>
      <c r="C45" s="50">
        <v>8.0</v>
      </c>
      <c r="D45" s="50">
        <v>1.0</v>
      </c>
      <c r="E45" s="50"/>
      <c r="F45" s="50"/>
      <c r="G45" s="50"/>
      <c r="H45" s="51">
        <f t="shared" si="1"/>
        <v>9</v>
      </c>
      <c r="I45" s="52">
        <v>3.0</v>
      </c>
      <c r="J45" s="53">
        <f t="shared" si="2"/>
        <v>9</v>
      </c>
      <c r="K45" s="54">
        <f t="shared" si="3"/>
        <v>9</v>
      </c>
      <c r="L45" s="5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6">
        <v>30.0</v>
      </c>
      <c r="B46" s="59" t="s">
        <v>50</v>
      </c>
      <c r="C46" s="50">
        <v>5.0</v>
      </c>
      <c r="D46" s="50">
        <v>1.0</v>
      </c>
      <c r="E46" s="50"/>
      <c r="F46" s="50"/>
      <c r="G46" s="50"/>
      <c r="H46" s="51">
        <f t="shared" si="1"/>
        <v>6</v>
      </c>
      <c r="I46" s="52">
        <v>3.0</v>
      </c>
      <c r="J46" s="53">
        <f t="shared" si="2"/>
        <v>6</v>
      </c>
      <c r="K46" s="54">
        <f t="shared" si="3"/>
        <v>6</v>
      </c>
      <c r="L46" s="5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48">
        <v>31.0</v>
      </c>
      <c r="B47" s="57" t="s">
        <v>51</v>
      </c>
      <c r="C47" s="50">
        <v>7.0</v>
      </c>
      <c r="D47" s="50">
        <v>1.0</v>
      </c>
      <c r="E47" s="50"/>
      <c r="F47" s="50"/>
      <c r="G47" s="50"/>
      <c r="H47" s="51">
        <f t="shared" si="1"/>
        <v>8</v>
      </c>
      <c r="I47" s="52">
        <v>0.0</v>
      </c>
      <c r="J47" s="53">
        <f t="shared" si="2"/>
        <v>8</v>
      </c>
      <c r="K47" s="54">
        <f t="shared" si="3"/>
        <v>8</v>
      </c>
      <c r="L47" s="5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6">
        <v>32.0</v>
      </c>
      <c r="B48" s="57" t="s">
        <v>52</v>
      </c>
      <c r="C48" s="50">
        <v>0.0</v>
      </c>
      <c r="D48" s="50">
        <v>1.0</v>
      </c>
      <c r="E48" s="50"/>
      <c r="F48" s="50"/>
      <c r="G48" s="50"/>
      <c r="H48" s="51">
        <f t="shared" si="1"/>
        <v>1</v>
      </c>
      <c r="I48" s="52">
        <v>4.0</v>
      </c>
      <c r="J48" s="53">
        <f t="shared" si="2"/>
        <v>1</v>
      </c>
      <c r="K48" s="54">
        <f t="shared" si="3"/>
        <v>5</v>
      </c>
      <c r="L48" s="5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48">
        <v>33.0</v>
      </c>
      <c r="B49" s="57" t="s">
        <v>53</v>
      </c>
      <c r="C49" s="50">
        <v>8.0</v>
      </c>
      <c r="D49" s="50">
        <v>1.0</v>
      </c>
      <c r="E49" s="50"/>
      <c r="F49" s="50"/>
      <c r="G49" s="50"/>
      <c r="H49" s="51">
        <f t="shared" si="1"/>
        <v>9</v>
      </c>
      <c r="I49" s="52">
        <v>0.0</v>
      </c>
      <c r="J49" s="53">
        <f t="shared" si="2"/>
        <v>9</v>
      </c>
      <c r="K49" s="54">
        <f t="shared" si="3"/>
        <v>9</v>
      </c>
      <c r="L49" s="5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6">
        <v>34.0</v>
      </c>
      <c r="B50" s="57" t="s">
        <v>54</v>
      </c>
      <c r="C50" s="50">
        <v>5.0</v>
      </c>
      <c r="D50" s="50">
        <v>1.0</v>
      </c>
      <c r="E50" s="50"/>
      <c r="F50" s="50"/>
      <c r="G50" s="50"/>
      <c r="H50" s="51">
        <f t="shared" si="1"/>
        <v>6</v>
      </c>
      <c r="I50" s="52">
        <v>3.0</v>
      </c>
      <c r="J50" s="53">
        <f t="shared" si="2"/>
        <v>6</v>
      </c>
      <c r="K50" s="54">
        <f t="shared" si="3"/>
        <v>6</v>
      </c>
      <c r="L50" s="5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48">
        <v>35.0</v>
      </c>
      <c r="B51" s="57" t="s">
        <v>55</v>
      </c>
      <c r="C51" s="50">
        <v>8.0</v>
      </c>
      <c r="D51" s="50">
        <v>1.0</v>
      </c>
      <c r="E51" s="50"/>
      <c r="F51" s="50"/>
      <c r="G51" s="50"/>
      <c r="H51" s="51">
        <f t="shared" si="1"/>
        <v>9</v>
      </c>
      <c r="I51" s="52">
        <v>0.0</v>
      </c>
      <c r="J51" s="53">
        <f t="shared" si="2"/>
        <v>9</v>
      </c>
      <c r="K51" s="54">
        <f t="shared" si="3"/>
        <v>9</v>
      </c>
      <c r="L51" s="5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6">
        <v>36.0</v>
      </c>
      <c r="B52" s="57" t="s">
        <v>56</v>
      </c>
      <c r="C52" s="50">
        <v>9.0</v>
      </c>
      <c r="D52" s="50">
        <v>1.0</v>
      </c>
      <c r="E52" s="50"/>
      <c r="F52" s="50"/>
      <c r="G52" s="50"/>
      <c r="H52" s="51">
        <f t="shared" si="1"/>
        <v>10</v>
      </c>
      <c r="I52" s="52">
        <v>1.0</v>
      </c>
      <c r="J52" s="53">
        <f t="shared" si="2"/>
        <v>10</v>
      </c>
      <c r="K52" s="54">
        <f t="shared" si="3"/>
        <v>10</v>
      </c>
      <c r="L52" s="5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48">
        <v>37.0</v>
      </c>
      <c r="B53" s="57" t="s">
        <v>57</v>
      </c>
      <c r="C53" s="50">
        <v>9.0</v>
      </c>
      <c r="D53" s="50">
        <v>1.0</v>
      </c>
      <c r="E53" s="50"/>
      <c r="F53" s="50"/>
      <c r="G53" s="50"/>
      <c r="H53" s="51">
        <f t="shared" si="1"/>
        <v>10</v>
      </c>
      <c r="I53" s="52">
        <v>1.0</v>
      </c>
      <c r="J53" s="53">
        <f t="shared" si="2"/>
        <v>10</v>
      </c>
      <c r="K53" s="54">
        <f t="shared" si="3"/>
        <v>10</v>
      </c>
      <c r="L53" s="5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6">
        <v>38.0</v>
      </c>
      <c r="B54" s="57" t="s">
        <v>58</v>
      </c>
      <c r="C54" s="50">
        <v>9.0</v>
      </c>
      <c r="D54" s="50">
        <v>1.0</v>
      </c>
      <c r="E54" s="50"/>
      <c r="F54" s="50"/>
      <c r="G54" s="50"/>
      <c r="H54" s="51">
        <f t="shared" si="1"/>
        <v>10</v>
      </c>
      <c r="I54" s="52">
        <v>1.0</v>
      </c>
      <c r="J54" s="53">
        <f t="shared" si="2"/>
        <v>10</v>
      </c>
      <c r="K54" s="54">
        <f t="shared" si="3"/>
        <v>10</v>
      </c>
      <c r="L54" s="5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6"/>
      <c r="B55" s="60"/>
      <c r="C55" s="60"/>
      <c r="D55" s="60"/>
      <c r="E55" s="60"/>
      <c r="F55" s="60"/>
      <c r="G55" s="60"/>
      <c r="H55" s="60"/>
      <c r="I55" s="60"/>
      <c r="J55" s="1"/>
      <c r="K55" s="1"/>
      <c r="L55" s="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6"/>
      <c r="B56" s="61" t="s">
        <v>59</v>
      </c>
      <c r="C56" s="62">
        <f>COUNT(A17:A54)</f>
        <v>38</v>
      </c>
      <c r="D56" s="60"/>
      <c r="E56" s="63" t="s">
        <v>60</v>
      </c>
      <c r="G56" s="63"/>
      <c r="H56" s="63" t="s">
        <v>61</v>
      </c>
      <c r="J56" s="64"/>
      <c r="K56" s="65" t="s">
        <v>62</v>
      </c>
      <c r="L56" s="66" t="s">
        <v>63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6"/>
      <c r="B57" s="67" t="s">
        <v>64</v>
      </c>
      <c r="C57" s="68">
        <f>COUNTIF(K17:K54,"BAJA")</f>
        <v>0</v>
      </c>
      <c r="D57" s="60"/>
      <c r="G57" s="63"/>
      <c r="J57" s="64"/>
      <c r="L57" s="1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6"/>
      <c r="B58" s="67" t="s">
        <v>65</v>
      </c>
      <c r="C58" s="69">
        <f>C56-C57</f>
        <v>38</v>
      </c>
      <c r="D58" s="60"/>
      <c r="E58" s="70"/>
      <c r="F58" s="70"/>
      <c r="G58" s="71"/>
      <c r="H58" s="70"/>
      <c r="I58" s="70"/>
      <c r="J58" s="72"/>
      <c r="K58" s="72"/>
      <c r="L58" s="7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6"/>
      <c r="B59" s="67" t="s">
        <v>66</v>
      </c>
      <c r="C59" s="74">
        <f>COUNTIF(K17:K54,"&gt;=6")</f>
        <v>37</v>
      </c>
      <c r="D59" s="60"/>
      <c r="E59" s="70"/>
      <c r="F59" s="70"/>
      <c r="G59" s="71"/>
      <c r="H59" s="70"/>
      <c r="I59" s="70"/>
      <c r="J59" s="72"/>
      <c r="K59" s="72"/>
      <c r="L59" s="7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6"/>
      <c r="B60" s="67" t="s">
        <v>67</v>
      </c>
      <c r="C60" s="74">
        <f>C58-C59</f>
        <v>1</v>
      </c>
      <c r="D60" s="60"/>
      <c r="E60" s="75"/>
      <c r="F60" s="75"/>
      <c r="G60" s="71"/>
      <c r="H60" s="75"/>
      <c r="I60" s="75"/>
      <c r="J60" s="72"/>
      <c r="K60" s="76"/>
      <c r="L60" s="7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6"/>
      <c r="B61" s="67" t="s">
        <v>68</v>
      </c>
      <c r="C61" s="78">
        <f>C59*100/C58</f>
        <v>97.36842105</v>
      </c>
      <c r="D61" s="60"/>
      <c r="E61" s="79" t="s">
        <v>69</v>
      </c>
      <c r="F61" s="80"/>
      <c r="G61" s="81"/>
      <c r="H61" s="82" t="s">
        <v>70</v>
      </c>
      <c r="J61" s="72"/>
      <c r="K61" s="83" t="s">
        <v>71</v>
      </c>
      <c r="L61" s="84" t="s">
        <v>72</v>
      </c>
      <c r="M61" s="8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6"/>
      <c r="B62" s="86" t="s">
        <v>73</v>
      </c>
      <c r="C62" s="87">
        <f>AVERAGE(K17:K54)</f>
        <v>9.026315789</v>
      </c>
      <c r="D62" s="60"/>
      <c r="G62" s="81"/>
      <c r="J62" s="72"/>
      <c r="L62" s="10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6"/>
      <c r="B63" s="1"/>
      <c r="C63" s="1"/>
      <c r="D63" s="1"/>
      <c r="E63" s="1"/>
      <c r="F63" s="1"/>
      <c r="G63" s="1"/>
      <c r="H63" s="1"/>
      <c r="I63" s="1"/>
      <c r="J63" s="1"/>
      <c r="K63" s="1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88"/>
      <c r="B64" s="89"/>
      <c r="C64" s="60"/>
      <c r="D64" s="60"/>
      <c r="G64" s="7"/>
      <c r="H64" s="7"/>
      <c r="I64" s="7"/>
      <c r="J64" s="7"/>
      <c r="K64" s="7"/>
      <c r="L64" s="90"/>
      <c r="M64" s="9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92"/>
      <c r="B65" s="60"/>
      <c r="C65" s="60"/>
      <c r="D65" s="7"/>
      <c r="E65" s="1"/>
      <c r="F65" s="1"/>
      <c r="G65" s="1"/>
      <c r="H65" s="1"/>
      <c r="I65" s="1"/>
      <c r="J65" s="1"/>
      <c r="K65" s="1"/>
      <c r="L65" s="8"/>
      <c r="M65" s="9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92"/>
      <c r="B66" s="60"/>
      <c r="C66" s="60"/>
      <c r="D66" s="7"/>
      <c r="E66" s="1"/>
      <c r="F66" s="1"/>
      <c r="G66" s="1"/>
      <c r="H66" s="1"/>
      <c r="I66" s="1"/>
      <c r="J66" s="1"/>
      <c r="K66" s="1"/>
      <c r="L66" s="8"/>
      <c r="M66" s="9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4"/>
      <c r="B67" s="95"/>
      <c r="C67" s="95"/>
      <c r="D67" s="96"/>
      <c r="E67" s="97"/>
      <c r="F67" s="97"/>
      <c r="G67" s="97"/>
      <c r="H67" s="97"/>
      <c r="I67" s="97"/>
      <c r="J67" s="97"/>
      <c r="K67" s="97"/>
      <c r="L67" s="98"/>
      <c r="M67" s="9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99"/>
      <c r="C68" s="99"/>
      <c r="D68" s="99"/>
      <c r="E68" s="1"/>
      <c r="F68" s="1"/>
      <c r="G68" s="1"/>
      <c r="H68" s="1"/>
      <c r="I68" s="1"/>
      <c r="J68" s="1"/>
      <c r="K68" s="100"/>
      <c r="L68" s="100"/>
      <c r="M68" s="100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99"/>
      <c r="C69" s="99"/>
      <c r="D69" s="99"/>
      <c r="E69" s="1"/>
      <c r="F69" s="1"/>
      <c r="G69" s="1"/>
      <c r="H69" s="1"/>
      <c r="I69" s="1"/>
      <c r="J69" s="1"/>
      <c r="K69" s="100"/>
      <c r="L69" s="100"/>
      <c r="M69" s="10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99"/>
      <c r="C70" s="99"/>
      <c r="D70" s="99"/>
      <c r="E70" s="1"/>
      <c r="F70" s="1"/>
      <c r="G70" s="1"/>
      <c r="H70" s="1"/>
      <c r="I70" s="1"/>
      <c r="J70" s="1"/>
      <c r="K70" s="100"/>
      <c r="L70" s="100"/>
      <c r="M70" s="10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99"/>
      <c r="C71" s="99"/>
      <c r="D71" s="99"/>
      <c r="E71" s="1"/>
      <c r="F71" s="1"/>
      <c r="G71" s="1"/>
      <c r="H71" s="1"/>
      <c r="I71" s="1"/>
      <c r="J71" s="1"/>
      <c r="K71" s="100"/>
      <c r="L71" s="100"/>
      <c r="M71" s="10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99"/>
      <c r="C72" s="99"/>
      <c r="D72" s="9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99"/>
      <c r="C73" s="99"/>
      <c r="D73" s="99"/>
      <c r="E73" s="1"/>
      <c r="F73" s="1"/>
      <c r="G73" s="1"/>
      <c r="H73" s="1"/>
      <c r="I73" s="1"/>
      <c r="J73" s="1"/>
      <c r="K73" s="1"/>
      <c r="L73" s="10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99"/>
      <c r="C74" s="99"/>
      <c r="D74" s="9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99"/>
      <c r="C75" s="99"/>
      <c r="D75" s="9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99"/>
      <c r="C76" s="99"/>
      <c r="D76" s="9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99"/>
      <c r="C77" s="99"/>
      <c r="D77" s="9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99"/>
      <c r="C78" s="99"/>
      <c r="D78" s="9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99"/>
      <c r="C79" s="99"/>
      <c r="D79" s="9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9:L9"/>
    <mergeCell ref="C10:L10"/>
    <mergeCell ref="A13:B13"/>
    <mergeCell ref="H13:H14"/>
    <mergeCell ref="I13:L14"/>
    <mergeCell ref="A14:B14"/>
    <mergeCell ref="I15:L15"/>
    <mergeCell ref="K61:K62"/>
    <mergeCell ref="L61:L62"/>
    <mergeCell ref="C15:F15"/>
    <mergeCell ref="E56:F57"/>
    <mergeCell ref="H56:I57"/>
    <mergeCell ref="K56:K57"/>
    <mergeCell ref="L56:L57"/>
    <mergeCell ref="E61:F62"/>
    <mergeCell ref="H61:I62"/>
    <mergeCell ref="D64:F64"/>
  </mergeCells>
  <conditionalFormatting sqref="B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">
    <cfRule type="cellIs" dxfId="0" priority="2" operator="equal">
      <formula>1</formula>
    </cfRule>
  </conditionalFormatting>
  <conditionalFormatting sqref="B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">
    <cfRule type="cellIs" dxfId="0" priority="4" operator="equal">
      <formula>1</formula>
    </cfRule>
  </conditionalFormatting>
  <conditionalFormatting sqref="B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">
    <cfRule type="cellIs" dxfId="0" priority="6" operator="equal">
      <formula>1</formula>
    </cfRule>
  </conditionalFormatting>
  <conditionalFormatting sqref="K17:K54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