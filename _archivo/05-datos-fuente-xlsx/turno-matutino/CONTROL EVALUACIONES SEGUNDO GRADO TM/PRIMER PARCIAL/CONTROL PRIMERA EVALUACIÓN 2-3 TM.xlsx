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pensamiento literario" sheetId="1" r:id="rId5"/>
    <sheet state="visible" name="2-3 ingles iv" sheetId="2" r:id="rId6"/>
    <sheet state="visible" name="2-3 temas selectos de matematic" sheetId="3" r:id="rId7"/>
    <sheet state="visible" name="2-3 conciencia historica i" sheetId="4" r:id="rId8"/>
    <sheet state="visible" name="2-3 taller de cultura digital" sheetId="5" r:id="rId9"/>
    <sheet state="visible" name="2-3 reacciones quimicas y conse" sheetId="6" r:id="rId10"/>
    <sheet state="visible" name="2-3 espacio y sociedad" sheetId="7" r:id="rId11"/>
    <sheet state="visible" name="2-3 ciencias sociales iii" sheetId="8" r:id="rId12"/>
    <sheet state="visible" name="2-3 comunidades virtuales" sheetId="9" r:id="rId13"/>
    <sheet state="visible" name="2-3 mantenimiento de redes de c" sheetId="10" r:id="rId14"/>
    <sheet state="visible" name="2-3 actividades artisticas y cu" sheetId="11" r:id="rId15"/>
    <sheet state="visible" name="2-3 educacion integral en sexua" sheetId="12" r:id="rId16"/>
    <sheet state="visible" name="2-3 temas selectos de igualdad " sheetId="13" r:id="rId1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  <font>
      <b/>
      <color theme="1"/>
      <name val="Gotham Book"/>
    </font>
    <font>
      <color theme="1"/>
      <name val="Arial"/>
    </font>
    <font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2" numFmtId="1" xfId="0" applyAlignment="1" applyBorder="1" applyFill="1" applyFont="1" applyNumberFormat="1">
      <alignment horizontal="left" readingOrder="0" shrinkToFit="0" wrapText="0"/>
    </xf>
    <xf borderId="23" fillId="3" fontId="12" numFmtId="0" xfId="0" applyAlignment="1" applyBorder="1" applyFont="1">
      <alignment horizontal="left" readingOrder="0" shrinkToFit="0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2" numFmtId="1" xfId="0" applyAlignment="1" applyBorder="1" applyFont="1" applyNumberFormat="1">
      <alignment horizontal="left" readingOrder="0" shrinkToFit="0" vertical="bottom" wrapText="0"/>
    </xf>
    <xf borderId="23" fillId="0" fontId="12" numFmtId="1" xfId="0" applyAlignment="1" applyBorder="1" applyFont="1" applyNumberFormat="1">
      <alignment horizontal="left" readingOrder="0" shrinkToFit="0" wrapText="0"/>
    </xf>
    <xf borderId="23" fillId="3" fontId="12" numFmtId="0" xfId="0" applyAlignment="1" applyBorder="1" applyFont="1">
      <alignment horizontal="left" readingOrder="0" shrinkToFit="0" vertical="bottom" wrapText="0"/>
    </xf>
    <xf borderId="23" fillId="3" fontId="12" numFmtId="1" xfId="0" applyAlignment="1" applyBorder="1" applyFont="1" applyNumberFormat="1">
      <alignment horizontal="left" readingOrder="0" shrinkToFit="0" vertical="bottom" wrapText="0"/>
    </xf>
    <xf borderId="23" fillId="0" fontId="12" numFmtId="1" xfId="0" applyAlignment="1" applyBorder="1" applyFont="1" applyNumberFormat="1">
      <alignment readingOrder="0" shrinkToFit="0" vertical="bottom" wrapText="0"/>
    </xf>
    <xf borderId="23" fillId="0" fontId="13" numFmtId="0" xfId="0" applyAlignment="1" applyBorder="1" applyFont="1">
      <alignment horizontal="center" readingOrder="0" vertical="center"/>
    </xf>
    <xf borderId="23" fillId="0" fontId="13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Font="1"/>
    <xf borderId="29" fillId="0" fontId="16" numFmtId="1" xfId="0" applyAlignment="1" applyBorder="1" applyFont="1" applyNumberFormat="1">
      <alignment horizontal="right" readingOrder="0" shrinkToFit="1" vertical="center" wrapText="0"/>
    </xf>
    <xf borderId="30" fillId="0" fontId="3" numFmtId="0" xfId="0" applyBorder="1" applyFont="1"/>
    <xf borderId="31" fillId="0" fontId="17" numFmtId="1" xfId="0" applyAlignment="1" applyBorder="1" applyFont="1" applyNumberFormat="1">
      <alignment shrinkToFit="1" vertical="center" wrapText="0"/>
    </xf>
    <xf borderId="0" fillId="0" fontId="18" numFmtId="16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2" fillId="0" fontId="20" numFmtId="1" xfId="0" applyAlignment="1" applyBorder="1" applyFont="1" applyNumberFormat="1">
      <alignment horizontal="right" shrinkToFit="1" vertical="center" wrapText="0"/>
    </xf>
    <xf borderId="33" fillId="0" fontId="3" numFmtId="0" xfId="0" applyBorder="1" applyFont="1"/>
    <xf borderId="34" fillId="0" fontId="17" numFmtId="1" xfId="0" applyAlignment="1" applyBorder="1" applyFont="1" applyNumberFormat="1">
      <alignment shrinkToFit="1" vertical="center" wrapText="0"/>
    </xf>
    <xf borderId="35" fillId="0" fontId="17" numFmtId="2" xfId="0" applyAlignment="1" applyBorder="1" applyFont="1" applyNumberForma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35" fillId="0" fontId="17" numFmtId="1" xfId="0" applyAlignment="1" applyBorder="1" applyFont="1" applyNumberFormat="1">
      <alignment shrinkToFit="1" vertical="center" wrapText="0"/>
    </xf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6" fillId="0" fontId="5" numFmtId="164" xfId="0" applyAlignment="1" applyBorder="1" applyFont="1" applyNumberFormat="1">
      <alignment horizontal="center" readingOrder="0" shrinkToFit="0" vertical="top" wrapText="1"/>
    </xf>
    <xf borderId="0" fillId="0" fontId="20" numFmtId="0" xfId="0" applyAlignment="1" applyFont="1">
      <alignment horizontal="center" vertical="top"/>
    </xf>
    <xf borderId="0" fillId="0" fontId="5" numFmtId="164" xfId="0" applyAlignment="1" applyFont="1" applyNumberFormat="1">
      <alignment horizontal="center" readingOrder="0" shrinkToFit="0" vertical="top" wrapText="1"/>
    </xf>
    <xf borderId="0" fillId="0" fontId="7" numFmtId="1" xfId="0" applyAlignment="1" applyFont="1" applyNumberForma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8" numFmtId="0" xfId="0" applyFont="1"/>
    <xf borderId="37" fillId="0" fontId="16" numFmtId="0" xfId="0" applyAlignment="1" applyBorder="1" applyFon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4" fontId="1" numFmtId="0" xfId="0" applyAlignment="1" applyBorder="1" applyFill="1" applyFont="1">
      <alignment vertical="center"/>
    </xf>
    <xf borderId="41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31" fillId="0" fontId="17" numFmtId="0" xfId="0" applyAlignment="1" applyBorder="1" applyFont="1">
      <alignment shrinkToFit="1" vertical="center" wrapText="0"/>
    </xf>
    <xf borderId="34" fillId="0" fontId="17" numFmtId="0" xfId="0" applyAlignment="1" applyBorder="1" applyFont="1">
      <alignment shrinkToFit="1" vertical="center" wrapText="0"/>
    </xf>
    <xf borderId="35" fillId="0" fontId="17" numFmtId="0" xfId="0" applyAlignment="1" applyBorder="1" applyFont="1">
      <alignment shrinkToFit="1" vertical="center" wrapText="0"/>
    </xf>
    <xf borderId="20" fillId="0" fontId="20" numFmtId="164" xfId="0" applyAlignment="1" applyBorder="1" applyFont="1" applyNumberFormat="1">
      <alignment shrinkToFit="1" vertical="center" wrapText="0"/>
    </xf>
    <xf borderId="8" fillId="2" fontId="5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0" fontId="11" numFmtId="0" xfId="0" applyBorder="1" applyFont="1"/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0" fillId="0" fontId="11" numFmtId="0" xfId="0" applyFont="1"/>
    <xf borderId="5" fillId="0" fontId="11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top"/>
    </xf>
    <xf borderId="0" fillId="0" fontId="2" numFmtId="0" xfId="0" applyFont="1"/>
    <xf borderId="0" fillId="0" fontId="11" numFmtId="0" xfId="0" applyFont="1"/>
    <xf borderId="6" fillId="2" fontId="24" numFmtId="0" xfId="0" applyAlignment="1" applyBorder="1" applyFont="1">
      <alignment horizontal="center"/>
    </xf>
    <xf borderId="8" fillId="2" fontId="11" numFmtId="0" xfId="0" applyBorder="1" applyFont="1"/>
    <xf borderId="9" fillId="2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wrapText="1"/>
    </xf>
    <xf borderId="11" fillId="2" fontId="4" numFmtId="9" xfId="0" applyAlignment="1" applyBorder="1" applyFont="1" applyNumberFormat="1">
      <alignment horizontal="center"/>
    </xf>
    <xf borderId="13" fillId="2" fontId="24" numFmtId="0" xfId="0" applyAlignment="1" applyBorder="1" applyFont="1">
      <alignment horizontal="center" shrinkToFit="0" wrapText="1"/>
    </xf>
    <xf borderId="14" fillId="2" fontId="24" numFmtId="0" xfId="0" applyAlignment="1" applyBorder="1" applyFont="1">
      <alignment horizontal="center" readingOrder="0" shrinkToFit="0" wrapText="1"/>
    </xf>
    <xf borderId="16" fillId="2" fontId="7" numFmtId="0" xfId="0" applyAlignment="1" applyBorder="1" applyFont="1">
      <alignment horizontal="center" shrinkToFit="0" wrapText="1"/>
    </xf>
    <xf borderId="16" fillId="2" fontId="7" numFmtId="0" xfId="0" applyBorder="1" applyFont="1"/>
    <xf borderId="22" fillId="2" fontId="24" numFmtId="0" xfId="0" applyAlignment="1" applyBorder="1" applyFont="1">
      <alignment horizontal="center"/>
    </xf>
    <xf borderId="23" fillId="2" fontId="24" numFmtId="0" xfId="0" applyAlignment="1" applyBorder="1" applyFont="1">
      <alignment horizontal="center"/>
    </xf>
    <xf borderId="15" fillId="2" fontId="24" numFmtId="0" xfId="0" applyAlignment="1" applyBorder="1" applyFont="1">
      <alignment horizontal="center"/>
    </xf>
    <xf borderId="15" fillId="2" fontId="24" numFmtId="0" xfId="0" applyAlignment="1" applyBorder="1" applyFont="1">
      <alignment horizontal="center" readingOrder="0"/>
    </xf>
    <xf borderId="18" fillId="2" fontId="11" numFmtId="0" xfId="0" applyBorder="1" applyFont="1"/>
    <xf borderId="25" fillId="2" fontId="11" numFmtId="0" xfId="0" applyBorder="1" applyFont="1"/>
    <xf borderId="22" fillId="2" fontId="25" numFmtId="0" xfId="0" applyAlignment="1" applyBorder="1" applyFont="1">
      <alignment horizontal="center"/>
    </xf>
    <xf borderId="27" fillId="2" fontId="25" numFmtId="0" xfId="0" applyAlignment="1" applyBorder="1" applyFont="1">
      <alignment horizontal="center"/>
    </xf>
    <xf borderId="23" fillId="2" fontId="11" numFmtId="0" xfId="0" applyBorder="1" applyFont="1"/>
    <xf borderId="23" fillId="2" fontId="6" numFmtId="0" xfId="0" applyAlignment="1" applyBorder="1" applyFont="1">
      <alignment horizontal="center" shrinkToFit="0" wrapText="1"/>
    </xf>
    <xf borderId="23" fillId="2" fontId="4" numFmtId="0" xfId="0" applyAlignment="1" applyBorder="1" applyFont="1">
      <alignment horizontal="center" shrinkToFit="0" wrapText="1"/>
    </xf>
    <xf borderId="28" fillId="2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1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0" fontId="11" numFmtId="0" xfId="0" applyBorder="1" applyFont="1"/>
    <xf borderId="23" fillId="2" fontId="14" numFmtId="1" xfId="0" applyAlignment="1" applyBorder="1" applyFont="1" applyNumberFormat="1">
      <alignment horizontal="center"/>
    </xf>
    <xf borderId="23" fillId="0" fontId="11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1" numFmtId="0" xfId="0" applyBorder="1" applyFont="1"/>
    <xf borderId="0" fillId="0" fontId="11" numFmtId="1" xfId="0" applyFont="1" applyNumberFormat="1"/>
    <xf borderId="0" fillId="0" fontId="11" numFmtId="164" xfId="0" applyFont="1" applyNumberFormat="1"/>
    <xf borderId="0" fillId="0" fontId="11" numFmtId="1" xfId="0" applyAlignment="1" applyFont="1" applyNumberFormat="1">
      <alignment vertical="bottom"/>
    </xf>
    <xf borderId="29" fillId="0" fontId="26" numFmtId="1" xfId="0" applyAlignment="1" applyBorder="1" applyFont="1" applyNumberFormat="1">
      <alignment horizontal="right"/>
    </xf>
    <xf borderId="31" fillId="0" fontId="17" numFmtId="0" xfId="0" applyAlignment="1" applyBorder="1" applyFont="1">
      <alignment horizontal="right"/>
    </xf>
    <xf borderId="0" fillId="0" fontId="18" numFmtId="164" xfId="0" applyAlignment="1" applyFont="1" applyNumberFormat="1">
      <alignment horizontal="center" shrinkToFit="0" wrapText="1"/>
    </xf>
    <xf borderId="0" fillId="0" fontId="19" numFmtId="1" xfId="0" applyAlignment="1" applyFont="1" applyNumberFormat="1">
      <alignment horizontal="center" shrinkToFit="0" wrapText="1"/>
    </xf>
    <xf borderId="5" fillId="0" fontId="18" numFmtId="0" xfId="0" applyAlignment="1" applyBorder="1" applyFont="1">
      <alignment horizontal="center" shrinkToFit="0" wrapText="1"/>
    </xf>
    <xf borderId="32" fillId="0" fontId="27" numFmtId="1" xfId="0" applyAlignment="1" applyBorder="1" applyFont="1" applyNumberFormat="1">
      <alignment horizontal="right"/>
    </xf>
    <xf borderId="34" fillId="0" fontId="17" numFmtId="0" xfId="0" applyAlignment="1" applyBorder="1" applyFont="1">
      <alignment horizontal="right"/>
    </xf>
    <xf borderId="35" fillId="0" fontId="17" numFmtId="0" xfId="0" applyAlignment="1" applyBorder="1" applyFont="1">
      <alignment horizontal="right"/>
    </xf>
    <xf borderId="35" fillId="0" fontId="17" numFmtId="1" xfId="0" applyAlignment="1" applyBorder="1" applyFont="1" applyNumberFormat="1">
      <alignment horizontal="right"/>
    </xf>
    <xf borderId="20" fillId="0" fontId="11" numFmtId="0" xfId="0" applyBorder="1" applyFont="1"/>
    <xf borderId="20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35" fillId="0" fontId="17" numFmtId="2" xfId="0" applyAlignment="1" applyBorder="1" applyFont="1" applyNumberFormat="1">
      <alignment horizontal="right"/>
    </xf>
    <xf borderId="36" fillId="0" fontId="24" numFmtId="164" xfId="0" applyAlignment="1" applyBorder="1" applyFont="1" applyNumberFormat="1">
      <alignment horizontal="center" shrinkToFit="0" vertical="top" wrapText="1"/>
    </xf>
    <xf borderId="0" fillId="0" fontId="24" numFmtId="164" xfId="0" applyAlignment="1" applyFont="1" applyNumberFormat="1">
      <alignment horizontal="center" shrinkToFit="0" vertical="top" wrapText="1"/>
    </xf>
    <xf borderId="0" fillId="0" fontId="7" numFmtId="1" xfId="0" applyAlignment="1" applyFont="1" applyNumberForma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37" fillId="0" fontId="26" numFmtId="0" xfId="0" applyAlignment="1" applyBorder="1" applyFont="1">
      <alignment horizontal="right"/>
    </xf>
    <xf borderId="39" fillId="0" fontId="14" numFmtId="2" xfId="0" applyAlignment="1" applyBorder="1" applyFont="1" applyNumberFormat="1">
      <alignment horizontal="right"/>
    </xf>
    <xf borderId="4" fillId="0" fontId="11" numFmtId="0" xfId="0" applyAlignment="1" applyBorder="1" applyFont="1">
      <alignment vertical="bottom"/>
    </xf>
    <xf borderId="40" fillId="3" fontId="11" numFmtId="0" xfId="0" applyBorder="1" applyFont="1"/>
    <xf borderId="41" fillId="3" fontId="11" numFmtId="0" xfId="0" applyBorder="1" applyFont="1"/>
    <xf borderId="0" fillId="3" fontId="11" numFmtId="0" xfId="0" applyFont="1"/>
    <xf borderId="0" fillId="3" fontId="11" numFmtId="1" xfId="0" applyFont="1" applyNumberFormat="1"/>
    <xf borderId="5" fillId="0" fontId="11" numFmtId="0" xfId="0" applyBorder="1" applyFont="1"/>
    <xf borderId="4" fillId="0" fontId="11" numFmtId="0" xfId="0" applyBorder="1" applyFont="1"/>
    <xf borderId="0" fillId="0" fontId="11" numFmtId="2" xfId="0" applyFont="1" applyNumberFormat="1"/>
    <xf borderId="0" fillId="0" fontId="11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42" fillId="0" fontId="11" numFmtId="0" xfId="0" applyBorder="1" applyFont="1"/>
    <xf borderId="43" fillId="0" fontId="11" numFmtId="0" xfId="0" applyBorder="1" applyFont="1"/>
    <xf borderId="43" fillId="0" fontId="11" numFmtId="2" xfId="0" applyBorder="1" applyFont="1" applyNumberFormat="1"/>
    <xf borderId="43" fillId="0" fontId="11" numFmtId="0" xfId="0" applyBorder="1" applyFont="1"/>
    <xf borderId="43" fillId="0" fontId="11" numFmtId="0" xfId="0" applyAlignment="1" applyBorder="1" applyFont="1">
      <alignment vertical="bottom"/>
    </xf>
    <xf borderId="43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bottom"/>
    </xf>
    <xf borderId="31" fillId="0" fontId="17" numFmtId="1" xfId="0" applyAlignment="1" applyBorder="1" applyFont="1" applyNumberFormat="1">
      <alignment horizontal="right"/>
    </xf>
    <xf borderId="34" fillId="0" fontId="17" numFmtId="1" xfId="0" applyAlignment="1" applyBorder="1" applyFont="1" applyNumberFormat="1">
      <alignment horizontal="right"/>
    </xf>
    <xf borderId="20" fillId="0" fontId="11" numFmtId="164" xfId="0" applyBorder="1" applyFont="1" applyNumberFormat="1"/>
    <xf borderId="20" fillId="0" fontId="11" numFmtId="1" xfId="0" applyAlignment="1" applyBorder="1" applyFont="1" applyNumberFormat="1">
      <alignment vertical="bottom"/>
    </xf>
    <xf borderId="32" fillId="0" fontId="27" numFmtId="0" xfId="0" applyAlignment="1" applyBorder="1" applyFont="1">
      <alignment horizontal="right"/>
    </xf>
    <xf borderId="36" fillId="0" fontId="24" numFmtId="0" xfId="0" applyAlignment="1" applyBorder="1" applyFont="1">
      <alignment horizontal="center" shrinkToFit="0" vertical="top" wrapText="1"/>
    </xf>
    <xf borderId="0" fillId="0" fontId="24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72</xdr:row>
      <xdr:rowOff>142875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76200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72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73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72</xdr:row>
      <xdr:rowOff>123825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74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247650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73</xdr:row>
      <xdr:rowOff>76200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238125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72</xdr:row>
      <xdr:rowOff>180975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219075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72</xdr:row>
      <xdr:rowOff>152400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71</xdr:row>
      <xdr:rowOff>190500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73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72</xdr:row>
      <xdr:rowOff>257175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IFERROR(__xludf.DUMMYFUNCTION("IMPORTRANGE(""https://docs.google.com/spreadsheets/d/1Bp_n31YOQY73dChHnRTG6fgXrhI35khhILEo81Ke6AA/edit?gid=1835546320#gid=1835546320"",""2-3 pensamiento literario!a1:q86"")"),"")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IFERROR(__xludf.DUMMYFUNCTION("""COMPUTED_VALUE"""),"IVONNE GABRIELA CEDILLO POLO")</f>
        <v>IVONNE GABRIELA CEDILLO POLO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IFERROR(__xludf.DUMMYFUNCTION("""COMPUTED_VALUE"""),"PENSAMIENTO LITERARIO")</f>
        <v>PENSAMIENTO LITERARIO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IFERROR(__xludf.DUMMYFUNCTION("""COMPUTED_VALUE"""),7.8)</f>
        <v>7.8</v>
      </c>
      <c r="F17" s="54">
        <f>IFERROR(__xludf.DUMMYFUNCTION("""COMPUTED_VALUE"""),1.4)</f>
        <v>1.4</v>
      </c>
      <c r="G17" s="55">
        <f>IFERROR(__xludf.DUMMYFUNCTION("""COMPUTED_VALUE"""),1.0)</f>
        <v>1</v>
      </c>
      <c r="H17" s="56">
        <f>IFERROR(__xludf.DUMMYFUNCTION("""COMPUTED_VALUE"""),10.2)</f>
        <v>10.2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IFERROR(__xludf.DUMMYFUNCTION("""COMPUTED_VALUE"""),7.9)</f>
        <v>7.9</v>
      </c>
      <c r="F18" s="54">
        <f>IFERROR(__xludf.DUMMYFUNCTION("""COMPUTED_VALUE"""),1.9)</f>
        <v>1.9</v>
      </c>
      <c r="G18" s="55">
        <f>IFERROR(__xludf.DUMMYFUNCTION("""COMPUTED_VALUE"""),1.0)</f>
        <v>1</v>
      </c>
      <c r="H18" s="56">
        <f>IFERROR(__xludf.DUMMYFUNCTION("""COMPUTED_VALUE"""),10.8)</f>
        <v>10.8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IFERROR(__xludf.DUMMYFUNCTION("""COMPUTED_VALUE"""),4.7)</f>
        <v>4.7</v>
      </c>
      <c r="F19" s="54">
        <f>IFERROR(__xludf.DUMMYFUNCTION("""COMPUTED_VALUE"""),1.9)</f>
        <v>1.9</v>
      </c>
      <c r="G19" s="55"/>
      <c r="H19" s="56">
        <f>IFERROR(__xludf.DUMMYFUNCTION("""COMPUTED_VALUE"""),6.6)</f>
        <v>6.6</v>
      </c>
      <c r="I19" s="57">
        <f>IFERROR(__xludf.DUMMYFUNCTION("""COMPUTED_VALUE"""),0.0)</f>
        <v>0</v>
      </c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IFERROR(__xludf.DUMMYFUNCTION("""COMPUTED_VALUE"""),7.3)</f>
        <v>7.3</v>
      </c>
      <c r="F20" s="54">
        <f>IFERROR(__xludf.DUMMYFUNCTION("""COMPUTED_VALUE"""),1.0)</f>
        <v>1</v>
      </c>
      <c r="G20" s="55"/>
      <c r="H20" s="56">
        <f>IFERROR(__xludf.DUMMYFUNCTION("""COMPUTED_VALUE"""),8.3)</f>
        <v>8.3</v>
      </c>
      <c r="I20" s="57">
        <f>IFERROR(__xludf.DUMMYFUNCTION("""COMPUTED_VALUE"""),0.0)</f>
        <v>0</v>
      </c>
      <c r="J20" s="58">
        <f>IFERROR(__xludf.DUMMYFUNCTION("""COMPUTED_VALUE"""),8.0)</f>
        <v>8</v>
      </c>
      <c r="K20" s="51"/>
      <c r="L20" s="60">
        <f>IFERROR(__xludf.DUMMYFUNCTION("""COMPUTED_VALUE"""),8.0)</f>
        <v>8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IFERROR(__xludf.DUMMYFUNCTION("""COMPUTED_VALUE"""),"ANGELES")</f>
        <v>ANGELES</v>
      </c>
      <c r="C21" s="62" t="str">
        <f>IFERROR(__xludf.DUMMYFUNCTION("""COMPUTED_VALUE"""),"GARCIA")</f>
        <v>GARCIA</v>
      </c>
      <c r="D21" s="63" t="str">
        <f>IFERROR(__xludf.DUMMYFUNCTION("""COMPUTED_VALUE"""),"RODRIGO HABBIBE")</f>
        <v>RODRIGO HABBIBE</v>
      </c>
      <c r="E21" s="54"/>
      <c r="F21" s="54"/>
      <c r="G21" s="55"/>
      <c r="H21" s="56">
        <f>IFERROR(__xludf.DUMMYFUNCTION("""COMPUTED_VALUE"""),0.0)</f>
        <v>0</v>
      </c>
      <c r="I21" s="57">
        <f>IFERROR(__xludf.DUMMYFUNCTION("""COMPUTED_VALUE"""),0.0)</f>
        <v>0</v>
      </c>
      <c r="J21" s="58">
        <f>IFERROR(__xludf.DUMMYFUNCTION("""COMPUTED_VALUE"""),5.0)</f>
        <v>5</v>
      </c>
      <c r="K21" s="51"/>
      <c r="L21" s="60">
        <f>IFERROR(__xludf.DUMMYFUNCTION("""COMPUTED_VALUE"""),0.0)</f>
        <v>0</v>
      </c>
      <c r="M21" s="1" t="str">
        <f>IFERROR(__xludf.DUMMYFUNCTION("""COMPUTED_VALUE"""),"Mayo")</f>
        <v>Mayo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IFERROR(__xludf.DUMMYFUNCTION("""COMPUTED_VALUE"""),"ARECHAVALA")</f>
        <v>ARECHAVALA</v>
      </c>
      <c r="C22" s="62" t="str">
        <f>IFERROR(__xludf.DUMMYFUNCTION("""COMPUTED_VALUE"""),"ESPARZA")</f>
        <v>ESPARZA</v>
      </c>
      <c r="D22" s="63" t="str">
        <f>IFERROR(__xludf.DUMMYFUNCTION("""COMPUTED_VALUE"""),"REGINA")</f>
        <v>REGINA</v>
      </c>
      <c r="E22" s="54">
        <f>IFERROR(__xludf.DUMMYFUNCTION("""COMPUTED_VALUE"""),7.2)</f>
        <v>7.2</v>
      </c>
      <c r="F22" s="54">
        <f>IFERROR(__xludf.DUMMYFUNCTION("""COMPUTED_VALUE"""),1.3)</f>
        <v>1.3</v>
      </c>
      <c r="G22" s="55"/>
      <c r="H22" s="56">
        <f>IFERROR(__xludf.DUMMYFUNCTION("""COMPUTED_VALUE"""),8.5)</f>
        <v>8.5</v>
      </c>
      <c r="I22" s="57">
        <f>IFERROR(__xludf.DUMMYFUNCTION("""COMPUTED_VALUE"""),0.0)</f>
        <v>0</v>
      </c>
      <c r="J22" s="58">
        <f>IFERROR(__xludf.DUMMYFUNCTION("""COMPUTED_VALUE"""),9.0)</f>
        <v>9</v>
      </c>
      <c r="K22" s="51"/>
      <c r="L22" s="60">
        <f>IFERROR(__xludf.DUMMYFUNCTION("""COMPUTED_VALUE"""),9.0)</f>
        <v>9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IFERROR(__xludf.DUMMYFUNCTION("""COMPUTED_VALUE"""),"BOSQUES")</f>
        <v>BOSQUES</v>
      </c>
      <c r="C23" s="62" t="str">
        <f>IFERROR(__xludf.DUMMYFUNCTION("""COMPUTED_VALUE"""),"CONDE")</f>
        <v>CONDE</v>
      </c>
      <c r="D23" s="63" t="str">
        <f>IFERROR(__xludf.DUMMYFUNCTION("""COMPUTED_VALUE"""),"LUIS ABRAHAM")</f>
        <v>LUIS ABRAHAM</v>
      </c>
      <c r="E23" s="54">
        <f>IFERROR(__xludf.DUMMYFUNCTION("""COMPUTED_VALUE"""),1.8)</f>
        <v>1.8</v>
      </c>
      <c r="F23" s="54">
        <f>IFERROR(__xludf.DUMMYFUNCTION("""COMPUTED_VALUE"""),1.9)</f>
        <v>1.9</v>
      </c>
      <c r="G23" s="55"/>
      <c r="H23" s="56">
        <f>IFERROR(__xludf.DUMMYFUNCTION("""COMPUTED_VALUE"""),3.7)</f>
        <v>3.7</v>
      </c>
      <c r="I23" s="57">
        <f>IFERROR(__xludf.DUMMYFUNCTION("""COMPUTED_VALUE"""),0.0)</f>
        <v>0</v>
      </c>
      <c r="J23" s="58">
        <f>IFERROR(__xludf.DUMMYFUNCTION("""COMPUTED_VALUE"""),5.0)</f>
        <v>5</v>
      </c>
      <c r="K23" s="51"/>
      <c r="L23" s="60">
        <f>IFERROR(__xludf.DUMMYFUNCTION("""COMPUTED_VALUE"""),3.0)</f>
        <v>3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IFERROR(__xludf.DUMMYFUNCTION("""COMPUTED_VALUE"""),"CARRILLO")</f>
        <v>CARRILLO</v>
      </c>
      <c r="C24" s="62" t="str">
        <f>IFERROR(__xludf.DUMMYFUNCTION("""COMPUTED_VALUE"""),"CARBAJAL")</f>
        <v>CARBAJAL</v>
      </c>
      <c r="D24" s="63" t="str">
        <f>IFERROR(__xludf.DUMMYFUNCTION("""COMPUTED_VALUE"""),"DANIEL ALEXIS")</f>
        <v>DANIEL ALEXIS</v>
      </c>
      <c r="E24" s="55">
        <f>IFERROR(__xludf.DUMMYFUNCTION("""COMPUTED_VALUE"""),7.7)</f>
        <v>7.7</v>
      </c>
      <c r="F24" s="54">
        <f>IFERROR(__xludf.DUMMYFUNCTION("""COMPUTED_VALUE"""),1.5)</f>
        <v>1.5</v>
      </c>
      <c r="G24" s="55"/>
      <c r="H24" s="56">
        <f>IFERROR(__xludf.DUMMYFUNCTION("""COMPUTED_VALUE"""),9.2)</f>
        <v>9.2</v>
      </c>
      <c r="I24" s="57">
        <f>IFERROR(__xludf.DUMMYFUNCTION("""COMPUTED_VALUE"""),0.0)</f>
        <v>0</v>
      </c>
      <c r="J24" s="58">
        <f>IFERROR(__xludf.DUMMYFUNCTION("""COMPUTED_VALUE"""),9.0)</f>
        <v>9</v>
      </c>
      <c r="K24" s="51"/>
      <c r="L24" s="60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IFERROR(__xludf.DUMMYFUNCTION("""COMPUTED_VALUE"""),58.0)</f>
        <v>58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IFERROR(__xludf.DUMMYFUNCTION("""COMPUTED_VALUE"""),"CASTILLO")</f>
        <v>CASTILLO</v>
      </c>
      <c r="C25" s="62" t="str">
        <f>IFERROR(__xludf.DUMMYFUNCTION("""COMPUTED_VALUE"""),"REYES")</f>
        <v>REYES</v>
      </c>
      <c r="D25" s="63" t="str">
        <f>IFERROR(__xludf.DUMMYFUNCTION("""COMPUTED_VALUE"""),"GUSTAVO JULIAN")</f>
        <v>GUSTAVO JULIAN</v>
      </c>
      <c r="E25" s="54">
        <f>IFERROR(__xludf.DUMMYFUNCTION("""COMPUTED_VALUE"""),4.6)</f>
        <v>4.6</v>
      </c>
      <c r="F25" s="54">
        <f>IFERROR(__xludf.DUMMYFUNCTION("""COMPUTED_VALUE"""),1.9)</f>
        <v>1.9</v>
      </c>
      <c r="G25" s="55"/>
      <c r="H25" s="56">
        <f>IFERROR(__xludf.DUMMYFUNCTION("""COMPUTED_VALUE"""),6.5)</f>
        <v>6.5</v>
      </c>
      <c r="I25" s="57">
        <f>IFERROR(__xludf.DUMMYFUNCTION("""COMPUTED_VALUE"""),0.0)</f>
        <v>0</v>
      </c>
      <c r="J25" s="58">
        <f>IFERROR(__xludf.DUMMYFUNCTION("""COMPUTED_VALUE"""),7.0)</f>
        <v>7</v>
      </c>
      <c r="K25" s="51"/>
      <c r="L25" s="60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IFERROR(__xludf.DUMMYFUNCTION("""COMPUTED_VALUE"""),"CERDA")</f>
        <v>CERDA</v>
      </c>
      <c r="C26" s="62" t="str">
        <f>IFERROR(__xludf.DUMMYFUNCTION("""COMPUTED_VALUE"""),"TOVAR")</f>
        <v>TOVAR</v>
      </c>
      <c r="D26" s="63" t="str">
        <f>IFERROR(__xludf.DUMMYFUNCTION("""COMPUTED_VALUE"""),"ANGEL JORELL")</f>
        <v>ANGEL JORELL</v>
      </c>
      <c r="E26" s="55">
        <f>IFERROR(__xludf.DUMMYFUNCTION("""COMPUTED_VALUE"""),7.6)</f>
        <v>7.6</v>
      </c>
      <c r="F26" s="54">
        <f>IFERROR(__xludf.DUMMYFUNCTION("""COMPUTED_VALUE"""),1.7)</f>
        <v>1.7</v>
      </c>
      <c r="G26" s="55">
        <f>IFERROR(__xludf.DUMMYFUNCTION("""COMPUTED_VALUE"""),1.0)</f>
        <v>1</v>
      </c>
      <c r="H26" s="56">
        <f>IFERROR(__xludf.DUMMYFUNCTION("""COMPUTED_VALUE"""),10.299999999999999)</f>
        <v>10.3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IFERROR(__xludf.DUMMYFUNCTION("""COMPUTED_VALUE"""),"CERVANTES")</f>
        <v>CERVANTES</v>
      </c>
      <c r="C27" s="62" t="str">
        <f>IFERROR(__xludf.DUMMYFUNCTION("""COMPUTED_VALUE"""),"CRISOSTOMO")</f>
        <v>CRISOSTOMO</v>
      </c>
      <c r="D27" s="64" t="str">
        <f>IFERROR(__xludf.DUMMYFUNCTION("""COMPUTED_VALUE"""),"SANTIAGO DAVID")</f>
        <v>SANTIAGO DAVID</v>
      </c>
      <c r="E27" s="54">
        <f>IFERROR(__xludf.DUMMYFUNCTION("""COMPUTED_VALUE"""),7.3)</f>
        <v>7.3</v>
      </c>
      <c r="F27" s="54">
        <f>IFERROR(__xludf.DUMMYFUNCTION("""COMPUTED_VALUE"""),1.5)</f>
        <v>1.5</v>
      </c>
      <c r="G27" s="55"/>
      <c r="H27" s="56">
        <f>IFERROR(__xludf.DUMMYFUNCTION("""COMPUTED_VALUE"""),8.8)</f>
        <v>8.8</v>
      </c>
      <c r="I27" s="57">
        <f>IFERROR(__xludf.DUMMYFUNCTION("""COMPUTED_VALUE"""),0.0)</f>
        <v>0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IFERROR(__xludf.DUMMYFUNCTION("""COMPUTED_VALUE"""),"CORTEZ")</f>
        <v>CORTEZ</v>
      </c>
      <c r="C28" s="62" t="str">
        <f>IFERROR(__xludf.DUMMYFUNCTION("""COMPUTED_VALUE"""),"BAUTISTA")</f>
        <v>BAUTISTA</v>
      </c>
      <c r="D28" s="63" t="str">
        <f>IFERROR(__xludf.DUMMYFUNCTION("""COMPUTED_VALUE"""),"KAREN")</f>
        <v>KAREN</v>
      </c>
      <c r="E28" s="54">
        <f>IFERROR(__xludf.DUMMYFUNCTION("""COMPUTED_VALUE"""),6.9)</f>
        <v>6.9</v>
      </c>
      <c r="F28" s="54">
        <f>IFERROR(__xludf.DUMMYFUNCTION("""COMPUTED_VALUE"""),1.0)</f>
        <v>1</v>
      </c>
      <c r="G28" s="55"/>
      <c r="H28" s="56">
        <f>IFERROR(__xludf.DUMMYFUNCTION("""COMPUTED_VALUE"""),7.9)</f>
        <v>7.9</v>
      </c>
      <c r="I28" s="57">
        <f>IFERROR(__xludf.DUMMYFUNCTION("""COMPUTED_VALUE"""),0.0)</f>
        <v>0</v>
      </c>
      <c r="J28" s="58">
        <f>IFERROR(__xludf.DUMMYFUNCTION("""COMPUTED_VALUE"""),8.0)</f>
        <v>8</v>
      </c>
      <c r="K28" s="51"/>
      <c r="L28" s="60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IFERROR(__xludf.DUMMYFUNCTION("""COMPUTED_VALUE"""),"DALVEZ")</f>
        <v>DALVEZ</v>
      </c>
      <c r="C29" s="62" t="str">
        <f>IFERROR(__xludf.DUMMYFUNCTION("""COMPUTED_VALUE"""),"PEÑA")</f>
        <v>PEÑA</v>
      </c>
      <c r="D29" s="63" t="str">
        <f>IFERROR(__xludf.DUMMYFUNCTION("""COMPUTED_VALUE"""),"SANTIAGO")</f>
        <v>SANTIAGO</v>
      </c>
      <c r="E29" s="54">
        <f>IFERROR(__xludf.DUMMYFUNCTION("""COMPUTED_VALUE"""),5.0)</f>
        <v>5</v>
      </c>
      <c r="F29" s="54">
        <f>IFERROR(__xludf.DUMMYFUNCTION("""COMPUTED_VALUE"""),1.5)</f>
        <v>1.5</v>
      </c>
      <c r="G29" s="55"/>
      <c r="H29" s="56">
        <f>IFERROR(__xludf.DUMMYFUNCTION("""COMPUTED_VALUE"""),6.5)</f>
        <v>6.5</v>
      </c>
      <c r="I29" s="57">
        <f>IFERROR(__xludf.DUMMYFUNCTION("""COMPUTED_VALUE"""),0.0)</f>
        <v>0</v>
      </c>
      <c r="J29" s="58">
        <f>IFERROR(__xludf.DUMMYFUNCTION("""COMPUTED_VALUE"""),7.0)</f>
        <v>7</v>
      </c>
      <c r="K29" s="51"/>
      <c r="L29" s="60">
        <f>IFERROR(__xludf.DUMMYFUNCTION("""COMPUTED_VALUE"""),7.0)</f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IFERROR(__xludf.DUMMYFUNCTION("""COMPUTED_VALUE"""),"ESCAMILLA")</f>
        <v>ESCAMILLA</v>
      </c>
      <c r="C30" s="62" t="str">
        <f>IFERROR(__xludf.DUMMYFUNCTION("""COMPUTED_VALUE"""),"ESTRADA")</f>
        <v>ESTRADA</v>
      </c>
      <c r="D30" s="63" t="str">
        <f>IFERROR(__xludf.DUMMYFUNCTION("""COMPUTED_VALUE"""),"JOSUE ALEJANDRO")</f>
        <v>JOSUE ALEJANDRO</v>
      </c>
      <c r="E30" s="55">
        <f>IFERROR(__xludf.DUMMYFUNCTION("""COMPUTED_VALUE"""),7.9)</f>
        <v>7.9</v>
      </c>
      <c r="F30" s="54">
        <f>IFERROR(__xludf.DUMMYFUNCTION("""COMPUTED_VALUE"""),1.5)</f>
        <v>1.5</v>
      </c>
      <c r="G30" s="55"/>
      <c r="H30" s="56">
        <f>IFERROR(__xludf.DUMMYFUNCTION("""COMPUTED_VALUE"""),9.4)</f>
        <v>9.4</v>
      </c>
      <c r="I30" s="57">
        <f>IFERROR(__xludf.DUMMYFUNCTION("""COMPUTED_VALUE"""),0.0)</f>
        <v>0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IFERROR(__xludf.DUMMYFUNCTION("""COMPUTED_VALUE"""),"FLORES")</f>
        <v>FLORES</v>
      </c>
      <c r="C31" s="62" t="str">
        <f>IFERROR(__xludf.DUMMYFUNCTION("""COMPUTED_VALUE"""),"FLORES")</f>
        <v>FLORES</v>
      </c>
      <c r="D31" s="63" t="str">
        <f>IFERROR(__xludf.DUMMYFUNCTION("""COMPUTED_VALUE"""),"YESID XIMENA")</f>
        <v>YESID XIMENA</v>
      </c>
      <c r="E31" s="55">
        <f>IFERROR(__xludf.DUMMYFUNCTION("""COMPUTED_VALUE"""),6.0)</f>
        <v>6</v>
      </c>
      <c r="F31" s="54">
        <f>IFERROR(__xludf.DUMMYFUNCTION("""COMPUTED_VALUE"""),1.6)</f>
        <v>1.6</v>
      </c>
      <c r="G31" s="55"/>
      <c r="H31" s="56">
        <f>IFERROR(__xludf.DUMMYFUNCTION("""COMPUTED_VALUE"""),7.6)</f>
        <v>7.6</v>
      </c>
      <c r="I31" s="57">
        <f>IFERROR(__xludf.DUMMYFUNCTION("""COMPUTED_VALUE"""),0.0)</f>
        <v>0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IFERROR(__xludf.DUMMYFUNCTION("""COMPUTED_VALUE"""),"MARTINEZ")</f>
        <v>MARTINEZ</v>
      </c>
      <c r="D32" s="63" t="str">
        <f>IFERROR(__xludf.DUMMYFUNCTION("""COMPUTED_VALUE"""),"LEONARDO")</f>
        <v>LEONARDO</v>
      </c>
      <c r="E32" s="54">
        <f>IFERROR(__xludf.DUMMYFUNCTION("""COMPUTED_VALUE"""),7.3)</f>
        <v>7.3</v>
      </c>
      <c r="F32" s="54">
        <f>IFERROR(__xludf.DUMMYFUNCTION("""COMPUTED_VALUE"""),1.6)</f>
        <v>1.6</v>
      </c>
      <c r="G32" s="55"/>
      <c r="H32" s="56">
        <f>IFERROR(__xludf.DUMMYFUNCTION("""COMPUTED_VALUE"""),8.9)</f>
        <v>8.9</v>
      </c>
      <c r="I32" s="57">
        <f>IFERROR(__xludf.DUMMYFUNCTION("""COMPUTED_VALUE"""),0.0)</f>
        <v>0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IFERROR(__xludf.DUMMYFUNCTION("""COMPUTED_VALUE"""),"MENESES")</f>
        <v>MENESES</v>
      </c>
      <c r="D33" s="63" t="str">
        <f>IFERROR(__xludf.DUMMYFUNCTION("""COMPUTED_VALUE"""),"SAMANTHA MABEL")</f>
        <v>SAMANTHA MABEL</v>
      </c>
      <c r="E33" s="54">
        <f>IFERROR(__xludf.DUMMYFUNCTION("""COMPUTED_VALUE"""),2.4)</f>
        <v>2.4</v>
      </c>
      <c r="F33" s="54">
        <f>IFERROR(__xludf.DUMMYFUNCTION("""COMPUTED_VALUE"""),1.5)</f>
        <v>1.5</v>
      </c>
      <c r="G33" s="55"/>
      <c r="H33" s="56">
        <f>IFERROR(__xludf.DUMMYFUNCTION("""COMPUTED_VALUE"""),3.9)</f>
        <v>3.9</v>
      </c>
      <c r="I33" s="57">
        <f>IFERROR(__xludf.DUMMYFUNCTION("""COMPUTED_VALUE"""),3.0)</f>
        <v>3</v>
      </c>
      <c r="J33" s="58">
        <f>IFERROR(__xludf.DUMMYFUNCTION("""COMPUTED_VALUE"""),5.0)</f>
        <v>5</v>
      </c>
      <c r="K33" s="51"/>
      <c r="L33" s="60">
        <f>IFERROR(__xludf.DUMMYFUNCTION("""COMPUTED_VALUE"""),3.0)</f>
        <v>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IFERROR(__xludf.DUMMYFUNCTION("""COMPUTED_VALUE"""),"GOMEZ")</f>
        <v>GOMEZ</v>
      </c>
      <c r="C34" s="62" t="str">
        <f>IFERROR(__xludf.DUMMYFUNCTION("""COMPUTED_VALUE"""),"PAREDES")</f>
        <v>PAREDES</v>
      </c>
      <c r="D34" s="63" t="str">
        <f>IFERROR(__xludf.DUMMYFUNCTION("""COMPUTED_VALUE"""),"URIEL")</f>
        <v>URIEL</v>
      </c>
      <c r="E34" s="55">
        <f>IFERROR(__xludf.DUMMYFUNCTION("""COMPUTED_VALUE"""),7.8)</f>
        <v>7.8</v>
      </c>
      <c r="F34" s="54">
        <f>IFERROR(__xludf.DUMMYFUNCTION("""COMPUTED_VALUE"""),1.0)</f>
        <v>1</v>
      </c>
      <c r="G34" s="55"/>
      <c r="H34" s="56">
        <f>IFERROR(__xludf.DUMMYFUNCTION("""COMPUTED_VALUE"""),8.8)</f>
        <v>8.8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IFERROR(__xludf.DUMMYFUNCTION("""COMPUTED_VALUE"""),"GONZALEZ")</f>
        <v>GONZALEZ</v>
      </c>
      <c r="C35" s="62" t="str">
        <f>IFERROR(__xludf.DUMMYFUNCTION("""COMPUTED_VALUE"""),"SANCHEZ")</f>
        <v>SANCHEZ</v>
      </c>
      <c r="D35" s="63" t="str">
        <f>IFERROR(__xludf.DUMMYFUNCTION("""COMPUTED_VALUE"""),"FERNANDA ANTONIETA")</f>
        <v>FERNANDA ANTONIETA</v>
      </c>
      <c r="E35" s="54">
        <f>IFERROR(__xludf.DUMMYFUNCTION("""COMPUTED_VALUE"""),4.1)</f>
        <v>4.1</v>
      </c>
      <c r="F35" s="54">
        <f>IFERROR(__xludf.DUMMYFUNCTION("""COMPUTED_VALUE"""),1.9)</f>
        <v>1.9</v>
      </c>
      <c r="G35" s="55">
        <f>IFERROR(__xludf.DUMMYFUNCTION("""COMPUTED_VALUE"""),1.0)</f>
        <v>1</v>
      </c>
      <c r="H35" s="56">
        <f>IFERROR(__xludf.DUMMYFUNCTION("""COMPUTED_VALUE"""),7.0)</f>
        <v>7</v>
      </c>
      <c r="I35" s="57">
        <f>IFERROR(__xludf.DUMMYFUNCTION("""COMPUTED_VALUE"""),0.0)</f>
        <v>0</v>
      </c>
      <c r="J35" s="58">
        <f>IFERROR(__xludf.DUMMYFUNCTION("""COMPUTED_VALUE"""),7.0)</f>
        <v>7</v>
      </c>
      <c r="K35" s="51"/>
      <c r="L35" s="60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IFERROR(__xludf.DUMMYFUNCTION("""COMPUTED_VALUE"""),"GUERRERO")</f>
        <v>GUERRERO</v>
      </c>
      <c r="C36" s="62" t="str">
        <f>IFERROR(__xludf.DUMMYFUNCTION("""COMPUTED_VALUE"""),"ALVAREZ")</f>
        <v>ALVAREZ</v>
      </c>
      <c r="D36" s="63" t="str">
        <f>IFERROR(__xludf.DUMMYFUNCTION("""COMPUTED_VALUE"""),"MELINA MONSERRAT")</f>
        <v>MELINA MONSERRAT</v>
      </c>
      <c r="E36" s="54">
        <f>IFERROR(__xludf.DUMMYFUNCTION("""COMPUTED_VALUE"""),7.9)</f>
        <v>7.9</v>
      </c>
      <c r="F36" s="54">
        <f>IFERROR(__xludf.DUMMYFUNCTION("""COMPUTED_VALUE"""),1.7)</f>
        <v>1.7</v>
      </c>
      <c r="G36" s="55"/>
      <c r="H36" s="56">
        <f>IFERROR(__xludf.DUMMYFUNCTION("""COMPUTED_VALUE"""),9.6)</f>
        <v>9.6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IFERROR(__xludf.DUMMYFUNCTION("""COMPUTED_VALUE"""),"CHIMAL")</f>
        <v>CHIMAL</v>
      </c>
      <c r="D37" s="63" t="str">
        <f>IFERROR(__xludf.DUMMYFUNCTION("""COMPUTED_VALUE"""),"SAYURI DENISSE")</f>
        <v>SAYURI DENISSE</v>
      </c>
      <c r="E37" s="55">
        <f>IFERROR(__xludf.DUMMYFUNCTION("""COMPUTED_VALUE"""),6.7)</f>
        <v>6.7</v>
      </c>
      <c r="F37" s="54">
        <f>IFERROR(__xludf.DUMMYFUNCTION("""COMPUTED_VALUE"""),1.9)</f>
        <v>1.9</v>
      </c>
      <c r="G37" s="55">
        <f>IFERROR(__xludf.DUMMYFUNCTION("""COMPUTED_VALUE"""),1.0)</f>
        <v>1</v>
      </c>
      <c r="H37" s="56">
        <f>IFERROR(__xludf.DUMMYFUNCTION("""COMPUTED_VALUE"""),9.6)</f>
        <v>9.6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IFERROR(__xludf.DUMMYFUNCTION("""COMPUTED_VALUE"""),"GUTIERREZ")</f>
        <v>GUTIERREZ</v>
      </c>
      <c r="C38" s="62" t="str">
        <f>IFERROR(__xludf.DUMMYFUNCTION("""COMPUTED_VALUE"""),"GARCIA")</f>
        <v>GARCIA</v>
      </c>
      <c r="D38" s="63" t="str">
        <f>IFERROR(__xludf.DUMMYFUNCTION("""COMPUTED_VALUE"""),"XIMENA")</f>
        <v>XIMENA</v>
      </c>
      <c r="E38" s="54">
        <f>IFERROR(__xludf.DUMMYFUNCTION("""COMPUTED_VALUE"""),3.3)</f>
        <v>3.3</v>
      </c>
      <c r="F38" s="54">
        <f>IFERROR(__xludf.DUMMYFUNCTION("""COMPUTED_VALUE"""),1.7)</f>
        <v>1.7</v>
      </c>
      <c r="G38" s="55"/>
      <c r="H38" s="56">
        <f>IFERROR(__xludf.DUMMYFUNCTION("""COMPUTED_VALUE"""),5.0)</f>
        <v>5</v>
      </c>
      <c r="I38" s="57">
        <f>IFERROR(__xludf.DUMMYFUNCTION("""COMPUTED_VALUE"""),0.0)</f>
        <v>0</v>
      </c>
      <c r="J38" s="58">
        <f>IFERROR(__xludf.DUMMYFUNCTION("""COMPUTED_VALUE"""),5.0)</f>
        <v>5</v>
      </c>
      <c r="K38" s="51"/>
      <c r="L38" s="60">
        <f>IFERROR(__xludf.DUMMYFUNCTION("""COMPUTED_VALUE"""),5.0)</f>
        <v>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IFERROR(__xludf.DUMMYFUNCTION("""COMPUTED_VALUE"""),"HERNANDEZ")</f>
        <v>HERNANDEZ</v>
      </c>
      <c r="C39" s="62" t="str">
        <f>IFERROR(__xludf.DUMMYFUNCTION("""COMPUTED_VALUE"""),"BOLAÑOS")</f>
        <v>BOLAÑOS</v>
      </c>
      <c r="D39" s="63" t="str">
        <f>IFERROR(__xludf.DUMMYFUNCTION("""COMPUTED_VALUE"""),"CAMILA")</f>
        <v>CAMILA</v>
      </c>
      <c r="E39" s="54">
        <f>IFERROR(__xludf.DUMMYFUNCTION("""COMPUTED_VALUE"""),4.7)</f>
        <v>4.7</v>
      </c>
      <c r="F39" s="54">
        <f>IFERROR(__xludf.DUMMYFUNCTION("""COMPUTED_VALUE"""),1.9)</f>
        <v>1.9</v>
      </c>
      <c r="G39" s="55"/>
      <c r="H39" s="56">
        <f>IFERROR(__xludf.DUMMYFUNCTION("""COMPUTED_VALUE"""),6.6)</f>
        <v>6.6</v>
      </c>
      <c r="I39" s="57">
        <f>IFERROR(__xludf.DUMMYFUNCTION("""COMPUTED_VALUE"""),0.0)</f>
        <v>0</v>
      </c>
      <c r="J39" s="58">
        <f>IFERROR(__xludf.DUMMYFUNCTION("""COMPUTED_VALUE"""),7.0)</f>
        <v>7</v>
      </c>
      <c r="K39" s="51"/>
      <c r="L39" s="60">
        <f>IFERROR(__xludf.DUMMYFUNCTION("""COMPUTED_VALUE"""),7.0)</f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IFERROR(__xludf.DUMMYFUNCTION("""COMPUTED_VALUE"""),"JIMENEZ")</f>
        <v>JIMENEZ</v>
      </c>
      <c r="C40" s="62" t="str">
        <f>IFERROR(__xludf.DUMMYFUNCTION("""COMPUTED_VALUE"""),"GOMEZ")</f>
        <v>GOMEZ</v>
      </c>
      <c r="D40" s="63" t="str">
        <f>IFERROR(__xludf.DUMMYFUNCTION("""COMPUTED_VALUE"""),"LAURA REGINA")</f>
        <v>LAURA REGINA</v>
      </c>
      <c r="E40" s="54">
        <f>IFERROR(__xludf.DUMMYFUNCTION("""COMPUTED_VALUE"""),3.7)</f>
        <v>3.7</v>
      </c>
      <c r="F40" s="54">
        <f>IFERROR(__xludf.DUMMYFUNCTION("""COMPUTED_VALUE"""),1.9)</f>
        <v>1.9</v>
      </c>
      <c r="G40" s="55"/>
      <c r="H40" s="56">
        <f>IFERROR(__xludf.DUMMYFUNCTION("""COMPUTED_VALUE"""),5.6)</f>
        <v>5.6</v>
      </c>
      <c r="I40" s="57">
        <f>IFERROR(__xludf.DUMMYFUNCTION("""COMPUTED_VALUE"""),5.0)</f>
        <v>5</v>
      </c>
      <c r="J40" s="58">
        <f>IFERROR(__xludf.DUMMYFUNCTION("""COMPUTED_VALUE"""),5.0)</f>
        <v>5</v>
      </c>
      <c r="K40" s="51"/>
      <c r="L40" s="60">
        <f>IFERROR(__xludf.DUMMYFUNCTION("""COMPUTED_VALUE"""),5.0)</f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IFERROR(__xludf.DUMMYFUNCTION("""COMPUTED_VALUE"""),"LOPEZ")</f>
        <v>LOPEZ</v>
      </c>
      <c r="C41" s="62" t="str">
        <f>IFERROR(__xludf.DUMMYFUNCTION("""COMPUTED_VALUE"""),"TORRES")</f>
        <v>TORRES</v>
      </c>
      <c r="D41" s="63" t="str">
        <f>IFERROR(__xludf.DUMMYFUNCTION("""COMPUTED_VALUE"""),"HECTOR DANIEL")</f>
        <v>HECTOR DANIEL</v>
      </c>
      <c r="E41" s="54">
        <f>IFERROR(__xludf.DUMMYFUNCTION("""COMPUTED_VALUE"""),3.6)</f>
        <v>3.6</v>
      </c>
      <c r="F41" s="54">
        <f>IFERROR(__xludf.DUMMYFUNCTION("""COMPUTED_VALUE"""),1.7)</f>
        <v>1.7</v>
      </c>
      <c r="G41" s="55"/>
      <c r="H41" s="56">
        <f>IFERROR(__xludf.DUMMYFUNCTION("""COMPUTED_VALUE"""),5.3)</f>
        <v>5.3</v>
      </c>
      <c r="I41" s="57">
        <f>IFERROR(__xludf.DUMMYFUNCTION("""COMPUTED_VALUE"""),0.0)</f>
        <v>0</v>
      </c>
      <c r="J41" s="58">
        <f>IFERROR(__xludf.DUMMYFUNCTION("""COMPUTED_VALUE"""),5.0)</f>
        <v>5</v>
      </c>
      <c r="K41" s="51"/>
      <c r="L41" s="60">
        <f>IFERROR(__xludf.DUMMYFUNCTION("""COMPUTED_VALUE"""),5.0)</f>
        <v>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IFERROR(__xludf.DUMMYFUNCTION("""COMPUTED_VALUE"""),"ESPINOZA")</f>
        <v>ESPINOZA</v>
      </c>
      <c r="D42" s="63" t="str">
        <f>IFERROR(__xludf.DUMMYFUNCTION("""COMPUTED_VALUE"""),"NAXHELI")</f>
        <v>NAXHELI</v>
      </c>
      <c r="E42" s="54">
        <f>IFERROR(__xludf.DUMMYFUNCTION("""COMPUTED_VALUE"""),4.7)</f>
        <v>4.7</v>
      </c>
      <c r="F42" s="54">
        <f>IFERROR(__xludf.DUMMYFUNCTION("""COMPUTED_VALUE"""),1.7)</f>
        <v>1.7</v>
      </c>
      <c r="G42" s="55">
        <f>IFERROR(__xludf.DUMMYFUNCTION("""COMPUTED_VALUE"""),1.0)</f>
        <v>1</v>
      </c>
      <c r="H42" s="56">
        <f>IFERROR(__xludf.DUMMYFUNCTION("""COMPUTED_VALUE"""),7.4)</f>
        <v>7.4</v>
      </c>
      <c r="I42" s="57">
        <f>IFERROR(__xludf.DUMMYFUNCTION("""COMPUTED_VALUE"""),0.0)</f>
        <v>0</v>
      </c>
      <c r="J42" s="58">
        <f>IFERROR(__xludf.DUMMYFUNCTION("""COMPUTED_VALUE"""),7.0)</f>
        <v>7</v>
      </c>
      <c r="K42" s="51"/>
      <c r="L42" s="60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IFERROR(__xludf.DUMMYFUNCTION("""COMPUTED_VALUE"""),"MARTINEZ")</f>
        <v>MARTINEZ</v>
      </c>
      <c r="C43" s="62" t="str">
        <f>IFERROR(__xludf.DUMMYFUNCTION("""COMPUTED_VALUE"""),"TORRES")</f>
        <v>TORRES</v>
      </c>
      <c r="D43" s="63" t="str">
        <f>IFERROR(__xludf.DUMMYFUNCTION("""COMPUTED_VALUE"""),"SILVIA ANAHI")</f>
        <v>SILVIA ANAHI</v>
      </c>
      <c r="E43" s="54">
        <f>IFERROR(__xludf.DUMMYFUNCTION("""COMPUTED_VALUE"""),7.9)</f>
        <v>7.9</v>
      </c>
      <c r="F43" s="54">
        <f>IFERROR(__xludf.DUMMYFUNCTION("""COMPUTED_VALUE"""),1.4)</f>
        <v>1.4</v>
      </c>
      <c r="G43" s="55">
        <f>IFERROR(__xludf.DUMMYFUNCTION("""COMPUTED_VALUE"""),1.0)</f>
        <v>1</v>
      </c>
      <c r="H43" s="56">
        <f>IFERROR(__xludf.DUMMYFUNCTION("""COMPUTED_VALUE"""),10.3)</f>
        <v>10.3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IFERROR(__xludf.DUMMYFUNCTION("""COMPUTED_VALUE"""),"MENDEZ")</f>
        <v>MENDEZ</v>
      </c>
      <c r="C44" s="62" t="str">
        <f>IFERROR(__xludf.DUMMYFUNCTION("""COMPUTED_VALUE"""),"GONZALEZ")</f>
        <v>GONZALEZ</v>
      </c>
      <c r="D44" s="63" t="str">
        <f>IFERROR(__xludf.DUMMYFUNCTION("""COMPUTED_VALUE"""),"LUNA YHOALIBETH")</f>
        <v>LUNA YHOALIBETH</v>
      </c>
      <c r="E44" s="54">
        <f>IFERROR(__xludf.DUMMYFUNCTION("""COMPUTED_VALUE"""),5.3)</f>
        <v>5.3</v>
      </c>
      <c r="F44" s="54">
        <f>IFERROR(__xludf.DUMMYFUNCTION("""COMPUTED_VALUE"""),1.9)</f>
        <v>1.9</v>
      </c>
      <c r="G44" s="55"/>
      <c r="H44" s="56">
        <f>IFERROR(__xludf.DUMMYFUNCTION("""COMPUTED_VALUE"""),7.199999999999999)</f>
        <v>7.2</v>
      </c>
      <c r="I44" s="57">
        <f>IFERROR(__xludf.DUMMYFUNCTION("""COMPUTED_VALUE"""),0.0)</f>
        <v>0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IFERROR(__xludf.DUMMYFUNCTION("""COMPUTED_VALUE"""),"MIRANDA")</f>
        <v>MIRANDA</v>
      </c>
      <c r="C45" s="62" t="str">
        <f>IFERROR(__xludf.DUMMYFUNCTION("""COMPUTED_VALUE"""),"VEGA")</f>
        <v>VEGA</v>
      </c>
      <c r="D45" s="63" t="str">
        <f>IFERROR(__xludf.DUMMYFUNCTION("""COMPUTED_VALUE"""),"MARCUS JOSHEP")</f>
        <v>MARCUS JOSHEP</v>
      </c>
      <c r="E45" s="54">
        <f>IFERROR(__xludf.DUMMYFUNCTION("""COMPUTED_VALUE"""),2.5)</f>
        <v>2.5</v>
      </c>
      <c r="F45" s="54">
        <f>IFERROR(__xludf.DUMMYFUNCTION("""COMPUTED_VALUE"""),1.7)</f>
        <v>1.7</v>
      </c>
      <c r="G45" s="55"/>
      <c r="H45" s="56">
        <f>IFERROR(__xludf.DUMMYFUNCTION("""COMPUTED_VALUE"""),4.2)</f>
        <v>4.2</v>
      </c>
      <c r="I45" s="57">
        <f>IFERROR(__xludf.DUMMYFUNCTION("""COMPUTED_VALUE"""),5.0)</f>
        <v>5</v>
      </c>
      <c r="J45" s="58">
        <f>IFERROR(__xludf.DUMMYFUNCTION("""COMPUTED_VALUE"""),5.0)</f>
        <v>5</v>
      </c>
      <c r="K45" s="51"/>
      <c r="L45" s="60">
        <f>IFERROR(__xludf.DUMMYFUNCTION("""COMPUTED_VALUE"""),4.0)</f>
        <v>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IFERROR(__xludf.DUMMYFUNCTION("""COMPUTED_VALUE"""),"MORALES")</f>
        <v>MORALES</v>
      </c>
      <c r="C46" s="62" t="str">
        <f>IFERROR(__xludf.DUMMYFUNCTION("""COMPUTED_VALUE"""),"TREJO")</f>
        <v>TREJO</v>
      </c>
      <c r="D46" s="63" t="str">
        <f>IFERROR(__xludf.DUMMYFUNCTION("""COMPUTED_VALUE"""),"ERICK IVAN")</f>
        <v>ERICK IVAN</v>
      </c>
      <c r="E46" s="54">
        <f>IFERROR(__xludf.DUMMYFUNCTION("""COMPUTED_VALUE"""),6.0)</f>
        <v>6</v>
      </c>
      <c r="F46" s="54">
        <f>IFERROR(__xludf.DUMMYFUNCTION("""COMPUTED_VALUE"""),1.7)</f>
        <v>1.7</v>
      </c>
      <c r="G46" s="55"/>
      <c r="H46" s="56">
        <f>IFERROR(__xludf.DUMMYFUNCTION("""COMPUTED_VALUE"""),7.7)</f>
        <v>7.7</v>
      </c>
      <c r="I46" s="57">
        <f>IFERROR(__xludf.DUMMYFUNCTION("""COMPUTED_VALUE"""),1.0)</f>
        <v>1</v>
      </c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IFERROR(__xludf.DUMMYFUNCTION("""COMPUTED_VALUE"""),"MURILLO")</f>
        <v>MURILLO</v>
      </c>
      <c r="C47" s="62" t="str">
        <f>IFERROR(__xludf.DUMMYFUNCTION("""COMPUTED_VALUE"""),"TORRES")</f>
        <v>TORRES</v>
      </c>
      <c r="D47" s="63" t="str">
        <f>IFERROR(__xludf.DUMMYFUNCTION("""COMPUTED_VALUE"""),"JULIA IVETTE")</f>
        <v>JULIA IVETTE</v>
      </c>
      <c r="E47" s="54">
        <f>IFERROR(__xludf.DUMMYFUNCTION("""COMPUTED_VALUE"""),4.7)</f>
        <v>4.7</v>
      </c>
      <c r="F47" s="54">
        <f>IFERROR(__xludf.DUMMYFUNCTION("""COMPUTED_VALUE"""),1.3)</f>
        <v>1.3</v>
      </c>
      <c r="G47" s="55"/>
      <c r="H47" s="56">
        <f>IFERROR(__xludf.DUMMYFUNCTION("""COMPUTED_VALUE"""),6.0)</f>
        <v>6</v>
      </c>
      <c r="I47" s="57">
        <f>IFERROR(__xludf.DUMMYFUNCTION("""COMPUTED_VALUE"""),0.0)</f>
        <v>0</v>
      </c>
      <c r="J47" s="58">
        <f>IFERROR(__xludf.DUMMYFUNCTION("""COMPUTED_VALUE"""),6.0)</f>
        <v>6</v>
      </c>
      <c r="K47" s="51"/>
      <c r="L47" s="60">
        <f>IFERROR(__xludf.DUMMYFUNCTION("""COMPUTED_VALUE"""),6.0)</f>
        <v>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IFERROR(__xludf.DUMMYFUNCTION("""COMPUTED_VALUE"""),"NICOLAS")</f>
        <v>NICOLAS</v>
      </c>
      <c r="C48" s="62" t="str">
        <f>IFERROR(__xludf.DUMMYFUNCTION("""COMPUTED_VALUE"""),"SANCHEZ")</f>
        <v>SANCHEZ</v>
      </c>
      <c r="D48" s="63" t="str">
        <f>IFERROR(__xludf.DUMMYFUNCTION("""COMPUTED_VALUE"""),"KAREN JIMENA")</f>
        <v>KAREN JIMENA</v>
      </c>
      <c r="E48" s="54">
        <f>IFERROR(__xludf.DUMMYFUNCTION("""COMPUTED_VALUE"""),7.8)</f>
        <v>7.8</v>
      </c>
      <c r="F48" s="54">
        <f>IFERROR(__xludf.DUMMYFUNCTION("""COMPUTED_VALUE"""),1.4)</f>
        <v>1.4</v>
      </c>
      <c r="G48" s="55">
        <f>IFERROR(__xludf.DUMMYFUNCTION("""COMPUTED_VALUE"""),1.0)</f>
        <v>1</v>
      </c>
      <c r="H48" s="56">
        <f>IFERROR(__xludf.DUMMYFUNCTION("""COMPUTED_VALUE"""),10.2)</f>
        <v>10.2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IFERROR(__xludf.DUMMYFUNCTION("""COMPUTED_VALUE"""),"PEREZ")</f>
        <v>PEREZ</v>
      </c>
      <c r="C49" s="62" t="str">
        <f>IFERROR(__xludf.DUMMYFUNCTION("""COMPUTED_VALUE"""),"MARTINEZ")</f>
        <v>MARTINEZ</v>
      </c>
      <c r="D49" s="63" t="str">
        <f>IFERROR(__xludf.DUMMYFUNCTION("""COMPUTED_VALUE"""),"ANDREA")</f>
        <v>ANDREA</v>
      </c>
      <c r="E49" s="54">
        <f>IFERROR(__xludf.DUMMYFUNCTION("""COMPUTED_VALUE"""),5.7)</f>
        <v>5.7</v>
      </c>
      <c r="F49" s="54">
        <f>IFERROR(__xludf.DUMMYFUNCTION("""COMPUTED_VALUE"""),1.2)</f>
        <v>1.2</v>
      </c>
      <c r="G49" s="55"/>
      <c r="H49" s="56">
        <f>IFERROR(__xludf.DUMMYFUNCTION("""COMPUTED_VALUE"""),6.9)</f>
        <v>6.9</v>
      </c>
      <c r="I49" s="57">
        <f>IFERROR(__xludf.DUMMYFUNCTION("""COMPUTED_VALUE"""),2.0)</f>
        <v>2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IFERROR(__xludf.DUMMYFUNCTION("""COMPUTED_VALUE"""),"PUGA")</f>
        <v>PUGA</v>
      </c>
      <c r="C50" s="62" t="str">
        <f>IFERROR(__xludf.DUMMYFUNCTION("""COMPUTED_VALUE"""),"FLORES")</f>
        <v>FLORES</v>
      </c>
      <c r="D50" s="63" t="str">
        <f>IFERROR(__xludf.DUMMYFUNCTION("""COMPUTED_VALUE"""),"ANUAR LEONARDO")</f>
        <v>ANUAR LEONARDO</v>
      </c>
      <c r="E50" s="54">
        <f>IFERROR(__xludf.DUMMYFUNCTION("""COMPUTED_VALUE"""),2.5)</f>
        <v>2.5</v>
      </c>
      <c r="F50" s="54">
        <f>IFERROR(__xludf.DUMMYFUNCTION("""COMPUTED_VALUE"""),1.7)</f>
        <v>1.7</v>
      </c>
      <c r="G50" s="55"/>
      <c r="H50" s="56">
        <f>IFERROR(__xludf.DUMMYFUNCTION("""COMPUTED_VALUE"""),4.2)</f>
        <v>4.2</v>
      </c>
      <c r="I50" s="57">
        <f>IFERROR(__xludf.DUMMYFUNCTION("""COMPUTED_VALUE"""),5.0)</f>
        <v>5</v>
      </c>
      <c r="J50" s="58">
        <f>IFERROR(__xludf.DUMMYFUNCTION("""COMPUTED_VALUE"""),5.0)</f>
        <v>5</v>
      </c>
      <c r="K50" s="51"/>
      <c r="L50" s="60">
        <f>IFERROR(__xludf.DUMMYFUNCTION("""COMPUTED_VALUE"""),4.0)</f>
        <v>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IFERROR(__xludf.DUMMYFUNCTION("""COMPUTED_VALUE"""),"RAMIREZ")</f>
        <v>RAMIREZ</v>
      </c>
      <c r="C51" s="62" t="str">
        <f>IFERROR(__xludf.DUMMYFUNCTION("""COMPUTED_VALUE"""),"GALINDO")</f>
        <v>GALINDO</v>
      </c>
      <c r="D51" s="63" t="str">
        <f>IFERROR(__xludf.DUMMYFUNCTION("""COMPUTED_VALUE"""),"FERNANDA")</f>
        <v>FERNANDA</v>
      </c>
      <c r="E51" s="54">
        <f>IFERROR(__xludf.DUMMYFUNCTION("""COMPUTED_VALUE"""),7.9)</f>
        <v>7.9</v>
      </c>
      <c r="F51" s="54">
        <f>IFERROR(__xludf.DUMMYFUNCTION("""COMPUTED_VALUE"""),1.0)</f>
        <v>1</v>
      </c>
      <c r="G51" s="55"/>
      <c r="H51" s="56">
        <f>IFERROR(__xludf.DUMMYFUNCTION("""COMPUTED_VALUE"""),8.9)</f>
        <v>8.9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IFERROR(__xludf.DUMMYFUNCTION("""COMPUTED_VALUE"""),"SANCHEZ")</f>
        <v>SANCHEZ</v>
      </c>
      <c r="D52" s="63" t="str">
        <f>IFERROR(__xludf.DUMMYFUNCTION("""COMPUTED_VALUE"""),"EDRYK JOSAFATH")</f>
        <v>EDRYK JOSAFATH</v>
      </c>
      <c r="E52" s="54">
        <f>IFERROR(__xludf.DUMMYFUNCTION("""COMPUTED_VALUE"""),4.9)</f>
        <v>4.9</v>
      </c>
      <c r="F52" s="54">
        <f>IFERROR(__xludf.DUMMYFUNCTION("""COMPUTED_VALUE"""),1.7)</f>
        <v>1.7</v>
      </c>
      <c r="G52" s="55"/>
      <c r="H52" s="56">
        <f>IFERROR(__xludf.DUMMYFUNCTION("""COMPUTED_VALUE"""),6.6000000000000005)</f>
        <v>6.6</v>
      </c>
      <c r="I52" s="57">
        <f>IFERROR(__xludf.DUMMYFUNCTION("""COMPUTED_VALUE"""),0.0)</f>
        <v>0</v>
      </c>
      <c r="J52" s="58">
        <f>IFERROR(__xludf.DUMMYFUNCTION("""COMPUTED_VALUE"""),7.0)</f>
        <v>7</v>
      </c>
      <c r="K52" s="51"/>
      <c r="L52" s="59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IFERROR(__xludf.DUMMYFUNCTION("""COMPUTED_VALUE"""),"RAMOS")</f>
        <v>RAMOS</v>
      </c>
      <c r="C53" s="62" t="str">
        <f>IFERROR(__xludf.DUMMYFUNCTION("""COMPUTED_VALUE"""),"VERDIGUEL")</f>
        <v>VERDIGUEL</v>
      </c>
      <c r="D53" s="63" t="str">
        <f>IFERROR(__xludf.DUMMYFUNCTION("""COMPUTED_VALUE"""),"ROBERTO")</f>
        <v>ROBERTO</v>
      </c>
      <c r="E53" s="54">
        <f>IFERROR(__xludf.DUMMYFUNCTION("""COMPUTED_VALUE"""),2.6)</f>
        <v>2.6</v>
      </c>
      <c r="F53" s="54">
        <f>IFERROR(__xludf.DUMMYFUNCTION("""COMPUTED_VALUE"""),1.9)</f>
        <v>1.9</v>
      </c>
      <c r="G53" s="55"/>
      <c r="H53" s="56">
        <f>IFERROR(__xludf.DUMMYFUNCTION("""COMPUTED_VALUE"""),4.5)</f>
        <v>4.5</v>
      </c>
      <c r="I53" s="57">
        <f>IFERROR(__xludf.DUMMYFUNCTION("""COMPUTED_VALUE"""),0.0)</f>
        <v>0</v>
      </c>
      <c r="J53" s="58">
        <f>IFERROR(__xludf.DUMMYFUNCTION("""COMPUTED_VALUE"""),5.0)</f>
        <v>5</v>
      </c>
      <c r="K53" s="51"/>
      <c r="L53" s="59">
        <f>IFERROR(__xludf.DUMMYFUNCTION("""COMPUTED_VALUE"""),4.0)</f>
        <v>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IFERROR(__xludf.DUMMYFUNCTION("""COMPUTED_VALUE"""),"REYES")</f>
        <v>REYES</v>
      </c>
      <c r="C54" s="62" t="str">
        <f>IFERROR(__xludf.DUMMYFUNCTION("""COMPUTED_VALUE"""),"RODRIGUEZ")</f>
        <v>RODRIGUEZ</v>
      </c>
      <c r="D54" s="63" t="str">
        <f>IFERROR(__xludf.DUMMYFUNCTION("""COMPUTED_VALUE"""),"ANA FERNANDA")</f>
        <v>ANA FERNANDA</v>
      </c>
      <c r="E54" s="54">
        <f>IFERROR(__xludf.DUMMYFUNCTION("""COMPUTED_VALUE"""),1.9)</f>
        <v>1.9</v>
      </c>
      <c r="F54" s="54">
        <f>IFERROR(__xludf.DUMMYFUNCTION("""COMPUTED_VALUE"""),0.0)</f>
        <v>0</v>
      </c>
      <c r="G54" s="55"/>
      <c r="H54" s="56">
        <f>IFERROR(__xludf.DUMMYFUNCTION("""COMPUTED_VALUE"""),1.9)</f>
        <v>1.9</v>
      </c>
      <c r="I54" s="57">
        <f>IFERROR(__xludf.DUMMYFUNCTION("""COMPUTED_VALUE"""),6.0)</f>
        <v>6</v>
      </c>
      <c r="J54" s="58">
        <f>IFERROR(__xludf.DUMMYFUNCTION("""COMPUTED_VALUE"""),5.0)</f>
        <v>5</v>
      </c>
      <c r="K54" s="51"/>
      <c r="L54" s="59">
        <f>IFERROR(__xludf.DUMMYFUNCTION("""COMPUTED_VALUE"""),1.0)</f>
        <v>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IFERROR(__xludf.DUMMYFUNCTION("""COMPUTED_VALUE"""),"SANCHEZ")</f>
        <v>SANCHEZ</v>
      </c>
      <c r="C55" s="62" t="str">
        <f>IFERROR(__xludf.DUMMYFUNCTION("""COMPUTED_VALUE"""),"PEREZ")</f>
        <v>PEREZ</v>
      </c>
      <c r="D55" s="63" t="str">
        <f>IFERROR(__xludf.DUMMYFUNCTION("""COMPUTED_VALUE"""),"JESUS ALEXANDER")</f>
        <v>JESUS ALEXANDER</v>
      </c>
      <c r="E55" s="54">
        <f>IFERROR(__xludf.DUMMYFUNCTION("""COMPUTED_VALUE"""),7.9)</f>
        <v>7.9</v>
      </c>
      <c r="F55" s="54">
        <f>IFERROR(__xludf.DUMMYFUNCTION("""COMPUTED_VALUE"""),1.7)</f>
        <v>1.7</v>
      </c>
      <c r="G55" s="55"/>
      <c r="H55" s="56">
        <f>IFERROR(__xludf.DUMMYFUNCTION("""COMPUTED_VALUE"""),9.6)</f>
        <v>9.6</v>
      </c>
      <c r="I55" s="66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IFERROR(__xludf.DUMMYFUNCTION("""COMPUTED_VALUE"""),"SANTANA")</f>
        <v>SANTANA</v>
      </c>
      <c r="C56" s="62" t="str">
        <f>IFERROR(__xludf.DUMMYFUNCTION("""COMPUTED_VALUE"""),"RAZO")</f>
        <v>RAZO</v>
      </c>
      <c r="D56" s="63" t="str">
        <f>IFERROR(__xludf.DUMMYFUNCTION("""COMPUTED_VALUE"""),"IVAN EMMANUEL")</f>
        <v>IVAN EMMANUEL</v>
      </c>
      <c r="E56" s="54">
        <f>IFERROR(__xludf.DUMMYFUNCTION("""COMPUTED_VALUE"""),4.0)</f>
        <v>4</v>
      </c>
      <c r="F56" s="54">
        <f>IFERROR(__xludf.DUMMYFUNCTION("""COMPUTED_VALUE"""),1.7)</f>
        <v>1.7</v>
      </c>
      <c r="G56" s="55"/>
      <c r="H56" s="56">
        <f>IFERROR(__xludf.DUMMYFUNCTION("""COMPUTED_VALUE"""),5.7)</f>
        <v>5.7</v>
      </c>
      <c r="I56" s="66">
        <f>IFERROR(__xludf.DUMMYFUNCTION("""COMPUTED_VALUE"""),6.0)</f>
        <v>6</v>
      </c>
      <c r="J56" s="58">
        <f>IFERROR(__xludf.DUMMYFUNCTION("""COMPUTED_VALUE"""),5.0)</f>
        <v>5</v>
      </c>
      <c r="K56" s="51"/>
      <c r="L56" s="59">
        <f>IFERROR(__xludf.DUMMYFUNCTION("""COMPUTED_VALUE"""),5.0)</f>
        <v>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IFERROR(__xludf.DUMMYFUNCTION("""COMPUTED_VALUE"""),"SANTILLAN")</f>
        <v>SANTILLAN</v>
      </c>
      <c r="C57" s="62" t="str">
        <f>IFERROR(__xludf.DUMMYFUNCTION("""COMPUTED_VALUE"""),"JULIAN")</f>
        <v>JULIAN</v>
      </c>
      <c r="D57" s="63" t="str">
        <f>IFERROR(__xludf.DUMMYFUNCTION("""COMPUTED_VALUE"""),"JUAN ALBERTO")</f>
        <v>JUAN ALBERTO</v>
      </c>
      <c r="E57" s="54">
        <f>IFERROR(__xludf.DUMMYFUNCTION("""COMPUTED_VALUE"""),3.8)</f>
        <v>3.8</v>
      </c>
      <c r="F57" s="54">
        <f>IFERROR(__xludf.DUMMYFUNCTION("""COMPUTED_VALUE"""),1.7)</f>
        <v>1.7</v>
      </c>
      <c r="G57" s="55"/>
      <c r="H57" s="56">
        <f>IFERROR(__xludf.DUMMYFUNCTION("""COMPUTED_VALUE"""),5.5)</f>
        <v>5.5</v>
      </c>
      <c r="I57" s="66">
        <f>IFERROR(__xludf.DUMMYFUNCTION("""COMPUTED_VALUE"""),0.0)</f>
        <v>0</v>
      </c>
      <c r="J57" s="58">
        <f>IFERROR(__xludf.DUMMYFUNCTION("""COMPUTED_VALUE"""),5.0)</f>
        <v>5</v>
      </c>
      <c r="K57" s="51"/>
      <c r="L57" s="59">
        <f>IFERROR(__xludf.DUMMYFUNCTION("""COMPUTED_VALUE"""),5.0)</f>
        <v>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IFERROR(__xludf.DUMMYFUNCTION("""COMPUTED_VALUE"""),"SOLIS")</f>
        <v>SOLIS</v>
      </c>
      <c r="C58" s="62" t="str">
        <f>IFERROR(__xludf.DUMMYFUNCTION("""COMPUTED_VALUE"""),"MARTINEZ")</f>
        <v>MARTINEZ</v>
      </c>
      <c r="D58" s="63" t="str">
        <f>IFERROR(__xludf.DUMMYFUNCTION("""COMPUTED_VALUE"""),"ISAIAS")</f>
        <v>ISAIAS</v>
      </c>
      <c r="E58" s="54">
        <f>IFERROR(__xludf.DUMMYFUNCTION("""COMPUTED_VALUE"""),4.7)</f>
        <v>4.7</v>
      </c>
      <c r="F58" s="54">
        <f>IFERROR(__xludf.DUMMYFUNCTION("""COMPUTED_VALUE"""),1.3)</f>
        <v>1.3</v>
      </c>
      <c r="G58" s="55"/>
      <c r="H58" s="56">
        <f>IFERROR(__xludf.DUMMYFUNCTION("""COMPUTED_VALUE"""),6.0)</f>
        <v>6</v>
      </c>
      <c r="I58" s="66">
        <f>IFERROR(__xludf.DUMMYFUNCTION("""COMPUTED_VALUE"""),0.0)</f>
        <v>0</v>
      </c>
      <c r="J58" s="58">
        <f>IFERROR(__xludf.DUMMYFUNCTION("""COMPUTED_VALUE"""),6.0)</f>
        <v>6</v>
      </c>
      <c r="K58" s="51"/>
      <c r="L58" s="59">
        <f>IFERROR(__xludf.DUMMYFUNCTION("""COMPUTED_VALUE"""),6.0)</f>
        <v>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IFERROR(__xludf.DUMMYFUNCTION("""COMPUTED_VALUE"""),"SUAREZ")</f>
        <v>SUAREZ</v>
      </c>
      <c r="C59" s="62" t="str">
        <f>IFERROR(__xludf.DUMMYFUNCTION("""COMPUTED_VALUE"""),"GONZALEZ")</f>
        <v>GONZALEZ</v>
      </c>
      <c r="D59" s="63" t="str">
        <f>IFERROR(__xludf.DUMMYFUNCTION("""COMPUTED_VALUE"""),"ZAID MANUEL")</f>
        <v>ZAID MANUEL</v>
      </c>
      <c r="E59" s="54">
        <f>IFERROR(__xludf.DUMMYFUNCTION("""COMPUTED_VALUE"""),1.8)</f>
        <v>1.8</v>
      </c>
      <c r="F59" s="54">
        <f>IFERROR(__xludf.DUMMYFUNCTION("""COMPUTED_VALUE"""),1.3)</f>
        <v>1.3</v>
      </c>
      <c r="G59" s="55"/>
      <c r="H59" s="56">
        <f>IFERROR(__xludf.DUMMYFUNCTION("""COMPUTED_VALUE"""),3.1)</f>
        <v>3.1</v>
      </c>
      <c r="I59" s="66">
        <f>IFERROR(__xludf.DUMMYFUNCTION("""COMPUTED_VALUE"""),6.0)</f>
        <v>6</v>
      </c>
      <c r="J59" s="58">
        <f>IFERROR(__xludf.DUMMYFUNCTION("""COMPUTED_VALUE"""),5.0)</f>
        <v>5</v>
      </c>
      <c r="K59" s="51"/>
      <c r="L59" s="59">
        <f>IFERROR(__xludf.DUMMYFUNCTION("""COMPUTED_VALUE"""),3.0)</f>
        <v>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IFERROR(__xludf.DUMMYFUNCTION("""COMPUTED_VALUE"""),"VALLEJO")</f>
        <v>VALLEJO</v>
      </c>
      <c r="C60" s="62" t="str">
        <f>IFERROR(__xludf.DUMMYFUNCTION("""COMPUTED_VALUE"""),"MORALES")</f>
        <v>MORALES</v>
      </c>
      <c r="D60" s="63" t="str">
        <f>IFERROR(__xludf.DUMMYFUNCTION("""COMPUTED_VALUE"""),"ALEJANDRO")</f>
        <v>ALEJANDRO</v>
      </c>
      <c r="E60" s="54">
        <f>IFERROR(__xludf.DUMMYFUNCTION("""COMPUTED_VALUE"""),2.8)</f>
        <v>2.8</v>
      </c>
      <c r="F60" s="54">
        <f>IFERROR(__xludf.DUMMYFUNCTION("""COMPUTED_VALUE"""),0.0)</f>
        <v>0</v>
      </c>
      <c r="G60" s="55"/>
      <c r="H60" s="56">
        <f>IFERROR(__xludf.DUMMYFUNCTION("""COMPUTED_VALUE"""),2.8)</f>
        <v>2.8</v>
      </c>
      <c r="I60" s="66">
        <f>IFERROR(__xludf.DUMMYFUNCTION("""COMPUTED_VALUE"""),2.0)</f>
        <v>2</v>
      </c>
      <c r="J60" s="58">
        <f>IFERROR(__xludf.DUMMYFUNCTION("""COMPUTED_VALUE"""),5.0)</f>
        <v>5</v>
      </c>
      <c r="K60" s="51"/>
      <c r="L60" s="59">
        <f>IFERROR(__xludf.DUMMYFUNCTION("""COMPUTED_VALUE"""),2.0)</f>
        <v>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IFERROR(__xludf.DUMMYFUNCTION("""COMPUTED_VALUE"""),"VELEZ")</f>
        <v>VELEZ</v>
      </c>
      <c r="C61" s="62" t="str">
        <f>IFERROR(__xludf.DUMMYFUNCTION("""COMPUTED_VALUE"""),"RODRIGUEZ")</f>
        <v>RODRIGUEZ</v>
      </c>
      <c r="D61" s="63" t="str">
        <f>IFERROR(__xludf.DUMMYFUNCTION("""COMPUTED_VALUE"""),"PAULA VALERIA")</f>
        <v>PAULA VALERIA</v>
      </c>
      <c r="E61" s="54">
        <f>IFERROR(__xludf.DUMMYFUNCTION("""COMPUTED_VALUE"""),4.6)</f>
        <v>4.6</v>
      </c>
      <c r="F61" s="54">
        <f>IFERROR(__xludf.DUMMYFUNCTION("""COMPUTED_VALUE"""),1.9)</f>
        <v>1.9</v>
      </c>
      <c r="G61" s="55"/>
      <c r="H61" s="56">
        <f>IFERROR(__xludf.DUMMYFUNCTION("""COMPUTED_VALUE"""),6.5)</f>
        <v>6.5</v>
      </c>
      <c r="I61" s="66">
        <f>IFERROR(__xludf.DUMMYFUNCTION("""COMPUTED_VALUE"""),0.0)</f>
        <v>0</v>
      </c>
      <c r="J61" s="58">
        <f>IFERROR(__xludf.DUMMYFUNCTION("""COMPUTED_VALUE"""),7.0)</f>
        <v>7</v>
      </c>
      <c r="K61" s="51"/>
      <c r="L61" s="59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IFERROR(__xludf.DUMMYFUNCTION("""COMPUTED_VALUE"""),"YAÑEZ")</f>
        <v>YAÑEZ</v>
      </c>
      <c r="C62" s="62" t="str">
        <f>IFERROR(__xludf.DUMMYFUNCTION("""COMPUTED_VALUE"""),"MERCADO")</f>
        <v>MERCADO</v>
      </c>
      <c r="D62" s="63" t="str">
        <f>IFERROR(__xludf.DUMMYFUNCTION("""COMPUTED_VALUE"""),"HANNA AYELET")</f>
        <v>HANNA AYELET</v>
      </c>
      <c r="E62" s="54">
        <f>IFERROR(__xludf.DUMMYFUNCTION("""COMPUTED_VALUE"""),7.8)</f>
        <v>7.8</v>
      </c>
      <c r="F62" s="54">
        <f>IFERROR(__xludf.DUMMYFUNCTION("""COMPUTED_VALUE"""),1.4)</f>
        <v>1.4</v>
      </c>
      <c r="G62" s="55">
        <f>IFERROR(__xludf.DUMMYFUNCTION("""COMPUTED_VALUE"""),1.0)</f>
        <v>1</v>
      </c>
      <c r="H62" s="56">
        <f>IFERROR(__xludf.DUMMYFUNCTION("""COMPUTED_VALUE"""),10.2)</f>
        <v>10.2</v>
      </c>
      <c r="I62" s="66">
        <f>IFERROR(__xludf.DUMMYFUNCTION("""COMPUTED_VALUE"""),0.0)</f>
        <v>0</v>
      </c>
      <c r="J62" s="58">
        <f>IFERROR(__xludf.DUMMYFUNCTION("""COMPUTED_VALUE"""),10.0)</f>
        <v>10</v>
      </c>
      <c r="K62" s="51"/>
      <c r="L62" s="59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IFERROR(__xludf.DUMMYFUNCTION("""COMPUTED_VALUE"""),"ARIZAGA")</f>
        <v>ARIZAGA</v>
      </c>
      <c r="D63" s="63" t="str">
        <f>IFERROR(__xludf.DUMMYFUNCTION("""COMPUTED_VALUE"""),"ISRAEL")</f>
        <v>ISRAEL</v>
      </c>
      <c r="E63" s="54">
        <f>IFERROR(__xludf.DUMMYFUNCTION("""COMPUTED_VALUE"""),5.1)</f>
        <v>5.1</v>
      </c>
      <c r="F63" s="54">
        <f>IFERROR(__xludf.DUMMYFUNCTION("""COMPUTED_VALUE"""),1.6)</f>
        <v>1.6</v>
      </c>
      <c r="G63" s="55">
        <f>IFERROR(__xludf.DUMMYFUNCTION("""COMPUTED_VALUE"""),1.0)</f>
        <v>1</v>
      </c>
      <c r="H63" s="56">
        <f>IFERROR(__xludf.DUMMYFUNCTION("""COMPUTED_VALUE"""),7.699999999999999)</f>
        <v>7.7</v>
      </c>
      <c r="I63" s="67">
        <f>IFERROR(__xludf.DUMMYFUNCTION("""COMPUTED_VALUE"""),0.0)</f>
        <v>0</v>
      </c>
      <c r="J63" s="58">
        <f>IFERROR(__xludf.DUMMYFUNCTION("""COMPUTED_VALUE"""),8.0)</f>
        <v>8</v>
      </c>
      <c r="K63" s="51"/>
      <c r="L63" s="59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4.75" customHeight="1">
      <c r="A64" s="51">
        <f>IFERROR(__xludf.DUMMYFUNCTION("""COMPUTED_VALUE"""),48.0)</f>
        <v>48</v>
      </c>
      <c r="B64" s="65" t="str">
        <f>IFERROR(__xludf.DUMMYFUNCTION("""COMPUTED_VALUE"""),"ZUÑIGA")</f>
        <v>ZUÑIGA</v>
      </c>
      <c r="C64" s="62" t="str">
        <f>IFERROR(__xludf.DUMMYFUNCTION("""COMPUTED_VALUE"""),"NAVARRETE")</f>
        <v>NAVARRETE</v>
      </c>
      <c r="D64" s="63" t="str">
        <f>IFERROR(__xludf.DUMMYFUNCTION("""COMPUTED_VALUE"""),"IRVING")</f>
        <v>IRVING</v>
      </c>
      <c r="E64" s="54">
        <f>IFERROR(__xludf.DUMMYFUNCTION("""COMPUTED_VALUE"""),5.3)</f>
        <v>5.3</v>
      </c>
      <c r="F64" s="54">
        <f>IFERROR(__xludf.DUMMYFUNCTION("""COMPUTED_VALUE"""),1.6)</f>
        <v>1.6</v>
      </c>
      <c r="G64" s="55">
        <f>IFERROR(__xludf.DUMMYFUNCTION("""COMPUTED_VALUE"""),1.0)</f>
        <v>1</v>
      </c>
      <c r="H64" s="56">
        <f>IFERROR(__xludf.DUMMYFUNCTION("""COMPUTED_VALUE"""),7.9)</f>
        <v>7.9</v>
      </c>
      <c r="I64" s="67">
        <f>IFERROR(__xludf.DUMMYFUNCTION("""COMPUTED_VALUE"""),1.0)</f>
        <v>1</v>
      </c>
      <c r="J64" s="58">
        <f>IFERROR(__xludf.DUMMYFUNCTION("""COMPUTED_VALUE"""),8.0)</f>
        <v>8</v>
      </c>
      <c r="K64" s="51"/>
      <c r="L64" s="59">
        <f>IFERROR(__xludf.DUMMYFUNCTION("""COMPUTED_VALUE"""),8.0)</f>
        <v>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6"/>
      <c r="B65" s="68"/>
      <c r="C65" s="68"/>
      <c r="D65" s="68"/>
      <c r="E65" s="69"/>
      <c r="F65" s="68"/>
      <c r="G65" s="68"/>
      <c r="H65" s="68"/>
      <c r="I65" s="68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1.75" customHeight="1">
      <c r="A66" s="70"/>
      <c r="B66" s="71" t="str">
        <f>IFERROR(__xludf.DUMMYFUNCTION("""COMPUTED_VALUE"""),"No. DE ALUMNOS INSCRITOS")</f>
        <v>No. DE ALUMNOS INSCRITOS</v>
      </c>
      <c r="C66" s="72"/>
      <c r="D66" s="73">
        <f>IFERROR(__xludf.DUMMYFUNCTION("""COMPUTED_VALUE"""),48.0)</f>
        <v>48</v>
      </c>
      <c r="E66" s="68"/>
      <c r="F66" s="74" t="str">
        <f>IFERROR(__xludf.DUMMYFUNCTION("""COMPUTED_VALUE"""),"FIRMA DEL PROFESOR")</f>
        <v>FIRMA DEL PROFESOR</v>
      </c>
      <c r="G66" s="75"/>
      <c r="H66" s="74" t="str">
        <f>IFERROR(__xludf.DUMMYFUNCTION("""COMPUTED_VALUE"""),"FIRMA DEL ORIENTADOR")</f>
        <v>FIRMA DEL ORIENTADOR</v>
      </c>
      <c r="J66" s="76" t="str">
        <f>IFERROR(__xludf.DUMMYFUNCTION("""COMPUTED_VALUE"""),"Vo. Bo. SUBDIRECCIÓN ESCOLAR")</f>
        <v>Vo. Bo. SUBDIRECCIÓN ESCOLAR</v>
      </c>
      <c r="K66" s="77" t="str">
        <f>IFERROR(__xludf.DUMMYFUNCTION("""COMPUTED_VALUE"""),"REVISADO POR SECRETARIA ESCOLAR ")</f>
        <v>REVISADO POR SECRETARIA ESCOLAR 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1.75" customHeight="1">
      <c r="A67" s="70"/>
      <c r="B67" s="78" t="str">
        <f>IFERROR(__xludf.DUMMYFUNCTION("""COMPUTED_VALUE"""),"BAJAS DURANTE EL SEMESTRE")</f>
        <v>BAJAS DURANTE EL SEMESTRE</v>
      </c>
      <c r="C67" s="79"/>
      <c r="D67" s="80">
        <f>IFERROR(__xludf.DUMMYFUNCTION("""COMPUTED_VALUE"""),0.0)</f>
        <v>0</v>
      </c>
      <c r="E67" s="68"/>
      <c r="G67" s="75"/>
      <c r="K67" s="1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1.75" customHeight="1">
      <c r="A68" s="70"/>
      <c r="B68" s="78" t="str">
        <f>IFERROR(__xludf.DUMMYFUNCTION("""COMPUTED_VALUE"""),"EXISTENCIA")</f>
        <v>EXISTENCIA</v>
      </c>
      <c r="C68" s="79"/>
      <c r="D68" s="81">
        <f>IFERROR(__xludf.DUMMYFUNCTION("""COMPUTED_VALUE"""),48.0)</f>
        <v>48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1.75" customHeight="1">
      <c r="A69" s="70"/>
      <c r="B69" s="78" t="str">
        <f>IFERROR(__xludf.DUMMYFUNCTION("""COMPUTED_VALUE"""),"No. DE ALUMNOS APROBADOS")</f>
        <v>No. DE ALUMNOS APROBADOS</v>
      </c>
      <c r="C69" s="79"/>
      <c r="D69" s="86">
        <f>IFERROR(__xludf.DUMMYFUNCTION("""COMPUTED_VALUE"""),34.0)</f>
        <v>34</v>
      </c>
      <c r="E69" s="68"/>
      <c r="F69" s="82"/>
      <c r="G69" s="83"/>
      <c r="H69" s="82"/>
      <c r="I69" s="82"/>
      <c r="J69" s="84"/>
      <c r="K69" s="8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1.75" customHeight="1">
      <c r="A70" s="70"/>
      <c r="B70" s="78" t="str">
        <f>IFERROR(__xludf.DUMMYFUNCTION("""COMPUTED_VALUE"""),"No. DE ALUMNOS REPROBADOS")</f>
        <v>No. DE ALUMNOS REPROBADOS</v>
      </c>
      <c r="C70" s="79"/>
      <c r="D70" s="86">
        <f>IFERROR(__xludf.DUMMYFUNCTION("""COMPUTED_VALUE"""),14.0)</f>
        <v>14</v>
      </c>
      <c r="E70" s="68"/>
      <c r="F70" s="87"/>
      <c r="G70" s="83"/>
      <c r="H70" s="87"/>
      <c r="I70" s="87"/>
      <c r="J70" s="88"/>
      <c r="K70" s="8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7.75" customHeight="1">
      <c r="A71" s="70"/>
      <c r="B71" s="78" t="str">
        <f>IFERROR(__xludf.DUMMYFUNCTION("""COMPUTED_VALUE"""),"% DE APROBADOS")</f>
        <v>% DE APROBADOS</v>
      </c>
      <c r="C71" s="79"/>
      <c r="D71" s="81">
        <f>IFERROR(__xludf.DUMMYFUNCTION("""COMPUTED_VALUE"""),70.83333333333333)</f>
        <v>70.83333333</v>
      </c>
      <c r="E71" s="68"/>
      <c r="F71" s="90" t="str">
        <f>IFERROR(__xludf.DUMMYFUNCTION("""COMPUTED_VALUE"""),"PROFR. ")</f>
        <v>PROFR. </v>
      </c>
      <c r="G71" s="91"/>
      <c r="H71" s="92" t="str">
        <f>IFERROR(__xludf.DUMMYFUNCTION("""COMPUTED_VALUE"""),"PROFA. JUANA RANGEL PALACIOS")</f>
        <v>PROFA. JUANA RANGEL PALACIOS</v>
      </c>
      <c r="J71" s="93" t="str">
        <f>IFERROR(__xludf.DUMMYFUNCTION("""COMPUTED_VALUE"""),"PROFR. OCTAVIO VÁZQUEZ BARRETO")</f>
        <v>PROFR. OCTAVIO VÁZQUEZ BARRETO</v>
      </c>
      <c r="K71" s="94" t="str">
        <f>IFERROR(__xludf.DUMMYFUNCTION("""COMPUTED_VALUE"""),"PROFR. ROBERTO PALOMARES MEJÍA ")</f>
        <v>PROFR. ROBERTO PALOMARES MEJÍA </v>
      </c>
      <c r="L71" s="9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1.75" customHeight="1">
      <c r="A72" s="70"/>
      <c r="B72" s="96" t="str">
        <f>IFERROR(__xludf.DUMMYFUNCTION("""COMPUTED_VALUE"""),"PROMEDIO")</f>
        <v>PROMEDIO</v>
      </c>
      <c r="C72" s="97"/>
      <c r="D72" s="98">
        <f>IFERROR(__xludf.DUMMYFUNCTION("""COMPUTED_VALUE"""),7.354166666666667)</f>
        <v>7.354166667</v>
      </c>
      <c r="E72" s="68"/>
      <c r="G72" s="91"/>
      <c r="K72" s="1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99"/>
      <c r="B74" s="100"/>
      <c r="C74" s="101"/>
      <c r="D74" s="101"/>
      <c r="E74" s="68"/>
      <c r="G74" s="7"/>
      <c r="H74" s="7"/>
      <c r="I74" s="7"/>
      <c r="J74" s="7"/>
      <c r="K74" s="102"/>
      <c r="L74" s="10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104"/>
      <c r="B76" s="68"/>
      <c r="C76" s="68"/>
      <c r="D76" s="68"/>
      <c r="E76" s="7"/>
      <c r="F76" s="1"/>
      <c r="G76" s="1"/>
      <c r="H76" s="1"/>
      <c r="I76" s="1"/>
      <c r="J76" s="1"/>
      <c r="K76" s="8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>
      <c r="A77" s="106"/>
      <c r="B77" s="107"/>
      <c r="C77" s="107"/>
      <c r="D77" s="107"/>
      <c r="E77" s="108"/>
      <c r="F77" s="109"/>
      <c r="G77" s="109"/>
      <c r="H77" s="109"/>
      <c r="I77" s="109"/>
      <c r="J77" s="109"/>
      <c r="K77" s="110"/>
      <c r="L77" s="10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12"/>
      <c r="K81" s="112"/>
      <c r="L81" s="11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1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11"/>
      <c r="C89" s="111"/>
      <c r="D89" s="111"/>
      <c r="E89" s="11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IFERROR(__xludf.DUMMYFUNCTION("IMPORTRANGE(""https://docs.google.com/spreadsheets/d/1R_LufODGbikLoD-Jd0WTt-eYlX8m1ngqZM93CoT4u5M/edit?gid=1948641442#gid=1948641442"",""2-3 ingles iv!A1:Q78"")"),"")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IFERROR(__xludf.DUMMYFUNCTION("""COMPUTED_VALUE"""),"Christian Medrano Valdez")</f>
        <v>Christian Medrano Valdez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IFERROR(__xludf.DUMMYFUNCTION("""COMPUTED_VALUE"""),"INGLÉS IV")</f>
        <v>INGLÉS IV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IFERROR(__xludf.DUMMYFUNCTION("""COMPUTED_VALUE"""),6.0)</f>
        <v>6</v>
      </c>
      <c r="F17" s="54">
        <f>IFERROR(__xludf.DUMMYFUNCTION("""COMPUTED_VALUE"""),2.0)</f>
        <v>2</v>
      </c>
      <c r="G17" s="55">
        <f>IFERROR(__xludf.DUMMYFUNCTION("""COMPUTED_VALUE"""),1.0)</f>
        <v>1</v>
      </c>
      <c r="H17" s="56">
        <f>IFERROR(__xludf.DUMMYFUNCTION("""COMPUTED_VALUE"""),9.0)</f>
        <v>9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IFERROR(__xludf.DUMMYFUNCTION("""COMPUTED_VALUE"""),7.0)</f>
        <v>7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IFERROR(__xludf.DUMMYFUNCTION("""COMPUTED_VALUE"""),9.0)</f>
        <v>9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IFERROR(__xludf.DUMMYFUNCTION("""COMPUTED_VALUE"""),6.0)</f>
        <v>6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IFERROR(__xludf.DUMMYFUNCTION("""COMPUTED_VALUE"""),9.0)</f>
        <v>9</v>
      </c>
      <c r="I20" s="57">
        <f>IFERROR(__xludf.DUMMYFUNCTION("""COMPUTED_VALUE"""),1.0)</f>
        <v>1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54">
        <f>IFERROR(__xludf.DUMMYFUNCTION("""COMPUTED_VALUE"""),6.0)</f>
        <v>6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IFERROR(__xludf.DUMMYFUNCTION("""COMPUTED_VALUE"""),8.0)</f>
        <v>8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54">
        <f>IFERROR(__xludf.DUMMYFUNCTION("""COMPUTED_VALUE"""),6.0)</f>
        <v>6</v>
      </c>
      <c r="F22" s="54">
        <f>IFERROR(__xludf.DUMMYFUNCTION("""COMPUTED_VALUE"""),2.0)</f>
        <v>2</v>
      </c>
      <c r="G22" s="55">
        <f>IFERROR(__xludf.DUMMYFUNCTION("""COMPUTED_VALUE"""),0.0)</f>
        <v>0</v>
      </c>
      <c r="H22" s="56">
        <f>IFERROR(__xludf.DUMMYFUNCTION("""COMPUTED_VALUE"""),8.0)</f>
        <v>8</v>
      </c>
      <c r="I22" s="57">
        <f>IFERROR(__xludf.DUMMYFUNCTION("""COMPUTED_VALUE"""),0.0)</f>
        <v>0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54">
        <f>IFERROR(__xludf.DUMMYFUNCTION("""COMPUTED_VALUE"""),6.0)</f>
        <v>6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IFERROR(__xludf.DUMMYFUNCTION("""COMPUTED_VALUE"""),8.0)</f>
        <v>8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IFERROR(__xludf.DUMMYFUNCTION("""COMPUTED_VALUE"""),"TOTAL")</f>
        <v>TOTAL</v>
      </c>
      <c r="N23" s="1">
        <f>IFERROR(__xludf.DUMMYFUNCTION("""COMPUTED_VALUE"""),0.0)</f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55">
        <f>IFERROR(__xludf.DUMMYFUNCTION("""COMPUTED_VALUE"""),6.0)</f>
        <v>6</v>
      </c>
      <c r="F24" s="54">
        <f>IFERROR(__xludf.DUMMYFUNCTION("""COMPUTED_VALUE"""),2.0)</f>
        <v>2</v>
      </c>
      <c r="G24" s="55">
        <f>IFERROR(__xludf.DUMMYFUNCTION("""COMPUTED_VALUE"""),0.0)</f>
        <v>0</v>
      </c>
      <c r="H24" s="56">
        <f>IFERROR(__xludf.DUMMYFUNCTION("""COMPUTED_VALUE"""),8.0)</f>
        <v>8</v>
      </c>
      <c r="I24" s="57">
        <f>IFERROR(__xludf.DUMMYFUNCTION("""COMPUTED_VALUE"""),0.0)</f>
        <v>0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54">
        <f>IFERROR(__xludf.DUMMYFUNCTION("""COMPUTED_VALUE"""),6.0)</f>
        <v>6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IFERROR(__xludf.DUMMYFUNCTION("""COMPUTED_VALUE"""),9.0)</f>
        <v>9</v>
      </c>
      <c r="I25" s="57">
        <f>IFERROR(__xludf.DUMMYFUNCTION("""COMPUTED_VALUE"""),0.0)</f>
        <v>0</v>
      </c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55">
        <f>IFERROR(__xludf.DUMMYFUNCTION("""COMPUTED_VALUE"""),6.0)</f>
        <v>6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IFERROR(__xludf.DUMMYFUNCTION("""COMPUTED_VALUE"""),8.0)</f>
        <v>8</v>
      </c>
      <c r="I26" s="57">
        <f>IFERROR(__xludf.DUMMYFUNCTION("""COMPUTED_VALUE"""),0.0)</f>
        <v>0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54">
        <f>IFERROR(__xludf.DUMMYFUNCTION("""COMPUTED_VALUE"""),6.0)</f>
        <v>6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IFERROR(__xludf.DUMMYFUNCTION("""COMPUTED_VALUE"""),8.0)</f>
        <v>8</v>
      </c>
      <c r="I27" s="57">
        <f>IFERROR(__xludf.DUMMYFUNCTION("""COMPUTED_VALUE"""),0.0)</f>
        <v>0</v>
      </c>
      <c r="J27" s="58">
        <f>IFERROR(__xludf.DUMMYFUNCTION("""COMPUTED_VALUE"""),8.0)</f>
        <v>8</v>
      </c>
      <c r="K27" s="51"/>
      <c r="L27" s="60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54">
        <f>IFERROR(__xludf.DUMMYFUNCTION("""COMPUTED_VALUE"""),6.0)</f>
        <v>6</v>
      </c>
      <c r="F28" s="54">
        <f>IFERROR(__xludf.DUMMYFUNCTION("""COMPUTED_VALUE"""),0.0)</f>
        <v>0</v>
      </c>
      <c r="G28" s="55">
        <f>IFERROR(__xludf.DUMMYFUNCTION("""COMPUTED_VALUE"""),0.0)</f>
        <v>0</v>
      </c>
      <c r="H28" s="56">
        <f>IFERROR(__xludf.DUMMYFUNCTION("""COMPUTED_VALUE"""),6.0)</f>
        <v>6</v>
      </c>
      <c r="I28" s="57">
        <f>IFERROR(__xludf.DUMMYFUNCTION("""COMPUTED_VALUE"""),0.0)</f>
        <v>0</v>
      </c>
      <c r="J28" s="58">
        <f>IFERROR(__xludf.DUMMYFUNCTION("""COMPUTED_VALUE"""),6.0)</f>
        <v>6</v>
      </c>
      <c r="K28" s="51"/>
      <c r="L28" s="60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54">
        <f>IFERROR(__xludf.DUMMYFUNCTION("""COMPUTED_VALUE"""),6.0)</f>
        <v>6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IFERROR(__xludf.DUMMYFUNCTION("""COMPUTED_VALUE"""),8.0)</f>
        <v>8</v>
      </c>
      <c r="I29" s="57">
        <f>IFERROR(__xludf.DUMMYFUNCTION("""COMPUTED_VALUE"""),0.0)</f>
        <v>0</v>
      </c>
      <c r="J29" s="58">
        <f>IFERROR(__xludf.DUMMYFUNCTION("""COMPUTED_VALUE"""),8.0)</f>
        <v>8</v>
      </c>
      <c r="K29" s="51"/>
      <c r="L29" s="60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55">
        <f>IFERROR(__xludf.DUMMYFUNCTION("""COMPUTED_VALUE"""),6.0)</f>
        <v>6</v>
      </c>
      <c r="F30" s="54">
        <f>IFERROR(__xludf.DUMMYFUNCTION("""COMPUTED_VALUE"""),2.0)</f>
        <v>2</v>
      </c>
      <c r="G30" s="55">
        <f>IFERROR(__xludf.DUMMYFUNCTION("""COMPUTED_VALUE"""),0.0)</f>
        <v>0</v>
      </c>
      <c r="H30" s="56">
        <f>IFERROR(__xludf.DUMMYFUNCTION("""COMPUTED_VALUE"""),8.0)</f>
        <v>8</v>
      </c>
      <c r="I30" s="57">
        <f>IFERROR(__xludf.DUMMYFUNCTION("""COMPUTED_VALUE"""),0.0)</f>
        <v>0</v>
      </c>
      <c r="J30" s="58">
        <f>IFERROR(__xludf.DUMMYFUNCTION("""COMPUTED_VALUE"""),8.0)</f>
        <v>8</v>
      </c>
      <c r="K30" s="51"/>
      <c r="L30" s="60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55">
        <f>IFERROR(__xludf.DUMMYFUNCTION("""COMPUTED_VALUE"""),6.0)</f>
        <v>6</v>
      </c>
      <c r="F31" s="54">
        <f>IFERROR(__xludf.DUMMYFUNCTION("""COMPUTED_VALUE"""),2.0)</f>
        <v>2</v>
      </c>
      <c r="G31" s="55">
        <f>IFERROR(__xludf.DUMMYFUNCTION("""COMPUTED_VALUE"""),0.0)</f>
        <v>0</v>
      </c>
      <c r="H31" s="56">
        <f>IFERROR(__xludf.DUMMYFUNCTION("""COMPUTED_VALUE"""),8.0)</f>
        <v>8</v>
      </c>
      <c r="I31" s="57">
        <f>IFERROR(__xludf.DUMMYFUNCTION("""COMPUTED_VALUE"""),0.0)</f>
        <v>0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54">
        <f>IFERROR(__xludf.DUMMYFUNCTION("""COMPUTED_VALUE"""),6.0)</f>
        <v>6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IFERROR(__xludf.DUMMYFUNCTION("""COMPUTED_VALUE"""),8.0)</f>
        <v>8</v>
      </c>
      <c r="I32" s="57">
        <f>IFERROR(__xludf.DUMMYFUNCTION("""COMPUTED_VALUE"""),3.0)</f>
        <v>3</v>
      </c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54">
        <f>IFERROR(__xludf.DUMMYFUNCTION("""COMPUTED_VALUE"""),6.0)</f>
        <v>6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IFERROR(__xludf.DUMMYFUNCTION("""COMPUTED_VALUE"""),8.0)</f>
        <v>8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55">
        <f>IFERROR(__xludf.DUMMYFUNCTION("""COMPUTED_VALUE"""),7.0)</f>
        <v>7</v>
      </c>
      <c r="F34" s="54">
        <f>IFERROR(__xludf.DUMMYFUNCTION("""COMPUTED_VALUE"""),2.0)</f>
        <v>2</v>
      </c>
      <c r="G34" s="55">
        <f>IFERROR(__xludf.DUMMYFUNCTION("""COMPUTED_VALUE"""),1.0)</f>
        <v>1</v>
      </c>
      <c r="H34" s="56">
        <f>IFERROR(__xludf.DUMMYFUNCTION("""COMPUTED_VALUE"""),10.0)</f>
        <v>10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54">
        <f>IFERROR(__xludf.DUMMYFUNCTION("""COMPUTED_VALUE"""),6.0)</f>
        <v>6</v>
      </c>
      <c r="F35" s="54">
        <f>IFERROR(__xludf.DUMMYFUNCTION("""COMPUTED_VALUE"""),2.0)</f>
        <v>2</v>
      </c>
      <c r="G35" s="55">
        <f>IFERROR(__xludf.DUMMYFUNCTION("""COMPUTED_VALUE"""),0.0)</f>
        <v>0</v>
      </c>
      <c r="H35" s="56">
        <f>IFERROR(__xludf.DUMMYFUNCTION("""COMPUTED_VALUE"""),8.0)</f>
        <v>8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54">
        <f>IFERROR(__xludf.DUMMYFUNCTION("""COMPUTED_VALUE"""),7.0)</f>
        <v>7</v>
      </c>
      <c r="F36" s="54">
        <f>IFERROR(__xludf.DUMMYFUNCTION("""COMPUTED_VALUE"""),2.0)</f>
        <v>2</v>
      </c>
      <c r="G36" s="55">
        <f>IFERROR(__xludf.DUMMYFUNCTION("""COMPUTED_VALUE"""),1.0)</f>
        <v>1</v>
      </c>
      <c r="H36" s="56">
        <f>IFERROR(__xludf.DUMMYFUNCTION("""COMPUTED_VALUE"""),10.0)</f>
        <v>10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55">
        <f>IFERROR(__xludf.DUMMYFUNCTION("""COMPUTED_VALUE"""),7.0)</f>
        <v>7</v>
      </c>
      <c r="F37" s="54">
        <f>IFERROR(__xludf.DUMMYFUNCTION("""COMPUTED_VALUE"""),2.0)</f>
        <v>2</v>
      </c>
      <c r="G37" s="55">
        <f>IFERROR(__xludf.DUMMYFUNCTION("""COMPUTED_VALUE"""),1.0)</f>
        <v>1</v>
      </c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54">
        <f>IFERROR(__xludf.DUMMYFUNCTION("""COMPUTED_VALUE"""),7.0)</f>
        <v>7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IFERROR(__xludf.DUMMYFUNCTION("""COMPUTED_VALUE"""),9.0)</f>
        <v>9</v>
      </c>
      <c r="I38" s="57">
        <f>IFERROR(__xludf.DUMMYFUNCTION("""COMPUTED_VALUE"""),0.0)</f>
        <v>0</v>
      </c>
      <c r="J38" s="58">
        <f>IFERROR(__xludf.DUMMYFUNCTION("""COMPUTED_VALUE"""),9.0)</f>
        <v>9</v>
      </c>
      <c r="K38" s="51"/>
      <c r="L38" s="60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54">
        <f>IFERROR(__xludf.DUMMYFUNCTION("""COMPUTED_VALUE"""),6.0)</f>
        <v>6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IFERROR(__xludf.DUMMYFUNCTION("""COMPUTED_VALUE"""),8.0)</f>
        <v>8</v>
      </c>
      <c r="I39" s="57">
        <f>IFERROR(__xludf.DUMMYFUNCTION("""COMPUTED_VALUE"""),0.0)</f>
        <v>0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54">
        <f>IFERROR(__xludf.DUMMYFUNCTION("""COMPUTED_VALUE"""),6.0)</f>
        <v>6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IFERROR(__xludf.DUMMYFUNCTION("""COMPUTED_VALUE"""),8.0)</f>
        <v>8</v>
      </c>
      <c r="I40" s="57">
        <f>IFERROR(__xludf.DUMMYFUNCTION("""COMPUTED_VALUE"""),0.0)</f>
        <v>0</v>
      </c>
      <c r="J40" s="58">
        <f>IFERROR(__xludf.DUMMYFUNCTION("""COMPUTED_VALUE"""),8.0)</f>
        <v>8</v>
      </c>
      <c r="K40" s="51"/>
      <c r="L40" s="60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54">
        <f>IFERROR(__xludf.DUMMYFUNCTION("""COMPUTED_VALUE"""),6.0)</f>
        <v>6</v>
      </c>
      <c r="F41" s="54">
        <f>IFERROR(__xludf.DUMMYFUNCTION("""COMPUTED_VALUE"""),2.0)</f>
        <v>2</v>
      </c>
      <c r="G41" s="55">
        <f>IFERROR(__xludf.DUMMYFUNCTION("""COMPUTED_VALUE"""),1.0)</f>
        <v>1</v>
      </c>
      <c r="H41" s="56">
        <f>IFERROR(__xludf.DUMMYFUNCTION("""COMPUTED_VALUE"""),9.0)</f>
        <v>9</v>
      </c>
      <c r="I41" s="57">
        <f>IFERROR(__xludf.DUMMYFUNCTION("""COMPUTED_VALUE"""),0.0)</f>
        <v>0</v>
      </c>
      <c r="J41" s="58">
        <f>IFERROR(__xludf.DUMMYFUNCTION("""COMPUTED_VALUE"""),9.0)</f>
        <v>9</v>
      </c>
      <c r="K41" s="51"/>
      <c r="L41" s="60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54">
        <f>IFERROR(__xludf.DUMMYFUNCTION("""COMPUTED_VALUE"""),6.0)</f>
        <v>6</v>
      </c>
      <c r="F42" s="54">
        <f>IFERROR(__xludf.DUMMYFUNCTION("""COMPUTED_VALUE"""),2.0)</f>
        <v>2</v>
      </c>
      <c r="G42" s="55">
        <f>IFERROR(__xludf.DUMMYFUNCTION("""COMPUTED_VALUE"""),1.0)</f>
        <v>1</v>
      </c>
      <c r="H42" s="56">
        <f>IFERROR(__xludf.DUMMYFUNCTION("""COMPUTED_VALUE"""),9.0)</f>
        <v>9</v>
      </c>
      <c r="I42" s="57">
        <f>IFERROR(__xludf.DUMMYFUNCTION("""COMPUTED_VALUE"""),0.0)</f>
        <v>0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54">
        <f>IFERROR(__xludf.DUMMYFUNCTION("""COMPUTED_VALUE"""),6.0)</f>
        <v>6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IFERROR(__xludf.DUMMYFUNCTION("""COMPUTED_VALUE"""),8.0)</f>
        <v>8</v>
      </c>
      <c r="I43" s="57">
        <f>IFERROR(__xludf.DUMMYFUNCTION("""COMPUTED_VALUE"""),0.0)</f>
        <v>0</v>
      </c>
      <c r="J43" s="58">
        <f>IFERROR(__xludf.DUMMYFUNCTION("""COMPUTED_VALUE"""),8.0)</f>
        <v>8</v>
      </c>
      <c r="K43" s="51"/>
      <c r="L43" s="60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54">
        <f>IFERROR(__xludf.DUMMYFUNCTION("""COMPUTED_VALUE"""),6.0)</f>
        <v>6</v>
      </c>
      <c r="F44" s="54">
        <f>IFERROR(__xludf.DUMMYFUNCTION("""COMPUTED_VALUE"""),0.0)</f>
        <v>0</v>
      </c>
      <c r="G44" s="55">
        <f>IFERROR(__xludf.DUMMYFUNCTION("""COMPUTED_VALUE"""),0.0)</f>
        <v>0</v>
      </c>
      <c r="H44" s="56">
        <f>IFERROR(__xludf.DUMMYFUNCTION("""COMPUTED_VALUE"""),6.0)</f>
        <v>6</v>
      </c>
      <c r="I44" s="57">
        <f>IFERROR(__xludf.DUMMYFUNCTION("""COMPUTED_VALUE"""),0.0)</f>
        <v>0</v>
      </c>
      <c r="J44" s="58">
        <f>IFERROR(__xludf.DUMMYFUNCTION("""COMPUTED_VALUE"""),6.0)</f>
        <v>6</v>
      </c>
      <c r="K44" s="51"/>
      <c r="L44" s="60">
        <f>IFERROR(__xludf.DUMMYFUNCTION("""COMPUTED_VALUE"""),6.0)</f>
        <v>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54">
        <f>IFERROR(__xludf.DUMMYFUNCTION("""COMPUTED_VALUE"""),5.0)</f>
        <v>5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IFERROR(__xludf.DUMMYFUNCTION("""COMPUTED_VALUE"""),7.0)</f>
        <v>7</v>
      </c>
      <c r="I45" s="57">
        <f>IFERROR(__xludf.DUMMYFUNCTION("""COMPUTED_VALUE"""),0.0)</f>
        <v>0</v>
      </c>
      <c r="J45" s="58">
        <f>IFERROR(__xludf.DUMMYFUNCTION("""COMPUTED_VALUE"""),7.0)</f>
        <v>7</v>
      </c>
      <c r="K45" s="51"/>
      <c r="L45" s="60">
        <f>IFERROR(__xludf.DUMMYFUNCTION("""COMPUTED_VALUE"""),7.0)</f>
        <v>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>
        <f>IFERROR(__xludf.DUMMYFUNCTION("""COMPUTED_VALUE"""),0.0)</f>
        <v>0</v>
      </c>
      <c r="H46" s="56">
        <f>IFERROR(__xludf.DUMMYFUNCTION("""COMPUTED_VALUE"""),8.0)</f>
        <v>8</v>
      </c>
      <c r="I46" s="57">
        <f>IFERROR(__xludf.DUMMYFUNCTION("""COMPUTED_VALUE"""),0.0)</f>
        <v>0</v>
      </c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54">
        <f>IFERROR(__xludf.DUMMYFUNCTION("""COMPUTED_VALUE"""),6.0)</f>
        <v>6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IFERROR(__xludf.DUMMYFUNCTION("""COMPUTED_VALUE"""),9.0)</f>
        <v>9</v>
      </c>
      <c r="I47" s="57">
        <f>IFERROR(__xludf.DUMMYFUNCTION("""COMPUTED_VALUE"""),0.0)</f>
        <v>0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54">
        <f>IFERROR(__xludf.DUMMYFUNCTION("""COMPUTED_VALUE"""),5.0)</f>
        <v>5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IFERROR(__xludf.DUMMYFUNCTION("""COMPUTED_VALUE"""),7.0)</f>
        <v>7</v>
      </c>
      <c r="I48" s="57">
        <f>IFERROR(__xludf.DUMMYFUNCTION("""COMPUTED_VALUE"""),0.0)</f>
        <v>0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54">
        <f>IFERROR(__xludf.DUMMYFUNCTION("""COMPUTED_VALUE"""),6.0)</f>
        <v>6</v>
      </c>
      <c r="F49" s="54">
        <f>IFERROR(__xludf.DUMMYFUNCTION("""COMPUTED_VALUE"""),2.0)</f>
        <v>2</v>
      </c>
      <c r="G49" s="55">
        <f>IFERROR(__xludf.DUMMYFUNCTION("""COMPUTED_VALUE"""),0.0)</f>
        <v>0</v>
      </c>
      <c r="H49" s="56">
        <f>IFERROR(__xludf.DUMMYFUNCTION("""COMPUTED_VALUE"""),8.0)</f>
        <v>8</v>
      </c>
      <c r="I49" s="57">
        <f>IFERROR(__xludf.DUMMYFUNCTION("""COMPUTED_VALUE"""),0.0)</f>
        <v>0</v>
      </c>
      <c r="J49" s="58">
        <f>IFERROR(__xludf.DUMMYFUNCTION("""COMPUTED_VALUE"""),8.0)</f>
        <v>8</v>
      </c>
      <c r="K49" s="51"/>
      <c r="L49" s="60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>
        <f>IFERROR(__xludf.DUMMYFUNCTION("""COMPUTED_VALUE"""),0.0)</f>
        <v>0</v>
      </c>
      <c r="H50" s="56">
        <f>IFERROR(__xludf.DUMMYFUNCTION("""COMPUTED_VALUE"""),9.0)</f>
        <v>9</v>
      </c>
      <c r="I50" s="57">
        <f>IFERROR(__xludf.DUMMYFUNCTION("""COMPUTED_VALUE"""),0.0)</f>
        <v>0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54">
        <f>IFERROR(__xludf.DUMMYFUNCTION("""COMPUTED_VALUE"""),6.0)</f>
        <v>6</v>
      </c>
      <c r="F51" s="54">
        <f>IFERROR(__xludf.DUMMYFUNCTION("""COMPUTED_VALUE"""),2.0)</f>
        <v>2</v>
      </c>
      <c r="G51" s="55">
        <f>IFERROR(__xludf.DUMMYFUNCTION("""COMPUTED_VALUE"""),0.0)</f>
        <v>0</v>
      </c>
      <c r="H51" s="56">
        <f>IFERROR(__xludf.DUMMYFUNCTION("""COMPUTED_VALUE"""),8.0)</f>
        <v>8</v>
      </c>
      <c r="I51" s="57">
        <f>IFERROR(__xludf.DUMMYFUNCTION("""COMPUTED_VALUE"""),0.0)</f>
        <v>0</v>
      </c>
      <c r="J51" s="58">
        <f>IFERROR(__xludf.DUMMYFUNCTION("""COMPUTED_VALUE"""),8.0)</f>
        <v>8</v>
      </c>
      <c r="K51" s="51"/>
      <c r="L51" s="60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54">
        <f>IFERROR(__xludf.DUMMYFUNCTION("""COMPUTED_VALUE"""),6.0)</f>
        <v>6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IFERROR(__xludf.DUMMYFUNCTION("""COMPUTED_VALUE"""),8.0)</f>
        <v>8</v>
      </c>
      <c r="I52" s="57">
        <f>IFERROR(__xludf.DUMMYFUNCTION("""COMPUTED_VALUE"""),0.0)</f>
        <v>0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54">
        <f>IFERROR(__xludf.DUMMYFUNCTION("""COMPUTED_VALUE"""),6.0)</f>
        <v>6</v>
      </c>
      <c r="F53" s="54">
        <f>IFERROR(__xludf.DUMMYFUNCTION("""COMPUTED_VALUE"""),2.0)</f>
        <v>2</v>
      </c>
      <c r="G53" s="55">
        <f>IFERROR(__xludf.DUMMYFUNCTION("""COMPUTED_VALUE"""),0.0)</f>
        <v>0</v>
      </c>
      <c r="H53" s="56">
        <f>IFERROR(__xludf.DUMMYFUNCTION("""COMPUTED_VALUE"""),8.0)</f>
        <v>8</v>
      </c>
      <c r="I53" s="57">
        <f>IFERROR(__xludf.DUMMYFUNCTION("""COMPUTED_VALUE"""),2.0)</f>
        <v>2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54">
        <f>IFERROR(__xludf.DUMMYFUNCTION("""COMPUTED_VALUE"""),6.0)</f>
        <v>6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IFERROR(__xludf.DUMMYFUNCTION("""COMPUTED_VALUE"""),8.0)</f>
        <v>8</v>
      </c>
      <c r="I55" s="66">
        <f>IFERROR(__xludf.DUMMYFUNCTION("""COMPUTED_VALUE"""),0.0)</f>
        <v>0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54">
        <f>IFERROR(__xludf.DUMMYFUNCTION("""COMPUTED_VALUE"""),6.0)</f>
        <v>6</v>
      </c>
      <c r="F56" s="54">
        <f>IFERROR(__xludf.DUMMYFUNCTION("""COMPUTED_VALUE"""),2.0)</f>
        <v>2</v>
      </c>
      <c r="G56" s="55">
        <f>IFERROR(__xludf.DUMMYFUNCTION("""COMPUTED_VALUE"""),0.0)</f>
        <v>0</v>
      </c>
      <c r="H56" s="56">
        <f>IFERROR(__xludf.DUMMYFUNCTION("""COMPUTED_VALUE"""),8.0)</f>
        <v>8</v>
      </c>
      <c r="I56" s="66">
        <f>IFERROR(__xludf.DUMMYFUNCTION("""COMPUTED_VALUE"""),0.0)</f>
        <v>0</v>
      </c>
      <c r="J56" s="58">
        <f>IFERROR(__xludf.DUMMYFUNCTION("""COMPUTED_VALUE"""),8.0)</f>
        <v>8</v>
      </c>
      <c r="K56" s="51"/>
      <c r="L56" s="59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54">
        <f>IFERROR(__xludf.DUMMYFUNCTION("""COMPUTED_VALUE"""),6.0)</f>
        <v>6</v>
      </c>
      <c r="F57" s="54">
        <f>IFERROR(__xludf.DUMMYFUNCTION("""COMPUTED_VALUE"""),2.0)</f>
        <v>2</v>
      </c>
      <c r="G57" s="55">
        <f>IFERROR(__xludf.DUMMYFUNCTION("""COMPUTED_VALUE"""),0.0)</f>
        <v>0</v>
      </c>
      <c r="H57" s="56">
        <f>IFERROR(__xludf.DUMMYFUNCTION("""COMPUTED_VALUE"""),8.0)</f>
        <v>8</v>
      </c>
      <c r="I57" s="66">
        <f>IFERROR(__xludf.DUMMYFUNCTION("""COMPUTED_VALUE"""),0.0)</f>
        <v>0</v>
      </c>
      <c r="J57" s="58">
        <f>IFERROR(__xludf.DUMMYFUNCTION("""COMPUTED_VALUE"""),8.0)</f>
        <v>8</v>
      </c>
      <c r="K57" s="51"/>
      <c r="L57" s="59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54">
        <f>IFERROR(__xludf.DUMMYFUNCTION("""COMPUTED_VALUE"""),6.0)</f>
        <v>6</v>
      </c>
      <c r="F58" s="54">
        <f>IFERROR(__xludf.DUMMYFUNCTION("""COMPUTED_VALUE"""),2.0)</f>
        <v>2</v>
      </c>
      <c r="G58" s="55">
        <f>IFERROR(__xludf.DUMMYFUNCTION("""COMPUTED_VALUE"""),0.0)</f>
        <v>0</v>
      </c>
      <c r="H58" s="56">
        <f>IFERROR(__xludf.DUMMYFUNCTION("""COMPUTED_VALUE"""),8.0)</f>
        <v>8</v>
      </c>
      <c r="I58" s="66">
        <f>IFERROR(__xludf.DUMMYFUNCTION("""COMPUTED_VALUE"""),0.0)</f>
        <v>0</v>
      </c>
      <c r="J58" s="58">
        <f>IFERROR(__xludf.DUMMYFUNCTION("""COMPUTED_VALUE"""),8.0)</f>
        <v>8</v>
      </c>
      <c r="K58" s="51"/>
      <c r="L58" s="59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>
        <f>IFERROR(__xludf.DUMMYFUNCTION("""COMPUTED_VALUE"""),0.0)</f>
        <v>0</v>
      </c>
      <c r="H59" s="56">
        <f>IFERROR(__xludf.DUMMYFUNCTION("""COMPUTED_VALUE"""),8.0)</f>
        <v>8</v>
      </c>
      <c r="I59" s="66">
        <f>IFERROR(__xludf.DUMMYFUNCTION("""COMPUTED_VALUE"""),0.0)</f>
        <v>0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54">
        <f>IFERROR(__xludf.DUMMYFUNCTION("""COMPUTED_VALUE"""),6.0)</f>
        <v>6</v>
      </c>
      <c r="F60" s="54">
        <f>IFERROR(__xludf.DUMMYFUNCTION("""COMPUTED_VALUE"""),2.0)</f>
        <v>2</v>
      </c>
      <c r="G60" s="55">
        <f>IFERROR(__xludf.DUMMYFUNCTION("""COMPUTED_VALUE"""),0.0)</f>
        <v>0</v>
      </c>
      <c r="H60" s="56">
        <f>IFERROR(__xludf.DUMMYFUNCTION("""COMPUTED_VALUE"""),8.0)</f>
        <v>8</v>
      </c>
      <c r="I60" s="66">
        <f>IFERROR(__xludf.DUMMYFUNCTION("""COMPUTED_VALUE"""),0.0)</f>
        <v>0</v>
      </c>
      <c r="J60" s="58">
        <f>IFERROR(__xludf.DUMMYFUNCTION("""COMPUTED_VALUE"""),8.0)</f>
        <v>8</v>
      </c>
      <c r="K60" s="51"/>
      <c r="L60" s="59">
        <f>IFERROR(__xludf.DUMMYFUNCTION("""COMPUTED_VALUE"""),8.0)</f>
        <v>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54">
        <f>IFERROR(__xludf.DUMMYFUNCTION("""COMPUTED_VALUE"""),6.0)</f>
        <v>6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IFERROR(__xludf.DUMMYFUNCTION("""COMPUTED_VALUE"""),9.0)</f>
        <v>9</v>
      </c>
      <c r="I61" s="66">
        <f>IFERROR(__xludf.DUMMYFUNCTION("""COMPUTED_VALUE"""),0.0)</f>
        <v>0</v>
      </c>
      <c r="J61" s="58">
        <f>IFERROR(__xludf.DUMMYFUNCTION("""COMPUTED_VALUE"""),9.0)</f>
        <v>9</v>
      </c>
      <c r="K61" s="51"/>
      <c r="L61" s="59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54">
        <f>IFERROR(__xludf.DUMMYFUNCTION("""COMPUTED_VALUE"""),6.0)</f>
        <v>6</v>
      </c>
      <c r="F62" s="54">
        <f>IFERROR(__xludf.DUMMYFUNCTION("""COMPUTED_VALUE"""),2.0)</f>
        <v>2</v>
      </c>
      <c r="G62" s="55">
        <f>IFERROR(__xludf.DUMMYFUNCTION("""COMPUTED_VALUE"""),1.0)</f>
        <v>1</v>
      </c>
      <c r="H62" s="56">
        <f>IFERROR(__xludf.DUMMYFUNCTION("""COMPUTED_VALUE"""),9.0)</f>
        <v>9</v>
      </c>
      <c r="I62" s="66">
        <f>IFERROR(__xludf.DUMMYFUNCTION("""COMPUTED_VALUE"""),0.0)</f>
        <v>0</v>
      </c>
      <c r="J62" s="58">
        <f>IFERROR(__xludf.DUMMYFUNCTION("""COMPUTED_VALUE"""),9.0)</f>
        <v>9</v>
      </c>
      <c r="K62" s="51"/>
      <c r="L62" s="59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54">
        <f>IFERROR(__xludf.DUMMYFUNCTION("""COMPUTED_VALUE"""),6.0)</f>
        <v>6</v>
      </c>
      <c r="F63" s="54">
        <f>IFERROR(__xludf.DUMMYFUNCTION("""COMPUTED_VALUE"""),2.0)</f>
        <v>2</v>
      </c>
      <c r="G63" s="55">
        <f>IFERROR(__xludf.DUMMYFUNCTION("""COMPUTED_VALUE"""),1.0)</f>
        <v>1</v>
      </c>
      <c r="H63" s="56">
        <f>IFERROR(__xludf.DUMMYFUNCTION("""COMPUTED_VALUE"""),9.0)</f>
        <v>9</v>
      </c>
      <c r="I63" s="66">
        <f>IFERROR(__xludf.DUMMYFUNCTION("""COMPUTED_VALUE"""),0.0)</f>
        <v>0</v>
      </c>
      <c r="J63" s="58">
        <f>IFERROR(__xludf.DUMMYFUNCTION("""COMPUTED_VALUE"""),9.0)</f>
        <v>9</v>
      </c>
      <c r="K63" s="51"/>
      <c r="L63" s="59">
        <f>IFERROR(__xludf.DUMMYFUNCTION("""COMPUTED_VALUE"""),9.0)</f>
        <v>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8"/>
      <c r="C64" s="68"/>
      <c r="D64" s="68"/>
      <c r="E64" s="69"/>
      <c r="F64" s="68"/>
      <c r="G64" s="68"/>
      <c r="H64" s="68"/>
      <c r="I64" s="68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0"/>
      <c r="B65" s="71" t="str">
        <f>IFERROR(__xludf.DUMMYFUNCTION("""COMPUTED_VALUE"""),"No. DE ALUMNOS INSCRITOS")</f>
        <v>No. DE ALUMNOS INSCRITOS</v>
      </c>
      <c r="C65" s="72"/>
      <c r="D65" s="114">
        <f>IFERROR(__xludf.DUMMYFUNCTION("""COMPUTED_VALUE"""),47.0)</f>
        <v>47</v>
      </c>
      <c r="E65" s="68"/>
      <c r="F65" s="74" t="str">
        <f>IFERROR(__xludf.DUMMYFUNCTION("""COMPUTED_VALUE"""),"FIRMA DEL PROFESOR")</f>
        <v>FIRMA DEL PROFESOR</v>
      </c>
      <c r="G65" s="75"/>
      <c r="H65" s="74" t="str">
        <f>IFERROR(__xludf.DUMMYFUNCTION("""COMPUTED_VALUE"""),"FIRMA DEL ORIENTADOR")</f>
        <v>FIRMA DEL ORIENTADOR</v>
      </c>
      <c r="J65" s="76" t="str">
        <f>IFERROR(__xludf.DUMMYFUNCTION("""COMPUTED_VALUE"""),"Vo. Bo. SUBDIRECCIÓN ESCOLAR")</f>
        <v>Vo. Bo. SUBDIRECCIÓN ESCOLAR</v>
      </c>
      <c r="K65" s="77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0"/>
      <c r="B66" s="78" t="str">
        <f>IFERROR(__xludf.DUMMYFUNCTION("""COMPUTED_VALUE"""),"BAJAS DURANTE EL SEMESTRE")</f>
        <v>BAJAS DURANTE EL SEMESTRE</v>
      </c>
      <c r="C66" s="79"/>
      <c r="D66" s="115">
        <f>IFERROR(__xludf.DUMMYFUNCTION("""COMPUTED_VALUE"""),0.0)</f>
        <v>0</v>
      </c>
      <c r="E66" s="68"/>
      <c r="G66" s="75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0"/>
      <c r="B67" s="78" t="str">
        <f>IFERROR(__xludf.DUMMYFUNCTION("""COMPUTED_VALUE"""),"EXISTENCIA")</f>
        <v>EXISTENCIA</v>
      </c>
      <c r="C67" s="79"/>
      <c r="D67" s="116">
        <f>IFERROR(__xludf.DUMMYFUNCTION("""COMPUTED_VALUE"""),47.0)</f>
        <v>47</v>
      </c>
      <c r="E67" s="68"/>
      <c r="F67" s="82"/>
      <c r="G67" s="83"/>
      <c r="H67" s="82"/>
      <c r="I67" s="82"/>
      <c r="J67" s="84"/>
      <c r="K67" s="8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0"/>
      <c r="B68" s="78" t="str">
        <f>IFERROR(__xludf.DUMMYFUNCTION("""COMPUTED_VALUE"""),"No. DE ALUMNOS APROBADOS")</f>
        <v>No. DE ALUMNOS APROBADOS</v>
      </c>
      <c r="C68" s="79"/>
      <c r="D68" s="86">
        <f>IFERROR(__xludf.DUMMYFUNCTION("""COMPUTED_VALUE"""),47.0)</f>
        <v>47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0"/>
      <c r="B69" s="78" t="str">
        <f>IFERROR(__xludf.DUMMYFUNCTION("""COMPUTED_VALUE"""),"No. DE ALUMNOS REPROBADOS")</f>
        <v>No. DE ALUMNOS REPROBADOS</v>
      </c>
      <c r="C69" s="79"/>
      <c r="D69" s="86">
        <f>IFERROR(__xludf.DUMMYFUNCTION("""COMPUTED_VALUE"""),0.0)</f>
        <v>0</v>
      </c>
      <c r="E69" s="68"/>
      <c r="F69" s="87"/>
      <c r="G69" s="83"/>
      <c r="H69" s="87"/>
      <c r="I69" s="87"/>
      <c r="J69" s="88"/>
      <c r="K69" s="8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0"/>
      <c r="B70" s="78" t="str">
        <f>IFERROR(__xludf.DUMMYFUNCTION("""COMPUTED_VALUE"""),"% DE APROBADOS")</f>
        <v>% DE APROBADOS</v>
      </c>
      <c r="C70" s="79"/>
      <c r="D70" s="81">
        <f>IFERROR(__xludf.DUMMYFUNCTION("""COMPUTED_VALUE"""),100.0)</f>
        <v>100</v>
      </c>
      <c r="E70" s="68"/>
      <c r="F70" s="90" t="str">
        <f>IFERROR(__xludf.DUMMYFUNCTION("""COMPUTED_VALUE"""),"PROFR. ")</f>
        <v>PROFR. </v>
      </c>
      <c r="G70" s="91"/>
      <c r="H70" s="92" t="str">
        <f>IFERROR(__xludf.DUMMYFUNCTION("""COMPUTED_VALUE"""),"PROFA. JUANA RANGEL PALACIOS")</f>
        <v>PROFA. JUANA RANGEL PALACIOS</v>
      </c>
      <c r="J70" s="93" t="str">
        <f>IFERROR(__xludf.DUMMYFUNCTION("""COMPUTED_VALUE"""),"PROFR. OCTAVIO VÁZQUEZ BARRETO")</f>
        <v>PROFR. OCTAVIO VÁZQUEZ BARRETO</v>
      </c>
      <c r="K70" s="94" t="str">
        <f>IFERROR(__xludf.DUMMYFUNCTION("""COMPUTED_VALUE"""),"PROFR. ROBERTO PALOMARES MEJÍA ")</f>
        <v>PROFR. ROBERTO PALOMARES MEJÍA </v>
      </c>
      <c r="L70" s="9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0"/>
      <c r="B71" s="96" t="str">
        <f>IFERROR(__xludf.DUMMYFUNCTION("""COMPUTED_VALUE"""),"PROMEDIO")</f>
        <v>PROMEDIO</v>
      </c>
      <c r="C71" s="97"/>
      <c r="D71" s="98">
        <f>IFERROR(__xludf.DUMMYFUNCTION("""COMPUTED_VALUE"""),8.297872340425531)</f>
        <v>8.29787234</v>
      </c>
      <c r="E71" s="68"/>
      <c r="G71" s="91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100"/>
      <c r="C73" s="101"/>
      <c r="D73" s="101"/>
      <c r="E73" s="68"/>
      <c r="G73" s="7"/>
      <c r="H73" s="7"/>
      <c r="I73" s="7"/>
      <c r="J73" s="7"/>
      <c r="K73" s="102"/>
      <c r="L73" s="10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4"/>
      <c r="B74" s="68"/>
      <c r="C74" s="68"/>
      <c r="D74" s="68"/>
      <c r="E74" s="7"/>
      <c r="F74" s="1"/>
      <c r="G74" s="1"/>
      <c r="H74" s="1"/>
      <c r="I74" s="1"/>
      <c r="J74" s="1"/>
      <c r="K74" s="8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107"/>
      <c r="C76" s="107"/>
      <c r="D76" s="107"/>
      <c r="E76" s="108"/>
      <c r="F76" s="109"/>
      <c r="G76" s="109"/>
      <c r="H76" s="109"/>
      <c r="I76" s="109"/>
      <c r="J76" s="109"/>
      <c r="K76" s="110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1"/>
      <c r="C77" s="111"/>
      <c r="D77" s="111"/>
      <c r="E77" s="111"/>
      <c r="F77" s="1"/>
      <c r="G77" s="1"/>
      <c r="H77" s="1"/>
      <c r="I77" s="1"/>
      <c r="J77" s="112"/>
      <c r="K77" s="112"/>
      <c r="L77" s="1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IFERROR(__xludf.DUMMYFUNCTION("IMPORTRANGE(""Xhttps://docs.google.com/spreadsheets/d/1_AFCWkM3jCUHMVRwvoFkZ6syz5Zk2VPuCdzg3T7okfQ/edit?gid=173478312#gid=173478312"",""2-3 temas selectos de matematicas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Jorge Flores Ceron")</f>
        <v>PROFESOR (A): Jorge Flores Ceron</v>
      </c>
      <c r="B13" s="17"/>
      <c r="C13" s="18"/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MATEMÁTICAS I")</f>
        <v>TEMAS SELECTOS DE MATEMÁTICAS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IFERROR(__xludf.DUMMYFUNCTION("""COMPUTED_VALUE"""),4.6)</f>
        <v>4.6</v>
      </c>
      <c r="F17" s="54">
        <f>IFERROR(__xludf.DUMMYFUNCTION("""COMPUTED_VALUE"""),2.0)</f>
        <v>2</v>
      </c>
      <c r="G17" s="55">
        <f>IFERROR(__xludf.DUMMYFUNCTION("""COMPUTED_VALUE"""),2.0)</f>
        <v>2</v>
      </c>
      <c r="H17" s="56">
        <f>IFERROR(__xludf.DUMMYFUNCTION("""COMPUTED_VALUE"""),8.6)</f>
        <v>8.6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IFERROR(__xludf.DUMMYFUNCTION("""COMPUTED_VALUE"""),5.1)</f>
        <v>5.1</v>
      </c>
      <c r="F18" s="54">
        <f>IFERROR(__xludf.DUMMYFUNCTION("""COMPUTED_VALUE"""),2.0)</f>
        <v>2</v>
      </c>
      <c r="G18" s="55">
        <f>IFERROR(__xludf.DUMMYFUNCTION("""COMPUTED_VALUE"""),2.0)</f>
        <v>2</v>
      </c>
      <c r="H18" s="56">
        <f>IFERROR(__xludf.DUMMYFUNCTION("""COMPUTED_VALUE"""),9.1)</f>
        <v>9.1</v>
      </c>
      <c r="I18" s="57">
        <f>IFERROR(__xludf.DUMMYFUNCTION("""COMPUTED_VALUE"""),0.0)</f>
        <v>0</v>
      </c>
      <c r="J18" s="58">
        <f>IFERROR(__xludf.DUMMYFUNCTION("""COMPUTED_VALUE"""),9.0)</f>
        <v>9</v>
      </c>
      <c r="K18" s="51"/>
      <c r="L18" s="60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IFERROR(__xludf.DUMMYFUNCTION("""COMPUTED_VALUE"""),3.4)</f>
        <v>3.4</v>
      </c>
      <c r="F19" s="54">
        <f>IFERROR(__xludf.DUMMYFUNCTION("""COMPUTED_VALUE"""),2.0)</f>
        <v>2</v>
      </c>
      <c r="G19" s="55">
        <f>IFERROR(__xludf.DUMMYFUNCTION("""COMPUTED_VALUE"""),1.0)</f>
        <v>1</v>
      </c>
      <c r="H19" s="56">
        <f>IFERROR(__xludf.DUMMYFUNCTION("""COMPUTED_VALUE"""),6.4)</f>
        <v>6.4</v>
      </c>
      <c r="I19" s="57">
        <f>IFERROR(__xludf.DUMMYFUNCTION("""COMPUTED_VALUE"""),0.0)</f>
        <v>0</v>
      </c>
      <c r="J19" s="58">
        <f>IFERROR(__xludf.DUMMYFUNCTION("""COMPUTED_VALUE"""),6.0)</f>
        <v>6</v>
      </c>
      <c r="K19" s="51"/>
      <c r="L19" s="60">
        <f>IFERROR(__xludf.DUMMYFUNCTION("""COMPUTED_VALUE"""),6.0)</f>
        <v>6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IFERROR(__xludf.DUMMYFUNCTION("""COMPUTED_VALUE"""),4.7)</f>
        <v>4.7</v>
      </c>
      <c r="F20" s="54">
        <f>IFERROR(__xludf.DUMMYFUNCTION("""COMPUTED_VALUE"""),1.8)</f>
        <v>1.8</v>
      </c>
      <c r="G20" s="55">
        <f>IFERROR(__xludf.DUMMYFUNCTION("""COMPUTED_VALUE"""),0.0)</f>
        <v>0</v>
      </c>
      <c r="H20" s="56">
        <f>IFERROR(__xludf.DUMMYFUNCTION("""COMPUTED_VALUE"""),6.5)</f>
        <v>6.5</v>
      </c>
      <c r="I20" s="57">
        <f>IFERROR(__xludf.DUMMYFUNCTION("""COMPUTED_VALUE"""),1.0)</f>
        <v>1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54">
        <f>IFERROR(__xludf.DUMMYFUNCTION("""COMPUTED_VALUE"""),5.3)</f>
        <v>5.3</v>
      </c>
      <c r="F21" s="54">
        <f>IFERROR(__xludf.DUMMYFUNCTION("""COMPUTED_VALUE"""),0.0)</f>
        <v>0</v>
      </c>
      <c r="G21" s="55">
        <f>IFERROR(__xludf.DUMMYFUNCTION("""COMPUTED_VALUE"""),0.0)</f>
        <v>0</v>
      </c>
      <c r="H21" s="56">
        <f>IFERROR(__xludf.DUMMYFUNCTION("""COMPUTED_VALUE"""),5.3)</f>
        <v>5.3</v>
      </c>
      <c r="I21" s="57">
        <f>IFERROR(__xludf.DUMMYFUNCTION("""COMPUTED_VALUE"""),0.0)</f>
        <v>0</v>
      </c>
      <c r="J21" s="58">
        <f>IFERROR(__xludf.DUMMYFUNCTION("""COMPUTED_VALUE"""),5.0)</f>
        <v>5</v>
      </c>
      <c r="K21" s="51"/>
      <c r="L21" s="60">
        <f>IFERROR(__xludf.DUMMYFUNCTION("""COMPUTED_VALUE"""),5.0)</f>
        <v>5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54">
        <f>IFERROR(__xludf.DUMMYFUNCTION("""COMPUTED_VALUE"""),2.1)</f>
        <v>2.1</v>
      </c>
      <c r="F22" s="54">
        <f>IFERROR(__xludf.DUMMYFUNCTION("""COMPUTED_VALUE"""),0.0)</f>
        <v>0</v>
      </c>
      <c r="G22" s="55">
        <f>IFERROR(__xludf.DUMMYFUNCTION("""COMPUTED_VALUE"""),0.0)</f>
        <v>0</v>
      </c>
      <c r="H22" s="56">
        <f>IFERROR(__xludf.DUMMYFUNCTION("""COMPUTED_VALUE"""),2.1)</f>
        <v>2.1</v>
      </c>
      <c r="I22" s="57">
        <f>IFERROR(__xludf.DUMMYFUNCTION("""COMPUTED_VALUE"""),0.0)</f>
        <v>0</v>
      </c>
      <c r="J22" s="58">
        <f>IFERROR(__xludf.DUMMYFUNCTION("""COMPUTED_VALUE"""),5.0)</f>
        <v>5</v>
      </c>
      <c r="K22" s="51"/>
      <c r="L22" s="60">
        <f>IFERROR(__xludf.DUMMYFUNCTION("""COMPUTED_VALUE"""),2.0)</f>
        <v>2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54">
        <f>IFERROR(__xludf.DUMMYFUNCTION("""COMPUTED_VALUE"""),6.3)</f>
        <v>6.3</v>
      </c>
      <c r="F23" s="54">
        <f>IFERROR(__xludf.DUMMYFUNCTION("""COMPUTED_VALUE"""),2.0)</f>
        <v>2</v>
      </c>
      <c r="G23" s="55">
        <f>IFERROR(__xludf.DUMMYFUNCTION("""COMPUTED_VALUE"""),1.0)</f>
        <v>1</v>
      </c>
      <c r="H23" s="56">
        <f>IFERROR(__xludf.DUMMYFUNCTION("""COMPUTED_VALUE"""),9.3)</f>
        <v>9.3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IFERROR(__xludf.DUMMYFUNCTION("""COMPUTED_VALUE"""),"TOTAL")</f>
        <v>TOTAL</v>
      </c>
      <c r="N23" s="1">
        <f>IFERROR(__xludf.DUMMYFUNCTION("""COMPUTED_VALUE"""),28.0)</f>
        <v>28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55">
        <f>IFERROR(__xludf.DUMMYFUNCTION("""COMPUTED_VALUE"""),2.5)</f>
        <v>2.5</v>
      </c>
      <c r="F24" s="54">
        <f>IFERROR(__xludf.DUMMYFUNCTION("""COMPUTED_VALUE"""),1.8)</f>
        <v>1.8</v>
      </c>
      <c r="G24" s="55">
        <f>IFERROR(__xludf.DUMMYFUNCTION("""COMPUTED_VALUE"""),0.0)</f>
        <v>0</v>
      </c>
      <c r="H24" s="56">
        <f>IFERROR(__xludf.DUMMYFUNCTION("""COMPUTED_VALUE"""),4.3)</f>
        <v>4.3</v>
      </c>
      <c r="I24" s="57">
        <f>IFERROR(__xludf.DUMMYFUNCTION("""COMPUTED_VALUE"""),0.0)</f>
        <v>0</v>
      </c>
      <c r="J24" s="58">
        <f>IFERROR(__xludf.DUMMYFUNCTION("""COMPUTED_VALUE"""),5.0)</f>
        <v>5</v>
      </c>
      <c r="K24" s="51"/>
      <c r="L24" s="60">
        <f>IFERROR(__xludf.DUMMYFUNCTION("""COMPUTED_VALUE"""),4.0)</f>
        <v>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54">
        <f>IFERROR(__xludf.DUMMYFUNCTION("""COMPUTED_VALUE"""),5.4)</f>
        <v>5.4</v>
      </c>
      <c r="F25" s="54">
        <f>IFERROR(__xludf.DUMMYFUNCTION("""COMPUTED_VALUE"""),1.8)</f>
        <v>1.8</v>
      </c>
      <c r="G25" s="55">
        <f>IFERROR(__xludf.DUMMYFUNCTION("""COMPUTED_VALUE"""),1.0)</f>
        <v>1</v>
      </c>
      <c r="H25" s="56">
        <f>IFERROR(__xludf.DUMMYFUNCTION("""COMPUTED_VALUE"""),8.2)</f>
        <v>8.2</v>
      </c>
      <c r="I25" s="57">
        <f>IFERROR(__xludf.DUMMYFUNCTION("""COMPUTED_VALUE"""),0.0)</f>
        <v>0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55">
        <f>IFERROR(__xludf.DUMMYFUNCTION("""COMPUTED_VALUE"""),3.5)</f>
        <v>3.5</v>
      </c>
      <c r="F26" s="54">
        <f>IFERROR(__xludf.DUMMYFUNCTION("""COMPUTED_VALUE"""),1.8)</f>
        <v>1.8</v>
      </c>
      <c r="G26" s="55">
        <f>IFERROR(__xludf.DUMMYFUNCTION("""COMPUTED_VALUE"""),1.0)</f>
        <v>1</v>
      </c>
      <c r="H26" s="56">
        <f>IFERROR(__xludf.DUMMYFUNCTION("""COMPUTED_VALUE"""),6.3)</f>
        <v>6.3</v>
      </c>
      <c r="I26" s="57">
        <f>IFERROR(__xludf.DUMMYFUNCTION("""COMPUTED_VALUE"""),0.0)</f>
        <v>0</v>
      </c>
      <c r="J26" s="58">
        <f>IFERROR(__xludf.DUMMYFUNCTION("""COMPUTED_VALUE"""),6.0)</f>
        <v>6</v>
      </c>
      <c r="K26" s="51"/>
      <c r="L26" s="60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54">
        <f>IFERROR(__xludf.DUMMYFUNCTION("""COMPUTED_VALUE"""),4.3)</f>
        <v>4.3</v>
      </c>
      <c r="F27" s="54">
        <f>IFERROR(__xludf.DUMMYFUNCTION("""COMPUTED_VALUE"""),1.6)</f>
        <v>1.6</v>
      </c>
      <c r="G27" s="55">
        <f>IFERROR(__xludf.DUMMYFUNCTION("""COMPUTED_VALUE"""),0.0)</f>
        <v>0</v>
      </c>
      <c r="H27" s="56">
        <f>IFERROR(__xludf.DUMMYFUNCTION("""COMPUTED_VALUE"""),5.9)</f>
        <v>5.9</v>
      </c>
      <c r="I27" s="57">
        <f>IFERROR(__xludf.DUMMYFUNCTION("""COMPUTED_VALUE"""),0.0)</f>
        <v>0</v>
      </c>
      <c r="J27" s="58">
        <f>IFERROR(__xludf.DUMMYFUNCTION("""COMPUTED_VALUE"""),5.0)</f>
        <v>5</v>
      </c>
      <c r="K27" s="51"/>
      <c r="L27" s="60">
        <f>IFERROR(__xludf.DUMMYFUNCTION("""COMPUTED_VALUE"""),5.0)</f>
        <v>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54">
        <f>IFERROR(__xludf.DUMMYFUNCTION("""COMPUTED_VALUE"""),2.2)</f>
        <v>2.2</v>
      </c>
      <c r="F28" s="54">
        <f>IFERROR(__xludf.DUMMYFUNCTION("""COMPUTED_VALUE"""),0.0)</f>
        <v>0</v>
      </c>
      <c r="G28" s="55">
        <f>IFERROR(__xludf.DUMMYFUNCTION("""COMPUTED_VALUE"""),1.0)</f>
        <v>1</v>
      </c>
      <c r="H28" s="56">
        <f>IFERROR(__xludf.DUMMYFUNCTION("""COMPUTED_VALUE"""),3.2)</f>
        <v>3.2</v>
      </c>
      <c r="I28" s="57">
        <f>IFERROR(__xludf.DUMMYFUNCTION("""COMPUTED_VALUE"""),0.0)</f>
        <v>0</v>
      </c>
      <c r="J28" s="58">
        <f>IFERROR(__xludf.DUMMYFUNCTION("""COMPUTED_VALUE"""),5.0)</f>
        <v>5</v>
      </c>
      <c r="K28" s="51"/>
      <c r="L28" s="60">
        <f>IFERROR(__xludf.DUMMYFUNCTION("""COMPUTED_VALUE"""),3.0)</f>
        <v>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54">
        <f>IFERROR(__xludf.DUMMYFUNCTION("""COMPUTED_VALUE"""),8.0)</f>
        <v>8</v>
      </c>
      <c r="F29" s="54">
        <f>IFERROR(__xludf.DUMMYFUNCTION("""COMPUTED_VALUE"""),1.8)</f>
        <v>1.8</v>
      </c>
      <c r="G29" s="55">
        <f>IFERROR(__xludf.DUMMYFUNCTION("""COMPUTED_VALUE"""),1.0)</f>
        <v>1</v>
      </c>
      <c r="H29" s="56">
        <f>IFERROR(__xludf.DUMMYFUNCTION("""COMPUTED_VALUE"""),10.8)</f>
        <v>10.8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55">
        <f>IFERROR(__xludf.DUMMYFUNCTION("""COMPUTED_VALUE"""),1.9)</f>
        <v>1.9</v>
      </c>
      <c r="F30" s="54">
        <f>IFERROR(__xludf.DUMMYFUNCTION("""COMPUTED_VALUE"""),2.0)</f>
        <v>2</v>
      </c>
      <c r="G30" s="55">
        <f>IFERROR(__xludf.DUMMYFUNCTION("""COMPUTED_VALUE"""),0.0)</f>
        <v>0</v>
      </c>
      <c r="H30" s="56">
        <f>IFERROR(__xludf.DUMMYFUNCTION("""COMPUTED_VALUE"""),3.9)</f>
        <v>3.9</v>
      </c>
      <c r="I30" s="57">
        <f>IFERROR(__xludf.DUMMYFUNCTION("""COMPUTED_VALUE"""),0.0)</f>
        <v>0</v>
      </c>
      <c r="J30" s="58">
        <f>IFERROR(__xludf.DUMMYFUNCTION("""COMPUTED_VALUE"""),5.0)</f>
        <v>5</v>
      </c>
      <c r="K30" s="51"/>
      <c r="L30" s="60">
        <f>IFERROR(__xludf.DUMMYFUNCTION("""COMPUTED_VALUE"""),3.0)</f>
        <v>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55">
        <f>IFERROR(__xludf.DUMMYFUNCTION("""COMPUTED_VALUE"""),4.1)</f>
        <v>4.1</v>
      </c>
      <c r="F31" s="54">
        <f>IFERROR(__xludf.DUMMYFUNCTION("""COMPUTED_VALUE"""),2.0)</f>
        <v>2</v>
      </c>
      <c r="G31" s="55">
        <f>IFERROR(__xludf.DUMMYFUNCTION("""COMPUTED_VALUE"""),1.0)</f>
        <v>1</v>
      </c>
      <c r="H31" s="56">
        <f>IFERROR(__xludf.DUMMYFUNCTION("""COMPUTED_VALUE"""),7.1)</f>
        <v>7.1</v>
      </c>
      <c r="I31" s="57">
        <f>IFERROR(__xludf.DUMMYFUNCTION("""COMPUTED_VALUE"""),0.0)</f>
        <v>0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54">
        <f>IFERROR(__xludf.DUMMYFUNCTION("""COMPUTED_VALUE"""),0.0)</f>
        <v>0</v>
      </c>
      <c r="F32" s="54">
        <f>IFERROR(__xludf.DUMMYFUNCTION("""COMPUTED_VALUE"""),0.0)</f>
        <v>0</v>
      </c>
      <c r="G32" s="55">
        <f>IFERROR(__xludf.DUMMYFUNCTION("""COMPUTED_VALUE"""),0.0)</f>
        <v>0</v>
      </c>
      <c r="H32" s="56">
        <f>IFERROR(__xludf.DUMMYFUNCTION("""COMPUTED_VALUE"""),0.0)</f>
        <v>0</v>
      </c>
      <c r="I32" s="57">
        <f>IFERROR(__xludf.DUMMYFUNCTION("""COMPUTED_VALUE"""),0.0)</f>
        <v>0</v>
      </c>
      <c r="J32" s="58">
        <f>IFERROR(__xludf.DUMMYFUNCTION("""COMPUTED_VALUE"""),5.0)</f>
        <v>5</v>
      </c>
      <c r="K32" s="51"/>
      <c r="L32" s="60">
        <f>IFERROR(__xludf.DUMMYFUNCTION("""COMPUTED_VALUE"""),0.0)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54">
        <f>IFERROR(__xludf.DUMMYFUNCTION("""COMPUTED_VALUE"""),5.0)</f>
        <v>5</v>
      </c>
      <c r="F33" s="54">
        <f>IFERROR(__xludf.DUMMYFUNCTION("""COMPUTED_VALUE"""),1.8)</f>
        <v>1.8</v>
      </c>
      <c r="G33" s="55">
        <f>IFERROR(__xludf.DUMMYFUNCTION("""COMPUTED_VALUE"""),1.0)</f>
        <v>1</v>
      </c>
      <c r="H33" s="56">
        <f>IFERROR(__xludf.DUMMYFUNCTION("""COMPUTED_VALUE"""),7.8)</f>
        <v>7.8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55">
        <f>IFERROR(__xludf.DUMMYFUNCTION("""COMPUTED_VALUE"""),6.8)</f>
        <v>6.8</v>
      </c>
      <c r="F34" s="54">
        <f>IFERROR(__xludf.DUMMYFUNCTION("""COMPUTED_VALUE"""),0.0)</f>
        <v>0</v>
      </c>
      <c r="G34" s="55">
        <f>IFERROR(__xludf.DUMMYFUNCTION("""COMPUTED_VALUE"""),2.0)</f>
        <v>2</v>
      </c>
      <c r="H34" s="56">
        <f>IFERROR(__xludf.DUMMYFUNCTION("""COMPUTED_VALUE"""),8.8)</f>
        <v>8.8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54">
        <f>IFERROR(__xludf.DUMMYFUNCTION("""COMPUTED_VALUE"""),2.1)</f>
        <v>2.1</v>
      </c>
      <c r="F35" s="54">
        <f>IFERROR(__xludf.DUMMYFUNCTION("""COMPUTED_VALUE"""),1.8)</f>
        <v>1.8</v>
      </c>
      <c r="G35" s="55">
        <f>IFERROR(__xludf.DUMMYFUNCTION("""COMPUTED_VALUE"""),1.0)</f>
        <v>1</v>
      </c>
      <c r="H35" s="56">
        <f>IFERROR(__xludf.DUMMYFUNCTION("""COMPUTED_VALUE"""),4.9)</f>
        <v>4.9</v>
      </c>
      <c r="I35" s="57">
        <f>IFERROR(__xludf.DUMMYFUNCTION("""COMPUTED_VALUE"""),0.0)</f>
        <v>0</v>
      </c>
      <c r="J35" s="58">
        <f>IFERROR(__xludf.DUMMYFUNCTION("""COMPUTED_VALUE"""),5.0)</f>
        <v>5</v>
      </c>
      <c r="K35" s="51"/>
      <c r="L35" s="60">
        <f>IFERROR(__xludf.DUMMYFUNCTION("""COMPUTED_VALUE"""),4.0)</f>
        <v>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54">
        <f>IFERROR(__xludf.DUMMYFUNCTION("""COMPUTED_VALUE"""),2.6)</f>
        <v>2.6</v>
      </c>
      <c r="F36" s="54">
        <f>IFERROR(__xludf.DUMMYFUNCTION("""COMPUTED_VALUE"""),2.0)</f>
        <v>2</v>
      </c>
      <c r="G36" s="55">
        <f>IFERROR(__xludf.DUMMYFUNCTION("""COMPUTED_VALUE"""),2.0)</f>
        <v>2</v>
      </c>
      <c r="H36" s="56">
        <f>IFERROR(__xludf.DUMMYFUNCTION("""COMPUTED_VALUE"""),6.6)</f>
        <v>6.6</v>
      </c>
      <c r="I36" s="57">
        <f>IFERROR(__xludf.DUMMYFUNCTION("""COMPUTED_VALUE"""),0.0)</f>
        <v>0</v>
      </c>
      <c r="J36" s="58">
        <f>IFERROR(__xludf.DUMMYFUNCTION("""COMPUTED_VALUE"""),7.0)</f>
        <v>7</v>
      </c>
      <c r="K36" s="51"/>
      <c r="L36" s="60">
        <f>IFERROR(__xludf.DUMMYFUNCTION("""COMPUTED_VALUE"""),7.0)</f>
        <v>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55">
        <f>IFERROR(__xludf.DUMMYFUNCTION("""COMPUTED_VALUE"""),1.2)</f>
        <v>1.2</v>
      </c>
      <c r="F37" s="54">
        <f>IFERROR(__xludf.DUMMYFUNCTION("""COMPUTED_VALUE"""),1.4)</f>
        <v>1.4</v>
      </c>
      <c r="G37" s="55">
        <f>IFERROR(__xludf.DUMMYFUNCTION("""COMPUTED_VALUE"""),0.0)</f>
        <v>0</v>
      </c>
      <c r="H37" s="56">
        <f>IFERROR(__xludf.DUMMYFUNCTION("""COMPUTED_VALUE"""),2.5999999999999996)</f>
        <v>2.6</v>
      </c>
      <c r="I37" s="57">
        <f>IFERROR(__xludf.DUMMYFUNCTION("""COMPUTED_VALUE"""),0.0)</f>
        <v>0</v>
      </c>
      <c r="J37" s="58">
        <f>IFERROR(__xludf.DUMMYFUNCTION("""COMPUTED_VALUE"""),5.0)</f>
        <v>5</v>
      </c>
      <c r="K37" s="51"/>
      <c r="L37" s="60">
        <f>IFERROR(__xludf.DUMMYFUNCTION("""COMPUTED_VALUE"""),2.0)</f>
        <v>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54">
        <f>IFERROR(__xludf.DUMMYFUNCTION("""COMPUTED_VALUE"""),4.6)</f>
        <v>4.6</v>
      </c>
      <c r="F38" s="54">
        <f>IFERROR(__xludf.DUMMYFUNCTION("""COMPUTED_VALUE"""),2.0)</f>
        <v>2</v>
      </c>
      <c r="G38" s="55">
        <f>IFERROR(__xludf.DUMMYFUNCTION("""COMPUTED_VALUE"""),1.0)</f>
        <v>1</v>
      </c>
      <c r="H38" s="56">
        <f>IFERROR(__xludf.DUMMYFUNCTION("""COMPUTED_VALUE"""),7.6)</f>
        <v>7.6</v>
      </c>
      <c r="I38" s="57">
        <f>IFERROR(__xludf.DUMMYFUNCTION("""COMPUTED_VALUE"""),0.0)</f>
        <v>0</v>
      </c>
      <c r="J38" s="58">
        <f>IFERROR(__xludf.DUMMYFUNCTION("""COMPUTED_VALUE"""),8.0)</f>
        <v>8</v>
      </c>
      <c r="K38" s="51"/>
      <c r="L38" s="60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54">
        <f>IFERROR(__xludf.DUMMYFUNCTION("""COMPUTED_VALUE"""),1.6)</f>
        <v>1.6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IFERROR(__xludf.DUMMYFUNCTION("""COMPUTED_VALUE"""),3.6)</f>
        <v>3.6</v>
      </c>
      <c r="I39" s="57">
        <f>IFERROR(__xludf.DUMMYFUNCTION("""COMPUTED_VALUE"""),0.0)</f>
        <v>0</v>
      </c>
      <c r="J39" s="58">
        <f>IFERROR(__xludf.DUMMYFUNCTION("""COMPUTED_VALUE"""),5.0)</f>
        <v>5</v>
      </c>
      <c r="K39" s="51"/>
      <c r="L39" s="60">
        <f>IFERROR(__xludf.DUMMYFUNCTION("""COMPUTED_VALUE"""),3.0)</f>
        <v>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54">
        <f>IFERROR(__xludf.DUMMYFUNCTION("""COMPUTED_VALUE"""),3.0)</f>
        <v>3</v>
      </c>
      <c r="F40" s="54">
        <f>IFERROR(__xludf.DUMMYFUNCTION("""COMPUTED_VALUE"""),1.8)</f>
        <v>1.8</v>
      </c>
      <c r="G40" s="55">
        <f>IFERROR(__xludf.DUMMYFUNCTION("""COMPUTED_VALUE"""),1.0)</f>
        <v>1</v>
      </c>
      <c r="H40" s="56">
        <f>IFERROR(__xludf.DUMMYFUNCTION("""COMPUTED_VALUE"""),5.8)</f>
        <v>5.8</v>
      </c>
      <c r="I40" s="57">
        <f>IFERROR(__xludf.DUMMYFUNCTION("""COMPUTED_VALUE"""),0.0)</f>
        <v>0</v>
      </c>
      <c r="J40" s="58">
        <f>IFERROR(__xludf.DUMMYFUNCTION("""COMPUTED_VALUE"""),5.0)</f>
        <v>5</v>
      </c>
      <c r="K40" s="51"/>
      <c r="L40" s="60">
        <f>IFERROR(__xludf.DUMMYFUNCTION("""COMPUTED_VALUE"""),5.0)</f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54">
        <f>IFERROR(__xludf.DUMMYFUNCTION("""COMPUTED_VALUE"""),5.3)</f>
        <v>5.3</v>
      </c>
      <c r="F41" s="54">
        <f>IFERROR(__xludf.DUMMYFUNCTION("""COMPUTED_VALUE"""),1.8)</f>
        <v>1.8</v>
      </c>
      <c r="G41" s="55">
        <f>IFERROR(__xludf.DUMMYFUNCTION("""COMPUTED_VALUE"""),2.0)</f>
        <v>2</v>
      </c>
      <c r="H41" s="56">
        <f>IFERROR(__xludf.DUMMYFUNCTION("""COMPUTED_VALUE"""),9.1)</f>
        <v>9.1</v>
      </c>
      <c r="I41" s="57">
        <f>IFERROR(__xludf.DUMMYFUNCTION("""COMPUTED_VALUE"""),1.0)</f>
        <v>1</v>
      </c>
      <c r="J41" s="58">
        <f>IFERROR(__xludf.DUMMYFUNCTION("""COMPUTED_VALUE"""),9.0)</f>
        <v>9</v>
      </c>
      <c r="K41" s="51"/>
      <c r="L41" s="60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54">
        <f>IFERROR(__xludf.DUMMYFUNCTION("""COMPUTED_VALUE"""),3.5)</f>
        <v>3.5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IFERROR(__xludf.DUMMYFUNCTION("""COMPUTED_VALUE"""),5.5)</f>
        <v>5.5</v>
      </c>
      <c r="I42" s="57">
        <f>IFERROR(__xludf.DUMMYFUNCTION("""COMPUTED_VALUE"""),0.0)</f>
        <v>0</v>
      </c>
      <c r="J42" s="58">
        <f>IFERROR(__xludf.DUMMYFUNCTION("""COMPUTED_VALUE"""),5.0)</f>
        <v>5</v>
      </c>
      <c r="K42" s="51"/>
      <c r="L42" s="60">
        <f>IFERROR(__xludf.DUMMYFUNCTION("""COMPUTED_VALUE"""),5.0)</f>
        <v>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54">
        <f>IFERROR(__xludf.DUMMYFUNCTION("""COMPUTED_VALUE"""),3.8)</f>
        <v>3.8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IFERROR(__xludf.DUMMYFUNCTION("""COMPUTED_VALUE"""),5.8)</f>
        <v>5.8</v>
      </c>
      <c r="I43" s="57">
        <f>IFERROR(__xludf.DUMMYFUNCTION("""COMPUTED_VALUE"""),0.0)</f>
        <v>0</v>
      </c>
      <c r="J43" s="58">
        <f>IFERROR(__xludf.DUMMYFUNCTION("""COMPUTED_VALUE"""),5.0)</f>
        <v>5</v>
      </c>
      <c r="K43" s="51"/>
      <c r="L43" s="60">
        <f>IFERROR(__xludf.DUMMYFUNCTION("""COMPUTED_VALUE"""),5.0)</f>
        <v>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54">
        <f>IFERROR(__xludf.DUMMYFUNCTION("""COMPUTED_VALUE"""),3.3)</f>
        <v>3.3</v>
      </c>
      <c r="F44" s="54">
        <f>IFERROR(__xludf.DUMMYFUNCTION("""COMPUTED_VALUE"""),0.0)</f>
        <v>0</v>
      </c>
      <c r="G44" s="55">
        <f>IFERROR(__xludf.DUMMYFUNCTION("""COMPUTED_VALUE"""),0.0)</f>
        <v>0</v>
      </c>
      <c r="H44" s="56">
        <f>IFERROR(__xludf.DUMMYFUNCTION("""COMPUTED_VALUE"""),3.3)</f>
        <v>3.3</v>
      </c>
      <c r="I44" s="57">
        <f>IFERROR(__xludf.DUMMYFUNCTION("""COMPUTED_VALUE"""),0.0)</f>
        <v>0</v>
      </c>
      <c r="J44" s="58">
        <f>IFERROR(__xludf.DUMMYFUNCTION("""COMPUTED_VALUE"""),5.0)</f>
        <v>5</v>
      </c>
      <c r="K44" s="51"/>
      <c r="L44" s="60">
        <f>IFERROR(__xludf.DUMMYFUNCTION("""COMPUTED_VALUE"""),3.0)</f>
        <v>3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54">
        <f>IFERROR(__xludf.DUMMYFUNCTION("""COMPUTED_VALUE"""),6.3)</f>
        <v>6.3</v>
      </c>
      <c r="F45" s="54">
        <f>IFERROR(__xludf.DUMMYFUNCTION("""COMPUTED_VALUE"""),1.6)</f>
        <v>1.6</v>
      </c>
      <c r="G45" s="55">
        <f>IFERROR(__xludf.DUMMYFUNCTION("""COMPUTED_VALUE"""),0.0)</f>
        <v>0</v>
      </c>
      <c r="H45" s="56">
        <f>IFERROR(__xludf.DUMMYFUNCTION("""COMPUTED_VALUE"""),7.9)</f>
        <v>7.9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54">
        <f>IFERROR(__xludf.DUMMYFUNCTION("""COMPUTED_VALUE"""),2.3)</f>
        <v>2.3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IFERROR(__xludf.DUMMYFUNCTION("""COMPUTED_VALUE"""),5.3)</f>
        <v>5.3</v>
      </c>
      <c r="I46" s="57">
        <f>IFERROR(__xludf.DUMMYFUNCTION("""COMPUTED_VALUE"""),0.0)</f>
        <v>0</v>
      </c>
      <c r="J46" s="58">
        <f>IFERROR(__xludf.DUMMYFUNCTION("""COMPUTED_VALUE"""),5.0)</f>
        <v>5</v>
      </c>
      <c r="K46" s="51"/>
      <c r="L46" s="60">
        <f>IFERROR(__xludf.DUMMYFUNCTION("""COMPUTED_VALUE"""),5.0)</f>
        <v>5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54">
        <f>IFERROR(__xludf.DUMMYFUNCTION("""COMPUTED_VALUE"""),4.1)</f>
        <v>4.1</v>
      </c>
      <c r="F47" s="54">
        <f>IFERROR(__xludf.DUMMYFUNCTION("""COMPUTED_VALUE"""),2.0)</f>
        <v>2</v>
      </c>
      <c r="G47" s="55">
        <f>IFERROR(__xludf.DUMMYFUNCTION("""COMPUTED_VALUE"""),2.0)</f>
        <v>2</v>
      </c>
      <c r="H47" s="56">
        <f>IFERROR(__xludf.DUMMYFUNCTION("""COMPUTED_VALUE"""),8.1)</f>
        <v>8.1</v>
      </c>
      <c r="I47" s="57">
        <f>IFERROR(__xludf.DUMMYFUNCTION("""COMPUTED_VALUE"""),0.0)</f>
        <v>0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54">
        <f>IFERROR(__xludf.DUMMYFUNCTION("""COMPUTED_VALUE"""),5.6)</f>
        <v>5.6</v>
      </c>
      <c r="F48" s="54">
        <f>IFERROR(__xludf.DUMMYFUNCTION("""COMPUTED_VALUE"""),1.8)</f>
        <v>1.8</v>
      </c>
      <c r="G48" s="55">
        <f>IFERROR(__xludf.DUMMYFUNCTION("""COMPUTED_VALUE"""),1.0)</f>
        <v>1</v>
      </c>
      <c r="H48" s="56">
        <f>IFERROR(__xludf.DUMMYFUNCTION("""COMPUTED_VALUE"""),8.399999999999999)</f>
        <v>8.4</v>
      </c>
      <c r="I48" s="57">
        <f>IFERROR(__xludf.DUMMYFUNCTION("""COMPUTED_VALUE"""),0.0)</f>
        <v>0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54">
        <f>IFERROR(__xludf.DUMMYFUNCTION("""COMPUTED_VALUE"""),2.8)</f>
        <v>2.8</v>
      </c>
      <c r="F49" s="54">
        <f>IFERROR(__xludf.DUMMYFUNCTION("""COMPUTED_VALUE"""),1.4)</f>
        <v>1.4</v>
      </c>
      <c r="G49" s="55">
        <f>IFERROR(__xludf.DUMMYFUNCTION("""COMPUTED_VALUE"""),0.0)</f>
        <v>0</v>
      </c>
      <c r="H49" s="56">
        <f>IFERROR(__xludf.DUMMYFUNCTION("""COMPUTED_VALUE"""),4.199999999999999)</f>
        <v>4.2</v>
      </c>
      <c r="I49" s="57">
        <f>IFERROR(__xludf.DUMMYFUNCTION("""COMPUTED_VALUE"""),0.0)</f>
        <v>0</v>
      </c>
      <c r="J49" s="58">
        <f>IFERROR(__xludf.DUMMYFUNCTION("""COMPUTED_VALUE"""),5.0)</f>
        <v>5</v>
      </c>
      <c r="K49" s="51"/>
      <c r="L49" s="60">
        <f>IFERROR(__xludf.DUMMYFUNCTION("""COMPUTED_VALUE"""),4.0)</f>
        <v>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54">
        <f>IFERROR(__xludf.DUMMYFUNCTION("""COMPUTED_VALUE"""),5.5)</f>
        <v>5.5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IFERROR(__xludf.DUMMYFUNCTION("""COMPUTED_VALUE"""),8.5)</f>
        <v>8.5</v>
      </c>
      <c r="I50" s="57">
        <f>IFERROR(__xludf.DUMMYFUNCTION("""COMPUTED_VALUE"""),0.0)</f>
        <v>0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54">
        <f>IFERROR(__xludf.DUMMYFUNCTION("""COMPUTED_VALUE"""),4.5)</f>
        <v>4.5</v>
      </c>
      <c r="F51" s="54">
        <f>IFERROR(__xludf.DUMMYFUNCTION("""COMPUTED_VALUE"""),1.6)</f>
        <v>1.6</v>
      </c>
      <c r="G51" s="55">
        <f>IFERROR(__xludf.DUMMYFUNCTION("""COMPUTED_VALUE"""),1.0)</f>
        <v>1</v>
      </c>
      <c r="H51" s="56">
        <f>IFERROR(__xludf.DUMMYFUNCTION("""COMPUTED_VALUE"""),7.1)</f>
        <v>7.1</v>
      </c>
      <c r="I51" s="57">
        <f>IFERROR(__xludf.DUMMYFUNCTION("""COMPUTED_VALUE"""),0.0)</f>
        <v>0</v>
      </c>
      <c r="J51" s="58">
        <f>IFERROR(__xludf.DUMMYFUNCTION("""COMPUTED_VALUE"""),7.0)</f>
        <v>7</v>
      </c>
      <c r="K51" s="51"/>
      <c r="L51" s="60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54">
        <f>IFERROR(__xludf.DUMMYFUNCTION("""COMPUTED_VALUE"""),3.4)</f>
        <v>3.4</v>
      </c>
      <c r="F52" s="54">
        <f>IFERROR(__xludf.DUMMYFUNCTION("""COMPUTED_VALUE"""),1.6)</f>
        <v>1.6</v>
      </c>
      <c r="G52" s="55">
        <f>IFERROR(__xludf.DUMMYFUNCTION("""COMPUTED_VALUE"""),1.0)</f>
        <v>1</v>
      </c>
      <c r="H52" s="56">
        <f>IFERROR(__xludf.DUMMYFUNCTION("""COMPUTED_VALUE"""),6.0)</f>
        <v>6</v>
      </c>
      <c r="I52" s="57">
        <f>IFERROR(__xludf.DUMMYFUNCTION("""COMPUTED_VALUE"""),0.0)</f>
        <v>0</v>
      </c>
      <c r="J52" s="58">
        <f>IFERROR(__xludf.DUMMYFUNCTION("""COMPUTED_VALUE"""),6.0)</f>
        <v>6</v>
      </c>
      <c r="K52" s="51"/>
      <c r="L52" s="59">
        <f>IFERROR(__xludf.DUMMYFUNCTION("""COMPUTED_VALUE"""),6.0)</f>
        <v>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54">
        <f>IFERROR(__xludf.DUMMYFUNCTION("""COMPUTED_VALUE"""),4.6)</f>
        <v>4.6</v>
      </c>
      <c r="F53" s="54">
        <f>IFERROR(__xludf.DUMMYFUNCTION("""COMPUTED_VALUE"""),0.0)</f>
        <v>0</v>
      </c>
      <c r="G53" s="55">
        <f>IFERROR(__xludf.DUMMYFUNCTION("""COMPUTED_VALUE"""),0.0)</f>
        <v>0</v>
      </c>
      <c r="H53" s="56">
        <f>IFERROR(__xludf.DUMMYFUNCTION("""COMPUTED_VALUE"""),4.6)</f>
        <v>4.6</v>
      </c>
      <c r="I53" s="57">
        <f>IFERROR(__xludf.DUMMYFUNCTION("""COMPUTED_VALUE"""),2.0)</f>
        <v>2</v>
      </c>
      <c r="J53" s="58">
        <f>IFERROR(__xludf.DUMMYFUNCTION("""COMPUTED_VALUE"""),5.0)</f>
        <v>5</v>
      </c>
      <c r="K53" s="51"/>
      <c r="L53" s="59">
        <f>IFERROR(__xludf.DUMMYFUNCTION("""COMPUTED_VALUE"""),4.0)</f>
        <v>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54">
        <f>IFERROR(__xludf.DUMMYFUNCTION("""COMPUTED_VALUE"""),3.0)</f>
        <v>3</v>
      </c>
      <c r="F54" s="54">
        <f>IFERROR(__xludf.DUMMYFUNCTION("""COMPUTED_VALUE"""),2.0)</f>
        <v>2</v>
      </c>
      <c r="G54" s="55">
        <f>IFERROR(__xludf.DUMMYFUNCTION("""COMPUTED_VALUE"""),1.0)</f>
        <v>1</v>
      </c>
      <c r="H54" s="56">
        <f>IFERROR(__xludf.DUMMYFUNCTION("""COMPUTED_VALUE"""),6.0)</f>
        <v>6</v>
      </c>
      <c r="I54" s="57">
        <f>IFERROR(__xludf.DUMMYFUNCTION("""COMPUTED_VALUE"""),0.0)</f>
        <v>0</v>
      </c>
      <c r="J54" s="58">
        <f>IFERROR(__xludf.DUMMYFUNCTION("""COMPUTED_VALUE"""),6.0)</f>
        <v>6</v>
      </c>
      <c r="K54" s="51"/>
      <c r="L54" s="59">
        <f>IFERROR(__xludf.DUMMYFUNCTION("""COMPUTED_VALUE"""),6.0)</f>
        <v>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54">
        <f>IFERROR(__xludf.DUMMYFUNCTION("""COMPUTED_VALUE"""),3.0)</f>
        <v>3</v>
      </c>
      <c r="F55" s="54">
        <f>IFERROR(__xludf.DUMMYFUNCTION("""COMPUTED_VALUE"""),1.4)</f>
        <v>1.4</v>
      </c>
      <c r="G55" s="55">
        <f>IFERROR(__xludf.DUMMYFUNCTION("""COMPUTED_VALUE"""),0.0)</f>
        <v>0</v>
      </c>
      <c r="H55" s="56">
        <f>IFERROR(__xludf.DUMMYFUNCTION("""COMPUTED_VALUE"""),4.4)</f>
        <v>4.4</v>
      </c>
      <c r="I55" s="66">
        <f>IFERROR(__xludf.DUMMYFUNCTION("""COMPUTED_VALUE"""),1.0)</f>
        <v>1</v>
      </c>
      <c r="J55" s="58">
        <f>IFERROR(__xludf.DUMMYFUNCTION("""COMPUTED_VALUE"""),5.0)</f>
        <v>5</v>
      </c>
      <c r="K55" s="51"/>
      <c r="L55" s="59">
        <f>IFERROR(__xludf.DUMMYFUNCTION("""COMPUTED_VALUE"""),4.0)</f>
        <v>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54">
        <f>IFERROR(__xludf.DUMMYFUNCTION("""COMPUTED_VALUE"""),5.1)</f>
        <v>5.1</v>
      </c>
      <c r="F56" s="54">
        <f>IFERROR(__xludf.DUMMYFUNCTION("""COMPUTED_VALUE"""),0.0)</f>
        <v>0</v>
      </c>
      <c r="G56" s="55">
        <f>IFERROR(__xludf.DUMMYFUNCTION("""COMPUTED_VALUE"""),0.0)</f>
        <v>0</v>
      </c>
      <c r="H56" s="56">
        <f>IFERROR(__xludf.DUMMYFUNCTION("""COMPUTED_VALUE"""),5.1)</f>
        <v>5.1</v>
      </c>
      <c r="I56" s="66">
        <f>IFERROR(__xludf.DUMMYFUNCTION("""COMPUTED_VALUE"""),0.0)</f>
        <v>0</v>
      </c>
      <c r="J56" s="58">
        <f>IFERROR(__xludf.DUMMYFUNCTION("""COMPUTED_VALUE"""),5.0)</f>
        <v>5</v>
      </c>
      <c r="K56" s="51"/>
      <c r="L56" s="59">
        <f>IFERROR(__xludf.DUMMYFUNCTION("""COMPUTED_VALUE"""),5.0)</f>
        <v>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54">
        <f>IFERROR(__xludf.DUMMYFUNCTION("""COMPUTED_VALUE"""),0.3)</f>
        <v>0.3</v>
      </c>
      <c r="F57" s="54">
        <f>IFERROR(__xludf.DUMMYFUNCTION("""COMPUTED_VALUE"""),2.0)</f>
        <v>2</v>
      </c>
      <c r="G57" s="55">
        <f>IFERROR(__xludf.DUMMYFUNCTION("""COMPUTED_VALUE"""),0.0)</f>
        <v>0</v>
      </c>
      <c r="H57" s="56">
        <f>IFERROR(__xludf.DUMMYFUNCTION("""COMPUTED_VALUE"""),2.3)</f>
        <v>2.3</v>
      </c>
      <c r="I57" s="66">
        <f>IFERROR(__xludf.DUMMYFUNCTION("""COMPUTED_VALUE"""),1.0)</f>
        <v>1</v>
      </c>
      <c r="J57" s="58">
        <f>IFERROR(__xludf.DUMMYFUNCTION("""COMPUTED_VALUE"""),5.0)</f>
        <v>5</v>
      </c>
      <c r="K57" s="51"/>
      <c r="L57" s="59">
        <f>IFERROR(__xludf.DUMMYFUNCTION("""COMPUTED_VALUE"""),2.0)</f>
        <v>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54">
        <f>IFERROR(__xludf.DUMMYFUNCTION("""COMPUTED_VALUE"""),0.3)</f>
        <v>0.3</v>
      </c>
      <c r="F58" s="54">
        <f>IFERROR(__xludf.DUMMYFUNCTION("""COMPUTED_VALUE"""),0.0)</f>
        <v>0</v>
      </c>
      <c r="G58" s="55">
        <f>IFERROR(__xludf.DUMMYFUNCTION("""COMPUTED_VALUE"""),0.0)</f>
        <v>0</v>
      </c>
      <c r="H58" s="56">
        <f>IFERROR(__xludf.DUMMYFUNCTION("""COMPUTED_VALUE"""),0.3)</f>
        <v>0.3</v>
      </c>
      <c r="I58" s="66">
        <f>IFERROR(__xludf.DUMMYFUNCTION("""COMPUTED_VALUE"""),0.0)</f>
        <v>0</v>
      </c>
      <c r="J58" s="58">
        <f>IFERROR(__xludf.DUMMYFUNCTION("""COMPUTED_VALUE"""),5.0)</f>
        <v>5</v>
      </c>
      <c r="K58" s="51"/>
      <c r="L58" s="59">
        <f>IFERROR(__xludf.DUMMYFUNCTION("""COMPUTED_VALUE"""),0.0)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54">
        <f>IFERROR(__xludf.DUMMYFUNCTION("""COMPUTED_VALUE"""),5.1)</f>
        <v>5.1</v>
      </c>
      <c r="F59" s="54">
        <f>IFERROR(__xludf.DUMMYFUNCTION("""COMPUTED_VALUE"""),0.0)</f>
        <v>0</v>
      </c>
      <c r="G59" s="55">
        <f>IFERROR(__xludf.DUMMYFUNCTION("""COMPUTED_VALUE"""),0.0)</f>
        <v>0</v>
      </c>
      <c r="H59" s="56">
        <f>IFERROR(__xludf.DUMMYFUNCTION("""COMPUTED_VALUE"""),5.1)</f>
        <v>5.1</v>
      </c>
      <c r="I59" s="66">
        <f>IFERROR(__xludf.DUMMYFUNCTION("""COMPUTED_VALUE"""),2.0)</f>
        <v>2</v>
      </c>
      <c r="J59" s="58">
        <f>IFERROR(__xludf.DUMMYFUNCTION("""COMPUTED_VALUE"""),5.0)</f>
        <v>5</v>
      </c>
      <c r="K59" s="51"/>
      <c r="L59" s="59">
        <f>IFERROR(__xludf.DUMMYFUNCTION("""COMPUTED_VALUE"""),5.0)</f>
        <v>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54">
        <f>IFERROR(__xludf.DUMMYFUNCTION("""COMPUTED_VALUE"""),4.3)</f>
        <v>4.3</v>
      </c>
      <c r="F60" s="54">
        <f>IFERROR(__xludf.DUMMYFUNCTION("""COMPUTED_VALUE"""),1.8)</f>
        <v>1.8</v>
      </c>
      <c r="G60" s="55">
        <f>IFERROR(__xludf.DUMMYFUNCTION("""COMPUTED_VALUE"""),1.0)</f>
        <v>1</v>
      </c>
      <c r="H60" s="56">
        <f>IFERROR(__xludf.DUMMYFUNCTION("""COMPUTED_VALUE"""),7.1)</f>
        <v>7.1</v>
      </c>
      <c r="I60" s="66">
        <f>IFERROR(__xludf.DUMMYFUNCTION("""COMPUTED_VALUE"""),0.0)</f>
        <v>0</v>
      </c>
      <c r="J60" s="58">
        <f>IFERROR(__xludf.DUMMYFUNCTION("""COMPUTED_VALUE"""),7.0)</f>
        <v>7</v>
      </c>
      <c r="K60" s="51"/>
      <c r="L60" s="59">
        <f>IFERROR(__xludf.DUMMYFUNCTION("""COMPUTED_VALUE"""),7.0)</f>
        <v>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54">
        <f>IFERROR(__xludf.DUMMYFUNCTION("""COMPUTED_VALUE"""),4.3)</f>
        <v>4.3</v>
      </c>
      <c r="F61" s="54">
        <f>IFERROR(__xludf.DUMMYFUNCTION("""COMPUTED_VALUE"""),2.0)</f>
        <v>2</v>
      </c>
      <c r="G61" s="55">
        <f>IFERROR(__xludf.DUMMYFUNCTION("""COMPUTED_VALUE"""),2.0)</f>
        <v>2</v>
      </c>
      <c r="H61" s="56">
        <f>IFERROR(__xludf.DUMMYFUNCTION("""COMPUTED_VALUE"""),8.3)</f>
        <v>8.3</v>
      </c>
      <c r="I61" s="66">
        <f>IFERROR(__xludf.DUMMYFUNCTION("""COMPUTED_VALUE"""),1.0)</f>
        <v>1</v>
      </c>
      <c r="J61" s="58">
        <f>IFERROR(__xludf.DUMMYFUNCTION("""COMPUTED_VALUE"""),8.0)</f>
        <v>8</v>
      </c>
      <c r="K61" s="51"/>
      <c r="L61" s="59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54">
        <f>IFERROR(__xludf.DUMMYFUNCTION("""COMPUTED_VALUE"""),4.7)</f>
        <v>4.7</v>
      </c>
      <c r="F62" s="54">
        <f>IFERROR(__xludf.DUMMYFUNCTION("""COMPUTED_VALUE"""),2.0)</f>
        <v>2</v>
      </c>
      <c r="G62" s="55">
        <f>IFERROR(__xludf.DUMMYFUNCTION("""COMPUTED_VALUE"""),2.0)</f>
        <v>2</v>
      </c>
      <c r="H62" s="56">
        <f>IFERROR(__xludf.DUMMYFUNCTION("""COMPUTED_VALUE"""),8.7)</f>
        <v>8.7</v>
      </c>
      <c r="I62" s="66">
        <f>IFERROR(__xludf.DUMMYFUNCTION("""COMPUTED_VALUE"""),0.0)</f>
        <v>0</v>
      </c>
      <c r="J62" s="58">
        <f>IFERROR(__xludf.DUMMYFUNCTION("""COMPUTED_VALUE"""),9.0)</f>
        <v>9</v>
      </c>
      <c r="K62" s="51"/>
      <c r="L62" s="59">
        <f>IFERROR(__xludf.DUMMYFUNCTION("""COMPUTED_VALUE"""),9.0)</f>
        <v>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54">
        <f>IFERROR(__xludf.DUMMYFUNCTION("""COMPUTED_VALUE"""),4.2)</f>
        <v>4.2</v>
      </c>
      <c r="F63" s="54">
        <f>IFERROR(__xludf.DUMMYFUNCTION("""COMPUTED_VALUE"""),1.8)</f>
        <v>1.8</v>
      </c>
      <c r="G63" s="55">
        <f>IFERROR(__xludf.DUMMYFUNCTION("""COMPUTED_VALUE"""),2.0)</f>
        <v>2</v>
      </c>
      <c r="H63" s="56">
        <f>IFERROR(__xludf.DUMMYFUNCTION("""COMPUTED_VALUE"""),8.0)</f>
        <v>8</v>
      </c>
      <c r="I63" s="66">
        <f>IFERROR(__xludf.DUMMYFUNCTION("""COMPUTED_VALUE"""),0.0)</f>
        <v>0</v>
      </c>
      <c r="J63" s="58">
        <f>IFERROR(__xludf.DUMMYFUNCTION("""COMPUTED_VALUE"""),8.0)</f>
        <v>8</v>
      </c>
      <c r="K63" s="51"/>
      <c r="L63" s="59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8"/>
      <c r="C64" s="68"/>
      <c r="D64" s="68"/>
      <c r="E64" s="69"/>
      <c r="F64" s="68"/>
      <c r="G64" s="68"/>
      <c r="H64" s="68"/>
      <c r="I64" s="68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0"/>
      <c r="B65" s="71" t="str">
        <f>IFERROR(__xludf.DUMMYFUNCTION("""COMPUTED_VALUE"""),"No. DE ALUMNOS INSCRITOS")</f>
        <v>No. DE ALUMNOS INSCRITOS</v>
      </c>
      <c r="C65" s="72"/>
      <c r="D65" s="114">
        <f>IFERROR(__xludf.DUMMYFUNCTION("""COMPUTED_VALUE"""),47.0)</f>
        <v>47</v>
      </c>
      <c r="E65" s="68"/>
      <c r="F65" s="74" t="str">
        <f>IFERROR(__xludf.DUMMYFUNCTION("""COMPUTED_VALUE"""),"FIRMA DEL PROFESOR")</f>
        <v>FIRMA DEL PROFESOR</v>
      </c>
      <c r="G65" s="75"/>
      <c r="H65" s="74" t="str">
        <f>IFERROR(__xludf.DUMMYFUNCTION("""COMPUTED_VALUE"""),"FIRMA DEL ORIENTADOR")</f>
        <v>FIRMA DEL ORIENTADOR</v>
      </c>
      <c r="J65" s="76" t="str">
        <f>IFERROR(__xludf.DUMMYFUNCTION("""COMPUTED_VALUE"""),"Vo. Bo. SUBDIRECCIÓN ESCOLAR")</f>
        <v>Vo. Bo. SUBDIRECCIÓN ESCOLAR</v>
      </c>
      <c r="K65" s="77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0"/>
      <c r="B66" s="78" t="str">
        <f>IFERROR(__xludf.DUMMYFUNCTION("""COMPUTED_VALUE"""),"BAJAS DURANTE EL SEMESTRE")</f>
        <v>BAJAS DURANTE EL SEMESTRE</v>
      </c>
      <c r="C66" s="79"/>
      <c r="D66" s="115">
        <f>IFERROR(__xludf.DUMMYFUNCTION("""COMPUTED_VALUE"""),0.0)</f>
        <v>0</v>
      </c>
      <c r="E66" s="68"/>
      <c r="G66" s="75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0"/>
      <c r="B67" s="78" t="str">
        <f>IFERROR(__xludf.DUMMYFUNCTION("""COMPUTED_VALUE"""),"EXISTENCIA")</f>
        <v>EXISTENCIA</v>
      </c>
      <c r="C67" s="79"/>
      <c r="D67" s="116">
        <f>IFERROR(__xludf.DUMMYFUNCTION("""COMPUTED_VALUE"""),47.0)</f>
        <v>47</v>
      </c>
      <c r="E67" s="68"/>
      <c r="F67" s="82"/>
      <c r="G67" s="83"/>
      <c r="H67" s="82"/>
      <c r="I67" s="82"/>
      <c r="J67" s="84"/>
      <c r="K67" s="8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0"/>
      <c r="B68" s="78" t="str">
        <f>IFERROR(__xludf.DUMMYFUNCTION("""COMPUTED_VALUE"""),"No. DE ALUMNOS APROBADOS")</f>
        <v>No. DE ALUMNOS APROBADOS</v>
      </c>
      <c r="C68" s="79"/>
      <c r="D68" s="86">
        <f>IFERROR(__xludf.DUMMYFUNCTION("""COMPUTED_VALUE"""),25.0)</f>
        <v>25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0"/>
      <c r="B69" s="78" t="str">
        <f>IFERROR(__xludf.DUMMYFUNCTION("""COMPUTED_VALUE"""),"No. DE ALUMNOS REPROBADOS")</f>
        <v>No. DE ALUMNOS REPROBADOS</v>
      </c>
      <c r="C69" s="79"/>
      <c r="D69" s="86">
        <f>IFERROR(__xludf.DUMMYFUNCTION("""COMPUTED_VALUE"""),22.0)</f>
        <v>22</v>
      </c>
      <c r="E69" s="68"/>
      <c r="F69" s="87"/>
      <c r="G69" s="83"/>
      <c r="H69" s="87"/>
      <c r="I69" s="87"/>
      <c r="J69" s="88"/>
      <c r="K69" s="8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0"/>
      <c r="B70" s="78" t="str">
        <f>IFERROR(__xludf.DUMMYFUNCTION("""COMPUTED_VALUE"""),"% DE APROBADOS")</f>
        <v>% DE APROBADOS</v>
      </c>
      <c r="C70" s="79"/>
      <c r="D70" s="81">
        <f>IFERROR(__xludf.DUMMYFUNCTION("""COMPUTED_VALUE"""),53.191489361702125)</f>
        <v>53.19148936</v>
      </c>
      <c r="E70" s="68"/>
      <c r="F70" s="90" t="str">
        <f>IFERROR(__xludf.DUMMYFUNCTION("""COMPUTED_VALUE"""),"PROFR. ")</f>
        <v>PROFR. </v>
      </c>
      <c r="G70" s="91"/>
      <c r="H70" s="92" t="str">
        <f>IFERROR(__xludf.DUMMYFUNCTION("""COMPUTED_VALUE"""),"PROFA. JUANA RANGEL PALACIOS")</f>
        <v>PROFA. JUANA RANGEL PALACIOS</v>
      </c>
      <c r="J70" s="93" t="str">
        <f>IFERROR(__xludf.DUMMYFUNCTION("""COMPUTED_VALUE"""),"PROFR. OCTAVIO VÁZQUEZ BARRETO")</f>
        <v>PROFR. OCTAVIO VÁZQUEZ BARRETO</v>
      </c>
      <c r="K70" s="94" t="str">
        <f>IFERROR(__xludf.DUMMYFUNCTION("""COMPUTED_VALUE"""),"PROFR. ROBERTO PALOMARES MEJÍA ")</f>
        <v>PROFR. ROBERTO PALOMARES MEJÍA </v>
      </c>
      <c r="L70" s="9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0"/>
      <c r="B71" s="96" t="str">
        <f>IFERROR(__xludf.DUMMYFUNCTION("""COMPUTED_VALUE"""),"PROMEDIO")</f>
        <v>PROMEDIO</v>
      </c>
      <c r="C71" s="97"/>
      <c r="D71" s="98">
        <f>IFERROR(__xludf.DUMMYFUNCTION("""COMPUTED_VALUE"""),6.51063829787234)</f>
        <v>6.510638298</v>
      </c>
      <c r="E71" s="68"/>
      <c r="G71" s="91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100"/>
      <c r="C73" s="101"/>
      <c r="D73" s="101"/>
      <c r="E73" s="68"/>
      <c r="G73" s="7"/>
      <c r="H73" s="7"/>
      <c r="I73" s="7"/>
      <c r="J73" s="7"/>
      <c r="K73" s="102"/>
      <c r="L73" s="10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4"/>
      <c r="B74" s="68"/>
      <c r="C74" s="68"/>
      <c r="D74" s="68"/>
      <c r="E74" s="7"/>
      <c r="F74" s="1"/>
      <c r="G74" s="1"/>
      <c r="H74" s="1"/>
      <c r="I74" s="1"/>
      <c r="J74" s="1"/>
      <c r="K74" s="8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107"/>
      <c r="C76" s="107"/>
      <c r="D76" s="107"/>
      <c r="E76" s="108"/>
      <c r="F76" s="109"/>
      <c r="G76" s="109"/>
      <c r="H76" s="109"/>
      <c r="I76" s="109"/>
      <c r="J76" s="109"/>
      <c r="K76" s="110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1"/>
      <c r="C77" s="111"/>
      <c r="D77" s="111"/>
      <c r="E77" s="111"/>
      <c r="F77" s="1"/>
      <c r="G77" s="1"/>
      <c r="H77" s="1"/>
      <c r="I77" s="1"/>
      <c r="J77" s="112"/>
      <c r="K77" s="112"/>
      <c r="L77" s="1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IFERROR(__xludf.DUMMYFUNCTION("IMPORTRANGE(""https://docs.google.com/spreadsheets/d/1HPE5TEKBOu3O40f04LRpHNrEE5hiGRvXPuWG9UEzjKs/edit?gid=679055255#gid=679055255"",""2-3 conciencia historica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IFERROR(__xludf.DUMMYFUNCTION("""COMPUTED_VALUE"""),"BENJAMÍN BALDOMERO SALAS CASAS")</f>
        <v>BENJAMÍN BALDOMERO SALAS CASAS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IFERROR(__xludf.DUMMYFUNCTION("""COMPUTED_VALUE"""),"CONCIENCIA HISTÓRICA I")</f>
        <v>CONCIENCIA HISTÓRICA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IFERROR(__xludf.DUMMYFUNCTION("""COMPUTED_VALUE"""),7.6)</f>
        <v>7.6</v>
      </c>
      <c r="F17" s="54">
        <f>IFERROR(__xludf.DUMMYFUNCTION("""COMPUTED_VALUE"""),2.0)</f>
        <v>2</v>
      </c>
      <c r="G17" s="55"/>
      <c r="H17" s="56">
        <f>IFERROR(__xludf.DUMMYFUNCTION("""COMPUTED_VALUE"""),9.6)</f>
        <v>9.6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IFERROR(__xludf.DUMMYFUNCTION("""COMPUTED_VALUE"""),7.7)</f>
        <v>7.7</v>
      </c>
      <c r="F18" s="54">
        <f>IFERROR(__xludf.DUMMYFUNCTION("""COMPUTED_VALUE"""),2.0)</f>
        <v>2</v>
      </c>
      <c r="G18" s="55"/>
      <c r="H18" s="56">
        <f>IFERROR(__xludf.DUMMYFUNCTION("""COMPUTED_VALUE"""),9.7)</f>
        <v>9.7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IFERROR(__xludf.DUMMYFUNCTION("""COMPUTED_VALUE"""),7.0)</f>
        <v>7</v>
      </c>
      <c r="F19" s="54">
        <f>IFERROR(__xludf.DUMMYFUNCTION("""COMPUTED_VALUE"""),2.0)</f>
        <v>2</v>
      </c>
      <c r="G19" s="55"/>
      <c r="H19" s="56">
        <f>IFERROR(__xludf.DUMMYFUNCTION("""COMPUTED_VALUE"""),9.0)</f>
        <v>9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IFERROR(__xludf.DUMMYFUNCTION("""COMPUTED_VALUE"""),6.0)</f>
        <v>6</v>
      </c>
      <c r="F20" s="54">
        <f>IFERROR(__xludf.DUMMYFUNCTION("""COMPUTED_VALUE"""),2.0)</f>
        <v>2</v>
      </c>
      <c r="G20" s="55"/>
      <c r="H20" s="56">
        <f>IFERROR(__xludf.DUMMYFUNCTION("""COMPUTED_VALUE"""),8.0)</f>
        <v>8</v>
      </c>
      <c r="I20" s="57">
        <f>IFERROR(__xludf.DUMMYFUNCTION("""COMPUTED_VALUE"""),5.0)</f>
        <v>5</v>
      </c>
      <c r="J20" s="58">
        <f>IFERROR(__xludf.DUMMYFUNCTION("""COMPUTED_VALUE"""),8.0)</f>
        <v>8</v>
      </c>
      <c r="K20" s="51"/>
      <c r="L20" s="60">
        <f>IFERROR(__xludf.DUMMYFUNCTION("""COMPUTED_VALUE"""),8.0)</f>
        <v>8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54">
        <f>IFERROR(__xludf.DUMMYFUNCTION("""COMPUTED_VALUE"""),5.2)</f>
        <v>5.2</v>
      </c>
      <c r="F21" s="54">
        <f>IFERROR(__xludf.DUMMYFUNCTION("""COMPUTED_VALUE"""),0.0)</f>
        <v>0</v>
      </c>
      <c r="G21" s="55"/>
      <c r="H21" s="56">
        <f>IFERROR(__xludf.DUMMYFUNCTION("""COMPUTED_VALUE"""),5.2)</f>
        <v>5.2</v>
      </c>
      <c r="I21" s="57">
        <f>IFERROR(__xludf.DUMMYFUNCTION("""COMPUTED_VALUE"""),5.0)</f>
        <v>5</v>
      </c>
      <c r="J21" s="58">
        <f>IFERROR(__xludf.DUMMYFUNCTION("""COMPUTED_VALUE"""),5.0)</f>
        <v>5</v>
      </c>
      <c r="K21" s="51"/>
      <c r="L21" s="60">
        <f>IFERROR(__xludf.DUMMYFUNCTION("""COMPUTED_VALUE"""),5.0)</f>
        <v>5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54">
        <f>IFERROR(__xludf.DUMMYFUNCTION("""COMPUTED_VALUE"""),5.2)</f>
        <v>5.2</v>
      </c>
      <c r="F22" s="54">
        <f>IFERROR(__xludf.DUMMYFUNCTION("""COMPUTED_VALUE"""),0.0)</f>
        <v>0</v>
      </c>
      <c r="G22" s="55"/>
      <c r="H22" s="56">
        <f>IFERROR(__xludf.DUMMYFUNCTION("""COMPUTED_VALUE"""),5.2)</f>
        <v>5.2</v>
      </c>
      <c r="I22" s="57">
        <f>IFERROR(__xludf.DUMMYFUNCTION("""COMPUTED_VALUE"""),1.0)</f>
        <v>1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54">
        <f>IFERROR(__xludf.DUMMYFUNCTION("""COMPUTED_VALUE"""),6.6)</f>
        <v>6.6</v>
      </c>
      <c r="F23" s="54">
        <f>IFERROR(__xludf.DUMMYFUNCTION("""COMPUTED_VALUE"""),2.0)</f>
        <v>2</v>
      </c>
      <c r="G23" s="55"/>
      <c r="H23" s="56">
        <f>IFERROR(__xludf.DUMMYFUNCTION("""COMPUTED_VALUE"""),8.6)</f>
        <v>8.6</v>
      </c>
      <c r="I23" s="57">
        <f>IFERROR(__xludf.DUMMYFUNCTION("""COMPUTED_VALUE"""),1.0)</f>
        <v>1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IFERROR(__xludf.DUMMYFUNCTION("""COMPUTED_VALUE"""),"TOTAL")</f>
        <v>TOTAL</v>
      </c>
      <c r="N23" s="1">
        <f>IFERROR(__xludf.DUMMYFUNCTION("""COMPUTED_VALUE"""),18.0)</f>
        <v>18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55">
        <f>IFERROR(__xludf.DUMMYFUNCTION("""COMPUTED_VALUE"""),5.4)</f>
        <v>5.4</v>
      </c>
      <c r="F24" s="54">
        <f>IFERROR(__xludf.DUMMYFUNCTION("""COMPUTED_VALUE"""),0.0)</f>
        <v>0</v>
      </c>
      <c r="G24" s="55"/>
      <c r="H24" s="56">
        <f>IFERROR(__xludf.DUMMYFUNCTION("""COMPUTED_VALUE"""),5.4)</f>
        <v>5.4</v>
      </c>
      <c r="I24" s="57">
        <f>IFERROR(__xludf.DUMMYFUNCTION("""COMPUTED_VALUE"""),1.0)</f>
        <v>1</v>
      </c>
      <c r="J24" s="58">
        <f>IFERROR(__xludf.DUMMYFUNCTION("""COMPUTED_VALUE"""),5.0)</f>
        <v>5</v>
      </c>
      <c r="K24" s="51"/>
      <c r="L24" s="60">
        <f>IFERROR(__xludf.DUMMYFUNCTION("""COMPUTED_VALUE"""),5.0)</f>
        <v>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54">
        <f>IFERROR(__xludf.DUMMYFUNCTION("""COMPUTED_VALUE"""),6.9)</f>
        <v>6.9</v>
      </c>
      <c r="F25" s="54">
        <f>IFERROR(__xludf.DUMMYFUNCTION("""COMPUTED_VALUE"""),0.0)</f>
        <v>0</v>
      </c>
      <c r="G25" s="55">
        <f>IFERROR(__xludf.DUMMYFUNCTION("""COMPUTED_VALUE"""),1.0)</f>
        <v>1</v>
      </c>
      <c r="H25" s="56">
        <f>IFERROR(__xludf.DUMMYFUNCTION("""COMPUTED_VALUE"""),7.9)</f>
        <v>7.9</v>
      </c>
      <c r="I25" s="57">
        <f>IFERROR(__xludf.DUMMYFUNCTION("""COMPUTED_VALUE"""),1.0)</f>
        <v>1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55">
        <f>IFERROR(__xludf.DUMMYFUNCTION("""COMPUTED_VALUE"""),5.7)</f>
        <v>5.7</v>
      </c>
      <c r="F26" s="54">
        <f>IFERROR(__xludf.DUMMYFUNCTION("""COMPUTED_VALUE"""),2.0)</f>
        <v>2</v>
      </c>
      <c r="G26" s="55"/>
      <c r="H26" s="56">
        <f>IFERROR(__xludf.DUMMYFUNCTION("""COMPUTED_VALUE"""),7.7)</f>
        <v>7.7</v>
      </c>
      <c r="I26" s="57">
        <f>IFERROR(__xludf.DUMMYFUNCTION("""COMPUTED_VALUE"""),2.0)</f>
        <v>2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54">
        <f>IFERROR(__xludf.DUMMYFUNCTION("""COMPUTED_VALUE"""),7.1)</f>
        <v>7.1</v>
      </c>
      <c r="F27" s="54">
        <f>IFERROR(__xludf.DUMMYFUNCTION("""COMPUTED_VALUE"""),2.0)</f>
        <v>2</v>
      </c>
      <c r="G27" s="55"/>
      <c r="H27" s="56">
        <f>IFERROR(__xludf.DUMMYFUNCTION("""COMPUTED_VALUE"""),9.1)</f>
        <v>9.1</v>
      </c>
      <c r="I27" s="57">
        <f>IFERROR(__xludf.DUMMYFUNCTION("""COMPUTED_VALUE"""),3.0)</f>
        <v>3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54">
        <f>IFERROR(__xludf.DUMMYFUNCTION("""COMPUTED_VALUE"""),4.2)</f>
        <v>4.2</v>
      </c>
      <c r="F28" s="54">
        <f>IFERROR(__xludf.DUMMYFUNCTION("""COMPUTED_VALUE"""),2.0)</f>
        <v>2</v>
      </c>
      <c r="G28" s="55"/>
      <c r="H28" s="56">
        <f>IFERROR(__xludf.DUMMYFUNCTION("""COMPUTED_VALUE"""),6.2)</f>
        <v>6.2</v>
      </c>
      <c r="I28" s="57">
        <f>IFERROR(__xludf.DUMMYFUNCTION("""COMPUTED_VALUE"""),0.0)</f>
        <v>0</v>
      </c>
      <c r="J28" s="58">
        <f>IFERROR(__xludf.DUMMYFUNCTION("""COMPUTED_VALUE"""),6.0)</f>
        <v>6</v>
      </c>
      <c r="K28" s="51"/>
      <c r="L28" s="60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54">
        <f>IFERROR(__xludf.DUMMYFUNCTION("""COMPUTED_VALUE"""),6.7)</f>
        <v>6.7</v>
      </c>
      <c r="F29" s="54">
        <f>IFERROR(__xludf.DUMMYFUNCTION("""COMPUTED_VALUE"""),2.0)</f>
        <v>2</v>
      </c>
      <c r="G29" s="55"/>
      <c r="H29" s="56">
        <f>IFERROR(__xludf.DUMMYFUNCTION("""COMPUTED_VALUE"""),8.7)</f>
        <v>8.7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55">
        <f>IFERROR(__xludf.DUMMYFUNCTION("""COMPUTED_VALUE"""),6.6)</f>
        <v>6.6</v>
      </c>
      <c r="F30" s="54">
        <f>IFERROR(__xludf.DUMMYFUNCTION("""COMPUTED_VALUE"""),2.0)</f>
        <v>2</v>
      </c>
      <c r="G30" s="55"/>
      <c r="H30" s="56">
        <f>IFERROR(__xludf.DUMMYFUNCTION("""COMPUTED_VALUE"""),8.6)</f>
        <v>8.6</v>
      </c>
      <c r="I30" s="57">
        <f>IFERROR(__xludf.DUMMYFUNCTION("""COMPUTED_VALUE"""),0.0)</f>
        <v>0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54">
        <f>IFERROR(__xludf.DUMMYFUNCTION("""COMPUTED_VALUE"""),5.6)</f>
        <v>5.6</v>
      </c>
      <c r="F32" s="54">
        <f>IFERROR(__xludf.DUMMYFUNCTION("""COMPUTED_VALUE"""),0.0)</f>
        <v>0</v>
      </c>
      <c r="G32" s="55"/>
      <c r="H32" s="56">
        <f>IFERROR(__xludf.DUMMYFUNCTION("""COMPUTED_VALUE"""),5.6)</f>
        <v>5.6</v>
      </c>
      <c r="I32" s="57">
        <f>IFERROR(__xludf.DUMMYFUNCTION("""COMPUTED_VALUE"""),3.0)</f>
        <v>3</v>
      </c>
      <c r="J32" s="58">
        <f>IFERROR(__xludf.DUMMYFUNCTION("""COMPUTED_VALUE"""),5.0)</f>
        <v>5</v>
      </c>
      <c r="K32" s="51"/>
      <c r="L32" s="60">
        <f>IFERROR(__xludf.DUMMYFUNCTION("""COMPUTED_VALUE"""),5.0)</f>
        <v>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54">
        <f>IFERROR(__xludf.DUMMYFUNCTION("""COMPUTED_VALUE"""),7.7)</f>
        <v>7.7</v>
      </c>
      <c r="F33" s="54">
        <f>IFERROR(__xludf.DUMMYFUNCTION("""COMPUTED_VALUE"""),2.0)</f>
        <v>2</v>
      </c>
      <c r="G33" s="55"/>
      <c r="H33" s="56">
        <f>IFERROR(__xludf.DUMMYFUNCTION("""COMPUTED_VALUE"""),9.7)</f>
        <v>9.7</v>
      </c>
      <c r="I33" s="57">
        <f>IFERROR(__xludf.DUMMYFUNCTION("""COMPUTED_VALUE"""),1.0)</f>
        <v>1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55">
        <f>IFERROR(__xludf.DUMMYFUNCTION("""COMPUTED_VALUE"""),5.9)</f>
        <v>5.9</v>
      </c>
      <c r="F34" s="54">
        <f>IFERROR(__xludf.DUMMYFUNCTION("""COMPUTED_VALUE"""),2.0)</f>
        <v>2</v>
      </c>
      <c r="G34" s="55">
        <f>IFERROR(__xludf.DUMMYFUNCTION("""COMPUTED_VALUE"""),1.0)</f>
        <v>1</v>
      </c>
      <c r="H34" s="56">
        <f>IFERROR(__xludf.DUMMYFUNCTION("""COMPUTED_VALUE"""),8.9)</f>
        <v>8.9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54">
        <f>IFERROR(__xludf.DUMMYFUNCTION("""COMPUTED_VALUE"""),6.3)</f>
        <v>6.3</v>
      </c>
      <c r="F35" s="54">
        <f>IFERROR(__xludf.DUMMYFUNCTION("""COMPUTED_VALUE"""),2.0)</f>
        <v>2</v>
      </c>
      <c r="G35" s="55"/>
      <c r="H35" s="56">
        <f>IFERROR(__xludf.DUMMYFUNCTION("""COMPUTED_VALUE"""),8.3)</f>
        <v>8.3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54">
        <f>IFERROR(__xludf.DUMMYFUNCTION("""COMPUTED_VALUE"""),7.5)</f>
        <v>7.5</v>
      </c>
      <c r="F36" s="54">
        <f>IFERROR(__xludf.DUMMYFUNCTION("""COMPUTED_VALUE"""),2.0)</f>
        <v>2</v>
      </c>
      <c r="G36" s="55">
        <f>IFERROR(__xludf.DUMMYFUNCTION("""COMPUTED_VALUE"""),1.0)</f>
        <v>1</v>
      </c>
      <c r="H36" s="56">
        <f>IFERROR(__xludf.DUMMYFUNCTION("""COMPUTED_VALUE"""),10.5)</f>
        <v>10.5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55">
        <f>IFERROR(__xludf.DUMMYFUNCTION("""COMPUTED_VALUE"""),5.6)</f>
        <v>5.6</v>
      </c>
      <c r="F37" s="54">
        <f>IFERROR(__xludf.DUMMYFUNCTION("""COMPUTED_VALUE"""),2.0)</f>
        <v>2</v>
      </c>
      <c r="G37" s="55">
        <f>IFERROR(__xludf.DUMMYFUNCTION("""COMPUTED_VALUE"""),1.0)</f>
        <v>1</v>
      </c>
      <c r="H37" s="56">
        <f>IFERROR(__xludf.DUMMYFUNCTION("""COMPUTED_VALUE"""),8.6)</f>
        <v>8.6</v>
      </c>
      <c r="I37" s="57">
        <f>IFERROR(__xludf.DUMMYFUNCTION("""COMPUTED_VALUE"""),3.0)</f>
        <v>3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54">
        <f>IFERROR(__xludf.DUMMYFUNCTION("""COMPUTED_VALUE"""),4.9)</f>
        <v>4.9</v>
      </c>
      <c r="F38" s="54">
        <f>IFERROR(__xludf.DUMMYFUNCTION("""COMPUTED_VALUE"""),2.0)</f>
        <v>2</v>
      </c>
      <c r="G38" s="55"/>
      <c r="H38" s="56">
        <f>IFERROR(__xludf.DUMMYFUNCTION("""COMPUTED_VALUE"""),6.9)</f>
        <v>6.9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54">
        <f>IFERROR(__xludf.DUMMYFUNCTION("""COMPUTED_VALUE"""),5.8)</f>
        <v>5.8</v>
      </c>
      <c r="F39" s="54">
        <f>IFERROR(__xludf.DUMMYFUNCTION("""COMPUTED_VALUE"""),0.0)</f>
        <v>0</v>
      </c>
      <c r="G39" s="55"/>
      <c r="H39" s="56">
        <f>IFERROR(__xludf.DUMMYFUNCTION("""COMPUTED_VALUE"""),5.8)</f>
        <v>5.8</v>
      </c>
      <c r="I39" s="57">
        <f>IFERROR(__xludf.DUMMYFUNCTION("""COMPUTED_VALUE"""),3.0)</f>
        <v>3</v>
      </c>
      <c r="J39" s="58">
        <f>IFERROR(__xludf.DUMMYFUNCTION("""COMPUTED_VALUE"""),5.0)</f>
        <v>5</v>
      </c>
      <c r="K39" s="51"/>
      <c r="L39" s="60">
        <f>IFERROR(__xludf.DUMMYFUNCTION("""COMPUTED_VALUE"""),5.0)</f>
        <v>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54">
        <f>IFERROR(__xludf.DUMMYFUNCTION("""COMPUTED_VALUE"""),6.7)</f>
        <v>6.7</v>
      </c>
      <c r="F40" s="54">
        <f>IFERROR(__xludf.DUMMYFUNCTION("""COMPUTED_VALUE"""),2.0)</f>
        <v>2</v>
      </c>
      <c r="G40" s="55"/>
      <c r="H40" s="56">
        <f>IFERROR(__xludf.DUMMYFUNCTION("""COMPUTED_VALUE"""),8.7)</f>
        <v>8.7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54">
        <f>IFERROR(__xludf.DUMMYFUNCTION("""COMPUTED_VALUE"""),7.4)</f>
        <v>7.4</v>
      </c>
      <c r="F41" s="54">
        <f>IFERROR(__xludf.DUMMYFUNCTION("""COMPUTED_VALUE"""),2.0)</f>
        <v>2</v>
      </c>
      <c r="G41" s="55">
        <f>IFERROR(__xludf.DUMMYFUNCTION("""COMPUTED_VALUE"""),1.0)</f>
        <v>1</v>
      </c>
      <c r="H41" s="56">
        <f>IFERROR(__xludf.DUMMYFUNCTION("""COMPUTED_VALUE"""),10.4)</f>
        <v>10.4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54">
        <f>IFERROR(__xludf.DUMMYFUNCTION("""COMPUTED_VALUE"""),7.6)</f>
        <v>7.6</v>
      </c>
      <c r="F42" s="54">
        <f>IFERROR(__xludf.DUMMYFUNCTION("""COMPUTED_VALUE"""),2.0)</f>
        <v>2</v>
      </c>
      <c r="G42" s="55">
        <f>IFERROR(__xludf.DUMMYFUNCTION("""COMPUTED_VALUE"""),1.0)</f>
        <v>1</v>
      </c>
      <c r="H42" s="56">
        <f>IFERROR(__xludf.DUMMYFUNCTION("""COMPUTED_VALUE"""),10.6)</f>
        <v>10.6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IFERROR(__xludf.DUMMYFUNCTION("""COMPUTED_VALUE"""),11.0)</f>
        <v>11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54">
        <f>IFERROR(__xludf.DUMMYFUNCTION("""COMPUTED_VALUE"""),6.2)</f>
        <v>6.2</v>
      </c>
      <c r="F43" s="54">
        <f>IFERROR(__xludf.DUMMYFUNCTION("""COMPUTED_VALUE"""),0.0)</f>
        <v>0</v>
      </c>
      <c r="G43" s="55"/>
      <c r="H43" s="56">
        <f>IFERROR(__xludf.DUMMYFUNCTION("""COMPUTED_VALUE"""),6.2)</f>
        <v>6.2</v>
      </c>
      <c r="I43" s="57">
        <f>IFERROR(__xludf.DUMMYFUNCTION("""COMPUTED_VALUE"""),0.0)</f>
        <v>0</v>
      </c>
      <c r="J43" s="58">
        <f>IFERROR(__xludf.DUMMYFUNCTION("""COMPUTED_VALUE"""),6.0)</f>
        <v>6</v>
      </c>
      <c r="K43" s="51"/>
      <c r="L43" s="60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54">
        <f>IFERROR(__xludf.DUMMYFUNCTION("""COMPUTED_VALUE"""),3.0)</f>
        <v>3</v>
      </c>
      <c r="F44" s="54">
        <f>IFERROR(__xludf.DUMMYFUNCTION("""COMPUTED_VALUE"""),0.0)</f>
        <v>0</v>
      </c>
      <c r="G44" s="55"/>
      <c r="H44" s="56">
        <f>IFERROR(__xludf.DUMMYFUNCTION("""COMPUTED_VALUE"""),3.0)</f>
        <v>3</v>
      </c>
      <c r="I44" s="57">
        <f>IFERROR(__xludf.DUMMYFUNCTION("""COMPUTED_VALUE"""),0.0)</f>
        <v>0</v>
      </c>
      <c r="J44" s="58">
        <f>IFERROR(__xludf.DUMMYFUNCTION("""COMPUTED_VALUE"""),5.0)</f>
        <v>5</v>
      </c>
      <c r="K44" s="51"/>
      <c r="L44" s="60">
        <f>IFERROR(__xludf.DUMMYFUNCTION("""COMPUTED_VALUE"""),3.0)</f>
        <v>3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54">
        <f>IFERROR(__xludf.DUMMYFUNCTION("""COMPUTED_VALUE"""),5.7)</f>
        <v>5.7</v>
      </c>
      <c r="F45" s="54">
        <f>IFERROR(__xludf.DUMMYFUNCTION("""COMPUTED_VALUE"""),2.0)</f>
        <v>2</v>
      </c>
      <c r="G45" s="55"/>
      <c r="H45" s="56">
        <f>IFERROR(__xludf.DUMMYFUNCTION("""COMPUTED_VALUE"""),7.7)</f>
        <v>7.7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54">
        <f>IFERROR(__xludf.DUMMYFUNCTION("""COMPUTED_VALUE"""),6.2)</f>
        <v>6.2</v>
      </c>
      <c r="F46" s="54">
        <f>IFERROR(__xludf.DUMMYFUNCTION("""COMPUTED_VALUE"""),2.0)</f>
        <v>2</v>
      </c>
      <c r="G46" s="55"/>
      <c r="H46" s="56">
        <f>IFERROR(__xludf.DUMMYFUNCTION("""COMPUTED_VALUE"""),8.2)</f>
        <v>8.2</v>
      </c>
      <c r="I46" s="57">
        <f>IFERROR(__xludf.DUMMYFUNCTION("""COMPUTED_VALUE"""),0.0)</f>
        <v>0</v>
      </c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54">
        <f>IFERROR(__xludf.DUMMYFUNCTION("""COMPUTED_VALUE"""),7.7)</f>
        <v>7.7</v>
      </c>
      <c r="F47" s="54">
        <f>IFERROR(__xludf.DUMMYFUNCTION("""COMPUTED_VALUE"""),2.0)</f>
        <v>2</v>
      </c>
      <c r="G47" s="55"/>
      <c r="H47" s="56">
        <f>IFERROR(__xludf.DUMMYFUNCTION("""COMPUTED_VALUE"""),9.7)</f>
        <v>9.7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54">
        <f>IFERROR(__xludf.DUMMYFUNCTION("""COMPUTED_VALUE"""),4.9)</f>
        <v>4.9</v>
      </c>
      <c r="F48" s="54">
        <f>IFERROR(__xludf.DUMMYFUNCTION("""COMPUTED_VALUE"""),2.0)</f>
        <v>2</v>
      </c>
      <c r="G48" s="55"/>
      <c r="H48" s="56">
        <f>IFERROR(__xludf.DUMMYFUNCTION("""COMPUTED_VALUE"""),6.9)</f>
        <v>6.9</v>
      </c>
      <c r="I48" s="57">
        <f>IFERROR(__xludf.DUMMYFUNCTION("""COMPUTED_VALUE"""),1.0)</f>
        <v>1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54">
        <f>IFERROR(__xludf.DUMMYFUNCTION("""COMPUTED_VALUE"""),6.4)</f>
        <v>6.4</v>
      </c>
      <c r="F49" s="54">
        <f>IFERROR(__xludf.DUMMYFUNCTION("""COMPUTED_VALUE"""),2.0)</f>
        <v>2</v>
      </c>
      <c r="G49" s="55"/>
      <c r="H49" s="56">
        <f>IFERROR(__xludf.DUMMYFUNCTION("""COMPUTED_VALUE"""),8.4)</f>
        <v>8.4</v>
      </c>
      <c r="I49" s="57">
        <f>IFERROR(__xludf.DUMMYFUNCTION("""COMPUTED_VALUE"""),1.0)</f>
        <v>1</v>
      </c>
      <c r="J49" s="58">
        <f>IFERROR(__xludf.DUMMYFUNCTION("""COMPUTED_VALUE"""),8.0)</f>
        <v>8</v>
      </c>
      <c r="K49" s="51"/>
      <c r="L49" s="60">
        <f>IFERROR(__xludf.DUMMYFUNCTION("""COMPUTED_VALUE"""),8.0)</f>
        <v>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54">
        <f>IFERROR(__xludf.DUMMYFUNCTION("""COMPUTED_VALUE"""),7.6)</f>
        <v>7.6</v>
      </c>
      <c r="F50" s="54">
        <f>IFERROR(__xludf.DUMMYFUNCTION("""COMPUTED_VALUE"""),2.0)</f>
        <v>2</v>
      </c>
      <c r="G50" s="55"/>
      <c r="H50" s="56">
        <f>IFERROR(__xludf.DUMMYFUNCTION("""COMPUTED_VALUE"""),9.6)</f>
        <v>9.6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54">
        <f>IFERROR(__xludf.DUMMYFUNCTION("""COMPUTED_VALUE"""),6.7)</f>
        <v>6.7</v>
      </c>
      <c r="F51" s="54">
        <f>IFERROR(__xludf.DUMMYFUNCTION("""COMPUTED_VALUE"""),2.0)</f>
        <v>2</v>
      </c>
      <c r="G51" s="55"/>
      <c r="H51" s="56">
        <f>IFERROR(__xludf.DUMMYFUNCTION("""COMPUTED_VALUE"""),8.7)</f>
        <v>8.7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54">
        <f>IFERROR(__xludf.DUMMYFUNCTION("""COMPUTED_VALUE"""),4.9)</f>
        <v>4.9</v>
      </c>
      <c r="F52" s="54">
        <f>IFERROR(__xludf.DUMMYFUNCTION("""COMPUTED_VALUE"""),0.0)</f>
        <v>0</v>
      </c>
      <c r="G52" s="55"/>
      <c r="H52" s="56">
        <f>IFERROR(__xludf.DUMMYFUNCTION("""COMPUTED_VALUE"""),4.9)</f>
        <v>4.9</v>
      </c>
      <c r="I52" s="57">
        <f>IFERROR(__xludf.DUMMYFUNCTION("""COMPUTED_VALUE"""),0.0)</f>
        <v>0</v>
      </c>
      <c r="J52" s="58">
        <f>IFERROR(__xludf.DUMMYFUNCTION("""COMPUTED_VALUE"""),5.0)</f>
        <v>5</v>
      </c>
      <c r="K52" s="51"/>
      <c r="L52" s="59">
        <f>IFERROR(__xludf.DUMMYFUNCTION("""COMPUTED_VALUE"""),4.0)</f>
        <v>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54">
        <f>IFERROR(__xludf.DUMMYFUNCTION("""COMPUTED_VALUE"""),3.8)</f>
        <v>3.8</v>
      </c>
      <c r="F53" s="54">
        <f>IFERROR(__xludf.DUMMYFUNCTION("""COMPUTED_VALUE"""),0.0)</f>
        <v>0</v>
      </c>
      <c r="G53" s="55"/>
      <c r="H53" s="56">
        <f>IFERROR(__xludf.DUMMYFUNCTION("""COMPUTED_VALUE"""),3.8)</f>
        <v>3.8</v>
      </c>
      <c r="I53" s="57">
        <f>IFERROR(__xludf.DUMMYFUNCTION("""COMPUTED_VALUE"""),0.0)</f>
        <v>0</v>
      </c>
      <c r="J53" s="58">
        <f>IFERROR(__xludf.DUMMYFUNCTION("""COMPUTED_VALUE"""),5.0)</f>
        <v>5</v>
      </c>
      <c r="K53" s="51"/>
      <c r="L53" s="59">
        <f>IFERROR(__xludf.DUMMYFUNCTION("""COMPUTED_VALUE"""),3.0)</f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54">
        <f>IFERROR(__xludf.DUMMYFUNCTION("""COMPUTED_VALUE"""),6.5)</f>
        <v>6.5</v>
      </c>
      <c r="F54" s="54">
        <f>IFERROR(__xludf.DUMMYFUNCTION("""COMPUTED_VALUE"""),2.0)</f>
        <v>2</v>
      </c>
      <c r="G54" s="55"/>
      <c r="H54" s="56">
        <f>IFERROR(__xludf.DUMMYFUNCTION("""COMPUTED_VALUE"""),8.5)</f>
        <v>8.5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54">
        <f>IFERROR(__xludf.DUMMYFUNCTION("""COMPUTED_VALUE"""),5.4)</f>
        <v>5.4</v>
      </c>
      <c r="F55" s="54">
        <f>IFERROR(__xludf.DUMMYFUNCTION("""COMPUTED_VALUE"""),2.0)</f>
        <v>2</v>
      </c>
      <c r="G55" s="55"/>
      <c r="H55" s="56">
        <f>IFERROR(__xludf.DUMMYFUNCTION("""COMPUTED_VALUE"""),7.4)</f>
        <v>7.4</v>
      </c>
      <c r="I55" s="66">
        <f>IFERROR(__xludf.DUMMYFUNCTION("""COMPUTED_VALUE"""),3.0)</f>
        <v>3</v>
      </c>
      <c r="J55" s="58">
        <f>IFERROR(__xludf.DUMMYFUNCTION("""COMPUTED_VALUE"""),7.0)</f>
        <v>7</v>
      </c>
      <c r="K55" s="51"/>
      <c r="L55" s="59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54">
        <f>IFERROR(__xludf.DUMMYFUNCTION("""COMPUTED_VALUE"""),6.5)</f>
        <v>6.5</v>
      </c>
      <c r="F56" s="54">
        <f>IFERROR(__xludf.DUMMYFUNCTION("""COMPUTED_VALUE"""),2.0)</f>
        <v>2</v>
      </c>
      <c r="G56" s="55"/>
      <c r="H56" s="56">
        <f>IFERROR(__xludf.DUMMYFUNCTION("""COMPUTED_VALUE"""),8.5)</f>
        <v>8.5</v>
      </c>
      <c r="I56" s="66">
        <f>IFERROR(__xludf.DUMMYFUNCTION("""COMPUTED_VALUE"""),0.0)</f>
        <v>0</v>
      </c>
      <c r="J56" s="58">
        <f>IFERROR(__xludf.DUMMYFUNCTION("""COMPUTED_VALUE"""),9.0)</f>
        <v>9</v>
      </c>
      <c r="K56" s="51"/>
      <c r="L56" s="59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54">
        <f>IFERROR(__xludf.DUMMYFUNCTION("""COMPUTED_VALUE"""),7.1)</f>
        <v>7.1</v>
      </c>
      <c r="F57" s="54">
        <f>IFERROR(__xludf.DUMMYFUNCTION("""COMPUTED_VALUE"""),2.0)</f>
        <v>2</v>
      </c>
      <c r="G57" s="55"/>
      <c r="H57" s="56">
        <f>IFERROR(__xludf.DUMMYFUNCTION("""COMPUTED_VALUE"""),9.1)</f>
        <v>9.1</v>
      </c>
      <c r="I57" s="66">
        <f>IFERROR(__xludf.DUMMYFUNCTION("""COMPUTED_VALUE"""),0.0)</f>
        <v>0</v>
      </c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54">
        <f>IFERROR(__xludf.DUMMYFUNCTION("""COMPUTED_VALUE"""),5.3)</f>
        <v>5.3</v>
      </c>
      <c r="F58" s="54">
        <f>IFERROR(__xludf.DUMMYFUNCTION("""COMPUTED_VALUE"""),2.0)</f>
        <v>2</v>
      </c>
      <c r="G58" s="55"/>
      <c r="H58" s="56">
        <f>IFERROR(__xludf.DUMMYFUNCTION("""COMPUTED_VALUE"""),7.3)</f>
        <v>7.3</v>
      </c>
      <c r="I58" s="66">
        <f>IFERROR(__xludf.DUMMYFUNCTION("""COMPUTED_VALUE"""),1.0)</f>
        <v>1</v>
      </c>
      <c r="J58" s="58">
        <f>IFERROR(__xludf.DUMMYFUNCTION("""COMPUTED_VALUE"""),7.0)</f>
        <v>7</v>
      </c>
      <c r="K58" s="51"/>
      <c r="L58" s="59">
        <f>IFERROR(__xludf.DUMMYFUNCTION("""COMPUTED_VALUE"""),7.0)</f>
        <v>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54">
        <f>IFERROR(__xludf.DUMMYFUNCTION("""COMPUTED_VALUE"""),4.3)</f>
        <v>4.3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IFERROR(__xludf.DUMMYFUNCTION("""COMPUTED_VALUE"""),7.3)</f>
        <v>7.3</v>
      </c>
      <c r="I59" s="66">
        <f>IFERROR(__xludf.DUMMYFUNCTION("""COMPUTED_VALUE"""),2.0)</f>
        <v>2</v>
      </c>
      <c r="J59" s="58">
        <f>IFERROR(__xludf.DUMMYFUNCTION("""COMPUTED_VALUE"""),7.0)</f>
        <v>7</v>
      </c>
      <c r="K59" s="51"/>
      <c r="L59" s="59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54">
        <f>IFERROR(__xludf.DUMMYFUNCTION("""COMPUTED_VALUE"""),7.1)</f>
        <v>7.1</v>
      </c>
      <c r="F60" s="54">
        <f>IFERROR(__xludf.DUMMYFUNCTION("""COMPUTED_VALUE"""),2.0)</f>
        <v>2</v>
      </c>
      <c r="G60" s="55"/>
      <c r="H60" s="56">
        <f>IFERROR(__xludf.DUMMYFUNCTION("""COMPUTED_VALUE"""),9.1)</f>
        <v>9.1</v>
      </c>
      <c r="I60" s="66">
        <f>IFERROR(__xludf.DUMMYFUNCTION("""COMPUTED_VALUE"""),0.0)</f>
        <v>0</v>
      </c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54">
        <f>IFERROR(__xludf.DUMMYFUNCTION("""COMPUTED_VALUE"""),7.6)</f>
        <v>7.6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IFERROR(__xludf.DUMMYFUNCTION("""COMPUTED_VALUE"""),10.6)</f>
        <v>10.6</v>
      </c>
      <c r="I61" s="66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54">
        <f>IFERROR(__xludf.DUMMYFUNCTION("""COMPUTED_VALUE"""),7.1)</f>
        <v>7.1</v>
      </c>
      <c r="F62" s="54">
        <f>IFERROR(__xludf.DUMMYFUNCTION("""COMPUTED_VALUE"""),2.0)</f>
        <v>2</v>
      </c>
      <c r="G62" s="55">
        <f>IFERROR(__xludf.DUMMYFUNCTION("""COMPUTED_VALUE"""),1.0)</f>
        <v>1</v>
      </c>
      <c r="H62" s="56">
        <f>IFERROR(__xludf.DUMMYFUNCTION("""COMPUTED_VALUE"""),10.1)</f>
        <v>10.1</v>
      </c>
      <c r="I62" s="66">
        <f>IFERROR(__xludf.DUMMYFUNCTION("""COMPUTED_VALUE"""),1.0)</f>
        <v>1</v>
      </c>
      <c r="J62" s="58">
        <f>IFERROR(__xludf.DUMMYFUNCTION("""COMPUTED_VALUE"""),10.0)</f>
        <v>10</v>
      </c>
      <c r="K62" s="51"/>
      <c r="L62" s="59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54">
        <f>IFERROR(__xludf.DUMMYFUNCTION("""COMPUTED_VALUE"""),6.8)</f>
        <v>6.8</v>
      </c>
      <c r="F63" s="54">
        <f>IFERROR(__xludf.DUMMYFUNCTION("""COMPUTED_VALUE"""),2.0)</f>
        <v>2</v>
      </c>
      <c r="G63" s="55">
        <f>IFERROR(__xludf.DUMMYFUNCTION("""COMPUTED_VALUE"""),1.0)</f>
        <v>1</v>
      </c>
      <c r="H63" s="56">
        <f>IFERROR(__xludf.DUMMYFUNCTION("""COMPUTED_VALUE"""),9.8)</f>
        <v>9.8</v>
      </c>
      <c r="I63" s="66">
        <f>IFERROR(__xludf.DUMMYFUNCTION("""COMPUTED_VALUE"""),2.0)</f>
        <v>2</v>
      </c>
      <c r="J63" s="58">
        <f>IFERROR(__xludf.DUMMYFUNCTION("""COMPUTED_VALUE"""),10.0)</f>
        <v>10</v>
      </c>
      <c r="K63" s="51"/>
      <c r="L63" s="59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8"/>
      <c r="C64" s="68"/>
      <c r="D64" s="68"/>
      <c r="E64" s="69"/>
      <c r="F64" s="68"/>
      <c r="G64" s="68"/>
      <c r="H64" s="68"/>
      <c r="I64" s="68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0"/>
      <c r="B65" s="71" t="str">
        <f>IFERROR(__xludf.DUMMYFUNCTION("""COMPUTED_VALUE"""),"No. DE ALUMNOS INSCRITOS")</f>
        <v>No. DE ALUMNOS INSCRITOS</v>
      </c>
      <c r="C65" s="72"/>
      <c r="D65" s="114">
        <f>IFERROR(__xludf.DUMMYFUNCTION("""COMPUTED_VALUE"""),47.0)</f>
        <v>47</v>
      </c>
      <c r="E65" s="68"/>
      <c r="F65" s="74" t="str">
        <f>IFERROR(__xludf.DUMMYFUNCTION("""COMPUTED_VALUE"""),"FIRMA DEL PROFESOR")</f>
        <v>FIRMA DEL PROFESOR</v>
      </c>
      <c r="G65" s="75"/>
      <c r="H65" s="74" t="str">
        <f>IFERROR(__xludf.DUMMYFUNCTION("""COMPUTED_VALUE"""),"FIRMA DEL ORIENTADOR")</f>
        <v>FIRMA DEL ORIENTADOR</v>
      </c>
      <c r="J65" s="76" t="str">
        <f>IFERROR(__xludf.DUMMYFUNCTION("""COMPUTED_VALUE"""),"Vo. Bo. SUBDIRECCIÓN ESCOLAR")</f>
        <v>Vo. Bo. SUBDIRECCIÓN ESCOLAR</v>
      </c>
      <c r="K65" s="77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0"/>
      <c r="B66" s="78" t="str">
        <f>IFERROR(__xludf.DUMMYFUNCTION("""COMPUTED_VALUE"""),"BAJAS DURANTE EL SEMESTRE")</f>
        <v>BAJAS DURANTE EL SEMESTRE</v>
      </c>
      <c r="C66" s="79"/>
      <c r="D66" s="115">
        <f>IFERROR(__xludf.DUMMYFUNCTION("""COMPUTED_VALUE"""),0.0)</f>
        <v>0</v>
      </c>
      <c r="E66" s="68"/>
      <c r="G66" s="75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0"/>
      <c r="B67" s="78" t="str">
        <f>IFERROR(__xludf.DUMMYFUNCTION("""COMPUTED_VALUE"""),"EXISTENCIA")</f>
        <v>EXISTENCIA</v>
      </c>
      <c r="C67" s="79"/>
      <c r="D67" s="116">
        <f>IFERROR(__xludf.DUMMYFUNCTION("""COMPUTED_VALUE"""),47.0)</f>
        <v>47</v>
      </c>
      <c r="E67" s="68"/>
      <c r="F67" s="82"/>
      <c r="G67" s="83"/>
      <c r="H67" s="82"/>
      <c r="I67" s="82"/>
      <c r="J67" s="84"/>
      <c r="K67" s="8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0"/>
      <c r="B68" s="78" t="str">
        <f>IFERROR(__xludf.DUMMYFUNCTION("""COMPUTED_VALUE"""),"No. DE ALUMNOS APROBADOS")</f>
        <v>No. DE ALUMNOS APROBADOS</v>
      </c>
      <c r="C68" s="79"/>
      <c r="D68" s="86">
        <f>IFERROR(__xludf.DUMMYFUNCTION("""COMPUTED_VALUE"""),39.0)</f>
        <v>39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0"/>
      <c r="B69" s="78" t="str">
        <f>IFERROR(__xludf.DUMMYFUNCTION("""COMPUTED_VALUE"""),"No. DE ALUMNOS REPROBADOS")</f>
        <v>No. DE ALUMNOS REPROBADOS</v>
      </c>
      <c r="C69" s="79"/>
      <c r="D69" s="86">
        <f>IFERROR(__xludf.DUMMYFUNCTION("""COMPUTED_VALUE"""),8.0)</f>
        <v>8</v>
      </c>
      <c r="E69" s="68"/>
      <c r="F69" s="87"/>
      <c r="G69" s="83"/>
      <c r="H69" s="87"/>
      <c r="I69" s="87"/>
      <c r="J69" s="88"/>
      <c r="K69" s="8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0"/>
      <c r="B70" s="78" t="str">
        <f>IFERROR(__xludf.DUMMYFUNCTION("""COMPUTED_VALUE"""),"% DE APROBADOS")</f>
        <v>% DE APROBADOS</v>
      </c>
      <c r="C70" s="79"/>
      <c r="D70" s="81">
        <f>IFERROR(__xludf.DUMMYFUNCTION("""COMPUTED_VALUE"""),82.97872340425532)</f>
        <v>82.9787234</v>
      </c>
      <c r="E70" s="68"/>
      <c r="F70" s="90" t="str">
        <f>IFERROR(__xludf.DUMMYFUNCTION("""COMPUTED_VALUE"""),"PROFR. ")</f>
        <v>PROFR. </v>
      </c>
      <c r="G70" s="91"/>
      <c r="H70" s="92" t="str">
        <f>IFERROR(__xludf.DUMMYFUNCTION("""COMPUTED_VALUE"""),"PROFA. JUANA RANGEL PALACIOS")</f>
        <v>PROFA. JUANA RANGEL PALACIOS</v>
      </c>
      <c r="J70" s="93" t="str">
        <f>IFERROR(__xludf.DUMMYFUNCTION("""COMPUTED_VALUE"""),"PROFR. OCTAVIO VÁZQUEZ BARRETO")</f>
        <v>PROFR. OCTAVIO VÁZQUEZ BARRETO</v>
      </c>
      <c r="K70" s="94" t="str">
        <f>IFERROR(__xludf.DUMMYFUNCTION("""COMPUTED_VALUE"""),"PROFR. ROBERTO PALOMARES MEJÍA ")</f>
        <v>PROFR. ROBERTO PALOMARES MEJÍA </v>
      </c>
      <c r="L70" s="9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0"/>
      <c r="B71" s="96" t="str">
        <f>IFERROR(__xludf.DUMMYFUNCTION("""COMPUTED_VALUE"""),"PROMEDIO")</f>
        <v>PROMEDIO</v>
      </c>
      <c r="C71" s="97"/>
      <c r="D71" s="98">
        <f>IFERROR(__xludf.DUMMYFUNCTION("""COMPUTED_VALUE"""),8.085106382978724)</f>
        <v>8.085106383</v>
      </c>
      <c r="E71" s="68"/>
      <c r="G71" s="91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100"/>
      <c r="C73" s="101"/>
      <c r="D73" s="101"/>
      <c r="E73" s="68"/>
      <c r="G73" s="7"/>
      <c r="H73" s="7"/>
      <c r="I73" s="7"/>
      <c r="J73" s="7"/>
      <c r="K73" s="102"/>
      <c r="L73" s="10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4"/>
      <c r="B74" s="68"/>
      <c r="C74" s="68"/>
      <c r="D74" s="68"/>
      <c r="E74" s="7"/>
      <c r="F74" s="1"/>
      <c r="G74" s="1"/>
      <c r="H74" s="1"/>
      <c r="I74" s="1"/>
      <c r="J74" s="1"/>
      <c r="K74" s="8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107"/>
      <c r="C76" s="107"/>
      <c r="D76" s="107"/>
      <c r="E76" s="108"/>
      <c r="F76" s="109"/>
      <c r="G76" s="109"/>
      <c r="H76" s="109"/>
      <c r="I76" s="109"/>
      <c r="J76" s="109"/>
      <c r="K76" s="110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1"/>
      <c r="C77" s="111"/>
      <c r="D77" s="111"/>
      <c r="E77" s="111"/>
      <c r="F77" s="1"/>
      <c r="G77" s="1"/>
      <c r="H77" s="1"/>
      <c r="I77" s="1"/>
      <c r="J77" s="112"/>
      <c r="K77" s="112"/>
      <c r="L77" s="1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IFERROR(__xludf.DUMMYFUNCTION("IMPORTRANGE(""https://docs.google.com/spreadsheets/d/1i11TE1AhN8DUZgkr4Zj1Y6ZCiwgcvKK-yC04b7p9WUo/edit?gid=1505740364#gid=1505740364"",""2-3 taller de cultura digital 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IFERROR(__xludf.DUMMYFUNCTION("""COMPUTED_VALUE"""),"ROSALVA ANDREA AZPEITIA CORREA")</f>
        <v>ROSALVA ANDREA AZPEITIA CORREA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IFERROR(__xludf.DUMMYFUNCTION("""COMPUTED_VALUE"""),"TALLER DE CULTURA DIGITAL")</f>
        <v>TALLER DE CULTURA DIGITAL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/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IFERROR(__xludf.DUMMYFUNCTION("""COMPUTED_VALUE"""),4.0)</f>
        <v>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/>
      <c r="H19" s="56">
        <f>IFERROR(__xludf.DUMMYFUNCTION("""COMPUTED_VALUE"""),10.0)</f>
        <v>10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IFERROR(__xludf.DUMMYFUNCTION("""COMPUTED_VALUE"""),7.0)</f>
        <v>7</v>
      </c>
      <c r="F20" s="54">
        <f>IFERROR(__xludf.DUMMYFUNCTION("""COMPUTED_VALUE"""),2.0)</f>
        <v>2</v>
      </c>
      <c r="G20" s="55"/>
      <c r="H20" s="56">
        <f>IFERROR(__xludf.DUMMYFUNCTION("""COMPUTED_VALUE"""),9.0)</f>
        <v>9</v>
      </c>
      <c r="I20" s="57">
        <f>IFERROR(__xludf.DUMMYFUNCTION("""COMPUTED_VALUE"""),0.0)</f>
        <v>0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IFERROR(__xludf.DUMMYFUNCTION("""COMPUTED_VALUE"""),3.0)</f>
        <v>3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54">
        <f>IFERROR(__xludf.DUMMYFUNCTION("""COMPUTED_VALUE"""),0.0)</f>
        <v>0</v>
      </c>
      <c r="F22" s="54">
        <f>IFERROR(__xludf.DUMMYFUNCTION("""COMPUTED_VALUE"""),2.0)</f>
        <v>2</v>
      </c>
      <c r="G22" s="55"/>
      <c r="H22" s="56">
        <f>IFERROR(__xludf.DUMMYFUNCTION("""COMPUTED_VALUE"""),2.0)</f>
        <v>2</v>
      </c>
      <c r="I22" s="57">
        <f>IFERROR(__xludf.DUMMYFUNCTION("""COMPUTED_VALUE"""),0.0)</f>
        <v>0</v>
      </c>
      <c r="J22" s="58">
        <f>IFERROR(__xludf.DUMMYFUNCTION("""COMPUTED_VALUE"""),5.0)</f>
        <v>5</v>
      </c>
      <c r="K22" s="51"/>
      <c r="L22" s="60">
        <f>IFERROR(__xludf.DUMMYFUNCTION("""COMPUTED_VALUE"""),2.0)</f>
        <v>2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/>
      <c r="H23" s="56">
        <f>IFERROR(__xludf.DUMMYFUNCTION("""COMPUTED_VALUE"""),10.0)</f>
        <v>10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IFERROR(__xludf.DUMMYFUNCTION("""COMPUTED_VALUE"""),"TOTAL")</f>
        <v>TOTAL</v>
      </c>
      <c r="N23" s="1">
        <f>IFERROR(__xludf.DUMMYFUNCTION("""COMPUTED_VALUE"""),8.0)</f>
        <v>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55">
        <f>IFERROR(__xludf.DUMMYFUNCTION("""COMPUTED_VALUE"""),0.0)</f>
        <v>0</v>
      </c>
      <c r="F24" s="54">
        <f>IFERROR(__xludf.DUMMYFUNCTION("""COMPUTED_VALUE"""),0.0)</f>
        <v>0</v>
      </c>
      <c r="G24" s="55"/>
      <c r="H24" s="56">
        <f>IFERROR(__xludf.DUMMYFUNCTION("""COMPUTED_VALUE"""),0.0)</f>
        <v>0</v>
      </c>
      <c r="I24" s="57">
        <f>IFERROR(__xludf.DUMMYFUNCTION("""COMPUTED_VALUE"""),0.0)</f>
        <v>0</v>
      </c>
      <c r="J24" s="58">
        <f>IFERROR(__xludf.DUMMYFUNCTION("""COMPUTED_VALUE"""),5.0)</f>
        <v>5</v>
      </c>
      <c r="K24" s="51"/>
      <c r="L24" s="60">
        <f>IFERROR(__xludf.DUMMYFUNCTION("""COMPUTED_VALUE"""),0.0)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54">
        <f>IFERROR(__xludf.DUMMYFUNCTION("""COMPUTED_VALUE"""),0.0)</f>
        <v>0</v>
      </c>
      <c r="F25" s="54">
        <f>IFERROR(__xludf.DUMMYFUNCTION("""COMPUTED_VALUE"""),0.0)</f>
        <v>0</v>
      </c>
      <c r="G25" s="55"/>
      <c r="H25" s="56">
        <f>IFERROR(__xludf.DUMMYFUNCTION("""COMPUTED_VALUE"""),0.0)</f>
        <v>0</v>
      </c>
      <c r="I25" s="57">
        <f>IFERROR(__xludf.DUMMYFUNCTION("""COMPUTED_VALUE"""),0.0)</f>
        <v>0</v>
      </c>
      <c r="J25" s="58">
        <f>IFERROR(__xludf.DUMMYFUNCTION("""COMPUTED_VALUE"""),5.0)</f>
        <v>5</v>
      </c>
      <c r="K25" s="51"/>
      <c r="L25" s="60">
        <f>IFERROR(__xludf.DUMMYFUNCTION("""COMPUTED_VALUE"""),0.0)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55">
        <f>IFERROR(__xludf.DUMMYFUNCTION("""COMPUTED_VALUE"""),4.0)</f>
        <v>4</v>
      </c>
      <c r="F26" s="54">
        <f>IFERROR(__xludf.DUMMYFUNCTION("""COMPUTED_VALUE"""),2.0)</f>
        <v>2</v>
      </c>
      <c r="G26" s="55"/>
      <c r="H26" s="56">
        <f>IFERROR(__xludf.DUMMYFUNCTION("""COMPUTED_VALUE"""),6.0)</f>
        <v>6</v>
      </c>
      <c r="I26" s="57">
        <f>IFERROR(__xludf.DUMMYFUNCTION("""COMPUTED_VALUE"""),0.0)</f>
        <v>0</v>
      </c>
      <c r="J26" s="58">
        <f>IFERROR(__xludf.DUMMYFUNCTION("""COMPUTED_VALUE"""),6.0)</f>
        <v>6</v>
      </c>
      <c r="K26" s="51"/>
      <c r="L26" s="60">
        <f>IFERROR(__xludf.DUMMYFUNCTION("""COMPUTED_VALUE"""),6.0)</f>
        <v>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IFERROR(__xludf.DUMMYFUNCTION("""COMPUTED_VALUE"""),1.0)</f>
        <v>1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54">
        <f>IFERROR(__xludf.DUMMYFUNCTION("""COMPUTED_VALUE"""),4.0)</f>
        <v>4</v>
      </c>
      <c r="F28" s="54">
        <f>IFERROR(__xludf.DUMMYFUNCTION("""COMPUTED_VALUE"""),2.0)</f>
        <v>2</v>
      </c>
      <c r="G28" s="55"/>
      <c r="H28" s="56">
        <f>IFERROR(__xludf.DUMMYFUNCTION("""COMPUTED_VALUE"""),6.0)</f>
        <v>6</v>
      </c>
      <c r="I28" s="57">
        <f>IFERROR(__xludf.DUMMYFUNCTION("""COMPUTED_VALUE"""),0.0)</f>
        <v>0</v>
      </c>
      <c r="J28" s="58">
        <f>IFERROR(__xludf.DUMMYFUNCTION("""COMPUTED_VALUE"""),6.0)</f>
        <v>6</v>
      </c>
      <c r="K28" s="51"/>
      <c r="L28" s="60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54">
        <f>IFERROR(__xludf.DUMMYFUNCTION("""COMPUTED_VALUE"""),6.0)</f>
        <v>6</v>
      </c>
      <c r="F29" s="54">
        <f>IFERROR(__xludf.DUMMYFUNCTION("""COMPUTED_VALUE"""),2.0)</f>
        <v>2</v>
      </c>
      <c r="G29" s="55"/>
      <c r="H29" s="56">
        <f>IFERROR(__xludf.DUMMYFUNCTION("""COMPUTED_VALUE"""),8.0)</f>
        <v>8</v>
      </c>
      <c r="I29" s="57">
        <f>IFERROR(__xludf.DUMMYFUNCTION("""COMPUTED_VALUE"""),0.0)</f>
        <v>0</v>
      </c>
      <c r="J29" s="58">
        <f>IFERROR(__xludf.DUMMYFUNCTION("""COMPUTED_VALUE"""),8.0)</f>
        <v>8</v>
      </c>
      <c r="K29" s="51"/>
      <c r="L29" s="60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55">
        <f>IFERROR(__xludf.DUMMYFUNCTION("""COMPUTED_VALUE"""),8.0)</f>
        <v>8</v>
      </c>
      <c r="F30" s="54">
        <f>IFERROR(__xludf.DUMMYFUNCTION("""COMPUTED_VALUE"""),2.0)</f>
        <v>2</v>
      </c>
      <c r="G30" s="55"/>
      <c r="H30" s="56">
        <f>IFERROR(__xludf.DUMMYFUNCTION("""COMPUTED_VALUE"""),10.0)</f>
        <v>10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55">
        <f>IFERROR(__xludf.DUMMYFUNCTION("""COMPUTED_VALUE"""),6.0)</f>
        <v>6</v>
      </c>
      <c r="F34" s="54">
        <f>IFERROR(__xludf.DUMMYFUNCTION("""COMPUTED_VALUE"""),2.0)</f>
        <v>2</v>
      </c>
      <c r="G34" s="55">
        <f>IFERROR(__xludf.DUMMYFUNCTION("""COMPUTED_VALUE"""),1.0)</f>
        <v>1</v>
      </c>
      <c r="H34" s="56">
        <f>IFERROR(__xludf.DUMMYFUNCTION("""COMPUTED_VALUE"""),9.0)</f>
        <v>9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54">
        <f>IFERROR(__xludf.DUMMYFUNCTION("""COMPUTED_VALUE"""),8.0)</f>
        <v>8</v>
      </c>
      <c r="F35" s="54">
        <f>IFERROR(__xludf.DUMMYFUNCTION("""COMPUTED_VALUE"""),2.0)</f>
        <v>2</v>
      </c>
      <c r="G35" s="55"/>
      <c r="H35" s="56">
        <f>IFERROR(__xludf.DUMMYFUNCTION("""COMPUTED_VALUE"""),10.0)</f>
        <v>10</v>
      </c>
      <c r="I35" s="57">
        <f>IFERROR(__xludf.DUMMYFUNCTION("""COMPUTED_VALUE"""),0.0)</f>
        <v>0</v>
      </c>
      <c r="J35" s="58">
        <f>IFERROR(__xludf.DUMMYFUNCTION("""COMPUTED_VALUE"""),10.0)</f>
        <v>10</v>
      </c>
      <c r="K35" s="51"/>
      <c r="L35" s="60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54">
        <f>IFERROR(__xludf.DUMMYFUNCTION("""COMPUTED_VALUE"""),5.0)</f>
        <v>5</v>
      </c>
      <c r="F38" s="54">
        <f>IFERROR(__xludf.DUMMYFUNCTION("""COMPUTED_VALUE"""),2.0)</f>
        <v>2</v>
      </c>
      <c r="G38" s="55"/>
      <c r="H38" s="56">
        <f>IFERROR(__xludf.DUMMYFUNCTION("""COMPUTED_VALUE"""),7.0)</f>
        <v>7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54">
        <f>IFERROR(__xludf.DUMMYFUNCTION("""COMPUTED_VALUE"""),0.0)</f>
        <v>0</v>
      </c>
      <c r="F39" s="54">
        <f>IFERROR(__xludf.DUMMYFUNCTION("""COMPUTED_VALUE"""),0.0)</f>
        <v>0</v>
      </c>
      <c r="G39" s="55"/>
      <c r="H39" s="56">
        <f>IFERROR(__xludf.DUMMYFUNCTION("""COMPUTED_VALUE"""),0.0)</f>
        <v>0</v>
      </c>
      <c r="I39" s="57">
        <f>IFERROR(__xludf.DUMMYFUNCTION("""COMPUTED_VALUE"""),1.0)</f>
        <v>1</v>
      </c>
      <c r="J39" s="58">
        <f>IFERROR(__xludf.DUMMYFUNCTION("""COMPUTED_VALUE"""),5.0)</f>
        <v>5</v>
      </c>
      <c r="K39" s="51"/>
      <c r="L39" s="60">
        <f>IFERROR(__xludf.DUMMYFUNCTION("""COMPUTED_VALUE"""),0.0)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54">
        <f>IFERROR(__xludf.DUMMYFUNCTION("""COMPUTED_VALUE"""),7.0)</f>
        <v>7</v>
      </c>
      <c r="F40" s="54">
        <f>IFERROR(__xludf.DUMMYFUNCTION("""COMPUTED_VALUE"""),2.0)</f>
        <v>2</v>
      </c>
      <c r="G40" s="55"/>
      <c r="H40" s="56">
        <f>IFERROR(__xludf.DUMMYFUNCTION("""COMPUTED_VALUE"""),9.0)</f>
        <v>9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54">
        <f>IFERROR(__xludf.DUMMYFUNCTION("""COMPUTED_VALUE"""),7.0)</f>
        <v>7</v>
      </c>
      <c r="F42" s="54">
        <f>IFERROR(__xludf.DUMMYFUNCTION("""COMPUTED_VALUE"""),2.0)</f>
        <v>2</v>
      </c>
      <c r="G42" s="55">
        <f>IFERROR(__xludf.DUMMYFUNCTION("""COMPUTED_VALUE"""),1.0)</f>
        <v>1</v>
      </c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54">
        <f>IFERROR(__xludf.DUMMYFUNCTION("""COMPUTED_VALUE"""),5.0)</f>
        <v>5</v>
      </c>
      <c r="F43" s="54">
        <f>IFERROR(__xludf.DUMMYFUNCTION("""COMPUTED_VALUE"""),2.0)</f>
        <v>2</v>
      </c>
      <c r="G43" s="55"/>
      <c r="H43" s="56">
        <f>IFERROR(__xludf.DUMMYFUNCTION("""COMPUTED_VALUE"""),7.0)</f>
        <v>7</v>
      </c>
      <c r="I43" s="57">
        <f>IFERROR(__xludf.DUMMYFUNCTION("""COMPUTED_VALUE"""),0.0)</f>
        <v>0</v>
      </c>
      <c r="J43" s="58">
        <f>IFERROR(__xludf.DUMMYFUNCTION("""COMPUTED_VALUE"""),7.0)</f>
        <v>7</v>
      </c>
      <c r="K43" s="51"/>
      <c r="L43" s="60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54">
        <f>IFERROR(__xludf.DUMMYFUNCTION("""COMPUTED_VALUE"""),0.0)</f>
        <v>0</v>
      </c>
      <c r="F44" s="54">
        <f>IFERROR(__xludf.DUMMYFUNCTION("""COMPUTED_VALUE"""),0.0)</f>
        <v>0</v>
      </c>
      <c r="G44" s="55"/>
      <c r="H44" s="56">
        <f>IFERROR(__xludf.DUMMYFUNCTION("""COMPUTED_VALUE"""),0.0)</f>
        <v>0</v>
      </c>
      <c r="I44" s="57">
        <f>IFERROR(__xludf.DUMMYFUNCTION("""COMPUTED_VALUE"""),0.0)</f>
        <v>0</v>
      </c>
      <c r="J44" s="58">
        <f>IFERROR(__xludf.DUMMYFUNCTION("""COMPUTED_VALUE"""),5.0)</f>
        <v>5</v>
      </c>
      <c r="K44" s="51"/>
      <c r="L44" s="60">
        <f>IFERROR(__xludf.DUMMYFUNCTION("""COMPUTED_VALUE"""),0.0)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54">
        <f>IFERROR(__xludf.DUMMYFUNCTION("""COMPUTED_VALUE"""),8.0)</f>
        <v>8</v>
      </c>
      <c r="F46" s="54">
        <f>IFERROR(__xludf.DUMMYFUNCTION("""COMPUTED_VALUE"""),2.0)</f>
        <v>2</v>
      </c>
      <c r="G46" s="55"/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54">
        <f>IFERROR(__xludf.DUMMYFUNCTION("""COMPUTED_VALUE"""),5.0)</f>
        <v>5</v>
      </c>
      <c r="F48" s="54">
        <f>IFERROR(__xludf.DUMMYFUNCTION("""COMPUTED_VALUE"""),2.0)</f>
        <v>2</v>
      </c>
      <c r="G48" s="55"/>
      <c r="H48" s="56">
        <f>IFERROR(__xludf.DUMMYFUNCTION("""COMPUTED_VALUE"""),7.0)</f>
        <v>7</v>
      </c>
      <c r="I48" s="57">
        <f>IFERROR(__xludf.DUMMYFUNCTION("""COMPUTED_VALUE"""),2.0)</f>
        <v>2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54">
        <f>IFERROR(__xludf.DUMMYFUNCTION("""COMPUTED_VALUE"""),5.0)</f>
        <v>5</v>
      </c>
      <c r="F49" s="54">
        <f>IFERROR(__xludf.DUMMYFUNCTION("""COMPUTED_VALUE"""),2.0)</f>
        <v>2</v>
      </c>
      <c r="G49" s="55"/>
      <c r="H49" s="56">
        <f>IFERROR(__xludf.DUMMYFUNCTION("""COMPUTED_VALUE"""),7.0)</f>
        <v>7</v>
      </c>
      <c r="I49" s="57">
        <f>IFERROR(__xludf.DUMMYFUNCTION("""COMPUTED_VALUE"""),0.0)</f>
        <v>0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54">
        <f>IFERROR(__xludf.DUMMYFUNCTION("""COMPUTED_VALUE"""),8.0)</f>
        <v>8</v>
      </c>
      <c r="F50" s="54">
        <f>IFERROR(__xludf.DUMMYFUNCTION("""COMPUTED_VALUE"""),2.0)</f>
        <v>2</v>
      </c>
      <c r="G50" s="55"/>
      <c r="H50" s="56">
        <f>IFERROR(__xludf.DUMMYFUNCTION("""COMPUTED_VALUE"""),10.0)</f>
        <v>10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54">
        <f>IFERROR(__xludf.DUMMYFUNCTION("""COMPUTED_VALUE"""),5.0)</f>
        <v>5</v>
      </c>
      <c r="F51" s="54">
        <f>IFERROR(__xludf.DUMMYFUNCTION("""COMPUTED_VALUE"""),2.0)</f>
        <v>2</v>
      </c>
      <c r="G51" s="55"/>
      <c r="H51" s="56">
        <f>IFERROR(__xludf.DUMMYFUNCTION("""COMPUTED_VALUE"""),7.0)</f>
        <v>7</v>
      </c>
      <c r="I51" s="57">
        <f>IFERROR(__xludf.DUMMYFUNCTION("""COMPUTED_VALUE"""),0.0)</f>
        <v>0</v>
      </c>
      <c r="J51" s="58">
        <f>IFERROR(__xludf.DUMMYFUNCTION("""COMPUTED_VALUE"""),7.0)</f>
        <v>7</v>
      </c>
      <c r="K51" s="51"/>
      <c r="L51" s="60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54">
        <f>IFERROR(__xludf.DUMMYFUNCTION("""COMPUTED_VALUE"""),7.0)</f>
        <v>7</v>
      </c>
      <c r="F52" s="54">
        <f>IFERROR(__xludf.DUMMYFUNCTION("""COMPUTED_VALUE"""),2.0)</f>
        <v>2</v>
      </c>
      <c r="G52" s="55"/>
      <c r="H52" s="56">
        <f>IFERROR(__xludf.DUMMYFUNCTION("""COMPUTED_VALUE"""),9.0)</f>
        <v>9</v>
      </c>
      <c r="I52" s="57">
        <f>IFERROR(__xludf.DUMMYFUNCTION("""COMPUTED_VALUE"""),1.0)</f>
        <v>1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54">
        <f>IFERROR(__xludf.DUMMYFUNCTION("""COMPUTED_VALUE"""),0.0)</f>
        <v>0</v>
      </c>
      <c r="F53" s="54">
        <f>IFERROR(__xludf.DUMMYFUNCTION("""COMPUTED_VALUE"""),0.0)</f>
        <v>0</v>
      </c>
      <c r="G53" s="55"/>
      <c r="H53" s="56">
        <f>IFERROR(__xludf.DUMMYFUNCTION("""COMPUTED_VALUE"""),0.0)</f>
        <v>0</v>
      </c>
      <c r="I53" s="57">
        <f>IFERROR(__xludf.DUMMYFUNCTION("""COMPUTED_VALUE"""),0.0)</f>
        <v>0</v>
      </c>
      <c r="J53" s="58">
        <f>IFERROR(__xludf.DUMMYFUNCTION("""COMPUTED_VALUE"""),5.0)</f>
        <v>5</v>
      </c>
      <c r="K53" s="51"/>
      <c r="L53" s="59">
        <f>IFERROR(__xludf.DUMMYFUNCTION("""COMPUTED_VALUE"""),0.0)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54">
        <f>IFERROR(__xludf.DUMMYFUNCTION("""COMPUTED_VALUE"""),7.0)</f>
        <v>7</v>
      </c>
      <c r="F54" s="54">
        <f>IFERROR(__xludf.DUMMYFUNCTION("""COMPUTED_VALUE"""),2.0)</f>
        <v>2</v>
      </c>
      <c r="G54" s="55"/>
      <c r="H54" s="56">
        <f>IFERROR(__xludf.DUMMYFUNCTION("""COMPUTED_VALUE"""),9.0)</f>
        <v>9</v>
      </c>
      <c r="I54" s="57">
        <f>IFERROR(__xludf.DUMMYFUNCTION("""COMPUTED_VALUE"""),1.0)</f>
        <v>1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54">
        <f>IFERROR(__xludf.DUMMYFUNCTION("""COMPUTED_VALUE"""),5.0)</f>
        <v>5</v>
      </c>
      <c r="F55" s="54">
        <f>IFERROR(__xludf.DUMMYFUNCTION("""COMPUTED_VALUE"""),1.0)</f>
        <v>1</v>
      </c>
      <c r="G55" s="55"/>
      <c r="H55" s="56">
        <f>IFERROR(__xludf.DUMMYFUNCTION("""COMPUTED_VALUE"""),6.0)</f>
        <v>6</v>
      </c>
      <c r="I55" s="66">
        <f>IFERROR(__xludf.DUMMYFUNCTION("""COMPUTED_VALUE"""),2.0)</f>
        <v>2</v>
      </c>
      <c r="J55" s="58">
        <f>IFERROR(__xludf.DUMMYFUNCTION("""COMPUTED_VALUE"""),6.0)</f>
        <v>6</v>
      </c>
      <c r="K55" s="51"/>
      <c r="L55" s="59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/>
      <c r="H56" s="56">
        <f>IFERROR(__xludf.DUMMYFUNCTION("""COMPUTED_VALUE"""),9.0)</f>
        <v>9</v>
      </c>
      <c r="I56" s="66">
        <f>IFERROR(__xludf.DUMMYFUNCTION("""COMPUTED_VALUE"""),0.0)</f>
        <v>0</v>
      </c>
      <c r="J56" s="58">
        <f>IFERROR(__xludf.DUMMYFUNCTION("""COMPUTED_VALUE"""),9.0)</f>
        <v>9</v>
      </c>
      <c r="K56" s="51"/>
      <c r="L56" s="59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54">
        <f>IFERROR(__xludf.DUMMYFUNCTION("""COMPUTED_VALUE"""),8.0)</f>
        <v>8</v>
      </c>
      <c r="F57" s="54">
        <f>IFERROR(__xludf.DUMMYFUNCTION("""COMPUTED_VALUE"""),2.0)</f>
        <v>2</v>
      </c>
      <c r="G57" s="55"/>
      <c r="H57" s="56">
        <f>IFERROR(__xludf.DUMMYFUNCTION("""COMPUTED_VALUE"""),10.0)</f>
        <v>10</v>
      </c>
      <c r="I57" s="66">
        <f>IFERROR(__xludf.DUMMYFUNCTION("""COMPUTED_VALUE"""),0.0)</f>
        <v>0</v>
      </c>
      <c r="J57" s="58">
        <f>IFERROR(__xludf.DUMMYFUNCTION("""COMPUTED_VALUE"""),10.0)</f>
        <v>10</v>
      </c>
      <c r="K57" s="51"/>
      <c r="L57" s="59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54">
        <f>IFERROR(__xludf.DUMMYFUNCTION("""COMPUTED_VALUE"""),7.0)</f>
        <v>7</v>
      </c>
      <c r="F58" s="54">
        <f>IFERROR(__xludf.DUMMYFUNCTION("""COMPUTED_VALUE"""),2.0)</f>
        <v>2</v>
      </c>
      <c r="G58" s="55"/>
      <c r="H58" s="56">
        <f>IFERROR(__xludf.DUMMYFUNCTION("""COMPUTED_VALUE"""),9.0)</f>
        <v>9</v>
      </c>
      <c r="I58" s="66">
        <f>IFERROR(__xludf.DUMMYFUNCTION("""COMPUTED_VALUE"""),0.0)</f>
        <v>0</v>
      </c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54">
        <f>IFERROR(__xludf.DUMMYFUNCTION("""COMPUTED_VALUE"""),7.0)</f>
        <v>7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IFERROR(__xludf.DUMMYFUNCTION("""COMPUTED_VALUE"""),10.0)</f>
        <v>10</v>
      </c>
      <c r="I59" s="66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54">
        <f>IFERROR(__xludf.DUMMYFUNCTION("""COMPUTED_VALUE"""),5.0)</f>
        <v>5</v>
      </c>
      <c r="F60" s="54">
        <f>IFERROR(__xludf.DUMMYFUNCTION("""COMPUTED_VALUE"""),2.0)</f>
        <v>2</v>
      </c>
      <c r="G60" s="55"/>
      <c r="H60" s="56">
        <f>IFERROR(__xludf.DUMMYFUNCTION("""COMPUTED_VALUE"""),7.0)</f>
        <v>7</v>
      </c>
      <c r="I60" s="66">
        <f>IFERROR(__xludf.DUMMYFUNCTION("""COMPUTED_VALUE"""),0.0)</f>
        <v>0</v>
      </c>
      <c r="J60" s="58">
        <f>IFERROR(__xludf.DUMMYFUNCTION("""COMPUTED_VALUE"""),7.0)</f>
        <v>7</v>
      </c>
      <c r="K60" s="51"/>
      <c r="L60" s="59">
        <f>IFERROR(__xludf.DUMMYFUNCTION("""COMPUTED_VALUE"""),7.0)</f>
        <v>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54">
        <f>IFERROR(__xludf.DUMMYFUNCTION("""COMPUTED_VALUE"""),6.0)</f>
        <v>6</v>
      </c>
      <c r="F61" s="54">
        <f>IFERROR(__xludf.DUMMYFUNCTION("""COMPUTED_VALUE"""),2.0)</f>
        <v>2</v>
      </c>
      <c r="G61" s="55"/>
      <c r="H61" s="56">
        <f>IFERROR(__xludf.DUMMYFUNCTION("""COMPUTED_VALUE"""),8.0)</f>
        <v>8</v>
      </c>
      <c r="I61" s="66">
        <f>IFERROR(__xludf.DUMMYFUNCTION("""COMPUTED_VALUE"""),1.0)</f>
        <v>1</v>
      </c>
      <c r="J61" s="58">
        <f>IFERROR(__xludf.DUMMYFUNCTION("""COMPUTED_VALUE"""),8.0)</f>
        <v>8</v>
      </c>
      <c r="K61" s="51"/>
      <c r="L61" s="59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54">
        <f>IFERROR(__xludf.DUMMYFUNCTION("""COMPUTED_VALUE"""),8.0)</f>
        <v>8</v>
      </c>
      <c r="F62" s="54">
        <f>IFERROR(__xludf.DUMMYFUNCTION("""COMPUTED_VALUE"""),2.0)</f>
        <v>2</v>
      </c>
      <c r="G62" s="55"/>
      <c r="H62" s="56">
        <f>IFERROR(__xludf.DUMMYFUNCTION("""COMPUTED_VALUE"""),10.0)</f>
        <v>10</v>
      </c>
      <c r="I62" s="66">
        <f>IFERROR(__xludf.DUMMYFUNCTION("""COMPUTED_VALUE"""),0.0)</f>
        <v>0</v>
      </c>
      <c r="J62" s="58">
        <f>IFERROR(__xludf.DUMMYFUNCTION("""COMPUTED_VALUE"""),10.0)</f>
        <v>10</v>
      </c>
      <c r="K62" s="51"/>
      <c r="L62" s="59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54">
        <f>IFERROR(__xludf.DUMMYFUNCTION("""COMPUTED_VALUE"""),8.0)</f>
        <v>8</v>
      </c>
      <c r="F63" s="54">
        <f>IFERROR(__xludf.DUMMYFUNCTION("""COMPUTED_VALUE"""),2.0)</f>
        <v>2</v>
      </c>
      <c r="G63" s="55"/>
      <c r="H63" s="56">
        <f>IFERROR(__xludf.DUMMYFUNCTION("""COMPUTED_VALUE"""),10.0)</f>
        <v>10</v>
      </c>
      <c r="I63" s="66">
        <f>IFERROR(__xludf.DUMMYFUNCTION("""COMPUTED_VALUE"""),1.0)</f>
        <v>1</v>
      </c>
      <c r="J63" s="58">
        <f>IFERROR(__xludf.DUMMYFUNCTION("""COMPUTED_VALUE"""),10.0)</f>
        <v>10</v>
      </c>
      <c r="K63" s="51"/>
      <c r="L63" s="59">
        <f>IFERROR(__xludf.DUMMYFUNCTION("""COMPUTED_VALUE"""),10.0)</f>
        <v>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8"/>
      <c r="C64" s="68"/>
      <c r="D64" s="68"/>
      <c r="E64" s="69"/>
      <c r="F64" s="68"/>
      <c r="G64" s="68"/>
      <c r="H64" s="68"/>
      <c r="I64" s="68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0"/>
      <c r="B65" s="71" t="str">
        <f>IFERROR(__xludf.DUMMYFUNCTION("""COMPUTED_VALUE"""),"No. DE ALUMNOS INSCRITOS")</f>
        <v>No. DE ALUMNOS INSCRITOS</v>
      </c>
      <c r="C65" s="72"/>
      <c r="D65" s="114">
        <f>IFERROR(__xludf.DUMMYFUNCTION("""COMPUTED_VALUE"""),47.0)</f>
        <v>47</v>
      </c>
      <c r="E65" s="68"/>
      <c r="F65" s="74" t="str">
        <f>IFERROR(__xludf.DUMMYFUNCTION("""COMPUTED_VALUE"""),"FIRMA DEL PROFESOR")</f>
        <v>FIRMA DEL PROFESOR</v>
      </c>
      <c r="G65" s="75"/>
      <c r="H65" s="74" t="str">
        <f>IFERROR(__xludf.DUMMYFUNCTION("""COMPUTED_VALUE"""),"FIRMA DEL ORIENTADOR")</f>
        <v>FIRMA DEL ORIENTADOR</v>
      </c>
      <c r="J65" s="76" t="str">
        <f>IFERROR(__xludf.DUMMYFUNCTION("""COMPUTED_VALUE"""),"Vo. Bo. SUBDIRECCIÓN ESCOLAR")</f>
        <v>Vo. Bo. SUBDIRECCIÓN ESCOLAR</v>
      </c>
      <c r="K65" s="77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0"/>
      <c r="B66" s="78" t="str">
        <f>IFERROR(__xludf.DUMMYFUNCTION("""COMPUTED_VALUE"""),"BAJAS DURANTE EL SEMESTRE")</f>
        <v>BAJAS DURANTE EL SEMESTRE</v>
      </c>
      <c r="C66" s="79"/>
      <c r="D66" s="115">
        <f>IFERROR(__xludf.DUMMYFUNCTION("""COMPUTED_VALUE"""),0.0)</f>
        <v>0</v>
      </c>
      <c r="E66" s="68"/>
      <c r="G66" s="75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0"/>
      <c r="B67" s="78" t="str">
        <f>IFERROR(__xludf.DUMMYFUNCTION("""COMPUTED_VALUE"""),"EXISTENCIA")</f>
        <v>EXISTENCIA</v>
      </c>
      <c r="C67" s="79"/>
      <c r="D67" s="116">
        <f>IFERROR(__xludf.DUMMYFUNCTION("""COMPUTED_VALUE"""),47.0)</f>
        <v>47</v>
      </c>
      <c r="E67" s="68"/>
      <c r="F67" s="82"/>
      <c r="G67" s="83"/>
      <c r="H67" s="82"/>
      <c r="I67" s="82"/>
      <c r="J67" s="84"/>
      <c r="K67" s="8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0"/>
      <c r="B68" s="78" t="str">
        <f>IFERROR(__xludf.DUMMYFUNCTION("""COMPUTED_VALUE"""),"No. DE ALUMNOS APROBADOS")</f>
        <v>No. DE ALUMNOS APROBADOS</v>
      </c>
      <c r="C68" s="79"/>
      <c r="D68" s="86">
        <f>IFERROR(__xludf.DUMMYFUNCTION("""COMPUTED_VALUE"""),41.0)</f>
        <v>41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0"/>
      <c r="B69" s="78" t="str">
        <f>IFERROR(__xludf.DUMMYFUNCTION("""COMPUTED_VALUE"""),"No. DE ALUMNOS REPROBADOS")</f>
        <v>No. DE ALUMNOS REPROBADOS</v>
      </c>
      <c r="C69" s="79"/>
      <c r="D69" s="86">
        <f>IFERROR(__xludf.DUMMYFUNCTION("""COMPUTED_VALUE"""),6.0)</f>
        <v>6</v>
      </c>
      <c r="E69" s="68"/>
      <c r="F69" s="117" t="str">
        <f>IFERROR(__xludf.DUMMYFUNCTION("""COMPUTED_VALUE"""),"ROSALVA ANDREA AZPEITIA CORREA")</f>
        <v>ROSALVA ANDREA AZPEITIA CORREA</v>
      </c>
      <c r="G69" s="83"/>
      <c r="H69" s="87"/>
      <c r="I69" s="87"/>
      <c r="J69" s="88"/>
      <c r="K69" s="8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0"/>
      <c r="B70" s="78" t="str">
        <f>IFERROR(__xludf.DUMMYFUNCTION("""COMPUTED_VALUE"""),"% DE APROBADOS")</f>
        <v>% DE APROBADOS</v>
      </c>
      <c r="C70" s="79"/>
      <c r="D70" s="81">
        <f>IFERROR(__xludf.DUMMYFUNCTION("""COMPUTED_VALUE"""),87.23404255319149)</f>
        <v>87.23404255</v>
      </c>
      <c r="E70" s="68"/>
      <c r="F70" s="90" t="str">
        <f>IFERROR(__xludf.DUMMYFUNCTION("""COMPUTED_VALUE"""),"PROFR. ")</f>
        <v>PROFR. </v>
      </c>
      <c r="G70" s="91"/>
      <c r="H70" s="92" t="str">
        <f>IFERROR(__xludf.DUMMYFUNCTION("""COMPUTED_VALUE"""),"PROFA. JUANA RANGEL PALACIOS")</f>
        <v>PROFA. JUANA RANGEL PALACIOS</v>
      </c>
      <c r="J70" s="93" t="str">
        <f>IFERROR(__xludf.DUMMYFUNCTION("""COMPUTED_VALUE"""),"PROFR. OCTAVIO VÁZQUEZ BARRETO")</f>
        <v>PROFR. OCTAVIO VÁZQUEZ BARRETO</v>
      </c>
      <c r="K70" s="94" t="str">
        <f>IFERROR(__xludf.DUMMYFUNCTION("""COMPUTED_VALUE"""),"PROFR. ROBERTO PALOMARES MEJÍA ")</f>
        <v>PROFR. ROBERTO PALOMARES MEJÍA </v>
      </c>
      <c r="L70" s="9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0"/>
      <c r="B71" s="96" t="str">
        <f>IFERROR(__xludf.DUMMYFUNCTION("""COMPUTED_VALUE"""),"PROMEDIO")</f>
        <v>PROMEDIO</v>
      </c>
      <c r="C71" s="97"/>
      <c r="D71" s="98">
        <f>IFERROR(__xludf.DUMMYFUNCTION("""COMPUTED_VALUE"""),8.46808510638298)</f>
        <v>8.468085106</v>
      </c>
      <c r="E71" s="68"/>
      <c r="G71" s="91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100"/>
      <c r="C73" s="101"/>
      <c r="D73" s="101"/>
      <c r="E73" s="68"/>
      <c r="G73" s="7"/>
      <c r="H73" s="7"/>
      <c r="I73" s="7"/>
      <c r="J73" s="7"/>
      <c r="K73" s="102"/>
      <c r="L73" s="10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4"/>
      <c r="B74" s="68"/>
      <c r="C74" s="68"/>
      <c r="D74" s="68"/>
      <c r="E74" s="7"/>
      <c r="F74" s="1"/>
      <c r="G74" s="1"/>
      <c r="H74" s="1"/>
      <c r="I74" s="1"/>
      <c r="J74" s="1"/>
      <c r="K74" s="8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107"/>
      <c r="C76" s="107"/>
      <c r="D76" s="107"/>
      <c r="E76" s="108"/>
      <c r="F76" s="109"/>
      <c r="G76" s="109"/>
      <c r="H76" s="109"/>
      <c r="I76" s="109"/>
      <c r="J76" s="109"/>
      <c r="K76" s="110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1"/>
      <c r="C77" s="111"/>
      <c r="D77" s="111"/>
      <c r="E77" s="111"/>
      <c r="F77" s="1"/>
      <c r="G77" s="1"/>
      <c r="H77" s="1"/>
      <c r="I77" s="1"/>
      <c r="J77" s="112"/>
      <c r="K77" s="112"/>
      <c r="L77" s="1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IFERROR(__xludf.DUMMYFUNCTION("IMPORTRANGE(""https://docs.google.com/spreadsheets/d/1IwheF3XSbLmldt4Se6BnSq7f8DRFJ3O-aN_RpWWG9kE/edit?gid=1711048921#gid=1711048921"",""2-3 reacciones quimicas y conservacion de la mater!A1:Q85"")"),"")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18" t="str">
        <f>IFERROR(__xludf.DUMMYFUNCTION("""COMPUTED_VALUE"""),"OLIVIA PEÑA RAMÍREZ")</f>
        <v>OLIVIA PEÑA RAMÍREZ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IFERROR(__xludf.DUMMYFUNCTION("""COMPUTED_VALUE"""),"REACCIONES QUÍMICAS Y CONSERVACIÓN DE LA MATERIA")</f>
        <v>REACCIONES QUÍMICAS Y CONSERVACIÓN DE LA MATERIA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IFERROR(__xludf.DUMMYFUNCTION("""COMPUTED_VALUE"""),5.5633333333333335)</f>
        <v>5.563333333</v>
      </c>
      <c r="F17" s="54">
        <f>IFERROR(__xludf.DUMMYFUNCTION("""COMPUTED_VALUE"""),2.0)</f>
        <v>2</v>
      </c>
      <c r="G17" s="55">
        <f>IFERROR(__xludf.DUMMYFUNCTION("""COMPUTED_VALUE"""),1.0)</f>
        <v>1</v>
      </c>
      <c r="H17" s="56">
        <f>IFERROR(__xludf.DUMMYFUNCTION("""COMPUTED_VALUE"""),8.563333333333333)</f>
        <v>8.563333333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IFERROR(__xludf.DUMMYFUNCTION("""COMPUTED_VALUE"""),6.033333333333333)</f>
        <v>6.033333333</v>
      </c>
      <c r="F18" s="54">
        <f>IFERROR(__xludf.DUMMYFUNCTION("""COMPUTED_VALUE"""),1.8)</f>
        <v>1.8</v>
      </c>
      <c r="G18" s="55">
        <f>IFERROR(__xludf.DUMMYFUNCTION("""COMPUTED_VALUE"""),1.0)</f>
        <v>1</v>
      </c>
      <c r="H18" s="56">
        <f>IFERROR(__xludf.DUMMYFUNCTION("""COMPUTED_VALUE"""),8.833333333333332)</f>
        <v>8.833333333</v>
      </c>
      <c r="I18" s="57">
        <f>IFERROR(__xludf.DUMMYFUNCTION("""COMPUTED_VALUE"""),0.0)</f>
        <v>0</v>
      </c>
      <c r="J18" s="58">
        <f>IFERROR(__xludf.DUMMYFUNCTION("""COMPUTED_VALUE"""),9.0)</f>
        <v>9</v>
      </c>
      <c r="K18" s="51"/>
      <c r="L18" s="60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IFERROR(__xludf.DUMMYFUNCTION("""COMPUTED_VALUE"""),7.049999999999999)</f>
        <v>7.05</v>
      </c>
      <c r="F19" s="54">
        <f>IFERROR(__xludf.DUMMYFUNCTION("""COMPUTED_VALUE"""),2.0)</f>
        <v>2</v>
      </c>
      <c r="G19" s="55"/>
      <c r="H19" s="56">
        <f>IFERROR(__xludf.DUMMYFUNCTION("""COMPUTED_VALUE"""),9.049999999999999)</f>
        <v>9.05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IFERROR(__xludf.DUMMYFUNCTION("""COMPUTED_VALUE"""),15.0)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IFERROR(__xludf.DUMMYFUNCTION("""COMPUTED_VALUE"""),6.258333333333333)</f>
        <v>6.258333333</v>
      </c>
      <c r="F20" s="54">
        <f>IFERROR(__xludf.DUMMYFUNCTION("""COMPUTED_VALUE"""),1.4)</f>
        <v>1.4</v>
      </c>
      <c r="G20" s="55"/>
      <c r="H20" s="56">
        <f>IFERROR(__xludf.DUMMYFUNCTION("""COMPUTED_VALUE"""),7.658333333333333)</f>
        <v>7.658333333</v>
      </c>
      <c r="I20" s="57">
        <f>IFERROR(__xludf.DUMMYFUNCTION("""COMPUTED_VALUE"""),0.0)</f>
        <v>0</v>
      </c>
      <c r="J20" s="58">
        <f>IFERROR(__xludf.DUMMYFUNCTION("""COMPUTED_VALUE"""),8.0)</f>
        <v>8</v>
      </c>
      <c r="K20" s="51"/>
      <c r="L20" s="60">
        <f>IFERROR(__xludf.DUMMYFUNCTION("""COMPUTED_VALUE"""),8.0)</f>
        <v>8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54">
        <f>IFERROR(__xludf.DUMMYFUNCTION("""COMPUTED_VALUE"""),5.590000000000001)</f>
        <v>5.59</v>
      </c>
      <c r="F21" s="54">
        <f>IFERROR(__xludf.DUMMYFUNCTION("""COMPUTED_VALUE"""),2.0)</f>
        <v>2</v>
      </c>
      <c r="G21" s="55"/>
      <c r="H21" s="56">
        <f>IFERROR(__xludf.DUMMYFUNCTION("""COMPUTED_VALUE"""),7.590000000000001)</f>
        <v>7.59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54">
        <f>IFERROR(__xludf.DUMMYFUNCTION("""COMPUTED_VALUE"""),5.793333333333333)</f>
        <v>5.793333333</v>
      </c>
      <c r="F22" s="54">
        <f>IFERROR(__xludf.DUMMYFUNCTION("""COMPUTED_VALUE"""),2.0)</f>
        <v>2</v>
      </c>
      <c r="G22" s="55"/>
      <c r="H22" s="56">
        <f>IFERROR(__xludf.DUMMYFUNCTION("""COMPUTED_VALUE"""),7.793333333333333)</f>
        <v>7.793333333</v>
      </c>
      <c r="I22" s="57">
        <f>IFERROR(__xludf.DUMMYFUNCTION("""COMPUTED_VALUE"""),1.0)</f>
        <v>1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54">
        <f>IFERROR(__xludf.DUMMYFUNCTION("""COMPUTED_VALUE"""),6.2)</f>
        <v>6.2</v>
      </c>
      <c r="F23" s="54">
        <f>IFERROR(__xludf.DUMMYFUNCTION("""COMPUTED_VALUE"""),1.8)</f>
        <v>1.8</v>
      </c>
      <c r="G23" s="55">
        <f>IFERROR(__xludf.DUMMYFUNCTION("""COMPUTED_VALUE"""),0.5)</f>
        <v>0.5</v>
      </c>
      <c r="H23" s="56">
        <f>IFERROR(__xludf.DUMMYFUNCTION("""COMPUTED_VALUE"""),8.5)</f>
        <v>8.5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IFERROR(__xludf.DUMMYFUNCTION("""COMPUTED_VALUE"""),"TOTAL")</f>
        <v>TOTAL</v>
      </c>
      <c r="N23" s="1">
        <f>IFERROR(__xludf.DUMMYFUNCTION("""COMPUTED_VALUE"""),27.0)</f>
        <v>27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55">
        <f>IFERROR(__xludf.DUMMYFUNCTION("""COMPUTED_VALUE"""),6.643333333333334)</f>
        <v>6.643333333</v>
      </c>
      <c r="F24" s="54">
        <f>IFERROR(__xludf.DUMMYFUNCTION("""COMPUTED_VALUE"""),1.8)</f>
        <v>1.8</v>
      </c>
      <c r="G24" s="55"/>
      <c r="H24" s="56">
        <f>IFERROR(__xludf.DUMMYFUNCTION("""COMPUTED_VALUE"""),8.443333333333335)</f>
        <v>8.443333333</v>
      </c>
      <c r="I24" s="57">
        <f>IFERROR(__xludf.DUMMYFUNCTION("""COMPUTED_VALUE"""),0.0)</f>
        <v>0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54">
        <f>IFERROR(__xludf.DUMMYFUNCTION("""COMPUTED_VALUE"""),5.5)</f>
        <v>5.5</v>
      </c>
      <c r="F25" s="54">
        <f>IFERROR(__xludf.DUMMYFUNCTION("""COMPUTED_VALUE"""),1.6)</f>
        <v>1.6</v>
      </c>
      <c r="G25" s="55">
        <f>IFERROR(__xludf.DUMMYFUNCTION("""COMPUTED_VALUE"""),1.0)</f>
        <v>1</v>
      </c>
      <c r="H25" s="56">
        <f>IFERROR(__xludf.DUMMYFUNCTION("""COMPUTED_VALUE"""),8.1)</f>
        <v>8.1</v>
      </c>
      <c r="I25" s="57">
        <f>IFERROR(__xludf.DUMMYFUNCTION("""COMPUTED_VALUE"""),1.0)</f>
        <v>1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55">
        <f>IFERROR(__xludf.DUMMYFUNCTION("""COMPUTED_VALUE"""),5.553333333333334)</f>
        <v>5.553333333</v>
      </c>
      <c r="F26" s="54">
        <f>IFERROR(__xludf.DUMMYFUNCTION("""COMPUTED_VALUE"""),2.0)</f>
        <v>2</v>
      </c>
      <c r="G26" s="55"/>
      <c r="H26" s="56">
        <f>IFERROR(__xludf.DUMMYFUNCTION("""COMPUTED_VALUE"""),7.553333333333334)</f>
        <v>7.553333333</v>
      </c>
      <c r="I26" s="57">
        <f>IFERROR(__xludf.DUMMYFUNCTION("""COMPUTED_VALUE"""),1.0)</f>
        <v>1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54">
        <f>IFERROR(__xludf.DUMMYFUNCTION("""COMPUTED_VALUE"""),4.795)</f>
        <v>4.795</v>
      </c>
      <c r="F27" s="54">
        <f>IFERROR(__xludf.DUMMYFUNCTION("""COMPUTED_VALUE"""),1.4)</f>
        <v>1.4</v>
      </c>
      <c r="G27" s="55"/>
      <c r="H27" s="56">
        <f>IFERROR(__xludf.DUMMYFUNCTION("""COMPUTED_VALUE"""),6.195)</f>
        <v>6.195</v>
      </c>
      <c r="I27" s="57">
        <f>IFERROR(__xludf.DUMMYFUNCTION("""COMPUTED_VALUE"""),1.0)</f>
        <v>1</v>
      </c>
      <c r="J27" s="58">
        <f>IFERROR(__xludf.DUMMYFUNCTION("""COMPUTED_VALUE"""),6.0)</f>
        <v>6</v>
      </c>
      <c r="K27" s="51"/>
      <c r="L27" s="60">
        <f>IFERROR(__xludf.DUMMYFUNCTION("""COMPUTED_VALUE"""),6.0)</f>
        <v>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54">
        <f>IFERROR(__xludf.DUMMYFUNCTION("""COMPUTED_VALUE"""),4.806666666666667)</f>
        <v>4.806666667</v>
      </c>
      <c r="F28" s="54">
        <f>IFERROR(__xludf.DUMMYFUNCTION("""COMPUTED_VALUE"""),1.4)</f>
        <v>1.4</v>
      </c>
      <c r="G28" s="55"/>
      <c r="H28" s="56">
        <f>IFERROR(__xludf.DUMMYFUNCTION("""COMPUTED_VALUE"""),6.206666666666667)</f>
        <v>6.206666667</v>
      </c>
      <c r="I28" s="57">
        <f>IFERROR(__xludf.DUMMYFUNCTION("""COMPUTED_VALUE"""),2.0)</f>
        <v>2</v>
      </c>
      <c r="J28" s="58">
        <f>IFERROR(__xludf.DUMMYFUNCTION("""COMPUTED_VALUE"""),6.0)</f>
        <v>6</v>
      </c>
      <c r="K28" s="51"/>
      <c r="L28" s="60">
        <f>IFERROR(__xludf.DUMMYFUNCTION("""COMPUTED_VALUE"""),6.0)</f>
        <v>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54">
        <f>IFERROR(__xludf.DUMMYFUNCTION("""COMPUTED_VALUE"""),6.113333333333333)</f>
        <v>6.113333333</v>
      </c>
      <c r="F29" s="54">
        <f>IFERROR(__xludf.DUMMYFUNCTION("""COMPUTED_VALUE"""),2.0)</f>
        <v>2</v>
      </c>
      <c r="G29" s="55"/>
      <c r="H29" s="56">
        <f>IFERROR(__xludf.DUMMYFUNCTION("""COMPUTED_VALUE"""),8.113333333333333)</f>
        <v>8.113333333</v>
      </c>
      <c r="I29" s="57">
        <f>IFERROR(__xludf.DUMMYFUNCTION("""COMPUTED_VALUE"""),1.0)</f>
        <v>1</v>
      </c>
      <c r="J29" s="58">
        <f>IFERROR(__xludf.DUMMYFUNCTION("""COMPUTED_VALUE"""),8.0)</f>
        <v>8</v>
      </c>
      <c r="K29" s="51"/>
      <c r="L29" s="60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55">
        <f>IFERROR(__xludf.DUMMYFUNCTION("""COMPUTED_VALUE"""),4.966666666666667)</f>
        <v>4.966666667</v>
      </c>
      <c r="F30" s="54">
        <f>IFERROR(__xludf.DUMMYFUNCTION("""COMPUTED_VALUE"""),1.8)</f>
        <v>1.8</v>
      </c>
      <c r="G30" s="55"/>
      <c r="H30" s="56">
        <f>IFERROR(__xludf.DUMMYFUNCTION("""COMPUTED_VALUE"""),6.766666666666667)</f>
        <v>6.766666667</v>
      </c>
      <c r="I30" s="57">
        <f>IFERROR(__xludf.DUMMYFUNCTION("""COMPUTED_VALUE"""),0.0)</f>
        <v>0</v>
      </c>
      <c r="J30" s="58">
        <f>IFERROR(__xludf.DUMMYFUNCTION("""COMPUTED_VALUE"""),7.0)</f>
        <v>7</v>
      </c>
      <c r="K30" s="51"/>
      <c r="L30" s="60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55">
        <f>IFERROR(__xludf.DUMMYFUNCTION("""COMPUTED_VALUE"""),6.633333333333333)</f>
        <v>6.633333333</v>
      </c>
      <c r="F31" s="54">
        <f>IFERROR(__xludf.DUMMYFUNCTION("""COMPUTED_VALUE"""),1.8)</f>
        <v>1.8</v>
      </c>
      <c r="G31" s="55"/>
      <c r="H31" s="56">
        <f>IFERROR(__xludf.DUMMYFUNCTION("""COMPUTED_VALUE"""),8.433333333333334)</f>
        <v>8.433333333</v>
      </c>
      <c r="I31" s="57">
        <f>IFERROR(__xludf.DUMMYFUNCTION("""COMPUTED_VALUE"""),0.0)</f>
        <v>0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54">
        <f>IFERROR(__xludf.DUMMYFUNCTION("""COMPUTED_VALUE"""),5.0)</f>
        <v>5</v>
      </c>
      <c r="F32" s="54">
        <f>IFERROR(__xludf.DUMMYFUNCTION("""COMPUTED_VALUE"""),1.2)</f>
        <v>1.2</v>
      </c>
      <c r="G32" s="55"/>
      <c r="H32" s="56">
        <f>IFERROR(__xludf.DUMMYFUNCTION("""COMPUTED_VALUE"""),6.2)</f>
        <v>6.2</v>
      </c>
      <c r="I32" s="57">
        <f>IFERROR(__xludf.DUMMYFUNCTION("""COMPUTED_VALUE"""),0.0)</f>
        <v>0</v>
      </c>
      <c r="J32" s="58">
        <f>IFERROR(__xludf.DUMMYFUNCTION("""COMPUTED_VALUE"""),6.0)</f>
        <v>6</v>
      </c>
      <c r="K32" s="51"/>
      <c r="L32" s="60">
        <f>IFERROR(__xludf.DUMMYFUNCTION("""COMPUTED_VALUE"""),6.0)</f>
        <v>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54">
        <f>IFERROR(__xludf.DUMMYFUNCTION("""COMPUTED_VALUE"""),6.3)</f>
        <v>6.3</v>
      </c>
      <c r="F33" s="54">
        <f>IFERROR(__xludf.DUMMYFUNCTION("""COMPUTED_VALUE"""),1.8)</f>
        <v>1.8</v>
      </c>
      <c r="G33" s="55"/>
      <c r="H33" s="56">
        <f>IFERROR(__xludf.DUMMYFUNCTION("""COMPUTED_VALUE"""),8.1)</f>
        <v>8.1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55">
        <f>IFERROR(__xludf.DUMMYFUNCTION("""COMPUTED_VALUE"""),5.573333333333333)</f>
        <v>5.573333333</v>
      </c>
      <c r="F34" s="54">
        <f>IFERROR(__xludf.DUMMYFUNCTION("""COMPUTED_VALUE"""),1.6)</f>
        <v>1.6</v>
      </c>
      <c r="G34" s="55">
        <f>IFERROR(__xludf.DUMMYFUNCTION("""COMPUTED_VALUE"""),1.0)</f>
        <v>1</v>
      </c>
      <c r="H34" s="56">
        <f>IFERROR(__xludf.DUMMYFUNCTION("""COMPUTED_VALUE"""),8.173333333333334)</f>
        <v>8.173333333</v>
      </c>
      <c r="I34" s="57">
        <f>IFERROR(__xludf.DUMMYFUNCTION("""COMPUTED_VALUE"""),0.0)</f>
        <v>0</v>
      </c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54">
        <f>IFERROR(__xludf.DUMMYFUNCTION("""COMPUTED_VALUE"""),6.0)</f>
        <v>6</v>
      </c>
      <c r="F35" s="54">
        <f>IFERROR(__xludf.DUMMYFUNCTION("""COMPUTED_VALUE"""),1.6)</f>
        <v>1.6</v>
      </c>
      <c r="G35" s="55"/>
      <c r="H35" s="56">
        <f>IFERROR(__xludf.DUMMYFUNCTION("""COMPUTED_VALUE"""),7.6)</f>
        <v>7.6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54">
        <f>IFERROR(__xludf.DUMMYFUNCTION("""COMPUTED_VALUE"""),6.683333333333334)</f>
        <v>6.683333333</v>
      </c>
      <c r="F36" s="54">
        <f>IFERROR(__xludf.DUMMYFUNCTION("""COMPUTED_VALUE"""),2.2)</f>
        <v>2.2</v>
      </c>
      <c r="G36" s="55">
        <f>IFERROR(__xludf.DUMMYFUNCTION("""COMPUTED_VALUE"""),1.0)</f>
        <v>1</v>
      </c>
      <c r="H36" s="56">
        <f>IFERROR(__xludf.DUMMYFUNCTION("""COMPUTED_VALUE"""),9.883333333333333)</f>
        <v>9.883333333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55">
        <f>IFERROR(__xludf.DUMMYFUNCTION("""COMPUTED_VALUE"""),5.385000000000001)</f>
        <v>5.385</v>
      </c>
      <c r="F37" s="54">
        <f>IFERROR(__xludf.DUMMYFUNCTION("""COMPUTED_VALUE"""),1.4)</f>
        <v>1.4</v>
      </c>
      <c r="G37" s="55">
        <f>IFERROR(__xludf.DUMMYFUNCTION("""COMPUTED_VALUE"""),1.0)</f>
        <v>1</v>
      </c>
      <c r="H37" s="56">
        <f>IFERROR(__xludf.DUMMYFUNCTION("""COMPUTED_VALUE"""),7.785)</f>
        <v>7.785</v>
      </c>
      <c r="I37" s="57">
        <f>IFERROR(__xludf.DUMMYFUNCTION("""COMPUTED_VALUE"""),2.0)</f>
        <v>2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54">
        <f>IFERROR(__xludf.DUMMYFUNCTION("""COMPUTED_VALUE"""),6.016666666666667)</f>
        <v>6.016666667</v>
      </c>
      <c r="F38" s="54">
        <f>IFERROR(__xludf.DUMMYFUNCTION("""COMPUTED_VALUE"""),2.0)</f>
        <v>2</v>
      </c>
      <c r="G38" s="55"/>
      <c r="H38" s="56">
        <f>IFERROR(__xludf.DUMMYFUNCTION("""COMPUTED_VALUE"""),8.016666666666666)</f>
        <v>8.016666667</v>
      </c>
      <c r="I38" s="57">
        <f>IFERROR(__xludf.DUMMYFUNCTION("""COMPUTED_VALUE"""),0.0)</f>
        <v>0</v>
      </c>
      <c r="J38" s="58">
        <f>IFERROR(__xludf.DUMMYFUNCTION("""COMPUTED_VALUE"""),8.0)</f>
        <v>8</v>
      </c>
      <c r="K38" s="51"/>
      <c r="L38" s="60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54">
        <f>IFERROR(__xludf.DUMMYFUNCTION("""COMPUTED_VALUE"""),6.233333333333333)</f>
        <v>6.233333333</v>
      </c>
      <c r="F39" s="54">
        <f>IFERROR(__xludf.DUMMYFUNCTION("""COMPUTED_VALUE"""),1.9)</f>
        <v>1.9</v>
      </c>
      <c r="G39" s="55"/>
      <c r="H39" s="56">
        <f>IFERROR(__xludf.DUMMYFUNCTION("""COMPUTED_VALUE"""),8.133333333333333)</f>
        <v>8.133333333</v>
      </c>
      <c r="I39" s="57">
        <f>IFERROR(__xludf.DUMMYFUNCTION("""COMPUTED_VALUE"""),2.0)</f>
        <v>2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54">
        <f>IFERROR(__xludf.DUMMYFUNCTION("""COMPUTED_VALUE"""),4.7)</f>
        <v>4.7</v>
      </c>
      <c r="F40" s="54">
        <f>IFERROR(__xludf.DUMMYFUNCTION("""COMPUTED_VALUE"""),1.2)</f>
        <v>1.2</v>
      </c>
      <c r="G40" s="55"/>
      <c r="H40" s="56">
        <f>IFERROR(__xludf.DUMMYFUNCTION("""COMPUTED_VALUE"""),5.9)</f>
        <v>5.9</v>
      </c>
      <c r="I40" s="57">
        <f>IFERROR(__xludf.DUMMYFUNCTION("""COMPUTED_VALUE"""),2.0)</f>
        <v>2</v>
      </c>
      <c r="J40" s="58">
        <f>IFERROR(__xludf.DUMMYFUNCTION("""COMPUTED_VALUE"""),5.0)</f>
        <v>5</v>
      </c>
      <c r="K40" s="51"/>
      <c r="L40" s="60">
        <f>IFERROR(__xludf.DUMMYFUNCTION("""COMPUTED_VALUE"""),5.0)</f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54">
        <f>IFERROR(__xludf.DUMMYFUNCTION("""COMPUTED_VALUE"""),5.336666666666666)</f>
        <v>5.336666667</v>
      </c>
      <c r="F41" s="54">
        <f>IFERROR(__xludf.DUMMYFUNCTION("""COMPUTED_VALUE"""),1.6)</f>
        <v>1.6</v>
      </c>
      <c r="G41" s="55">
        <f>IFERROR(__xludf.DUMMYFUNCTION("""COMPUTED_VALUE"""),1.0)</f>
        <v>1</v>
      </c>
      <c r="H41" s="56">
        <f>IFERROR(__xludf.DUMMYFUNCTION("""COMPUTED_VALUE"""),7.936666666666666)</f>
        <v>7.936666667</v>
      </c>
      <c r="I41" s="57">
        <f>IFERROR(__xludf.DUMMYFUNCTION("""COMPUTED_VALUE"""),1.0)</f>
        <v>1</v>
      </c>
      <c r="J41" s="58">
        <f>IFERROR(__xludf.DUMMYFUNCTION("""COMPUTED_VALUE"""),8.0)</f>
        <v>8</v>
      </c>
      <c r="K41" s="51"/>
      <c r="L41" s="60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54">
        <f>IFERROR(__xludf.DUMMYFUNCTION("""COMPUTED_VALUE"""),6.6033333333333335)</f>
        <v>6.603333333</v>
      </c>
      <c r="F42" s="54">
        <f>IFERROR(__xludf.DUMMYFUNCTION("""COMPUTED_VALUE"""),1.8)</f>
        <v>1.8</v>
      </c>
      <c r="G42" s="55">
        <f>IFERROR(__xludf.DUMMYFUNCTION("""COMPUTED_VALUE"""),1.0)</f>
        <v>1</v>
      </c>
      <c r="H42" s="56">
        <f>IFERROR(__xludf.DUMMYFUNCTION("""COMPUTED_VALUE"""),9.403333333333334)</f>
        <v>9.403333333</v>
      </c>
      <c r="I42" s="57">
        <f>IFERROR(__xludf.DUMMYFUNCTION("""COMPUTED_VALUE"""),0.0)</f>
        <v>0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54">
        <f>IFERROR(__xludf.DUMMYFUNCTION("""COMPUTED_VALUE"""),6.7)</f>
        <v>6.7</v>
      </c>
      <c r="F43" s="54">
        <f>IFERROR(__xludf.DUMMYFUNCTION("""COMPUTED_VALUE"""),1.8)</f>
        <v>1.8</v>
      </c>
      <c r="G43" s="55"/>
      <c r="H43" s="56">
        <f>IFERROR(__xludf.DUMMYFUNCTION("""COMPUTED_VALUE"""),8.5)</f>
        <v>8.5</v>
      </c>
      <c r="I43" s="57">
        <f>IFERROR(__xludf.DUMMYFUNCTION("""COMPUTED_VALUE"""),0.0)</f>
        <v>0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54">
        <f>IFERROR(__xludf.DUMMYFUNCTION("""COMPUTED_VALUE"""),5.11)</f>
        <v>5.11</v>
      </c>
      <c r="F44" s="54">
        <f>IFERROR(__xludf.DUMMYFUNCTION("""COMPUTED_VALUE"""),1.6)</f>
        <v>1.6</v>
      </c>
      <c r="G44" s="55"/>
      <c r="H44" s="56">
        <f>IFERROR(__xludf.DUMMYFUNCTION("""COMPUTED_VALUE"""),6.710000000000001)</f>
        <v>6.71</v>
      </c>
      <c r="I44" s="57">
        <f>IFERROR(__xludf.DUMMYFUNCTION("""COMPUTED_VALUE"""),1.0)</f>
        <v>1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54">
        <f>IFERROR(__xludf.DUMMYFUNCTION("""COMPUTED_VALUE"""),6.154999999999999)</f>
        <v>6.155</v>
      </c>
      <c r="F45" s="54">
        <f>IFERROR(__xludf.DUMMYFUNCTION("""COMPUTED_VALUE"""),1.8)</f>
        <v>1.8</v>
      </c>
      <c r="G45" s="55"/>
      <c r="H45" s="56">
        <f>IFERROR(__xludf.DUMMYFUNCTION("""COMPUTED_VALUE"""),7.954999999999999)</f>
        <v>7.955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54">
        <f>IFERROR(__xludf.DUMMYFUNCTION("""COMPUTED_VALUE"""),4.578333333333333)</f>
        <v>4.578333333</v>
      </c>
      <c r="F46" s="54">
        <f>IFERROR(__xludf.DUMMYFUNCTION("""COMPUTED_VALUE"""),1.8)</f>
        <v>1.8</v>
      </c>
      <c r="G46" s="55"/>
      <c r="H46" s="56">
        <f>IFERROR(__xludf.DUMMYFUNCTION("""COMPUTED_VALUE"""),6.378333333333333)</f>
        <v>6.378333333</v>
      </c>
      <c r="I46" s="57">
        <f>IFERROR(__xludf.DUMMYFUNCTION("""COMPUTED_VALUE"""),0.0)</f>
        <v>0</v>
      </c>
      <c r="J46" s="58">
        <f>IFERROR(__xludf.DUMMYFUNCTION("""COMPUTED_VALUE"""),6.0)</f>
        <v>6</v>
      </c>
      <c r="K46" s="51"/>
      <c r="L46" s="60">
        <f>IFERROR(__xludf.DUMMYFUNCTION("""COMPUTED_VALUE"""),6.0)</f>
        <v>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54">
        <f>IFERROR(__xludf.DUMMYFUNCTION("""COMPUTED_VALUE"""),4.223333333333334)</f>
        <v>4.223333333</v>
      </c>
      <c r="F47" s="54">
        <f>IFERROR(__xludf.DUMMYFUNCTION("""COMPUTED_VALUE"""),1.4)</f>
        <v>1.4</v>
      </c>
      <c r="G47" s="55">
        <f>IFERROR(__xludf.DUMMYFUNCTION("""COMPUTED_VALUE"""),1.0)</f>
        <v>1</v>
      </c>
      <c r="H47" s="56">
        <f>IFERROR(__xludf.DUMMYFUNCTION("""COMPUTED_VALUE"""),6.623333333333333)</f>
        <v>6.623333333</v>
      </c>
      <c r="I47" s="57">
        <f>IFERROR(__xludf.DUMMYFUNCTION("""COMPUTED_VALUE"""),0.0)</f>
        <v>0</v>
      </c>
      <c r="J47" s="58">
        <f>IFERROR(__xludf.DUMMYFUNCTION("""COMPUTED_VALUE"""),7.0)</f>
        <v>7</v>
      </c>
      <c r="K47" s="51"/>
      <c r="L47" s="60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54">
        <f>IFERROR(__xludf.DUMMYFUNCTION("""COMPUTED_VALUE"""),5.3)</f>
        <v>5.3</v>
      </c>
      <c r="F48" s="54">
        <f>IFERROR(__xludf.DUMMYFUNCTION("""COMPUTED_VALUE"""),1.8)</f>
        <v>1.8</v>
      </c>
      <c r="G48" s="55"/>
      <c r="H48" s="56">
        <f>IFERROR(__xludf.DUMMYFUNCTION("""COMPUTED_VALUE"""),7.1)</f>
        <v>7.1</v>
      </c>
      <c r="I48" s="57">
        <f>IFERROR(__xludf.DUMMYFUNCTION("""COMPUTED_VALUE"""),1.0)</f>
        <v>1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54">
        <f>IFERROR(__xludf.DUMMYFUNCTION("""COMPUTED_VALUE"""),5.453333333333333)</f>
        <v>5.453333333</v>
      </c>
      <c r="F49" s="54">
        <f>IFERROR(__xludf.DUMMYFUNCTION("""COMPUTED_VALUE"""),1.8)</f>
        <v>1.8</v>
      </c>
      <c r="G49" s="55"/>
      <c r="H49" s="56">
        <f>IFERROR(__xludf.DUMMYFUNCTION("""COMPUTED_VALUE"""),7.253333333333333)</f>
        <v>7.253333333</v>
      </c>
      <c r="I49" s="57">
        <f>IFERROR(__xludf.DUMMYFUNCTION("""COMPUTED_VALUE"""),1.0)</f>
        <v>1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54">
        <f>IFERROR(__xludf.DUMMYFUNCTION("""COMPUTED_VALUE"""),6.416666666666666)</f>
        <v>6.416666667</v>
      </c>
      <c r="F50" s="54">
        <f>IFERROR(__xludf.DUMMYFUNCTION("""COMPUTED_VALUE"""),1.4)</f>
        <v>1.4</v>
      </c>
      <c r="G50" s="55"/>
      <c r="H50" s="56">
        <f>IFERROR(__xludf.DUMMYFUNCTION("""COMPUTED_VALUE"""),7.816666666666666)</f>
        <v>7.816666667</v>
      </c>
      <c r="I50" s="57">
        <f>IFERROR(__xludf.DUMMYFUNCTION("""COMPUTED_VALUE"""),1.0)</f>
        <v>1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54">
        <f>IFERROR(__xludf.DUMMYFUNCTION("""COMPUTED_VALUE"""),6.246666666666666)</f>
        <v>6.246666667</v>
      </c>
      <c r="F51" s="54">
        <f>IFERROR(__xludf.DUMMYFUNCTION("""COMPUTED_VALUE"""),1.8)</f>
        <v>1.8</v>
      </c>
      <c r="G51" s="55"/>
      <c r="H51" s="56">
        <f>IFERROR(__xludf.DUMMYFUNCTION("""COMPUTED_VALUE"""),8.046666666666667)</f>
        <v>8.046666667</v>
      </c>
      <c r="I51" s="57">
        <f>IFERROR(__xludf.DUMMYFUNCTION("""COMPUTED_VALUE"""),0.0)</f>
        <v>0</v>
      </c>
      <c r="J51" s="58">
        <f>IFERROR(__xludf.DUMMYFUNCTION("""COMPUTED_VALUE"""),8.0)</f>
        <v>8</v>
      </c>
      <c r="K51" s="51"/>
      <c r="L51" s="60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54">
        <f>IFERROR(__xludf.DUMMYFUNCTION("""COMPUTED_VALUE"""),4.4)</f>
        <v>4.4</v>
      </c>
      <c r="F52" s="54">
        <f>IFERROR(__xludf.DUMMYFUNCTION("""COMPUTED_VALUE"""),1.6)</f>
        <v>1.6</v>
      </c>
      <c r="G52" s="55"/>
      <c r="H52" s="56">
        <f>IFERROR(__xludf.DUMMYFUNCTION("""COMPUTED_VALUE"""),6.0)</f>
        <v>6</v>
      </c>
      <c r="I52" s="57">
        <f>IFERROR(__xludf.DUMMYFUNCTION("""COMPUTED_VALUE"""),2.0)</f>
        <v>2</v>
      </c>
      <c r="J52" s="58">
        <f>IFERROR(__xludf.DUMMYFUNCTION("""COMPUTED_VALUE"""),6.0)</f>
        <v>6</v>
      </c>
      <c r="K52" s="51"/>
      <c r="L52" s="59">
        <f>IFERROR(__xludf.DUMMYFUNCTION("""COMPUTED_VALUE"""),6.0)</f>
        <v>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54">
        <f>IFERROR(__xludf.DUMMYFUNCTION("""COMPUTED_VALUE"""),4.963333333333333)</f>
        <v>4.963333333</v>
      </c>
      <c r="F53" s="54">
        <f>IFERROR(__xludf.DUMMYFUNCTION("""COMPUTED_VALUE"""),1.2)</f>
        <v>1.2</v>
      </c>
      <c r="G53" s="55"/>
      <c r="H53" s="56">
        <f>IFERROR(__xludf.DUMMYFUNCTION("""COMPUTED_VALUE"""),6.163333333333333)</f>
        <v>6.163333333</v>
      </c>
      <c r="I53" s="57">
        <f>IFERROR(__xludf.DUMMYFUNCTION("""COMPUTED_VALUE"""),1.0)</f>
        <v>1</v>
      </c>
      <c r="J53" s="58">
        <f>IFERROR(__xludf.DUMMYFUNCTION("""COMPUTED_VALUE"""),6.0)</f>
        <v>6</v>
      </c>
      <c r="K53" s="51"/>
      <c r="L53" s="59">
        <f>IFERROR(__xludf.DUMMYFUNCTION("""COMPUTED_VALUE"""),6.0)</f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54">
        <f>IFERROR(__xludf.DUMMYFUNCTION("""COMPUTED_VALUE"""),5.961666666666667)</f>
        <v>5.961666667</v>
      </c>
      <c r="F54" s="54">
        <f>IFERROR(__xludf.DUMMYFUNCTION("""COMPUTED_VALUE"""),1.6)</f>
        <v>1.6</v>
      </c>
      <c r="G54" s="55"/>
      <c r="H54" s="56">
        <f>IFERROR(__xludf.DUMMYFUNCTION("""COMPUTED_VALUE"""),7.561666666666667)</f>
        <v>7.561666667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54">
        <f>IFERROR(__xludf.DUMMYFUNCTION("""COMPUTED_VALUE"""),3.9)</f>
        <v>3.9</v>
      </c>
      <c r="F55" s="54">
        <f>IFERROR(__xludf.DUMMYFUNCTION("""COMPUTED_VALUE"""),2.0)</f>
        <v>2</v>
      </c>
      <c r="G55" s="55"/>
      <c r="H55" s="56">
        <f>IFERROR(__xludf.DUMMYFUNCTION("""COMPUTED_VALUE"""),5.9)</f>
        <v>5.9</v>
      </c>
      <c r="I55" s="66">
        <f>IFERROR(__xludf.DUMMYFUNCTION("""COMPUTED_VALUE"""),3.0)</f>
        <v>3</v>
      </c>
      <c r="J55" s="58">
        <f>IFERROR(__xludf.DUMMYFUNCTION("""COMPUTED_VALUE"""),5.0)</f>
        <v>5</v>
      </c>
      <c r="K55" s="51"/>
      <c r="L55" s="59">
        <f>IFERROR(__xludf.DUMMYFUNCTION("""COMPUTED_VALUE"""),5.0)</f>
        <v>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54">
        <f>IFERROR(__xludf.DUMMYFUNCTION("""COMPUTED_VALUE"""),6.506666666666666)</f>
        <v>6.506666667</v>
      </c>
      <c r="F56" s="54">
        <f>IFERROR(__xludf.DUMMYFUNCTION("""COMPUTED_VALUE"""),1.4)</f>
        <v>1.4</v>
      </c>
      <c r="G56" s="55"/>
      <c r="H56" s="56">
        <f>IFERROR(__xludf.DUMMYFUNCTION("""COMPUTED_VALUE"""),7.906666666666666)</f>
        <v>7.906666667</v>
      </c>
      <c r="I56" s="66">
        <f>IFERROR(__xludf.DUMMYFUNCTION("""COMPUTED_VALUE"""),1.0)</f>
        <v>1</v>
      </c>
      <c r="J56" s="58">
        <f>IFERROR(__xludf.DUMMYFUNCTION("""COMPUTED_VALUE"""),8.0)</f>
        <v>8</v>
      </c>
      <c r="K56" s="51"/>
      <c r="L56" s="59">
        <f>IFERROR(__xludf.DUMMYFUNCTION("""COMPUTED_VALUE"""),8.0)</f>
        <v>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54">
        <f>IFERROR(__xludf.DUMMYFUNCTION("""COMPUTED_VALUE"""),5.456666666666666)</f>
        <v>5.456666667</v>
      </c>
      <c r="F57" s="54">
        <f>IFERROR(__xludf.DUMMYFUNCTION("""COMPUTED_VALUE"""),1.8)</f>
        <v>1.8</v>
      </c>
      <c r="G57" s="55"/>
      <c r="H57" s="56">
        <f>IFERROR(__xludf.DUMMYFUNCTION("""COMPUTED_VALUE"""),7.256666666666666)</f>
        <v>7.256666667</v>
      </c>
      <c r="I57" s="66">
        <f>IFERROR(__xludf.DUMMYFUNCTION("""COMPUTED_VALUE"""),0.0)</f>
        <v>0</v>
      </c>
      <c r="J57" s="58">
        <f>IFERROR(__xludf.DUMMYFUNCTION("""COMPUTED_VALUE"""),7.0)</f>
        <v>7</v>
      </c>
      <c r="K57" s="51"/>
      <c r="L57" s="59">
        <f>IFERROR(__xludf.DUMMYFUNCTION("""COMPUTED_VALUE"""),7.0)</f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54">
        <f>IFERROR(__xludf.DUMMYFUNCTION("""COMPUTED_VALUE"""),2.7166666666666663)</f>
        <v>2.716666667</v>
      </c>
      <c r="F58" s="54">
        <f>IFERROR(__xludf.DUMMYFUNCTION("""COMPUTED_VALUE"""),1.6)</f>
        <v>1.6</v>
      </c>
      <c r="G58" s="55"/>
      <c r="H58" s="56">
        <f>IFERROR(__xludf.DUMMYFUNCTION("""COMPUTED_VALUE"""),4.316666666666666)</f>
        <v>4.316666667</v>
      </c>
      <c r="I58" s="66">
        <f>IFERROR(__xludf.DUMMYFUNCTION("""COMPUTED_VALUE"""),0.0)</f>
        <v>0</v>
      </c>
      <c r="J58" s="58">
        <f>IFERROR(__xludf.DUMMYFUNCTION("""COMPUTED_VALUE"""),5.0)</f>
        <v>5</v>
      </c>
      <c r="K58" s="51"/>
      <c r="L58" s="59">
        <f>IFERROR(__xludf.DUMMYFUNCTION("""COMPUTED_VALUE"""),4.0)</f>
        <v>4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54">
        <f>IFERROR(__xludf.DUMMYFUNCTION("""COMPUTED_VALUE"""),4.943333333333333)</f>
        <v>4.943333333</v>
      </c>
      <c r="F59" s="54">
        <f>IFERROR(__xludf.DUMMYFUNCTION("""COMPUTED_VALUE"""),1.6)</f>
        <v>1.6</v>
      </c>
      <c r="G59" s="55">
        <f>IFERROR(__xludf.DUMMYFUNCTION("""COMPUTED_VALUE"""),1.0)</f>
        <v>1</v>
      </c>
      <c r="H59" s="56">
        <f>IFERROR(__xludf.DUMMYFUNCTION("""COMPUTED_VALUE"""),7.543333333333333)</f>
        <v>7.543333333</v>
      </c>
      <c r="I59" s="66">
        <f>IFERROR(__xludf.DUMMYFUNCTION("""COMPUTED_VALUE"""),2.0)</f>
        <v>2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54">
        <f>IFERROR(__xludf.DUMMYFUNCTION("""COMPUTED_VALUE"""),6.616666666666666)</f>
        <v>6.616666667</v>
      </c>
      <c r="F60" s="54">
        <f>IFERROR(__xludf.DUMMYFUNCTION("""COMPUTED_VALUE"""),2.0)</f>
        <v>2</v>
      </c>
      <c r="G60" s="55"/>
      <c r="H60" s="56">
        <f>IFERROR(__xludf.DUMMYFUNCTION("""COMPUTED_VALUE"""),8.616666666666667)</f>
        <v>8.616666667</v>
      </c>
      <c r="I60" s="66">
        <f>IFERROR(__xludf.DUMMYFUNCTION("""COMPUTED_VALUE"""),0.0)</f>
        <v>0</v>
      </c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54">
        <f>IFERROR(__xludf.DUMMYFUNCTION("""COMPUTED_VALUE"""),5.5200000000000005)</f>
        <v>5.52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IFERROR(__xludf.DUMMYFUNCTION("""COMPUTED_VALUE"""),8.52)</f>
        <v>8.52</v>
      </c>
      <c r="I61" s="66">
        <f>IFERROR(__xludf.DUMMYFUNCTION("""COMPUTED_VALUE"""),0.0)</f>
        <v>0</v>
      </c>
      <c r="J61" s="58">
        <f>IFERROR(__xludf.DUMMYFUNCTION("""COMPUTED_VALUE"""),9.0)</f>
        <v>9</v>
      </c>
      <c r="K61" s="51"/>
      <c r="L61" s="59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54">
        <f>IFERROR(__xludf.DUMMYFUNCTION("""COMPUTED_VALUE"""),6.68)</f>
        <v>6.68</v>
      </c>
      <c r="F62" s="54">
        <f>IFERROR(__xludf.DUMMYFUNCTION("""COMPUTED_VALUE"""),2.0)</f>
        <v>2</v>
      </c>
      <c r="G62" s="55">
        <f>IFERROR(__xludf.DUMMYFUNCTION("""COMPUTED_VALUE"""),1.0)</f>
        <v>1</v>
      </c>
      <c r="H62" s="56">
        <f>IFERROR(__xludf.DUMMYFUNCTION("""COMPUTED_VALUE"""),9.68)</f>
        <v>9.68</v>
      </c>
      <c r="I62" s="66">
        <f>IFERROR(__xludf.DUMMYFUNCTION("""COMPUTED_VALUE"""),0.0)</f>
        <v>0</v>
      </c>
      <c r="J62" s="58">
        <f>IFERROR(__xludf.DUMMYFUNCTION("""COMPUTED_VALUE"""),10.0)</f>
        <v>10</v>
      </c>
      <c r="K62" s="51"/>
      <c r="L62" s="59">
        <f>IFERROR(__xludf.DUMMYFUNCTION("""COMPUTED_VALUE"""),10.0)</f>
        <v>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54">
        <f>IFERROR(__xludf.DUMMYFUNCTION("""COMPUTED_VALUE"""),5.1866666666666665)</f>
        <v>5.186666667</v>
      </c>
      <c r="F63" s="54">
        <f>IFERROR(__xludf.DUMMYFUNCTION("""COMPUTED_VALUE"""),2.0)</f>
        <v>2</v>
      </c>
      <c r="G63" s="55">
        <f>IFERROR(__xludf.DUMMYFUNCTION("""COMPUTED_VALUE"""),1.0)</f>
        <v>1</v>
      </c>
      <c r="H63" s="56">
        <f>IFERROR(__xludf.DUMMYFUNCTION("""COMPUTED_VALUE"""),8.186666666666667)</f>
        <v>8.186666667</v>
      </c>
      <c r="I63" s="66">
        <f>IFERROR(__xludf.DUMMYFUNCTION("""COMPUTED_VALUE"""),0.0)</f>
        <v>0</v>
      </c>
      <c r="J63" s="58">
        <f>IFERROR(__xludf.DUMMYFUNCTION("""COMPUTED_VALUE"""),8.0)</f>
        <v>8</v>
      </c>
      <c r="K63" s="51"/>
      <c r="L63" s="59">
        <f>IFERROR(__xludf.DUMMYFUNCTION("""COMPUTED_VALUE"""),8.0)</f>
        <v>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8"/>
      <c r="C64" s="68"/>
      <c r="D64" s="68"/>
      <c r="E64" s="69"/>
      <c r="F64" s="68"/>
      <c r="G64" s="68"/>
      <c r="H64" s="68"/>
      <c r="I64" s="68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0"/>
      <c r="B65" s="71" t="str">
        <f>IFERROR(__xludf.DUMMYFUNCTION("""COMPUTED_VALUE"""),"No. DE ALUMNOS INSCRITOS")</f>
        <v>No. DE ALUMNOS INSCRITOS</v>
      </c>
      <c r="C65" s="72"/>
      <c r="D65" s="73">
        <f>IFERROR(__xludf.DUMMYFUNCTION("""COMPUTED_VALUE"""),47.0)</f>
        <v>47</v>
      </c>
      <c r="E65" s="68"/>
      <c r="F65" s="74" t="str">
        <f>IFERROR(__xludf.DUMMYFUNCTION("""COMPUTED_VALUE"""),"FIRMA DEL PROFESOR")</f>
        <v>FIRMA DEL PROFESOR</v>
      </c>
      <c r="G65" s="75"/>
      <c r="H65" s="74" t="str">
        <f>IFERROR(__xludf.DUMMYFUNCTION("""COMPUTED_VALUE"""),"FIRMA DEL ORIENTADOR")</f>
        <v>FIRMA DEL ORIENTADOR</v>
      </c>
      <c r="J65" s="76" t="str">
        <f>IFERROR(__xludf.DUMMYFUNCTION("""COMPUTED_VALUE"""),"Vo. Bo. SUBDIRECCIÓN ESCOLAR")</f>
        <v>Vo. Bo. SUBDIRECCIÓN ESCOLAR</v>
      </c>
      <c r="K65" s="77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0"/>
      <c r="B66" s="78" t="str">
        <f>IFERROR(__xludf.DUMMYFUNCTION("""COMPUTED_VALUE"""),"BAJAS DURANTE EL SEMESTRE")</f>
        <v>BAJAS DURANTE EL SEMESTRE</v>
      </c>
      <c r="C66" s="79"/>
      <c r="D66" s="80">
        <f>IFERROR(__xludf.DUMMYFUNCTION("""COMPUTED_VALUE"""),0.0)</f>
        <v>0</v>
      </c>
      <c r="E66" s="68"/>
      <c r="G66" s="75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0"/>
      <c r="B67" s="78" t="str">
        <f>IFERROR(__xludf.DUMMYFUNCTION("""COMPUTED_VALUE"""),"EXISTENCIA")</f>
        <v>EXISTENCIA</v>
      </c>
      <c r="C67" s="79"/>
      <c r="D67" s="81">
        <f>IFERROR(__xludf.DUMMYFUNCTION("""COMPUTED_VALUE"""),47.0)</f>
        <v>47</v>
      </c>
      <c r="E67" s="68"/>
      <c r="F67" s="82"/>
      <c r="G67" s="83"/>
      <c r="H67" s="82"/>
      <c r="I67" s="82"/>
      <c r="J67" s="84"/>
      <c r="K67" s="8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0"/>
      <c r="B68" s="78" t="str">
        <f>IFERROR(__xludf.DUMMYFUNCTION("""COMPUTED_VALUE"""),"No. DE ALUMNOS APROBADOS")</f>
        <v>No. DE ALUMNOS APROBADOS</v>
      </c>
      <c r="C68" s="79"/>
      <c r="D68" s="86">
        <f>IFERROR(__xludf.DUMMYFUNCTION("""COMPUTED_VALUE"""),44.0)</f>
        <v>44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0"/>
      <c r="B69" s="78" t="str">
        <f>IFERROR(__xludf.DUMMYFUNCTION("""COMPUTED_VALUE"""),"No. DE ALUMNOS REPROBADOS")</f>
        <v>No. DE ALUMNOS REPROBADOS</v>
      </c>
      <c r="C69" s="79"/>
      <c r="D69" s="86">
        <f>IFERROR(__xludf.DUMMYFUNCTION("""COMPUTED_VALUE"""),3.0)</f>
        <v>3</v>
      </c>
      <c r="E69" s="68"/>
      <c r="F69" s="87"/>
      <c r="G69" s="83"/>
      <c r="H69" s="87"/>
      <c r="I69" s="87"/>
      <c r="J69" s="88"/>
      <c r="K69" s="8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0"/>
      <c r="B70" s="78" t="str">
        <f>IFERROR(__xludf.DUMMYFUNCTION("""COMPUTED_VALUE"""),"% DE APROBADOS")</f>
        <v>% DE APROBADOS</v>
      </c>
      <c r="C70" s="79"/>
      <c r="D70" s="81">
        <f>IFERROR(__xludf.DUMMYFUNCTION("""COMPUTED_VALUE"""),93.61702127659575)</f>
        <v>93.61702128</v>
      </c>
      <c r="E70" s="68"/>
      <c r="F70" s="90" t="str">
        <f>IFERROR(__xludf.DUMMYFUNCTION("""COMPUTED_VALUE"""),"PROFR. ")</f>
        <v>PROFR. </v>
      </c>
      <c r="G70" s="91"/>
      <c r="H70" s="92" t="str">
        <f>IFERROR(__xludf.DUMMYFUNCTION("""COMPUTED_VALUE"""),"PROFRA. JUANA RANGEL PALACIOS ")</f>
        <v>PROFRA. JUANA RANGEL PALACIOS </v>
      </c>
      <c r="J70" s="93" t="str">
        <f>IFERROR(__xludf.DUMMYFUNCTION("""COMPUTED_VALUE"""),"PROFR. OCTAVIO VÁZQUEZ BARRETO")</f>
        <v>PROFR. OCTAVIO VÁZQUEZ BARRETO</v>
      </c>
      <c r="K70" s="94" t="str">
        <f>IFERROR(__xludf.DUMMYFUNCTION("""COMPUTED_VALUE"""),"PROFR. ROBERTO PALOMARES MEJÍA ")</f>
        <v>PROFR. ROBERTO PALOMARES MEJÍA </v>
      </c>
      <c r="L70" s="9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0"/>
      <c r="B71" s="96" t="str">
        <f>IFERROR(__xludf.DUMMYFUNCTION("""COMPUTED_VALUE"""),"PROMEDIO")</f>
        <v>PROMEDIO</v>
      </c>
      <c r="C71" s="97"/>
      <c r="D71" s="98">
        <f>IFERROR(__xludf.DUMMYFUNCTION("""COMPUTED_VALUE"""),7.680851063829787)</f>
        <v>7.680851064</v>
      </c>
      <c r="E71" s="68"/>
      <c r="G71" s="91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100"/>
      <c r="C73" s="101"/>
      <c r="D73" s="101"/>
      <c r="E73" s="68"/>
      <c r="G73" s="7"/>
      <c r="H73" s="7"/>
      <c r="I73" s="7"/>
      <c r="J73" s="7"/>
      <c r="K73" s="102"/>
      <c r="L73" s="10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4"/>
      <c r="B74" s="68"/>
      <c r="C74" s="68"/>
      <c r="D74" s="68"/>
      <c r="E74" s="7"/>
      <c r="F74" s="1"/>
      <c r="G74" s="1"/>
      <c r="H74" s="1"/>
      <c r="I74" s="1"/>
      <c r="J74" s="1"/>
      <c r="K74" s="8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107"/>
      <c r="C76" s="107"/>
      <c r="D76" s="107"/>
      <c r="E76" s="108"/>
      <c r="F76" s="109"/>
      <c r="G76" s="109"/>
      <c r="H76" s="109"/>
      <c r="I76" s="109"/>
      <c r="J76" s="109"/>
      <c r="K76" s="110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1"/>
      <c r="C77" s="111"/>
      <c r="D77" s="111"/>
      <c r="E77" s="111"/>
      <c r="F77" s="1"/>
      <c r="G77" s="1"/>
      <c r="H77" s="1"/>
      <c r="I77" s="1"/>
      <c r="J77" s="112"/>
      <c r="K77" s="112"/>
      <c r="L77" s="1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IFERROR(__xludf.DUMMYFUNCTION("IMPORTRANGE(""https://docs.google.com/spreadsheets/d/18XH-tWyTO3gH42Gvu54gWEYK7bDv4GEIXeZqjlgKESU/edit?gid=868681460#gid=868681460"",""2-3 espacio y sociedad!A1:Q85"")"),"")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IFERROR(__xludf.DUMMYFUNCTION("""COMPUTED_VALUE"""),"JOSÉ MARTIN MONROY MARTINEZ")</f>
        <v>JOSÉ MARTIN MONROY MARTINEZ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IFERROR(__xludf.DUMMYFUNCTION("""COMPUTED_VALUE"""),"ESPACIO Y SOCIEDAD")</f>
        <v>ESPACIO Y SOCIEDAD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IFERROR(__xludf.DUMMYFUNCTION("""COMPUTED_VALUE"""),"2°")</f>
        <v>2°</v>
      </c>
      <c r="C15" s="38" t="str">
        <f>IFERROR(__xludf.DUMMYFUNCTION("""COMPUTED_VALUE"""),"GRUPO")</f>
        <v>GRUPO</v>
      </c>
      <c r="D15" s="38">
        <f>IFERROR(__xludf.DUMMYFUNCTION("""COMPUTED_VALUE"""),3.0)</f>
        <v>3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54">
        <f>IFERROR(__xludf.DUMMYFUNCTION("""COMPUTED_VALUE"""),7.0)</f>
        <v>7</v>
      </c>
      <c r="F17" s="54">
        <f>IFERROR(__xludf.DUMMYFUNCTION("""COMPUTED_VALUE"""),2.0)</f>
        <v>2</v>
      </c>
      <c r="G17" s="55">
        <f>IFERROR(__xludf.DUMMYFUNCTION("""COMPUTED_VALUE"""),1.0)</f>
        <v>1</v>
      </c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54">
        <f>IFERROR(__xludf.DUMMYFUNCTION("""COMPUTED_VALUE"""),7.5)</f>
        <v>7.5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IFERROR(__xludf.DUMMYFUNCTION("""COMPUTED_VALUE"""),10.5)</f>
        <v>10.5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55">
        <f>IFERROR(__xludf.DUMMYFUNCTION("""COMPUTED_VALUE"""),7.5)</f>
        <v>7.5</v>
      </c>
      <c r="F19" s="54">
        <f>IFERROR(__xludf.DUMMYFUNCTION("""COMPUTED_VALUE"""),2.0)</f>
        <v>2</v>
      </c>
      <c r="G19" s="55"/>
      <c r="H19" s="56">
        <f>IFERROR(__xludf.DUMMYFUNCTION("""COMPUTED_VALUE"""),9.5)</f>
        <v>9.5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54">
        <f>IFERROR(__xludf.DUMMYFUNCTION("""COMPUTED_VALUE"""),5.2)</f>
        <v>5.2</v>
      </c>
      <c r="F20" s="54">
        <f>IFERROR(__xludf.DUMMYFUNCTION("""COMPUTED_VALUE"""),2.0)</f>
        <v>2</v>
      </c>
      <c r="G20" s="55"/>
      <c r="H20" s="56">
        <f>IFERROR(__xludf.DUMMYFUNCTION("""COMPUTED_VALUE"""),7.2)</f>
        <v>7.2</v>
      </c>
      <c r="I20" s="57">
        <f>IFERROR(__xludf.DUMMYFUNCTION("""COMPUTED_VALUE"""),0.0)</f>
        <v>0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54">
        <f>IFERROR(__xludf.DUMMYFUNCTION("""COMPUTED_VALUE"""),7.5)</f>
        <v>7.5</v>
      </c>
      <c r="F21" s="54">
        <f>IFERROR(__xludf.DUMMYFUNCTION("""COMPUTED_VALUE"""),2.0)</f>
        <v>2</v>
      </c>
      <c r="G21" s="55"/>
      <c r="H21" s="56">
        <f>IFERROR(__xludf.DUMMYFUNCTION("""COMPUTED_VALUE"""),9.5)</f>
        <v>9.5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IFERROR(__xludf.DUMMYFUNCTION("""COMPUTED_VALUE"""),"Junio")</f>
        <v>Junio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54">
        <f>IFERROR(__xludf.DUMMYFUNCTION("""COMPUTED_VALUE"""),6.0)</f>
        <v>6</v>
      </c>
      <c r="F22" s="54">
        <f>IFERROR(__xludf.DUMMYFUNCTION("""COMPUTED_VALUE"""),2.0)</f>
        <v>2</v>
      </c>
      <c r="G22" s="55"/>
      <c r="H22" s="56">
        <f>IFERROR(__xludf.DUMMYFUNCTION("""COMPUTED_VALUE"""),8.0)</f>
        <v>8</v>
      </c>
      <c r="I22" s="57">
        <f>IFERROR(__xludf.DUMMYFUNCTION("""COMPUTED_VALUE"""),0.0)</f>
        <v>0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IFERROR(__xludf.DUMMYFUNCTION("""COMPUTED_VALUE"""),"Julio")</f>
        <v>Julio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54">
        <f>IFERROR(__xludf.DUMMYFUNCTION("""COMPUTED_VALUE"""),7.5)</f>
        <v>7.5</v>
      </c>
      <c r="F23" s="54">
        <f>IFERROR(__xludf.DUMMYFUNCTION("""COMPUTED_VALUE"""),2.0)</f>
        <v>2</v>
      </c>
      <c r="G23" s="55"/>
      <c r="H23" s="56">
        <f>IFERROR(__xludf.DUMMYFUNCTION("""COMPUTED_VALUE"""),9.5)</f>
        <v>9.5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IFERROR(__xludf.DUMMYFUNCTION("""COMPUTED_VALUE"""),"TOTAL")</f>
        <v>TOTAL</v>
      </c>
      <c r="N23" s="1">
        <f>IFERROR(__xludf.DUMMYFUNCTION("""COMPUTED_VALUE"""),21.0)</f>
        <v>21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55">
        <f>IFERROR(__xludf.DUMMYFUNCTION("""COMPUTED_VALUE"""),4.1)</f>
        <v>4.1</v>
      </c>
      <c r="F24" s="54">
        <f>IFERROR(__xludf.DUMMYFUNCTION("""COMPUTED_VALUE"""),2.0)</f>
        <v>2</v>
      </c>
      <c r="G24" s="55"/>
      <c r="H24" s="56">
        <f>IFERROR(__xludf.DUMMYFUNCTION("""COMPUTED_VALUE"""),6.1)</f>
        <v>6.1</v>
      </c>
      <c r="I24" s="57">
        <f>IFERROR(__xludf.DUMMYFUNCTION("""COMPUTED_VALUE"""),0.0)</f>
        <v>0</v>
      </c>
      <c r="J24" s="58">
        <f>IFERROR(__xludf.DUMMYFUNCTION("""COMPUTED_VALUE"""),6.0)</f>
        <v>6</v>
      </c>
      <c r="K24" s="51"/>
      <c r="L24" s="60">
        <f>IFERROR(__xludf.DUMMYFUNCTION("""COMPUTED_VALUE"""),6.0)</f>
        <v>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54">
        <f>IFERROR(__xludf.DUMMYFUNCTION("""COMPUTED_VALUE"""),4.7)</f>
        <v>4.7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IFERROR(__xludf.DUMMYFUNCTION("""COMPUTED_VALUE"""),7.7)</f>
        <v>7.7</v>
      </c>
      <c r="I25" s="57">
        <f>IFERROR(__xludf.DUMMYFUNCTION("""COMPUTED_VALUE"""),0.0)</f>
        <v>0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55">
        <f>IFERROR(__xludf.DUMMYFUNCTION("""COMPUTED_VALUE"""),7.1)</f>
        <v>7.1</v>
      </c>
      <c r="F26" s="54">
        <f>IFERROR(__xludf.DUMMYFUNCTION("""COMPUTED_VALUE"""),2.0)</f>
        <v>2</v>
      </c>
      <c r="G26" s="55"/>
      <c r="H26" s="56">
        <f>IFERROR(__xludf.DUMMYFUNCTION("""COMPUTED_VALUE"""),9.1)</f>
        <v>9.1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54">
        <f>IFERROR(__xludf.DUMMYFUNCTION("""COMPUTED_VALUE"""),7.7)</f>
        <v>7.7</v>
      </c>
      <c r="F27" s="54">
        <f>IFERROR(__xludf.DUMMYFUNCTION("""COMPUTED_VALUE"""),2.0)</f>
        <v>2</v>
      </c>
      <c r="G27" s="55"/>
      <c r="H27" s="56">
        <f>IFERROR(__xludf.DUMMYFUNCTION("""COMPUTED_VALUE"""),9.7)</f>
        <v>9.7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54">
        <f>IFERROR(__xludf.DUMMYFUNCTION("""COMPUTED_VALUE"""),6.0)</f>
        <v>6</v>
      </c>
      <c r="F28" s="54">
        <f>IFERROR(__xludf.DUMMYFUNCTION("""COMPUTED_VALUE"""),2.0)</f>
        <v>2</v>
      </c>
      <c r="G28" s="55"/>
      <c r="H28" s="56">
        <f>IFERROR(__xludf.DUMMYFUNCTION("""COMPUTED_VALUE"""),8.0)</f>
        <v>8</v>
      </c>
      <c r="I28" s="57">
        <f>IFERROR(__xludf.DUMMYFUNCTION("""COMPUTED_VALUE"""),0.0)</f>
        <v>0</v>
      </c>
      <c r="J28" s="58">
        <f>IFERROR(__xludf.DUMMYFUNCTION("""COMPUTED_VALUE"""),8.0)</f>
        <v>8</v>
      </c>
      <c r="K28" s="51"/>
      <c r="L28" s="60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54">
        <f>IFERROR(__xludf.DUMMYFUNCTION("""COMPUTED_VALUE"""),7.7)</f>
        <v>7.7</v>
      </c>
      <c r="F29" s="54">
        <f>IFERROR(__xludf.DUMMYFUNCTION("""COMPUTED_VALUE"""),2.0)</f>
        <v>2</v>
      </c>
      <c r="G29" s="55"/>
      <c r="H29" s="56">
        <f>IFERROR(__xludf.DUMMYFUNCTION("""COMPUTED_VALUE"""),9.7)</f>
        <v>9.7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55">
        <f>IFERROR(__xludf.DUMMYFUNCTION("""COMPUTED_VALUE"""),7.3)</f>
        <v>7.3</v>
      </c>
      <c r="F30" s="54">
        <f>IFERROR(__xludf.DUMMYFUNCTION("""COMPUTED_VALUE"""),2.0)</f>
        <v>2</v>
      </c>
      <c r="G30" s="55"/>
      <c r="H30" s="56">
        <f>IFERROR(__xludf.DUMMYFUNCTION("""COMPUTED_VALUE"""),9.3)</f>
        <v>9.3</v>
      </c>
      <c r="I30" s="57">
        <f>IFERROR(__xludf.DUMMYFUNCTION("""COMPUTED_VALUE"""),0.0)</f>
        <v>0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54">
        <f>IFERROR(__xludf.DUMMYFUNCTION("""COMPUTED_VALUE"""),6.8)</f>
        <v>6.8</v>
      </c>
      <c r="F32" s="54">
        <f>IFERROR(__xludf.DUMMYFUNCTION("""COMPUTED_VALUE"""),2.0)</f>
        <v>2</v>
      </c>
      <c r="G32" s="55"/>
      <c r="H32" s="56">
        <f>IFERROR(__xludf.DUMMYFUNCTION("""COMPUTED_VALUE"""),8.8)</f>
        <v>8.8</v>
      </c>
      <c r="I32" s="57">
        <f>IFERROR(__xludf.DUMMYFUNCTION("""COMPUTED_VALUE"""),0.0)</f>
        <v>0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54">
        <f>IFERROR(__xludf.DUMMYFUNCTION("""COMPUTED_VALUE"""),6.4)</f>
        <v>6.4</v>
      </c>
      <c r="F33" s="54">
        <f>IFERROR(__xludf.DUMMYFUNCTION("""COMPUTED_VALUE"""),2.0)</f>
        <v>2</v>
      </c>
      <c r="G33" s="55"/>
      <c r="H33" s="56">
        <f>IFERROR(__xludf.DUMMYFUNCTION("""COMPUTED_VALUE"""),8.4)</f>
        <v>8.4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55">
        <f>IFERROR(__xludf.DUMMYFUNCTION("""COMPUTED_VALUE"""),7.5)</f>
        <v>7.5</v>
      </c>
      <c r="F34" s="54">
        <f>IFERROR(__xludf.DUMMYFUNCTION("""COMPUTED_VALUE"""),2.0)</f>
        <v>2</v>
      </c>
      <c r="G34" s="55">
        <f>IFERROR(__xludf.DUMMYFUNCTION("""COMPUTED_VALUE"""),1.0)</f>
        <v>1</v>
      </c>
      <c r="H34" s="56">
        <f>IFERROR(__xludf.DUMMYFUNCTION("""COMPUTED_VALUE"""),10.5)</f>
        <v>10.5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IFERROR(__xludf.DUMMYFUNCTION("""COMPUTED_VALUE"""),11.0)</f>
        <v>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54">
        <f>IFERROR(__xludf.DUMMYFUNCTION("""COMPUTED_VALUE"""),6.0)</f>
        <v>6</v>
      </c>
      <c r="F35" s="54">
        <f>IFERROR(__xludf.DUMMYFUNCTION("""COMPUTED_VALUE"""),2.0)</f>
        <v>2</v>
      </c>
      <c r="G35" s="55"/>
      <c r="H35" s="56">
        <f>IFERROR(__xludf.DUMMYFUNCTION("""COMPUTED_VALUE"""),8.0)</f>
        <v>8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>
        <f>IFERROR(__xludf.DUMMYFUNCTION("""COMPUTED_VALUE"""),1.0)</f>
        <v>1</v>
      </c>
      <c r="H36" s="56">
        <f>IFERROR(__xludf.DUMMYFUNCTION("""COMPUTED_VALUE"""),11.0)</f>
        <v>11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IFERROR(__xludf.DUMMYFUNCTION("""COMPUTED_VALUE"""),11.0)</f>
        <v>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>
        <f>IFERROR(__xludf.DUMMYFUNCTION("""COMPUTED_VALUE"""),1.0)</f>
        <v>1</v>
      </c>
      <c r="H37" s="56">
        <f>IFERROR(__xludf.DUMMYFUNCTION("""COMPUTED_VALUE"""),9.0)</f>
        <v>9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54">
        <f>IFERROR(__xludf.DUMMYFUNCTION("""COMPUTED_VALUE"""),7.7)</f>
        <v>7.7</v>
      </c>
      <c r="F38" s="54">
        <f>IFERROR(__xludf.DUMMYFUNCTION("""COMPUTED_VALUE"""),2.0)</f>
        <v>2</v>
      </c>
      <c r="G38" s="55"/>
      <c r="H38" s="56">
        <f>IFERROR(__xludf.DUMMYFUNCTION("""COMPUTED_VALUE"""),9.7)</f>
        <v>9.7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54">
        <f>IFERROR(__xludf.DUMMYFUNCTION("""COMPUTED_VALUE"""),5.6)</f>
        <v>5.6</v>
      </c>
      <c r="F39" s="54">
        <f>IFERROR(__xludf.DUMMYFUNCTION("""COMPUTED_VALUE"""),2.0)</f>
        <v>2</v>
      </c>
      <c r="G39" s="55"/>
      <c r="H39" s="56">
        <f>IFERROR(__xludf.DUMMYFUNCTION("""COMPUTED_VALUE"""),7.6)</f>
        <v>7.6</v>
      </c>
      <c r="I39" s="57">
        <f>IFERROR(__xludf.DUMMYFUNCTION("""COMPUTED_VALUE"""),0.0)</f>
        <v>0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54">
        <f>IFERROR(__xludf.DUMMYFUNCTION("""COMPUTED_VALUE"""),6.8)</f>
        <v>6.8</v>
      </c>
      <c r="F40" s="54">
        <f>IFERROR(__xludf.DUMMYFUNCTION("""COMPUTED_VALUE"""),2.0)</f>
        <v>2</v>
      </c>
      <c r="G40" s="55"/>
      <c r="H40" s="56">
        <f>IFERROR(__xludf.DUMMYFUNCTION("""COMPUTED_VALUE"""),8.8)</f>
        <v>8.8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>
        <f>IFERROR(__xludf.DUMMYFUNCTION("""COMPUTED_VALUE"""),1.0)</f>
        <v>1</v>
      </c>
      <c r="H41" s="56">
        <f>IFERROR(__xludf.DUMMYFUNCTION("""COMPUTED_VALUE"""),11.0)</f>
        <v>11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IFERROR(__xludf.DUMMYFUNCTION("""COMPUTED_VALUE"""),11.0)</f>
        <v>11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54">
        <f>IFERROR(__xludf.DUMMYFUNCTION("""COMPUTED_VALUE"""),5.4)</f>
        <v>5.4</v>
      </c>
      <c r="F42" s="54">
        <f>IFERROR(__xludf.DUMMYFUNCTION("""COMPUTED_VALUE"""),2.0)</f>
        <v>2</v>
      </c>
      <c r="G42" s="55">
        <f>IFERROR(__xludf.DUMMYFUNCTION("""COMPUTED_VALUE"""),1.0)</f>
        <v>1</v>
      </c>
      <c r="H42" s="56">
        <f>IFERROR(__xludf.DUMMYFUNCTION("""COMPUTED_VALUE"""),8.4)</f>
        <v>8.4</v>
      </c>
      <c r="I42" s="57">
        <f>IFERROR(__xludf.DUMMYFUNCTION("""COMPUTED_VALUE"""),0.0)</f>
        <v>0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54">
        <f>IFERROR(__xludf.DUMMYFUNCTION("""COMPUTED_VALUE"""),6.9)</f>
        <v>6.9</v>
      </c>
      <c r="F43" s="54">
        <f>IFERROR(__xludf.DUMMYFUNCTION("""COMPUTED_VALUE"""),2.0)</f>
        <v>2</v>
      </c>
      <c r="G43" s="55"/>
      <c r="H43" s="56">
        <f>IFERROR(__xludf.DUMMYFUNCTION("""COMPUTED_VALUE"""),8.9)</f>
        <v>8.9</v>
      </c>
      <c r="I43" s="57">
        <f>IFERROR(__xludf.DUMMYFUNCTION("""COMPUTED_VALUE"""),0.0)</f>
        <v>0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54">
        <f>IFERROR(__xludf.DUMMYFUNCTION("""COMPUTED_VALUE"""),5.8)</f>
        <v>5.8</v>
      </c>
      <c r="F44" s="54">
        <f>IFERROR(__xludf.DUMMYFUNCTION("""COMPUTED_VALUE"""),2.0)</f>
        <v>2</v>
      </c>
      <c r="G44" s="55"/>
      <c r="H44" s="56">
        <f>IFERROR(__xludf.DUMMYFUNCTION("""COMPUTED_VALUE"""),7.8)</f>
        <v>7.8</v>
      </c>
      <c r="I44" s="57">
        <f>IFERROR(__xludf.DUMMYFUNCTION("""COMPUTED_VALUE"""),0.0)</f>
        <v>0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54">
        <f>IFERROR(__xludf.DUMMYFUNCTION("""COMPUTED_VALUE"""),7.1)</f>
        <v>7.1</v>
      </c>
      <c r="F45" s="54">
        <f>IFERROR(__xludf.DUMMYFUNCTION("""COMPUTED_VALUE"""),2.0)</f>
        <v>2</v>
      </c>
      <c r="G45" s="55"/>
      <c r="H45" s="56">
        <f>IFERROR(__xludf.DUMMYFUNCTION("""COMPUTED_VALUE"""),9.1)</f>
        <v>9.1</v>
      </c>
      <c r="I45" s="57">
        <f>IFERROR(__xludf.DUMMYFUNCTION("""COMPUTED_VALUE"""),0.0)</f>
        <v>0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54">
        <f>IFERROR(__xludf.DUMMYFUNCTION("""COMPUTED_VALUE"""),7.8)</f>
        <v>7.8</v>
      </c>
      <c r="F46" s="54">
        <f>IFERROR(__xludf.DUMMYFUNCTION("""COMPUTED_VALUE"""),2.0)</f>
        <v>2</v>
      </c>
      <c r="G46" s="55"/>
      <c r="H46" s="56">
        <f>IFERROR(__xludf.DUMMYFUNCTION("""COMPUTED_VALUE"""),9.8)</f>
        <v>9.8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54">
        <f>IFERROR(__xludf.DUMMYFUNCTION("""COMPUTED_VALUE"""),5.4)</f>
        <v>5.4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IFERROR(__xludf.DUMMYFUNCTION("""COMPUTED_VALUE"""),8.4)</f>
        <v>8.4</v>
      </c>
      <c r="I47" s="57">
        <f>IFERROR(__xludf.DUMMYFUNCTION("""COMPUTED_VALUE"""),0.0)</f>
        <v>0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54">
        <f>IFERROR(__xludf.DUMMYFUNCTION("""COMPUTED_VALUE"""),5.2)</f>
        <v>5.2</v>
      </c>
      <c r="F48" s="54">
        <f>IFERROR(__xludf.DUMMYFUNCTION("""COMPUTED_VALUE"""),2.0)</f>
        <v>2</v>
      </c>
      <c r="G48" s="55"/>
      <c r="H48" s="56">
        <f>IFERROR(__xludf.DUMMYFUNCTION("""COMPUTED_VALUE"""),7.2)</f>
        <v>7.2</v>
      </c>
      <c r="I48" s="57">
        <f>IFERROR(__xludf.DUMMYFUNCTION("""COMPUTED_VALUE"""),0.0)</f>
        <v>0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54">
        <f>IFERROR(__xludf.DUMMYFUNCTION("""COMPUTED_VALUE"""),4.0)</f>
        <v>4</v>
      </c>
      <c r="F49" s="54">
        <f>IFERROR(__xludf.DUMMYFUNCTION("""COMPUTED_VALUE"""),2.0)</f>
        <v>2</v>
      </c>
      <c r="G49" s="55"/>
      <c r="H49" s="56">
        <f>IFERROR(__xludf.DUMMYFUNCTION("""COMPUTED_VALUE"""),6.0)</f>
        <v>6</v>
      </c>
      <c r="I49" s="57">
        <f>IFERROR(__xludf.DUMMYFUNCTION("""COMPUTED_VALUE"""),0.0)</f>
        <v>0</v>
      </c>
      <c r="J49" s="58">
        <f>IFERROR(__xludf.DUMMYFUNCTION("""COMPUTED_VALUE"""),6.0)</f>
        <v>6</v>
      </c>
      <c r="K49" s="51"/>
      <c r="L49" s="60">
        <f>IFERROR(__xludf.DUMMYFUNCTION("""COMPUTED_VALUE"""),6.0)</f>
        <v>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54">
        <f>IFERROR(__xludf.DUMMYFUNCTION("""COMPUTED_VALUE"""),6.9)</f>
        <v>6.9</v>
      </c>
      <c r="F50" s="54">
        <f>IFERROR(__xludf.DUMMYFUNCTION("""COMPUTED_VALUE"""),2.0)</f>
        <v>2</v>
      </c>
      <c r="G50" s="55"/>
      <c r="H50" s="56">
        <f>IFERROR(__xludf.DUMMYFUNCTION("""COMPUTED_VALUE"""),8.9)</f>
        <v>8.9</v>
      </c>
      <c r="I50" s="57">
        <f>IFERROR(__xludf.DUMMYFUNCTION("""COMPUTED_VALUE"""),0.0)</f>
        <v>0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54">
        <f>IFERROR(__xludf.DUMMYFUNCTION("""COMPUTED_VALUE"""),6.7)</f>
        <v>6.7</v>
      </c>
      <c r="F51" s="54">
        <f>IFERROR(__xludf.DUMMYFUNCTION("""COMPUTED_VALUE"""),2.0)</f>
        <v>2</v>
      </c>
      <c r="G51" s="55"/>
      <c r="H51" s="56">
        <f>IFERROR(__xludf.DUMMYFUNCTION("""COMPUTED_VALUE"""),8.7)</f>
        <v>8.7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54">
        <f>IFERROR(__xludf.DUMMYFUNCTION("""COMPUTED_VALUE"""),4.0)</f>
        <v>4</v>
      </c>
      <c r="F53" s="54">
        <f>IFERROR(__xludf.DUMMYFUNCTION("""COMPUTED_VALUE"""),2.0)</f>
        <v>2</v>
      </c>
      <c r="G53" s="55"/>
      <c r="H53" s="56">
        <f>IFERROR(__xludf.DUMMYFUNCTION("""COMPUTED_VALUE"""),6.0)</f>
        <v>6</v>
      </c>
      <c r="I53" s="57">
        <f>IFERROR(__xludf.DUMMYFUNCTION("""COMPUTED_VALUE"""),0.0)</f>
        <v>0</v>
      </c>
      <c r="J53" s="58">
        <f>IFERROR(__xludf.DUMMYFUNCTION("""COMPUTED_VALUE"""),6.0)</f>
        <v>6</v>
      </c>
      <c r="K53" s="51"/>
      <c r="L53" s="59">
        <f>IFERROR(__xludf.DUMMYFUNCTION("""COMPUTED_VALUE"""),6.0)</f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54">
        <f>IFERROR(__xludf.DUMMYFUNCTION("""COMPUTED_VALUE"""),7.4)</f>
        <v>7.4</v>
      </c>
      <c r="F55" s="54">
        <f>IFERROR(__xludf.DUMMYFUNCTION("""COMPUTED_VALUE"""),2.0)</f>
        <v>2</v>
      </c>
      <c r="G55" s="55"/>
      <c r="H55" s="56">
        <f>IFERROR(__xludf.DUMMYFUNCTION("""COMPUTED_VALUE"""),9.4)</f>
        <v>9.4</v>
      </c>
      <c r="I55" s="66">
        <f>IFERROR(__xludf.DUMMYFUNCTION("""COMPUTED_VALUE"""),0.0)</f>
        <v>0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54">
        <f>IFERROR(__xludf.DUMMYFUNCTION("""COMPUTED_VALUE"""),5.2)</f>
        <v>5.2</v>
      </c>
      <c r="F56" s="54">
        <f>IFERROR(__xludf.DUMMYFUNCTION("""COMPUTED_VALUE"""),2.0)</f>
        <v>2</v>
      </c>
      <c r="G56" s="55"/>
      <c r="H56" s="56">
        <f>IFERROR(__xludf.DUMMYFUNCTION("""COMPUTED_VALUE"""),7.2)</f>
        <v>7.2</v>
      </c>
      <c r="I56" s="66">
        <f>IFERROR(__xludf.DUMMYFUNCTION("""COMPUTED_VALUE"""),0.0)</f>
        <v>0</v>
      </c>
      <c r="J56" s="58">
        <f>IFERROR(__xludf.DUMMYFUNCTION("""COMPUTED_VALUE"""),7.0)</f>
        <v>7</v>
      </c>
      <c r="K56" s="51"/>
      <c r="L56" s="59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54">
        <f>IFERROR(__xludf.DUMMYFUNCTION("""COMPUTED_VALUE"""),7.4)</f>
        <v>7.4</v>
      </c>
      <c r="F57" s="54">
        <f>IFERROR(__xludf.DUMMYFUNCTION("""COMPUTED_VALUE"""),2.0)</f>
        <v>2</v>
      </c>
      <c r="G57" s="55"/>
      <c r="H57" s="56">
        <f>IFERROR(__xludf.DUMMYFUNCTION("""COMPUTED_VALUE"""),9.4)</f>
        <v>9.4</v>
      </c>
      <c r="I57" s="66">
        <f>IFERROR(__xludf.DUMMYFUNCTION("""COMPUTED_VALUE"""),0.0)</f>
        <v>0</v>
      </c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54">
        <f>IFERROR(__xludf.DUMMYFUNCTION("""COMPUTED_VALUE"""),7.0)</f>
        <v>7</v>
      </c>
      <c r="F58" s="54">
        <f>IFERROR(__xludf.DUMMYFUNCTION("""COMPUTED_VALUE"""),2.0)</f>
        <v>2</v>
      </c>
      <c r="G58" s="55"/>
      <c r="H58" s="56">
        <f>IFERROR(__xludf.DUMMYFUNCTION("""COMPUTED_VALUE"""),9.0)</f>
        <v>9</v>
      </c>
      <c r="I58" s="66">
        <f>IFERROR(__xludf.DUMMYFUNCTION("""COMPUTED_VALUE"""),0.0)</f>
        <v>0</v>
      </c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54">
        <f>IFERROR(__xludf.DUMMYFUNCTION("""COMPUTED_VALUE"""),7.0)</f>
        <v>7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IFERROR(__xludf.DUMMYFUNCTION("""COMPUTED_VALUE"""),10.0)</f>
        <v>10</v>
      </c>
      <c r="I59" s="66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54">
        <f>IFERROR(__xludf.DUMMYFUNCTION("""COMPUTED_VALUE"""),7.7)</f>
        <v>7.7</v>
      </c>
      <c r="F60" s="54">
        <f>IFERROR(__xludf.DUMMYFUNCTION("""COMPUTED_VALUE"""),2.0)</f>
        <v>2</v>
      </c>
      <c r="G60" s="55"/>
      <c r="H60" s="56">
        <f>IFERROR(__xludf.DUMMYFUNCTION("""COMPUTED_VALUE"""),9.7)</f>
        <v>9.7</v>
      </c>
      <c r="I60" s="66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>
        <f>IFERROR(__xludf.DUMMYFUNCTION("""COMPUTED_VALUE"""),1.0)</f>
        <v>1</v>
      </c>
      <c r="H61" s="56">
        <f>IFERROR(__xludf.DUMMYFUNCTION("""COMPUTED_VALUE"""),11.0)</f>
        <v>11</v>
      </c>
      <c r="I61" s="66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IFERROR(__xludf.DUMMYFUNCTION("""COMPUTED_VALUE"""),11.0)</f>
        <v>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1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54">
        <f>IFERROR(__xludf.DUMMYFUNCTION("""COMPUTED_VALUE"""),8.0)</f>
        <v>8</v>
      </c>
      <c r="F62" s="54">
        <f>IFERROR(__xludf.DUMMYFUNCTION("""COMPUTED_VALUE"""),2.0)</f>
        <v>2</v>
      </c>
      <c r="G62" s="55">
        <f>IFERROR(__xludf.DUMMYFUNCTION("""COMPUTED_VALUE"""),1.0)</f>
        <v>1</v>
      </c>
      <c r="H62" s="56">
        <f>IFERROR(__xludf.DUMMYFUNCTION("""COMPUTED_VALUE"""),11.0)</f>
        <v>11</v>
      </c>
      <c r="I62" s="66">
        <f>IFERROR(__xludf.DUMMYFUNCTION("""COMPUTED_VALUE"""),0.0)</f>
        <v>0</v>
      </c>
      <c r="J62" s="58">
        <f>IFERROR(__xludf.DUMMYFUNCTION("""COMPUTED_VALUE"""),10.0)</f>
        <v>10</v>
      </c>
      <c r="K62" s="51"/>
      <c r="L62" s="59">
        <f>IFERROR(__xludf.DUMMYFUNCTION("""COMPUTED_VALUE"""),11.0)</f>
        <v>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1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54">
        <f>IFERROR(__xludf.DUMMYFUNCTION("""COMPUTED_VALUE"""),7.8)</f>
        <v>7.8</v>
      </c>
      <c r="F63" s="54">
        <f>IFERROR(__xludf.DUMMYFUNCTION("""COMPUTED_VALUE"""),2.0)</f>
        <v>2</v>
      </c>
      <c r="G63" s="55">
        <f>IFERROR(__xludf.DUMMYFUNCTION("""COMPUTED_VALUE"""),1.0)</f>
        <v>1</v>
      </c>
      <c r="H63" s="56">
        <f>IFERROR(__xludf.DUMMYFUNCTION("""COMPUTED_VALUE"""),10.8)</f>
        <v>10.8</v>
      </c>
      <c r="I63" s="66">
        <f>IFERROR(__xludf.DUMMYFUNCTION("""COMPUTED_VALUE"""),0.0)</f>
        <v>0</v>
      </c>
      <c r="J63" s="58">
        <f>IFERROR(__xludf.DUMMYFUNCTION("""COMPUTED_VALUE"""),10.0)</f>
        <v>10</v>
      </c>
      <c r="K63" s="51"/>
      <c r="L63" s="59">
        <f>IFERROR(__xludf.DUMMYFUNCTION("""COMPUTED_VALUE"""),11.0)</f>
        <v>11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68"/>
      <c r="C64" s="68"/>
      <c r="D64" s="68"/>
      <c r="E64" s="69"/>
      <c r="F64" s="68"/>
      <c r="G64" s="68"/>
      <c r="H64" s="68"/>
      <c r="I64" s="68"/>
      <c r="J64" s="1"/>
      <c r="K64" s="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70"/>
      <c r="B65" s="71" t="str">
        <f>IFERROR(__xludf.DUMMYFUNCTION("""COMPUTED_VALUE"""),"No. DE ALUMNOS INSCRITOS")</f>
        <v>No. DE ALUMNOS INSCRITOS</v>
      </c>
      <c r="C65" s="72"/>
      <c r="D65" s="73">
        <f>IFERROR(__xludf.DUMMYFUNCTION("""COMPUTED_VALUE"""),47.0)</f>
        <v>47</v>
      </c>
      <c r="E65" s="68"/>
      <c r="F65" s="74" t="str">
        <f>IFERROR(__xludf.DUMMYFUNCTION("""COMPUTED_VALUE"""),"FIRMA DEL PROFESOR")</f>
        <v>FIRMA DEL PROFESOR</v>
      </c>
      <c r="G65" s="75"/>
      <c r="H65" s="74" t="str">
        <f>IFERROR(__xludf.DUMMYFUNCTION("""COMPUTED_VALUE"""),"FIRMA DEL ORIENTADOR")</f>
        <v>FIRMA DEL ORIENTADOR</v>
      </c>
      <c r="J65" s="76" t="str">
        <f>IFERROR(__xludf.DUMMYFUNCTION("""COMPUTED_VALUE"""),"Vo. Bo. SUBDIRECCIÓN ESCOLAR")</f>
        <v>Vo. Bo. SUBDIRECCIÓN ESCOLAR</v>
      </c>
      <c r="K65" s="77" t="str">
        <f>IFERROR(__xludf.DUMMYFUNCTION("""COMPUTED_VALUE"""),"REVISADO POR SECRETARIA ESCOLAR ")</f>
        <v>REVISADO POR SECRETARIA ESCOLAR 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70"/>
      <c r="B66" s="78" t="str">
        <f>IFERROR(__xludf.DUMMYFUNCTION("""COMPUTED_VALUE"""),"BAJAS DURANTE EL SEMESTRE")</f>
        <v>BAJAS DURANTE EL SEMESTRE</v>
      </c>
      <c r="C66" s="79"/>
      <c r="D66" s="80">
        <f>IFERROR(__xludf.DUMMYFUNCTION("""COMPUTED_VALUE"""),0.0)</f>
        <v>0</v>
      </c>
      <c r="E66" s="68"/>
      <c r="G66" s="75"/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70"/>
      <c r="B67" s="78" t="str">
        <f>IFERROR(__xludf.DUMMYFUNCTION("""COMPUTED_VALUE"""),"EXISTENCIA")</f>
        <v>EXISTENCIA</v>
      </c>
      <c r="C67" s="79"/>
      <c r="D67" s="81">
        <f>IFERROR(__xludf.DUMMYFUNCTION("""COMPUTED_VALUE"""),47.0)</f>
        <v>47</v>
      </c>
      <c r="E67" s="68"/>
      <c r="F67" s="82"/>
      <c r="G67" s="83"/>
      <c r="H67" s="82"/>
      <c r="I67" s="82"/>
      <c r="J67" s="84"/>
      <c r="K67" s="8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70"/>
      <c r="B68" s="78" t="str">
        <f>IFERROR(__xludf.DUMMYFUNCTION("""COMPUTED_VALUE"""),"No. DE ALUMNOS APROBADOS")</f>
        <v>No. DE ALUMNOS APROBADOS</v>
      </c>
      <c r="C68" s="79"/>
      <c r="D68" s="86">
        <f>IFERROR(__xludf.DUMMYFUNCTION("""COMPUTED_VALUE"""),47.0)</f>
        <v>47</v>
      </c>
      <c r="E68" s="68"/>
      <c r="F68" s="82"/>
      <c r="G68" s="83"/>
      <c r="H68" s="82"/>
      <c r="I68" s="82"/>
      <c r="J68" s="84"/>
      <c r="K68" s="8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70"/>
      <c r="B69" s="78" t="str">
        <f>IFERROR(__xludf.DUMMYFUNCTION("""COMPUTED_VALUE"""),"No. DE ALUMNOS REPROBADOS")</f>
        <v>No. DE ALUMNOS REPROBADOS</v>
      </c>
      <c r="C69" s="79"/>
      <c r="D69" s="86">
        <f>IFERROR(__xludf.DUMMYFUNCTION("""COMPUTED_VALUE"""),0.0)</f>
        <v>0</v>
      </c>
      <c r="E69" s="68"/>
      <c r="F69" s="87"/>
      <c r="G69" s="83"/>
      <c r="H69" s="87"/>
      <c r="I69" s="87"/>
      <c r="J69" s="88"/>
      <c r="K69" s="8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0"/>
      <c r="B70" s="78" t="str">
        <f>IFERROR(__xludf.DUMMYFUNCTION("""COMPUTED_VALUE"""),"% DE APROBADOS")</f>
        <v>% DE APROBADOS</v>
      </c>
      <c r="C70" s="79"/>
      <c r="D70" s="81">
        <f>IFERROR(__xludf.DUMMYFUNCTION("""COMPUTED_VALUE"""),100.0)</f>
        <v>100</v>
      </c>
      <c r="E70" s="68"/>
      <c r="F70" s="90" t="str">
        <f>IFERROR(__xludf.DUMMYFUNCTION("""COMPUTED_VALUE"""),"PROFR. JOSÉ MARTÍN MONROY MARTÍNEZ")</f>
        <v>PROFR. JOSÉ MARTÍN MONROY MARTÍNEZ</v>
      </c>
      <c r="G70" s="91"/>
      <c r="H70" s="92" t="str">
        <f>IFERROR(__xludf.DUMMYFUNCTION("""COMPUTED_VALUE"""),"PROFA. JUANA RANGEL PALACIOS")</f>
        <v>PROFA. JUANA RANGEL PALACIOS</v>
      </c>
      <c r="J70" s="93" t="str">
        <f>IFERROR(__xludf.DUMMYFUNCTION("""COMPUTED_VALUE"""),"PROFR. OCTAVIO VÁZQUEZ BARRETO")</f>
        <v>PROFR. OCTAVIO VÁZQUEZ BARRETO</v>
      </c>
      <c r="K70" s="94" t="str">
        <f>IFERROR(__xludf.DUMMYFUNCTION("""COMPUTED_VALUE"""),"PROFR. ROBERTO PALOMARES MEJÍA ")</f>
        <v>PROFR. ROBERTO PALOMARES MEJÍA </v>
      </c>
      <c r="L70" s="9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70"/>
      <c r="B71" s="96" t="str">
        <f>IFERROR(__xludf.DUMMYFUNCTION("""COMPUTED_VALUE"""),"PROMEDIO")</f>
        <v>PROMEDIO</v>
      </c>
      <c r="C71" s="97"/>
      <c r="D71" s="98">
        <f>IFERROR(__xludf.DUMMYFUNCTION("""COMPUTED_VALUE"""),8.872340425531915)</f>
        <v>8.872340426</v>
      </c>
      <c r="E71" s="68"/>
      <c r="G71" s="91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6"/>
      <c r="B72" s="1"/>
      <c r="C72" s="1"/>
      <c r="D72" s="1"/>
      <c r="E72" s="1"/>
      <c r="F72" s="1"/>
      <c r="G72" s="1"/>
      <c r="H72" s="1"/>
      <c r="I72" s="1"/>
      <c r="J72" s="1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99"/>
      <c r="B73" s="100"/>
      <c r="C73" s="101"/>
      <c r="D73" s="101"/>
      <c r="E73" s="68"/>
      <c r="G73" s="7"/>
      <c r="H73" s="7"/>
      <c r="I73" s="7"/>
      <c r="J73" s="7"/>
      <c r="K73" s="102"/>
      <c r="L73" s="10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4"/>
      <c r="B74" s="68"/>
      <c r="C74" s="68"/>
      <c r="D74" s="68"/>
      <c r="E74" s="7"/>
      <c r="F74" s="1"/>
      <c r="G74" s="1"/>
      <c r="H74" s="1"/>
      <c r="I74" s="1"/>
      <c r="J74" s="1"/>
      <c r="K74" s="8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04"/>
      <c r="B75" s="68"/>
      <c r="C75" s="68"/>
      <c r="D75" s="68"/>
      <c r="E75" s="7"/>
      <c r="F75" s="1"/>
      <c r="G75" s="1"/>
      <c r="H75" s="1"/>
      <c r="I75" s="1"/>
      <c r="J75" s="1"/>
      <c r="K75" s="8"/>
      <c r="L75" s="10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06"/>
      <c r="B76" s="107"/>
      <c r="C76" s="107"/>
      <c r="D76" s="107"/>
      <c r="E76" s="108"/>
      <c r="F76" s="109"/>
      <c r="G76" s="109"/>
      <c r="H76" s="109"/>
      <c r="I76" s="109"/>
      <c r="J76" s="109"/>
      <c r="K76" s="110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1"/>
      <c r="C77" s="111"/>
      <c r="D77" s="111"/>
      <c r="E77" s="111"/>
      <c r="F77" s="1"/>
      <c r="G77" s="1"/>
      <c r="H77" s="1"/>
      <c r="I77" s="1"/>
      <c r="J77" s="112"/>
      <c r="K77" s="112"/>
      <c r="L77" s="1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1"/>
      <c r="C78" s="111"/>
      <c r="D78" s="111"/>
      <c r="E78" s="111"/>
      <c r="F78" s="1"/>
      <c r="G78" s="1"/>
      <c r="H78" s="1"/>
      <c r="I78" s="1"/>
      <c r="J78" s="112"/>
      <c r="K78" s="112"/>
      <c r="L78" s="1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1"/>
      <c r="C79" s="111"/>
      <c r="D79" s="111"/>
      <c r="E79" s="111"/>
      <c r="F79" s="1"/>
      <c r="G79" s="1"/>
      <c r="H79" s="1"/>
      <c r="I79" s="1"/>
      <c r="J79" s="112"/>
      <c r="K79" s="112"/>
      <c r="L79" s="1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1"/>
      <c r="C80" s="111"/>
      <c r="D80" s="111"/>
      <c r="E80" s="111"/>
      <c r="F80" s="1"/>
      <c r="G80" s="1"/>
      <c r="H80" s="1"/>
      <c r="I80" s="1"/>
      <c r="J80" s="112"/>
      <c r="K80" s="112"/>
      <c r="L80" s="1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1"/>
      <c r="C81" s="111"/>
      <c r="D81" s="111"/>
      <c r="E81" s="1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1"/>
      <c r="C82" s="111"/>
      <c r="D82" s="111"/>
      <c r="E82" s="111"/>
      <c r="F82" s="1"/>
      <c r="G82" s="1"/>
      <c r="H82" s="1"/>
      <c r="I82" s="1"/>
      <c r="J82" s="1"/>
      <c r="K82" s="1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1"/>
      <c r="C83" s="111"/>
      <c r="D83" s="111"/>
      <c r="E83" s="1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1"/>
      <c r="C84" s="111"/>
      <c r="D84" s="111"/>
      <c r="E84" s="1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1"/>
      <c r="C85" s="111"/>
      <c r="D85" s="111"/>
      <c r="E85" s="1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1"/>
      <c r="C86" s="111"/>
      <c r="D86" s="111"/>
      <c r="E86" s="1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11"/>
      <c r="C87" s="111"/>
      <c r="D87" s="111"/>
      <c r="E87" s="1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11"/>
      <c r="C88" s="111"/>
      <c r="D88" s="111"/>
      <c r="E88" s="1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19" t="str">
        <f>IFERROR(__xludf.DUMMYFUNCTION("IMPORTRANGE(""https://docs.google.com/spreadsheets/d/1gWm5grlICJTE9yzh0EdKexQ0PnWg6cx3Djpo_7ER3Ig/edit?gid=715136005#gid=715136005"",""2-3 ciencias sociales iii!A1:Q85"")"),"")</f>
        <v/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"/>
    </row>
    <row r="2" ht="15.0" customHeight="1">
      <c r="A2" s="120"/>
      <c r="B2" s="121"/>
      <c r="C2" s="121"/>
      <c r="D2" s="121"/>
      <c r="E2" s="122"/>
      <c r="F2" s="122"/>
      <c r="G2" s="122"/>
      <c r="H2" s="122"/>
      <c r="I2" s="122"/>
      <c r="J2" s="122"/>
      <c r="K2" s="123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"/>
    </row>
    <row r="3" ht="15.0" customHeight="1">
      <c r="A3" s="124"/>
      <c r="B3" s="125"/>
      <c r="C3" s="125"/>
      <c r="D3" s="125"/>
      <c r="E3" s="119"/>
      <c r="F3" s="119"/>
      <c r="G3" s="119"/>
      <c r="H3" s="119"/>
      <c r="I3" s="119"/>
      <c r="J3" s="119"/>
      <c r="K3" s="126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"/>
    </row>
    <row r="4" ht="15.0" customHeight="1">
      <c r="A4" s="124"/>
      <c r="B4" s="125"/>
      <c r="C4" s="125"/>
      <c r="D4" s="125"/>
      <c r="E4" s="119"/>
      <c r="F4" s="119"/>
      <c r="G4" s="119"/>
      <c r="H4" s="119"/>
      <c r="I4" s="119"/>
      <c r="J4" s="119"/>
      <c r="K4" s="12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"/>
    </row>
    <row r="5" ht="15.0" customHeight="1">
      <c r="A5" s="124"/>
      <c r="B5" s="125"/>
      <c r="C5" s="125"/>
      <c r="D5" s="125"/>
      <c r="E5" s="119"/>
      <c r="F5" s="119"/>
      <c r="G5" s="119"/>
      <c r="H5" s="119"/>
      <c r="I5" s="119"/>
      <c r="J5" s="119"/>
      <c r="K5" s="12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"/>
    </row>
    <row r="6" ht="15.0" customHeight="1">
      <c r="A6" s="124"/>
      <c r="B6" s="125"/>
      <c r="C6" s="125"/>
      <c r="D6" s="125"/>
      <c r="E6" s="119"/>
      <c r="F6" s="119"/>
      <c r="G6" s="119"/>
      <c r="H6" s="119"/>
      <c r="I6" s="119"/>
      <c r="J6" s="119"/>
      <c r="K6" s="126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"/>
    </row>
    <row r="7" ht="15.0" customHeight="1">
      <c r="A7" s="124"/>
      <c r="B7" s="125"/>
      <c r="C7" s="125"/>
      <c r="D7" s="125"/>
      <c r="E7" s="119"/>
      <c r="F7" s="119"/>
      <c r="G7" s="119"/>
      <c r="H7" s="119"/>
      <c r="I7" s="119"/>
      <c r="J7" s="119"/>
      <c r="K7" s="126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"/>
    </row>
    <row r="8" ht="9.75" customHeight="1">
      <c r="A8" s="124"/>
      <c r="B8" s="125"/>
      <c r="C8" s="125"/>
      <c r="D8" s="125"/>
      <c r="E8" s="119"/>
      <c r="F8" s="119"/>
      <c r="G8" s="119"/>
      <c r="H8" s="119"/>
      <c r="I8" s="119"/>
      <c r="J8" s="119"/>
      <c r="K8" s="126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"/>
    </row>
    <row r="9" ht="23.25" customHeight="1">
      <c r="A9" s="127" t="str">
        <f>IFERROR(__xludf.DUMMYFUNCTION("""COMPUTED_VALUE"""),"ESCUELA PREPARATORIA OFICIAL NÚM. 67")</f>
        <v>ESCUELA PREPARATORIA OFICIAL NÚM. 67</v>
      </c>
      <c r="K9" s="10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"/>
    </row>
    <row r="10" ht="9.75" customHeight="1">
      <c r="A10" s="124"/>
      <c r="B10" s="125"/>
      <c r="C10" s="125"/>
      <c r="D10" s="125"/>
      <c r="E10" s="128"/>
      <c r="K10" s="10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"/>
    </row>
    <row r="11" ht="19.5" customHeight="1">
      <c r="A11" s="124"/>
      <c r="B11" s="129" t="str">
        <f>IFERROR(__xludf.DUMMYFUNCTION("""COMPUTED_VALUE"""),"CONTROL PRIMER PARCIAL ")</f>
        <v>CONTROL PRIMER PARCIAL </v>
      </c>
      <c r="C11" s="130"/>
      <c r="D11" s="130"/>
      <c r="E11" s="119"/>
      <c r="F11" s="119"/>
      <c r="G11" s="119"/>
      <c r="H11" s="119"/>
      <c r="I11" s="119"/>
      <c r="J11" s="119"/>
      <c r="K11" s="12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"/>
    </row>
    <row r="12" ht="12.75" customHeight="1">
      <c r="A12" s="124"/>
      <c r="B12" s="125"/>
      <c r="C12" s="125"/>
      <c r="D12" s="125"/>
      <c r="E12" s="119"/>
      <c r="F12" s="119"/>
      <c r="G12" s="119"/>
      <c r="H12" s="119"/>
      <c r="I12" s="119"/>
      <c r="J12" s="119"/>
      <c r="K12" s="12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"/>
    </row>
    <row r="13" ht="32.25" customHeight="1">
      <c r="A13" s="131" t="str">
        <f>IFERROR(__xludf.DUMMYFUNCTION("""COMPUTED_VALUE"""),"PROFESOR (A): ")</f>
        <v>PROFESOR (A): </v>
      </c>
      <c r="B13" s="17"/>
      <c r="C13" s="132" t="str">
        <f>IFERROR(__xludf.DUMMYFUNCTION("""COMPUTED_VALUE"""),"MA. GUADALUPE GRANADOS DE LOERA")</f>
        <v>MA. GUADALUPE GRANADOS DE LOERA</v>
      </c>
      <c r="D13" s="17"/>
      <c r="E13" s="133" t="str">
        <f>IFERROR(__xludf.DUMMYFUNCTION("""COMPUTED_VALUE"""),"II")</f>
        <v>II</v>
      </c>
      <c r="F13" s="133" t="str">
        <f>IFERROR(__xludf.DUMMYFUNCTION("""COMPUTED_VALUE"""),"III")</f>
        <v>III</v>
      </c>
      <c r="G13" s="134" t="str">
        <f>IFERROR(__xludf.DUMMYFUNCTION("""COMPUTED_VALUE"""),"PUNTAJE EXTRA")</f>
        <v>PUNTAJE EXTRA</v>
      </c>
      <c r="H13" s="135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"/>
    </row>
    <row r="14" ht="35.25" customHeight="1">
      <c r="A14" s="136" t="str">
        <f>IFERROR(__xludf.DUMMYFUNCTION("""COMPUTED_VALUE"""),"UAC")</f>
        <v>UAC</v>
      </c>
      <c r="B14" s="137" t="str">
        <f>IFERROR(__xludf.DUMMYFUNCTION("""COMPUTED_VALUE"""),"CIENCIAS SOCIALES III")</f>
        <v>CIENCIAS SOCIALES III</v>
      </c>
      <c r="C14" s="27"/>
      <c r="D14" s="28"/>
      <c r="E14" s="138" t="str">
        <f>IFERROR(__xludf.DUMMYFUNCTION("""COMPUTED_VALUE"""),"Evaluación continua 80%")</f>
        <v>Evaluación continua 80%</v>
      </c>
      <c r="F14" s="139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"/>
    </row>
    <row r="15" ht="24.75" customHeight="1">
      <c r="A15" s="140" t="str">
        <f>IFERROR(__xludf.DUMMYFUNCTION("""COMPUTED_VALUE"""),"GRADO")</f>
        <v>GRADO</v>
      </c>
      <c r="B15" s="141" t="str">
        <f>IFERROR(__xludf.DUMMYFUNCTION("""COMPUTED_VALUE"""),"2°")</f>
        <v>2°</v>
      </c>
      <c r="C15" s="142" t="str">
        <f>IFERROR(__xludf.DUMMYFUNCTION("""COMPUTED_VALUE"""),"GRUPO")</f>
        <v>GRUPO</v>
      </c>
      <c r="D15" s="143">
        <f>IFERROR(__xludf.DUMMYFUNCTION("""COMPUTED_VALUE"""),3.0)</f>
        <v>3</v>
      </c>
      <c r="E15" s="32"/>
      <c r="F15" s="32"/>
      <c r="G15" s="39"/>
      <c r="H15" s="144"/>
      <c r="I15" s="145"/>
      <c r="J15" s="27"/>
      <c r="K15" s="42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"/>
    </row>
    <row r="16" ht="40.5" customHeight="1">
      <c r="A16" s="146" t="str">
        <f>IFERROR(__xludf.DUMMYFUNCTION("""COMPUTED_VALUE"""),"No.")</f>
        <v>No.</v>
      </c>
      <c r="B16" s="147" t="str">
        <f>IFERROR(__xludf.DUMMYFUNCTION("""COMPUTED_VALUE"""),"NOMBRE DEL ALUMNO")</f>
        <v>NOMBRE DEL ALUMNO</v>
      </c>
      <c r="C16" s="27"/>
      <c r="D16" s="28"/>
      <c r="E16" s="46"/>
      <c r="F16" s="46"/>
      <c r="G16" s="148"/>
      <c r="H16" s="149" t="str">
        <f>IFERROR(__xludf.DUMMYFUNCTION("""COMPUTED_VALUE"""),"Suma")</f>
        <v>Suma</v>
      </c>
      <c r="I16" s="150" t="str">
        <f>IFERROR(__xludf.DUMMYFUNCTION("""COMPUTED_VALUE"""),"Faltas")</f>
        <v>Faltas</v>
      </c>
      <c r="J16" s="150" t="str">
        <f>IFERROR(__xludf.DUMMYFUNCTION("""COMPUTED_VALUE"""),"Calificación Definitiva")</f>
        <v>Calificación Definitiva</v>
      </c>
      <c r="K16" s="151" t="str">
        <f>IFERROR(__xludf.DUMMYFUNCTION("""COMPUTED_VALUE"""),"FIRMA")</f>
        <v>FIRMA</v>
      </c>
      <c r="L16" s="150" t="str">
        <f>IFERROR(__xludf.DUMMYFUNCTION("""COMPUTED_VALUE"""),"Calificación Definitiva")</f>
        <v>Calificación Definitiva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"/>
    </row>
    <row r="17" ht="24.75" customHeight="1">
      <c r="A17" s="152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153">
        <f>IFERROR(__xludf.DUMMYFUNCTION("""COMPUTED_VALUE"""),8.0)</f>
        <v>8</v>
      </c>
      <c r="F17" s="153">
        <f>IFERROR(__xludf.DUMMYFUNCTION("""COMPUTED_VALUE"""),2.0)</f>
        <v>2</v>
      </c>
      <c r="G17" s="153"/>
      <c r="H17" s="154">
        <f>IFERROR(__xludf.DUMMYFUNCTION("""COMPUTED_VALUE"""),10.0)</f>
        <v>10</v>
      </c>
      <c r="I17" s="155">
        <f>IFERROR(__xludf.DUMMYFUNCTION("""COMPUTED_VALUE"""),0.0)</f>
        <v>0</v>
      </c>
      <c r="J17" s="156">
        <f>IFERROR(__xludf.DUMMYFUNCTION("""COMPUTED_VALUE"""),10.0)</f>
        <v>10</v>
      </c>
      <c r="K17" s="157"/>
      <c r="L17" s="158">
        <f>IFERROR(__xludf.DUMMYFUNCTION("""COMPUTED_VALUE"""),10.0)</f>
        <v>10</v>
      </c>
      <c r="M17" s="119" t="str">
        <f>IFERROR(__xludf.DUMMYFUNCTION("""COMPUTED_VALUE"""),"HORAS IMPARTIDAS")</f>
        <v>HORAS IMPARTIDAS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"/>
    </row>
    <row r="18" ht="24.75" customHeight="1">
      <c r="A18" s="152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153">
        <f>IFERROR(__xludf.DUMMYFUNCTION("""COMPUTED_VALUE"""),8.0)</f>
        <v>8</v>
      </c>
      <c r="F18" s="153">
        <f>IFERROR(__xludf.DUMMYFUNCTION("""COMPUTED_VALUE"""),2.0)</f>
        <v>2</v>
      </c>
      <c r="G18" s="153"/>
      <c r="H18" s="154">
        <f>IFERROR(__xludf.DUMMYFUNCTION("""COMPUTED_VALUE"""),10.0)</f>
        <v>10</v>
      </c>
      <c r="I18" s="155">
        <f>IFERROR(__xludf.DUMMYFUNCTION("""COMPUTED_VALUE"""),0.0)</f>
        <v>0</v>
      </c>
      <c r="J18" s="156">
        <f>IFERROR(__xludf.DUMMYFUNCTION("""COMPUTED_VALUE"""),10.0)</f>
        <v>10</v>
      </c>
      <c r="K18" s="155"/>
      <c r="L18" s="158">
        <f>IFERROR(__xludf.DUMMYFUNCTION("""COMPUTED_VALUE"""),10.0)</f>
        <v>10</v>
      </c>
      <c r="M18" s="119" t="str">
        <f>IFERROR(__xludf.DUMMYFUNCTION("""COMPUTED_VALUE"""),"Febrero")</f>
        <v>Febrero</v>
      </c>
      <c r="N18" s="119">
        <f>IFERROR(__xludf.DUMMYFUNCTION("""COMPUTED_VALUE"""),6.0)</f>
        <v>6</v>
      </c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"/>
    </row>
    <row r="19" ht="24.75" customHeight="1">
      <c r="A19" s="152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153">
        <f>IFERROR(__xludf.DUMMYFUNCTION("""COMPUTED_VALUE"""),8.0)</f>
        <v>8</v>
      </c>
      <c r="F19" s="153">
        <f>IFERROR(__xludf.DUMMYFUNCTION("""COMPUTED_VALUE"""),2.0)</f>
        <v>2</v>
      </c>
      <c r="G19" s="153"/>
      <c r="H19" s="154">
        <f>IFERROR(__xludf.DUMMYFUNCTION("""COMPUTED_VALUE"""),10.0)</f>
        <v>10</v>
      </c>
      <c r="I19" s="155">
        <f>IFERROR(__xludf.DUMMYFUNCTION("""COMPUTED_VALUE"""),0.0)</f>
        <v>0</v>
      </c>
      <c r="J19" s="156">
        <f>IFERROR(__xludf.DUMMYFUNCTION("""COMPUTED_VALUE"""),10.0)</f>
        <v>10</v>
      </c>
      <c r="K19" s="155"/>
      <c r="L19" s="158">
        <f>IFERROR(__xludf.DUMMYFUNCTION("""COMPUTED_VALUE"""),10.0)</f>
        <v>10</v>
      </c>
      <c r="M19" s="119" t="str">
        <f>IFERROR(__xludf.DUMMYFUNCTION("""COMPUTED_VALUE"""),"Marzo")</f>
        <v>Marzo</v>
      </c>
      <c r="N19" s="119">
        <f>IFERROR(__xludf.DUMMYFUNCTION("""COMPUTED_VALUE"""),10.0)</f>
        <v>10</v>
      </c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"/>
    </row>
    <row r="20" ht="24.75" customHeight="1">
      <c r="A20" s="152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153">
        <f>IFERROR(__xludf.DUMMYFUNCTION("""COMPUTED_VALUE"""),8.0)</f>
        <v>8</v>
      </c>
      <c r="F20" s="153">
        <f>IFERROR(__xludf.DUMMYFUNCTION("""COMPUTED_VALUE"""),2.0)</f>
        <v>2</v>
      </c>
      <c r="G20" s="153"/>
      <c r="H20" s="154">
        <f>IFERROR(__xludf.DUMMYFUNCTION("""COMPUTED_VALUE"""),10.0)</f>
        <v>10</v>
      </c>
      <c r="I20" s="155">
        <f>IFERROR(__xludf.DUMMYFUNCTION("""COMPUTED_VALUE"""),2.0)</f>
        <v>2</v>
      </c>
      <c r="J20" s="156">
        <f>IFERROR(__xludf.DUMMYFUNCTION("""COMPUTED_VALUE"""),10.0)</f>
        <v>10</v>
      </c>
      <c r="K20" s="155"/>
      <c r="L20" s="158">
        <f>IFERROR(__xludf.DUMMYFUNCTION("""COMPUTED_VALUE"""),10.0)</f>
        <v>10</v>
      </c>
      <c r="M20" s="119" t="str">
        <f>IFERROR(__xludf.DUMMYFUNCTION("""COMPUTED_VALUE"""),"Abril")</f>
        <v>Abril</v>
      </c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"/>
    </row>
    <row r="21" ht="24.75" customHeight="1">
      <c r="A21" s="152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153">
        <f>IFERROR(__xludf.DUMMYFUNCTION("""COMPUTED_VALUE"""),8.0)</f>
        <v>8</v>
      </c>
      <c r="F21" s="153">
        <f>IFERROR(__xludf.DUMMYFUNCTION("""COMPUTED_VALUE"""),0.0)</f>
        <v>0</v>
      </c>
      <c r="G21" s="153"/>
      <c r="H21" s="154">
        <f>IFERROR(__xludf.DUMMYFUNCTION("""COMPUTED_VALUE"""),8.0)</f>
        <v>8</v>
      </c>
      <c r="I21" s="155">
        <f>IFERROR(__xludf.DUMMYFUNCTION("""COMPUTED_VALUE"""),2.0)</f>
        <v>2</v>
      </c>
      <c r="J21" s="156">
        <f>IFERROR(__xludf.DUMMYFUNCTION("""COMPUTED_VALUE"""),8.0)</f>
        <v>8</v>
      </c>
      <c r="K21" s="155"/>
      <c r="L21" s="158">
        <f>IFERROR(__xludf.DUMMYFUNCTION("""COMPUTED_VALUE"""),8.0)</f>
        <v>8</v>
      </c>
      <c r="M21" s="119" t="str">
        <f>IFERROR(__xludf.DUMMYFUNCTION("""COMPUTED_VALUE"""),"Junio")</f>
        <v>Junio</v>
      </c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"/>
    </row>
    <row r="22" ht="24.75" customHeight="1">
      <c r="A22" s="152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153">
        <f>IFERROR(__xludf.DUMMYFUNCTION("""COMPUTED_VALUE"""),8.0)</f>
        <v>8</v>
      </c>
      <c r="F22" s="153">
        <f>IFERROR(__xludf.DUMMYFUNCTION("""COMPUTED_VALUE"""),2.0)</f>
        <v>2</v>
      </c>
      <c r="G22" s="153"/>
      <c r="H22" s="154">
        <f>IFERROR(__xludf.DUMMYFUNCTION("""COMPUTED_VALUE"""),10.0)</f>
        <v>10</v>
      </c>
      <c r="I22" s="155">
        <f>IFERROR(__xludf.DUMMYFUNCTION("""COMPUTED_VALUE"""),0.0)</f>
        <v>0</v>
      </c>
      <c r="J22" s="156">
        <f>IFERROR(__xludf.DUMMYFUNCTION("""COMPUTED_VALUE"""),10.0)</f>
        <v>10</v>
      </c>
      <c r="K22" s="155"/>
      <c r="L22" s="158">
        <f>IFERROR(__xludf.DUMMYFUNCTION("""COMPUTED_VALUE"""),10.0)</f>
        <v>10</v>
      </c>
      <c r="M22" s="119" t="str">
        <f>IFERROR(__xludf.DUMMYFUNCTION("""COMPUTED_VALUE"""),"Julio")</f>
        <v>Julio</v>
      </c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"/>
    </row>
    <row r="23" ht="24.75" customHeight="1">
      <c r="A23" s="152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153">
        <f>IFERROR(__xludf.DUMMYFUNCTION("""COMPUTED_VALUE"""),8.0)</f>
        <v>8</v>
      </c>
      <c r="F23" s="153">
        <f>IFERROR(__xludf.DUMMYFUNCTION("""COMPUTED_VALUE"""),2.0)</f>
        <v>2</v>
      </c>
      <c r="G23" s="153"/>
      <c r="H23" s="154">
        <f>IFERROR(__xludf.DUMMYFUNCTION("""COMPUTED_VALUE"""),10.0)</f>
        <v>10</v>
      </c>
      <c r="I23" s="155">
        <f>IFERROR(__xludf.DUMMYFUNCTION("""COMPUTED_VALUE"""),0.0)</f>
        <v>0</v>
      </c>
      <c r="J23" s="156">
        <f>IFERROR(__xludf.DUMMYFUNCTION("""COMPUTED_VALUE"""),10.0)</f>
        <v>10</v>
      </c>
      <c r="K23" s="155"/>
      <c r="L23" s="158">
        <f>IFERROR(__xludf.DUMMYFUNCTION("""COMPUTED_VALUE"""),10.0)</f>
        <v>10</v>
      </c>
      <c r="M23" s="119" t="str">
        <f>IFERROR(__xludf.DUMMYFUNCTION("""COMPUTED_VALUE"""),"TOTAL")</f>
        <v>TOTAL</v>
      </c>
      <c r="N23" s="119">
        <f>IFERROR(__xludf.DUMMYFUNCTION("""COMPUTED_VALUE"""),16.0)</f>
        <v>16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"/>
    </row>
    <row r="24" ht="24.75" customHeight="1">
      <c r="A24" s="152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153">
        <f>IFERROR(__xludf.DUMMYFUNCTION("""COMPUTED_VALUE"""),8.0)</f>
        <v>8</v>
      </c>
      <c r="F24" s="153">
        <f>IFERROR(__xludf.DUMMYFUNCTION("""COMPUTED_VALUE"""),2.0)</f>
        <v>2</v>
      </c>
      <c r="G24" s="153"/>
      <c r="H24" s="154">
        <f>IFERROR(__xludf.DUMMYFUNCTION("""COMPUTED_VALUE"""),10.0)</f>
        <v>10</v>
      </c>
      <c r="I24" s="155">
        <f>IFERROR(__xludf.DUMMYFUNCTION("""COMPUTED_VALUE"""),0.0)</f>
        <v>0</v>
      </c>
      <c r="J24" s="156">
        <f>IFERROR(__xludf.DUMMYFUNCTION("""COMPUTED_VALUE"""),10.0)</f>
        <v>10</v>
      </c>
      <c r="K24" s="155"/>
      <c r="L24" s="158">
        <f>IFERROR(__xludf.DUMMYFUNCTION("""COMPUTED_VALUE"""),10.0)</f>
        <v>10</v>
      </c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"/>
    </row>
    <row r="25" ht="24.75" customHeight="1">
      <c r="A25" s="152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153">
        <f>IFERROR(__xludf.DUMMYFUNCTION("""COMPUTED_VALUE"""),9.0)</f>
        <v>9</v>
      </c>
      <c r="F25" s="153">
        <f>IFERROR(__xludf.DUMMYFUNCTION("""COMPUTED_VALUE"""),2.0)</f>
        <v>2</v>
      </c>
      <c r="G25" s="153"/>
      <c r="H25" s="154">
        <f>IFERROR(__xludf.DUMMYFUNCTION("""COMPUTED_VALUE"""),11.0)</f>
        <v>11</v>
      </c>
      <c r="I25" s="155">
        <f>IFERROR(__xludf.DUMMYFUNCTION("""COMPUTED_VALUE"""),0.0)</f>
        <v>0</v>
      </c>
      <c r="J25" s="156">
        <f>IFERROR(__xludf.DUMMYFUNCTION("""COMPUTED_VALUE"""),9.0)</f>
        <v>9</v>
      </c>
      <c r="K25" s="155"/>
      <c r="L25" s="158">
        <f>IFERROR(__xludf.DUMMYFUNCTION("""COMPUTED_VALUE"""),11.0)</f>
        <v>11</v>
      </c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"/>
    </row>
    <row r="26" ht="24.75" customHeight="1">
      <c r="A26" s="152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153">
        <f>IFERROR(__xludf.DUMMYFUNCTION("""COMPUTED_VALUE"""),4.0)</f>
        <v>4</v>
      </c>
      <c r="F26" s="153">
        <f>IFERROR(__xludf.DUMMYFUNCTION("""COMPUTED_VALUE"""),2.0)</f>
        <v>2</v>
      </c>
      <c r="G26" s="153"/>
      <c r="H26" s="154">
        <f>IFERROR(__xludf.DUMMYFUNCTION("""COMPUTED_VALUE"""),6.0)</f>
        <v>6</v>
      </c>
      <c r="I26" s="155">
        <f>IFERROR(__xludf.DUMMYFUNCTION("""COMPUTED_VALUE"""),0.0)</f>
        <v>0</v>
      </c>
      <c r="J26" s="156">
        <f>IFERROR(__xludf.DUMMYFUNCTION("""COMPUTED_VALUE"""),6.0)</f>
        <v>6</v>
      </c>
      <c r="K26" s="155"/>
      <c r="L26" s="158">
        <f>IFERROR(__xludf.DUMMYFUNCTION("""COMPUTED_VALUE"""),6.0)</f>
        <v>6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"/>
    </row>
    <row r="27" ht="24.75" customHeight="1">
      <c r="A27" s="152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153">
        <f>IFERROR(__xludf.DUMMYFUNCTION("""COMPUTED_VALUE"""),8.0)</f>
        <v>8</v>
      </c>
      <c r="F27" s="153">
        <f>IFERROR(__xludf.DUMMYFUNCTION("""COMPUTED_VALUE"""),2.0)</f>
        <v>2</v>
      </c>
      <c r="G27" s="153"/>
      <c r="H27" s="154">
        <f>IFERROR(__xludf.DUMMYFUNCTION("""COMPUTED_VALUE"""),10.0)</f>
        <v>10</v>
      </c>
      <c r="I27" s="155">
        <f>IFERROR(__xludf.DUMMYFUNCTION("""COMPUTED_VALUE"""),0.0)</f>
        <v>0</v>
      </c>
      <c r="J27" s="156">
        <f>IFERROR(__xludf.DUMMYFUNCTION("""COMPUTED_VALUE"""),10.0)</f>
        <v>10</v>
      </c>
      <c r="K27" s="155"/>
      <c r="L27" s="158">
        <f>IFERROR(__xludf.DUMMYFUNCTION("""COMPUTED_VALUE"""),10.0)</f>
        <v>10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"/>
    </row>
    <row r="28" ht="24.75" customHeight="1">
      <c r="A28" s="152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153">
        <f>IFERROR(__xludf.DUMMYFUNCTION("""COMPUTED_VALUE"""),0.0)</f>
        <v>0</v>
      </c>
      <c r="F28" s="153">
        <f>IFERROR(__xludf.DUMMYFUNCTION("""COMPUTED_VALUE"""),0.0)</f>
        <v>0</v>
      </c>
      <c r="G28" s="153"/>
      <c r="H28" s="154">
        <f>IFERROR(__xludf.DUMMYFUNCTION("""COMPUTED_VALUE"""),0.0)</f>
        <v>0</v>
      </c>
      <c r="I28" s="155">
        <f>IFERROR(__xludf.DUMMYFUNCTION("""COMPUTED_VALUE"""),4.0)</f>
        <v>4</v>
      </c>
      <c r="J28" s="156">
        <f>IFERROR(__xludf.DUMMYFUNCTION("""COMPUTED_VALUE"""),5.0)</f>
        <v>5</v>
      </c>
      <c r="K28" s="155"/>
      <c r="L28" s="158">
        <f>IFERROR(__xludf.DUMMYFUNCTION("""COMPUTED_VALUE"""),0.0)</f>
        <v>0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"/>
    </row>
    <row r="29" ht="24.75" customHeight="1">
      <c r="A29" s="152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153">
        <f>IFERROR(__xludf.DUMMYFUNCTION("""COMPUTED_VALUE"""),4.0)</f>
        <v>4</v>
      </c>
      <c r="F29" s="153">
        <f>IFERROR(__xludf.DUMMYFUNCTION("""COMPUTED_VALUE"""),2.0)</f>
        <v>2</v>
      </c>
      <c r="G29" s="153"/>
      <c r="H29" s="154">
        <f>IFERROR(__xludf.DUMMYFUNCTION("""COMPUTED_VALUE"""),6.0)</f>
        <v>6</v>
      </c>
      <c r="I29" s="155">
        <f>IFERROR(__xludf.DUMMYFUNCTION("""COMPUTED_VALUE"""),0.0)</f>
        <v>0</v>
      </c>
      <c r="J29" s="156">
        <f>IFERROR(__xludf.DUMMYFUNCTION("""COMPUTED_VALUE"""),6.0)</f>
        <v>6</v>
      </c>
      <c r="K29" s="155"/>
      <c r="L29" s="158">
        <f>IFERROR(__xludf.DUMMYFUNCTION("""COMPUTED_VALUE"""),6.0)</f>
        <v>6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"/>
    </row>
    <row r="30" ht="24.75" customHeight="1">
      <c r="A30" s="152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153">
        <f>IFERROR(__xludf.DUMMYFUNCTION("""COMPUTED_VALUE"""),8.0)</f>
        <v>8</v>
      </c>
      <c r="F30" s="153">
        <f>IFERROR(__xludf.DUMMYFUNCTION("""COMPUTED_VALUE"""),2.0)</f>
        <v>2</v>
      </c>
      <c r="G30" s="153"/>
      <c r="H30" s="154">
        <f>IFERROR(__xludf.DUMMYFUNCTION("""COMPUTED_VALUE"""),10.0)</f>
        <v>10</v>
      </c>
      <c r="I30" s="155">
        <f>IFERROR(__xludf.DUMMYFUNCTION("""COMPUTED_VALUE"""),0.0)</f>
        <v>0</v>
      </c>
      <c r="J30" s="156">
        <f>IFERROR(__xludf.DUMMYFUNCTION("""COMPUTED_VALUE"""),10.0)</f>
        <v>10</v>
      </c>
      <c r="K30" s="155"/>
      <c r="L30" s="158">
        <f>IFERROR(__xludf.DUMMYFUNCTION("""COMPUTED_VALUE"""),10.0)</f>
        <v>10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"/>
    </row>
    <row r="31" ht="24.75" customHeight="1">
      <c r="A31" s="152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153">
        <f>IFERROR(__xludf.DUMMYFUNCTION("""COMPUTED_VALUE"""),8.0)</f>
        <v>8</v>
      </c>
      <c r="F31" s="153">
        <f>IFERROR(__xludf.DUMMYFUNCTION("""COMPUTED_VALUE"""),2.0)</f>
        <v>2</v>
      </c>
      <c r="G31" s="153"/>
      <c r="H31" s="154">
        <f>IFERROR(__xludf.DUMMYFUNCTION("""COMPUTED_VALUE"""),10.0)</f>
        <v>10</v>
      </c>
      <c r="I31" s="155">
        <f>IFERROR(__xludf.DUMMYFUNCTION("""COMPUTED_VALUE"""),0.0)</f>
        <v>0</v>
      </c>
      <c r="J31" s="156">
        <f>IFERROR(__xludf.DUMMYFUNCTION("""COMPUTED_VALUE"""),10.0)</f>
        <v>10</v>
      </c>
      <c r="K31" s="155"/>
      <c r="L31" s="158">
        <f>IFERROR(__xludf.DUMMYFUNCTION("""COMPUTED_VALUE"""),10.0)</f>
        <v>10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"/>
    </row>
    <row r="32" ht="24.75" customHeight="1">
      <c r="A32" s="152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153">
        <f>IFERROR(__xludf.DUMMYFUNCTION("""COMPUTED_VALUE"""),8.0)</f>
        <v>8</v>
      </c>
      <c r="F32" s="153">
        <f>IFERROR(__xludf.DUMMYFUNCTION("""COMPUTED_VALUE"""),2.0)</f>
        <v>2</v>
      </c>
      <c r="G32" s="153"/>
      <c r="H32" s="154">
        <f>IFERROR(__xludf.DUMMYFUNCTION("""COMPUTED_VALUE"""),10.0)</f>
        <v>10</v>
      </c>
      <c r="I32" s="155">
        <f>IFERROR(__xludf.DUMMYFUNCTION("""COMPUTED_VALUE"""),0.0)</f>
        <v>0</v>
      </c>
      <c r="J32" s="156">
        <f>IFERROR(__xludf.DUMMYFUNCTION("""COMPUTED_VALUE"""),10.0)</f>
        <v>10</v>
      </c>
      <c r="K32" s="155"/>
      <c r="L32" s="158">
        <f>IFERROR(__xludf.DUMMYFUNCTION("""COMPUTED_VALUE"""),10.0)</f>
        <v>10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"/>
    </row>
    <row r="33" ht="24.75" customHeight="1">
      <c r="A33" s="152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153">
        <f>IFERROR(__xludf.DUMMYFUNCTION("""COMPUTED_VALUE"""),8.0)</f>
        <v>8</v>
      </c>
      <c r="F33" s="153">
        <f>IFERROR(__xludf.DUMMYFUNCTION("""COMPUTED_VALUE"""),2.0)</f>
        <v>2</v>
      </c>
      <c r="G33" s="153"/>
      <c r="H33" s="154">
        <f>IFERROR(__xludf.DUMMYFUNCTION("""COMPUTED_VALUE"""),10.0)</f>
        <v>10</v>
      </c>
      <c r="I33" s="155">
        <f>IFERROR(__xludf.DUMMYFUNCTION("""COMPUTED_VALUE"""),2.0)</f>
        <v>2</v>
      </c>
      <c r="J33" s="156">
        <f>IFERROR(__xludf.DUMMYFUNCTION("""COMPUTED_VALUE"""),10.0)</f>
        <v>10</v>
      </c>
      <c r="K33" s="155"/>
      <c r="L33" s="158">
        <f>IFERROR(__xludf.DUMMYFUNCTION("""COMPUTED_VALUE"""),10.0)</f>
        <v>10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"/>
    </row>
    <row r="34" ht="24.75" customHeight="1">
      <c r="A34" s="152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153">
        <f>IFERROR(__xludf.DUMMYFUNCTION("""COMPUTED_VALUE"""),6.0)</f>
        <v>6</v>
      </c>
      <c r="F34" s="153">
        <f>IFERROR(__xludf.DUMMYFUNCTION("""COMPUTED_VALUE"""),2.0)</f>
        <v>2</v>
      </c>
      <c r="G34" s="153"/>
      <c r="H34" s="154">
        <f>IFERROR(__xludf.DUMMYFUNCTION("""COMPUTED_VALUE"""),8.0)</f>
        <v>8</v>
      </c>
      <c r="I34" s="155">
        <f>IFERROR(__xludf.DUMMYFUNCTION("""COMPUTED_VALUE"""),2.0)</f>
        <v>2</v>
      </c>
      <c r="J34" s="156">
        <f>IFERROR(__xludf.DUMMYFUNCTION("""COMPUTED_VALUE"""),8.0)</f>
        <v>8</v>
      </c>
      <c r="K34" s="155"/>
      <c r="L34" s="158">
        <f>IFERROR(__xludf.DUMMYFUNCTION("""COMPUTED_VALUE"""),8.0)</f>
        <v>8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"/>
    </row>
    <row r="35" ht="24.75" customHeight="1">
      <c r="A35" s="152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153">
        <f>IFERROR(__xludf.DUMMYFUNCTION("""COMPUTED_VALUE"""),8.0)</f>
        <v>8</v>
      </c>
      <c r="F35" s="153">
        <f>IFERROR(__xludf.DUMMYFUNCTION("""COMPUTED_VALUE"""),2.0)</f>
        <v>2</v>
      </c>
      <c r="G35" s="153"/>
      <c r="H35" s="154">
        <f>IFERROR(__xludf.DUMMYFUNCTION("""COMPUTED_VALUE"""),10.0)</f>
        <v>10</v>
      </c>
      <c r="I35" s="155">
        <f>IFERROR(__xludf.DUMMYFUNCTION("""COMPUTED_VALUE"""),0.0)</f>
        <v>0</v>
      </c>
      <c r="J35" s="156">
        <f>IFERROR(__xludf.DUMMYFUNCTION("""COMPUTED_VALUE"""),10.0)</f>
        <v>10</v>
      </c>
      <c r="K35" s="155"/>
      <c r="L35" s="158">
        <f>IFERROR(__xludf.DUMMYFUNCTION("""COMPUTED_VALUE"""),10.0)</f>
        <v>10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"/>
    </row>
    <row r="36" ht="24.75" customHeight="1">
      <c r="A36" s="152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153">
        <f>IFERROR(__xludf.DUMMYFUNCTION("""COMPUTED_VALUE"""),8.0)</f>
        <v>8</v>
      </c>
      <c r="F36" s="153">
        <f>IFERROR(__xludf.DUMMYFUNCTION("""COMPUTED_VALUE"""),2.0)</f>
        <v>2</v>
      </c>
      <c r="G36" s="153"/>
      <c r="H36" s="154">
        <f>IFERROR(__xludf.DUMMYFUNCTION("""COMPUTED_VALUE"""),10.0)</f>
        <v>10</v>
      </c>
      <c r="I36" s="155">
        <f>IFERROR(__xludf.DUMMYFUNCTION("""COMPUTED_VALUE"""),0.0)</f>
        <v>0</v>
      </c>
      <c r="J36" s="156">
        <f>IFERROR(__xludf.DUMMYFUNCTION("""COMPUTED_VALUE"""),10.0)</f>
        <v>10</v>
      </c>
      <c r="K36" s="155"/>
      <c r="L36" s="158">
        <f>IFERROR(__xludf.DUMMYFUNCTION("""COMPUTED_VALUE"""),10.0)</f>
        <v>10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"/>
    </row>
    <row r="37" ht="24.75" customHeight="1">
      <c r="A37" s="152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153">
        <f>IFERROR(__xludf.DUMMYFUNCTION("""COMPUTED_VALUE"""),4.0)</f>
        <v>4</v>
      </c>
      <c r="F37" s="153">
        <f>IFERROR(__xludf.DUMMYFUNCTION("""COMPUTED_VALUE"""),2.0)</f>
        <v>2</v>
      </c>
      <c r="G37" s="153"/>
      <c r="H37" s="154">
        <f>IFERROR(__xludf.DUMMYFUNCTION("""COMPUTED_VALUE"""),6.0)</f>
        <v>6</v>
      </c>
      <c r="I37" s="155">
        <f>IFERROR(__xludf.DUMMYFUNCTION("""COMPUTED_VALUE"""),2.0)</f>
        <v>2</v>
      </c>
      <c r="J37" s="156">
        <f>IFERROR(__xludf.DUMMYFUNCTION("""COMPUTED_VALUE"""),6.0)</f>
        <v>6</v>
      </c>
      <c r="K37" s="155"/>
      <c r="L37" s="158">
        <f>IFERROR(__xludf.DUMMYFUNCTION("""COMPUTED_VALUE"""),6.0)</f>
        <v>6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"/>
    </row>
    <row r="38" ht="24.75" customHeight="1">
      <c r="A38" s="152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153">
        <f>IFERROR(__xludf.DUMMYFUNCTION("""COMPUTED_VALUE"""),8.0)</f>
        <v>8</v>
      </c>
      <c r="F38" s="153">
        <f>IFERROR(__xludf.DUMMYFUNCTION("""COMPUTED_VALUE"""),2.0)</f>
        <v>2</v>
      </c>
      <c r="G38" s="153"/>
      <c r="H38" s="154">
        <f>IFERROR(__xludf.DUMMYFUNCTION("""COMPUTED_VALUE"""),10.0)</f>
        <v>10</v>
      </c>
      <c r="I38" s="155">
        <f>IFERROR(__xludf.DUMMYFUNCTION("""COMPUTED_VALUE"""),0.0)</f>
        <v>0</v>
      </c>
      <c r="J38" s="156">
        <f>IFERROR(__xludf.DUMMYFUNCTION("""COMPUTED_VALUE"""),10.0)</f>
        <v>10</v>
      </c>
      <c r="K38" s="155"/>
      <c r="L38" s="158">
        <f>IFERROR(__xludf.DUMMYFUNCTION("""COMPUTED_VALUE"""),10.0)</f>
        <v>10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"/>
    </row>
    <row r="39" ht="24.75" customHeight="1">
      <c r="A39" s="152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153">
        <f>IFERROR(__xludf.DUMMYFUNCTION("""COMPUTED_VALUE"""),5.0)</f>
        <v>5</v>
      </c>
      <c r="F39" s="153">
        <f>IFERROR(__xludf.DUMMYFUNCTION("""COMPUTED_VALUE"""),2.0)</f>
        <v>2</v>
      </c>
      <c r="G39" s="153"/>
      <c r="H39" s="154">
        <f>IFERROR(__xludf.DUMMYFUNCTION("""COMPUTED_VALUE"""),7.0)</f>
        <v>7</v>
      </c>
      <c r="I39" s="155">
        <f>IFERROR(__xludf.DUMMYFUNCTION("""COMPUTED_VALUE"""),2.0)</f>
        <v>2</v>
      </c>
      <c r="J39" s="156">
        <f>IFERROR(__xludf.DUMMYFUNCTION("""COMPUTED_VALUE"""),7.0)</f>
        <v>7</v>
      </c>
      <c r="K39" s="155"/>
      <c r="L39" s="158">
        <f>IFERROR(__xludf.DUMMYFUNCTION("""COMPUTED_VALUE"""),7.0)</f>
        <v>7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"/>
    </row>
    <row r="40" ht="24.75" customHeight="1">
      <c r="A40" s="152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153">
        <f>IFERROR(__xludf.DUMMYFUNCTION("""COMPUTED_VALUE"""),8.0)</f>
        <v>8</v>
      </c>
      <c r="F40" s="153">
        <f>IFERROR(__xludf.DUMMYFUNCTION("""COMPUTED_VALUE"""),2.0)</f>
        <v>2</v>
      </c>
      <c r="G40" s="153"/>
      <c r="H40" s="154">
        <f>IFERROR(__xludf.DUMMYFUNCTION("""COMPUTED_VALUE"""),10.0)</f>
        <v>10</v>
      </c>
      <c r="I40" s="155">
        <f>IFERROR(__xludf.DUMMYFUNCTION("""COMPUTED_VALUE"""),0.0)</f>
        <v>0</v>
      </c>
      <c r="J40" s="156">
        <f>IFERROR(__xludf.DUMMYFUNCTION("""COMPUTED_VALUE"""),10.0)</f>
        <v>10</v>
      </c>
      <c r="K40" s="155"/>
      <c r="L40" s="158">
        <f>IFERROR(__xludf.DUMMYFUNCTION("""COMPUTED_VALUE"""),10.0)</f>
        <v>10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"/>
    </row>
    <row r="41" ht="24.75" customHeight="1">
      <c r="A41" s="152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153">
        <f>IFERROR(__xludf.DUMMYFUNCTION("""COMPUTED_VALUE"""),8.0)</f>
        <v>8</v>
      </c>
      <c r="F41" s="153">
        <f>IFERROR(__xludf.DUMMYFUNCTION("""COMPUTED_VALUE"""),2.0)</f>
        <v>2</v>
      </c>
      <c r="G41" s="153"/>
      <c r="H41" s="154">
        <f>IFERROR(__xludf.DUMMYFUNCTION("""COMPUTED_VALUE"""),10.0)</f>
        <v>10</v>
      </c>
      <c r="I41" s="155">
        <f>IFERROR(__xludf.DUMMYFUNCTION("""COMPUTED_VALUE"""),0.0)</f>
        <v>0</v>
      </c>
      <c r="J41" s="156">
        <f>IFERROR(__xludf.DUMMYFUNCTION("""COMPUTED_VALUE"""),10.0)</f>
        <v>10</v>
      </c>
      <c r="K41" s="155"/>
      <c r="L41" s="158">
        <f>IFERROR(__xludf.DUMMYFUNCTION("""COMPUTED_VALUE"""),10.0)</f>
        <v>10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"/>
    </row>
    <row r="42" ht="24.75" customHeight="1">
      <c r="A42" s="152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153">
        <f>IFERROR(__xludf.DUMMYFUNCTION("""COMPUTED_VALUE"""),8.0)</f>
        <v>8</v>
      </c>
      <c r="F42" s="153">
        <f>IFERROR(__xludf.DUMMYFUNCTION("""COMPUTED_VALUE"""),2.0)</f>
        <v>2</v>
      </c>
      <c r="G42" s="153"/>
      <c r="H42" s="154">
        <f>IFERROR(__xludf.DUMMYFUNCTION("""COMPUTED_VALUE"""),10.0)</f>
        <v>10</v>
      </c>
      <c r="I42" s="155">
        <f>IFERROR(__xludf.DUMMYFUNCTION("""COMPUTED_VALUE"""),0.0)</f>
        <v>0</v>
      </c>
      <c r="J42" s="156">
        <f>IFERROR(__xludf.DUMMYFUNCTION("""COMPUTED_VALUE"""),10.0)</f>
        <v>10</v>
      </c>
      <c r="K42" s="155"/>
      <c r="L42" s="158">
        <f>IFERROR(__xludf.DUMMYFUNCTION("""COMPUTED_VALUE"""),10.0)</f>
        <v>10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"/>
    </row>
    <row r="43" ht="24.75" customHeight="1">
      <c r="A43" s="152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153">
        <f>IFERROR(__xludf.DUMMYFUNCTION("""COMPUTED_VALUE"""),8.0)</f>
        <v>8</v>
      </c>
      <c r="F43" s="153">
        <f>IFERROR(__xludf.DUMMYFUNCTION("""COMPUTED_VALUE"""),2.0)</f>
        <v>2</v>
      </c>
      <c r="G43" s="153"/>
      <c r="H43" s="154">
        <f>IFERROR(__xludf.DUMMYFUNCTION("""COMPUTED_VALUE"""),10.0)</f>
        <v>10</v>
      </c>
      <c r="I43" s="155">
        <f>IFERROR(__xludf.DUMMYFUNCTION("""COMPUTED_VALUE"""),0.0)</f>
        <v>0</v>
      </c>
      <c r="J43" s="156">
        <f>IFERROR(__xludf.DUMMYFUNCTION("""COMPUTED_VALUE"""),10.0)</f>
        <v>10</v>
      </c>
      <c r="K43" s="155"/>
      <c r="L43" s="158">
        <f>IFERROR(__xludf.DUMMYFUNCTION("""COMPUTED_VALUE"""),10.0)</f>
        <v>10</v>
      </c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"/>
    </row>
    <row r="44" ht="24.75" customHeight="1">
      <c r="A44" s="152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153">
        <f>IFERROR(__xludf.DUMMYFUNCTION("""COMPUTED_VALUE"""),0.0)</f>
        <v>0</v>
      </c>
      <c r="F44" s="153">
        <f>IFERROR(__xludf.DUMMYFUNCTION("""COMPUTED_VALUE"""),0.0)</f>
        <v>0</v>
      </c>
      <c r="G44" s="153"/>
      <c r="H44" s="154">
        <f>IFERROR(__xludf.DUMMYFUNCTION("""COMPUTED_VALUE"""),0.0)</f>
        <v>0</v>
      </c>
      <c r="I44" s="155">
        <f>IFERROR(__xludf.DUMMYFUNCTION("""COMPUTED_VALUE"""),4.0)</f>
        <v>4</v>
      </c>
      <c r="J44" s="156">
        <f>IFERROR(__xludf.DUMMYFUNCTION("""COMPUTED_VALUE"""),5.0)</f>
        <v>5</v>
      </c>
      <c r="K44" s="155"/>
      <c r="L44" s="158">
        <f>IFERROR(__xludf.DUMMYFUNCTION("""COMPUTED_VALUE"""),0.0)</f>
        <v>0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"/>
    </row>
    <row r="45" ht="24.75" customHeight="1">
      <c r="A45" s="152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153">
        <f>IFERROR(__xludf.DUMMYFUNCTION("""COMPUTED_VALUE"""),8.0)</f>
        <v>8</v>
      </c>
      <c r="F45" s="153">
        <f>IFERROR(__xludf.DUMMYFUNCTION("""COMPUTED_VALUE"""),2.0)</f>
        <v>2</v>
      </c>
      <c r="G45" s="153"/>
      <c r="H45" s="154">
        <f>IFERROR(__xludf.DUMMYFUNCTION("""COMPUTED_VALUE"""),10.0)</f>
        <v>10</v>
      </c>
      <c r="I45" s="155">
        <f>IFERROR(__xludf.DUMMYFUNCTION("""COMPUTED_VALUE"""),0.0)</f>
        <v>0</v>
      </c>
      <c r="J45" s="156">
        <f>IFERROR(__xludf.DUMMYFUNCTION("""COMPUTED_VALUE"""),10.0)</f>
        <v>10</v>
      </c>
      <c r="K45" s="155"/>
      <c r="L45" s="158">
        <f>IFERROR(__xludf.DUMMYFUNCTION("""COMPUTED_VALUE"""),10.0)</f>
        <v>10</v>
      </c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"/>
    </row>
    <row r="46" ht="24.75" customHeight="1">
      <c r="A46" s="152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153">
        <f>IFERROR(__xludf.DUMMYFUNCTION("""COMPUTED_VALUE"""),8.0)</f>
        <v>8</v>
      </c>
      <c r="F46" s="153">
        <f>IFERROR(__xludf.DUMMYFUNCTION("""COMPUTED_VALUE"""),2.0)</f>
        <v>2</v>
      </c>
      <c r="G46" s="153"/>
      <c r="H46" s="154">
        <f>IFERROR(__xludf.DUMMYFUNCTION("""COMPUTED_VALUE"""),10.0)</f>
        <v>10</v>
      </c>
      <c r="I46" s="155">
        <f>IFERROR(__xludf.DUMMYFUNCTION("""COMPUTED_VALUE"""),0.0)</f>
        <v>0</v>
      </c>
      <c r="J46" s="156">
        <f>IFERROR(__xludf.DUMMYFUNCTION("""COMPUTED_VALUE"""),10.0)</f>
        <v>10</v>
      </c>
      <c r="K46" s="155"/>
      <c r="L46" s="158">
        <f>IFERROR(__xludf.DUMMYFUNCTION("""COMPUTED_VALUE"""),10.0)</f>
        <v>10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"/>
    </row>
    <row r="47" ht="24.75" customHeight="1">
      <c r="A47" s="152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153">
        <f>IFERROR(__xludf.DUMMYFUNCTION("""COMPUTED_VALUE"""),8.0)</f>
        <v>8</v>
      </c>
      <c r="F47" s="153">
        <f>IFERROR(__xludf.DUMMYFUNCTION("""COMPUTED_VALUE"""),2.0)</f>
        <v>2</v>
      </c>
      <c r="G47" s="153"/>
      <c r="H47" s="154">
        <f>IFERROR(__xludf.DUMMYFUNCTION("""COMPUTED_VALUE"""),10.0)</f>
        <v>10</v>
      </c>
      <c r="I47" s="155">
        <f>IFERROR(__xludf.DUMMYFUNCTION("""COMPUTED_VALUE"""),0.0)</f>
        <v>0</v>
      </c>
      <c r="J47" s="156">
        <f>IFERROR(__xludf.DUMMYFUNCTION("""COMPUTED_VALUE"""),10.0)</f>
        <v>10</v>
      </c>
      <c r="K47" s="155"/>
      <c r="L47" s="158">
        <f>IFERROR(__xludf.DUMMYFUNCTION("""COMPUTED_VALUE"""),10.0)</f>
        <v>10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"/>
    </row>
    <row r="48" ht="24.75" customHeight="1">
      <c r="A48" s="152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153">
        <f>IFERROR(__xludf.DUMMYFUNCTION("""COMPUTED_VALUE"""),8.0)</f>
        <v>8</v>
      </c>
      <c r="F48" s="153">
        <f>IFERROR(__xludf.DUMMYFUNCTION("""COMPUTED_VALUE"""),2.0)</f>
        <v>2</v>
      </c>
      <c r="G48" s="153"/>
      <c r="H48" s="154">
        <f>IFERROR(__xludf.DUMMYFUNCTION("""COMPUTED_VALUE"""),10.0)</f>
        <v>10</v>
      </c>
      <c r="I48" s="155">
        <f>IFERROR(__xludf.DUMMYFUNCTION("""COMPUTED_VALUE"""),0.0)</f>
        <v>0</v>
      </c>
      <c r="J48" s="156">
        <f>IFERROR(__xludf.DUMMYFUNCTION("""COMPUTED_VALUE"""),10.0)</f>
        <v>10</v>
      </c>
      <c r="K48" s="155"/>
      <c r="L48" s="158">
        <f>IFERROR(__xludf.DUMMYFUNCTION("""COMPUTED_VALUE"""),10.0)</f>
        <v>10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"/>
    </row>
    <row r="49" ht="24.75" customHeight="1">
      <c r="A49" s="152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153">
        <f>IFERROR(__xludf.DUMMYFUNCTION("""COMPUTED_VALUE"""),8.0)</f>
        <v>8</v>
      </c>
      <c r="F49" s="153">
        <f>IFERROR(__xludf.DUMMYFUNCTION("""COMPUTED_VALUE"""),2.0)</f>
        <v>2</v>
      </c>
      <c r="G49" s="153"/>
      <c r="H49" s="154">
        <f>IFERROR(__xludf.DUMMYFUNCTION("""COMPUTED_VALUE"""),10.0)</f>
        <v>10</v>
      </c>
      <c r="I49" s="155">
        <f>IFERROR(__xludf.DUMMYFUNCTION("""COMPUTED_VALUE"""),2.0)</f>
        <v>2</v>
      </c>
      <c r="J49" s="156">
        <f>IFERROR(__xludf.DUMMYFUNCTION("""COMPUTED_VALUE"""),10.0)</f>
        <v>10</v>
      </c>
      <c r="K49" s="155"/>
      <c r="L49" s="158">
        <f>IFERROR(__xludf.DUMMYFUNCTION("""COMPUTED_VALUE"""),10.0)</f>
        <v>10</v>
      </c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"/>
    </row>
    <row r="50" ht="24.75" customHeight="1">
      <c r="A50" s="152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153">
        <f>IFERROR(__xludf.DUMMYFUNCTION("""COMPUTED_VALUE"""),8.0)</f>
        <v>8</v>
      </c>
      <c r="F50" s="153">
        <f>IFERROR(__xludf.DUMMYFUNCTION("""COMPUTED_VALUE"""),2.0)</f>
        <v>2</v>
      </c>
      <c r="G50" s="153"/>
      <c r="H50" s="154">
        <f>IFERROR(__xludf.DUMMYFUNCTION("""COMPUTED_VALUE"""),10.0)</f>
        <v>10</v>
      </c>
      <c r="I50" s="155">
        <f>IFERROR(__xludf.DUMMYFUNCTION("""COMPUTED_VALUE"""),0.0)</f>
        <v>0</v>
      </c>
      <c r="J50" s="156">
        <f>IFERROR(__xludf.DUMMYFUNCTION("""COMPUTED_VALUE"""),10.0)</f>
        <v>10</v>
      </c>
      <c r="K50" s="155"/>
      <c r="L50" s="158">
        <f>IFERROR(__xludf.DUMMYFUNCTION("""COMPUTED_VALUE"""),10.0)</f>
        <v>10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"/>
    </row>
    <row r="51" ht="24.75" customHeight="1">
      <c r="A51" s="152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153">
        <f>IFERROR(__xludf.DUMMYFUNCTION("""COMPUTED_VALUE"""),8.0)</f>
        <v>8</v>
      </c>
      <c r="F51" s="153">
        <f>IFERROR(__xludf.DUMMYFUNCTION("""COMPUTED_VALUE"""),2.0)</f>
        <v>2</v>
      </c>
      <c r="G51" s="153"/>
      <c r="H51" s="154">
        <f>IFERROR(__xludf.DUMMYFUNCTION("""COMPUTED_VALUE"""),10.0)</f>
        <v>10</v>
      </c>
      <c r="I51" s="155">
        <f>IFERROR(__xludf.DUMMYFUNCTION("""COMPUTED_VALUE"""),2.0)</f>
        <v>2</v>
      </c>
      <c r="J51" s="156">
        <f>IFERROR(__xludf.DUMMYFUNCTION("""COMPUTED_VALUE"""),10.0)</f>
        <v>10</v>
      </c>
      <c r="K51" s="155"/>
      <c r="L51" s="158">
        <f>IFERROR(__xludf.DUMMYFUNCTION("""COMPUTED_VALUE"""),10.0)</f>
        <v>10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"/>
    </row>
    <row r="52" ht="24.75" customHeight="1">
      <c r="A52" s="152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153">
        <f>IFERROR(__xludf.DUMMYFUNCTION("""COMPUTED_VALUE"""),8.0)</f>
        <v>8</v>
      </c>
      <c r="F52" s="153">
        <f>IFERROR(__xludf.DUMMYFUNCTION("""COMPUTED_VALUE"""),0.0)</f>
        <v>0</v>
      </c>
      <c r="G52" s="153"/>
      <c r="H52" s="154">
        <f>IFERROR(__xludf.DUMMYFUNCTION("""COMPUTED_VALUE"""),8.0)</f>
        <v>8</v>
      </c>
      <c r="I52" s="155">
        <f>IFERROR(__xludf.DUMMYFUNCTION("""COMPUTED_VALUE"""),0.0)</f>
        <v>0</v>
      </c>
      <c r="J52" s="156">
        <f>IFERROR(__xludf.DUMMYFUNCTION("""COMPUTED_VALUE"""),8.0)</f>
        <v>8</v>
      </c>
      <c r="K52" s="155"/>
      <c r="L52" s="159">
        <f>IFERROR(__xludf.DUMMYFUNCTION("""COMPUTED_VALUE"""),8.0)</f>
        <v>8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"/>
    </row>
    <row r="53" ht="24.75" customHeight="1">
      <c r="A53" s="152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153">
        <f>IFERROR(__xludf.DUMMYFUNCTION("""COMPUTED_VALUE"""),0.0)</f>
        <v>0</v>
      </c>
      <c r="F53" s="153">
        <f>IFERROR(__xludf.DUMMYFUNCTION("""COMPUTED_VALUE"""),0.0)</f>
        <v>0</v>
      </c>
      <c r="G53" s="153"/>
      <c r="H53" s="154">
        <f>IFERROR(__xludf.DUMMYFUNCTION("""COMPUTED_VALUE"""),0.0)</f>
        <v>0</v>
      </c>
      <c r="I53" s="155">
        <f>IFERROR(__xludf.DUMMYFUNCTION("""COMPUTED_VALUE"""),2.0)</f>
        <v>2</v>
      </c>
      <c r="J53" s="156">
        <f>IFERROR(__xludf.DUMMYFUNCTION("""COMPUTED_VALUE"""),5.0)</f>
        <v>5</v>
      </c>
      <c r="K53" s="155"/>
      <c r="L53" s="159">
        <f>IFERROR(__xludf.DUMMYFUNCTION("""COMPUTED_VALUE"""),0.0)</f>
        <v>0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"/>
    </row>
    <row r="54" ht="24.75" customHeight="1">
      <c r="A54" s="152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153">
        <f>IFERROR(__xludf.DUMMYFUNCTION("""COMPUTED_VALUE"""),8.0)</f>
        <v>8</v>
      </c>
      <c r="F54" s="153">
        <f>IFERROR(__xludf.DUMMYFUNCTION("""COMPUTED_VALUE"""),0.0)</f>
        <v>0</v>
      </c>
      <c r="G54" s="153"/>
      <c r="H54" s="154">
        <f>IFERROR(__xludf.DUMMYFUNCTION("""COMPUTED_VALUE"""),8.0)</f>
        <v>8</v>
      </c>
      <c r="I54" s="155">
        <f>IFERROR(__xludf.DUMMYFUNCTION("""COMPUTED_VALUE"""),2.0)</f>
        <v>2</v>
      </c>
      <c r="J54" s="156">
        <f>IFERROR(__xludf.DUMMYFUNCTION("""COMPUTED_VALUE"""),8.0)</f>
        <v>8</v>
      </c>
      <c r="K54" s="155"/>
      <c r="L54" s="159">
        <f>IFERROR(__xludf.DUMMYFUNCTION("""COMPUTED_VALUE"""),8.0)</f>
        <v>8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"/>
    </row>
    <row r="55" ht="24.75" customHeight="1">
      <c r="A55" s="152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153">
        <f>IFERROR(__xludf.DUMMYFUNCTION("""COMPUTED_VALUE"""),6.0)</f>
        <v>6</v>
      </c>
      <c r="F55" s="153">
        <f>IFERROR(__xludf.DUMMYFUNCTION("""COMPUTED_VALUE"""),0.0)</f>
        <v>0</v>
      </c>
      <c r="G55" s="153"/>
      <c r="H55" s="154">
        <f>IFERROR(__xludf.DUMMYFUNCTION("""COMPUTED_VALUE"""),6.0)</f>
        <v>6</v>
      </c>
      <c r="I55" s="160">
        <f>IFERROR(__xludf.DUMMYFUNCTION("""COMPUTED_VALUE"""),4.0)</f>
        <v>4</v>
      </c>
      <c r="J55" s="156">
        <f>IFERROR(__xludf.DUMMYFUNCTION("""COMPUTED_VALUE"""),6.0)</f>
        <v>6</v>
      </c>
      <c r="K55" s="155"/>
      <c r="L55" s="159">
        <f>IFERROR(__xludf.DUMMYFUNCTION("""COMPUTED_VALUE"""),6.0)</f>
        <v>6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"/>
    </row>
    <row r="56" ht="24.75" customHeight="1">
      <c r="A56" s="152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153">
        <f>IFERROR(__xludf.DUMMYFUNCTION("""COMPUTED_VALUE"""),8.0)</f>
        <v>8</v>
      </c>
      <c r="F56" s="153">
        <f>IFERROR(__xludf.DUMMYFUNCTION("""COMPUTED_VALUE"""),2.0)</f>
        <v>2</v>
      </c>
      <c r="G56" s="153"/>
      <c r="H56" s="154">
        <f>IFERROR(__xludf.DUMMYFUNCTION("""COMPUTED_VALUE"""),10.0)</f>
        <v>10</v>
      </c>
      <c r="I56" s="160">
        <f>IFERROR(__xludf.DUMMYFUNCTION("""COMPUTED_VALUE"""),0.0)</f>
        <v>0</v>
      </c>
      <c r="J56" s="156">
        <f>IFERROR(__xludf.DUMMYFUNCTION("""COMPUTED_VALUE"""),10.0)</f>
        <v>10</v>
      </c>
      <c r="K56" s="155"/>
      <c r="L56" s="159">
        <f>IFERROR(__xludf.DUMMYFUNCTION("""COMPUTED_VALUE"""),10.0)</f>
        <v>10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"/>
    </row>
    <row r="57" ht="24.75" customHeight="1">
      <c r="A57" s="152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153">
        <f>IFERROR(__xludf.DUMMYFUNCTION("""COMPUTED_VALUE"""),8.0)</f>
        <v>8</v>
      </c>
      <c r="F57" s="153">
        <f>IFERROR(__xludf.DUMMYFUNCTION("""COMPUTED_VALUE"""),2.0)</f>
        <v>2</v>
      </c>
      <c r="G57" s="153"/>
      <c r="H57" s="154">
        <f>IFERROR(__xludf.DUMMYFUNCTION("""COMPUTED_VALUE"""),10.0)</f>
        <v>10</v>
      </c>
      <c r="I57" s="160">
        <f>IFERROR(__xludf.DUMMYFUNCTION("""COMPUTED_VALUE"""),0.0)</f>
        <v>0</v>
      </c>
      <c r="J57" s="156">
        <f>IFERROR(__xludf.DUMMYFUNCTION("""COMPUTED_VALUE"""),10.0)</f>
        <v>10</v>
      </c>
      <c r="K57" s="155"/>
      <c r="L57" s="159">
        <f>IFERROR(__xludf.DUMMYFUNCTION("""COMPUTED_VALUE"""),10.0)</f>
        <v>10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"/>
    </row>
    <row r="58" ht="24.75" customHeight="1">
      <c r="A58" s="152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153">
        <f>IFERROR(__xludf.DUMMYFUNCTION("""COMPUTED_VALUE"""),7.0)</f>
        <v>7</v>
      </c>
      <c r="F58" s="153">
        <f>IFERROR(__xludf.DUMMYFUNCTION("""COMPUTED_VALUE"""),2.0)</f>
        <v>2</v>
      </c>
      <c r="G58" s="153"/>
      <c r="H58" s="154">
        <f>IFERROR(__xludf.DUMMYFUNCTION("""COMPUTED_VALUE"""),9.0)</f>
        <v>9</v>
      </c>
      <c r="I58" s="160">
        <f>IFERROR(__xludf.DUMMYFUNCTION("""COMPUTED_VALUE"""),0.0)</f>
        <v>0</v>
      </c>
      <c r="J58" s="156">
        <f>IFERROR(__xludf.DUMMYFUNCTION("""COMPUTED_VALUE"""),9.0)</f>
        <v>9</v>
      </c>
      <c r="K58" s="155"/>
      <c r="L58" s="159">
        <f>IFERROR(__xludf.DUMMYFUNCTION("""COMPUTED_VALUE"""),9.0)</f>
        <v>9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"/>
    </row>
    <row r="59" ht="24.75" customHeight="1">
      <c r="A59" s="152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153">
        <f>IFERROR(__xludf.DUMMYFUNCTION("""COMPUTED_VALUE"""),8.0)</f>
        <v>8</v>
      </c>
      <c r="F59" s="153">
        <f>IFERROR(__xludf.DUMMYFUNCTION("""COMPUTED_VALUE"""),2.0)</f>
        <v>2</v>
      </c>
      <c r="G59" s="153"/>
      <c r="H59" s="154">
        <f>IFERROR(__xludf.DUMMYFUNCTION("""COMPUTED_VALUE"""),10.0)</f>
        <v>10</v>
      </c>
      <c r="I59" s="160">
        <f>IFERROR(__xludf.DUMMYFUNCTION("""COMPUTED_VALUE"""),2.0)</f>
        <v>2</v>
      </c>
      <c r="J59" s="156">
        <f>IFERROR(__xludf.DUMMYFUNCTION("""COMPUTED_VALUE"""),10.0)</f>
        <v>10</v>
      </c>
      <c r="K59" s="155"/>
      <c r="L59" s="159">
        <f>IFERROR(__xludf.DUMMYFUNCTION("""COMPUTED_VALUE"""),10.0)</f>
        <v>10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"/>
    </row>
    <row r="60" ht="24.75" customHeight="1">
      <c r="A60" s="152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153">
        <f>IFERROR(__xludf.DUMMYFUNCTION("""COMPUTED_VALUE"""),8.0)</f>
        <v>8</v>
      </c>
      <c r="F60" s="153">
        <f>IFERROR(__xludf.DUMMYFUNCTION("""COMPUTED_VALUE"""),2.0)</f>
        <v>2</v>
      </c>
      <c r="G60" s="153"/>
      <c r="H60" s="154">
        <f>IFERROR(__xludf.DUMMYFUNCTION("""COMPUTED_VALUE"""),10.0)</f>
        <v>10</v>
      </c>
      <c r="I60" s="160">
        <f>IFERROR(__xludf.DUMMYFUNCTION("""COMPUTED_VALUE"""),0.0)</f>
        <v>0</v>
      </c>
      <c r="J60" s="156">
        <f>IFERROR(__xludf.DUMMYFUNCTION("""COMPUTED_VALUE"""),10.0)</f>
        <v>10</v>
      </c>
      <c r="K60" s="155"/>
      <c r="L60" s="159">
        <f>IFERROR(__xludf.DUMMYFUNCTION("""COMPUTED_VALUE"""),10.0)</f>
        <v>10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"/>
    </row>
    <row r="61" ht="24.75" customHeight="1">
      <c r="A61" s="152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153">
        <f>IFERROR(__xludf.DUMMYFUNCTION("""COMPUTED_VALUE"""),8.0)</f>
        <v>8</v>
      </c>
      <c r="F61" s="153">
        <f>IFERROR(__xludf.DUMMYFUNCTION("""COMPUTED_VALUE"""),2.0)</f>
        <v>2</v>
      </c>
      <c r="G61" s="153"/>
      <c r="H61" s="154">
        <f>IFERROR(__xludf.DUMMYFUNCTION("""COMPUTED_VALUE"""),10.0)</f>
        <v>10</v>
      </c>
      <c r="I61" s="160">
        <f>IFERROR(__xludf.DUMMYFUNCTION("""COMPUTED_VALUE"""),2.0)</f>
        <v>2</v>
      </c>
      <c r="J61" s="156">
        <f>IFERROR(__xludf.DUMMYFUNCTION("""COMPUTED_VALUE"""),10.0)</f>
        <v>10</v>
      </c>
      <c r="K61" s="155"/>
      <c r="L61" s="159">
        <f>IFERROR(__xludf.DUMMYFUNCTION("""COMPUTED_VALUE"""),10.0)</f>
        <v>10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"/>
    </row>
    <row r="62" ht="24.75" customHeight="1">
      <c r="A62" s="152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153">
        <f>IFERROR(__xludf.DUMMYFUNCTION("""COMPUTED_VALUE"""),8.0)</f>
        <v>8</v>
      </c>
      <c r="F62" s="153">
        <f>IFERROR(__xludf.DUMMYFUNCTION("""COMPUTED_VALUE"""),2.0)</f>
        <v>2</v>
      </c>
      <c r="G62" s="153"/>
      <c r="H62" s="154">
        <f>IFERROR(__xludf.DUMMYFUNCTION("""COMPUTED_VALUE"""),10.0)</f>
        <v>10</v>
      </c>
      <c r="I62" s="160">
        <f>IFERROR(__xludf.DUMMYFUNCTION("""COMPUTED_VALUE"""),0.0)</f>
        <v>0</v>
      </c>
      <c r="J62" s="156">
        <f>IFERROR(__xludf.DUMMYFUNCTION("""COMPUTED_VALUE"""),10.0)</f>
        <v>10</v>
      </c>
      <c r="K62" s="155"/>
      <c r="L62" s="159">
        <f>IFERROR(__xludf.DUMMYFUNCTION("""COMPUTED_VALUE"""),10.0)</f>
        <v>10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"/>
    </row>
    <row r="63" ht="24.75" customHeight="1">
      <c r="A63" s="152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153">
        <f>IFERROR(__xludf.DUMMYFUNCTION("""COMPUTED_VALUE"""),8.0)</f>
        <v>8</v>
      </c>
      <c r="F63" s="153">
        <f>IFERROR(__xludf.DUMMYFUNCTION("""COMPUTED_VALUE"""),2.0)</f>
        <v>2</v>
      </c>
      <c r="G63" s="153"/>
      <c r="H63" s="154">
        <f>IFERROR(__xludf.DUMMYFUNCTION("""COMPUTED_VALUE"""),10.0)</f>
        <v>10</v>
      </c>
      <c r="I63" s="160">
        <f>IFERROR(__xludf.DUMMYFUNCTION("""COMPUTED_VALUE"""),0.0)</f>
        <v>0</v>
      </c>
      <c r="J63" s="156">
        <f>IFERROR(__xludf.DUMMYFUNCTION("""COMPUTED_VALUE"""),10.0)</f>
        <v>10</v>
      </c>
      <c r="K63" s="155"/>
      <c r="L63" s="159">
        <f>IFERROR(__xludf.DUMMYFUNCTION("""COMPUTED_VALUE"""),10.0)</f>
        <v>10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"/>
    </row>
    <row r="64" ht="24.75" customHeight="1">
      <c r="A64" s="124"/>
      <c r="B64" s="161"/>
      <c r="C64" s="161"/>
      <c r="D64" s="125"/>
      <c r="E64" s="162"/>
      <c r="F64" s="162"/>
      <c r="G64" s="162"/>
      <c r="H64" s="162"/>
      <c r="I64" s="130"/>
      <c r="J64" s="163"/>
      <c r="K64" s="126"/>
      <c r="L64" s="163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"/>
    </row>
    <row r="65" ht="24.75" customHeight="1">
      <c r="A65" s="119"/>
      <c r="B65" s="164" t="str">
        <f>IFERROR(__xludf.DUMMYFUNCTION("""COMPUTED_VALUE"""),"No. DE ALUMNOS INSCRITOS")</f>
        <v>No. DE ALUMNOS INSCRITOS</v>
      </c>
      <c r="C65" s="72"/>
      <c r="D65" s="165">
        <f>IFERROR(__xludf.DUMMYFUNCTION("""COMPUTED_VALUE"""),47.0)</f>
        <v>47</v>
      </c>
      <c r="E65" s="162"/>
      <c r="F65" s="166" t="str">
        <f>IFERROR(__xludf.DUMMYFUNCTION("""COMPUTED_VALUE"""),"FIRMA DEL PROFESOR")</f>
        <v>FIRMA DEL PROFESOR</v>
      </c>
      <c r="G65" s="162"/>
      <c r="H65" s="166" t="str">
        <f>IFERROR(__xludf.DUMMYFUNCTION("""COMPUTED_VALUE"""),"FIRMA DEL ORIENTADOR")</f>
        <v>FIRMA DEL ORIENTADOR</v>
      </c>
      <c r="J65" s="167" t="str">
        <f>IFERROR(__xludf.DUMMYFUNCTION("""COMPUTED_VALUE"""),"Vo. Bo. SUBDIRECCIÓN ESCOLAR")</f>
        <v>Vo. Bo. SUBDIRECCIÓN ESCOLAR</v>
      </c>
      <c r="K65" s="168" t="str">
        <f>IFERROR(__xludf.DUMMYFUNCTION("""COMPUTED_VALUE"""),"REVISADO POR SECRETARIA ESCOLAR ")</f>
        <v>REVISADO POR SECRETARIA ESCOLAR </v>
      </c>
      <c r="L65" s="16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"/>
    </row>
    <row r="66" ht="24.75" customHeight="1">
      <c r="A66" s="119"/>
      <c r="B66" s="169" t="str">
        <f>IFERROR(__xludf.DUMMYFUNCTION("""COMPUTED_VALUE"""),"BAJAS DURANTE EL SEMESTRE")</f>
        <v>BAJAS DURANTE EL SEMESTRE</v>
      </c>
      <c r="C66" s="79"/>
      <c r="D66" s="170">
        <f>IFERROR(__xludf.DUMMYFUNCTION("""COMPUTED_VALUE"""),0.0)</f>
        <v>0</v>
      </c>
      <c r="E66" s="162"/>
      <c r="G66" s="162"/>
      <c r="K66" s="10"/>
      <c r="L66" s="16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"/>
    </row>
    <row r="67" ht="24.75" customHeight="1">
      <c r="A67" s="119"/>
      <c r="B67" s="169" t="str">
        <f>IFERROR(__xludf.DUMMYFUNCTION("""COMPUTED_VALUE"""),"EXISTENCIA")</f>
        <v>EXISTENCIA</v>
      </c>
      <c r="C67" s="79"/>
      <c r="D67" s="171">
        <f>IFERROR(__xludf.DUMMYFUNCTION("""COMPUTED_VALUE"""),47.0)</f>
        <v>47</v>
      </c>
      <c r="E67" s="162"/>
      <c r="F67" s="162"/>
      <c r="G67" s="162"/>
      <c r="H67" s="162"/>
      <c r="I67" s="130"/>
      <c r="J67" s="163"/>
      <c r="K67" s="126"/>
      <c r="L67" s="16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"/>
    </row>
    <row r="68" ht="24.75" customHeight="1">
      <c r="A68" s="119"/>
      <c r="B68" s="169" t="str">
        <f>IFERROR(__xludf.DUMMYFUNCTION("""COMPUTED_VALUE"""),"No. DE ALUMNOS APROBADOS")</f>
        <v>No. DE ALUMNOS APROBADOS</v>
      </c>
      <c r="C68" s="79"/>
      <c r="D68" s="172">
        <f>IFERROR(__xludf.DUMMYFUNCTION("""COMPUTED_VALUE"""),44.0)</f>
        <v>44</v>
      </c>
      <c r="E68" s="162"/>
      <c r="F68" s="162"/>
      <c r="G68" s="162"/>
      <c r="H68" s="162"/>
      <c r="I68" s="130"/>
      <c r="J68" s="163"/>
      <c r="K68" s="126"/>
      <c r="L68" s="16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"/>
    </row>
    <row r="69" ht="13.5" customHeight="1">
      <c r="A69" s="119"/>
      <c r="B69" s="169" t="str">
        <f>IFERROR(__xludf.DUMMYFUNCTION("""COMPUTED_VALUE"""),"No. DE ALUMNOS REPROBADOS")</f>
        <v>No. DE ALUMNOS REPROBADOS</v>
      </c>
      <c r="C69" s="79"/>
      <c r="D69" s="172">
        <f>IFERROR(__xludf.DUMMYFUNCTION("""COMPUTED_VALUE"""),3.0)</f>
        <v>3</v>
      </c>
      <c r="E69" s="130"/>
      <c r="F69" s="173"/>
      <c r="G69" s="125"/>
      <c r="H69" s="173"/>
      <c r="I69" s="173"/>
      <c r="J69" s="174"/>
      <c r="K69" s="175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"/>
    </row>
    <row r="70" ht="21.75" customHeight="1">
      <c r="A70" s="176"/>
      <c r="B70" s="169" t="str">
        <f>IFERROR(__xludf.DUMMYFUNCTION("""COMPUTED_VALUE"""),"% DE APROBADOS")</f>
        <v>% DE APROBADOS</v>
      </c>
      <c r="C70" s="79"/>
      <c r="D70" s="177">
        <f>IFERROR(__xludf.DUMMYFUNCTION("""COMPUTED_VALUE"""),93.61702127659575)</f>
        <v>93.61702128</v>
      </c>
      <c r="E70" s="125"/>
      <c r="F70" s="178" t="str">
        <f>IFERROR(__xludf.DUMMYFUNCTION("""COMPUTED_VALUE"""),"PROFR. ")</f>
        <v>PROFR. </v>
      </c>
      <c r="G70" s="128"/>
      <c r="H70" s="179" t="str">
        <f>IFERROR(__xludf.DUMMYFUNCTION("""COMPUTED_VALUE"""),"PROFA. JUANA RANGEL PALACIOS")</f>
        <v>PROFA. JUANA RANGEL PALACIOS</v>
      </c>
      <c r="J70" s="180" t="str">
        <f>IFERROR(__xludf.DUMMYFUNCTION("""COMPUTED_VALUE"""),"PROFR. OCTAVIO VÁZQUEZ BARRETO")</f>
        <v>PROFR. OCTAVIO VÁZQUEZ BARRETO</v>
      </c>
      <c r="K70" s="181" t="str">
        <f>IFERROR(__xludf.DUMMYFUNCTION("""COMPUTED_VALUE"""),"PROFR. ROBERTO PALOMARES MEJÍA ")</f>
        <v>PROFR. ROBERTO PALOMARES MEJÍA </v>
      </c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"/>
    </row>
    <row r="71" ht="21.75" customHeight="1">
      <c r="A71" s="176"/>
      <c r="B71" s="182" t="str">
        <f>IFERROR(__xludf.DUMMYFUNCTION("""COMPUTED_VALUE"""),"PROMEDIO")</f>
        <v>PROMEDIO</v>
      </c>
      <c r="C71" s="97"/>
      <c r="D71" s="183">
        <f>IFERROR(__xludf.DUMMYFUNCTION("""COMPUTED_VALUE"""),9.063829787234043)</f>
        <v>9.063829787</v>
      </c>
      <c r="E71" s="125"/>
      <c r="G71" s="128"/>
      <c r="K71" s="10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"/>
    </row>
    <row r="72" ht="21.75" customHeight="1">
      <c r="A72" s="184"/>
      <c r="B72" s="119"/>
      <c r="C72" s="119"/>
      <c r="D72" s="119"/>
      <c r="E72" s="119"/>
      <c r="F72" s="119"/>
      <c r="G72" s="119"/>
      <c r="H72" s="119"/>
      <c r="I72" s="119"/>
      <c r="J72" s="119"/>
      <c r="K72" s="126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"/>
    </row>
    <row r="73" ht="21.75" customHeight="1">
      <c r="A73" s="185"/>
      <c r="B73" s="186"/>
      <c r="C73" s="187"/>
      <c r="D73" s="188"/>
      <c r="E73" s="125"/>
      <c r="G73" s="125"/>
      <c r="H73" s="125"/>
      <c r="I73" s="125"/>
      <c r="J73" s="125"/>
      <c r="K73" s="189"/>
      <c r="L73" s="125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"/>
    </row>
    <row r="74" ht="21.75" customHeight="1">
      <c r="A74" s="190"/>
      <c r="B74" s="125"/>
      <c r="C74" s="125"/>
      <c r="D74" s="161"/>
      <c r="E74" s="125"/>
      <c r="F74" s="119"/>
      <c r="G74" s="119"/>
      <c r="H74" s="119"/>
      <c r="I74" s="119"/>
      <c r="J74" s="119"/>
      <c r="K74" s="126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"/>
    </row>
    <row r="75" ht="27.75" customHeight="1">
      <c r="A75" s="190"/>
      <c r="B75" s="125"/>
      <c r="C75" s="125"/>
      <c r="D75" s="191"/>
      <c r="E75" s="125"/>
      <c r="F75" s="192"/>
      <c r="G75" s="119"/>
      <c r="H75" s="192"/>
      <c r="I75" s="192"/>
      <c r="J75" s="192"/>
      <c r="K75" s="193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"/>
    </row>
    <row r="76" ht="21.75" customHeight="1">
      <c r="A76" s="194"/>
      <c r="B76" s="195"/>
      <c r="C76" s="195"/>
      <c r="D76" s="196"/>
      <c r="E76" s="197"/>
      <c r="F76" s="198"/>
      <c r="G76" s="199"/>
      <c r="H76" s="198"/>
      <c r="I76" s="198"/>
      <c r="J76" s="198"/>
      <c r="K76" s="200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"/>
    </row>
    <row r="77" ht="13.5" customHeight="1">
      <c r="A77" s="119"/>
      <c r="B77" s="125"/>
      <c r="C77" s="125"/>
      <c r="D77" s="125"/>
      <c r="E77" s="125"/>
      <c r="F77" s="119"/>
      <c r="G77" s="119"/>
      <c r="H77" s="119"/>
      <c r="I77" s="119"/>
      <c r="J77" s="128"/>
      <c r="K77" s="128"/>
      <c r="L77" s="128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"/>
    </row>
    <row r="78" ht="13.5" customHeight="1">
      <c r="A78" s="119"/>
      <c r="B78" s="125"/>
      <c r="C78" s="125"/>
      <c r="D78" s="125"/>
      <c r="E78" s="125"/>
      <c r="F78" s="119"/>
      <c r="G78" s="119"/>
      <c r="H78" s="119"/>
      <c r="I78" s="119"/>
      <c r="J78" s="128"/>
      <c r="K78" s="128"/>
      <c r="L78" s="12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"/>
    </row>
    <row r="79" ht="13.5" customHeight="1">
      <c r="A79" s="119"/>
      <c r="B79" s="125"/>
      <c r="C79" s="125"/>
      <c r="D79" s="125"/>
      <c r="E79" s="125"/>
      <c r="F79" s="119"/>
      <c r="G79" s="119"/>
      <c r="H79" s="119"/>
      <c r="I79" s="119"/>
      <c r="J79" s="128"/>
      <c r="K79" s="128"/>
      <c r="L79" s="12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"/>
    </row>
    <row r="80" ht="13.5" customHeight="1">
      <c r="A80" s="119"/>
      <c r="B80" s="125"/>
      <c r="C80" s="125"/>
      <c r="D80" s="125"/>
      <c r="E80" s="125"/>
      <c r="F80" s="119"/>
      <c r="G80" s="119"/>
      <c r="H80" s="119"/>
      <c r="I80" s="119"/>
      <c r="J80" s="128"/>
      <c r="K80" s="128"/>
      <c r="L80" s="12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"/>
    </row>
    <row r="81" ht="13.5" customHeight="1">
      <c r="A81" s="119"/>
      <c r="B81" s="125"/>
      <c r="C81" s="125"/>
      <c r="D81" s="125"/>
      <c r="E81" s="125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"/>
    </row>
    <row r="82" ht="14.25" customHeight="1">
      <c r="A82" s="119"/>
      <c r="B82" s="125"/>
      <c r="C82" s="125"/>
      <c r="D82" s="125"/>
      <c r="E82" s="125"/>
      <c r="F82" s="119"/>
      <c r="G82" s="119"/>
      <c r="H82" s="119"/>
      <c r="I82" s="119"/>
      <c r="J82" s="119"/>
      <c r="K82" s="163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"/>
    </row>
    <row r="83" ht="14.25" customHeight="1">
      <c r="A83" s="119"/>
      <c r="B83" s="125"/>
      <c r="C83" s="125"/>
      <c r="D83" s="125"/>
      <c r="E83" s="125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"/>
    </row>
    <row r="84" ht="14.25" customHeight="1">
      <c r="A84" s="119"/>
      <c r="B84" s="125"/>
      <c r="C84" s="125"/>
      <c r="D84" s="125"/>
      <c r="E84" s="12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"/>
    </row>
    <row r="85" ht="14.25" customHeight="1">
      <c r="A85" s="119"/>
      <c r="B85" s="125"/>
      <c r="C85" s="125"/>
      <c r="D85" s="125"/>
      <c r="E85" s="12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"/>
    </row>
    <row r="86" ht="14.25" customHeight="1">
      <c r="A86" s="119"/>
      <c r="B86" s="125"/>
      <c r="C86" s="125"/>
      <c r="D86" s="125"/>
      <c r="E86" s="12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"/>
    </row>
    <row r="87" ht="14.25" customHeight="1">
      <c r="A87" s="119"/>
      <c r="B87" s="125"/>
      <c r="C87" s="125"/>
      <c r="D87" s="125"/>
      <c r="E87" s="125"/>
      <c r="F87" s="119"/>
      <c r="G87" s="119"/>
      <c r="H87" s="119"/>
      <c r="I87" s="119"/>
      <c r="J87" s="119"/>
      <c r="K87" s="163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"/>
    </row>
    <row r="88" ht="14.25" customHeight="1">
      <c r="A88" s="119"/>
      <c r="B88" s="125"/>
      <c r="C88" s="125"/>
      <c r="D88" s="125"/>
      <c r="E88" s="125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"/>
    </row>
    <row r="94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"/>
    </row>
    <row r="95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"/>
    </row>
    <row r="9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"/>
    </row>
    <row r="97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"/>
    </row>
    <row r="98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"/>
    </row>
    <row r="99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"/>
    </row>
    <row r="100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"/>
    </row>
    <row r="101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"/>
    </row>
    <row r="102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"/>
    </row>
    <row r="103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"/>
    </row>
    <row r="104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"/>
    </row>
    <row r="105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"/>
    </row>
    <row r="10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"/>
    </row>
    <row r="107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"/>
    </row>
    <row r="108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"/>
    </row>
    <row r="109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"/>
    </row>
    <row r="110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"/>
    </row>
    <row r="111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"/>
    </row>
    <row r="112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"/>
    </row>
    <row r="113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"/>
    </row>
    <row r="114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"/>
    </row>
    <row r="115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"/>
    </row>
    <row r="11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"/>
    </row>
    <row r="117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"/>
    </row>
    <row r="118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"/>
    </row>
    <row r="119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"/>
    </row>
    <row r="120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"/>
    </row>
    <row r="121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"/>
    </row>
    <row r="122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"/>
    </row>
    <row r="123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"/>
    </row>
    <row r="124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"/>
    </row>
    <row r="125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"/>
    </row>
    <row r="1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"/>
    </row>
    <row r="127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"/>
    </row>
    <row r="128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"/>
    </row>
    <row r="129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"/>
    </row>
    <row r="130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"/>
    </row>
    <row r="131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"/>
    </row>
    <row r="132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"/>
    </row>
    <row r="133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"/>
    </row>
    <row r="134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"/>
    </row>
    <row r="135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"/>
    </row>
    <row r="13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"/>
    </row>
    <row r="137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"/>
    </row>
    <row r="138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"/>
    </row>
    <row r="139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"/>
    </row>
    <row r="140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"/>
    </row>
    <row r="141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"/>
    </row>
    <row r="142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"/>
    </row>
    <row r="143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"/>
    </row>
    <row r="144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"/>
    </row>
    <row r="145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"/>
    </row>
    <row r="14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"/>
    </row>
    <row r="147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"/>
    </row>
    <row r="148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"/>
    </row>
    <row r="149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"/>
    </row>
    <row r="150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"/>
    </row>
    <row r="151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"/>
    </row>
    <row r="152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"/>
    </row>
    <row r="153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"/>
    </row>
    <row r="154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"/>
    </row>
    <row r="155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"/>
    </row>
    <row r="15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"/>
    </row>
    <row r="157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"/>
    </row>
    <row r="158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"/>
    </row>
    <row r="159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"/>
    </row>
    <row r="160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"/>
    </row>
    <row r="161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"/>
    </row>
    <row r="162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"/>
    </row>
    <row r="163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"/>
    </row>
    <row r="164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"/>
    </row>
    <row r="165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"/>
    </row>
    <row r="16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"/>
    </row>
    <row r="167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"/>
    </row>
    <row r="168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"/>
    </row>
    <row r="169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"/>
    </row>
    <row r="170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"/>
    </row>
    <row r="171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"/>
    </row>
    <row r="172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"/>
    </row>
    <row r="173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"/>
    </row>
    <row r="174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"/>
    </row>
    <row r="175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"/>
    </row>
    <row r="17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"/>
    </row>
    <row r="177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"/>
    </row>
    <row r="178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"/>
    </row>
    <row r="179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"/>
    </row>
    <row r="180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"/>
    </row>
    <row r="181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"/>
    </row>
    <row r="182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"/>
    </row>
    <row r="183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"/>
    </row>
    <row r="184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"/>
    </row>
    <row r="185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"/>
    </row>
    <row r="18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"/>
    </row>
    <row r="187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"/>
    </row>
    <row r="188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"/>
    </row>
    <row r="189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"/>
    </row>
    <row r="190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"/>
    </row>
    <row r="191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"/>
    </row>
    <row r="192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"/>
    </row>
    <row r="193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"/>
    </row>
    <row r="194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"/>
    </row>
    <row r="195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"/>
    </row>
    <row r="19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"/>
    </row>
    <row r="197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"/>
    </row>
    <row r="198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"/>
    </row>
    <row r="199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"/>
    </row>
    <row r="200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"/>
    </row>
    <row r="201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"/>
    </row>
    <row r="202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"/>
    </row>
    <row r="203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"/>
    </row>
    <row r="204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"/>
    </row>
    <row r="205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"/>
    </row>
    <row r="20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"/>
    </row>
    <row r="207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"/>
    </row>
    <row r="208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"/>
    </row>
    <row r="209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"/>
    </row>
    <row r="210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"/>
    </row>
    <row r="211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"/>
    </row>
    <row r="212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"/>
    </row>
    <row r="213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"/>
    </row>
    <row r="214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"/>
    </row>
    <row r="215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"/>
    </row>
    <row r="21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"/>
    </row>
    <row r="217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"/>
    </row>
    <row r="218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"/>
    </row>
    <row r="219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"/>
    </row>
    <row r="220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"/>
    </row>
    <row r="221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"/>
    </row>
    <row r="222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"/>
    </row>
    <row r="223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"/>
    </row>
    <row r="224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"/>
    </row>
    <row r="225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"/>
    </row>
    <row r="2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"/>
    </row>
    <row r="227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"/>
    </row>
    <row r="228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"/>
    </row>
    <row r="229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"/>
    </row>
    <row r="230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"/>
    </row>
    <row r="231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"/>
    </row>
    <row r="232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"/>
    </row>
    <row r="233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"/>
    </row>
    <row r="234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"/>
    </row>
    <row r="235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"/>
    </row>
    <row r="23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"/>
    </row>
    <row r="237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"/>
    </row>
    <row r="238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"/>
    </row>
    <row r="239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"/>
    </row>
    <row r="240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"/>
    </row>
    <row r="241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"/>
    </row>
    <row r="242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"/>
    </row>
    <row r="243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"/>
    </row>
    <row r="244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"/>
    </row>
    <row r="245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"/>
    </row>
    <row r="24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"/>
    </row>
    <row r="247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"/>
    </row>
    <row r="248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"/>
    </row>
    <row r="249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"/>
    </row>
    <row r="250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"/>
    </row>
    <row r="251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"/>
    </row>
    <row r="252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"/>
    </row>
    <row r="253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"/>
    </row>
    <row r="254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"/>
    </row>
    <row r="255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"/>
    </row>
    <row r="25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"/>
    </row>
    <row r="257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"/>
    </row>
    <row r="258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"/>
    </row>
    <row r="259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"/>
    </row>
    <row r="260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"/>
    </row>
    <row r="261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"/>
    </row>
    <row r="262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"/>
    </row>
    <row r="263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"/>
    </row>
    <row r="264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"/>
    </row>
    <row r="265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"/>
    </row>
    <row r="26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"/>
    </row>
    <row r="267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"/>
    </row>
    <row r="268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"/>
    </row>
    <row r="269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"/>
    </row>
    <row r="270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"/>
    </row>
    <row r="271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"/>
    </row>
    <row r="272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"/>
    </row>
    <row r="273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"/>
    </row>
    <row r="274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"/>
    </row>
    <row r="275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</row>
    <row r="27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8 K17:K66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19" t="str">
        <f>IFERROR(__xludf.DUMMYFUNCTION("IMPORTRANGE(""https://docs.google.com/spreadsheets/d/1kRJKytZQ5fwrfF3Y5cMA-yFz-Gp9hsVFk0JQwKHtgUs/edit?gid=530128020#gid=530128020"",""2-3 comunidades virtuales !A1:Q85"")"),"")</f>
        <v/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"/>
    </row>
    <row r="2" ht="15.0" customHeight="1">
      <c r="A2" s="120"/>
      <c r="B2" s="121"/>
      <c r="C2" s="121"/>
      <c r="D2" s="121"/>
      <c r="E2" s="122"/>
      <c r="F2" s="122"/>
      <c r="G2" s="122"/>
      <c r="H2" s="122"/>
      <c r="I2" s="122"/>
      <c r="J2" s="122"/>
      <c r="K2" s="123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"/>
    </row>
    <row r="3" ht="15.0" customHeight="1">
      <c r="A3" s="124"/>
      <c r="B3" s="125"/>
      <c r="C3" s="125"/>
      <c r="D3" s="125"/>
      <c r="E3" s="119"/>
      <c r="F3" s="119"/>
      <c r="G3" s="119"/>
      <c r="H3" s="119"/>
      <c r="I3" s="119"/>
      <c r="J3" s="119"/>
      <c r="K3" s="126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"/>
    </row>
    <row r="4" ht="15.0" customHeight="1">
      <c r="A4" s="124"/>
      <c r="B4" s="125"/>
      <c r="C4" s="125"/>
      <c r="D4" s="125"/>
      <c r="E4" s="119"/>
      <c r="F4" s="119"/>
      <c r="G4" s="119"/>
      <c r="H4" s="119"/>
      <c r="I4" s="119"/>
      <c r="J4" s="119"/>
      <c r="K4" s="12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"/>
    </row>
    <row r="5" ht="15.0" customHeight="1">
      <c r="A5" s="124"/>
      <c r="B5" s="125"/>
      <c r="C5" s="125"/>
      <c r="D5" s="125"/>
      <c r="E5" s="119"/>
      <c r="F5" s="119"/>
      <c r="G5" s="119"/>
      <c r="H5" s="119"/>
      <c r="I5" s="119"/>
      <c r="J5" s="119"/>
      <c r="K5" s="12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"/>
    </row>
    <row r="6" ht="15.0" customHeight="1">
      <c r="A6" s="124"/>
      <c r="B6" s="125"/>
      <c r="C6" s="125"/>
      <c r="D6" s="125"/>
      <c r="E6" s="119"/>
      <c r="F6" s="119"/>
      <c r="G6" s="119"/>
      <c r="H6" s="119"/>
      <c r="I6" s="119"/>
      <c r="J6" s="119"/>
      <c r="K6" s="126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"/>
    </row>
    <row r="7" ht="15.0" customHeight="1">
      <c r="A7" s="124"/>
      <c r="B7" s="125"/>
      <c r="C7" s="125"/>
      <c r="D7" s="125"/>
      <c r="E7" s="119"/>
      <c r="F7" s="119"/>
      <c r="G7" s="119"/>
      <c r="H7" s="119"/>
      <c r="I7" s="119"/>
      <c r="J7" s="119"/>
      <c r="K7" s="126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"/>
    </row>
    <row r="8" ht="9.75" customHeight="1">
      <c r="A8" s="124"/>
      <c r="B8" s="125"/>
      <c r="C8" s="125"/>
      <c r="D8" s="125"/>
      <c r="E8" s="119"/>
      <c r="F8" s="119"/>
      <c r="G8" s="119"/>
      <c r="H8" s="119"/>
      <c r="I8" s="119"/>
      <c r="J8" s="119"/>
      <c r="K8" s="126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"/>
    </row>
    <row r="9" ht="23.25" customHeight="1">
      <c r="A9" s="127" t="str">
        <f>IFERROR(__xludf.DUMMYFUNCTION("""COMPUTED_VALUE"""),"ESCUELA PREPARATORIA OFICIAL NÚM. 67")</f>
        <v>ESCUELA PREPARATORIA OFICIAL NÚM. 67</v>
      </c>
      <c r="K9" s="10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"/>
    </row>
    <row r="10" ht="9.75" customHeight="1">
      <c r="A10" s="124"/>
      <c r="B10" s="125"/>
      <c r="C10" s="125"/>
      <c r="D10" s="125"/>
      <c r="E10" s="128"/>
      <c r="K10" s="10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"/>
    </row>
    <row r="11" ht="19.5" customHeight="1">
      <c r="A11" s="124"/>
      <c r="B11" s="129" t="str">
        <f>IFERROR(__xludf.DUMMYFUNCTION("""COMPUTED_VALUE"""),"CONTROL PRIMER PARCIAL ")</f>
        <v>CONTROL PRIMER PARCIAL </v>
      </c>
      <c r="C11" s="130"/>
      <c r="D11" s="130"/>
      <c r="E11" s="119"/>
      <c r="F11" s="119"/>
      <c r="G11" s="119"/>
      <c r="H11" s="119"/>
      <c r="I11" s="119"/>
      <c r="J11" s="119"/>
      <c r="K11" s="12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"/>
    </row>
    <row r="12" ht="12.75" customHeight="1">
      <c r="A12" s="124"/>
      <c r="B12" s="125"/>
      <c r="C12" s="125"/>
      <c r="D12" s="125"/>
      <c r="E12" s="119"/>
      <c r="F12" s="119"/>
      <c r="G12" s="119"/>
      <c r="H12" s="119"/>
      <c r="I12" s="119"/>
      <c r="J12" s="119"/>
      <c r="K12" s="12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"/>
    </row>
    <row r="13" ht="32.25" customHeight="1">
      <c r="A13" s="131" t="str">
        <f>IFERROR(__xludf.DUMMYFUNCTION("""COMPUTED_VALUE"""),"PROFESOR (A): ")</f>
        <v>PROFESOR (A): </v>
      </c>
      <c r="B13" s="17"/>
      <c r="C13" s="132"/>
      <c r="D13" s="17"/>
      <c r="E13" s="133" t="str">
        <f>IFERROR(__xludf.DUMMYFUNCTION("""COMPUTED_VALUE"""),"II")</f>
        <v>II</v>
      </c>
      <c r="F13" s="133" t="str">
        <f>IFERROR(__xludf.DUMMYFUNCTION("""COMPUTED_VALUE"""),"III")</f>
        <v>III</v>
      </c>
      <c r="G13" s="134" t="str">
        <f>IFERROR(__xludf.DUMMYFUNCTION("""COMPUTED_VALUE"""),"PUNTAJE EXTRA")</f>
        <v>PUNTAJE EXTRA</v>
      </c>
      <c r="H13" s="135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"/>
    </row>
    <row r="14" ht="35.25" customHeight="1">
      <c r="A14" s="136" t="str">
        <f>IFERROR(__xludf.DUMMYFUNCTION("""COMPUTED_VALUE"""),"UAC")</f>
        <v>UAC</v>
      </c>
      <c r="B14" s="137" t="str">
        <f>IFERROR(__xludf.DUMMYFUNCTION("""COMPUTED_VALUE"""),"COMUNIDADES VIRTUALES")</f>
        <v>COMUNIDADES VIRTUALES</v>
      </c>
      <c r="C14" s="27"/>
      <c r="D14" s="28"/>
      <c r="E14" s="138" t="str">
        <f>IFERROR(__xludf.DUMMYFUNCTION("""COMPUTED_VALUE"""),"Evaluación continua 80%")</f>
        <v>Evaluación continua 80%</v>
      </c>
      <c r="F14" s="139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"/>
    </row>
    <row r="15" ht="24.75" customHeight="1">
      <c r="A15" s="140" t="str">
        <f>IFERROR(__xludf.DUMMYFUNCTION("""COMPUTED_VALUE"""),"GRADO")</f>
        <v>GRADO</v>
      </c>
      <c r="B15" s="141" t="str">
        <f>IFERROR(__xludf.DUMMYFUNCTION("""COMPUTED_VALUE"""),"2°")</f>
        <v>2°</v>
      </c>
      <c r="C15" s="142" t="str">
        <f>IFERROR(__xludf.DUMMYFUNCTION("""COMPUTED_VALUE"""),"GRUPO")</f>
        <v>GRUPO</v>
      </c>
      <c r="D15" s="143">
        <f>IFERROR(__xludf.DUMMYFUNCTION("""COMPUTED_VALUE"""),3.0)</f>
        <v>3</v>
      </c>
      <c r="E15" s="32"/>
      <c r="F15" s="32"/>
      <c r="G15" s="39"/>
      <c r="H15" s="144"/>
      <c r="I15" s="145"/>
      <c r="J15" s="27"/>
      <c r="K15" s="42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"/>
    </row>
    <row r="16" ht="40.5" customHeight="1">
      <c r="A16" s="146" t="str">
        <f>IFERROR(__xludf.DUMMYFUNCTION("""COMPUTED_VALUE"""),"No.")</f>
        <v>No.</v>
      </c>
      <c r="B16" s="147" t="str">
        <f>IFERROR(__xludf.DUMMYFUNCTION("""COMPUTED_VALUE"""),"NOMBRE DEL ALUMNO")</f>
        <v>NOMBRE DEL ALUMNO</v>
      </c>
      <c r="C16" s="27"/>
      <c r="D16" s="28"/>
      <c r="E16" s="46"/>
      <c r="F16" s="46"/>
      <c r="G16" s="148"/>
      <c r="H16" s="149" t="str">
        <f>IFERROR(__xludf.DUMMYFUNCTION("""COMPUTED_VALUE"""),"Suma")</f>
        <v>Suma</v>
      </c>
      <c r="I16" s="150" t="str">
        <f>IFERROR(__xludf.DUMMYFUNCTION("""COMPUTED_VALUE"""),"Faltas")</f>
        <v>Faltas</v>
      </c>
      <c r="J16" s="150" t="str">
        <f>IFERROR(__xludf.DUMMYFUNCTION("""COMPUTED_VALUE"""),"Calificación Definitiva")</f>
        <v>Calificación Definitiva</v>
      </c>
      <c r="K16" s="151" t="str">
        <f>IFERROR(__xludf.DUMMYFUNCTION("""COMPUTED_VALUE"""),"FIRMA")</f>
        <v>FIRMA</v>
      </c>
      <c r="L16" s="150" t="str">
        <f>IFERROR(__xludf.DUMMYFUNCTION("""COMPUTED_VALUE"""),"Calificación Definitiva")</f>
        <v>Calificación Definitiva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"/>
    </row>
    <row r="17" ht="24.75" customHeight="1">
      <c r="A17" s="152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153">
        <f>IFERROR(__xludf.DUMMYFUNCTION("""COMPUTED_VALUE"""),8.0)</f>
        <v>8</v>
      </c>
      <c r="F17" s="153">
        <f>IFERROR(__xludf.DUMMYFUNCTION("""COMPUTED_VALUE"""),2.0)</f>
        <v>2</v>
      </c>
      <c r="G17" s="153"/>
      <c r="H17" s="154">
        <f>IFERROR(__xludf.DUMMYFUNCTION("""COMPUTED_VALUE"""),10.0)</f>
        <v>10</v>
      </c>
      <c r="I17" s="155">
        <f>IFERROR(__xludf.DUMMYFUNCTION("""COMPUTED_VALUE"""),0.0)</f>
        <v>0</v>
      </c>
      <c r="J17" s="156">
        <f>IFERROR(__xludf.DUMMYFUNCTION("""COMPUTED_VALUE"""),10.0)</f>
        <v>10</v>
      </c>
      <c r="K17" s="157"/>
      <c r="L17" s="158">
        <f>IFERROR(__xludf.DUMMYFUNCTION("""COMPUTED_VALUE"""),10.0)</f>
        <v>10</v>
      </c>
      <c r="M17" s="119" t="str">
        <f>IFERROR(__xludf.DUMMYFUNCTION("""COMPUTED_VALUE"""),"HORAS IMPARTIDAS")</f>
        <v>HORAS IMPARTIDAS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"/>
    </row>
    <row r="18" ht="24.75" customHeight="1">
      <c r="A18" s="152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153">
        <f>IFERROR(__xludf.DUMMYFUNCTION("""COMPUTED_VALUE"""),8.0)</f>
        <v>8</v>
      </c>
      <c r="F18" s="153">
        <f>IFERROR(__xludf.DUMMYFUNCTION("""COMPUTED_VALUE"""),2.0)</f>
        <v>2</v>
      </c>
      <c r="G18" s="153"/>
      <c r="H18" s="154">
        <f>IFERROR(__xludf.DUMMYFUNCTION("""COMPUTED_VALUE"""),10.0)</f>
        <v>10</v>
      </c>
      <c r="I18" s="155">
        <f>IFERROR(__xludf.DUMMYFUNCTION("""COMPUTED_VALUE"""),0.0)</f>
        <v>0</v>
      </c>
      <c r="J18" s="156">
        <f>IFERROR(__xludf.DUMMYFUNCTION("""COMPUTED_VALUE"""),10.0)</f>
        <v>10</v>
      </c>
      <c r="K18" s="155"/>
      <c r="L18" s="158">
        <f>IFERROR(__xludf.DUMMYFUNCTION("""COMPUTED_VALUE"""),10.0)</f>
        <v>10</v>
      </c>
      <c r="M18" s="119" t="str">
        <f>IFERROR(__xludf.DUMMYFUNCTION("""COMPUTED_VALUE"""),"Febrero")</f>
        <v>Febrero</v>
      </c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"/>
    </row>
    <row r="19" ht="24.75" customHeight="1">
      <c r="A19" s="152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153">
        <f>IFERROR(__xludf.DUMMYFUNCTION("""COMPUTED_VALUE"""),8.0)</f>
        <v>8</v>
      </c>
      <c r="F19" s="153">
        <f>IFERROR(__xludf.DUMMYFUNCTION("""COMPUTED_VALUE"""),2.0)</f>
        <v>2</v>
      </c>
      <c r="G19" s="153"/>
      <c r="H19" s="154">
        <f>IFERROR(__xludf.DUMMYFUNCTION("""COMPUTED_VALUE"""),10.0)</f>
        <v>10</v>
      </c>
      <c r="I19" s="155">
        <f>IFERROR(__xludf.DUMMYFUNCTION("""COMPUTED_VALUE"""),0.0)</f>
        <v>0</v>
      </c>
      <c r="J19" s="156">
        <f>IFERROR(__xludf.DUMMYFUNCTION("""COMPUTED_VALUE"""),10.0)</f>
        <v>10</v>
      </c>
      <c r="K19" s="155"/>
      <c r="L19" s="158">
        <f>IFERROR(__xludf.DUMMYFUNCTION("""COMPUTED_VALUE"""),10.0)</f>
        <v>10</v>
      </c>
      <c r="M19" s="119" t="str">
        <f>IFERROR(__xludf.DUMMYFUNCTION("""COMPUTED_VALUE"""),"Marzo")</f>
        <v>Marzo</v>
      </c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"/>
    </row>
    <row r="20" ht="24.75" customHeight="1">
      <c r="A20" s="152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153">
        <f>IFERROR(__xludf.DUMMYFUNCTION("""COMPUTED_VALUE"""),7.0)</f>
        <v>7</v>
      </c>
      <c r="F20" s="153">
        <f>IFERROR(__xludf.DUMMYFUNCTION("""COMPUTED_VALUE"""),2.0)</f>
        <v>2</v>
      </c>
      <c r="G20" s="153"/>
      <c r="H20" s="154">
        <f>IFERROR(__xludf.DUMMYFUNCTION("""COMPUTED_VALUE"""),9.0)</f>
        <v>9</v>
      </c>
      <c r="I20" s="155">
        <f>IFERROR(__xludf.DUMMYFUNCTION("""COMPUTED_VALUE"""),0.0)</f>
        <v>0</v>
      </c>
      <c r="J20" s="156">
        <f>IFERROR(__xludf.DUMMYFUNCTION("""COMPUTED_VALUE"""),9.0)</f>
        <v>9</v>
      </c>
      <c r="K20" s="155"/>
      <c r="L20" s="158">
        <f>IFERROR(__xludf.DUMMYFUNCTION("""COMPUTED_VALUE"""),9.0)</f>
        <v>9</v>
      </c>
      <c r="M20" s="119" t="str">
        <f>IFERROR(__xludf.DUMMYFUNCTION("""COMPUTED_VALUE"""),"Abril")</f>
        <v>Abril</v>
      </c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"/>
    </row>
    <row r="21" ht="24.75" customHeight="1">
      <c r="A21" s="152">
        <f>IFERROR(__xludf.DUMMYFUNCTION("""COMPUTED_VALUE"""),5.0)</f>
        <v>5</v>
      </c>
      <c r="B21" s="61" t="str">
        <f>IFERROR(__xludf.DUMMYFUNCTION("""COMPUTED_VALUE"""),"ANGELES")</f>
        <v>ANGELES</v>
      </c>
      <c r="C21" s="62" t="str">
        <f>IFERROR(__xludf.DUMMYFUNCTION("""COMPUTED_VALUE"""),"GARCIA")</f>
        <v>GARCIA</v>
      </c>
      <c r="D21" s="63" t="str">
        <f>IFERROR(__xludf.DUMMYFUNCTION("""COMPUTED_VALUE"""),"RODRIGO HABBIBE")</f>
        <v>RODRIGO HABBIBE</v>
      </c>
      <c r="E21" s="153">
        <f>IFERROR(__xludf.DUMMYFUNCTION("""COMPUTED_VALUE"""),0.0)</f>
        <v>0</v>
      </c>
      <c r="F21" s="153">
        <f>IFERROR(__xludf.DUMMYFUNCTION("""COMPUTED_VALUE"""),0.0)</f>
        <v>0</v>
      </c>
      <c r="G21" s="153"/>
      <c r="H21" s="154">
        <f>IFERROR(__xludf.DUMMYFUNCTION("""COMPUTED_VALUE"""),0.0)</f>
        <v>0</v>
      </c>
      <c r="I21" s="155">
        <f>IFERROR(__xludf.DUMMYFUNCTION("""COMPUTED_VALUE"""),8.0)</f>
        <v>8</v>
      </c>
      <c r="J21" s="156">
        <f>IFERROR(__xludf.DUMMYFUNCTION("""COMPUTED_VALUE"""),5.0)</f>
        <v>5</v>
      </c>
      <c r="K21" s="155"/>
      <c r="L21" s="158">
        <f>IFERROR(__xludf.DUMMYFUNCTION("""COMPUTED_VALUE"""),0.0)</f>
        <v>0</v>
      </c>
      <c r="M21" s="119" t="str">
        <f>IFERROR(__xludf.DUMMYFUNCTION("""COMPUTED_VALUE"""),"Mayo")</f>
        <v>Mayo</v>
      </c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"/>
    </row>
    <row r="22" ht="24.75" customHeight="1">
      <c r="A22" s="152">
        <f>IFERROR(__xludf.DUMMYFUNCTION("""COMPUTED_VALUE"""),6.0)</f>
        <v>6</v>
      </c>
      <c r="B22" s="61" t="str">
        <f>IFERROR(__xludf.DUMMYFUNCTION("""COMPUTED_VALUE"""),"ARECHAVALA")</f>
        <v>ARECHAVALA</v>
      </c>
      <c r="C22" s="62" t="str">
        <f>IFERROR(__xludf.DUMMYFUNCTION("""COMPUTED_VALUE"""),"ESPARZA")</f>
        <v>ESPARZA</v>
      </c>
      <c r="D22" s="63" t="str">
        <f>IFERROR(__xludf.DUMMYFUNCTION("""COMPUTED_VALUE"""),"REGINA")</f>
        <v>REGINA</v>
      </c>
      <c r="E22" s="153">
        <f>IFERROR(__xludf.DUMMYFUNCTION("""COMPUTED_VALUE"""),8.0)</f>
        <v>8</v>
      </c>
      <c r="F22" s="153">
        <f>IFERROR(__xludf.DUMMYFUNCTION("""COMPUTED_VALUE"""),2.0)</f>
        <v>2</v>
      </c>
      <c r="G22" s="153"/>
      <c r="H22" s="154">
        <f>IFERROR(__xludf.DUMMYFUNCTION("""COMPUTED_VALUE"""),10.0)</f>
        <v>10</v>
      </c>
      <c r="I22" s="155">
        <f>IFERROR(__xludf.DUMMYFUNCTION("""COMPUTED_VALUE"""),3.0)</f>
        <v>3</v>
      </c>
      <c r="J22" s="156">
        <f>IFERROR(__xludf.DUMMYFUNCTION("""COMPUTED_VALUE"""),10.0)</f>
        <v>10</v>
      </c>
      <c r="K22" s="155"/>
      <c r="L22" s="158">
        <f>IFERROR(__xludf.DUMMYFUNCTION("""COMPUTED_VALUE"""),10.0)</f>
        <v>10</v>
      </c>
      <c r="M22" s="119" t="str">
        <f>IFERROR(__xludf.DUMMYFUNCTION("""COMPUTED_VALUE"""),"Junio")</f>
        <v>Junio</v>
      </c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"/>
    </row>
    <row r="23" ht="24.75" customHeight="1">
      <c r="A23" s="152">
        <f>IFERROR(__xludf.DUMMYFUNCTION("""COMPUTED_VALUE"""),7.0)</f>
        <v>7</v>
      </c>
      <c r="B23" s="61" t="str">
        <f>IFERROR(__xludf.DUMMYFUNCTION("""COMPUTED_VALUE"""),"BOSQUES")</f>
        <v>BOSQUES</v>
      </c>
      <c r="C23" s="62" t="str">
        <f>IFERROR(__xludf.DUMMYFUNCTION("""COMPUTED_VALUE"""),"CONDE")</f>
        <v>CONDE</v>
      </c>
      <c r="D23" s="63" t="str">
        <f>IFERROR(__xludf.DUMMYFUNCTION("""COMPUTED_VALUE"""),"LUIS ABRAHAM")</f>
        <v>LUIS ABRAHAM</v>
      </c>
      <c r="E23" s="153">
        <f>IFERROR(__xludf.DUMMYFUNCTION("""COMPUTED_VALUE"""),0.0)</f>
        <v>0</v>
      </c>
      <c r="F23" s="153">
        <f>IFERROR(__xludf.DUMMYFUNCTION("""COMPUTED_VALUE"""),2.0)</f>
        <v>2</v>
      </c>
      <c r="G23" s="153"/>
      <c r="H23" s="154">
        <f>IFERROR(__xludf.DUMMYFUNCTION("""COMPUTED_VALUE"""),2.0)</f>
        <v>2</v>
      </c>
      <c r="I23" s="155">
        <f>IFERROR(__xludf.DUMMYFUNCTION("""COMPUTED_VALUE"""),0.0)</f>
        <v>0</v>
      </c>
      <c r="J23" s="156">
        <f>IFERROR(__xludf.DUMMYFUNCTION("""COMPUTED_VALUE"""),5.0)</f>
        <v>5</v>
      </c>
      <c r="K23" s="155"/>
      <c r="L23" s="158">
        <f>IFERROR(__xludf.DUMMYFUNCTION("""COMPUTED_VALUE"""),2.0)</f>
        <v>2</v>
      </c>
      <c r="M23" s="119" t="str">
        <f>IFERROR(__xludf.DUMMYFUNCTION("""COMPUTED_VALUE"""),"Julio")</f>
        <v>Julio</v>
      </c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"/>
    </row>
    <row r="24" ht="24.75" customHeight="1">
      <c r="A24" s="152">
        <f>IFERROR(__xludf.DUMMYFUNCTION("""COMPUTED_VALUE"""),8.0)</f>
        <v>8</v>
      </c>
      <c r="B24" s="61" t="str">
        <f>IFERROR(__xludf.DUMMYFUNCTION("""COMPUTED_VALUE"""),"CARRILLO")</f>
        <v>CARRILLO</v>
      </c>
      <c r="C24" s="62" t="str">
        <f>IFERROR(__xludf.DUMMYFUNCTION("""COMPUTED_VALUE"""),"CARBAJAL")</f>
        <v>CARBAJAL</v>
      </c>
      <c r="D24" s="63" t="str">
        <f>IFERROR(__xludf.DUMMYFUNCTION("""COMPUTED_VALUE"""),"DANIEL ALEXIS")</f>
        <v>DANIEL ALEXIS</v>
      </c>
      <c r="E24" s="153">
        <f>IFERROR(__xludf.DUMMYFUNCTION("""COMPUTED_VALUE"""),8.0)</f>
        <v>8</v>
      </c>
      <c r="F24" s="153">
        <f>IFERROR(__xludf.DUMMYFUNCTION("""COMPUTED_VALUE"""),2.0)</f>
        <v>2</v>
      </c>
      <c r="G24" s="153"/>
      <c r="H24" s="154">
        <f>IFERROR(__xludf.DUMMYFUNCTION("""COMPUTED_VALUE"""),10.0)</f>
        <v>10</v>
      </c>
      <c r="I24" s="155">
        <f>IFERROR(__xludf.DUMMYFUNCTION("""COMPUTED_VALUE"""),0.0)</f>
        <v>0</v>
      </c>
      <c r="J24" s="156">
        <f>IFERROR(__xludf.DUMMYFUNCTION("""COMPUTED_VALUE"""),10.0)</f>
        <v>10</v>
      </c>
      <c r="K24" s="155"/>
      <c r="L24" s="158">
        <f>IFERROR(__xludf.DUMMYFUNCTION("""COMPUTED_VALUE"""),10.0)</f>
        <v>10</v>
      </c>
      <c r="M24" s="119" t="str">
        <f>IFERROR(__xludf.DUMMYFUNCTION("""COMPUTED_VALUE"""),"TOTAL")</f>
        <v>TOTAL</v>
      </c>
      <c r="N24" s="119">
        <f>IFERROR(__xludf.DUMMYFUNCTION("""COMPUTED_VALUE"""),0.0)</f>
        <v>0</v>
      </c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"/>
    </row>
    <row r="25" ht="24.75" customHeight="1">
      <c r="A25" s="152">
        <f>IFERROR(__xludf.DUMMYFUNCTION("""COMPUTED_VALUE"""),9.0)</f>
        <v>9</v>
      </c>
      <c r="B25" s="61" t="str">
        <f>IFERROR(__xludf.DUMMYFUNCTION("""COMPUTED_VALUE"""),"CASTILLO")</f>
        <v>CASTILLO</v>
      </c>
      <c r="C25" s="62" t="str">
        <f>IFERROR(__xludf.DUMMYFUNCTION("""COMPUTED_VALUE"""),"REYES")</f>
        <v>REYES</v>
      </c>
      <c r="D25" s="63" t="str">
        <f>IFERROR(__xludf.DUMMYFUNCTION("""COMPUTED_VALUE"""),"GUSTAVO JULIAN")</f>
        <v>GUSTAVO JULIAN</v>
      </c>
      <c r="E25" s="153">
        <f>IFERROR(__xludf.DUMMYFUNCTION("""COMPUTED_VALUE"""),0.0)</f>
        <v>0</v>
      </c>
      <c r="F25" s="153">
        <f>IFERROR(__xludf.DUMMYFUNCTION("""COMPUTED_VALUE"""),0.0)</f>
        <v>0</v>
      </c>
      <c r="G25" s="153"/>
      <c r="H25" s="154">
        <f>IFERROR(__xludf.DUMMYFUNCTION("""COMPUTED_VALUE"""),0.0)</f>
        <v>0</v>
      </c>
      <c r="I25" s="155">
        <f>IFERROR(__xludf.DUMMYFUNCTION("""COMPUTED_VALUE"""),0.0)</f>
        <v>0</v>
      </c>
      <c r="J25" s="156">
        <f>IFERROR(__xludf.DUMMYFUNCTION("""COMPUTED_VALUE"""),5.0)</f>
        <v>5</v>
      </c>
      <c r="K25" s="155"/>
      <c r="L25" s="158">
        <f>IFERROR(__xludf.DUMMYFUNCTION("""COMPUTED_VALUE"""),0.0)</f>
        <v>0</v>
      </c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"/>
    </row>
    <row r="26" ht="24.75" customHeight="1">
      <c r="A26" s="152">
        <f>IFERROR(__xludf.DUMMYFUNCTION("""COMPUTED_VALUE"""),10.0)</f>
        <v>10</v>
      </c>
      <c r="B26" s="61" t="str">
        <f>IFERROR(__xludf.DUMMYFUNCTION("""COMPUTED_VALUE"""),"CERDA")</f>
        <v>CERDA</v>
      </c>
      <c r="C26" s="62" t="str">
        <f>IFERROR(__xludf.DUMMYFUNCTION("""COMPUTED_VALUE"""),"TOVAR")</f>
        <v>TOVAR</v>
      </c>
      <c r="D26" s="63" t="str">
        <f>IFERROR(__xludf.DUMMYFUNCTION("""COMPUTED_VALUE"""),"ANGEL JORELL")</f>
        <v>ANGEL JORELL</v>
      </c>
      <c r="E26" s="153">
        <f>IFERROR(__xludf.DUMMYFUNCTION("""COMPUTED_VALUE"""),0.0)</f>
        <v>0</v>
      </c>
      <c r="F26" s="153">
        <f>IFERROR(__xludf.DUMMYFUNCTION("""COMPUTED_VALUE"""),0.0)</f>
        <v>0</v>
      </c>
      <c r="G26" s="153"/>
      <c r="H26" s="154">
        <f>IFERROR(__xludf.DUMMYFUNCTION("""COMPUTED_VALUE"""),0.0)</f>
        <v>0</v>
      </c>
      <c r="I26" s="155">
        <f>IFERROR(__xludf.DUMMYFUNCTION("""COMPUTED_VALUE"""),0.0)</f>
        <v>0</v>
      </c>
      <c r="J26" s="156">
        <f>IFERROR(__xludf.DUMMYFUNCTION("""COMPUTED_VALUE"""),5.0)</f>
        <v>5</v>
      </c>
      <c r="K26" s="155"/>
      <c r="L26" s="158">
        <f>IFERROR(__xludf.DUMMYFUNCTION("""COMPUTED_VALUE"""),0.0)</f>
        <v>0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"/>
    </row>
    <row r="27" ht="24.75" customHeight="1">
      <c r="A27" s="152">
        <f>IFERROR(__xludf.DUMMYFUNCTION("""COMPUTED_VALUE"""),11.0)</f>
        <v>11</v>
      </c>
      <c r="B27" s="61" t="str">
        <f>IFERROR(__xludf.DUMMYFUNCTION("""COMPUTED_VALUE"""),"CERVANTES")</f>
        <v>CERVANTES</v>
      </c>
      <c r="C27" s="62" t="str">
        <f>IFERROR(__xludf.DUMMYFUNCTION("""COMPUTED_VALUE"""),"CRISOSTOMO")</f>
        <v>CRISOSTOMO</v>
      </c>
      <c r="D27" s="64" t="str">
        <f>IFERROR(__xludf.DUMMYFUNCTION("""COMPUTED_VALUE"""),"SANTIAGO DAVID")</f>
        <v>SANTIAGO DAVID</v>
      </c>
      <c r="E27" s="153">
        <f>IFERROR(__xludf.DUMMYFUNCTION("""COMPUTED_VALUE"""),4.0)</f>
        <v>4</v>
      </c>
      <c r="F27" s="153">
        <f>IFERROR(__xludf.DUMMYFUNCTION("""COMPUTED_VALUE"""),2.0)</f>
        <v>2</v>
      </c>
      <c r="G27" s="153"/>
      <c r="H27" s="154">
        <f>IFERROR(__xludf.DUMMYFUNCTION("""COMPUTED_VALUE"""),6.0)</f>
        <v>6</v>
      </c>
      <c r="I27" s="155">
        <f>IFERROR(__xludf.DUMMYFUNCTION("""COMPUTED_VALUE"""),0.0)</f>
        <v>0</v>
      </c>
      <c r="J27" s="156">
        <f>IFERROR(__xludf.DUMMYFUNCTION("""COMPUTED_VALUE"""),6.0)</f>
        <v>6</v>
      </c>
      <c r="K27" s="155"/>
      <c r="L27" s="158">
        <f>IFERROR(__xludf.DUMMYFUNCTION("""COMPUTED_VALUE"""),6.0)</f>
        <v>6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"/>
    </row>
    <row r="28" ht="24.75" customHeight="1">
      <c r="A28" s="152">
        <f>IFERROR(__xludf.DUMMYFUNCTION("""COMPUTED_VALUE"""),12.0)</f>
        <v>12</v>
      </c>
      <c r="B28" s="61" t="str">
        <f>IFERROR(__xludf.DUMMYFUNCTION("""COMPUTED_VALUE"""),"CORTEZ")</f>
        <v>CORTEZ</v>
      </c>
      <c r="C28" s="62" t="str">
        <f>IFERROR(__xludf.DUMMYFUNCTION("""COMPUTED_VALUE"""),"BAUTISTA")</f>
        <v>BAUTISTA</v>
      </c>
      <c r="D28" s="63" t="str">
        <f>IFERROR(__xludf.DUMMYFUNCTION("""COMPUTED_VALUE"""),"KAREN")</f>
        <v>KAREN</v>
      </c>
      <c r="E28" s="153">
        <f>IFERROR(__xludf.DUMMYFUNCTION("""COMPUTED_VALUE"""),8.0)</f>
        <v>8</v>
      </c>
      <c r="F28" s="153">
        <f>IFERROR(__xludf.DUMMYFUNCTION("""COMPUTED_VALUE"""),2.0)</f>
        <v>2</v>
      </c>
      <c r="G28" s="153"/>
      <c r="H28" s="154">
        <f>IFERROR(__xludf.DUMMYFUNCTION("""COMPUTED_VALUE"""),10.0)</f>
        <v>10</v>
      </c>
      <c r="I28" s="155">
        <f>IFERROR(__xludf.DUMMYFUNCTION("""COMPUTED_VALUE"""),1.0)</f>
        <v>1</v>
      </c>
      <c r="J28" s="156">
        <f>IFERROR(__xludf.DUMMYFUNCTION("""COMPUTED_VALUE"""),10.0)</f>
        <v>10</v>
      </c>
      <c r="K28" s="155"/>
      <c r="L28" s="158">
        <f>IFERROR(__xludf.DUMMYFUNCTION("""COMPUTED_VALUE"""),10.0)</f>
        <v>10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"/>
    </row>
    <row r="29" ht="24.75" customHeight="1">
      <c r="A29" s="152">
        <f>IFERROR(__xludf.DUMMYFUNCTION("""COMPUTED_VALUE"""),13.0)</f>
        <v>13</v>
      </c>
      <c r="B29" s="61" t="str">
        <f>IFERROR(__xludf.DUMMYFUNCTION("""COMPUTED_VALUE"""),"DALVEZ")</f>
        <v>DALVEZ</v>
      </c>
      <c r="C29" s="62" t="str">
        <f>IFERROR(__xludf.DUMMYFUNCTION("""COMPUTED_VALUE"""),"PEÑA")</f>
        <v>PEÑA</v>
      </c>
      <c r="D29" s="63" t="str">
        <f>IFERROR(__xludf.DUMMYFUNCTION("""COMPUTED_VALUE"""),"SANTIAGO")</f>
        <v>SANTIAGO</v>
      </c>
      <c r="E29" s="153">
        <f>IFERROR(__xludf.DUMMYFUNCTION("""COMPUTED_VALUE"""),4.0)</f>
        <v>4</v>
      </c>
      <c r="F29" s="153">
        <f>IFERROR(__xludf.DUMMYFUNCTION("""COMPUTED_VALUE"""),2.0)</f>
        <v>2</v>
      </c>
      <c r="G29" s="153"/>
      <c r="H29" s="154">
        <f>IFERROR(__xludf.DUMMYFUNCTION("""COMPUTED_VALUE"""),6.0)</f>
        <v>6</v>
      </c>
      <c r="I29" s="155">
        <f>IFERROR(__xludf.DUMMYFUNCTION("""COMPUTED_VALUE"""),0.0)</f>
        <v>0</v>
      </c>
      <c r="J29" s="156">
        <f>IFERROR(__xludf.DUMMYFUNCTION("""COMPUTED_VALUE"""),6.0)</f>
        <v>6</v>
      </c>
      <c r="K29" s="155"/>
      <c r="L29" s="158">
        <f>IFERROR(__xludf.DUMMYFUNCTION("""COMPUTED_VALUE"""),6.0)</f>
        <v>6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"/>
    </row>
    <row r="30" ht="24.75" customHeight="1">
      <c r="A30" s="152">
        <f>IFERROR(__xludf.DUMMYFUNCTION("""COMPUTED_VALUE"""),14.0)</f>
        <v>14</v>
      </c>
      <c r="B30" s="61" t="str">
        <f>IFERROR(__xludf.DUMMYFUNCTION("""COMPUTED_VALUE"""),"ESCAMILLA")</f>
        <v>ESCAMILLA</v>
      </c>
      <c r="C30" s="62" t="str">
        <f>IFERROR(__xludf.DUMMYFUNCTION("""COMPUTED_VALUE"""),"ESTRADA")</f>
        <v>ESTRADA</v>
      </c>
      <c r="D30" s="63" t="str">
        <f>IFERROR(__xludf.DUMMYFUNCTION("""COMPUTED_VALUE"""),"JOSUE ALEJANDRO")</f>
        <v>JOSUE ALEJANDRO</v>
      </c>
      <c r="E30" s="153">
        <f>IFERROR(__xludf.DUMMYFUNCTION("""COMPUTED_VALUE"""),6.0)</f>
        <v>6</v>
      </c>
      <c r="F30" s="153">
        <f>IFERROR(__xludf.DUMMYFUNCTION("""COMPUTED_VALUE"""),2.0)</f>
        <v>2</v>
      </c>
      <c r="G30" s="153"/>
      <c r="H30" s="154">
        <f>IFERROR(__xludf.DUMMYFUNCTION("""COMPUTED_VALUE"""),8.0)</f>
        <v>8</v>
      </c>
      <c r="I30" s="155">
        <f>IFERROR(__xludf.DUMMYFUNCTION("""COMPUTED_VALUE"""),0.0)</f>
        <v>0</v>
      </c>
      <c r="J30" s="156">
        <f>IFERROR(__xludf.DUMMYFUNCTION("""COMPUTED_VALUE"""),8.0)</f>
        <v>8</v>
      </c>
      <c r="K30" s="155"/>
      <c r="L30" s="158">
        <f>IFERROR(__xludf.DUMMYFUNCTION("""COMPUTED_VALUE"""),8.0)</f>
        <v>8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"/>
    </row>
    <row r="31" ht="24.75" customHeight="1">
      <c r="A31" s="152">
        <f>IFERROR(__xludf.DUMMYFUNCTION("""COMPUTED_VALUE"""),15.0)</f>
        <v>15</v>
      </c>
      <c r="B31" s="61" t="str">
        <f>IFERROR(__xludf.DUMMYFUNCTION("""COMPUTED_VALUE"""),"FLORES")</f>
        <v>FLORES</v>
      </c>
      <c r="C31" s="62" t="str">
        <f>IFERROR(__xludf.DUMMYFUNCTION("""COMPUTED_VALUE"""),"FLORES")</f>
        <v>FLORES</v>
      </c>
      <c r="D31" s="63" t="str">
        <f>IFERROR(__xludf.DUMMYFUNCTION("""COMPUTED_VALUE"""),"YESID XIMENA")</f>
        <v>YESID XIMENA</v>
      </c>
      <c r="E31" s="153">
        <f>IFERROR(__xludf.DUMMYFUNCTION("""COMPUTED_VALUE"""),8.0)</f>
        <v>8</v>
      </c>
      <c r="F31" s="153">
        <f>IFERROR(__xludf.DUMMYFUNCTION("""COMPUTED_VALUE"""),2.0)</f>
        <v>2</v>
      </c>
      <c r="G31" s="153"/>
      <c r="H31" s="154">
        <f>IFERROR(__xludf.DUMMYFUNCTION("""COMPUTED_VALUE"""),10.0)</f>
        <v>10</v>
      </c>
      <c r="I31" s="155">
        <f>IFERROR(__xludf.DUMMYFUNCTION("""COMPUTED_VALUE"""),0.0)</f>
        <v>0</v>
      </c>
      <c r="J31" s="156">
        <f>IFERROR(__xludf.DUMMYFUNCTION("""COMPUTED_VALUE"""),10.0)</f>
        <v>10</v>
      </c>
      <c r="K31" s="155"/>
      <c r="L31" s="158">
        <f>IFERROR(__xludf.DUMMYFUNCTION("""COMPUTED_VALUE"""),10.0)</f>
        <v>10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"/>
    </row>
    <row r="32" ht="24.75" customHeight="1">
      <c r="A32" s="152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IFERROR(__xludf.DUMMYFUNCTION("""COMPUTED_VALUE"""),"MARTINEZ")</f>
        <v>MARTINEZ</v>
      </c>
      <c r="D32" s="63" t="str">
        <f>IFERROR(__xludf.DUMMYFUNCTION("""COMPUTED_VALUE"""),"LEONARDO")</f>
        <v>LEONARDO</v>
      </c>
      <c r="E32" s="153">
        <f>IFERROR(__xludf.DUMMYFUNCTION("""COMPUTED_VALUE"""),8.0)</f>
        <v>8</v>
      </c>
      <c r="F32" s="153">
        <f>IFERROR(__xludf.DUMMYFUNCTION("""COMPUTED_VALUE"""),2.0)</f>
        <v>2</v>
      </c>
      <c r="G32" s="153"/>
      <c r="H32" s="154">
        <f>IFERROR(__xludf.DUMMYFUNCTION("""COMPUTED_VALUE"""),10.0)</f>
        <v>10</v>
      </c>
      <c r="I32" s="155">
        <f>IFERROR(__xludf.DUMMYFUNCTION("""COMPUTED_VALUE"""),0.0)</f>
        <v>0</v>
      </c>
      <c r="J32" s="156">
        <f>IFERROR(__xludf.DUMMYFUNCTION("""COMPUTED_VALUE"""),10.0)</f>
        <v>10</v>
      </c>
      <c r="K32" s="155"/>
      <c r="L32" s="158">
        <f>IFERROR(__xludf.DUMMYFUNCTION("""COMPUTED_VALUE"""),10.0)</f>
        <v>10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"/>
    </row>
    <row r="33" ht="24.75" customHeight="1">
      <c r="A33" s="152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IFERROR(__xludf.DUMMYFUNCTION("""COMPUTED_VALUE"""),"MENESES")</f>
        <v>MENESES</v>
      </c>
      <c r="D33" s="63" t="str">
        <f>IFERROR(__xludf.DUMMYFUNCTION("""COMPUTED_VALUE"""),"SAMANTHA MABEL")</f>
        <v>SAMANTHA MABEL</v>
      </c>
      <c r="E33" s="153">
        <f>IFERROR(__xludf.DUMMYFUNCTION("""COMPUTED_VALUE"""),8.0)</f>
        <v>8</v>
      </c>
      <c r="F33" s="153">
        <f>IFERROR(__xludf.DUMMYFUNCTION("""COMPUTED_VALUE"""),2.0)</f>
        <v>2</v>
      </c>
      <c r="G33" s="153"/>
      <c r="H33" s="154">
        <f>IFERROR(__xludf.DUMMYFUNCTION("""COMPUTED_VALUE"""),10.0)</f>
        <v>10</v>
      </c>
      <c r="I33" s="155">
        <f>IFERROR(__xludf.DUMMYFUNCTION("""COMPUTED_VALUE"""),0.0)</f>
        <v>0</v>
      </c>
      <c r="J33" s="156">
        <f>IFERROR(__xludf.DUMMYFUNCTION("""COMPUTED_VALUE"""),10.0)</f>
        <v>10</v>
      </c>
      <c r="K33" s="155"/>
      <c r="L33" s="158">
        <f>IFERROR(__xludf.DUMMYFUNCTION("""COMPUTED_VALUE"""),10.0)</f>
        <v>10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"/>
    </row>
    <row r="34" ht="24.75" customHeight="1">
      <c r="A34" s="152">
        <f>IFERROR(__xludf.DUMMYFUNCTION("""COMPUTED_VALUE"""),18.0)</f>
        <v>18</v>
      </c>
      <c r="B34" s="61" t="str">
        <f>IFERROR(__xludf.DUMMYFUNCTION("""COMPUTED_VALUE"""),"GOMEZ")</f>
        <v>GOMEZ</v>
      </c>
      <c r="C34" s="62" t="str">
        <f>IFERROR(__xludf.DUMMYFUNCTION("""COMPUTED_VALUE"""),"PAREDES")</f>
        <v>PAREDES</v>
      </c>
      <c r="D34" s="63" t="str">
        <f>IFERROR(__xludf.DUMMYFUNCTION("""COMPUTED_VALUE"""),"URIEL")</f>
        <v>URIEL</v>
      </c>
      <c r="E34" s="153">
        <f>IFERROR(__xludf.DUMMYFUNCTION("""COMPUTED_VALUE"""),7.0)</f>
        <v>7</v>
      </c>
      <c r="F34" s="153">
        <f>IFERROR(__xludf.DUMMYFUNCTION("""COMPUTED_VALUE"""),2.0)</f>
        <v>2</v>
      </c>
      <c r="G34" s="153"/>
      <c r="H34" s="154">
        <f>IFERROR(__xludf.DUMMYFUNCTION("""COMPUTED_VALUE"""),9.0)</f>
        <v>9</v>
      </c>
      <c r="I34" s="155">
        <f>IFERROR(__xludf.DUMMYFUNCTION("""COMPUTED_VALUE"""),0.0)</f>
        <v>0</v>
      </c>
      <c r="J34" s="156">
        <f>IFERROR(__xludf.DUMMYFUNCTION("""COMPUTED_VALUE"""),9.0)</f>
        <v>9</v>
      </c>
      <c r="K34" s="155"/>
      <c r="L34" s="158">
        <f>IFERROR(__xludf.DUMMYFUNCTION("""COMPUTED_VALUE"""),9.0)</f>
        <v>9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"/>
    </row>
    <row r="35" ht="24.75" customHeight="1">
      <c r="A35" s="152">
        <f>IFERROR(__xludf.DUMMYFUNCTION("""COMPUTED_VALUE"""),19.0)</f>
        <v>19</v>
      </c>
      <c r="B35" s="61" t="str">
        <f>IFERROR(__xludf.DUMMYFUNCTION("""COMPUTED_VALUE"""),"GONZALEZ")</f>
        <v>GONZALEZ</v>
      </c>
      <c r="C35" s="62" t="str">
        <f>IFERROR(__xludf.DUMMYFUNCTION("""COMPUTED_VALUE"""),"SANCHEZ")</f>
        <v>SANCHEZ</v>
      </c>
      <c r="D35" s="63" t="str">
        <f>IFERROR(__xludf.DUMMYFUNCTION("""COMPUTED_VALUE"""),"FERNANDA ANTONIETA")</f>
        <v>FERNANDA ANTONIETA</v>
      </c>
      <c r="E35" s="153">
        <f>IFERROR(__xludf.DUMMYFUNCTION("""COMPUTED_VALUE"""),6.0)</f>
        <v>6</v>
      </c>
      <c r="F35" s="153">
        <f>IFERROR(__xludf.DUMMYFUNCTION("""COMPUTED_VALUE"""),2.0)</f>
        <v>2</v>
      </c>
      <c r="G35" s="153">
        <f>IFERROR(__xludf.DUMMYFUNCTION("""COMPUTED_VALUE"""),1.0)</f>
        <v>1</v>
      </c>
      <c r="H35" s="154">
        <f>IFERROR(__xludf.DUMMYFUNCTION("""COMPUTED_VALUE"""),9.0)</f>
        <v>9</v>
      </c>
      <c r="I35" s="155">
        <f>IFERROR(__xludf.DUMMYFUNCTION("""COMPUTED_VALUE"""),0.0)</f>
        <v>0</v>
      </c>
      <c r="J35" s="156">
        <f>IFERROR(__xludf.DUMMYFUNCTION("""COMPUTED_VALUE"""),9.0)</f>
        <v>9</v>
      </c>
      <c r="K35" s="155"/>
      <c r="L35" s="158">
        <f>IFERROR(__xludf.DUMMYFUNCTION("""COMPUTED_VALUE"""),9.0)</f>
        <v>9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"/>
    </row>
    <row r="36" ht="24.75" customHeight="1">
      <c r="A36" s="152">
        <f>IFERROR(__xludf.DUMMYFUNCTION("""COMPUTED_VALUE"""),20.0)</f>
        <v>20</v>
      </c>
      <c r="B36" s="61" t="str">
        <f>IFERROR(__xludf.DUMMYFUNCTION("""COMPUTED_VALUE"""),"GUERRERO")</f>
        <v>GUERRERO</v>
      </c>
      <c r="C36" s="62" t="str">
        <f>IFERROR(__xludf.DUMMYFUNCTION("""COMPUTED_VALUE"""),"ALVAREZ")</f>
        <v>ALVAREZ</v>
      </c>
      <c r="D36" s="63" t="str">
        <f>IFERROR(__xludf.DUMMYFUNCTION("""COMPUTED_VALUE"""),"MELINA MONSERRAT")</f>
        <v>MELINA MONSERRAT</v>
      </c>
      <c r="E36" s="153">
        <f>IFERROR(__xludf.DUMMYFUNCTION("""COMPUTED_VALUE"""),8.0)</f>
        <v>8</v>
      </c>
      <c r="F36" s="153">
        <f>IFERROR(__xludf.DUMMYFUNCTION("""COMPUTED_VALUE"""),2.0)</f>
        <v>2</v>
      </c>
      <c r="G36" s="153"/>
      <c r="H36" s="154">
        <f>IFERROR(__xludf.DUMMYFUNCTION("""COMPUTED_VALUE"""),10.0)</f>
        <v>10</v>
      </c>
      <c r="I36" s="155">
        <f>IFERROR(__xludf.DUMMYFUNCTION("""COMPUTED_VALUE"""),0.0)</f>
        <v>0</v>
      </c>
      <c r="J36" s="156">
        <f>IFERROR(__xludf.DUMMYFUNCTION("""COMPUTED_VALUE"""),10.0)</f>
        <v>10</v>
      </c>
      <c r="K36" s="155"/>
      <c r="L36" s="158">
        <f>IFERROR(__xludf.DUMMYFUNCTION("""COMPUTED_VALUE"""),10.0)</f>
        <v>10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"/>
    </row>
    <row r="37" ht="24.75" customHeight="1">
      <c r="A37" s="152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IFERROR(__xludf.DUMMYFUNCTION("""COMPUTED_VALUE"""),"CHIMAL")</f>
        <v>CHIMAL</v>
      </c>
      <c r="D37" s="63" t="str">
        <f>IFERROR(__xludf.DUMMYFUNCTION("""COMPUTED_VALUE"""),"SAYURI DENISSE")</f>
        <v>SAYURI DENISSE</v>
      </c>
      <c r="E37" s="153">
        <f>IFERROR(__xludf.DUMMYFUNCTION("""COMPUTED_VALUE"""),8.0)</f>
        <v>8</v>
      </c>
      <c r="F37" s="153">
        <f>IFERROR(__xludf.DUMMYFUNCTION("""COMPUTED_VALUE"""),2.0)</f>
        <v>2</v>
      </c>
      <c r="G37" s="153"/>
      <c r="H37" s="154">
        <f>IFERROR(__xludf.DUMMYFUNCTION("""COMPUTED_VALUE"""),10.0)</f>
        <v>10</v>
      </c>
      <c r="I37" s="155">
        <f>IFERROR(__xludf.DUMMYFUNCTION("""COMPUTED_VALUE"""),0.0)</f>
        <v>0</v>
      </c>
      <c r="J37" s="156">
        <f>IFERROR(__xludf.DUMMYFUNCTION("""COMPUTED_VALUE"""),10.0)</f>
        <v>10</v>
      </c>
      <c r="K37" s="155"/>
      <c r="L37" s="158">
        <f>IFERROR(__xludf.DUMMYFUNCTION("""COMPUTED_VALUE"""),10.0)</f>
        <v>10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"/>
    </row>
    <row r="38" ht="24.75" customHeight="1">
      <c r="A38" s="152">
        <f>IFERROR(__xludf.DUMMYFUNCTION("""COMPUTED_VALUE"""),22.0)</f>
        <v>22</v>
      </c>
      <c r="B38" s="61" t="str">
        <f>IFERROR(__xludf.DUMMYFUNCTION("""COMPUTED_VALUE"""),"GUTIERREZ")</f>
        <v>GUTIERREZ</v>
      </c>
      <c r="C38" s="62" t="str">
        <f>IFERROR(__xludf.DUMMYFUNCTION("""COMPUTED_VALUE"""),"GARCIA")</f>
        <v>GARCIA</v>
      </c>
      <c r="D38" s="63" t="str">
        <f>IFERROR(__xludf.DUMMYFUNCTION("""COMPUTED_VALUE"""),"XIMENA")</f>
        <v>XIMENA</v>
      </c>
      <c r="E38" s="153">
        <f>IFERROR(__xludf.DUMMYFUNCTION("""COMPUTED_VALUE"""),8.0)</f>
        <v>8</v>
      </c>
      <c r="F38" s="153">
        <f>IFERROR(__xludf.DUMMYFUNCTION("""COMPUTED_VALUE"""),2.0)</f>
        <v>2</v>
      </c>
      <c r="G38" s="153"/>
      <c r="H38" s="154">
        <f>IFERROR(__xludf.DUMMYFUNCTION("""COMPUTED_VALUE"""),10.0)</f>
        <v>10</v>
      </c>
      <c r="I38" s="155">
        <f>IFERROR(__xludf.DUMMYFUNCTION("""COMPUTED_VALUE"""),0.0)</f>
        <v>0</v>
      </c>
      <c r="J38" s="156">
        <f>IFERROR(__xludf.DUMMYFUNCTION("""COMPUTED_VALUE"""),10.0)</f>
        <v>10</v>
      </c>
      <c r="K38" s="155"/>
      <c r="L38" s="158">
        <f>IFERROR(__xludf.DUMMYFUNCTION("""COMPUTED_VALUE"""),10.0)</f>
        <v>10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"/>
    </row>
    <row r="39" ht="24.75" customHeight="1">
      <c r="A39" s="152">
        <f>IFERROR(__xludf.DUMMYFUNCTION("""COMPUTED_VALUE"""),23.0)</f>
        <v>23</v>
      </c>
      <c r="B39" s="61" t="str">
        <f>IFERROR(__xludf.DUMMYFUNCTION("""COMPUTED_VALUE"""),"HERNANDEZ")</f>
        <v>HERNANDEZ</v>
      </c>
      <c r="C39" s="62" t="str">
        <f>IFERROR(__xludf.DUMMYFUNCTION("""COMPUTED_VALUE"""),"BOLAÑOS")</f>
        <v>BOLAÑOS</v>
      </c>
      <c r="D39" s="63" t="str">
        <f>IFERROR(__xludf.DUMMYFUNCTION("""COMPUTED_VALUE"""),"CAMILA")</f>
        <v>CAMILA</v>
      </c>
      <c r="E39" s="153">
        <f>IFERROR(__xludf.DUMMYFUNCTION("""COMPUTED_VALUE"""),5.0)</f>
        <v>5</v>
      </c>
      <c r="F39" s="153">
        <f>IFERROR(__xludf.DUMMYFUNCTION("""COMPUTED_VALUE"""),2.0)</f>
        <v>2</v>
      </c>
      <c r="G39" s="153"/>
      <c r="H39" s="154">
        <f>IFERROR(__xludf.DUMMYFUNCTION("""COMPUTED_VALUE"""),7.0)</f>
        <v>7</v>
      </c>
      <c r="I39" s="155">
        <f>IFERROR(__xludf.DUMMYFUNCTION("""COMPUTED_VALUE"""),0.0)</f>
        <v>0</v>
      </c>
      <c r="J39" s="156">
        <f>IFERROR(__xludf.DUMMYFUNCTION("""COMPUTED_VALUE"""),7.0)</f>
        <v>7</v>
      </c>
      <c r="K39" s="155"/>
      <c r="L39" s="158">
        <f>IFERROR(__xludf.DUMMYFUNCTION("""COMPUTED_VALUE"""),7.0)</f>
        <v>7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"/>
    </row>
    <row r="40" ht="24.75" customHeight="1">
      <c r="A40" s="152">
        <f>IFERROR(__xludf.DUMMYFUNCTION("""COMPUTED_VALUE"""),24.0)</f>
        <v>24</v>
      </c>
      <c r="B40" s="61" t="str">
        <f>IFERROR(__xludf.DUMMYFUNCTION("""COMPUTED_VALUE"""),"JIMENEZ")</f>
        <v>JIMENEZ</v>
      </c>
      <c r="C40" s="62" t="str">
        <f>IFERROR(__xludf.DUMMYFUNCTION("""COMPUTED_VALUE"""),"GOMEZ")</f>
        <v>GOMEZ</v>
      </c>
      <c r="D40" s="63" t="str">
        <f>IFERROR(__xludf.DUMMYFUNCTION("""COMPUTED_VALUE"""),"LAURA REGINA")</f>
        <v>LAURA REGINA</v>
      </c>
      <c r="E40" s="153">
        <f>IFERROR(__xludf.DUMMYFUNCTION("""COMPUTED_VALUE"""),0.0)</f>
        <v>0</v>
      </c>
      <c r="F40" s="153">
        <f>IFERROR(__xludf.DUMMYFUNCTION("""COMPUTED_VALUE"""),0.0)</f>
        <v>0</v>
      </c>
      <c r="G40" s="153"/>
      <c r="H40" s="154">
        <f>IFERROR(__xludf.DUMMYFUNCTION("""COMPUTED_VALUE"""),0.0)</f>
        <v>0</v>
      </c>
      <c r="I40" s="155">
        <f>IFERROR(__xludf.DUMMYFUNCTION("""COMPUTED_VALUE"""),1.0)</f>
        <v>1</v>
      </c>
      <c r="J40" s="156">
        <f>IFERROR(__xludf.DUMMYFUNCTION("""COMPUTED_VALUE"""),5.0)</f>
        <v>5</v>
      </c>
      <c r="K40" s="155"/>
      <c r="L40" s="158">
        <f>IFERROR(__xludf.DUMMYFUNCTION("""COMPUTED_VALUE"""),0.0)</f>
        <v>0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"/>
    </row>
    <row r="41" ht="24.75" customHeight="1">
      <c r="A41" s="152">
        <f>IFERROR(__xludf.DUMMYFUNCTION("""COMPUTED_VALUE"""),25.0)</f>
        <v>25</v>
      </c>
      <c r="B41" s="61" t="str">
        <f>IFERROR(__xludf.DUMMYFUNCTION("""COMPUTED_VALUE"""),"LOPEZ")</f>
        <v>LOPEZ</v>
      </c>
      <c r="C41" s="62" t="str">
        <f>IFERROR(__xludf.DUMMYFUNCTION("""COMPUTED_VALUE"""),"TORRES")</f>
        <v>TORRES</v>
      </c>
      <c r="D41" s="63" t="str">
        <f>IFERROR(__xludf.DUMMYFUNCTION("""COMPUTED_VALUE"""),"HECTOR DANIEL")</f>
        <v>HECTOR DANIEL</v>
      </c>
      <c r="E41" s="153">
        <f>IFERROR(__xludf.DUMMYFUNCTION("""COMPUTED_VALUE"""),7.0)</f>
        <v>7</v>
      </c>
      <c r="F41" s="153">
        <f>IFERROR(__xludf.DUMMYFUNCTION("""COMPUTED_VALUE"""),2.0)</f>
        <v>2</v>
      </c>
      <c r="G41" s="153"/>
      <c r="H41" s="154">
        <f>IFERROR(__xludf.DUMMYFUNCTION("""COMPUTED_VALUE"""),9.0)</f>
        <v>9</v>
      </c>
      <c r="I41" s="155">
        <f>IFERROR(__xludf.DUMMYFUNCTION("""COMPUTED_VALUE"""),0.0)</f>
        <v>0</v>
      </c>
      <c r="J41" s="156">
        <f>IFERROR(__xludf.DUMMYFUNCTION("""COMPUTED_VALUE"""),9.0)</f>
        <v>9</v>
      </c>
      <c r="K41" s="155"/>
      <c r="L41" s="158">
        <f>IFERROR(__xludf.DUMMYFUNCTION("""COMPUTED_VALUE"""),9.0)</f>
        <v>9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"/>
    </row>
    <row r="42" ht="24.75" customHeight="1">
      <c r="A42" s="152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IFERROR(__xludf.DUMMYFUNCTION("""COMPUTED_VALUE"""),"ESPINOZA")</f>
        <v>ESPINOZA</v>
      </c>
      <c r="D42" s="63" t="str">
        <f>IFERROR(__xludf.DUMMYFUNCTION("""COMPUTED_VALUE"""),"NAXHELI")</f>
        <v>NAXHELI</v>
      </c>
      <c r="E42" s="153">
        <f>IFERROR(__xludf.DUMMYFUNCTION("""COMPUTED_VALUE"""),8.0)</f>
        <v>8</v>
      </c>
      <c r="F42" s="153">
        <f>IFERROR(__xludf.DUMMYFUNCTION("""COMPUTED_VALUE"""),2.0)</f>
        <v>2</v>
      </c>
      <c r="G42" s="153"/>
      <c r="H42" s="154">
        <f>IFERROR(__xludf.DUMMYFUNCTION("""COMPUTED_VALUE"""),10.0)</f>
        <v>10</v>
      </c>
      <c r="I42" s="155">
        <f>IFERROR(__xludf.DUMMYFUNCTION("""COMPUTED_VALUE"""),0.0)</f>
        <v>0</v>
      </c>
      <c r="J42" s="156">
        <f>IFERROR(__xludf.DUMMYFUNCTION("""COMPUTED_VALUE"""),10.0)</f>
        <v>10</v>
      </c>
      <c r="K42" s="155"/>
      <c r="L42" s="158">
        <f>IFERROR(__xludf.DUMMYFUNCTION("""COMPUTED_VALUE"""),10.0)</f>
        <v>10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"/>
    </row>
    <row r="43" ht="24.75" customHeight="1">
      <c r="A43" s="152">
        <f>IFERROR(__xludf.DUMMYFUNCTION("""COMPUTED_VALUE"""),27.0)</f>
        <v>27</v>
      </c>
      <c r="B43" s="61" t="str">
        <f>IFERROR(__xludf.DUMMYFUNCTION("""COMPUTED_VALUE"""),"MARTINEZ")</f>
        <v>MARTINEZ</v>
      </c>
      <c r="C43" s="62" t="str">
        <f>IFERROR(__xludf.DUMMYFUNCTION("""COMPUTED_VALUE"""),"TORRES")</f>
        <v>TORRES</v>
      </c>
      <c r="D43" s="63" t="str">
        <f>IFERROR(__xludf.DUMMYFUNCTION("""COMPUTED_VALUE"""),"SILVIA ANAHI")</f>
        <v>SILVIA ANAHI</v>
      </c>
      <c r="E43" s="153">
        <f>IFERROR(__xludf.DUMMYFUNCTION("""COMPUTED_VALUE"""),7.0)</f>
        <v>7</v>
      </c>
      <c r="F43" s="153">
        <f>IFERROR(__xludf.DUMMYFUNCTION("""COMPUTED_VALUE"""),2.0)</f>
        <v>2</v>
      </c>
      <c r="G43" s="153">
        <f>IFERROR(__xludf.DUMMYFUNCTION("""COMPUTED_VALUE"""),1.0)</f>
        <v>1</v>
      </c>
      <c r="H43" s="154">
        <f>IFERROR(__xludf.DUMMYFUNCTION("""COMPUTED_VALUE"""),10.0)</f>
        <v>10</v>
      </c>
      <c r="I43" s="155">
        <f>IFERROR(__xludf.DUMMYFUNCTION("""COMPUTED_VALUE"""),0.0)</f>
        <v>0</v>
      </c>
      <c r="J43" s="156">
        <f>IFERROR(__xludf.DUMMYFUNCTION("""COMPUTED_VALUE"""),10.0)</f>
        <v>10</v>
      </c>
      <c r="K43" s="155"/>
      <c r="L43" s="158">
        <f>IFERROR(__xludf.DUMMYFUNCTION("""COMPUTED_VALUE"""),10.0)</f>
        <v>10</v>
      </c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"/>
    </row>
    <row r="44" ht="24.75" customHeight="1">
      <c r="A44" s="152">
        <f>IFERROR(__xludf.DUMMYFUNCTION("""COMPUTED_VALUE"""),28.0)</f>
        <v>28</v>
      </c>
      <c r="B44" s="61" t="str">
        <f>IFERROR(__xludf.DUMMYFUNCTION("""COMPUTED_VALUE"""),"MENDEZ")</f>
        <v>MENDEZ</v>
      </c>
      <c r="C44" s="62" t="str">
        <f>IFERROR(__xludf.DUMMYFUNCTION("""COMPUTED_VALUE"""),"GONZALEZ")</f>
        <v>GONZALEZ</v>
      </c>
      <c r="D44" s="63" t="str">
        <f>IFERROR(__xludf.DUMMYFUNCTION("""COMPUTED_VALUE"""),"LUNA YHOALIBETH")</f>
        <v>LUNA YHOALIBETH</v>
      </c>
      <c r="E44" s="153">
        <f>IFERROR(__xludf.DUMMYFUNCTION("""COMPUTED_VALUE"""),5.0)</f>
        <v>5</v>
      </c>
      <c r="F44" s="153">
        <f>IFERROR(__xludf.DUMMYFUNCTION("""COMPUTED_VALUE"""),2.0)</f>
        <v>2</v>
      </c>
      <c r="G44" s="153"/>
      <c r="H44" s="154">
        <f>IFERROR(__xludf.DUMMYFUNCTION("""COMPUTED_VALUE"""),7.0)</f>
        <v>7</v>
      </c>
      <c r="I44" s="155">
        <f>IFERROR(__xludf.DUMMYFUNCTION("""COMPUTED_VALUE"""),0.0)</f>
        <v>0</v>
      </c>
      <c r="J44" s="156">
        <f>IFERROR(__xludf.DUMMYFUNCTION("""COMPUTED_VALUE"""),7.0)</f>
        <v>7</v>
      </c>
      <c r="K44" s="155"/>
      <c r="L44" s="158">
        <f>IFERROR(__xludf.DUMMYFUNCTION("""COMPUTED_VALUE"""),7.0)</f>
        <v>7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"/>
    </row>
    <row r="45" ht="24.75" customHeight="1">
      <c r="A45" s="152">
        <f>IFERROR(__xludf.DUMMYFUNCTION("""COMPUTED_VALUE"""),29.0)</f>
        <v>29</v>
      </c>
      <c r="B45" s="61" t="str">
        <f>IFERROR(__xludf.DUMMYFUNCTION("""COMPUTED_VALUE"""),"MIRANDA")</f>
        <v>MIRANDA</v>
      </c>
      <c r="C45" s="62" t="str">
        <f>IFERROR(__xludf.DUMMYFUNCTION("""COMPUTED_VALUE"""),"VEGA")</f>
        <v>VEGA</v>
      </c>
      <c r="D45" s="63" t="str">
        <f>IFERROR(__xludf.DUMMYFUNCTION("""COMPUTED_VALUE"""),"MARCUS JOSHEP")</f>
        <v>MARCUS JOSHEP</v>
      </c>
      <c r="E45" s="153">
        <f>IFERROR(__xludf.DUMMYFUNCTION("""COMPUTED_VALUE"""),0.0)</f>
        <v>0</v>
      </c>
      <c r="F45" s="153">
        <f>IFERROR(__xludf.DUMMYFUNCTION("""COMPUTED_VALUE"""),0.0)</f>
        <v>0</v>
      </c>
      <c r="G45" s="153"/>
      <c r="H45" s="154">
        <f>IFERROR(__xludf.DUMMYFUNCTION("""COMPUTED_VALUE"""),0.0)</f>
        <v>0</v>
      </c>
      <c r="I45" s="155">
        <f>IFERROR(__xludf.DUMMYFUNCTION("""COMPUTED_VALUE"""),0.0)</f>
        <v>0</v>
      </c>
      <c r="J45" s="156">
        <f>IFERROR(__xludf.DUMMYFUNCTION("""COMPUTED_VALUE"""),5.0)</f>
        <v>5</v>
      </c>
      <c r="K45" s="155"/>
      <c r="L45" s="158">
        <f>IFERROR(__xludf.DUMMYFUNCTION("""COMPUTED_VALUE"""),0.0)</f>
        <v>0</v>
      </c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"/>
    </row>
    <row r="46" ht="24.75" customHeight="1">
      <c r="A46" s="152">
        <f>IFERROR(__xludf.DUMMYFUNCTION("""COMPUTED_VALUE"""),30.0)</f>
        <v>30</v>
      </c>
      <c r="B46" s="61" t="str">
        <f>IFERROR(__xludf.DUMMYFUNCTION("""COMPUTED_VALUE"""),"MORALES")</f>
        <v>MORALES</v>
      </c>
      <c r="C46" s="62" t="str">
        <f>IFERROR(__xludf.DUMMYFUNCTION("""COMPUTED_VALUE"""),"TREJO")</f>
        <v>TREJO</v>
      </c>
      <c r="D46" s="63" t="str">
        <f>IFERROR(__xludf.DUMMYFUNCTION("""COMPUTED_VALUE"""),"ERICK IVAN")</f>
        <v>ERICK IVAN</v>
      </c>
      <c r="E46" s="153">
        <f>IFERROR(__xludf.DUMMYFUNCTION("""COMPUTED_VALUE"""),8.0)</f>
        <v>8</v>
      </c>
      <c r="F46" s="153">
        <f>IFERROR(__xludf.DUMMYFUNCTION("""COMPUTED_VALUE"""),2.0)</f>
        <v>2</v>
      </c>
      <c r="G46" s="153"/>
      <c r="H46" s="154">
        <f>IFERROR(__xludf.DUMMYFUNCTION("""COMPUTED_VALUE"""),10.0)</f>
        <v>10</v>
      </c>
      <c r="I46" s="155">
        <f>IFERROR(__xludf.DUMMYFUNCTION("""COMPUTED_VALUE"""),0.0)</f>
        <v>0</v>
      </c>
      <c r="J46" s="156">
        <f>IFERROR(__xludf.DUMMYFUNCTION("""COMPUTED_VALUE"""),10.0)</f>
        <v>10</v>
      </c>
      <c r="K46" s="155"/>
      <c r="L46" s="158">
        <f>IFERROR(__xludf.DUMMYFUNCTION("""COMPUTED_VALUE"""),10.0)</f>
        <v>10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"/>
    </row>
    <row r="47" ht="24.75" customHeight="1">
      <c r="A47" s="152">
        <f>IFERROR(__xludf.DUMMYFUNCTION("""COMPUTED_VALUE"""),31.0)</f>
        <v>31</v>
      </c>
      <c r="B47" s="61" t="str">
        <f>IFERROR(__xludf.DUMMYFUNCTION("""COMPUTED_VALUE"""),"MURILLO")</f>
        <v>MURILLO</v>
      </c>
      <c r="C47" s="62" t="str">
        <f>IFERROR(__xludf.DUMMYFUNCTION("""COMPUTED_VALUE"""),"TORRES")</f>
        <v>TORRES</v>
      </c>
      <c r="D47" s="63" t="str">
        <f>IFERROR(__xludf.DUMMYFUNCTION("""COMPUTED_VALUE"""),"JULIA IVETTE")</f>
        <v>JULIA IVETTE</v>
      </c>
      <c r="E47" s="153">
        <f>IFERROR(__xludf.DUMMYFUNCTION("""COMPUTED_VALUE"""),8.0)</f>
        <v>8</v>
      </c>
      <c r="F47" s="153">
        <f>IFERROR(__xludf.DUMMYFUNCTION("""COMPUTED_VALUE"""),2.0)</f>
        <v>2</v>
      </c>
      <c r="G47" s="153"/>
      <c r="H47" s="154">
        <f>IFERROR(__xludf.DUMMYFUNCTION("""COMPUTED_VALUE"""),10.0)</f>
        <v>10</v>
      </c>
      <c r="I47" s="155">
        <f>IFERROR(__xludf.DUMMYFUNCTION("""COMPUTED_VALUE"""),0.0)</f>
        <v>0</v>
      </c>
      <c r="J47" s="156">
        <f>IFERROR(__xludf.DUMMYFUNCTION("""COMPUTED_VALUE"""),10.0)</f>
        <v>10</v>
      </c>
      <c r="K47" s="155"/>
      <c r="L47" s="158">
        <f>IFERROR(__xludf.DUMMYFUNCTION("""COMPUTED_VALUE"""),10.0)</f>
        <v>10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"/>
    </row>
    <row r="48" ht="24.75" customHeight="1">
      <c r="A48" s="152">
        <f>IFERROR(__xludf.DUMMYFUNCTION("""COMPUTED_VALUE"""),32.0)</f>
        <v>32</v>
      </c>
      <c r="B48" s="61" t="str">
        <f>IFERROR(__xludf.DUMMYFUNCTION("""COMPUTED_VALUE"""),"NICOLAS")</f>
        <v>NICOLAS</v>
      </c>
      <c r="C48" s="62" t="str">
        <f>IFERROR(__xludf.DUMMYFUNCTION("""COMPUTED_VALUE"""),"SANCHEZ")</f>
        <v>SANCHEZ</v>
      </c>
      <c r="D48" s="63" t="str">
        <f>IFERROR(__xludf.DUMMYFUNCTION("""COMPUTED_VALUE"""),"KAREN JIMENA")</f>
        <v>KAREN JIMENA</v>
      </c>
      <c r="E48" s="153">
        <f>IFERROR(__xludf.DUMMYFUNCTION("""COMPUTED_VALUE"""),7.0)</f>
        <v>7</v>
      </c>
      <c r="F48" s="153">
        <f>IFERROR(__xludf.DUMMYFUNCTION("""COMPUTED_VALUE"""),2.0)</f>
        <v>2</v>
      </c>
      <c r="G48" s="153">
        <f>IFERROR(__xludf.DUMMYFUNCTION("""COMPUTED_VALUE"""),1.0)</f>
        <v>1</v>
      </c>
      <c r="H48" s="154">
        <f>IFERROR(__xludf.DUMMYFUNCTION("""COMPUTED_VALUE"""),10.0)</f>
        <v>10</v>
      </c>
      <c r="I48" s="155">
        <f>IFERROR(__xludf.DUMMYFUNCTION("""COMPUTED_VALUE"""),0.0)</f>
        <v>0</v>
      </c>
      <c r="J48" s="156">
        <f>IFERROR(__xludf.DUMMYFUNCTION("""COMPUTED_VALUE"""),10.0)</f>
        <v>10</v>
      </c>
      <c r="K48" s="155"/>
      <c r="L48" s="158">
        <f>IFERROR(__xludf.DUMMYFUNCTION("""COMPUTED_VALUE"""),10.0)</f>
        <v>10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"/>
    </row>
    <row r="49" ht="24.75" customHeight="1">
      <c r="A49" s="152">
        <f>IFERROR(__xludf.DUMMYFUNCTION("""COMPUTED_VALUE"""),33.0)</f>
        <v>33</v>
      </c>
      <c r="B49" s="61" t="str">
        <f>IFERROR(__xludf.DUMMYFUNCTION("""COMPUTED_VALUE"""),"PEREZ")</f>
        <v>PEREZ</v>
      </c>
      <c r="C49" s="62" t="str">
        <f>IFERROR(__xludf.DUMMYFUNCTION("""COMPUTED_VALUE"""),"MARTINEZ")</f>
        <v>MARTINEZ</v>
      </c>
      <c r="D49" s="63" t="str">
        <f>IFERROR(__xludf.DUMMYFUNCTION("""COMPUTED_VALUE"""),"ANDREA")</f>
        <v>ANDREA</v>
      </c>
      <c r="E49" s="153">
        <f>IFERROR(__xludf.DUMMYFUNCTION("""COMPUTED_VALUE"""),5.0)</f>
        <v>5</v>
      </c>
      <c r="F49" s="153">
        <f>IFERROR(__xludf.DUMMYFUNCTION("""COMPUTED_VALUE"""),2.0)</f>
        <v>2</v>
      </c>
      <c r="G49" s="153"/>
      <c r="H49" s="154">
        <f>IFERROR(__xludf.DUMMYFUNCTION("""COMPUTED_VALUE"""),7.0)</f>
        <v>7</v>
      </c>
      <c r="I49" s="155">
        <f>IFERROR(__xludf.DUMMYFUNCTION("""COMPUTED_VALUE"""),2.0)</f>
        <v>2</v>
      </c>
      <c r="J49" s="156">
        <f>IFERROR(__xludf.DUMMYFUNCTION("""COMPUTED_VALUE"""),7.0)</f>
        <v>7</v>
      </c>
      <c r="K49" s="155"/>
      <c r="L49" s="158">
        <f>IFERROR(__xludf.DUMMYFUNCTION("""COMPUTED_VALUE"""),7.0)</f>
        <v>7</v>
      </c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"/>
    </row>
    <row r="50" ht="24.75" customHeight="1">
      <c r="A50" s="152">
        <f>IFERROR(__xludf.DUMMYFUNCTION("""COMPUTED_VALUE"""),34.0)</f>
        <v>34</v>
      </c>
      <c r="B50" s="61" t="str">
        <f>IFERROR(__xludf.DUMMYFUNCTION("""COMPUTED_VALUE"""),"PUGA")</f>
        <v>PUGA</v>
      </c>
      <c r="C50" s="62" t="str">
        <f>IFERROR(__xludf.DUMMYFUNCTION("""COMPUTED_VALUE"""),"FLORES")</f>
        <v>FLORES</v>
      </c>
      <c r="D50" s="63" t="str">
        <f>IFERROR(__xludf.DUMMYFUNCTION("""COMPUTED_VALUE"""),"ANUAR LEONARDO")</f>
        <v>ANUAR LEONARDO</v>
      </c>
      <c r="E50" s="153">
        <f>IFERROR(__xludf.DUMMYFUNCTION("""COMPUTED_VALUE"""),5.0)</f>
        <v>5</v>
      </c>
      <c r="F50" s="153">
        <f>IFERROR(__xludf.DUMMYFUNCTION("""COMPUTED_VALUE"""),2.0)</f>
        <v>2</v>
      </c>
      <c r="G50" s="153"/>
      <c r="H50" s="154">
        <f>IFERROR(__xludf.DUMMYFUNCTION("""COMPUTED_VALUE"""),7.0)</f>
        <v>7</v>
      </c>
      <c r="I50" s="155">
        <f>IFERROR(__xludf.DUMMYFUNCTION("""COMPUTED_VALUE"""),0.0)</f>
        <v>0</v>
      </c>
      <c r="J50" s="156">
        <f>IFERROR(__xludf.DUMMYFUNCTION("""COMPUTED_VALUE"""),7.0)</f>
        <v>7</v>
      </c>
      <c r="K50" s="155"/>
      <c r="L50" s="158">
        <f>IFERROR(__xludf.DUMMYFUNCTION("""COMPUTED_VALUE"""),7.0)</f>
        <v>7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"/>
    </row>
    <row r="51" ht="24.75" customHeight="1">
      <c r="A51" s="152">
        <f>IFERROR(__xludf.DUMMYFUNCTION("""COMPUTED_VALUE"""),35.0)</f>
        <v>35</v>
      </c>
      <c r="B51" s="65" t="str">
        <f>IFERROR(__xludf.DUMMYFUNCTION("""COMPUTED_VALUE"""),"RAMIREZ")</f>
        <v>RAMIREZ</v>
      </c>
      <c r="C51" s="62" t="str">
        <f>IFERROR(__xludf.DUMMYFUNCTION("""COMPUTED_VALUE"""),"GALINDO")</f>
        <v>GALINDO</v>
      </c>
      <c r="D51" s="63" t="str">
        <f>IFERROR(__xludf.DUMMYFUNCTION("""COMPUTED_VALUE"""),"FERNANDA")</f>
        <v>FERNANDA</v>
      </c>
      <c r="E51" s="153">
        <f>IFERROR(__xludf.DUMMYFUNCTION("""COMPUTED_VALUE"""),8.0)</f>
        <v>8</v>
      </c>
      <c r="F51" s="153">
        <f>IFERROR(__xludf.DUMMYFUNCTION("""COMPUTED_VALUE"""),2.0)</f>
        <v>2</v>
      </c>
      <c r="G51" s="153"/>
      <c r="H51" s="154">
        <f>IFERROR(__xludf.DUMMYFUNCTION("""COMPUTED_VALUE"""),10.0)</f>
        <v>10</v>
      </c>
      <c r="I51" s="155">
        <f>IFERROR(__xludf.DUMMYFUNCTION("""COMPUTED_VALUE"""),0.0)</f>
        <v>0</v>
      </c>
      <c r="J51" s="156">
        <f>IFERROR(__xludf.DUMMYFUNCTION("""COMPUTED_VALUE"""),10.0)</f>
        <v>10</v>
      </c>
      <c r="K51" s="155"/>
      <c r="L51" s="158">
        <f>IFERROR(__xludf.DUMMYFUNCTION("""COMPUTED_VALUE"""),10.0)</f>
        <v>10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"/>
    </row>
    <row r="52" ht="24.75" customHeight="1">
      <c r="A52" s="152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IFERROR(__xludf.DUMMYFUNCTION("""COMPUTED_VALUE"""),"SANCHEZ")</f>
        <v>SANCHEZ</v>
      </c>
      <c r="D52" s="63" t="str">
        <f>IFERROR(__xludf.DUMMYFUNCTION("""COMPUTED_VALUE"""),"EDRYK JOSAFATH")</f>
        <v>EDRYK JOSAFATH</v>
      </c>
      <c r="E52" s="153">
        <f>IFERROR(__xludf.DUMMYFUNCTION("""COMPUTED_VALUE"""),5.0)</f>
        <v>5</v>
      </c>
      <c r="F52" s="153">
        <f>IFERROR(__xludf.DUMMYFUNCTION("""COMPUTED_VALUE"""),2.0)</f>
        <v>2</v>
      </c>
      <c r="G52" s="153"/>
      <c r="H52" s="154">
        <f>IFERROR(__xludf.DUMMYFUNCTION("""COMPUTED_VALUE"""),7.0)</f>
        <v>7</v>
      </c>
      <c r="I52" s="155">
        <f>IFERROR(__xludf.DUMMYFUNCTION("""COMPUTED_VALUE"""),0.0)</f>
        <v>0</v>
      </c>
      <c r="J52" s="156">
        <f>IFERROR(__xludf.DUMMYFUNCTION("""COMPUTED_VALUE"""),7.0)</f>
        <v>7</v>
      </c>
      <c r="K52" s="155"/>
      <c r="L52" s="159">
        <f>IFERROR(__xludf.DUMMYFUNCTION("""COMPUTED_VALUE"""),7.0)</f>
        <v>7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"/>
    </row>
    <row r="53" ht="24.75" customHeight="1">
      <c r="A53" s="152">
        <f>IFERROR(__xludf.DUMMYFUNCTION("""COMPUTED_VALUE"""),37.0)</f>
        <v>37</v>
      </c>
      <c r="B53" s="65" t="str">
        <f>IFERROR(__xludf.DUMMYFUNCTION("""COMPUTED_VALUE"""),"RAMOS")</f>
        <v>RAMOS</v>
      </c>
      <c r="C53" s="62" t="str">
        <f>IFERROR(__xludf.DUMMYFUNCTION("""COMPUTED_VALUE"""),"VERDIGUEL")</f>
        <v>VERDIGUEL</v>
      </c>
      <c r="D53" s="63" t="str">
        <f>IFERROR(__xludf.DUMMYFUNCTION("""COMPUTED_VALUE"""),"ROBERTO")</f>
        <v>ROBERTO</v>
      </c>
      <c r="E53" s="153">
        <f>IFERROR(__xludf.DUMMYFUNCTION("""COMPUTED_VALUE"""),7.0)</f>
        <v>7</v>
      </c>
      <c r="F53" s="153">
        <f>IFERROR(__xludf.DUMMYFUNCTION("""COMPUTED_VALUE"""),2.0)</f>
        <v>2</v>
      </c>
      <c r="G53" s="153"/>
      <c r="H53" s="154">
        <f>IFERROR(__xludf.DUMMYFUNCTION("""COMPUTED_VALUE"""),9.0)</f>
        <v>9</v>
      </c>
      <c r="I53" s="155">
        <f>IFERROR(__xludf.DUMMYFUNCTION("""COMPUTED_VALUE"""),1.0)</f>
        <v>1</v>
      </c>
      <c r="J53" s="156">
        <f>IFERROR(__xludf.DUMMYFUNCTION("""COMPUTED_VALUE"""),9.0)</f>
        <v>9</v>
      </c>
      <c r="K53" s="155"/>
      <c r="L53" s="159">
        <f>IFERROR(__xludf.DUMMYFUNCTION("""COMPUTED_VALUE"""),9.0)</f>
        <v>9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"/>
    </row>
    <row r="54" ht="24.75" customHeight="1">
      <c r="A54" s="152">
        <f>IFERROR(__xludf.DUMMYFUNCTION("""COMPUTED_VALUE"""),38.0)</f>
        <v>38</v>
      </c>
      <c r="B54" s="65" t="str">
        <f>IFERROR(__xludf.DUMMYFUNCTION("""COMPUTED_VALUE"""),"REYES")</f>
        <v>REYES</v>
      </c>
      <c r="C54" s="62" t="str">
        <f>IFERROR(__xludf.DUMMYFUNCTION("""COMPUTED_VALUE"""),"RODRIGUEZ")</f>
        <v>RODRIGUEZ</v>
      </c>
      <c r="D54" s="63" t="str">
        <f>IFERROR(__xludf.DUMMYFUNCTION("""COMPUTED_VALUE"""),"ANA FERNANDA")</f>
        <v>ANA FERNANDA</v>
      </c>
      <c r="E54" s="153">
        <f>IFERROR(__xludf.DUMMYFUNCTION("""COMPUTED_VALUE"""),0.0)</f>
        <v>0</v>
      </c>
      <c r="F54" s="153">
        <f>IFERROR(__xludf.DUMMYFUNCTION("""COMPUTED_VALUE"""),0.0)</f>
        <v>0</v>
      </c>
      <c r="G54" s="153"/>
      <c r="H54" s="154">
        <f>IFERROR(__xludf.DUMMYFUNCTION("""COMPUTED_VALUE"""),0.0)</f>
        <v>0</v>
      </c>
      <c r="I54" s="155">
        <f>IFERROR(__xludf.DUMMYFUNCTION("""COMPUTED_VALUE"""),0.0)</f>
        <v>0</v>
      </c>
      <c r="J54" s="156">
        <f>IFERROR(__xludf.DUMMYFUNCTION("""COMPUTED_VALUE"""),5.0)</f>
        <v>5</v>
      </c>
      <c r="K54" s="155"/>
      <c r="L54" s="159">
        <f>IFERROR(__xludf.DUMMYFUNCTION("""COMPUTED_VALUE"""),0.0)</f>
        <v>0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"/>
    </row>
    <row r="55" ht="24.75" customHeight="1">
      <c r="A55" s="152">
        <f>IFERROR(__xludf.DUMMYFUNCTION("""COMPUTED_VALUE"""),39.0)</f>
        <v>39</v>
      </c>
      <c r="B55" s="65" t="str">
        <f>IFERROR(__xludf.DUMMYFUNCTION("""COMPUTED_VALUE"""),"SANCHEZ")</f>
        <v>SANCHEZ</v>
      </c>
      <c r="C55" s="62" t="str">
        <f>IFERROR(__xludf.DUMMYFUNCTION("""COMPUTED_VALUE"""),"PEREZ")</f>
        <v>PEREZ</v>
      </c>
      <c r="D55" s="63" t="str">
        <f>IFERROR(__xludf.DUMMYFUNCTION("""COMPUTED_VALUE"""),"JESUS ALEXANDER")</f>
        <v>JESUS ALEXANDER</v>
      </c>
      <c r="E55" s="153">
        <f>IFERROR(__xludf.DUMMYFUNCTION("""COMPUTED_VALUE"""),7.0)</f>
        <v>7</v>
      </c>
      <c r="F55" s="153">
        <f>IFERROR(__xludf.DUMMYFUNCTION("""COMPUTED_VALUE"""),2.0)</f>
        <v>2</v>
      </c>
      <c r="G55" s="153"/>
      <c r="H55" s="154">
        <f>IFERROR(__xludf.DUMMYFUNCTION("""COMPUTED_VALUE"""),9.0)</f>
        <v>9</v>
      </c>
      <c r="I55" s="160">
        <f>IFERROR(__xludf.DUMMYFUNCTION("""COMPUTED_VALUE"""),1.0)</f>
        <v>1</v>
      </c>
      <c r="J55" s="156">
        <f>IFERROR(__xludf.DUMMYFUNCTION("""COMPUTED_VALUE"""),9.0)</f>
        <v>9</v>
      </c>
      <c r="K55" s="155"/>
      <c r="L55" s="159">
        <f>IFERROR(__xludf.DUMMYFUNCTION("""COMPUTED_VALUE"""),9.0)</f>
        <v>9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"/>
    </row>
    <row r="56" ht="24.75" customHeight="1">
      <c r="A56" s="152">
        <f>IFERROR(__xludf.DUMMYFUNCTION("""COMPUTED_VALUE"""),40.0)</f>
        <v>40</v>
      </c>
      <c r="B56" s="65" t="str">
        <f>IFERROR(__xludf.DUMMYFUNCTION("""COMPUTED_VALUE"""),"SANTANA")</f>
        <v>SANTANA</v>
      </c>
      <c r="C56" s="62" t="str">
        <f>IFERROR(__xludf.DUMMYFUNCTION("""COMPUTED_VALUE"""),"RAZO")</f>
        <v>RAZO</v>
      </c>
      <c r="D56" s="63" t="str">
        <f>IFERROR(__xludf.DUMMYFUNCTION("""COMPUTED_VALUE"""),"IVAN EMMANUEL")</f>
        <v>IVAN EMMANUEL</v>
      </c>
      <c r="E56" s="153">
        <f>IFERROR(__xludf.DUMMYFUNCTION("""COMPUTED_VALUE"""),5.0)</f>
        <v>5</v>
      </c>
      <c r="F56" s="153">
        <f>IFERROR(__xludf.DUMMYFUNCTION("""COMPUTED_VALUE"""),1.0)</f>
        <v>1</v>
      </c>
      <c r="G56" s="153"/>
      <c r="H56" s="154">
        <f>IFERROR(__xludf.DUMMYFUNCTION("""COMPUTED_VALUE"""),6.0)</f>
        <v>6</v>
      </c>
      <c r="I56" s="160">
        <f>IFERROR(__xludf.DUMMYFUNCTION("""COMPUTED_VALUE"""),2.0)</f>
        <v>2</v>
      </c>
      <c r="J56" s="156">
        <f>IFERROR(__xludf.DUMMYFUNCTION("""COMPUTED_VALUE"""),6.0)</f>
        <v>6</v>
      </c>
      <c r="K56" s="155"/>
      <c r="L56" s="159">
        <f>IFERROR(__xludf.DUMMYFUNCTION("""COMPUTED_VALUE"""),6.0)</f>
        <v>6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"/>
    </row>
    <row r="57" ht="24.75" customHeight="1">
      <c r="A57" s="152">
        <f>IFERROR(__xludf.DUMMYFUNCTION("""COMPUTED_VALUE"""),41.0)</f>
        <v>41</v>
      </c>
      <c r="B57" s="65" t="str">
        <f>IFERROR(__xludf.DUMMYFUNCTION("""COMPUTED_VALUE"""),"SANTILLAN")</f>
        <v>SANTILLAN</v>
      </c>
      <c r="C57" s="62" t="str">
        <f>IFERROR(__xludf.DUMMYFUNCTION("""COMPUTED_VALUE"""),"JULIAN")</f>
        <v>JULIAN</v>
      </c>
      <c r="D57" s="63" t="str">
        <f>IFERROR(__xludf.DUMMYFUNCTION("""COMPUTED_VALUE"""),"JUAN ALBERTO")</f>
        <v>JUAN ALBERTO</v>
      </c>
      <c r="E57" s="153">
        <f>IFERROR(__xludf.DUMMYFUNCTION("""COMPUTED_VALUE"""),7.0)</f>
        <v>7</v>
      </c>
      <c r="F57" s="153">
        <f>IFERROR(__xludf.DUMMYFUNCTION("""COMPUTED_VALUE"""),2.0)</f>
        <v>2</v>
      </c>
      <c r="G57" s="153"/>
      <c r="H57" s="154">
        <f>IFERROR(__xludf.DUMMYFUNCTION("""COMPUTED_VALUE"""),9.0)</f>
        <v>9</v>
      </c>
      <c r="I57" s="160">
        <f>IFERROR(__xludf.DUMMYFUNCTION("""COMPUTED_VALUE"""),0.0)</f>
        <v>0</v>
      </c>
      <c r="J57" s="156">
        <f>IFERROR(__xludf.DUMMYFUNCTION("""COMPUTED_VALUE"""),9.0)</f>
        <v>9</v>
      </c>
      <c r="K57" s="155"/>
      <c r="L57" s="159">
        <f>IFERROR(__xludf.DUMMYFUNCTION("""COMPUTED_VALUE"""),9.0)</f>
        <v>9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"/>
    </row>
    <row r="58" ht="24.75" customHeight="1">
      <c r="A58" s="152">
        <f>IFERROR(__xludf.DUMMYFUNCTION("""COMPUTED_VALUE"""),42.0)</f>
        <v>42</v>
      </c>
      <c r="B58" s="65" t="str">
        <f>IFERROR(__xludf.DUMMYFUNCTION("""COMPUTED_VALUE"""),"SOLIS")</f>
        <v>SOLIS</v>
      </c>
      <c r="C58" s="62" t="str">
        <f>IFERROR(__xludf.DUMMYFUNCTION("""COMPUTED_VALUE"""),"MARTINEZ")</f>
        <v>MARTINEZ</v>
      </c>
      <c r="D58" s="63" t="str">
        <f>IFERROR(__xludf.DUMMYFUNCTION("""COMPUTED_VALUE"""),"ISAIAS")</f>
        <v>ISAIAS</v>
      </c>
      <c r="E58" s="153">
        <f>IFERROR(__xludf.DUMMYFUNCTION("""COMPUTED_VALUE"""),8.0)</f>
        <v>8</v>
      </c>
      <c r="F58" s="153">
        <f>IFERROR(__xludf.DUMMYFUNCTION("""COMPUTED_VALUE"""),2.0)</f>
        <v>2</v>
      </c>
      <c r="G58" s="153"/>
      <c r="H58" s="154">
        <f>IFERROR(__xludf.DUMMYFUNCTION("""COMPUTED_VALUE"""),10.0)</f>
        <v>10</v>
      </c>
      <c r="I58" s="160">
        <f>IFERROR(__xludf.DUMMYFUNCTION("""COMPUTED_VALUE"""),0.0)</f>
        <v>0</v>
      </c>
      <c r="J58" s="156">
        <f>IFERROR(__xludf.DUMMYFUNCTION("""COMPUTED_VALUE"""),10.0)</f>
        <v>10</v>
      </c>
      <c r="K58" s="155"/>
      <c r="L58" s="159">
        <f>IFERROR(__xludf.DUMMYFUNCTION("""COMPUTED_VALUE"""),10.0)</f>
        <v>10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"/>
    </row>
    <row r="59" ht="24.75" customHeight="1">
      <c r="A59" s="152">
        <f>IFERROR(__xludf.DUMMYFUNCTION("""COMPUTED_VALUE"""),43.0)</f>
        <v>43</v>
      </c>
      <c r="B59" s="65" t="str">
        <f>IFERROR(__xludf.DUMMYFUNCTION("""COMPUTED_VALUE"""),"SUAREZ")</f>
        <v>SUAREZ</v>
      </c>
      <c r="C59" s="62" t="str">
        <f>IFERROR(__xludf.DUMMYFUNCTION("""COMPUTED_VALUE"""),"GONZALEZ")</f>
        <v>GONZALEZ</v>
      </c>
      <c r="D59" s="63" t="str">
        <f>IFERROR(__xludf.DUMMYFUNCTION("""COMPUTED_VALUE"""),"ZAID MANUEL")</f>
        <v>ZAID MANUEL</v>
      </c>
      <c r="E59" s="153">
        <f>IFERROR(__xludf.DUMMYFUNCTION("""COMPUTED_VALUE"""),7.0)</f>
        <v>7</v>
      </c>
      <c r="F59" s="153">
        <f>IFERROR(__xludf.DUMMYFUNCTION("""COMPUTED_VALUE"""),2.0)</f>
        <v>2</v>
      </c>
      <c r="G59" s="153"/>
      <c r="H59" s="154">
        <f>IFERROR(__xludf.DUMMYFUNCTION("""COMPUTED_VALUE"""),9.0)</f>
        <v>9</v>
      </c>
      <c r="I59" s="160">
        <f>IFERROR(__xludf.DUMMYFUNCTION("""COMPUTED_VALUE"""),0.0)</f>
        <v>0</v>
      </c>
      <c r="J59" s="156">
        <f>IFERROR(__xludf.DUMMYFUNCTION("""COMPUTED_VALUE"""),9.0)</f>
        <v>9</v>
      </c>
      <c r="K59" s="155"/>
      <c r="L59" s="159">
        <f>IFERROR(__xludf.DUMMYFUNCTION("""COMPUTED_VALUE"""),9.0)</f>
        <v>9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"/>
    </row>
    <row r="60" ht="24.75" customHeight="1">
      <c r="A60" s="152">
        <f>IFERROR(__xludf.DUMMYFUNCTION("""COMPUTED_VALUE"""),44.0)</f>
        <v>44</v>
      </c>
      <c r="B60" s="65" t="str">
        <f>IFERROR(__xludf.DUMMYFUNCTION("""COMPUTED_VALUE"""),"VALLEJO")</f>
        <v>VALLEJO</v>
      </c>
      <c r="C60" s="62" t="str">
        <f>IFERROR(__xludf.DUMMYFUNCTION("""COMPUTED_VALUE"""),"MORALES")</f>
        <v>MORALES</v>
      </c>
      <c r="D60" s="63" t="str">
        <f>IFERROR(__xludf.DUMMYFUNCTION("""COMPUTED_VALUE"""),"ALEJANDRO")</f>
        <v>ALEJANDRO</v>
      </c>
      <c r="E60" s="153">
        <f>IFERROR(__xludf.DUMMYFUNCTION("""COMPUTED_VALUE"""),7.0)</f>
        <v>7</v>
      </c>
      <c r="F60" s="153">
        <f>IFERROR(__xludf.DUMMYFUNCTION("""COMPUTED_VALUE"""),2.0)</f>
        <v>2</v>
      </c>
      <c r="G60" s="153">
        <f>IFERROR(__xludf.DUMMYFUNCTION("""COMPUTED_VALUE"""),1.0)</f>
        <v>1</v>
      </c>
      <c r="H60" s="154">
        <f>IFERROR(__xludf.DUMMYFUNCTION("""COMPUTED_VALUE"""),10.0)</f>
        <v>10</v>
      </c>
      <c r="I60" s="160">
        <f>IFERROR(__xludf.DUMMYFUNCTION("""COMPUTED_VALUE"""),0.0)</f>
        <v>0</v>
      </c>
      <c r="J60" s="156">
        <f>IFERROR(__xludf.DUMMYFUNCTION("""COMPUTED_VALUE"""),10.0)</f>
        <v>10</v>
      </c>
      <c r="K60" s="155"/>
      <c r="L60" s="159">
        <f>IFERROR(__xludf.DUMMYFUNCTION("""COMPUTED_VALUE"""),10.0)</f>
        <v>10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"/>
    </row>
    <row r="61" ht="24.75" customHeight="1">
      <c r="A61" s="152">
        <f>IFERROR(__xludf.DUMMYFUNCTION("""COMPUTED_VALUE"""),45.0)</f>
        <v>45</v>
      </c>
      <c r="B61" s="65" t="str">
        <f>IFERROR(__xludf.DUMMYFUNCTION("""COMPUTED_VALUE"""),"VELEZ")</f>
        <v>VELEZ</v>
      </c>
      <c r="C61" s="62" t="str">
        <f>IFERROR(__xludf.DUMMYFUNCTION("""COMPUTED_VALUE"""),"RODRIGUEZ")</f>
        <v>RODRIGUEZ</v>
      </c>
      <c r="D61" s="63" t="str">
        <f>IFERROR(__xludf.DUMMYFUNCTION("""COMPUTED_VALUE"""),"PAULA VALERIA")</f>
        <v>PAULA VALERIA</v>
      </c>
      <c r="E61" s="153">
        <f>IFERROR(__xludf.DUMMYFUNCTION("""COMPUTED_VALUE"""),5.0)</f>
        <v>5</v>
      </c>
      <c r="F61" s="153">
        <f>IFERROR(__xludf.DUMMYFUNCTION("""COMPUTED_VALUE"""),2.0)</f>
        <v>2</v>
      </c>
      <c r="G61" s="153"/>
      <c r="H61" s="154">
        <f>IFERROR(__xludf.DUMMYFUNCTION("""COMPUTED_VALUE"""),7.0)</f>
        <v>7</v>
      </c>
      <c r="I61" s="160">
        <f>IFERROR(__xludf.DUMMYFUNCTION("""COMPUTED_VALUE"""),0.0)</f>
        <v>0</v>
      </c>
      <c r="J61" s="156">
        <f>IFERROR(__xludf.DUMMYFUNCTION("""COMPUTED_VALUE"""),7.0)</f>
        <v>7</v>
      </c>
      <c r="K61" s="155"/>
      <c r="L61" s="159">
        <f>IFERROR(__xludf.DUMMYFUNCTION("""COMPUTED_VALUE"""),7.0)</f>
        <v>7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"/>
    </row>
    <row r="62" ht="24.75" customHeight="1">
      <c r="A62" s="152">
        <f>IFERROR(__xludf.DUMMYFUNCTION("""COMPUTED_VALUE"""),46.0)</f>
        <v>46</v>
      </c>
      <c r="B62" s="65" t="str">
        <f>IFERROR(__xludf.DUMMYFUNCTION("""COMPUTED_VALUE"""),"YAÑEZ")</f>
        <v>YAÑEZ</v>
      </c>
      <c r="C62" s="62" t="str">
        <f>IFERROR(__xludf.DUMMYFUNCTION("""COMPUTED_VALUE"""),"MERCADO")</f>
        <v>MERCADO</v>
      </c>
      <c r="D62" s="63" t="str">
        <f>IFERROR(__xludf.DUMMYFUNCTION("""COMPUTED_VALUE"""),"HANNA AYELET")</f>
        <v>HANNA AYELET</v>
      </c>
      <c r="E62" s="153">
        <f>IFERROR(__xludf.DUMMYFUNCTION("""COMPUTED_VALUE"""),6.0)</f>
        <v>6</v>
      </c>
      <c r="F62" s="153">
        <f>IFERROR(__xludf.DUMMYFUNCTION("""COMPUTED_VALUE"""),2.0)</f>
        <v>2</v>
      </c>
      <c r="G62" s="153"/>
      <c r="H62" s="154">
        <f>IFERROR(__xludf.DUMMYFUNCTION("""COMPUTED_VALUE"""),8.0)</f>
        <v>8</v>
      </c>
      <c r="I62" s="160">
        <f>IFERROR(__xludf.DUMMYFUNCTION("""COMPUTED_VALUE"""),1.0)</f>
        <v>1</v>
      </c>
      <c r="J62" s="156">
        <f>IFERROR(__xludf.DUMMYFUNCTION("""COMPUTED_VALUE"""),8.0)</f>
        <v>8</v>
      </c>
      <c r="K62" s="155"/>
      <c r="L62" s="159">
        <f>IFERROR(__xludf.DUMMYFUNCTION("""COMPUTED_VALUE"""),8.0)</f>
        <v>8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"/>
    </row>
    <row r="63" ht="24.75" customHeight="1">
      <c r="A63" s="152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IFERROR(__xludf.DUMMYFUNCTION("""COMPUTED_VALUE"""),"ARIZAGA")</f>
        <v>ARIZAGA</v>
      </c>
      <c r="D63" s="63" t="str">
        <f>IFERROR(__xludf.DUMMYFUNCTION("""COMPUTED_VALUE"""),"ISRAEL")</f>
        <v>ISRAEL</v>
      </c>
      <c r="E63" s="153">
        <f>IFERROR(__xludf.DUMMYFUNCTION("""COMPUTED_VALUE"""),8.0)</f>
        <v>8</v>
      </c>
      <c r="F63" s="153">
        <f>IFERROR(__xludf.DUMMYFUNCTION("""COMPUTED_VALUE"""),2.0)</f>
        <v>2</v>
      </c>
      <c r="G63" s="153"/>
      <c r="H63" s="154">
        <f>IFERROR(__xludf.DUMMYFUNCTION("""COMPUTED_VALUE"""),10.0)</f>
        <v>10</v>
      </c>
      <c r="I63" s="160">
        <f>IFERROR(__xludf.DUMMYFUNCTION("""COMPUTED_VALUE"""),0.0)</f>
        <v>0</v>
      </c>
      <c r="J63" s="156">
        <f>IFERROR(__xludf.DUMMYFUNCTION("""COMPUTED_VALUE"""),10.0)</f>
        <v>10</v>
      </c>
      <c r="K63" s="155"/>
      <c r="L63" s="159">
        <f>IFERROR(__xludf.DUMMYFUNCTION("""COMPUTED_VALUE"""),10.0)</f>
        <v>10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"/>
    </row>
    <row r="64" ht="24.75" customHeight="1">
      <c r="A64" s="152">
        <f>IFERROR(__xludf.DUMMYFUNCTION("""COMPUTED_VALUE"""),48.0)</f>
        <v>48</v>
      </c>
      <c r="B64" s="65" t="str">
        <f>IFERROR(__xludf.DUMMYFUNCTION("""COMPUTED_VALUE"""),"ZUÑIGA")</f>
        <v>ZUÑIGA</v>
      </c>
      <c r="C64" s="62" t="str">
        <f>IFERROR(__xludf.DUMMYFUNCTION("""COMPUTED_VALUE"""),"NAVARRETE")</f>
        <v>NAVARRETE</v>
      </c>
      <c r="D64" s="63" t="str">
        <f>IFERROR(__xludf.DUMMYFUNCTION("""COMPUTED_VALUE"""),"IRVING")</f>
        <v>IRVING</v>
      </c>
      <c r="E64" s="153">
        <f>IFERROR(__xludf.DUMMYFUNCTION("""COMPUTED_VALUE"""),8.0)</f>
        <v>8</v>
      </c>
      <c r="F64" s="153">
        <f>IFERROR(__xludf.DUMMYFUNCTION("""COMPUTED_VALUE"""),2.0)</f>
        <v>2</v>
      </c>
      <c r="G64" s="153"/>
      <c r="H64" s="154">
        <f>IFERROR(__xludf.DUMMYFUNCTION("""COMPUTED_VALUE"""),10.0)</f>
        <v>10</v>
      </c>
      <c r="I64" s="160">
        <f>IFERROR(__xludf.DUMMYFUNCTION("""COMPUTED_VALUE"""),1.0)</f>
        <v>1</v>
      </c>
      <c r="J64" s="156">
        <f>IFERROR(__xludf.DUMMYFUNCTION("""COMPUTED_VALUE"""),10.0)</f>
        <v>10</v>
      </c>
      <c r="K64" s="155"/>
      <c r="L64" s="159">
        <f>IFERROR(__xludf.DUMMYFUNCTION("""COMPUTED_VALUE"""),10.0)</f>
        <v>10</v>
      </c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"/>
    </row>
    <row r="65" ht="24.75" customHeight="1">
      <c r="A65" s="124"/>
      <c r="B65" s="161"/>
      <c r="C65" s="161"/>
      <c r="D65" s="125"/>
      <c r="E65" s="162"/>
      <c r="F65" s="162"/>
      <c r="G65" s="162"/>
      <c r="H65" s="162"/>
      <c r="I65" s="130"/>
      <c r="J65" s="163"/>
      <c r="K65" s="126"/>
      <c r="L65" s="16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"/>
    </row>
    <row r="66" ht="24.75" customHeight="1">
      <c r="A66" s="119"/>
      <c r="B66" s="164" t="str">
        <f>IFERROR(__xludf.DUMMYFUNCTION("""COMPUTED_VALUE"""),"No. DE ALUMNOS INSCRITOS")</f>
        <v>No. DE ALUMNOS INSCRITOS</v>
      </c>
      <c r="C66" s="72"/>
      <c r="D66" s="165">
        <f>IFERROR(__xludf.DUMMYFUNCTION("""COMPUTED_VALUE"""),48.0)</f>
        <v>48</v>
      </c>
      <c r="E66" s="162"/>
      <c r="F66" s="166" t="str">
        <f>IFERROR(__xludf.DUMMYFUNCTION("""COMPUTED_VALUE"""),"FIRMA DEL PROFESOR")</f>
        <v>FIRMA DEL PROFESOR</v>
      </c>
      <c r="G66" s="162"/>
      <c r="H66" s="166" t="str">
        <f>IFERROR(__xludf.DUMMYFUNCTION("""COMPUTED_VALUE"""),"FIRMA DEL ORIENTADOR")</f>
        <v>FIRMA DEL ORIENTADOR</v>
      </c>
      <c r="J66" s="167" t="str">
        <f>IFERROR(__xludf.DUMMYFUNCTION("""COMPUTED_VALUE"""),"Vo. Bo. SUBDIRECCIÓN ESCOLAR")</f>
        <v>Vo. Bo. SUBDIRECCIÓN ESCOLAR</v>
      </c>
      <c r="K66" s="168" t="str">
        <f>IFERROR(__xludf.DUMMYFUNCTION("""COMPUTED_VALUE"""),"REVISADO POR SECRETARIA ESCOLAR ")</f>
        <v>REVISADO POR SECRETARIA ESCOLAR </v>
      </c>
      <c r="L66" s="16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"/>
    </row>
    <row r="67" ht="24.75" customHeight="1">
      <c r="A67" s="119"/>
      <c r="B67" s="169" t="str">
        <f>IFERROR(__xludf.DUMMYFUNCTION("""COMPUTED_VALUE"""),"BAJAS DURANTE EL SEMESTRE")</f>
        <v>BAJAS DURANTE EL SEMESTRE</v>
      </c>
      <c r="C67" s="79"/>
      <c r="D67" s="170">
        <f>IFERROR(__xludf.DUMMYFUNCTION("""COMPUTED_VALUE"""),0.0)</f>
        <v>0</v>
      </c>
      <c r="E67" s="162"/>
      <c r="G67" s="162"/>
      <c r="K67" s="10"/>
      <c r="L67" s="16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"/>
    </row>
    <row r="68" ht="24.75" customHeight="1">
      <c r="A68" s="119"/>
      <c r="B68" s="169" t="str">
        <f>IFERROR(__xludf.DUMMYFUNCTION("""COMPUTED_VALUE"""),"EXISTENCIA")</f>
        <v>EXISTENCIA</v>
      </c>
      <c r="C68" s="79"/>
      <c r="D68" s="172">
        <f>IFERROR(__xludf.DUMMYFUNCTION("""COMPUTED_VALUE"""),48.0)</f>
        <v>48</v>
      </c>
      <c r="E68" s="162"/>
      <c r="F68" s="162"/>
      <c r="G68" s="162"/>
      <c r="H68" s="162"/>
      <c r="I68" s="130"/>
      <c r="J68" s="163"/>
      <c r="K68" s="126"/>
      <c r="L68" s="16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"/>
    </row>
    <row r="69" ht="24.75" customHeight="1">
      <c r="A69" s="119"/>
      <c r="B69" s="169" t="str">
        <f>IFERROR(__xludf.DUMMYFUNCTION("""COMPUTED_VALUE"""),"No. DE ALUMNOS APROBADOS")</f>
        <v>No. DE ALUMNOS APROBADOS</v>
      </c>
      <c r="C69" s="79"/>
      <c r="D69" s="172">
        <f>IFERROR(__xludf.DUMMYFUNCTION("""COMPUTED_VALUE"""),41.0)</f>
        <v>41</v>
      </c>
      <c r="E69" s="162"/>
      <c r="F69" s="162"/>
      <c r="G69" s="162"/>
      <c r="H69" s="162"/>
      <c r="I69" s="130"/>
      <c r="J69" s="163"/>
      <c r="K69" s="126"/>
      <c r="L69" s="163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"/>
    </row>
    <row r="70" ht="13.5" customHeight="1">
      <c r="A70" s="119"/>
      <c r="B70" s="169" t="str">
        <f>IFERROR(__xludf.DUMMYFUNCTION("""COMPUTED_VALUE"""),"No. DE ALUMNOS REPROBADOS")</f>
        <v>No. DE ALUMNOS REPROBADOS</v>
      </c>
      <c r="C70" s="79"/>
      <c r="D70" s="172">
        <f>IFERROR(__xludf.DUMMYFUNCTION("""COMPUTED_VALUE"""),7.0)</f>
        <v>7</v>
      </c>
      <c r="E70" s="130"/>
      <c r="F70" s="173"/>
      <c r="G70" s="125"/>
      <c r="H70" s="173"/>
      <c r="I70" s="173"/>
      <c r="J70" s="174"/>
      <c r="K70" s="175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"/>
    </row>
    <row r="71" ht="21.75" customHeight="1">
      <c r="A71" s="176"/>
      <c r="B71" s="169" t="str">
        <f>IFERROR(__xludf.DUMMYFUNCTION("""COMPUTED_VALUE"""),"% DE APROBADOS")</f>
        <v>% DE APROBADOS</v>
      </c>
      <c r="C71" s="79"/>
      <c r="D71" s="177">
        <f>IFERROR(__xludf.DUMMYFUNCTION("""COMPUTED_VALUE"""),85.41666666666667)</f>
        <v>85.41666667</v>
      </c>
      <c r="E71" s="125"/>
      <c r="F71" s="178" t="str">
        <f>IFERROR(__xludf.DUMMYFUNCTION("""COMPUTED_VALUE"""),"PROFR. ")</f>
        <v>PROFR. </v>
      </c>
      <c r="G71" s="128"/>
      <c r="H71" s="179" t="str">
        <f>IFERROR(__xludf.DUMMYFUNCTION("""COMPUTED_VALUE"""),"PROFA. JUANA RANGEL PALACIOS")</f>
        <v>PROFA. JUANA RANGEL PALACIOS</v>
      </c>
      <c r="J71" s="180" t="str">
        <f>IFERROR(__xludf.DUMMYFUNCTION("""COMPUTED_VALUE"""),"PROFR. OCTAVIO VÁZQUEZ BARRETO")</f>
        <v>PROFR. OCTAVIO VÁZQUEZ BARRETO</v>
      </c>
      <c r="K71" s="181" t="str">
        <f>IFERROR(__xludf.DUMMYFUNCTION("""COMPUTED_VALUE"""),"PROFR. ROBERTO PALOMARES MEJÍA ")</f>
        <v>PROFR. ROBERTO PALOMARES MEJÍA </v>
      </c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"/>
    </row>
    <row r="72" ht="21.75" customHeight="1">
      <c r="A72" s="176"/>
      <c r="B72" s="182" t="str">
        <f>IFERROR(__xludf.DUMMYFUNCTION("""COMPUTED_VALUE"""),"PROMEDIO")</f>
        <v>PROMEDIO</v>
      </c>
      <c r="C72" s="97"/>
      <c r="D72" s="183">
        <f>IFERROR(__xludf.DUMMYFUNCTION("""COMPUTED_VALUE"""),8.395833333333334)</f>
        <v>8.395833333</v>
      </c>
      <c r="E72" s="125"/>
      <c r="G72" s="128"/>
      <c r="K72" s="10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"/>
    </row>
    <row r="73" ht="21.75" customHeight="1">
      <c r="A73" s="184"/>
      <c r="B73" s="119"/>
      <c r="C73" s="119"/>
      <c r="D73" s="119"/>
      <c r="E73" s="119"/>
      <c r="F73" s="119"/>
      <c r="G73" s="119"/>
      <c r="H73" s="119"/>
      <c r="I73" s="119"/>
      <c r="J73" s="119"/>
      <c r="K73" s="126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"/>
    </row>
    <row r="74" ht="21.75" customHeight="1">
      <c r="A74" s="185"/>
      <c r="B74" s="186"/>
      <c r="C74" s="187"/>
      <c r="D74" s="188"/>
      <c r="E74" s="125"/>
      <c r="G74" s="125"/>
      <c r="H74" s="125"/>
      <c r="I74" s="125"/>
      <c r="J74" s="125"/>
      <c r="K74" s="189"/>
      <c r="L74" s="125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"/>
    </row>
    <row r="75" ht="21.75" customHeight="1">
      <c r="A75" s="190"/>
      <c r="B75" s="125"/>
      <c r="C75" s="125"/>
      <c r="D75" s="161"/>
      <c r="E75" s="125"/>
      <c r="F75" s="119"/>
      <c r="G75" s="119"/>
      <c r="H75" s="119"/>
      <c r="I75" s="119"/>
      <c r="J75" s="119"/>
      <c r="K75" s="126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"/>
    </row>
    <row r="76" ht="27.75" customHeight="1">
      <c r="A76" s="190"/>
      <c r="B76" s="125"/>
      <c r="C76" s="125"/>
      <c r="D76" s="191"/>
      <c r="E76" s="125"/>
      <c r="F76" s="192"/>
      <c r="G76" s="119"/>
      <c r="H76" s="192"/>
      <c r="I76" s="192"/>
      <c r="J76" s="192"/>
      <c r="K76" s="193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"/>
    </row>
    <row r="77" ht="21.75" customHeight="1">
      <c r="A77" s="194"/>
      <c r="B77" s="195"/>
      <c r="C77" s="195"/>
      <c r="D77" s="196"/>
      <c r="E77" s="197"/>
      <c r="F77" s="198"/>
      <c r="G77" s="199"/>
      <c r="H77" s="198"/>
      <c r="I77" s="198"/>
      <c r="J77" s="198"/>
      <c r="K77" s="200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"/>
    </row>
    <row r="78" ht="13.5" customHeight="1">
      <c r="A78" s="119"/>
      <c r="B78" s="125"/>
      <c r="C78" s="125"/>
      <c r="D78" s="125"/>
      <c r="E78" s="125"/>
      <c r="F78" s="119"/>
      <c r="G78" s="119"/>
      <c r="H78" s="119"/>
      <c r="I78" s="119"/>
      <c r="J78" s="128"/>
      <c r="K78" s="128"/>
      <c r="L78" s="12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"/>
    </row>
    <row r="79" ht="13.5" customHeight="1">
      <c r="A79" s="119"/>
      <c r="B79" s="125"/>
      <c r="C79" s="125"/>
      <c r="D79" s="125"/>
      <c r="E79" s="125"/>
      <c r="F79" s="119"/>
      <c r="G79" s="119"/>
      <c r="H79" s="119"/>
      <c r="I79" s="119"/>
      <c r="J79" s="128"/>
      <c r="K79" s="128"/>
      <c r="L79" s="12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"/>
    </row>
    <row r="80" ht="13.5" customHeight="1">
      <c r="A80" s="119"/>
      <c r="B80" s="125"/>
      <c r="C80" s="125"/>
      <c r="D80" s="125"/>
      <c r="E80" s="125"/>
      <c r="F80" s="119"/>
      <c r="G80" s="119"/>
      <c r="H80" s="119"/>
      <c r="I80" s="119"/>
      <c r="J80" s="128"/>
      <c r="K80" s="128"/>
      <c r="L80" s="12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"/>
    </row>
    <row r="81" ht="13.5" customHeight="1">
      <c r="A81" s="119"/>
      <c r="B81" s="125"/>
      <c r="C81" s="125"/>
      <c r="D81" s="125"/>
      <c r="E81" s="125"/>
      <c r="F81" s="119"/>
      <c r="G81" s="119"/>
      <c r="H81" s="119"/>
      <c r="I81" s="119"/>
      <c r="J81" s="128"/>
      <c r="K81" s="128"/>
      <c r="L81" s="128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"/>
    </row>
    <row r="82" ht="13.5" customHeight="1">
      <c r="A82" s="119"/>
      <c r="B82" s="125"/>
      <c r="C82" s="125"/>
      <c r="D82" s="125"/>
      <c r="E82" s="125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"/>
    </row>
    <row r="83" ht="14.25" customHeight="1">
      <c r="A83" s="119"/>
      <c r="B83" s="125"/>
      <c r="C83" s="125"/>
      <c r="D83" s="125"/>
      <c r="E83" s="125"/>
      <c r="F83" s="119"/>
      <c r="G83" s="119"/>
      <c r="H83" s="119"/>
      <c r="I83" s="119"/>
      <c r="J83" s="119"/>
      <c r="K83" s="163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"/>
    </row>
    <row r="84" ht="14.25" customHeight="1">
      <c r="A84" s="119"/>
      <c r="B84" s="125"/>
      <c r="C84" s="125"/>
      <c r="D84" s="125"/>
      <c r="E84" s="12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"/>
    </row>
    <row r="85" ht="14.25" customHeight="1">
      <c r="A85" s="119"/>
      <c r="B85" s="125"/>
      <c r="C85" s="125"/>
      <c r="D85" s="125"/>
      <c r="E85" s="12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"/>
    </row>
    <row r="86" ht="14.25" customHeight="1">
      <c r="A86" s="119"/>
      <c r="B86" s="125"/>
      <c r="C86" s="125"/>
      <c r="D86" s="125"/>
      <c r="E86" s="12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"/>
    </row>
    <row r="87" ht="14.25" customHeight="1">
      <c r="A87" s="119"/>
      <c r="B87" s="125"/>
      <c r="C87" s="125"/>
      <c r="D87" s="125"/>
      <c r="E87" s="125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"/>
    </row>
    <row r="88" ht="14.25" customHeight="1">
      <c r="A88" s="119"/>
      <c r="B88" s="125"/>
      <c r="C88" s="125"/>
      <c r="D88" s="125"/>
      <c r="E88" s="125"/>
      <c r="F88" s="119"/>
      <c r="G88" s="119"/>
      <c r="H88" s="119"/>
      <c r="I88" s="119"/>
      <c r="J88" s="119"/>
      <c r="K88" s="163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"/>
    </row>
    <row r="89" ht="14.25" customHeight="1">
      <c r="A89" s="119"/>
      <c r="B89" s="125"/>
      <c r="C89" s="125"/>
      <c r="D89" s="125"/>
      <c r="E89" s="125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"/>
    </row>
    <row r="94" ht="14.2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"/>
    </row>
    <row r="95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"/>
    </row>
    <row r="9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"/>
    </row>
    <row r="97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"/>
    </row>
    <row r="98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"/>
    </row>
    <row r="99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"/>
    </row>
    <row r="100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"/>
    </row>
    <row r="101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"/>
    </row>
    <row r="102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"/>
    </row>
    <row r="103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"/>
    </row>
    <row r="104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"/>
    </row>
    <row r="105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"/>
    </row>
    <row r="10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"/>
    </row>
    <row r="107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"/>
    </row>
    <row r="108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"/>
    </row>
    <row r="109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"/>
    </row>
    <row r="110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"/>
    </row>
    <row r="111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"/>
    </row>
    <row r="112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"/>
    </row>
    <row r="113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"/>
    </row>
    <row r="114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"/>
    </row>
    <row r="115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"/>
    </row>
    <row r="11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"/>
    </row>
    <row r="117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"/>
    </row>
    <row r="118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"/>
    </row>
    <row r="119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"/>
    </row>
    <row r="120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"/>
    </row>
    <row r="121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"/>
    </row>
    <row r="122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"/>
    </row>
    <row r="123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"/>
    </row>
    <row r="124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"/>
    </row>
    <row r="125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"/>
    </row>
    <row r="1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"/>
    </row>
    <row r="127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"/>
    </row>
    <row r="128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"/>
    </row>
    <row r="129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"/>
    </row>
    <row r="130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"/>
    </row>
    <row r="131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"/>
    </row>
    <row r="132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"/>
    </row>
    <row r="133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"/>
    </row>
    <row r="134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"/>
    </row>
    <row r="135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"/>
    </row>
    <row r="13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"/>
    </row>
    <row r="137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"/>
    </row>
    <row r="138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"/>
    </row>
    <row r="139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"/>
    </row>
    <row r="140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"/>
    </row>
    <row r="141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"/>
    </row>
    <row r="142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"/>
    </row>
    <row r="143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"/>
    </row>
    <row r="144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"/>
    </row>
    <row r="145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"/>
    </row>
    <row r="14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"/>
    </row>
    <row r="147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"/>
    </row>
    <row r="148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"/>
    </row>
    <row r="149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"/>
    </row>
    <row r="150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"/>
    </row>
    <row r="151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"/>
    </row>
    <row r="152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"/>
    </row>
    <row r="153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"/>
    </row>
    <row r="154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"/>
    </row>
    <row r="155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"/>
    </row>
    <row r="15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"/>
    </row>
    <row r="157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"/>
    </row>
    <row r="158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"/>
    </row>
    <row r="159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"/>
    </row>
    <row r="160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"/>
    </row>
    <row r="161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"/>
    </row>
    <row r="162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"/>
    </row>
    <row r="163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"/>
    </row>
    <row r="164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"/>
    </row>
    <row r="165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"/>
    </row>
    <row r="16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"/>
    </row>
    <row r="167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"/>
    </row>
    <row r="168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"/>
    </row>
    <row r="169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"/>
    </row>
    <row r="170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"/>
    </row>
    <row r="171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"/>
    </row>
    <row r="172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"/>
    </row>
    <row r="173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"/>
    </row>
    <row r="174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"/>
    </row>
    <row r="175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"/>
    </row>
    <row r="17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"/>
    </row>
    <row r="177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"/>
    </row>
    <row r="178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"/>
    </row>
    <row r="179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"/>
    </row>
    <row r="180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"/>
    </row>
    <row r="181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"/>
    </row>
    <row r="182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"/>
    </row>
    <row r="183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"/>
    </row>
    <row r="184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"/>
    </row>
    <row r="185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"/>
    </row>
    <row r="18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"/>
    </row>
    <row r="187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"/>
    </row>
    <row r="188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"/>
    </row>
    <row r="189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"/>
    </row>
    <row r="190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"/>
    </row>
    <row r="191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"/>
    </row>
    <row r="192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"/>
    </row>
    <row r="193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"/>
    </row>
    <row r="194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"/>
    </row>
    <row r="195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"/>
    </row>
    <row r="19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"/>
    </row>
    <row r="197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"/>
    </row>
    <row r="198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"/>
    </row>
    <row r="199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"/>
    </row>
    <row r="200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"/>
    </row>
    <row r="201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"/>
    </row>
    <row r="202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"/>
    </row>
    <row r="203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"/>
    </row>
    <row r="204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"/>
    </row>
    <row r="205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"/>
    </row>
    <row r="20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"/>
    </row>
    <row r="207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"/>
    </row>
    <row r="208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"/>
    </row>
    <row r="209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"/>
    </row>
    <row r="210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"/>
    </row>
    <row r="211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"/>
    </row>
    <row r="212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"/>
    </row>
    <row r="213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"/>
    </row>
    <row r="214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"/>
    </row>
    <row r="215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"/>
    </row>
    <row r="21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"/>
    </row>
    <row r="217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"/>
    </row>
    <row r="218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"/>
    </row>
    <row r="219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"/>
    </row>
    <row r="220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"/>
    </row>
    <row r="221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"/>
    </row>
    <row r="222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"/>
    </row>
    <row r="223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"/>
    </row>
    <row r="224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"/>
    </row>
    <row r="225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"/>
    </row>
    <row r="2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"/>
    </row>
    <row r="227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"/>
    </row>
    <row r="228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"/>
    </row>
    <row r="229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"/>
    </row>
    <row r="230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"/>
    </row>
    <row r="231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"/>
    </row>
    <row r="232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"/>
    </row>
    <row r="233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"/>
    </row>
    <row r="234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"/>
    </row>
    <row r="235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"/>
    </row>
    <row r="23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"/>
    </row>
    <row r="237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"/>
    </row>
    <row r="238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"/>
    </row>
    <row r="239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"/>
    </row>
    <row r="240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"/>
    </row>
    <row r="241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"/>
    </row>
    <row r="242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"/>
    </row>
    <row r="243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"/>
    </row>
    <row r="244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"/>
    </row>
    <row r="245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"/>
    </row>
    <row r="24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"/>
    </row>
    <row r="247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"/>
    </row>
    <row r="248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"/>
    </row>
    <row r="249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"/>
    </row>
    <row r="250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"/>
    </row>
    <row r="251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"/>
    </row>
    <row r="252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"/>
    </row>
    <row r="253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"/>
    </row>
    <row r="254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"/>
    </row>
    <row r="255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"/>
    </row>
    <row r="25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"/>
    </row>
    <row r="257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"/>
    </row>
    <row r="258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"/>
    </row>
    <row r="259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"/>
    </row>
    <row r="260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"/>
    </row>
    <row r="261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"/>
    </row>
    <row r="262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"/>
    </row>
    <row r="263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"/>
    </row>
    <row r="264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"/>
    </row>
    <row r="265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"/>
    </row>
    <row r="26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"/>
    </row>
    <row r="267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"/>
    </row>
    <row r="268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"/>
    </row>
    <row r="269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"/>
    </row>
    <row r="270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"/>
    </row>
    <row r="271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"/>
    </row>
    <row r="272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"/>
    </row>
    <row r="273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"/>
    </row>
    <row r="274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"/>
    </row>
    <row r="275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"/>
    </row>
    <row r="27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19" t="str">
        <f>IFERROR(__xludf.DUMMYFUNCTION("IMPORTRANGE(""https://docs.google.com/spreadsheets/d/1oczZkBB4J1AhkTffmv-aGacdvcTpVfBb7fURSv7sJlk/edit?gid=868681460#gid=868681460"",""2-3 mantenimiento de redes de computo!A1:Q85"")"),"")</f>
        <v/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"/>
    </row>
    <row r="2" ht="15.0" customHeight="1">
      <c r="A2" s="120"/>
      <c r="B2" s="121"/>
      <c r="C2" s="121"/>
      <c r="D2" s="121"/>
      <c r="E2" s="122"/>
      <c r="F2" s="122"/>
      <c r="G2" s="122"/>
      <c r="H2" s="122"/>
      <c r="I2" s="122"/>
      <c r="J2" s="122"/>
      <c r="K2" s="123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"/>
    </row>
    <row r="3" ht="15.0" customHeight="1">
      <c r="A3" s="124"/>
      <c r="B3" s="125"/>
      <c r="C3" s="125"/>
      <c r="D3" s="125"/>
      <c r="E3" s="119"/>
      <c r="F3" s="119"/>
      <c r="G3" s="119"/>
      <c r="H3" s="119"/>
      <c r="I3" s="119"/>
      <c r="J3" s="119"/>
      <c r="K3" s="126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"/>
    </row>
    <row r="4" ht="15.0" customHeight="1">
      <c r="A4" s="124"/>
      <c r="B4" s="125"/>
      <c r="C4" s="125"/>
      <c r="D4" s="125"/>
      <c r="E4" s="119"/>
      <c r="F4" s="119"/>
      <c r="G4" s="119"/>
      <c r="H4" s="119"/>
      <c r="I4" s="119"/>
      <c r="J4" s="119"/>
      <c r="K4" s="12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"/>
    </row>
    <row r="5" ht="15.0" customHeight="1">
      <c r="A5" s="124"/>
      <c r="B5" s="125"/>
      <c r="C5" s="125"/>
      <c r="D5" s="125"/>
      <c r="E5" s="119"/>
      <c r="F5" s="119"/>
      <c r="G5" s="119"/>
      <c r="H5" s="119"/>
      <c r="I5" s="119"/>
      <c r="J5" s="119"/>
      <c r="K5" s="12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"/>
    </row>
    <row r="6" ht="15.0" customHeight="1">
      <c r="A6" s="124"/>
      <c r="B6" s="125"/>
      <c r="C6" s="125"/>
      <c r="D6" s="125"/>
      <c r="E6" s="119"/>
      <c r="F6" s="119"/>
      <c r="G6" s="119"/>
      <c r="H6" s="119"/>
      <c r="I6" s="119"/>
      <c r="J6" s="119"/>
      <c r="K6" s="126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"/>
    </row>
    <row r="7" ht="15.0" customHeight="1">
      <c r="A7" s="124"/>
      <c r="B7" s="125"/>
      <c r="C7" s="125"/>
      <c r="D7" s="125"/>
      <c r="E7" s="119"/>
      <c r="F7" s="119"/>
      <c r="G7" s="119"/>
      <c r="H7" s="119"/>
      <c r="I7" s="119"/>
      <c r="J7" s="119"/>
      <c r="K7" s="126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"/>
    </row>
    <row r="8" ht="9.75" customHeight="1">
      <c r="A8" s="124"/>
      <c r="B8" s="125"/>
      <c r="C8" s="125"/>
      <c r="D8" s="125"/>
      <c r="E8" s="119"/>
      <c r="F8" s="119"/>
      <c r="G8" s="119"/>
      <c r="H8" s="119"/>
      <c r="I8" s="119"/>
      <c r="J8" s="119"/>
      <c r="K8" s="126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"/>
    </row>
    <row r="9" ht="23.25" customHeight="1">
      <c r="A9" s="127" t="str">
        <f>IFERROR(__xludf.DUMMYFUNCTION("""COMPUTED_VALUE"""),"ESCUELA PREPARATORIA OFICIAL NÚM. 67")</f>
        <v>ESCUELA PREPARATORIA OFICIAL NÚM. 67</v>
      </c>
      <c r="K9" s="10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"/>
    </row>
    <row r="10" ht="9.75" customHeight="1">
      <c r="A10" s="124"/>
      <c r="B10" s="125"/>
      <c r="C10" s="125"/>
      <c r="D10" s="125"/>
      <c r="E10" s="128"/>
      <c r="K10" s="10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"/>
    </row>
    <row r="11" ht="19.5" customHeight="1">
      <c r="A11" s="124"/>
      <c r="B11" s="129" t="str">
        <f>IFERROR(__xludf.DUMMYFUNCTION("""COMPUTED_VALUE"""),"CONTROL PRIMER PARCIAL ")</f>
        <v>CONTROL PRIMER PARCIAL </v>
      </c>
      <c r="C11" s="130"/>
      <c r="D11" s="130"/>
      <c r="E11" s="119"/>
      <c r="F11" s="119"/>
      <c r="G11" s="119"/>
      <c r="H11" s="119"/>
      <c r="I11" s="119"/>
      <c r="J11" s="119"/>
      <c r="K11" s="12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"/>
    </row>
    <row r="12" ht="12.75" customHeight="1">
      <c r="A12" s="124"/>
      <c r="B12" s="125"/>
      <c r="C12" s="125"/>
      <c r="D12" s="125"/>
      <c r="E12" s="119"/>
      <c r="F12" s="119"/>
      <c r="G12" s="119"/>
      <c r="H12" s="119"/>
      <c r="I12" s="119"/>
      <c r="J12" s="119"/>
      <c r="K12" s="12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"/>
    </row>
    <row r="13" ht="32.25" customHeight="1">
      <c r="A13" s="131" t="str">
        <f>IFERROR(__xludf.DUMMYFUNCTION("""COMPUTED_VALUE"""),"PROFESOR (A): ")</f>
        <v>PROFESOR (A): </v>
      </c>
      <c r="B13" s="17"/>
      <c r="C13" s="132" t="str">
        <f>IFERROR(__xludf.DUMMYFUNCTION("""COMPUTED_VALUE"""),"MIGUEL ANGEL SERRANO ESTRADA")</f>
        <v>MIGUEL ANGEL SERRANO ESTRADA</v>
      </c>
      <c r="D13" s="17"/>
      <c r="E13" s="133" t="str">
        <f>IFERROR(__xludf.DUMMYFUNCTION("""COMPUTED_VALUE"""),"II")</f>
        <v>II</v>
      </c>
      <c r="F13" s="133" t="str">
        <f>IFERROR(__xludf.DUMMYFUNCTION("""COMPUTED_VALUE"""),"III")</f>
        <v>III</v>
      </c>
      <c r="G13" s="134" t="str">
        <f>IFERROR(__xludf.DUMMYFUNCTION("""COMPUTED_VALUE"""),"PUNTAJE EXTRA")</f>
        <v>PUNTAJE EXTRA</v>
      </c>
      <c r="H13" s="135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"/>
    </row>
    <row r="14" ht="35.25" customHeight="1">
      <c r="A14" s="136" t="str">
        <f>IFERROR(__xludf.DUMMYFUNCTION("""COMPUTED_VALUE"""),"UAC")</f>
        <v>UAC</v>
      </c>
      <c r="B14" s="137" t="str">
        <f>IFERROR(__xludf.DUMMYFUNCTION("""COMPUTED_VALUE"""),"MANTENIMIENTO DE REDES DE CÓMPUTO")</f>
        <v>MANTENIMIENTO DE REDES DE CÓMPUTO</v>
      </c>
      <c r="C14" s="27"/>
      <c r="D14" s="28"/>
      <c r="E14" s="138" t="str">
        <f>IFERROR(__xludf.DUMMYFUNCTION("""COMPUTED_VALUE"""),"Evaluación continua 80%")</f>
        <v>Evaluación continua 80%</v>
      </c>
      <c r="F14" s="139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"/>
    </row>
    <row r="15" ht="24.75" customHeight="1">
      <c r="A15" s="140" t="str">
        <f>IFERROR(__xludf.DUMMYFUNCTION("""COMPUTED_VALUE"""),"GRADO")</f>
        <v>GRADO</v>
      </c>
      <c r="B15" s="141" t="str">
        <f>IFERROR(__xludf.DUMMYFUNCTION("""COMPUTED_VALUE"""),"2°")</f>
        <v>2°</v>
      </c>
      <c r="C15" s="142" t="str">
        <f>IFERROR(__xludf.DUMMYFUNCTION("""COMPUTED_VALUE"""),"GRUPO")</f>
        <v>GRUPO</v>
      </c>
      <c r="D15" s="143">
        <f>IFERROR(__xludf.DUMMYFUNCTION("""COMPUTED_VALUE"""),3.0)</f>
        <v>3</v>
      </c>
      <c r="E15" s="32"/>
      <c r="F15" s="32"/>
      <c r="G15" s="39"/>
      <c r="H15" s="144"/>
      <c r="I15" s="145"/>
      <c r="J15" s="27"/>
      <c r="K15" s="42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"/>
    </row>
    <row r="16" ht="40.5" customHeight="1">
      <c r="A16" s="146" t="str">
        <f>IFERROR(__xludf.DUMMYFUNCTION("""COMPUTED_VALUE"""),"No.")</f>
        <v>No.</v>
      </c>
      <c r="B16" s="147" t="str">
        <f>IFERROR(__xludf.DUMMYFUNCTION("""COMPUTED_VALUE"""),"NOMBRE DEL ALUMNO")</f>
        <v>NOMBRE DEL ALUMNO</v>
      </c>
      <c r="C16" s="27"/>
      <c r="D16" s="28"/>
      <c r="E16" s="46"/>
      <c r="F16" s="46"/>
      <c r="G16" s="148"/>
      <c r="H16" s="149" t="str">
        <f>IFERROR(__xludf.DUMMYFUNCTION("""COMPUTED_VALUE"""),"Suma")</f>
        <v>Suma</v>
      </c>
      <c r="I16" s="150" t="str">
        <f>IFERROR(__xludf.DUMMYFUNCTION("""COMPUTED_VALUE"""),"Faltas")</f>
        <v>Faltas</v>
      </c>
      <c r="J16" s="150" t="str">
        <f>IFERROR(__xludf.DUMMYFUNCTION("""COMPUTED_VALUE"""),"Calificación Definitiva")</f>
        <v>Calificación Definitiva</v>
      </c>
      <c r="K16" s="151" t="str">
        <f>IFERROR(__xludf.DUMMYFUNCTION("""COMPUTED_VALUE"""),"FIRMA")</f>
        <v>FIRMA</v>
      </c>
      <c r="L16" s="150" t="str">
        <f>IFERROR(__xludf.DUMMYFUNCTION("""COMPUTED_VALUE"""),"Calificación Definitiva")</f>
        <v>Calificación Definitiva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"/>
    </row>
    <row r="17" ht="24.75" customHeight="1">
      <c r="A17" s="152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153">
        <f>IFERROR(__xludf.DUMMYFUNCTION("""COMPUTED_VALUE"""),7.0)</f>
        <v>7</v>
      </c>
      <c r="F17" s="153">
        <f>IFERROR(__xludf.DUMMYFUNCTION("""COMPUTED_VALUE"""),2.0)</f>
        <v>2</v>
      </c>
      <c r="G17" s="153">
        <f>IFERROR(__xludf.DUMMYFUNCTION("""COMPUTED_VALUE"""),1.0)</f>
        <v>1</v>
      </c>
      <c r="H17" s="154">
        <f>IFERROR(__xludf.DUMMYFUNCTION("""COMPUTED_VALUE"""),10.0)</f>
        <v>10</v>
      </c>
      <c r="I17" s="155">
        <f>IFERROR(__xludf.DUMMYFUNCTION("""COMPUTED_VALUE"""),1.0)</f>
        <v>1</v>
      </c>
      <c r="J17" s="156">
        <f>IFERROR(__xludf.DUMMYFUNCTION("""COMPUTED_VALUE"""),10.0)</f>
        <v>10</v>
      </c>
      <c r="K17" s="157"/>
      <c r="L17" s="158">
        <f>IFERROR(__xludf.DUMMYFUNCTION("""COMPUTED_VALUE"""),10.0)</f>
        <v>10</v>
      </c>
      <c r="M17" s="119" t="str">
        <f>IFERROR(__xludf.DUMMYFUNCTION("""COMPUTED_VALUE"""),"HORAS IMPARTIDAS")</f>
        <v>HORAS IMPARTIDAS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"/>
    </row>
    <row r="18" ht="24.75" customHeight="1">
      <c r="A18" s="152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153">
        <f>IFERROR(__xludf.DUMMYFUNCTION("""COMPUTED_VALUE"""),8.0)</f>
        <v>8</v>
      </c>
      <c r="F18" s="153">
        <f>IFERROR(__xludf.DUMMYFUNCTION("""COMPUTED_VALUE"""),2.0)</f>
        <v>2</v>
      </c>
      <c r="G18" s="153"/>
      <c r="H18" s="154">
        <f>IFERROR(__xludf.DUMMYFUNCTION("""COMPUTED_VALUE"""),10.0)</f>
        <v>10</v>
      </c>
      <c r="I18" s="155">
        <f>IFERROR(__xludf.DUMMYFUNCTION("""COMPUTED_VALUE"""),0.0)</f>
        <v>0</v>
      </c>
      <c r="J18" s="156">
        <f>IFERROR(__xludf.DUMMYFUNCTION("""COMPUTED_VALUE"""),10.0)</f>
        <v>10</v>
      </c>
      <c r="K18" s="155"/>
      <c r="L18" s="158">
        <f>IFERROR(__xludf.DUMMYFUNCTION("""COMPUTED_VALUE"""),10.0)</f>
        <v>10</v>
      </c>
      <c r="M18" s="119" t="str">
        <f>IFERROR(__xludf.DUMMYFUNCTION("""COMPUTED_VALUE"""),"Febrero")</f>
        <v>Febrero</v>
      </c>
      <c r="N18" s="119">
        <f>IFERROR(__xludf.DUMMYFUNCTION("""COMPUTED_VALUE"""),10.0)</f>
        <v>10</v>
      </c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"/>
    </row>
    <row r="19" ht="24.75" customHeight="1">
      <c r="A19" s="152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153">
        <f>IFERROR(__xludf.DUMMYFUNCTION("""COMPUTED_VALUE"""),8.0)</f>
        <v>8</v>
      </c>
      <c r="F19" s="153">
        <f>IFERROR(__xludf.DUMMYFUNCTION("""COMPUTED_VALUE"""),2.0)</f>
        <v>2</v>
      </c>
      <c r="G19" s="153"/>
      <c r="H19" s="154">
        <f>IFERROR(__xludf.DUMMYFUNCTION("""COMPUTED_VALUE"""),10.0)</f>
        <v>10</v>
      </c>
      <c r="I19" s="155">
        <f>IFERROR(__xludf.DUMMYFUNCTION("""COMPUTED_VALUE"""),0.0)</f>
        <v>0</v>
      </c>
      <c r="J19" s="156">
        <f>IFERROR(__xludf.DUMMYFUNCTION("""COMPUTED_VALUE"""),10.0)</f>
        <v>10</v>
      </c>
      <c r="K19" s="155"/>
      <c r="L19" s="158">
        <f>IFERROR(__xludf.DUMMYFUNCTION("""COMPUTED_VALUE"""),10.0)</f>
        <v>10</v>
      </c>
      <c r="M19" s="119" t="str">
        <f>IFERROR(__xludf.DUMMYFUNCTION("""COMPUTED_VALUE"""),"Marzo")</f>
        <v>Marzo</v>
      </c>
      <c r="N19" s="119">
        <f>IFERROR(__xludf.DUMMYFUNCTION("""COMPUTED_VALUE"""),13.0)</f>
        <v>13</v>
      </c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"/>
    </row>
    <row r="20" ht="24.75" customHeight="1">
      <c r="A20" s="152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153">
        <f>IFERROR(__xludf.DUMMYFUNCTION("""COMPUTED_VALUE"""),6.0)</f>
        <v>6</v>
      </c>
      <c r="F20" s="153">
        <f>IFERROR(__xludf.DUMMYFUNCTION("""COMPUTED_VALUE"""),2.0)</f>
        <v>2</v>
      </c>
      <c r="G20" s="153"/>
      <c r="H20" s="154">
        <f>IFERROR(__xludf.DUMMYFUNCTION("""COMPUTED_VALUE"""),8.0)</f>
        <v>8</v>
      </c>
      <c r="I20" s="155">
        <f>IFERROR(__xludf.DUMMYFUNCTION("""COMPUTED_VALUE"""),0.0)</f>
        <v>0</v>
      </c>
      <c r="J20" s="156">
        <f>IFERROR(__xludf.DUMMYFUNCTION("""COMPUTED_VALUE"""),8.0)</f>
        <v>8</v>
      </c>
      <c r="K20" s="155"/>
      <c r="L20" s="158">
        <f>IFERROR(__xludf.DUMMYFUNCTION("""COMPUTED_VALUE"""),8.0)</f>
        <v>8</v>
      </c>
      <c r="M20" s="119" t="str">
        <f>IFERROR(__xludf.DUMMYFUNCTION("""COMPUTED_VALUE"""),"Abril")</f>
        <v>Abril</v>
      </c>
      <c r="N20" s="119">
        <f>IFERROR(__xludf.DUMMYFUNCTION("""COMPUTED_VALUE"""),12.0)</f>
        <v>12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"/>
    </row>
    <row r="21" ht="24.75" customHeight="1">
      <c r="A21" s="152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153">
        <f>IFERROR(__xludf.DUMMYFUNCTION("""COMPUTED_VALUE"""),8.0)</f>
        <v>8</v>
      </c>
      <c r="F21" s="153">
        <f>IFERROR(__xludf.DUMMYFUNCTION("""COMPUTED_VALUE"""),2.0)</f>
        <v>2</v>
      </c>
      <c r="G21" s="153"/>
      <c r="H21" s="154">
        <f>IFERROR(__xludf.DUMMYFUNCTION("""COMPUTED_VALUE"""),10.0)</f>
        <v>10</v>
      </c>
      <c r="I21" s="155">
        <f>IFERROR(__xludf.DUMMYFUNCTION("""COMPUTED_VALUE"""),3.0)</f>
        <v>3</v>
      </c>
      <c r="J21" s="156">
        <f>IFERROR(__xludf.DUMMYFUNCTION("""COMPUTED_VALUE"""),10.0)</f>
        <v>10</v>
      </c>
      <c r="K21" s="155"/>
      <c r="L21" s="158">
        <f>IFERROR(__xludf.DUMMYFUNCTION("""COMPUTED_VALUE"""),10.0)</f>
        <v>10</v>
      </c>
      <c r="M21" s="119" t="str">
        <f>IFERROR(__xludf.DUMMYFUNCTION("""COMPUTED_VALUE"""),"Junio")</f>
        <v>Junio</v>
      </c>
      <c r="N21" s="119">
        <f>IFERROR(__xludf.DUMMYFUNCTION("""COMPUTED_VALUE"""),18.0)</f>
        <v>18</v>
      </c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"/>
    </row>
    <row r="22" ht="24.75" customHeight="1">
      <c r="A22" s="152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153">
        <f>IFERROR(__xludf.DUMMYFUNCTION("""COMPUTED_VALUE"""),4.0)</f>
        <v>4</v>
      </c>
      <c r="F22" s="153">
        <f>IFERROR(__xludf.DUMMYFUNCTION("""COMPUTED_VALUE"""),2.0)</f>
        <v>2</v>
      </c>
      <c r="G22" s="153"/>
      <c r="H22" s="154">
        <f>IFERROR(__xludf.DUMMYFUNCTION("""COMPUTED_VALUE"""),6.0)</f>
        <v>6</v>
      </c>
      <c r="I22" s="155">
        <f>IFERROR(__xludf.DUMMYFUNCTION("""COMPUTED_VALUE"""),0.0)</f>
        <v>0</v>
      </c>
      <c r="J22" s="156">
        <f>IFERROR(__xludf.DUMMYFUNCTION("""COMPUTED_VALUE"""),6.0)</f>
        <v>6</v>
      </c>
      <c r="K22" s="155"/>
      <c r="L22" s="158">
        <f>IFERROR(__xludf.DUMMYFUNCTION("""COMPUTED_VALUE"""),6.0)</f>
        <v>6</v>
      </c>
      <c r="M22" s="119" t="str">
        <f>IFERROR(__xludf.DUMMYFUNCTION("""COMPUTED_VALUE"""),"Julio")</f>
        <v>Julio</v>
      </c>
      <c r="N22" s="119">
        <f>IFERROR(__xludf.DUMMYFUNCTION("""COMPUTED_VALUE"""),8.0)</f>
        <v>8</v>
      </c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"/>
    </row>
    <row r="23" ht="24.75" customHeight="1">
      <c r="A23" s="152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153">
        <f>IFERROR(__xludf.DUMMYFUNCTION("""COMPUTED_VALUE"""),8.0)</f>
        <v>8</v>
      </c>
      <c r="F23" s="153">
        <f>IFERROR(__xludf.DUMMYFUNCTION("""COMPUTED_VALUE"""),2.0)</f>
        <v>2</v>
      </c>
      <c r="G23" s="153"/>
      <c r="H23" s="154">
        <f>IFERROR(__xludf.DUMMYFUNCTION("""COMPUTED_VALUE"""),10.0)</f>
        <v>10</v>
      </c>
      <c r="I23" s="155">
        <f>IFERROR(__xludf.DUMMYFUNCTION("""COMPUTED_VALUE"""),0.0)</f>
        <v>0</v>
      </c>
      <c r="J23" s="156">
        <f>IFERROR(__xludf.DUMMYFUNCTION("""COMPUTED_VALUE"""),10.0)</f>
        <v>10</v>
      </c>
      <c r="K23" s="155"/>
      <c r="L23" s="158">
        <f>IFERROR(__xludf.DUMMYFUNCTION("""COMPUTED_VALUE"""),10.0)</f>
        <v>10</v>
      </c>
      <c r="M23" s="119" t="str">
        <f>IFERROR(__xludf.DUMMYFUNCTION("""COMPUTED_VALUE"""),"TOTAL")</f>
        <v>TOTAL</v>
      </c>
      <c r="N23" s="119">
        <f>IFERROR(__xludf.DUMMYFUNCTION("""COMPUTED_VALUE"""),61.0)</f>
        <v>61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"/>
    </row>
    <row r="24" ht="24.75" customHeight="1">
      <c r="A24" s="152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153">
        <f>IFERROR(__xludf.DUMMYFUNCTION("""COMPUTED_VALUE"""),8.0)</f>
        <v>8</v>
      </c>
      <c r="F24" s="153">
        <f>IFERROR(__xludf.DUMMYFUNCTION("""COMPUTED_VALUE"""),2.0)</f>
        <v>2</v>
      </c>
      <c r="G24" s="153"/>
      <c r="H24" s="154">
        <f>IFERROR(__xludf.DUMMYFUNCTION("""COMPUTED_VALUE"""),10.0)</f>
        <v>10</v>
      </c>
      <c r="I24" s="155">
        <f>IFERROR(__xludf.DUMMYFUNCTION("""COMPUTED_VALUE"""),0.0)</f>
        <v>0</v>
      </c>
      <c r="J24" s="156">
        <f>IFERROR(__xludf.DUMMYFUNCTION("""COMPUTED_VALUE"""),10.0)</f>
        <v>10</v>
      </c>
      <c r="K24" s="155"/>
      <c r="L24" s="158">
        <f>IFERROR(__xludf.DUMMYFUNCTION("""COMPUTED_VALUE"""),10.0)</f>
        <v>10</v>
      </c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"/>
    </row>
    <row r="25" ht="24.75" customHeight="1">
      <c r="A25" s="152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153">
        <f>IFERROR(__xludf.DUMMYFUNCTION("""COMPUTED_VALUE"""),6.0)</f>
        <v>6</v>
      </c>
      <c r="F25" s="153">
        <f>IFERROR(__xludf.DUMMYFUNCTION("""COMPUTED_VALUE"""),1.0)</f>
        <v>1</v>
      </c>
      <c r="G25" s="153">
        <f>IFERROR(__xludf.DUMMYFUNCTION("""COMPUTED_VALUE"""),1.0)</f>
        <v>1</v>
      </c>
      <c r="H25" s="154">
        <f>IFERROR(__xludf.DUMMYFUNCTION("""COMPUTED_VALUE"""),8.0)</f>
        <v>8</v>
      </c>
      <c r="I25" s="155">
        <f>IFERROR(__xludf.DUMMYFUNCTION("""COMPUTED_VALUE"""),0.0)</f>
        <v>0</v>
      </c>
      <c r="J25" s="156">
        <f>IFERROR(__xludf.DUMMYFUNCTION("""COMPUTED_VALUE"""),8.0)</f>
        <v>8</v>
      </c>
      <c r="K25" s="155"/>
      <c r="L25" s="158">
        <f>IFERROR(__xludf.DUMMYFUNCTION("""COMPUTED_VALUE"""),8.0)</f>
        <v>8</v>
      </c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"/>
    </row>
    <row r="26" ht="24.75" customHeight="1">
      <c r="A26" s="152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153">
        <f>IFERROR(__xludf.DUMMYFUNCTION("""COMPUTED_VALUE"""),4.0)</f>
        <v>4</v>
      </c>
      <c r="F26" s="153">
        <f>IFERROR(__xludf.DUMMYFUNCTION("""COMPUTED_VALUE"""),2.0)</f>
        <v>2</v>
      </c>
      <c r="G26" s="153"/>
      <c r="H26" s="154">
        <f>IFERROR(__xludf.DUMMYFUNCTION("""COMPUTED_VALUE"""),6.0)</f>
        <v>6</v>
      </c>
      <c r="I26" s="155">
        <f>IFERROR(__xludf.DUMMYFUNCTION("""COMPUTED_VALUE"""),0.0)</f>
        <v>0</v>
      </c>
      <c r="J26" s="156">
        <f>IFERROR(__xludf.DUMMYFUNCTION("""COMPUTED_VALUE"""),6.0)</f>
        <v>6</v>
      </c>
      <c r="K26" s="155"/>
      <c r="L26" s="158">
        <f>IFERROR(__xludf.DUMMYFUNCTION("""COMPUTED_VALUE"""),6.0)</f>
        <v>6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"/>
    </row>
    <row r="27" ht="24.75" customHeight="1">
      <c r="A27" s="152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153">
        <f>IFERROR(__xludf.DUMMYFUNCTION("""COMPUTED_VALUE"""),8.0)</f>
        <v>8</v>
      </c>
      <c r="F27" s="153">
        <f>IFERROR(__xludf.DUMMYFUNCTION("""COMPUTED_VALUE"""),2.0)</f>
        <v>2</v>
      </c>
      <c r="G27" s="153"/>
      <c r="H27" s="154">
        <f>IFERROR(__xludf.DUMMYFUNCTION("""COMPUTED_VALUE"""),10.0)</f>
        <v>10</v>
      </c>
      <c r="I27" s="155">
        <f>IFERROR(__xludf.DUMMYFUNCTION("""COMPUTED_VALUE"""),0.0)</f>
        <v>0</v>
      </c>
      <c r="J27" s="156">
        <f>IFERROR(__xludf.DUMMYFUNCTION("""COMPUTED_VALUE"""),10.0)</f>
        <v>10</v>
      </c>
      <c r="K27" s="155"/>
      <c r="L27" s="158">
        <f>IFERROR(__xludf.DUMMYFUNCTION("""COMPUTED_VALUE"""),10.0)</f>
        <v>10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"/>
    </row>
    <row r="28" ht="24.75" customHeight="1">
      <c r="A28" s="152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153">
        <f>IFERROR(__xludf.DUMMYFUNCTION("""COMPUTED_VALUE"""),7.0)</f>
        <v>7</v>
      </c>
      <c r="F28" s="153">
        <f>IFERROR(__xludf.DUMMYFUNCTION("""COMPUTED_VALUE"""),1.0)</f>
        <v>1</v>
      </c>
      <c r="G28" s="153"/>
      <c r="H28" s="154">
        <f>IFERROR(__xludf.DUMMYFUNCTION("""COMPUTED_VALUE"""),8.0)</f>
        <v>8</v>
      </c>
      <c r="I28" s="155">
        <f>IFERROR(__xludf.DUMMYFUNCTION("""COMPUTED_VALUE"""),0.0)</f>
        <v>0</v>
      </c>
      <c r="J28" s="156">
        <f>IFERROR(__xludf.DUMMYFUNCTION("""COMPUTED_VALUE"""),8.0)</f>
        <v>8</v>
      </c>
      <c r="K28" s="155"/>
      <c r="L28" s="158">
        <f>IFERROR(__xludf.DUMMYFUNCTION("""COMPUTED_VALUE"""),8.0)</f>
        <v>8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"/>
    </row>
    <row r="29" ht="24.75" customHeight="1">
      <c r="A29" s="152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153">
        <f>IFERROR(__xludf.DUMMYFUNCTION("""COMPUTED_VALUE"""),8.0)</f>
        <v>8</v>
      </c>
      <c r="F29" s="153">
        <f>IFERROR(__xludf.DUMMYFUNCTION("""COMPUTED_VALUE"""),2.0)</f>
        <v>2</v>
      </c>
      <c r="G29" s="153"/>
      <c r="H29" s="154">
        <f>IFERROR(__xludf.DUMMYFUNCTION("""COMPUTED_VALUE"""),10.0)</f>
        <v>10</v>
      </c>
      <c r="I29" s="155">
        <f>IFERROR(__xludf.DUMMYFUNCTION("""COMPUTED_VALUE"""),0.0)</f>
        <v>0</v>
      </c>
      <c r="J29" s="156">
        <f>IFERROR(__xludf.DUMMYFUNCTION("""COMPUTED_VALUE"""),10.0)</f>
        <v>10</v>
      </c>
      <c r="K29" s="155"/>
      <c r="L29" s="158">
        <f>IFERROR(__xludf.DUMMYFUNCTION("""COMPUTED_VALUE"""),10.0)</f>
        <v>10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"/>
    </row>
    <row r="30" ht="24.75" customHeight="1">
      <c r="A30" s="152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153">
        <f>IFERROR(__xludf.DUMMYFUNCTION("""COMPUTED_VALUE"""),8.0)</f>
        <v>8</v>
      </c>
      <c r="F30" s="153">
        <f>IFERROR(__xludf.DUMMYFUNCTION("""COMPUTED_VALUE"""),1.5)</f>
        <v>1.5</v>
      </c>
      <c r="G30" s="153"/>
      <c r="H30" s="154">
        <f>IFERROR(__xludf.DUMMYFUNCTION("""COMPUTED_VALUE"""),9.5)</f>
        <v>9.5</v>
      </c>
      <c r="I30" s="155">
        <f>IFERROR(__xludf.DUMMYFUNCTION("""COMPUTED_VALUE"""),0.0)</f>
        <v>0</v>
      </c>
      <c r="J30" s="156">
        <f>IFERROR(__xludf.DUMMYFUNCTION("""COMPUTED_VALUE"""),10.0)</f>
        <v>10</v>
      </c>
      <c r="K30" s="155"/>
      <c r="L30" s="158">
        <f>IFERROR(__xludf.DUMMYFUNCTION("""COMPUTED_VALUE"""),10.0)</f>
        <v>10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"/>
    </row>
    <row r="31" ht="24.75" customHeight="1">
      <c r="A31" s="152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153">
        <f>IFERROR(__xludf.DUMMYFUNCTION("""COMPUTED_VALUE"""),8.0)</f>
        <v>8</v>
      </c>
      <c r="F31" s="153">
        <f>IFERROR(__xludf.DUMMYFUNCTION("""COMPUTED_VALUE"""),2.0)</f>
        <v>2</v>
      </c>
      <c r="G31" s="153"/>
      <c r="H31" s="154">
        <f>IFERROR(__xludf.DUMMYFUNCTION("""COMPUTED_VALUE"""),10.0)</f>
        <v>10</v>
      </c>
      <c r="I31" s="155">
        <f>IFERROR(__xludf.DUMMYFUNCTION("""COMPUTED_VALUE"""),0.0)</f>
        <v>0</v>
      </c>
      <c r="J31" s="156">
        <f>IFERROR(__xludf.DUMMYFUNCTION("""COMPUTED_VALUE"""),10.0)</f>
        <v>10</v>
      </c>
      <c r="K31" s="155"/>
      <c r="L31" s="158">
        <f>IFERROR(__xludf.DUMMYFUNCTION("""COMPUTED_VALUE"""),10.0)</f>
        <v>10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"/>
    </row>
    <row r="32" ht="24.75" customHeight="1">
      <c r="A32" s="152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153">
        <f>IFERROR(__xludf.DUMMYFUNCTION("""COMPUTED_VALUE"""),8.0)</f>
        <v>8</v>
      </c>
      <c r="F32" s="153">
        <f>IFERROR(__xludf.DUMMYFUNCTION("""COMPUTED_VALUE"""),2.0)</f>
        <v>2</v>
      </c>
      <c r="G32" s="153"/>
      <c r="H32" s="154">
        <f>IFERROR(__xludf.DUMMYFUNCTION("""COMPUTED_VALUE"""),10.0)</f>
        <v>10</v>
      </c>
      <c r="I32" s="155">
        <f>IFERROR(__xludf.DUMMYFUNCTION("""COMPUTED_VALUE"""),2.0)</f>
        <v>2</v>
      </c>
      <c r="J32" s="156">
        <f>IFERROR(__xludf.DUMMYFUNCTION("""COMPUTED_VALUE"""),10.0)</f>
        <v>10</v>
      </c>
      <c r="K32" s="155"/>
      <c r="L32" s="158">
        <f>IFERROR(__xludf.DUMMYFUNCTION("""COMPUTED_VALUE"""),10.0)</f>
        <v>10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"/>
    </row>
    <row r="33" ht="24.75" customHeight="1">
      <c r="A33" s="152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153">
        <f>IFERROR(__xludf.DUMMYFUNCTION("""COMPUTED_VALUE"""),8.0)</f>
        <v>8</v>
      </c>
      <c r="F33" s="153">
        <f>IFERROR(__xludf.DUMMYFUNCTION("""COMPUTED_VALUE"""),2.0)</f>
        <v>2</v>
      </c>
      <c r="G33" s="153"/>
      <c r="H33" s="154">
        <f>IFERROR(__xludf.DUMMYFUNCTION("""COMPUTED_VALUE"""),10.0)</f>
        <v>10</v>
      </c>
      <c r="I33" s="155">
        <f>IFERROR(__xludf.DUMMYFUNCTION("""COMPUTED_VALUE"""),0.0)</f>
        <v>0</v>
      </c>
      <c r="J33" s="156">
        <f>IFERROR(__xludf.DUMMYFUNCTION("""COMPUTED_VALUE"""),10.0)</f>
        <v>10</v>
      </c>
      <c r="K33" s="155"/>
      <c r="L33" s="158">
        <f>IFERROR(__xludf.DUMMYFUNCTION("""COMPUTED_VALUE"""),10.0)</f>
        <v>10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"/>
    </row>
    <row r="34" ht="24.75" customHeight="1">
      <c r="A34" s="152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153">
        <f>IFERROR(__xludf.DUMMYFUNCTION("""COMPUTED_VALUE"""),6.0)</f>
        <v>6</v>
      </c>
      <c r="F34" s="153">
        <f>IFERROR(__xludf.DUMMYFUNCTION("""COMPUTED_VALUE"""),1.7)</f>
        <v>1.7</v>
      </c>
      <c r="G34" s="153">
        <f>IFERROR(__xludf.DUMMYFUNCTION("""COMPUTED_VALUE"""),1.0)</f>
        <v>1</v>
      </c>
      <c r="H34" s="154">
        <f>IFERROR(__xludf.DUMMYFUNCTION("""COMPUTED_VALUE"""),8.7)</f>
        <v>8.7</v>
      </c>
      <c r="I34" s="155">
        <f>IFERROR(__xludf.DUMMYFUNCTION("""COMPUTED_VALUE"""),1.0)</f>
        <v>1</v>
      </c>
      <c r="J34" s="156">
        <f>IFERROR(__xludf.DUMMYFUNCTION("""COMPUTED_VALUE"""),9.0)</f>
        <v>9</v>
      </c>
      <c r="K34" s="155"/>
      <c r="L34" s="158">
        <f>IFERROR(__xludf.DUMMYFUNCTION("""COMPUTED_VALUE"""),9.0)</f>
        <v>9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"/>
    </row>
    <row r="35" ht="24.75" customHeight="1">
      <c r="A35" s="152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153">
        <f>IFERROR(__xludf.DUMMYFUNCTION("""COMPUTED_VALUE"""),8.0)</f>
        <v>8</v>
      </c>
      <c r="F35" s="153">
        <f>IFERROR(__xludf.DUMMYFUNCTION("""COMPUTED_VALUE"""),2.0)</f>
        <v>2</v>
      </c>
      <c r="G35" s="153"/>
      <c r="H35" s="154">
        <f>IFERROR(__xludf.DUMMYFUNCTION("""COMPUTED_VALUE"""),10.0)</f>
        <v>10</v>
      </c>
      <c r="I35" s="155">
        <f>IFERROR(__xludf.DUMMYFUNCTION("""COMPUTED_VALUE"""),0.0)</f>
        <v>0</v>
      </c>
      <c r="J35" s="156">
        <f>IFERROR(__xludf.DUMMYFUNCTION("""COMPUTED_VALUE"""),10.0)</f>
        <v>10</v>
      </c>
      <c r="K35" s="155"/>
      <c r="L35" s="158">
        <f>IFERROR(__xludf.DUMMYFUNCTION("""COMPUTED_VALUE"""),10.0)</f>
        <v>10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"/>
    </row>
    <row r="36" ht="24.75" customHeight="1">
      <c r="A36" s="152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153">
        <f>IFERROR(__xludf.DUMMYFUNCTION("""COMPUTED_VALUE"""),7.0)</f>
        <v>7</v>
      </c>
      <c r="F36" s="153">
        <f>IFERROR(__xludf.DUMMYFUNCTION("""COMPUTED_VALUE"""),2.0)</f>
        <v>2</v>
      </c>
      <c r="G36" s="153">
        <f>IFERROR(__xludf.DUMMYFUNCTION("""COMPUTED_VALUE"""),1.0)</f>
        <v>1</v>
      </c>
      <c r="H36" s="154">
        <f>IFERROR(__xludf.DUMMYFUNCTION("""COMPUTED_VALUE"""),10.0)</f>
        <v>10</v>
      </c>
      <c r="I36" s="155">
        <f>IFERROR(__xludf.DUMMYFUNCTION("""COMPUTED_VALUE"""),0.0)</f>
        <v>0</v>
      </c>
      <c r="J36" s="156">
        <f>IFERROR(__xludf.DUMMYFUNCTION("""COMPUTED_VALUE"""),10.0)</f>
        <v>10</v>
      </c>
      <c r="K36" s="155"/>
      <c r="L36" s="158">
        <f>IFERROR(__xludf.DUMMYFUNCTION("""COMPUTED_VALUE"""),10.0)</f>
        <v>10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"/>
    </row>
    <row r="37" ht="24.75" customHeight="1">
      <c r="A37" s="152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153">
        <f>IFERROR(__xludf.DUMMYFUNCTION("""COMPUTED_VALUE"""),8.0)</f>
        <v>8</v>
      </c>
      <c r="F37" s="153">
        <f>IFERROR(__xludf.DUMMYFUNCTION("""COMPUTED_VALUE"""),2.0)</f>
        <v>2</v>
      </c>
      <c r="G37" s="153"/>
      <c r="H37" s="154">
        <f>IFERROR(__xludf.DUMMYFUNCTION("""COMPUTED_VALUE"""),10.0)</f>
        <v>10</v>
      </c>
      <c r="I37" s="155">
        <f>IFERROR(__xludf.DUMMYFUNCTION("""COMPUTED_VALUE"""),0.0)</f>
        <v>0</v>
      </c>
      <c r="J37" s="156">
        <f>IFERROR(__xludf.DUMMYFUNCTION("""COMPUTED_VALUE"""),10.0)</f>
        <v>10</v>
      </c>
      <c r="K37" s="155"/>
      <c r="L37" s="158">
        <f>IFERROR(__xludf.DUMMYFUNCTION("""COMPUTED_VALUE"""),10.0)</f>
        <v>10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"/>
    </row>
    <row r="38" ht="24.75" customHeight="1">
      <c r="A38" s="152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153">
        <f>IFERROR(__xludf.DUMMYFUNCTION("""COMPUTED_VALUE"""),8.0)</f>
        <v>8</v>
      </c>
      <c r="F38" s="153">
        <f>IFERROR(__xludf.DUMMYFUNCTION("""COMPUTED_VALUE"""),2.0)</f>
        <v>2</v>
      </c>
      <c r="G38" s="153"/>
      <c r="H38" s="154">
        <f>IFERROR(__xludf.DUMMYFUNCTION("""COMPUTED_VALUE"""),10.0)</f>
        <v>10</v>
      </c>
      <c r="I38" s="155">
        <f>IFERROR(__xludf.DUMMYFUNCTION("""COMPUTED_VALUE"""),3.0)</f>
        <v>3</v>
      </c>
      <c r="J38" s="156">
        <f>IFERROR(__xludf.DUMMYFUNCTION("""COMPUTED_VALUE"""),10.0)</f>
        <v>10</v>
      </c>
      <c r="K38" s="155"/>
      <c r="L38" s="158">
        <f>IFERROR(__xludf.DUMMYFUNCTION("""COMPUTED_VALUE"""),10.0)</f>
        <v>10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"/>
    </row>
    <row r="39" ht="24.75" customHeight="1">
      <c r="A39" s="152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153">
        <f>IFERROR(__xludf.DUMMYFUNCTION("""COMPUTED_VALUE"""),6.0)</f>
        <v>6</v>
      </c>
      <c r="F39" s="153">
        <f>IFERROR(__xludf.DUMMYFUNCTION("""COMPUTED_VALUE"""),2.0)</f>
        <v>2</v>
      </c>
      <c r="G39" s="153"/>
      <c r="H39" s="154">
        <f>IFERROR(__xludf.DUMMYFUNCTION("""COMPUTED_VALUE"""),8.0)</f>
        <v>8</v>
      </c>
      <c r="I39" s="155">
        <f>IFERROR(__xludf.DUMMYFUNCTION("""COMPUTED_VALUE"""),2.0)</f>
        <v>2</v>
      </c>
      <c r="J39" s="156">
        <f>IFERROR(__xludf.DUMMYFUNCTION("""COMPUTED_VALUE"""),8.0)</f>
        <v>8</v>
      </c>
      <c r="K39" s="155"/>
      <c r="L39" s="158">
        <f>IFERROR(__xludf.DUMMYFUNCTION("""COMPUTED_VALUE"""),8.0)</f>
        <v>8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"/>
    </row>
    <row r="40" ht="24.75" customHeight="1">
      <c r="A40" s="152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153">
        <f>IFERROR(__xludf.DUMMYFUNCTION("""COMPUTED_VALUE"""),7.0)</f>
        <v>7</v>
      </c>
      <c r="F40" s="153">
        <f>IFERROR(__xludf.DUMMYFUNCTION("""COMPUTED_VALUE"""),2.0)</f>
        <v>2</v>
      </c>
      <c r="G40" s="153"/>
      <c r="H40" s="154">
        <f>IFERROR(__xludf.DUMMYFUNCTION("""COMPUTED_VALUE"""),9.0)</f>
        <v>9</v>
      </c>
      <c r="I40" s="155">
        <f>IFERROR(__xludf.DUMMYFUNCTION("""COMPUTED_VALUE"""),2.0)</f>
        <v>2</v>
      </c>
      <c r="J40" s="156">
        <f>IFERROR(__xludf.DUMMYFUNCTION("""COMPUTED_VALUE"""),9.0)</f>
        <v>9</v>
      </c>
      <c r="K40" s="155"/>
      <c r="L40" s="158">
        <f>IFERROR(__xludf.DUMMYFUNCTION("""COMPUTED_VALUE"""),9.0)</f>
        <v>9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"/>
    </row>
    <row r="41" ht="24.75" customHeight="1">
      <c r="A41" s="152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153">
        <f>IFERROR(__xludf.DUMMYFUNCTION("""COMPUTED_VALUE"""),7.0)</f>
        <v>7</v>
      </c>
      <c r="F41" s="153">
        <f>IFERROR(__xludf.DUMMYFUNCTION("""COMPUTED_VALUE"""),2.0)</f>
        <v>2</v>
      </c>
      <c r="G41" s="153">
        <f>IFERROR(__xludf.DUMMYFUNCTION("""COMPUTED_VALUE"""),1.0)</f>
        <v>1</v>
      </c>
      <c r="H41" s="154">
        <f>IFERROR(__xludf.DUMMYFUNCTION("""COMPUTED_VALUE"""),10.0)</f>
        <v>10</v>
      </c>
      <c r="I41" s="155">
        <f>IFERROR(__xludf.DUMMYFUNCTION("""COMPUTED_VALUE"""),1.0)</f>
        <v>1</v>
      </c>
      <c r="J41" s="156">
        <f>IFERROR(__xludf.DUMMYFUNCTION("""COMPUTED_VALUE"""),10.0)</f>
        <v>10</v>
      </c>
      <c r="K41" s="155"/>
      <c r="L41" s="158">
        <f>IFERROR(__xludf.DUMMYFUNCTION("""COMPUTED_VALUE"""),10.0)</f>
        <v>10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"/>
    </row>
    <row r="42" ht="24.75" customHeight="1">
      <c r="A42" s="152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153">
        <f>IFERROR(__xludf.DUMMYFUNCTION("""COMPUTED_VALUE"""),7.0)</f>
        <v>7</v>
      </c>
      <c r="F42" s="153">
        <f>IFERROR(__xludf.DUMMYFUNCTION("""COMPUTED_VALUE"""),2.0)</f>
        <v>2</v>
      </c>
      <c r="G42" s="153">
        <f>IFERROR(__xludf.DUMMYFUNCTION("""COMPUTED_VALUE"""),1.0)</f>
        <v>1</v>
      </c>
      <c r="H42" s="154">
        <f>IFERROR(__xludf.DUMMYFUNCTION("""COMPUTED_VALUE"""),10.0)</f>
        <v>10</v>
      </c>
      <c r="I42" s="155">
        <f>IFERROR(__xludf.DUMMYFUNCTION("""COMPUTED_VALUE"""),0.0)</f>
        <v>0</v>
      </c>
      <c r="J42" s="156">
        <f>IFERROR(__xludf.DUMMYFUNCTION("""COMPUTED_VALUE"""),10.0)</f>
        <v>10</v>
      </c>
      <c r="K42" s="155"/>
      <c r="L42" s="158">
        <f>IFERROR(__xludf.DUMMYFUNCTION("""COMPUTED_VALUE"""),10.0)</f>
        <v>10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"/>
    </row>
    <row r="43" ht="24.75" customHeight="1">
      <c r="A43" s="152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153">
        <f>IFERROR(__xludf.DUMMYFUNCTION("""COMPUTED_VALUE"""),8.0)</f>
        <v>8</v>
      </c>
      <c r="F43" s="153">
        <f>IFERROR(__xludf.DUMMYFUNCTION("""COMPUTED_VALUE"""),2.0)</f>
        <v>2</v>
      </c>
      <c r="G43" s="153"/>
      <c r="H43" s="154">
        <f>IFERROR(__xludf.DUMMYFUNCTION("""COMPUTED_VALUE"""),10.0)</f>
        <v>10</v>
      </c>
      <c r="I43" s="155">
        <f>IFERROR(__xludf.DUMMYFUNCTION("""COMPUTED_VALUE"""),1.0)</f>
        <v>1</v>
      </c>
      <c r="J43" s="156">
        <f>IFERROR(__xludf.DUMMYFUNCTION("""COMPUTED_VALUE"""),10.0)</f>
        <v>10</v>
      </c>
      <c r="K43" s="155"/>
      <c r="L43" s="158">
        <f>IFERROR(__xludf.DUMMYFUNCTION("""COMPUTED_VALUE"""),10.0)</f>
        <v>10</v>
      </c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"/>
    </row>
    <row r="44" ht="24.75" customHeight="1">
      <c r="A44" s="152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153">
        <f>IFERROR(__xludf.DUMMYFUNCTION("""COMPUTED_VALUE"""),6.0)</f>
        <v>6</v>
      </c>
      <c r="F44" s="153">
        <f>IFERROR(__xludf.DUMMYFUNCTION("""COMPUTED_VALUE"""),1.0)</f>
        <v>1</v>
      </c>
      <c r="G44" s="153"/>
      <c r="H44" s="154">
        <f>IFERROR(__xludf.DUMMYFUNCTION("""COMPUTED_VALUE"""),7.0)</f>
        <v>7</v>
      </c>
      <c r="I44" s="155">
        <f>IFERROR(__xludf.DUMMYFUNCTION("""COMPUTED_VALUE"""),0.0)</f>
        <v>0</v>
      </c>
      <c r="J44" s="156">
        <f>IFERROR(__xludf.DUMMYFUNCTION("""COMPUTED_VALUE"""),7.0)</f>
        <v>7</v>
      </c>
      <c r="K44" s="155"/>
      <c r="L44" s="158">
        <f>IFERROR(__xludf.DUMMYFUNCTION("""COMPUTED_VALUE"""),7.0)</f>
        <v>7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"/>
    </row>
    <row r="45" ht="24.75" customHeight="1">
      <c r="A45" s="152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153">
        <f>IFERROR(__xludf.DUMMYFUNCTION("""COMPUTED_VALUE"""),8.0)</f>
        <v>8</v>
      </c>
      <c r="F45" s="153">
        <f>IFERROR(__xludf.DUMMYFUNCTION("""COMPUTED_VALUE"""),2.0)</f>
        <v>2</v>
      </c>
      <c r="G45" s="153"/>
      <c r="H45" s="154">
        <f>IFERROR(__xludf.DUMMYFUNCTION("""COMPUTED_VALUE"""),10.0)</f>
        <v>10</v>
      </c>
      <c r="I45" s="155">
        <f>IFERROR(__xludf.DUMMYFUNCTION("""COMPUTED_VALUE"""),3.0)</f>
        <v>3</v>
      </c>
      <c r="J45" s="156">
        <f>IFERROR(__xludf.DUMMYFUNCTION("""COMPUTED_VALUE"""),10.0)</f>
        <v>10</v>
      </c>
      <c r="K45" s="155"/>
      <c r="L45" s="158">
        <f>IFERROR(__xludf.DUMMYFUNCTION("""COMPUTED_VALUE"""),10.0)</f>
        <v>10</v>
      </c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"/>
    </row>
    <row r="46" ht="24.75" customHeight="1">
      <c r="A46" s="152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153">
        <f>IFERROR(__xludf.DUMMYFUNCTION("""COMPUTED_VALUE"""),8.0)</f>
        <v>8</v>
      </c>
      <c r="F46" s="153">
        <f>IFERROR(__xludf.DUMMYFUNCTION("""COMPUTED_VALUE"""),2.0)</f>
        <v>2</v>
      </c>
      <c r="G46" s="153"/>
      <c r="H46" s="154">
        <f>IFERROR(__xludf.DUMMYFUNCTION("""COMPUTED_VALUE"""),10.0)</f>
        <v>10</v>
      </c>
      <c r="I46" s="155">
        <f>IFERROR(__xludf.DUMMYFUNCTION("""COMPUTED_VALUE"""),0.0)</f>
        <v>0</v>
      </c>
      <c r="J46" s="156">
        <f>IFERROR(__xludf.DUMMYFUNCTION("""COMPUTED_VALUE"""),10.0)</f>
        <v>10</v>
      </c>
      <c r="K46" s="155"/>
      <c r="L46" s="158">
        <f>IFERROR(__xludf.DUMMYFUNCTION("""COMPUTED_VALUE"""),10.0)</f>
        <v>10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"/>
    </row>
    <row r="47" ht="24.75" customHeight="1">
      <c r="A47" s="152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153">
        <f>IFERROR(__xludf.DUMMYFUNCTION("""COMPUTED_VALUE"""),7.0)</f>
        <v>7</v>
      </c>
      <c r="F47" s="153">
        <f>IFERROR(__xludf.DUMMYFUNCTION("""COMPUTED_VALUE"""),2.0)</f>
        <v>2</v>
      </c>
      <c r="G47" s="153">
        <f>IFERROR(__xludf.DUMMYFUNCTION("""COMPUTED_VALUE"""),1.0)</f>
        <v>1</v>
      </c>
      <c r="H47" s="154">
        <f>IFERROR(__xludf.DUMMYFUNCTION("""COMPUTED_VALUE"""),10.0)</f>
        <v>10</v>
      </c>
      <c r="I47" s="155">
        <f>IFERROR(__xludf.DUMMYFUNCTION("""COMPUTED_VALUE"""),0.0)</f>
        <v>0</v>
      </c>
      <c r="J47" s="156">
        <f>IFERROR(__xludf.DUMMYFUNCTION("""COMPUTED_VALUE"""),10.0)</f>
        <v>10</v>
      </c>
      <c r="K47" s="155"/>
      <c r="L47" s="158">
        <f>IFERROR(__xludf.DUMMYFUNCTION("""COMPUTED_VALUE"""),10.0)</f>
        <v>10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"/>
    </row>
    <row r="48" ht="24.75" customHeight="1">
      <c r="A48" s="152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153">
        <f>IFERROR(__xludf.DUMMYFUNCTION("""COMPUTED_VALUE"""),8.0)</f>
        <v>8</v>
      </c>
      <c r="F48" s="153">
        <f>IFERROR(__xludf.DUMMYFUNCTION("""COMPUTED_VALUE"""),2.0)</f>
        <v>2</v>
      </c>
      <c r="G48" s="153"/>
      <c r="H48" s="154">
        <f>IFERROR(__xludf.DUMMYFUNCTION("""COMPUTED_VALUE"""),10.0)</f>
        <v>10</v>
      </c>
      <c r="I48" s="155">
        <f>IFERROR(__xludf.DUMMYFUNCTION("""COMPUTED_VALUE"""),0.0)</f>
        <v>0</v>
      </c>
      <c r="J48" s="156">
        <f>IFERROR(__xludf.DUMMYFUNCTION("""COMPUTED_VALUE"""),10.0)</f>
        <v>10</v>
      </c>
      <c r="K48" s="155"/>
      <c r="L48" s="158">
        <f>IFERROR(__xludf.DUMMYFUNCTION("""COMPUTED_VALUE"""),10.0)</f>
        <v>10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"/>
    </row>
    <row r="49" ht="24.75" customHeight="1">
      <c r="A49" s="152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153">
        <f>IFERROR(__xludf.DUMMYFUNCTION("""COMPUTED_VALUE"""),8.0)</f>
        <v>8</v>
      </c>
      <c r="F49" s="153">
        <f>IFERROR(__xludf.DUMMYFUNCTION("""COMPUTED_VALUE"""),2.0)</f>
        <v>2</v>
      </c>
      <c r="G49" s="153"/>
      <c r="H49" s="154">
        <f>IFERROR(__xludf.DUMMYFUNCTION("""COMPUTED_VALUE"""),10.0)</f>
        <v>10</v>
      </c>
      <c r="I49" s="155">
        <f>IFERROR(__xludf.DUMMYFUNCTION("""COMPUTED_VALUE"""),0.0)</f>
        <v>0</v>
      </c>
      <c r="J49" s="156">
        <f>IFERROR(__xludf.DUMMYFUNCTION("""COMPUTED_VALUE"""),10.0)</f>
        <v>10</v>
      </c>
      <c r="K49" s="155"/>
      <c r="L49" s="158">
        <f>IFERROR(__xludf.DUMMYFUNCTION("""COMPUTED_VALUE"""),10.0)</f>
        <v>10</v>
      </c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"/>
    </row>
    <row r="50" ht="24.75" customHeight="1">
      <c r="A50" s="152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153">
        <f>IFERROR(__xludf.DUMMYFUNCTION("""COMPUTED_VALUE"""),8.0)</f>
        <v>8</v>
      </c>
      <c r="F50" s="153">
        <f>IFERROR(__xludf.DUMMYFUNCTION("""COMPUTED_VALUE"""),2.0)</f>
        <v>2</v>
      </c>
      <c r="G50" s="153"/>
      <c r="H50" s="154">
        <f>IFERROR(__xludf.DUMMYFUNCTION("""COMPUTED_VALUE"""),10.0)</f>
        <v>10</v>
      </c>
      <c r="I50" s="155">
        <f>IFERROR(__xludf.DUMMYFUNCTION("""COMPUTED_VALUE"""),0.0)</f>
        <v>0</v>
      </c>
      <c r="J50" s="156">
        <f>IFERROR(__xludf.DUMMYFUNCTION("""COMPUTED_VALUE"""),10.0)</f>
        <v>10</v>
      </c>
      <c r="K50" s="155"/>
      <c r="L50" s="158">
        <f>IFERROR(__xludf.DUMMYFUNCTION("""COMPUTED_VALUE"""),10.0)</f>
        <v>10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"/>
    </row>
    <row r="51" ht="24.75" customHeight="1">
      <c r="A51" s="152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153">
        <f>IFERROR(__xludf.DUMMYFUNCTION("""COMPUTED_VALUE"""),8.0)</f>
        <v>8</v>
      </c>
      <c r="F51" s="153">
        <f>IFERROR(__xludf.DUMMYFUNCTION("""COMPUTED_VALUE"""),2.0)</f>
        <v>2</v>
      </c>
      <c r="G51" s="153"/>
      <c r="H51" s="154">
        <f>IFERROR(__xludf.DUMMYFUNCTION("""COMPUTED_VALUE"""),10.0)</f>
        <v>10</v>
      </c>
      <c r="I51" s="155">
        <f>IFERROR(__xludf.DUMMYFUNCTION("""COMPUTED_VALUE"""),0.0)</f>
        <v>0</v>
      </c>
      <c r="J51" s="156">
        <f>IFERROR(__xludf.DUMMYFUNCTION("""COMPUTED_VALUE"""),10.0)</f>
        <v>10</v>
      </c>
      <c r="K51" s="155"/>
      <c r="L51" s="158">
        <f>IFERROR(__xludf.DUMMYFUNCTION("""COMPUTED_VALUE"""),10.0)</f>
        <v>10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"/>
    </row>
    <row r="52" ht="24.75" customHeight="1">
      <c r="A52" s="152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153">
        <f>IFERROR(__xludf.DUMMYFUNCTION("""COMPUTED_VALUE"""),8.0)</f>
        <v>8</v>
      </c>
      <c r="F52" s="153">
        <f>IFERROR(__xludf.DUMMYFUNCTION("""COMPUTED_VALUE"""),2.0)</f>
        <v>2</v>
      </c>
      <c r="G52" s="153"/>
      <c r="H52" s="154">
        <f>IFERROR(__xludf.DUMMYFUNCTION("""COMPUTED_VALUE"""),10.0)</f>
        <v>10</v>
      </c>
      <c r="I52" s="155">
        <f>IFERROR(__xludf.DUMMYFUNCTION("""COMPUTED_VALUE"""),0.0)</f>
        <v>0</v>
      </c>
      <c r="J52" s="156">
        <f>IFERROR(__xludf.DUMMYFUNCTION("""COMPUTED_VALUE"""),10.0)</f>
        <v>10</v>
      </c>
      <c r="K52" s="155"/>
      <c r="L52" s="159">
        <f>IFERROR(__xludf.DUMMYFUNCTION("""COMPUTED_VALUE"""),10.0)</f>
        <v>10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"/>
    </row>
    <row r="53" ht="24.75" customHeight="1">
      <c r="A53" s="152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153">
        <f>IFERROR(__xludf.DUMMYFUNCTION("""COMPUTED_VALUE"""),6.0)</f>
        <v>6</v>
      </c>
      <c r="F53" s="153">
        <f>IFERROR(__xludf.DUMMYFUNCTION("""COMPUTED_VALUE"""),2.0)</f>
        <v>2</v>
      </c>
      <c r="G53" s="153"/>
      <c r="H53" s="154">
        <f>IFERROR(__xludf.DUMMYFUNCTION("""COMPUTED_VALUE"""),8.0)</f>
        <v>8</v>
      </c>
      <c r="I53" s="155">
        <f>IFERROR(__xludf.DUMMYFUNCTION("""COMPUTED_VALUE"""),3.0)</f>
        <v>3</v>
      </c>
      <c r="J53" s="156">
        <f>IFERROR(__xludf.DUMMYFUNCTION("""COMPUTED_VALUE"""),8.0)</f>
        <v>8</v>
      </c>
      <c r="K53" s="155"/>
      <c r="L53" s="159">
        <f>IFERROR(__xludf.DUMMYFUNCTION("""COMPUTED_VALUE"""),8.0)</f>
        <v>8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"/>
    </row>
    <row r="54" ht="24.75" customHeight="1">
      <c r="A54" s="152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153">
        <f>IFERROR(__xludf.DUMMYFUNCTION("""COMPUTED_VALUE"""),7.0)</f>
        <v>7</v>
      </c>
      <c r="F54" s="153">
        <f>IFERROR(__xludf.DUMMYFUNCTION("""COMPUTED_VALUE"""),2.0)</f>
        <v>2</v>
      </c>
      <c r="G54" s="153"/>
      <c r="H54" s="154">
        <f>IFERROR(__xludf.DUMMYFUNCTION("""COMPUTED_VALUE"""),9.0)</f>
        <v>9</v>
      </c>
      <c r="I54" s="155">
        <f>IFERROR(__xludf.DUMMYFUNCTION("""COMPUTED_VALUE"""),1.0)</f>
        <v>1</v>
      </c>
      <c r="J54" s="156">
        <f>IFERROR(__xludf.DUMMYFUNCTION("""COMPUTED_VALUE"""),9.0)</f>
        <v>9</v>
      </c>
      <c r="K54" s="155"/>
      <c r="L54" s="159">
        <f>IFERROR(__xludf.DUMMYFUNCTION("""COMPUTED_VALUE"""),9.0)</f>
        <v>9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"/>
    </row>
    <row r="55" ht="24.75" customHeight="1">
      <c r="A55" s="152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153">
        <f>IFERROR(__xludf.DUMMYFUNCTION("""COMPUTED_VALUE"""),6.0)</f>
        <v>6</v>
      </c>
      <c r="F55" s="153">
        <f>IFERROR(__xludf.DUMMYFUNCTION("""COMPUTED_VALUE"""),2.0)</f>
        <v>2</v>
      </c>
      <c r="G55" s="153"/>
      <c r="H55" s="154">
        <f>IFERROR(__xludf.DUMMYFUNCTION("""COMPUTED_VALUE"""),8.0)</f>
        <v>8</v>
      </c>
      <c r="I55" s="160">
        <f>IFERROR(__xludf.DUMMYFUNCTION("""COMPUTED_VALUE"""),1.0)</f>
        <v>1</v>
      </c>
      <c r="J55" s="156">
        <f>IFERROR(__xludf.DUMMYFUNCTION("""COMPUTED_VALUE"""),8.0)</f>
        <v>8</v>
      </c>
      <c r="K55" s="155"/>
      <c r="L55" s="159">
        <f>IFERROR(__xludf.DUMMYFUNCTION("""COMPUTED_VALUE"""),8.0)</f>
        <v>8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"/>
    </row>
    <row r="56" ht="24.75" customHeight="1">
      <c r="A56" s="152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153">
        <f>IFERROR(__xludf.DUMMYFUNCTION("""COMPUTED_VALUE"""),7.0)</f>
        <v>7</v>
      </c>
      <c r="F56" s="153">
        <f>IFERROR(__xludf.DUMMYFUNCTION("""COMPUTED_VALUE"""),2.0)</f>
        <v>2</v>
      </c>
      <c r="G56" s="153"/>
      <c r="H56" s="154">
        <f>IFERROR(__xludf.DUMMYFUNCTION("""COMPUTED_VALUE"""),9.0)</f>
        <v>9</v>
      </c>
      <c r="I56" s="160">
        <f>IFERROR(__xludf.DUMMYFUNCTION("""COMPUTED_VALUE"""),1.0)</f>
        <v>1</v>
      </c>
      <c r="J56" s="156">
        <f>IFERROR(__xludf.DUMMYFUNCTION("""COMPUTED_VALUE"""),9.0)</f>
        <v>9</v>
      </c>
      <c r="K56" s="155"/>
      <c r="L56" s="159">
        <f>IFERROR(__xludf.DUMMYFUNCTION("""COMPUTED_VALUE"""),9.0)</f>
        <v>9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"/>
    </row>
    <row r="57" ht="24.75" customHeight="1">
      <c r="A57" s="152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153">
        <f>IFERROR(__xludf.DUMMYFUNCTION("""COMPUTED_VALUE"""),5.0)</f>
        <v>5</v>
      </c>
      <c r="F57" s="153">
        <f>IFERROR(__xludf.DUMMYFUNCTION("""COMPUTED_VALUE"""),2.0)</f>
        <v>2</v>
      </c>
      <c r="G57" s="153"/>
      <c r="H57" s="154">
        <f>IFERROR(__xludf.DUMMYFUNCTION("""COMPUTED_VALUE"""),7.0)</f>
        <v>7</v>
      </c>
      <c r="I57" s="160">
        <f>IFERROR(__xludf.DUMMYFUNCTION("""COMPUTED_VALUE"""),1.0)</f>
        <v>1</v>
      </c>
      <c r="J57" s="156">
        <f>IFERROR(__xludf.DUMMYFUNCTION("""COMPUTED_VALUE"""),7.0)</f>
        <v>7</v>
      </c>
      <c r="K57" s="155"/>
      <c r="L57" s="159">
        <f>IFERROR(__xludf.DUMMYFUNCTION("""COMPUTED_VALUE"""),7.0)</f>
        <v>7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"/>
    </row>
    <row r="58" ht="24.75" customHeight="1">
      <c r="A58" s="152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153">
        <f>IFERROR(__xludf.DUMMYFUNCTION("""COMPUTED_VALUE"""),8.0)</f>
        <v>8</v>
      </c>
      <c r="F58" s="153">
        <f>IFERROR(__xludf.DUMMYFUNCTION("""COMPUTED_VALUE"""),2.0)</f>
        <v>2</v>
      </c>
      <c r="G58" s="153"/>
      <c r="H58" s="154">
        <f>IFERROR(__xludf.DUMMYFUNCTION("""COMPUTED_VALUE"""),10.0)</f>
        <v>10</v>
      </c>
      <c r="I58" s="160">
        <f>IFERROR(__xludf.DUMMYFUNCTION("""COMPUTED_VALUE"""),0.0)</f>
        <v>0</v>
      </c>
      <c r="J58" s="156">
        <f>IFERROR(__xludf.DUMMYFUNCTION("""COMPUTED_VALUE"""),10.0)</f>
        <v>10</v>
      </c>
      <c r="K58" s="155"/>
      <c r="L58" s="159">
        <f>IFERROR(__xludf.DUMMYFUNCTION("""COMPUTED_VALUE"""),10.0)</f>
        <v>10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"/>
    </row>
    <row r="59" ht="24.75" customHeight="1">
      <c r="A59" s="152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153">
        <f>IFERROR(__xludf.DUMMYFUNCTION("""COMPUTED_VALUE"""),6.5)</f>
        <v>6.5</v>
      </c>
      <c r="F59" s="153">
        <f>IFERROR(__xludf.DUMMYFUNCTION("""COMPUTED_VALUE"""),1.5)</f>
        <v>1.5</v>
      </c>
      <c r="G59" s="153"/>
      <c r="H59" s="154">
        <f>IFERROR(__xludf.DUMMYFUNCTION("""COMPUTED_VALUE"""),8.0)</f>
        <v>8</v>
      </c>
      <c r="I59" s="160">
        <f>IFERROR(__xludf.DUMMYFUNCTION("""COMPUTED_VALUE"""),0.0)</f>
        <v>0</v>
      </c>
      <c r="J59" s="156">
        <f>IFERROR(__xludf.DUMMYFUNCTION("""COMPUTED_VALUE"""),8.0)</f>
        <v>8</v>
      </c>
      <c r="K59" s="155"/>
      <c r="L59" s="159">
        <f>IFERROR(__xludf.DUMMYFUNCTION("""COMPUTED_VALUE"""),8.0)</f>
        <v>8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"/>
    </row>
    <row r="60" ht="24.75" customHeight="1">
      <c r="A60" s="152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153">
        <f>IFERROR(__xludf.DUMMYFUNCTION("""COMPUTED_VALUE"""),7.0)</f>
        <v>7</v>
      </c>
      <c r="F60" s="153">
        <f>IFERROR(__xludf.DUMMYFUNCTION("""COMPUTED_VALUE"""),2.0)</f>
        <v>2</v>
      </c>
      <c r="G60" s="153"/>
      <c r="H60" s="154">
        <f>IFERROR(__xludf.DUMMYFUNCTION("""COMPUTED_VALUE"""),9.0)</f>
        <v>9</v>
      </c>
      <c r="I60" s="160">
        <f>IFERROR(__xludf.DUMMYFUNCTION("""COMPUTED_VALUE"""),1.0)</f>
        <v>1</v>
      </c>
      <c r="J60" s="156">
        <f>IFERROR(__xludf.DUMMYFUNCTION("""COMPUTED_VALUE"""),9.0)</f>
        <v>9</v>
      </c>
      <c r="K60" s="155"/>
      <c r="L60" s="159">
        <f>IFERROR(__xludf.DUMMYFUNCTION("""COMPUTED_VALUE"""),9.0)</f>
        <v>9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"/>
    </row>
    <row r="61" ht="24.75" customHeight="1">
      <c r="A61" s="152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153">
        <f>IFERROR(__xludf.DUMMYFUNCTION("""COMPUTED_VALUE"""),7.0)</f>
        <v>7</v>
      </c>
      <c r="F61" s="153">
        <f>IFERROR(__xludf.DUMMYFUNCTION("""COMPUTED_VALUE"""),2.0)</f>
        <v>2</v>
      </c>
      <c r="G61" s="153">
        <f>IFERROR(__xludf.DUMMYFUNCTION("""COMPUTED_VALUE"""),1.0)</f>
        <v>1</v>
      </c>
      <c r="H61" s="154">
        <f>IFERROR(__xludf.DUMMYFUNCTION("""COMPUTED_VALUE"""),10.0)</f>
        <v>10</v>
      </c>
      <c r="I61" s="160">
        <f>IFERROR(__xludf.DUMMYFUNCTION("""COMPUTED_VALUE"""),0.0)</f>
        <v>0</v>
      </c>
      <c r="J61" s="156">
        <f>IFERROR(__xludf.DUMMYFUNCTION("""COMPUTED_VALUE"""),10.0)</f>
        <v>10</v>
      </c>
      <c r="K61" s="155"/>
      <c r="L61" s="159">
        <f>IFERROR(__xludf.DUMMYFUNCTION("""COMPUTED_VALUE"""),10.0)</f>
        <v>10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"/>
    </row>
    <row r="62" ht="24.75" customHeight="1">
      <c r="A62" s="152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153">
        <f>IFERROR(__xludf.DUMMYFUNCTION("""COMPUTED_VALUE"""),7.0)</f>
        <v>7</v>
      </c>
      <c r="F62" s="153">
        <f>IFERROR(__xludf.DUMMYFUNCTION("""COMPUTED_VALUE"""),2.0)</f>
        <v>2</v>
      </c>
      <c r="G62" s="153">
        <f>IFERROR(__xludf.DUMMYFUNCTION("""COMPUTED_VALUE"""),1.0)</f>
        <v>1</v>
      </c>
      <c r="H62" s="154">
        <f>IFERROR(__xludf.DUMMYFUNCTION("""COMPUTED_VALUE"""),10.0)</f>
        <v>10</v>
      </c>
      <c r="I62" s="153">
        <f>IFERROR(__xludf.DUMMYFUNCTION("""COMPUTED_VALUE"""),0.0)</f>
        <v>0</v>
      </c>
      <c r="J62" s="156">
        <f>IFERROR(__xludf.DUMMYFUNCTION("""COMPUTED_VALUE"""),10.0)</f>
        <v>10</v>
      </c>
      <c r="K62" s="155"/>
      <c r="L62" s="159">
        <f>IFERROR(__xludf.DUMMYFUNCTION("""COMPUTED_VALUE"""),10.0)</f>
        <v>10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"/>
    </row>
    <row r="63" ht="24.75" customHeight="1">
      <c r="A63" s="152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153">
        <f>IFERROR(__xludf.DUMMYFUNCTION("""COMPUTED_VALUE"""),7.0)</f>
        <v>7</v>
      </c>
      <c r="F63" s="153">
        <f>IFERROR(__xludf.DUMMYFUNCTION("""COMPUTED_VALUE"""),2.0)</f>
        <v>2</v>
      </c>
      <c r="G63" s="153">
        <f>IFERROR(__xludf.DUMMYFUNCTION("""COMPUTED_VALUE"""),1.0)</f>
        <v>1</v>
      </c>
      <c r="H63" s="154">
        <f>IFERROR(__xludf.DUMMYFUNCTION("""COMPUTED_VALUE"""),10.0)</f>
        <v>10</v>
      </c>
      <c r="I63" s="153">
        <f>IFERROR(__xludf.DUMMYFUNCTION("""COMPUTED_VALUE"""),0.0)</f>
        <v>0</v>
      </c>
      <c r="J63" s="156">
        <f>IFERROR(__xludf.DUMMYFUNCTION("""COMPUTED_VALUE"""),10.0)</f>
        <v>10</v>
      </c>
      <c r="K63" s="155"/>
      <c r="L63" s="159">
        <f>IFERROR(__xludf.DUMMYFUNCTION("""COMPUTED_VALUE"""),10.0)</f>
        <v>10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"/>
    </row>
    <row r="64" ht="24.75" customHeight="1">
      <c r="A64" s="124"/>
      <c r="B64" s="161"/>
      <c r="C64" s="161"/>
      <c r="D64" s="125"/>
      <c r="E64" s="162"/>
      <c r="F64" s="162"/>
      <c r="G64" s="162"/>
      <c r="H64" s="162"/>
      <c r="I64" s="130"/>
      <c r="J64" s="163"/>
      <c r="K64" s="126"/>
      <c r="L64" s="163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"/>
    </row>
    <row r="65" ht="24.75" customHeight="1">
      <c r="A65" s="119"/>
      <c r="B65" s="164" t="str">
        <f>IFERROR(__xludf.DUMMYFUNCTION("""COMPUTED_VALUE"""),"No. DE ALUMNOS INSCRITOS")</f>
        <v>No. DE ALUMNOS INSCRITOS</v>
      </c>
      <c r="C65" s="72"/>
      <c r="D65" s="201">
        <f>IFERROR(__xludf.DUMMYFUNCTION("""COMPUTED_VALUE"""),47.0)</f>
        <v>47</v>
      </c>
      <c r="E65" s="162"/>
      <c r="F65" s="166" t="str">
        <f>IFERROR(__xludf.DUMMYFUNCTION("""COMPUTED_VALUE"""),"FIRMA DEL PROFESOR")</f>
        <v>FIRMA DEL PROFESOR</v>
      </c>
      <c r="G65" s="162"/>
      <c r="H65" s="166" t="str">
        <f>IFERROR(__xludf.DUMMYFUNCTION("""COMPUTED_VALUE"""),"FIRMA DEL ORIENTADOR")</f>
        <v>FIRMA DEL ORIENTADOR</v>
      </c>
      <c r="J65" s="167" t="str">
        <f>IFERROR(__xludf.DUMMYFUNCTION("""COMPUTED_VALUE"""),"Vo. Bo. SUBDIRECCIÓN ESCOLAR")</f>
        <v>Vo. Bo. SUBDIRECCIÓN ESCOLAR</v>
      </c>
      <c r="K65" s="168" t="str">
        <f>IFERROR(__xludf.DUMMYFUNCTION("""COMPUTED_VALUE"""),"REVISADO POR SECRETARIA ESCOLAR ")</f>
        <v>REVISADO POR SECRETARIA ESCOLAR </v>
      </c>
      <c r="L65" s="16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"/>
    </row>
    <row r="66" ht="24.75" customHeight="1">
      <c r="A66" s="119"/>
      <c r="B66" s="169" t="str">
        <f>IFERROR(__xludf.DUMMYFUNCTION("""COMPUTED_VALUE"""),"BAJAS DURANTE EL SEMESTRE")</f>
        <v>BAJAS DURANTE EL SEMESTRE</v>
      </c>
      <c r="C66" s="79"/>
      <c r="D66" s="202">
        <f>IFERROR(__xludf.DUMMYFUNCTION("""COMPUTED_VALUE"""),0.0)</f>
        <v>0</v>
      </c>
      <c r="E66" s="162"/>
      <c r="G66" s="162"/>
      <c r="K66" s="10"/>
      <c r="L66" s="16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"/>
    </row>
    <row r="67" ht="24.75" customHeight="1">
      <c r="A67" s="119"/>
      <c r="B67" s="169" t="str">
        <f>IFERROR(__xludf.DUMMYFUNCTION("""COMPUTED_VALUE"""),"EXISTENCIA")</f>
        <v>EXISTENCIA</v>
      </c>
      <c r="C67" s="79"/>
      <c r="D67" s="177">
        <f>IFERROR(__xludf.DUMMYFUNCTION("""COMPUTED_VALUE"""),47.0)</f>
        <v>47</v>
      </c>
      <c r="E67" s="162"/>
      <c r="F67" s="162"/>
      <c r="G67" s="162"/>
      <c r="H67" s="162"/>
      <c r="I67" s="130"/>
      <c r="J67" s="163"/>
      <c r="K67" s="126"/>
      <c r="L67" s="16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"/>
    </row>
    <row r="68" ht="24.75" customHeight="1">
      <c r="A68" s="119"/>
      <c r="B68" s="169" t="str">
        <f>IFERROR(__xludf.DUMMYFUNCTION("""COMPUTED_VALUE"""),"No. DE ALUMNOS APROBADOS")</f>
        <v>No. DE ALUMNOS APROBADOS</v>
      </c>
      <c r="C68" s="79"/>
      <c r="D68" s="172">
        <f>IFERROR(__xludf.DUMMYFUNCTION("""COMPUTED_VALUE"""),47.0)</f>
        <v>47</v>
      </c>
      <c r="E68" s="162"/>
      <c r="F68" s="162"/>
      <c r="G68" s="162"/>
      <c r="H68" s="162"/>
      <c r="I68" s="130"/>
      <c r="J68" s="163"/>
      <c r="K68" s="126"/>
      <c r="L68" s="16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"/>
    </row>
    <row r="69" ht="13.5" customHeight="1">
      <c r="A69" s="119"/>
      <c r="B69" s="169" t="str">
        <f>IFERROR(__xludf.DUMMYFUNCTION("""COMPUTED_VALUE"""),"No. DE ALUMNOS REPROBADOS")</f>
        <v>No. DE ALUMNOS REPROBADOS</v>
      </c>
      <c r="C69" s="79"/>
      <c r="D69" s="172">
        <f>IFERROR(__xludf.DUMMYFUNCTION("""COMPUTED_VALUE"""),0.0)</f>
        <v>0</v>
      </c>
      <c r="E69" s="130"/>
      <c r="F69" s="173"/>
      <c r="G69" s="125"/>
      <c r="H69" s="173"/>
      <c r="I69" s="173"/>
      <c r="J69" s="174"/>
      <c r="K69" s="175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"/>
    </row>
    <row r="70" ht="21.75" customHeight="1">
      <c r="A70" s="176"/>
      <c r="B70" s="169" t="str">
        <f>IFERROR(__xludf.DUMMYFUNCTION("""COMPUTED_VALUE"""),"% DE APROBADOS")</f>
        <v>% DE APROBADOS</v>
      </c>
      <c r="C70" s="79"/>
      <c r="D70" s="177">
        <f>IFERROR(__xludf.DUMMYFUNCTION("""COMPUTED_VALUE"""),100.0)</f>
        <v>100</v>
      </c>
      <c r="E70" s="125"/>
      <c r="F70" s="178" t="str">
        <f>IFERROR(__xludf.DUMMYFUNCTION("""COMPUTED_VALUE"""),"PROFR. ")</f>
        <v>PROFR. </v>
      </c>
      <c r="G70" s="128"/>
      <c r="H70" s="179" t="str">
        <f>IFERROR(__xludf.DUMMYFUNCTION("""COMPUTED_VALUE"""),"PROFA. JUANA RANGEL PALACIOS")</f>
        <v>PROFA. JUANA RANGEL PALACIOS</v>
      </c>
      <c r="J70" s="180" t="str">
        <f>IFERROR(__xludf.DUMMYFUNCTION("""COMPUTED_VALUE"""),"PROFR. OCTAVIO VÁZQUEZ BARRETO")</f>
        <v>PROFR. OCTAVIO VÁZQUEZ BARRETO</v>
      </c>
      <c r="K70" s="181" t="str">
        <f>IFERROR(__xludf.DUMMYFUNCTION("""COMPUTED_VALUE"""),"PROFR. ROBERTO PALOMARES MEJÍA ")</f>
        <v>PROFR. ROBERTO PALOMARES MEJÍA </v>
      </c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"/>
    </row>
    <row r="71" ht="21.75" customHeight="1">
      <c r="A71" s="176"/>
      <c r="B71" s="182" t="str">
        <f>IFERROR(__xludf.DUMMYFUNCTION("""COMPUTED_VALUE"""),"PROMEDIO")</f>
        <v>PROMEDIO</v>
      </c>
      <c r="C71" s="97"/>
      <c r="D71" s="183">
        <f>IFERROR(__xludf.DUMMYFUNCTION("""COMPUTED_VALUE"""),9.297872340425531)</f>
        <v>9.29787234</v>
      </c>
      <c r="E71" s="125"/>
      <c r="G71" s="128"/>
      <c r="K71" s="10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"/>
    </row>
    <row r="72" ht="21.75" customHeight="1">
      <c r="A72" s="184"/>
      <c r="B72" s="119"/>
      <c r="C72" s="119"/>
      <c r="D72" s="119"/>
      <c r="E72" s="119"/>
      <c r="F72" s="119"/>
      <c r="G72" s="119"/>
      <c r="H72" s="119"/>
      <c r="I72" s="119"/>
      <c r="J72" s="119"/>
      <c r="K72" s="126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"/>
    </row>
    <row r="73" ht="21.75" customHeight="1">
      <c r="A73" s="185"/>
      <c r="B73" s="186"/>
      <c r="C73" s="187"/>
      <c r="D73" s="188"/>
      <c r="E73" s="125"/>
      <c r="G73" s="125"/>
      <c r="H73" s="125"/>
      <c r="I73" s="125"/>
      <c r="J73" s="125"/>
      <c r="K73" s="189"/>
      <c r="L73" s="125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"/>
    </row>
    <row r="74" ht="21.75" customHeight="1">
      <c r="A74" s="190"/>
      <c r="B74" s="125"/>
      <c r="C74" s="125"/>
      <c r="D74" s="161"/>
      <c r="E74" s="125"/>
      <c r="F74" s="119"/>
      <c r="G74" s="119"/>
      <c r="H74" s="119"/>
      <c r="I74" s="119"/>
      <c r="J74" s="119"/>
      <c r="K74" s="126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"/>
    </row>
    <row r="75" ht="27.75" customHeight="1">
      <c r="A75" s="190"/>
      <c r="B75" s="125"/>
      <c r="C75" s="125"/>
      <c r="D75" s="191"/>
      <c r="E75" s="125"/>
      <c r="F75" s="192"/>
      <c r="G75" s="119"/>
      <c r="H75" s="192"/>
      <c r="I75" s="192"/>
      <c r="J75" s="192"/>
      <c r="K75" s="193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"/>
    </row>
    <row r="76" ht="21.75" customHeight="1">
      <c r="A76" s="194"/>
      <c r="B76" s="195"/>
      <c r="C76" s="195"/>
      <c r="D76" s="196"/>
      <c r="E76" s="197"/>
      <c r="F76" s="198"/>
      <c r="G76" s="199"/>
      <c r="H76" s="198"/>
      <c r="I76" s="198"/>
      <c r="J76" s="198"/>
      <c r="K76" s="200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"/>
    </row>
    <row r="77" ht="13.5" customHeight="1">
      <c r="A77" s="119"/>
      <c r="B77" s="125"/>
      <c r="C77" s="125"/>
      <c r="D77" s="125"/>
      <c r="E77" s="125"/>
      <c r="F77" s="119"/>
      <c r="G77" s="119"/>
      <c r="H77" s="119"/>
      <c r="I77" s="119"/>
      <c r="J77" s="128"/>
      <c r="K77" s="128"/>
      <c r="L77" s="128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"/>
    </row>
    <row r="78" ht="13.5" customHeight="1">
      <c r="A78" s="119"/>
      <c r="B78" s="125"/>
      <c r="C78" s="125"/>
      <c r="D78" s="125"/>
      <c r="E78" s="125"/>
      <c r="F78" s="119"/>
      <c r="G78" s="119"/>
      <c r="H78" s="119"/>
      <c r="I78" s="119"/>
      <c r="J78" s="128"/>
      <c r="K78" s="128"/>
      <c r="L78" s="12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"/>
    </row>
    <row r="79" ht="13.5" customHeight="1">
      <c r="A79" s="119"/>
      <c r="B79" s="125"/>
      <c r="C79" s="125"/>
      <c r="D79" s="125"/>
      <c r="E79" s="125"/>
      <c r="F79" s="119"/>
      <c r="G79" s="119"/>
      <c r="H79" s="119"/>
      <c r="I79" s="119"/>
      <c r="J79" s="128"/>
      <c r="K79" s="128"/>
      <c r="L79" s="12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"/>
    </row>
    <row r="80" ht="13.5" customHeight="1">
      <c r="A80" s="119"/>
      <c r="B80" s="125"/>
      <c r="C80" s="125"/>
      <c r="D80" s="125"/>
      <c r="E80" s="125"/>
      <c r="F80" s="119"/>
      <c r="G80" s="119"/>
      <c r="H80" s="119"/>
      <c r="I80" s="119"/>
      <c r="J80" s="128"/>
      <c r="K80" s="128"/>
      <c r="L80" s="12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"/>
    </row>
    <row r="81" ht="13.5" customHeight="1">
      <c r="A81" s="119"/>
      <c r="B81" s="125"/>
      <c r="C81" s="125"/>
      <c r="D81" s="125"/>
      <c r="E81" s="125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"/>
    </row>
    <row r="82" ht="14.25" customHeight="1">
      <c r="A82" s="119"/>
      <c r="B82" s="125"/>
      <c r="C82" s="125"/>
      <c r="D82" s="125"/>
      <c r="E82" s="125"/>
      <c r="F82" s="119"/>
      <c r="G82" s="119"/>
      <c r="H82" s="119"/>
      <c r="I82" s="119"/>
      <c r="J82" s="119"/>
      <c r="K82" s="163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"/>
    </row>
    <row r="83" ht="14.25" customHeight="1">
      <c r="A83" s="119"/>
      <c r="B83" s="125"/>
      <c r="C83" s="125"/>
      <c r="D83" s="125"/>
      <c r="E83" s="125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"/>
    </row>
    <row r="84" ht="14.25" customHeight="1">
      <c r="A84" s="119"/>
      <c r="B84" s="125"/>
      <c r="C84" s="125"/>
      <c r="D84" s="125"/>
      <c r="E84" s="12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"/>
    </row>
    <row r="85" ht="14.25" customHeight="1">
      <c r="A85" s="119"/>
      <c r="B85" s="125"/>
      <c r="C85" s="125"/>
      <c r="D85" s="125"/>
      <c r="E85" s="12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"/>
    </row>
    <row r="86" ht="14.25" customHeight="1">
      <c r="A86" s="119"/>
      <c r="B86" s="125"/>
      <c r="C86" s="125"/>
      <c r="D86" s="125"/>
      <c r="E86" s="12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"/>
    </row>
    <row r="87" ht="14.25" customHeight="1">
      <c r="A87" s="119"/>
      <c r="B87" s="125"/>
      <c r="C87" s="125"/>
      <c r="D87" s="125"/>
      <c r="E87" s="125"/>
      <c r="F87" s="119"/>
      <c r="G87" s="119"/>
      <c r="H87" s="119"/>
      <c r="I87" s="119"/>
      <c r="J87" s="119"/>
      <c r="K87" s="163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"/>
    </row>
    <row r="88" ht="14.25" customHeight="1">
      <c r="A88" s="119"/>
      <c r="B88" s="125"/>
      <c r="C88" s="125"/>
      <c r="D88" s="125"/>
      <c r="E88" s="125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"/>
    </row>
    <row r="94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"/>
    </row>
    <row r="95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"/>
    </row>
    <row r="9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"/>
    </row>
    <row r="97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"/>
    </row>
    <row r="98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"/>
    </row>
    <row r="99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"/>
    </row>
    <row r="100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"/>
    </row>
    <row r="101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"/>
    </row>
    <row r="102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"/>
    </row>
    <row r="103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"/>
    </row>
    <row r="104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"/>
    </row>
    <row r="105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"/>
    </row>
    <row r="10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"/>
    </row>
    <row r="107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"/>
    </row>
    <row r="108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"/>
    </row>
    <row r="109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"/>
    </row>
    <row r="110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"/>
    </row>
    <row r="111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"/>
    </row>
    <row r="112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"/>
    </row>
    <row r="113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"/>
    </row>
    <row r="114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"/>
    </row>
    <row r="115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"/>
    </row>
    <row r="11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"/>
    </row>
    <row r="117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"/>
    </row>
    <row r="118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"/>
    </row>
    <row r="119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"/>
    </row>
    <row r="120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"/>
    </row>
    <row r="121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"/>
    </row>
    <row r="122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"/>
    </row>
    <row r="123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"/>
    </row>
    <row r="124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"/>
    </row>
    <row r="125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"/>
    </row>
    <row r="1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"/>
    </row>
    <row r="127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"/>
    </row>
    <row r="128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"/>
    </row>
    <row r="129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"/>
    </row>
    <row r="130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"/>
    </row>
    <row r="131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"/>
    </row>
    <row r="132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"/>
    </row>
    <row r="133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"/>
    </row>
    <row r="134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"/>
    </row>
    <row r="135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"/>
    </row>
    <row r="13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"/>
    </row>
    <row r="137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"/>
    </row>
    <row r="138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"/>
    </row>
    <row r="139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"/>
    </row>
    <row r="140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"/>
    </row>
    <row r="141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"/>
    </row>
    <row r="142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"/>
    </row>
    <row r="143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"/>
    </row>
    <row r="144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"/>
    </row>
    <row r="145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"/>
    </row>
    <row r="14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"/>
    </row>
    <row r="147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"/>
    </row>
    <row r="148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"/>
    </row>
    <row r="149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"/>
    </row>
    <row r="150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"/>
    </row>
    <row r="151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"/>
    </row>
    <row r="152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"/>
    </row>
    <row r="153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"/>
    </row>
    <row r="154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"/>
    </row>
    <row r="155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"/>
    </row>
    <row r="15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"/>
    </row>
    <row r="157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"/>
    </row>
    <row r="158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"/>
    </row>
    <row r="159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"/>
    </row>
    <row r="160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"/>
    </row>
    <row r="161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"/>
    </row>
    <row r="162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"/>
    </row>
    <row r="163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"/>
    </row>
    <row r="164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"/>
    </row>
    <row r="165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"/>
    </row>
    <row r="16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"/>
    </row>
    <row r="167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"/>
    </row>
    <row r="168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"/>
    </row>
    <row r="169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"/>
    </row>
    <row r="170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"/>
    </row>
    <row r="171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"/>
    </row>
    <row r="172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"/>
    </row>
    <row r="173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"/>
    </row>
    <row r="174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"/>
    </row>
    <row r="175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"/>
    </row>
    <row r="17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"/>
    </row>
    <row r="177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"/>
    </row>
    <row r="178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"/>
    </row>
    <row r="179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"/>
    </row>
    <row r="180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"/>
    </row>
    <row r="181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"/>
    </row>
    <row r="182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"/>
    </row>
    <row r="183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"/>
    </row>
    <row r="184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"/>
    </row>
    <row r="185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"/>
    </row>
    <row r="18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"/>
    </row>
    <row r="187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"/>
    </row>
    <row r="188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"/>
    </row>
    <row r="189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"/>
    </row>
    <row r="190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"/>
    </row>
    <row r="191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"/>
    </row>
    <row r="192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"/>
    </row>
    <row r="193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"/>
    </row>
    <row r="194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"/>
    </row>
    <row r="195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"/>
    </row>
    <row r="19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"/>
    </row>
    <row r="197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"/>
    </row>
    <row r="198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"/>
    </row>
    <row r="199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"/>
    </row>
    <row r="200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"/>
    </row>
    <row r="201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"/>
    </row>
    <row r="202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"/>
    </row>
    <row r="203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"/>
    </row>
    <row r="204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"/>
    </row>
    <row r="205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"/>
    </row>
    <row r="20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"/>
    </row>
    <row r="207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"/>
    </row>
    <row r="208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"/>
    </row>
    <row r="209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"/>
    </row>
    <row r="210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"/>
    </row>
    <row r="211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"/>
    </row>
    <row r="212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"/>
    </row>
    <row r="213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"/>
    </row>
    <row r="214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"/>
    </row>
    <row r="215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"/>
    </row>
    <row r="21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"/>
    </row>
    <row r="217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"/>
    </row>
    <row r="218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"/>
    </row>
    <row r="219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"/>
    </row>
    <row r="220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"/>
    </row>
    <row r="221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"/>
    </row>
    <row r="222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"/>
    </row>
    <row r="223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"/>
    </row>
    <row r="224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"/>
    </row>
    <row r="225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"/>
    </row>
    <row r="2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"/>
    </row>
    <row r="227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"/>
    </row>
    <row r="228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"/>
    </row>
    <row r="229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"/>
    </row>
    <row r="230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"/>
    </row>
    <row r="231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"/>
    </row>
    <row r="232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"/>
    </row>
    <row r="233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"/>
    </row>
    <row r="234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"/>
    </row>
    <row r="235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"/>
    </row>
    <row r="23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"/>
    </row>
    <row r="237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"/>
    </row>
    <row r="238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"/>
    </row>
    <row r="239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"/>
    </row>
    <row r="240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"/>
    </row>
    <row r="241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"/>
    </row>
    <row r="242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"/>
    </row>
    <row r="243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"/>
    </row>
    <row r="244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"/>
    </row>
    <row r="245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"/>
    </row>
    <row r="24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"/>
    </row>
    <row r="247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"/>
    </row>
    <row r="248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"/>
    </row>
    <row r="249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"/>
    </row>
    <row r="250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"/>
    </row>
    <row r="251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"/>
    </row>
    <row r="252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"/>
    </row>
    <row r="253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"/>
    </row>
    <row r="254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"/>
    </row>
    <row r="255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"/>
    </row>
    <row r="25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"/>
    </row>
    <row r="257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"/>
    </row>
    <row r="258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"/>
    </row>
    <row r="259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"/>
    </row>
    <row r="260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"/>
    </row>
    <row r="261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"/>
    </row>
    <row r="262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"/>
    </row>
    <row r="263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"/>
    </row>
    <row r="264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"/>
    </row>
    <row r="265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"/>
    </row>
    <row r="26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"/>
    </row>
    <row r="267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"/>
    </row>
    <row r="268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"/>
    </row>
    <row r="269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"/>
    </row>
    <row r="270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"/>
    </row>
    <row r="271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"/>
    </row>
    <row r="272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"/>
    </row>
    <row r="273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"/>
    </row>
    <row r="274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"/>
    </row>
    <row r="275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"/>
    </row>
    <row r="27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19" t="str">
        <f>IFERROR(__xludf.DUMMYFUNCTION("IMPORTRANGE(""https://docs.google.com/spreadsheets/d/1G21Rae1HEvKyziJfdvU9KNUk-9v3MIQn0XxsBZDk7Uk/edit?gid=1593737833#gid=1593737833"",""2-3 actividades artisticas y culturales i !A1:Q85"")"),"")</f>
        <v/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"/>
    </row>
    <row r="2" ht="15.0" customHeight="1">
      <c r="A2" s="120"/>
      <c r="B2" s="121"/>
      <c r="C2" s="121"/>
      <c r="D2" s="121"/>
      <c r="E2" s="122"/>
      <c r="F2" s="122"/>
      <c r="G2" s="122"/>
      <c r="H2" s="122"/>
      <c r="I2" s="122"/>
      <c r="J2" s="122"/>
      <c r="K2" s="123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"/>
    </row>
    <row r="3" ht="15.0" customHeight="1">
      <c r="A3" s="124"/>
      <c r="B3" s="125"/>
      <c r="C3" s="125"/>
      <c r="D3" s="125"/>
      <c r="E3" s="119"/>
      <c r="F3" s="119"/>
      <c r="G3" s="119"/>
      <c r="H3" s="119"/>
      <c r="I3" s="119"/>
      <c r="J3" s="119"/>
      <c r="K3" s="126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"/>
    </row>
    <row r="4" ht="15.0" customHeight="1">
      <c r="A4" s="124"/>
      <c r="B4" s="125"/>
      <c r="C4" s="125"/>
      <c r="D4" s="125"/>
      <c r="E4" s="119"/>
      <c r="F4" s="119"/>
      <c r="G4" s="119"/>
      <c r="H4" s="119"/>
      <c r="I4" s="119"/>
      <c r="J4" s="119"/>
      <c r="K4" s="12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"/>
    </row>
    <row r="5" ht="15.0" customHeight="1">
      <c r="A5" s="124"/>
      <c r="B5" s="125"/>
      <c r="C5" s="125"/>
      <c r="D5" s="125"/>
      <c r="E5" s="119"/>
      <c r="F5" s="119"/>
      <c r="G5" s="119"/>
      <c r="H5" s="119"/>
      <c r="I5" s="119"/>
      <c r="J5" s="119"/>
      <c r="K5" s="12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"/>
    </row>
    <row r="6" ht="15.0" customHeight="1">
      <c r="A6" s="124"/>
      <c r="B6" s="125"/>
      <c r="C6" s="125"/>
      <c r="D6" s="125"/>
      <c r="E6" s="119"/>
      <c r="F6" s="119"/>
      <c r="G6" s="119"/>
      <c r="H6" s="119"/>
      <c r="I6" s="119"/>
      <c r="J6" s="119"/>
      <c r="K6" s="126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"/>
    </row>
    <row r="7" ht="15.0" customHeight="1">
      <c r="A7" s="124"/>
      <c r="B7" s="125"/>
      <c r="C7" s="125"/>
      <c r="D7" s="125"/>
      <c r="E7" s="119"/>
      <c r="F7" s="119"/>
      <c r="G7" s="119"/>
      <c r="H7" s="119"/>
      <c r="I7" s="119"/>
      <c r="J7" s="119"/>
      <c r="K7" s="126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"/>
    </row>
    <row r="8" ht="9.75" customHeight="1">
      <c r="A8" s="124"/>
      <c r="B8" s="125"/>
      <c r="C8" s="125"/>
      <c r="D8" s="125"/>
      <c r="E8" s="119"/>
      <c r="F8" s="119"/>
      <c r="G8" s="119"/>
      <c r="H8" s="119"/>
      <c r="I8" s="119"/>
      <c r="J8" s="119"/>
      <c r="K8" s="126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"/>
    </row>
    <row r="9" ht="23.25" customHeight="1">
      <c r="A9" s="127" t="str">
        <f>IFERROR(__xludf.DUMMYFUNCTION("""COMPUTED_VALUE"""),"ESCUELA PREPARATORIA OFICIAL NÚM. 67")</f>
        <v>ESCUELA PREPARATORIA OFICIAL NÚM. 67</v>
      </c>
      <c r="K9" s="10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"/>
    </row>
    <row r="10" ht="9.75" customHeight="1">
      <c r="A10" s="124"/>
      <c r="B10" s="125"/>
      <c r="C10" s="125"/>
      <c r="D10" s="125"/>
      <c r="E10" s="128"/>
      <c r="K10" s="10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"/>
    </row>
    <row r="11" ht="19.5" customHeight="1">
      <c r="A11" s="124"/>
      <c r="B11" s="129" t="str">
        <f>IFERROR(__xludf.DUMMYFUNCTION("""COMPUTED_VALUE"""),"CONTROL PRIMER PARCIAL ")</f>
        <v>CONTROL PRIMER PARCIAL </v>
      </c>
      <c r="C11" s="130"/>
      <c r="D11" s="130"/>
      <c r="E11" s="119"/>
      <c r="F11" s="119"/>
      <c r="G11" s="119"/>
      <c r="H11" s="119"/>
      <c r="I11" s="119"/>
      <c r="J11" s="119"/>
      <c r="K11" s="12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"/>
    </row>
    <row r="12" ht="12.75" customHeight="1">
      <c r="A12" s="124"/>
      <c r="B12" s="125"/>
      <c r="C12" s="125"/>
      <c r="D12" s="125"/>
      <c r="E12" s="119"/>
      <c r="F12" s="119"/>
      <c r="G12" s="119"/>
      <c r="H12" s="119"/>
      <c r="I12" s="119"/>
      <c r="J12" s="119"/>
      <c r="K12" s="12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"/>
    </row>
    <row r="13" ht="32.25" customHeight="1">
      <c r="A13" s="131" t="str">
        <f>IFERROR(__xludf.DUMMYFUNCTION("""COMPUTED_VALUE"""),"PROFESOR (A): ")</f>
        <v>PROFESOR (A): </v>
      </c>
      <c r="B13" s="17"/>
      <c r="C13" s="132" t="str">
        <f>IFERROR(__xludf.DUMMYFUNCTION("""COMPUTED_VALUE"""),"Claudia Ivone Torres Moreno")</f>
        <v>Claudia Ivone Torres Moreno</v>
      </c>
      <c r="D13" s="17"/>
      <c r="E13" s="133" t="str">
        <f>IFERROR(__xludf.DUMMYFUNCTION("""COMPUTED_VALUE"""),"II")</f>
        <v>II</v>
      </c>
      <c r="F13" s="133" t="str">
        <f>IFERROR(__xludf.DUMMYFUNCTION("""COMPUTED_VALUE"""),"III")</f>
        <v>III</v>
      </c>
      <c r="G13" s="134" t="str">
        <f>IFERROR(__xludf.DUMMYFUNCTION("""COMPUTED_VALUE"""),"PUNTAJE EXTRA")</f>
        <v>PUNTAJE EXTRA</v>
      </c>
      <c r="H13" s="135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"/>
    </row>
    <row r="14" ht="35.25" customHeight="1">
      <c r="A14" s="136" t="str">
        <f>IFERROR(__xludf.DUMMYFUNCTION("""COMPUTED_VALUE"""),"UAC")</f>
        <v>UAC</v>
      </c>
      <c r="B14" s="137" t="str">
        <f>IFERROR(__xludf.DUMMYFUNCTION("""COMPUTED_VALUE"""),"ACTIVIDADES ARTÍSTICAS Y CULTURALES I")</f>
        <v>ACTIVIDADES ARTÍSTICAS Y CULTURALES I</v>
      </c>
      <c r="C14" s="27"/>
      <c r="D14" s="28"/>
      <c r="E14" s="138" t="str">
        <f>IFERROR(__xludf.DUMMYFUNCTION("""COMPUTED_VALUE"""),"Evaluación continua 80%")</f>
        <v>Evaluación continua 80%</v>
      </c>
      <c r="F14" s="139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"/>
    </row>
    <row r="15" ht="24.75" customHeight="1">
      <c r="A15" s="140" t="str">
        <f>IFERROR(__xludf.DUMMYFUNCTION("""COMPUTED_VALUE"""),"GRADO")</f>
        <v>GRADO</v>
      </c>
      <c r="B15" s="141" t="str">
        <f>IFERROR(__xludf.DUMMYFUNCTION("""COMPUTED_VALUE"""),"2°")</f>
        <v>2°</v>
      </c>
      <c r="C15" s="142" t="str">
        <f>IFERROR(__xludf.DUMMYFUNCTION("""COMPUTED_VALUE"""),"GRUPO")</f>
        <v>GRUPO</v>
      </c>
      <c r="D15" s="143">
        <f>IFERROR(__xludf.DUMMYFUNCTION("""COMPUTED_VALUE"""),3.0)</f>
        <v>3</v>
      </c>
      <c r="E15" s="32"/>
      <c r="F15" s="32"/>
      <c r="G15" s="39"/>
      <c r="H15" s="144"/>
      <c r="I15" s="145"/>
      <c r="J15" s="27"/>
      <c r="K15" s="42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"/>
    </row>
    <row r="16" ht="40.5" customHeight="1">
      <c r="A16" s="146" t="str">
        <f>IFERROR(__xludf.DUMMYFUNCTION("""COMPUTED_VALUE"""),"No.")</f>
        <v>No.</v>
      </c>
      <c r="B16" s="147" t="str">
        <f>IFERROR(__xludf.DUMMYFUNCTION("""COMPUTED_VALUE"""),"NOMBRE DEL ALUMNO")</f>
        <v>NOMBRE DEL ALUMNO</v>
      </c>
      <c r="C16" s="27"/>
      <c r="D16" s="28"/>
      <c r="E16" s="46"/>
      <c r="F16" s="46"/>
      <c r="G16" s="148"/>
      <c r="H16" s="149" t="str">
        <f>IFERROR(__xludf.DUMMYFUNCTION("""COMPUTED_VALUE"""),"Suma")</f>
        <v>Suma</v>
      </c>
      <c r="I16" s="150" t="str">
        <f>IFERROR(__xludf.DUMMYFUNCTION("""COMPUTED_VALUE"""),"Faltas")</f>
        <v>Faltas</v>
      </c>
      <c r="J16" s="150" t="str">
        <f>IFERROR(__xludf.DUMMYFUNCTION("""COMPUTED_VALUE"""),"Calificación Definitiva")</f>
        <v>Calificación Definitiva</v>
      </c>
      <c r="K16" s="151" t="str">
        <f>IFERROR(__xludf.DUMMYFUNCTION("""COMPUTED_VALUE"""),"FIRMA")</f>
        <v>FIRMA</v>
      </c>
      <c r="L16" s="150" t="str">
        <f>IFERROR(__xludf.DUMMYFUNCTION("""COMPUTED_VALUE"""),"Calificación Definitiva")</f>
        <v>Calificación Definitiva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"/>
    </row>
    <row r="17" ht="24.75" customHeight="1">
      <c r="A17" s="152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153">
        <f>IFERROR(__xludf.DUMMYFUNCTION("""COMPUTED_VALUE"""),7.6)</f>
        <v>7.6</v>
      </c>
      <c r="F17" s="153">
        <f>IFERROR(__xludf.DUMMYFUNCTION("""COMPUTED_VALUE"""),2.0)</f>
        <v>2</v>
      </c>
      <c r="G17" s="153"/>
      <c r="H17" s="154">
        <f>IFERROR(__xludf.DUMMYFUNCTION("""COMPUTED_VALUE"""),9.6)</f>
        <v>9.6</v>
      </c>
      <c r="I17" s="155">
        <f>IFERROR(__xludf.DUMMYFUNCTION("""COMPUTED_VALUE"""),0.0)</f>
        <v>0</v>
      </c>
      <c r="J17" s="156">
        <f>IFERROR(__xludf.DUMMYFUNCTION("""COMPUTED_VALUE"""),10.0)</f>
        <v>10</v>
      </c>
      <c r="K17" s="157"/>
      <c r="L17" s="158">
        <f>IFERROR(__xludf.DUMMYFUNCTION("""COMPUTED_VALUE"""),10.0)</f>
        <v>10</v>
      </c>
      <c r="M17" s="119" t="str">
        <f>IFERROR(__xludf.DUMMYFUNCTION("""COMPUTED_VALUE"""),"HORAS IMPARTIDAS")</f>
        <v>HORAS IMPARTIDAS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"/>
    </row>
    <row r="18" ht="24.75" customHeight="1">
      <c r="A18" s="152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153">
        <f>IFERROR(__xludf.DUMMYFUNCTION("""COMPUTED_VALUE"""),7.8)</f>
        <v>7.8</v>
      </c>
      <c r="F18" s="153">
        <f>IFERROR(__xludf.DUMMYFUNCTION("""COMPUTED_VALUE"""),2.0)</f>
        <v>2</v>
      </c>
      <c r="G18" s="153"/>
      <c r="H18" s="154">
        <f>IFERROR(__xludf.DUMMYFUNCTION("""COMPUTED_VALUE"""),9.8)</f>
        <v>9.8</v>
      </c>
      <c r="I18" s="155">
        <f>IFERROR(__xludf.DUMMYFUNCTION("""COMPUTED_VALUE"""),0.0)</f>
        <v>0</v>
      </c>
      <c r="J18" s="156">
        <f>IFERROR(__xludf.DUMMYFUNCTION("""COMPUTED_VALUE"""),10.0)</f>
        <v>10</v>
      </c>
      <c r="K18" s="155"/>
      <c r="L18" s="158">
        <f>IFERROR(__xludf.DUMMYFUNCTION("""COMPUTED_VALUE"""),10.0)</f>
        <v>10</v>
      </c>
      <c r="M18" s="119" t="str">
        <f>IFERROR(__xludf.DUMMYFUNCTION("""COMPUTED_VALUE"""),"Febrero")</f>
        <v>Febrero</v>
      </c>
      <c r="N18" s="119">
        <f>IFERROR(__xludf.DUMMYFUNCTION("""COMPUTED_VALUE"""),6.0)</f>
        <v>6</v>
      </c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"/>
    </row>
    <row r="19" ht="24.75" customHeight="1">
      <c r="A19" s="152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153">
        <f>IFERROR(__xludf.DUMMYFUNCTION("""COMPUTED_VALUE"""),7.0)</f>
        <v>7</v>
      </c>
      <c r="F19" s="153">
        <f>IFERROR(__xludf.DUMMYFUNCTION("""COMPUTED_VALUE"""),1.5)</f>
        <v>1.5</v>
      </c>
      <c r="G19" s="153"/>
      <c r="H19" s="154">
        <f>IFERROR(__xludf.DUMMYFUNCTION("""COMPUTED_VALUE"""),8.5)</f>
        <v>8.5</v>
      </c>
      <c r="I19" s="155">
        <f>IFERROR(__xludf.DUMMYFUNCTION("""COMPUTED_VALUE"""),0.0)</f>
        <v>0</v>
      </c>
      <c r="J19" s="156">
        <f>IFERROR(__xludf.DUMMYFUNCTION("""COMPUTED_VALUE"""),9.0)</f>
        <v>9</v>
      </c>
      <c r="K19" s="155"/>
      <c r="L19" s="158">
        <f>IFERROR(__xludf.DUMMYFUNCTION("""COMPUTED_VALUE"""),9.0)</f>
        <v>9</v>
      </c>
      <c r="M19" s="119" t="str">
        <f>IFERROR(__xludf.DUMMYFUNCTION("""COMPUTED_VALUE"""),"Marzo")</f>
        <v>Marzo</v>
      </c>
      <c r="N19" s="119">
        <f>IFERROR(__xludf.DUMMYFUNCTION("""COMPUTED_VALUE"""),6.0)</f>
        <v>6</v>
      </c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"/>
    </row>
    <row r="20" ht="24.75" customHeight="1">
      <c r="A20" s="152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153">
        <f>IFERROR(__xludf.DUMMYFUNCTION("""COMPUTED_VALUE"""),5.0)</f>
        <v>5</v>
      </c>
      <c r="F20" s="153">
        <f>IFERROR(__xludf.DUMMYFUNCTION("""COMPUTED_VALUE"""),1.6)</f>
        <v>1.6</v>
      </c>
      <c r="G20" s="153"/>
      <c r="H20" s="154">
        <f>IFERROR(__xludf.DUMMYFUNCTION("""COMPUTED_VALUE"""),6.6)</f>
        <v>6.6</v>
      </c>
      <c r="I20" s="155">
        <f>IFERROR(__xludf.DUMMYFUNCTION("""COMPUTED_VALUE"""),0.0)</f>
        <v>0</v>
      </c>
      <c r="J20" s="156">
        <f>IFERROR(__xludf.DUMMYFUNCTION("""COMPUTED_VALUE"""),7.0)</f>
        <v>7</v>
      </c>
      <c r="K20" s="155"/>
      <c r="L20" s="158">
        <f>IFERROR(__xludf.DUMMYFUNCTION("""COMPUTED_VALUE"""),7.0)</f>
        <v>7</v>
      </c>
      <c r="M20" s="119" t="str">
        <f>IFERROR(__xludf.DUMMYFUNCTION("""COMPUTED_VALUE"""),"Abril")</f>
        <v>Abril</v>
      </c>
      <c r="N20" s="119">
        <f>IFERROR(__xludf.DUMMYFUNCTION("""COMPUTED_VALUE"""),4.0)</f>
        <v>4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"/>
    </row>
    <row r="21" ht="24.75" customHeight="1">
      <c r="A21" s="152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153">
        <f>IFERROR(__xludf.DUMMYFUNCTION("""COMPUTED_VALUE"""),5.5)</f>
        <v>5.5</v>
      </c>
      <c r="F21" s="153">
        <f>IFERROR(__xludf.DUMMYFUNCTION("""COMPUTED_VALUE"""),1.4)</f>
        <v>1.4</v>
      </c>
      <c r="G21" s="153"/>
      <c r="H21" s="154">
        <f>IFERROR(__xludf.DUMMYFUNCTION("""COMPUTED_VALUE"""),6.9)</f>
        <v>6.9</v>
      </c>
      <c r="I21" s="155">
        <f>IFERROR(__xludf.DUMMYFUNCTION("""COMPUTED_VALUE"""),0.0)</f>
        <v>0</v>
      </c>
      <c r="J21" s="156">
        <f>IFERROR(__xludf.DUMMYFUNCTION("""COMPUTED_VALUE"""),7.0)</f>
        <v>7</v>
      </c>
      <c r="K21" s="155"/>
      <c r="L21" s="158">
        <f>IFERROR(__xludf.DUMMYFUNCTION("""COMPUTED_VALUE"""),7.0)</f>
        <v>7</v>
      </c>
      <c r="M21" s="119" t="str">
        <f>IFERROR(__xludf.DUMMYFUNCTION("""COMPUTED_VALUE"""),"Junio")</f>
        <v>Junio</v>
      </c>
      <c r="N21" s="119">
        <f>IFERROR(__xludf.DUMMYFUNCTION("""COMPUTED_VALUE"""),8.0)</f>
        <v>8</v>
      </c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"/>
    </row>
    <row r="22" ht="24.75" customHeight="1">
      <c r="A22" s="152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153">
        <f>IFERROR(__xludf.DUMMYFUNCTION("""COMPUTED_VALUE"""),7.8)</f>
        <v>7.8</v>
      </c>
      <c r="F22" s="153">
        <f>IFERROR(__xludf.DUMMYFUNCTION("""COMPUTED_VALUE"""),1.2)</f>
        <v>1.2</v>
      </c>
      <c r="G22" s="153"/>
      <c r="H22" s="154">
        <f>IFERROR(__xludf.DUMMYFUNCTION("""COMPUTED_VALUE"""),9.0)</f>
        <v>9</v>
      </c>
      <c r="I22" s="155">
        <f>IFERROR(__xludf.DUMMYFUNCTION("""COMPUTED_VALUE"""),0.0)</f>
        <v>0</v>
      </c>
      <c r="J22" s="156">
        <f>IFERROR(__xludf.DUMMYFUNCTION("""COMPUTED_VALUE"""),9.0)</f>
        <v>9</v>
      </c>
      <c r="K22" s="155"/>
      <c r="L22" s="158">
        <f>IFERROR(__xludf.DUMMYFUNCTION("""COMPUTED_VALUE"""),9.0)</f>
        <v>9</v>
      </c>
      <c r="M22" s="119" t="str">
        <f>IFERROR(__xludf.DUMMYFUNCTION("""COMPUTED_VALUE"""),"Julio")</f>
        <v>Julio</v>
      </c>
      <c r="N22" s="119">
        <f>IFERROR(__xludf.DUMMYFUNCTION("""COMPUTED_VALUE"""),4.0)</f>
        <v>4</v>
      </c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"/>
    </row>
    <row r="23" ht="24.75" customHeight="1">
      <c r="A23" s="152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153">
        <f>IFERROR(__xludf.DUMMYFUNCTION("""COMPUTED_VALUE"""),7.6)</f>
        <v>7.6</v>
      </c>
      <c r="F23" s="153">
        <f>IFERROR(__xludf.DUMMYFUNCTION("""COMPUTED_VALUE"""),1.2)</f>
        <v>1.2</v>
      </c>
      <c r="G23" s="153"/>
      <c r="H23" s="154">
        <f>IFERROR(__xludf.DUMMYFUNCTION("""COMPUTED_VALUE"""),8.799999999999999)</f>
        <v>8.8</v>
      </c>
      <c r="I23" s="155">
        <f>IFERROR(__xludf.DUMMYFUNCTION("""COMPUTED_VALUE"""),0.0)</f>
        <v>0</v>
      </c>
      <c r="J23" s="156">
        <f>IFERROR(__xludf.DUMMYFUNCTION("""COMPUTED_VALUE"""),9.0)</f>
        <v>9</v>
      </c>
      <c r="K23" s="155"/>
      <c r="L23" s="158">
        <f>IFERROR(__xludf.DUMMYFUNCTION("""COMPUTED_VALUE"""),9.0)</f>
        <v>9</v>
      </c>
      <c r="M23" s="119" t="str">
        <f>IFERROR(__xludf.DUMMYFUNCTION("""COMPUTED_VALUE"""),"TOTAL")</f>
        <v>TOTAL</v>
      </c>
      <c r="N23" s="119">
        <f>IFERROR(__xludf.DUMMYFUNCTION("""COMPUTED_VALUE"""),28.0)</f>
        <v>28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"/>
    </row>
    <row r="24" ht="24.75" customHeight="1">
      <c r="A24" s="152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153">
        <f>IFERROR(__xludf.DUMMYFUNCTION("""COMPUTED_VALUE"""),8.0)</f>
        <v>8</v>
      </c>
      <c r="F24" s="153">
        <f>IFERROR(__xludf.DUMMYFUNCTION("""COMPUTED_VALUE"""),1.4)</f>
        <v>1.4</v>
      </c>
      <c r="G24" s="153"/>
      <c r="H24" s="154">
        <f>IFERROR(__xludf.DUMMYFUNCTION("""COMPUTED_VALUE"""),9.4)</f>
        <v>9.4</v>
      </c>
      <c r="I24" s="155">
        <f>IFERROR(__xludf.DUMMYFUNCTION("""COMPUTED_VALUE"""),0.0)</f>
        <v>0</v>
      </c>
      <c r="J24" s="156">
        <f>IFERROR(__xludf.DUMMYFUNCTION("""COMPUTED_VALUE"""),9.0)</f>
        <v>9</v>
      </c>
      <c r="K24" s="155"/>
      <c r="L24" s="158">
        <f>IFERROR(__xludf.DUMMYFUNCTION("""COMPUTED_VALUE"""),9.0)</f>
        <v>9</v>
      </c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"/>
    </row>
    <row r="25" ht="24.75" customHeight="1">
      <c r="A25" s="152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153">
        <f>IFERROR(__xludf.DUMMYFUNCTION("""COMPUTED_VALUE"""),7.2)</f>
        <v>7.2</v>
      </c>
      <c r="F25" s="153">
        <f>IFERROR(__xludf.DUMMYFUNCTION("""COMPUTED_VALUE"""),1.0)</f>
        <v>1</v>
      </c>
      <c r="G25" s="153"/>
      <c r="H25" s="154">
        <f>IFERROR(__xludf.DUMMYFUNCTION("""COMPUTED_VALUE"""),8.2)</f>
        <v>8.2</v>
      </c>
      <c r="I25" s="155">
        <f>IFERROR(__xludf.DUMMYFUNCTION("""COMPUTED_VALUE"""),2.0)</f>
        <v>2</v>
      </c>
      <c r="J25" s="156">
        <f>IFERROR(__xludf.DUMMYFUNCTION("""COMPUTED_VALUE"""),8.0)</f>
        <v>8</v>
      </c>
      <c r="K25" s="155"/>
      <c r="L25" s="158">
        <f>IFERROR(__xludf.DUMMYFUNCTION("""COMPUTED_VALUE"""),8.0)</f>
        <v>8</v>
      </c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"/>
    </row>
    <row r="26" ht="24.75" customHeight="1">
      <c r="A26" s="152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153">
        <f>IFERROR(__xludf.DUMMYFUNCTION("""COMPUTED_VALUE"""),7.7)</f>
        <v>7.7</v>
      </c>
      <c r="F26" s="153">
        <f>IFERROR(__xludf.DUMMYFUNCTION("""COMPUTED_VALUE"""),1.4)</f>
        <v>1.4</v>
      </c>
      <c r="G26" s="153"/>
      <c r="H26" s="154">
        <f>IFERROR(__xludf.DUMMYFUNCTION("""COMPUTED_VALUE"""),9.1)</f>
        <v>9.1</v>
      </c>
      <c r="I26" s="155">
        <f>IFERROR(__xludf.DUMMYFUNCTION("""COMPUTED_VALUE"""),0.0)</f>
        <v>0</v>
      </c>
      <c r="J26" s="156">
        <f>IFERROR(__xludf.DUMMYFUNCTION("""COMPUTED_VALUE"""),9.0)</f>
        <v>9</v>
      </c>
      <c r="K26" s="155"/>
      <c r="L26" s="158">
        <f>IFERROR(__xludf.DUMMYFUNCTION("""COMPUTED_VALUE"""),9.0)</f>
        <v>9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"/>
    </row>
    <row r="27" ht="24.75" customHeight="1">
      <c r="A27" s="152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153">
        <f>IFERROR(__xludf.DUMMYFUNCTION("""COMPUTED_VALUE"""),8.0)</f>
        <v>8</v>
      </c>
      <c r="F27" s="153">
        <f>IFERROR(__xludf.DUMMYFUNCTION("""COMPUTED_VALUE"""),1.2)</f>
        <v>1.2</v>
      </c>
      <c r="G27" s="153"/>
      <c r="H27" s="154">
        <f>IFERROR(__xludf.DUMMYFUNCTION("""COMPUTED_VALUE"""),9.2)</f>
        <v>9.2</v>
      </c>
      <c r="I27" s="155">
        <f>IFERROR(__xludf.DUMMYFUNCTION("""COMPUTED_VALUE"""),0.0)</f>
        <v>0</v>
      </c>
      <c r="J27" s="156">
        <f>IFERROR(__xludf.DUMMYFUNCTION("""COMPUTED_VALUE"""),9.0)</f>
        <v>9</v>
      </c>
      <c r="K27" s="155"/>
      <c r="L27" s="158">
        <f>IFERROR(__xludf.DUMMYFUNCTION("""COMPUTED_VALUE"""),9.0)</f>
        <v>9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"/>
    </row>
    <row r="28" ht="24.75" customHeight="1">
      <c r="A28" s="152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153">
        <f>IFERROR(__xludf.DUMMYFUNCTION("""COMPUTED_VALUE"""),6.7)</f>
        <v>6.7</v>
      </c>
      <c r="F28" s="153">
        <f>IFERROR(__xludf.DUMMYFUNCTION("""COMPUTED_VALUE"""),0.0)</f>
        <v>0</v>
      </c>
      <c r="G28" s="153"/>
      <c r="H28" s="154">
        <f>IFERROR(__xludf.DUMMYFUNCTION("""COMPUTED_VALUE"""),6.7)</f>
        <v>6.7</v>
      </c>
      <c r="I28" s="155">
        <f>IFERROR(__xludf.DUMMYFUNCTION("""COMPUTED_VALUE"""),0.0)</f>
        <v>0</v>
      </c>
      <c r="J28" s="156">
        <f>IFERROR(__xludf.DUMMYFUNCTION("""COMPUTED_VALUE"""),7.0)</f>
        <v>7</v>
      </c>
      <c r="K28" s="155"/>
      <c r="L28" s="158">
        <f>IFERROR(__xludf.DUMMYFUNCTION("""COMPUTED_VALUE"""),7.0)</f>
        <v>7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"/>
    </row>
    <row r="29" ht="24.75" customHeight="1">
      <c r="A29" s="152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153">
        <f>IFERROR(__xludf.DUMMYFUNCTION("""COMPUTED_VALUE"""),7.7)</f>
        <v>7.7</v>
      </c>
      <c r="F29" s="153">
        <f>IFERROR(__xludf.DUMMYFUNCTION("""COMPUTED_VALUE"""),1.5)</f>
        <v>1.5</v>
      </c>
      <c r="G29" s="153"/>
      <c r="H29" s="154">
        <f>IFERROR(__xludf.DUMMYFUNCTION("""COMPUTED_VALUE"""),9.2)</f>
        <v>9.2</v>
      </c>
      <c r="I29" s="155">
        <f>IFERROR(__xludf.DUMMYFUNCTION("""COMPUTED_VALUE"""),0.0)</f>
        <v>0</v>
      </c>
      <c r="J29" s="156">
        <f>IFERROR(__xludf.DUMMYFUNCTION("""COMPUTED_VALUE"""),9.0)</f>
        <v>9</v>
      </c>
      <c r="K29" s="155"/>
      <c r="L29" s="158">
        <f>IFERROR(__xludf.DUMMYFUNCTION("""COMPUTED_VALUE"""),9.0)</f>
        <v>9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"/>
    </row>
    <row r="30" ht="24.75" customHeight="1">
      <c r="A30" s="152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153">
        <f>IFERROR(__xludf.DUMMYFUNCTION("""COMPUTED_VALUE"""),7.5)</f>
        <v>7.5</v>
      </c>
      <c r="F30" s="153">
        <f>IFERROR(__xludf.DUMMYFUNCTION("""COMPUTED_VALUE"""),1.0)</f>
        <v>1</v>
      </c>
      <c r="G30" s="153"/>
      <c r="H30" s="154">
        <f>IFERROR(__xludf.DUMMYFUNCTION("""COMPUTED_VALUE"""),8.5)</f>
        <v>8.5</v>
      </c>
      <c r="I30" s="155">
        <f>IFERROR(__xludf.DUMMYFUNCTION("""COMPUTED_VALUE"""),0.0)</f>
        <v>0</v>
      </c>
      <c r="J30" s="156">
        <f>IFERROR(__xludf.DUMMYFUNCTION("""COMPUTED_VALUE"""),9.0)</f>
        <v>9</v>
      </c>
      <c r="K30" s="155"/>
      <c r="L30" s="158">
        <f>IFERROR(__xludf.DUMMYFUNCTION("""COMPUTED_VALUE"""),9.0)</f>
        <v>9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"/>
    </row>
    <row r="31" ht="24.75" customHeight="1">
      <c r="A31" s="152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153">
        <f>IFERROR(__xludf.DUMMYFUNCTION("""COMPUTED_VALUE"""),7.5)</f>
        <v>7.5</v>
      </c>
      <c r="F31" s="153">
        <f>IFERROR(__xludf.DUMMYFUNCTION("""COMPUTED_VALUE"""),1.0)</f>
        <v>1</v>
      </c>
      <c r="G31" s="153"/>
      <c r="H31" s="154">
        <f>IFERROR(__xludf.DUMMYFUNCTION("""COMPUTED_VALUE"""),8.5)</f>
        <v>8.5</v>
      </c>
      <c r="I31" s="155">
        <f>IFERROR(__xludf.DUMMYFUNCTION("""COMPUTED_VALUE"""),0.0)</f>
        <v>0</v>
      </c>
      <c r="J31" s="156">
        <f>IFERROR(__xludf.DUMMYFUNCTION("""COMPUTED_VALUE"""),9.0)</f>
        <v>9</v>
      </c>
      <c r="K31" s="155"/>
      <c r="L31" s="158">
        <f>IFERROR(__xludf.DUMMYFUNCTION("""COMPUTED_VALUE"""),9.0)</f>
        <v>9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"/>
    </row>
    <row r="32" ht="24.75" customHeight="1">
      <c r="A32" s="152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153">
        <f>IFERROR(__xludf.DUMMYFUNCTION("""COMPUTED_VALUE"""),7.3)</f>
        <v>7.3</v>
      </c>
      <c r="F32" s="153">
        <f>IFERROR(__xludf.DUMMYFUNCTION("""COMPUTED_VALUE"""),1.2)</f>
        <v>1.2</v>
      </c>
      <c r="G32" s="153"/>
      <c r="H32" s="154">
        <f>IFERROR(__xludf.DUMMYFUNCTION("""COMPUTED_VALUE"""),8.5)</f>
        <v>8.5</v>
      </c>
      <c r="I32" s="155">
        <f>IFERROR(__xludf.DUMMYFUNCTION("""COMPUTED_VALUE"""),4.0)</f>
        <v>4</v>
      </c>
      <c r="J32" s="156">
        <f>IFERROR(__xludf.DUMMYFUNCTION("""COMPUTED_VALUE"""),9.0)</f>
        <v>9</v>
      </c>
      <c r="K32" s="155"/>
      <c r="L32" s="158">
        <f>IFERROR(__xludf.DUMMYFUNCTION("""COMPUTED_VALUE"""),9.0)</f>
        <v>9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"/>
    </row>
    <row r="33" ht="24.75" customHeight="1">
      <c r="A33" s="152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153">
        <f>IFERROR(__xludf.DUMMYFUNCTION("""COMPUTED_VALUE"""),5.4)</f>
        <v>5.4</v>
      </c>
      <c r="F33" s="153">
        <f>IFERROR(__xludf.DUMMYFUNCTION("""COMPUTED_VALUE"""),1.4)</f>
        <v>1.4</v>
      </c>
      <c r="G33" s="153">
        <f>IFERROR(__xludf.DUMMYFUNCTION("""COMPUTED_VALUE"""),0.3)</f>
        <v>0.3</v>
      </c>
      <c r="H33" s="154">
        <f>IFERROR(__xludf.DUMMYFUNCTION("""COMPUTED_VALUE"""),7.1000000000000005)</f>
        <v>7.1</v>
      </c>
      <c r="I33" s="155">
        <f>IFERROR(__xludf.DUMMYFUNCTION("""COMPUTED_VALUE"""),0.0)</f>
        <v>0</v>
      </c>
      <c r="J33" s="156">
        <f>IFERROR(__xludf.DUMMYFUNCTION("""COMPUTED_VALUE"""),7.0)</f>
        <v>7</v>
      </c>
      <c r="K33" s="155"/>
      <c r="L33" s="158">
        <f>IFERROR(__xludf.DUMMYFUNCTION("""COMPUTED_VALUE"""),7.0)</f>
        <v>7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"/>
    </row>
    <row r="34" ht="24.75" customHeight="1">
      <c r="A34" s="152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153">
        <f>IFERROR(__xludf.DUMMYFUNCTION("""COMPUTED_VALUE"""),7.3)</f>
        <v>7.3</v>
      </c>
      <c r="F34" s="153">
        <f>IFERROR(__xludf.DUMMYFUNCTION("""COMPUTED_VALUE"""),1.4)</f>
        <v>1.4</v>
      </c>
      <c r="G34" s="153"/>
      <c r="H34" s="154">
        <f>IFERROR(__xludf.DUMMYFUNCTION("""COMPUTED_VALUE"""),8.7)</f>
        <v>8.7</v>
      </c>
      <c r="I34" s="155">
        <f>IFERROR(__xludf.DUMMYFUNCTION("""COMPUTED_VALUE"""),0.0)</f>
        <v>0</v>
      </c>
      <c r="J34" s="156">
        <f>IFERROR(__xludf.DUMMYFUNCTION("""COMPUTED_VALUE"""),9.0)</f>
        <v>9</v>
      </c>
      <c r="K34" s="155"/>
      <c r="L34" s="158">
        <f>IFERROR(__xludf.DUMMYFUNCTION("""COMPUTED_VALUE"""),9.0)</f>
        <v>9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"/>
    </row>
    <row r="35" ht="24.75" customHeight="1">
      <c r="A35" s="152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153">
        <f>IFERROR(__xludf.DUMMYFUNCTION("""COMPUTED_VALUE"""),8.0)</f>
        <v>8</v>
      </c>
      <c r="F35" s="153">
        <f>IFERROR(__xludf.DUMMYFUNCTION("""COMPUTED_VALUE"""),1.6)</f>
        <v>1.6</v>
      </c>
      <c r="G35" s="153"/>
      <c r="H35" s="154">
        <f>IFERROR(__xludf.DUMMYFUNCTION("""COMPUTED_VALUE"""),9.6)</f>
        <v>9.6</v>
      </c>
      <c r="I35" s="155">
        <f>IFERROR(__xludf.DUMMYFUNCTION("""COMPUTED_VALUE"""),0.0)</f>
        <v>0</v>
      </c>
      <c r="J35" s="156">
        <f>IFERROR(__xludf.DUMMYFUNCTION("""COMPUTED_VALUE"""),10.0)</f>
        <v>10</v>
      </c>
      <c r="K35" s="155"/>
      <c r="L35" s="158">
        <f>IFERROR(__xludf.DUMMYFUNCTION("""COMPUTED_VALUE"""),10.0)</f>
        <v>10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"/>
    </row>
    <row r="36" ht="24.75" customHeight="1">
      <c r="A36" s="152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153">
        <f>IFERROR(__xludf.DUMMYFUNCTION("""COMPUTED_VALUE"""),7.5)</f>
        <v>7.5</v>
      </c>
      <c r="F36" s="153">
        <f>IFERROR(__xludf.DUMMYFUNCTION("""COMPUTED_VALUE"""),2.0)</f>
        <v>2</v>
      </c>
      <c r="G36" s="153"/>
      <c r="H36" s="154">
        <f>IFERROR(__xludf.DUMMYFUNCTION("""COMPUTED_VALUE"""),9.5)</f>
        <v>9.5</v>
      </c>
      <c r="I36" s="155">
        <f>IFERROR(__xludf.DUMMYFUNCTION("""COMPUTED_VALUE"""),0.0)</f>
        <v>0</v>
      </c>
      <c r="J36" s="156">
        <f>IFERROR(__xludf.DUMMYFUNCTION("""COMPUTED_VALUE"""),10.0)</f>
        <v>10</v>
      </c>
      <c r="K36" s="155"/>
      <c r="L36" s="158">
        <f>IFERROR(__xludf.DUMMYFUNCTION("""COMPUTED_VALUE"""),10.0)</f>
        <v>10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"/>
    </row>
    <row r="37" ht="24.75" customHeight="1">
      <c r="A37" s="152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153">
        <f>IFERROR(__xludf.DUMMYFUNCTION("""COMPUTED_VALUE"""),7.0)</f>
        <v>7</v>
      </c>
      <c r="F37" s="153">
        <f>IFERROR(__xludf.DUMMYFUNCTION("""COMPUTED_VALUE"""),2.0)</f>
        <v>2</v>
      </c>
      <c r="G37" s="153"/>
      <c r="H37" s="154">
        <f>IFERROR(__xludf.DUMMYFUNCTION("""COMPUTED_VALUE"""),9.0)</f>
        <v>9</v>
      </c>
      <c r="I37" s="155">
        <f>IFERROR(__xludf.DUMMYFUNCTION("""COMPUTED_VALUE"""),0.0)</f>
        <v>0</v>
      </c>
      <c r="J37" s="156">
        <f>IFERROR(__xludf.DUMMYFUNCTION("""COMPUTED_VALUE"""),9.0)</f>
        <v>9</v>
      </c>
      <c r="K37" s="155"/>
      <c r="L37" s="158">
        <f>IFERROR(__xludf.DUMMYFUNCTION("""COMPUTED_VALUE"""),9.0)</f>
        <v>9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"/>
    </row>
    <row r="38" ht="24.75" customHeight="1">
      <c r="A38" s="152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153">
        <f>IFERROR(__xludf.DUMMYFUNCTION("""COMPUTED_VALUE"""),5.8)</f>
        <v>5.8</v>
      </c>
      <c r="F38" s="153">
        <f>IFERROR(__xludf.DUMMYFUNCTION("""COMPUTED_VALUE"""),1.2)</f>
        <v>1.2</v>
      </c>
      <c r="G38" s="153"/>
      <c r="H38" s="154">
        <f>IFERROR(__xludf.DUMMYFUNCTION("""COMPUTED_VALUE"""),7.0)</f>
        <v>7</v>
      </c>
      <c r="I38" s="155">
        <f>IFERROR(__xludf.DUMMYFUNCTION("""COMPUTED_VALUE"""),0.0)</f>
        <v>0</v>
      </c>
      <c r="J38" s="156">
        <f>IFERROR(__xludf.DUMMYFUNCTION("""COMPUTED_VALUE"""),7.0)</f>
        <v>7</v>
      </c>
      <c r="K38" s="155"/>
      <c r="L38" s="158">
        <f>IFERROR(__xludf.DUMMYFUNCTION("""COMPUTED_VALUE"""),7.0)</f>
        <v>7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"/>
    </row>
    <row r="39" ht="24.75" customHeight="1">
      <c r="A39" s="152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153">
        <f>IFERROR(__xludf.DUMMYFUNCTION("""COMPUTED_VALUE"""),8.0)</f>
        <v>8</v>
      </c>
      <c r="F39" s="153">
        <f>IFERROR(__xludf.DUMMYFUNCTION("""COMPUTED_VALUE"""),1.8)</f>
        <v>1.8</v>
      </c>
      <c r="G39" s="153"/>
      <c r="H39" s="154">
        <f>IFERROR(__xludf.DUMMYFUNCTION("""COMPUTED_VALUE"""),9.8)</f>
        <v>9.8</v>
      </c>
      <c r="I39" s="155">
        <f>IFERROR(__xludf.DUMMYFUNCTION("""COMPUTED_VALUE"""),0.0)</f>
        <v>0</v>
      </c>
      <c r="J39" s="156">
        <f>IFERROR(__xludf.DUMMYFUNCTION("""COMPUTED_VALUE"""),10.0)</f>
        <v>10</v>
      </c>
      <c r="K39" s="155"/>
      <c r="L39" s="158">
        <f>IFERROR(__xludf.DUMMYFUNCTION("""COMPUTED_VALUE"""),10.0)</f>
        <v>10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"/>
    </row>
    <row r="40" ht="24.75" customHeight="1">
      <c r="A40" s="152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153">
        <f>IFERROR(__xludf.DUMMYFUNCTION("""COMPUTED_VALUE"""),4.0)</f>
        <v>4</v>
      </c>
      <c r="F40" s="153">
        <f>IFERROR(__xludf.DUMMYFUNCTION("""COMPUTED_VALUE"""),1.0)</f>
        <v>1</v>
      </c>
      <c r="G40" s="153"/>
      <c r="H40" s="154">
        <f>IFERROR(__xludf.DUMMYFUNCTION("""COMPUTED_VALUE"""),5.0)</f>
        <v>5</v>
      </c>
      <c r="I40" s="155">
        <f>IFERROR(__xludf.DUMMYFUNCTION("""COMPUTED_VALUE"""),0.0)</f>
        <v>0</v>
      </c>
      <c r="J40" s="156">
        <f>IFERROR(__xludf.DUMMYFUNCTION("""COMPUTED_VALUE"""),5.0)</f>
        <v>5</v>
      </c>
      <c r="K40" s="155"/>
      <c r="L40" s="158">
        <f>IFERROR(__xludf.DUMMYFUNCTION("""COMPUTED_VALUE"""),5.0)</f>
        <v>5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"/>
    </row>
    <row r="41" ht="24.75" customHeight="1">
      <c r="A41" s="152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153">
        <f>IFERROR(__xludf.DUMMYFUNCTION("""COMPUTED_VALUE"""),7.0)</f>
        <v>7</v>
      </c>
      <c r="F41" s="153">
        <f>IFERROR(__xludf.DUMMYFUNCTION("""COMPUTED_VALUE"""),2.0)</f>
        <v>2</v>
      </c>
      <c r="G41" s="153"/>
      <c r="H41" s="154">
        <f>IFERROR(__xludf.DUMMYFUNCTION("""COMPUTED_VALUE"""),9.0)</f>
        <v>9</v>
      </c>
      <c r="I41" s="155">
        <f>IFERROR(__xludf.DUMMYFUNCTION("""COMPUTED_VALUE"""),0.0)</f>
        <v>0</v>
      </c>
      <c r="J41" s="156">
        <f>IFERROR(__xludf.DUMMYFUNCTION("""COMPUTED_VALUE"""),9.0)</f>
        <v>9</v>
      </c>
      <c r="K41" s="155"/>
      <c r="L41" s="158">
        <f>IFERROR(__xludf.DUMMYFUNCTION("""COMPUTED_VALUE"""),9.0)</f>
        <v>9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"/>
    </row>
    <row r="42" ht="24.75" customHeight="1">
      <c r="A42" s="152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153">
        <f>IFERROR(__xludf.DUMMYFUNCTION("""COMPUTED_VALUE"""),7.8)</f>
        <v>7.8</v>
      </c>
      <c r="F42" s="153">
        <f>IFERROR(__xludf.DUMMYFUNCTION("""COMPUTED_VALUE"""),2.0)</f>
        <v>2</v>
      </c>
      <c r="G42" s="153"/>
      <c r="H42" s="154">
        <f>IFERROR(__xludf.DUMMYFUNCTION("""COMPUTED_VALUE"""),9.8)</f>
        <v>9.8</v>
      </c>
      <c r="I42" s="155">
        <f>IFERROR(__xludf.DUMMYFUNCTION("""COMPUTED_VALUE"""),0.0)</f>
        <v>0</v>
      </c>
      <c r="J42" s="156">
        <f>IFERROR(__xludf.DUMMYFUNCTION("""COMPUTED_VALUE"""),10.0)</f>
        <v>10</v>
      </c>
      <c r="K42" s="155"/>
      <c r="L42" s="158">
        <f>IFERROR(__xludf.DUMMYFUNCTION("""COMPUTED_VALUE"""),10.0)</f>
        <v>10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"/>
    </row>
    <row r="43" ht="24.75" customHeight="1">
      <c r="A43" s="152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153">
        <f>IFERROR(__xludf.DUMMYFUNCTION("""COMPUTED_VALUE"""),7.5)</f>
        <v>7.5</v>
      </c>
      <c r="F43" s="153">
        <f>IFERROR(__xludf.DUMMYFUNCTION("""COMPUTED_VALUE"""),2.0)</f>
        <v>2</v>
      </c>
      <c r="G43" s="153"/>
      <c r="H43" s="154">
        <f>IFERROR(__xludf.DUMMYFUNCTION("""COMPUTED_VALUE"""),9.5)</f>
        <v>9.5</v>
      </c>
      <c r="I43" s="155">
        <f>IFERROR(__xludf.DUMMYFUNCTION("""COMPUTED_VALUE"""),2.0)</f>
        <v>2</v>
      </c>
      <c r="J43" s="156">
        <f>IFERROR(__xludf.DUMMYFUNCTION("""COMPUTED_VALUE"""),10.0)</f>
        <v>10</v>
      </c>
      <c r="K43" s="155"/>
      <c r="L43" s="158">
        <f>IFERROR(__xludf.DUMMYFUNCTION("""COMPUTED_VALUE"""),10.0)</f>
        <v>10</v>
      </c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"/>
    </row>
    <row r="44" ht="24.75" customHeight="1">
      <c r="A44" s="152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153">
        <f>IFERROR(__xludf.DUMMYFUNCTION("""COMPUTED_VALUE"""),4.5)</f>
        <v>4.5</v>
      </c>
      <c r="F44" s="153">
        <f>IFERROR(__xludf.DUMMYFUNCTION("""COMPUTED_VALUE"""),0.0)</f>
        <v>0</v>
      </c>
      <c r="G44" s="153"/>
      <c r="H44" s="154">
        <f>IFERROR(__xludf.DUMMYFUNCTION("""COMPUTED_VALUE"""),4.5)</f>
        <v>4.5</v>
      </c>
      <c r="I44" s="155">
        <f>IFERROR(__xludf.DUMMYFUNCTION("""COMPUTED_VALUE"""),0.0)</f>
        <v>0</v>
      </c>
      <c r="J44" s="156">
        <f>IFERROR(__xludf.DUMMYFUNCTION("""COMPUTED_VALUE"""),5.0)</f>
        <v>5</v>
      </c>
      <c r="K44" s="155"/>
      <c r="L44" s="158">
        <f>IFERROR(__xludf.DUMMYFUNCTION("""COMPUTED_VALUE"""),4.0)</f>
        <v>4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"/>
    </row>
    <row r="45" ht="24.75" customHeight="1">
      <c r="A45" s="152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153">
        <f>IFERROR(__xludf.DUMMYFUNCTION("""COMPUTED_VALUE"""),5.2)</f>
        <v>5.2</v>
      </c>
      <c r="F45" s="153">
        <f>IFERROR(__xludf.DUMMYFUNCTION("""COMPUTED_VALUE"""),1.2)</f>
        <v>1.2</v>
      </c>
      <c r="G45" s="153"/>
      <c r="H45" s="154">
        <f>IFERROR(__xludf.DUMMYFUNCTION("""COMPUTED_VALUE"""),6.4)</f>
        <v>6.4</v>
      </c>
      <c r="I45" s="155">
        <f>IFERROR(__xludf.DUMMYFUNCTION("""COMPUTED_VALUE"""),0.0)</f>
        <v>0</v>
      </c>
      <c r="J45" s="156">
        <f>IFERROR(__xludf.DUMMYFUNCTION("""COMPUTED_VALUE"""),6.0)</f>
        <v>6</v>
      </c>
      <c r="K45" s="155"/>
      <c r="L45" s="158">
        <f>IFERROR(__xludf.DUMMYFUNCTION("""COMPUTED_VALUE"""),6.0)</f>
        <v>6</v>
      </c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"/>
    </row>
    <row r="46" ht="24.75" customHeight="1">
      <c r="A46" s="152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153">
        <f>IFERROR(__xludf.DUMMYFUNCTION("""COMPUTED_VALUE"""),6.5)</f>
        <v>6.5</v>
      </c>
      <c r="F46" s="153">
        <f>IFERROR(__xludf.DUMMYFUNCTION("""COMPUTED_VALUE"""),1.2)</f>
        <v>1.2</v>
      </c>
      <c r="G46" s="153"/>
      <c r="H46" s="154">
        <f>IFERROR(__xludf.DUMMYFUNCTION("""COMPUTED_VALUE"""),7.7)</f>
        <v>7.7</v>
      </c>
      <c r="I46" s="155">
        <f>IFERROR(__xludf.DUMMYFUNCTION("""COMPUTED_VALUE"""),2.0)</f>
        <v>2</v>
      </c>
      <c r="J46" s="156">
        <f>IFERROR(__xludf.DUMMYFUNCTION("""COMPUTED_VALUE"""),8.0)</f>
        <v>8</v>
      </c>
      <c r="K46" s="155"/>
      <c r="L46" s="158">
        <f>IFERROR(__xludf.DUMMYFUNCTION("""COMPUTED_VALUE"""),8.0)</f>
        <v>8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"/>
    </row>
    <row r="47" ht="24.75" customHeight="1">
      <c r="A47" s="152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153">
        <f>IFERROR(__xludf.DUMMYFUNCTION("""COMPUTED_VALUE"""),8.0)</f>
        <v>8</v>
      </c>
      <c r="F47" s="153">
        <f>IFERROR(__xludf.DUMMYFUNCTION("""COMPUTED_VALUE"""),1.6)</f>
        <v>1.6</v>
      </c>
      <c r="G47" s="153"/>
      <c r="H47" s="154">
        <f>IFERROR(__xludf.DUMMYFUNCTION("""COMPUTED_VALUE"""),9.6)</f>
        <v>9.6</v>
      </c>
      <c r="I47" s="155">
        <f>IFERROR(__xludf.DUMMYFUNCTION("""COMPUTED_VALUE"""),0.0)</f>
        <v>0</v>
      </c>
      <c r="J47" s="156">
        <f>IFERROR(__xludf.DUMMYFUNCTION("""COMPUTED_VALUE"""),10.0)</f>
        <v>10</v>
      </c>
      <c r="K47" s="155"/>
      <c r="L47" s="158">
        <f>IFERROR(__xludf.DUMMYFUNCTION("""COMPUTED_VALUE"""),10.0)</f>
        <v>10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"/>
    </row>
    <row r="48" ht="24.75" customHeight="1">
      <c r="A48" s="152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153">
        <f>IFERROR(__xludf.DUMMYFUNCTION("""COMPUTED_VALUE"""),4.6)</f>
        <v>4.6</v>
      </c>
      <c r="F48" s="153">
        <f>IFERROR(__xludf.DUMMYFUNCTION("""COMPUTED_VALUE"""),1.4)</f>
        <v>1.4</v>
      </c>
      <c r="G48" s="153"/>
      <c r="H48" s="154">
        <f>IFERROR(__xludf.DUMMYFUNCTION("""COMPUTED_VALUE"""),6.0)</f>
        <v>6</v>
      </c>
      <c r="I48" s="155">
        <f>IFERROR(__xludf.DUMMYFUNCTION("""COMPUTED_VALUE"""),0.0)</f>
        <v>0</v>
      </c>
      <c r="J48" s="156">
        <f>IFERROR(__xludf.DUMMYFUNCTION("""COMPUTED_VALUE"""),6.0)</f>
        <v>6</v>
      </c>
      <c r="K48" s="155"/>
      <c r="L48" s="158">
        <f>IFERROR(__xludf.DUMMYFUNCTION("""COMPUTED_VALUE"""),6.0)</f>
        <v>6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"/>
    </row>
    <row r="49" ht="24.75" customHeight="1">
      <c r="A49" s="152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153">
        <f>IFERROR(__xludf.DUMMYFUNCTION("""COMPUTED_VALUE"""),4.0)</f>
        <v>4</v>
      </c>
      <c r="F49" s="153">
        <f>IFERROR(__xludf.DUMMYFUNCTION("""COMPUTED_VALUE"""),1.0)</f>
        <v>1</v>
      </c>
      <c r="G49" s="153"/>
      <c r="H49" s="154">
        <f>IFERROR(__xludf.DUMMYFUNCTION("""COMPUTED_VALUE"""),5.0)</f>
        <v>5</v>
      </c>
      <c r="I49" s="155">
        <f>IFERROR(__xludf.DUMMYFUNCTION("""COMPUTED_VALUE"""),2.0)</f>
        <v>2</v>
      </c>
      <c r="J49" s="156">
        <f>IFERROR(__xludf.DUMMYFUNCTION("""COMPUTED_VALUE"""),5.0)</f>
        <v>5</v>
      </c>
      <c r="K49" s="155"/>
      <c r="L49" s="158">
        <f>IFERROR(__xludf.DUMMYFUNCTION("""COMPUTED_VALUE"""),5.0)</f>
        <v>5</v>
      </c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"/>
    </row>
    <row r="50" ht="24.75" customHeight="1">
      <c r="A50" s="152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153">
        <f>IFERROR(__xludf.DUMMYFUNCTION("""COMPUTED_VALUE"""),8.0)</f>
        <v>8</v>
      </c>
      <c r="F50" s="153">
        <f>IFERROR(__xludf.DUMMYFUNCTION("""COMPUTED_VALUE"""),2.0)</f>
        <v>2</v>
      </c>
      <c r="G50" s="153"/>
      <c r="H50" s="154">
        <f>IFERROR(__xludf.DUMMYFUNCTION("""COMPUTED_VALUE"""),10.0)</f>
        <v>10</v>
      </c>
      <c r="I50" s="155">
        <f>IFERROR(__xludf.DUMMYFUNCTION("""COMPUTED_VALUE"""),0.0)</f>
        <v>0</v>
      </c>
      <c r="J50" s="156">
        <f>IFERROR(__xludf.DUMMYFUNCTION("""COMPUTED_VALUE"""),10.0)</f>
        <v>10</v>
      </c>
      <c r="K50" s="155"/>
      <c r="L50" s="158">
        <f>IFERROR(__xludf.DUMMYFUNCTION("""COMPUTED_VALUE"""),10.0)</f>
        <v>10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"/>
    </row>
    <row r="51" ht="24.75" customHeight="1">
      <c r="A51" s="152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153">
        <f>IFERROR(__xludf.DUMMYFUNCTION("""COMPUTED_VALUE"""),8.0)</f>
        <v>8</v>
      </c>
      <c r="F51" s="153">
        <f>IFERROR(__xludf.DUMMYFUNCTION("""COMPUTED_VALUE"""),2.0)</f>
        <v>2</v>
      </c>
      <c r="G51" s="153"/>
      <c r="H51" s="154">
        <f>IFERROR(__xludf.DUMMYFUNCTION("""COMPUTED_VALUE"""),10.0)</f>
        <v>10</v>
      </c>
      <c r="I51" s="155">
        <f>IFERROR(__xludf.DUMMYFUNCTION("""COMPUTED_VALUE"""),0.0)</f>
        <v>0</v>
      </c>
      <c r="J51" s="156">
        <f>IFERROR(__xludf.DUMMYFUNCTION("""COMPUTED_VALUE"""),10.0)</f>
        <v>10</v>
      </c>
      <c r="K51" s="155"/>
      <c r="L51" s="158">
        <f>IFERROR(__xludf.DUMMYFUNCTION("""COMPUTED_VALUE"""),10.0)</f>
        <v>10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"/>
    </row>
    <row r="52" ht="24.75" customHeight="1">
      <c r="A52" s="152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153">
        <f>IFERROR(__xludf.DUMMYFUNCTION("""COMPUTED_VALUE"""),6.0)</f>
        <v>6</v>
      </c>
      <c r="F52" s="153">
        <f>IFERROR(__xludf.DUMMYFUNCTION("""COMPUTED_VALUE"""),1.2)</f>
        <v>1.2</v>
      </c>
      <c r="G52" s="153"/>
      <c r="H52" s="154">
        <f>IFERROR(__xludf.DUMMYFUNCTION("""COMPUTED_VALUE"""),7.2)</f>
        <v>7.2</v>
      </c>
      <c r="I52" s="155">
        <f>IFERROR(__xludf.DUMMYFUNCTION("""COMPUTED_VALUE"""),0.0)</f>
        <v>0</v>
      </c>
      <c r="J52" s="156">
        <f>IFERROR(__xludf.DUMMYFUNCTION("""COMPUTED_VALUE"""),7.0)</f>
        <v>7</v>
      </c>
      <c r="K52" s="155"/>
      <c r="L52" s="159">
        <f>IFERROR(__xludf.DUMMYFUNCTION("""COMPUTED_VALUE"""),7.0)</f>
        <v>7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"/>
    </row>
    <row r="53" ht="24.75" customHeight="1">
      <c r="A53" s="152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153">
        <f>IFERROR(__xludf.DUMMYFUNCTION("""COMPUTED_VALUE"""),4.0)</f>
        <v>4</v>
      </c>
      <c r="F53" s="153">
        <f>IFERROR(__xludf.DUMMYFUNCTION("""COMPUTED_VALUE"""),0.0)</f>
        <v>0</v>
      </c>
      <c r="G53" s="153"/>
      <c r="H53" s="154">
        <f>IFERROR(__xludf.DUMMYFUNCTION("""COMPUTED_VALUE"""),4.0)</f>
        <v>4</v>
      </c>
      <c r="I53" s="155">
        <f>IFERROR(__xludf.DUMMYFUNCTION("""COMPUTED_VALUE"""),0.0)</f>
        <v>0</v>
      </c>
      <c r="J53" s="156">
        <f>IFERROR(__xludf.DUMMYFUNCTION("""COMPUTED_VALUE"""),5.0)</f>
        <v>5</v>
      </c>
      <c r="K53" s="155"/>
      <c r="L53" s="159">
        <f>IFERROR(__xludf.DUMMYFUNCTION("""COMPUTED_VALUE"""),4.0)</f>
        <v>4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"/>
    </row>
    <row r="54" ht="24.75" customHeight="1">
      <c r="A54" s="152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153">
        <f>IFERROR(__xludf.DUMMYFUNCTION("""COMPUTED_VALUE"""),4.0)</f>
        <v>4</v>
      </c>
      <c r="F54" s="153">
        <f>IFERROR(__xludf.DUMMYFUNCTION("""COMPUTED_VALUE"""),1.5)</f>
        <v>1.5</v>
      </c>
      <c r="G54" s="153"/>
      <c r="H54" s="154">
        <f>IFERROR(__xludf.DUMMYFUNCTION("""COMPUTED_VALUE"""),5.5)</f>
        <v>5.5</v>
      </c>
      <c r="I54" s="155">
        <f>IFERROR(__xludf.DUMMYFUNCTION("""COMPUTED_VALUE"""),0.0)</f>
        <v>0</v>
      </c>
      <c r="J54" s="156">
        <f>IFERROR(__xludf.DUMMYFUNCTION("""COMPUTED_VALUE"""),5.0)</f>
        <v>5</v>
      </c>
      <c r="K54" s="155"/>
      <c r="L54" s="159">
        <f>IFERROR(__xludf.DUMMYFUNCTION("""COMPUTED_VALUE"""),5.0)</f>
        <v>5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"/>
    </row>
    <row r="55" ht="24.75" customHeight="1">
      <c r="A55" s="152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153">
        <f>IFERROR(__xludf.DUMMYFUNCTION("""COMPUTED_VALUE"""),2.0)</f>
        <v>2</v>
      </c>
      <c r="F55" s="153">
        <f>IFERROR(__xludf.DUMMYFUNCTION("""COMPUTED_VALUE"""),1.5)</f>
        <v>1.5</v>
      </c>
      <c r="G55" s="153"/>
      <c r="H55" s="154">
        <f>IFERROR(__xludf.DUMMYFUNCTION("""COMPUTED_VALUE"""),3.5)</f>
        <v>3.5</v>
      </c>
      <c r="I55" s="160">
        <f>IFERROR(__xludf.DUMMYFUNCTION("""COMPUTED_VALUE"""),2.0)</f>
        <v>2</v>
      </c>
      <c r="J55" s="156">
        <f>IFERROR(__xludf.DUMMYFUNCTION("""COMPUTED_VALUE"""),5.0)</f>
        <v>5</v>
      </c>
      <c r="K55" s="155"/>
      <c r="L55" s="159">
        <f>IFERROR(__xludf.DUMMYFUNCTION("""COMPUTED_VALUE"""),3.0)</f>
        <v>3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"/>
    </row>
    <row r="56" ht="24.75" customHeight="1">
      <c r="A56" s="152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153">
        <f>IFERROR(__xludf.DUMMYFUNCTION("""COMPUTED_VALUE"""),6.0)</f>
        <v>6</v>
      </c>
      <c r="F56" s="153">
        <f>IFERROR(__xludf.DUMMYFUNCTION("""COMPUTED_VALUE"""),0.0)</f>
        <v>0</v>
      </c>
      <c r="G56" s="153"/>
      <c r="H56" s="154">
        <f>IFERROR(__xludf.DUMMYFUNCTION("""COMPUTED_VALUE"""),6.0)</f>
        <v>6</v>
      </c>
      <c r="I56" s="160">
        <f>IFERROR(__xludf.DUMMYFUNCTION("""COMPUTED_VALUE"""),0.0)</f>
        <v>0</v>
      </c>
      <c r="J56" s="156">
        <f>IFERROR(__xludf.DUMMYFUNCTION("""COMPUTED_VALUE"""),6.0)</f>
        <v>6</v>
      </c>
      <c r="K56" s="155"/>
      <c r="L56" s="159">
        <f>IFERROR(__xludf.DUMMYFUNCTION("""COMPUTED_VALUE"""),6.0)</f>
        <v>6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"/>
    </row>
    <row r="57" ht="24.75" customHeight="1">
      <c r="A57" s="152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153">
        <f>IFERROR(__xludf.DUMMYFUNCTION("""COMPUTED_VALUE"""),7.7)</f>
        <v>7.7</v>
      </c>
      <c r="F57" s="153">
        <f>IFERROR(__xludf.DUMMYFUNCTION("""COMPUTED_VALUE"""),1.4)</f>
        <v>1.4</v>
      </c>
      <c r="G57" s="153"/>
      <c r="H57" s="154">
        <f>IFERROR(__xludf.DUMMYFUNCTION("""COMPUTED_VALUE"""),9.1)</f>
        <v>9.1</v>
      </c>
      <c r="I57" s="160">
        <f>IFERROR(__xludf.DUMMYFUNCTION("""COMPUTED_VALUE"""),0.0)</f>
        <v>0</v>
      </c>
      <c r="J57" s="156">
        <f>IFERROR(__xludf.DUMMYFUNCTION("""COMPUTED_VALUE"""),9.0)</f>
        <v>9</v>
      </c>
      <c r="K57" s="155"/>
      <c r="L57" s="159">
        <f>IFERROR(__xludf.DUMMYFUNCTION("""COMPUTED_VALUE"""),9.0)</f>
        <v>9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"/>
    </row>
    <row r="58" ht="24.75" customHeight="1">
      <c r="A58" s="152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153">
        <f>IFERROR(__xludf.DUMMYFUNCTION("""COMPUTED_VALUE"""),7.7)</f>
        <v>7.7</v>
      </c>
      <c r="F58" s="153">
        <f>IFERROR(__xludf.DUMMYFUNCTION("""COMPUTED_VALUE"""),0.0)</f>
        <v>0</v>
      </c>
      <c r="G58" s="153"/>
      <c r="H58" s="154">
        <f>IFERROR(__xludf.DUMMYFUNCTION("""COMPUTED_VALUE"""),7.7)</f>
        <v>7.7</v>
      </c>
      <c r="I58" s="160">
        <f>IFERROR(__xludf.DUMMYFUNCTION("""COMPUTED_VALUE"""),2.0)</f>
        <v>2</v>
      </c>
      <c r="J58" s="156">
        <f>IFERROR(__xludf.DUMMYFUNCTION("""COMPUTED_VALUE"""),8.0)</f>
        <v>8</v>
      </c>
      <c r="K58" s="155"/>
      <c r="L58" s="159">
        <f>IFERROR(__xludf.DUMMYFUNCTION("""COMPUTED_VALUE"""),8.0)</f>
        <v>8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"/>
    </row>
    <row r="59" ht="24.75" customHeight="1">
      <c r="A59" s="152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153">
        <f>IFERROR(__xludf.DUMMYFUNCTION("""COMPUTED_VALUE"""),5.3)</f>
        <v>5.3</v>
      </c>
      <c r="F59" s="153">
        <f>IFERROR(__xludf.DUMMYFUNCTION("""COMPUTED_VALUE"""),2.0)</f>
        <v>2</v>
      </c>
      <c r="G59" s="153"/>
      <c r="H59" s="154">
        <f>IFERROR(__xludf.DUMMYFUNCTION("""COMPUTED_VALUE"""),7.3)</f>
        <v>7.3</v>
      </c>
      <c r="I59" s="160">
        <f>IFERROR(__xludf.DUMMYFUNCTION("""COMPUTED_VALUE"""),0.0)</f>
        <v>0</v>
      </c>
      <c r="J59" s="156">
        <f>IFERROR(__xludf.DUMMYFUNCTION("""COMPUTED_VALUE"""),7.0)</f>
        <v>7</v>
      </c>
      <c r="K59" s="155"/>
      <c r="L59" s="159">
        <f>IFERROR(__xludf.DUMMYFUNCTION("""COMPUTED_VALUE"""),7.0)</f>
        <v>7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"/>
    </row>
    <row r="60" ht="24.75" customHeight="1">
      <c r="A60" s="152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153">
        <f>IFERROR(__xludf.DUMMYFUNCTION("""COMPUTED_VALUE"""),8.0)</f>
        <v>8</v>
      </c>
      <c r="F60" s="153">
        <f>IFERROR(__xludf.DUMMYFUNCTION("""COMPUTED_VALUE"""),1.2)</f>
        <v>1.2</v>
      </c>
      <c r="G60" s="153"/>
      <c r="H60" s="154">
        <f>IFERROR(__xludf.DUMMYFUNCTION("""COMPUTED_VALUE"""),9.2)</f>
        <v>9.2</v>
      </c>
      <c r="I60" s="160">
        <f>IFERROR(__xludf.DUMMYFUNCTION("""COMPUTED_VALUE"""),0.0)</f>
        <v>0</v>
      </c>
      <c r="J60" s="156">
        <f>IFERROR(__xludf.DUMMYFUNCTION("""COMPUTED_VALUE"""),9.0)</f>
        <v>9</v>
      </c>
      <c r="K60" s="155"/>
      <c r="L60" s="159">
        <f>IFERROR(__xludf.DUMMYFUNCTION("""COMPUTED_VALUE"""),9.0)</f>
        <v>9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"/>
    </row>
    <row r="61" ht="24.75" customHeight="1">
      <c r="A61" s="152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153">
        <f>IFERROR(__xludf.DUMMYFUNCTION("""COMPUTED_VALUE"""),7.0)</f>
        <v>7</v>
      </c>
      <c r="F61" s="153">
        <f>IFERROR(__xludf.DUMMYFUNCTION("""COMPUTED_VALUE"""),2.0)</f>
        <v>2</v>
      </c>
      <c r="G61" s="153"/>
      <c r="H61" s="154">
        <f>IFERROR(__xludf.DUMMYFUNCTION("""COMPUTED_VALUE"""),9.0)</f>
        <v>9</v>
      </c>
      <c r="I61" s="160">
        <f>IFERROR(__xludf.DUMMYFUNCTION("""COMPUTED_VALUE"""),0.0)</f>
        <v>0</v>
      </c>
      <c r="J61" s="156">
        <f>IFERROR(__xludf.DUMMYFUNCTION("""COMPUTED_VALUE"""),9.0)</f>
        <v>9</v>
      </c>
      <c r="K61" s="155"/>
      <c r="L61" s="159">
        <f>IFERROR(__xludf.DUMMYFUNCTION("""COMPUTED_VALUE"""),9.0)</f>
        <v>9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"/>
    </row>
    <row r="62" ht="24.75" customHeight="1">
      <c r="A62" s="152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153">
        <f>IFERROR(__xludf.DUMMYFUNCTION("""COMPUTED_VALUE"""),7.6)</f>
        <v>7.6</v>
      </c>
      <c r="F62" s="153">
        <f>IFERROR(__xludf.DUMMYFUNCTION("""COMPUTED_VALUE"""),2.0)</f>
        <v>2</v>
      </c>
      <c r="G62" s="153"/>
      <c r="H62" s="154">
        <f>IFERROR(__xludf.DUMMYFUNCTION("""COMPUTED_VALUE"""),9.6)</f>
        <v>9.6</v>
      </c>
      <c r="I62" s="160">
        <f>IFERROR(__xludf.DUMMYFUNCTION("""COMPUTED_VALUE"""),0.0)</f>
        <v>0</v>
      </c>
      <c r="J62" s="156">
        <f>IFERROR(__xludf.DUMMYFUNCTION("""COMPUTED_VALUE"""),10.0)</f>
        <v>10</v>
      </c>
      <c r="K62" s="155"/>
      <c r="L62" s="159">
        <f>IFERROR(__xludf.DUMMYFUNCTION("""COMPUTED_VALUE"""),10.0)</f>
        <v>10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"/>
    </row>
    <row r="63" ht="24.75" customHeight="1">
      <c r="A63" s="152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153">
        <f>IFERROR(__xludf.DUMMYFUNCTION("""COMPUTED_VALUE"""),7.6)</f>
        <v>7.6</v>
      </c>
      <c r="F63" s="153">
        <f>IFERROR(__xludf.DUMMYFUNCTION("""COMPUTED_VALUE"""),1.4)</f>
        <v>1.4</v>
      </c>
      <c r="G63" s="153"/>
      <c r="H63" s="154">
        <f>IFERROR(__xludf.DUMMYFUNCTION("""COMPUTED_VALUE"""),9.0)</f>
        <v>9</v>
      </c>
      <c r="I63" s="160">
        <f>IFERROR(__xludf.DUMMYFUNCTION("""COMPUTED_VALUE"""),0.0)</f>
        <v>0</v>
      </c>
      <c r="J63" s="156">
        <f>IFERROR(__xludf.DUMMYFUNCTION("""COMPUTED_VALUE"""),9.0)</f>
        <v>9</v>
      </c>
      <c r="K63" s="155"/>
      <c r="L63" s="159">
        <f>IFERROR(__xludf.DUMMYFUNCTION("""COMPUTED_VALUE"""),9.0)</f>
        <v>9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"/>
    </row>
    <row r="64" ht="24.75" customHeight="1">
      <c r="A64" s="124"/>
      <c r="B64" s="161"/>
      <c r="C64" s="161"/>
      <c r="D64" s="125"/>
      <c r="E64" s="162"/>
      <c r="F64" s="162"/>
      <c r="G64" s="162"/>
      <c r="H64" s="162"/>
      <c r="I64" s="130"/>
      <c r="J64" s="163"/>
      <c r="K64" s="126"/>
      <c r="L64" s="163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"/>
    </row>
    <row r="65" ht="24.75" customHeight="1">
      <c r="A65" s="119"/>
      <c r="B65" s="164" t="str">
        <f>IFERROR(__xludf.DUMMYFUNCTION("""COMPUTED_VALUE"""),"No. DE ALUMNOS INSCRITOS")</f>
        <v>No. DE ALUMNOS INSCRITOS</v>
      </c>
      <c r="C65" s="72"/>
      <c r="D65" s="165">
        <f>IFERROR(__xludf.DUMMYFUNCTION("""COMPUTED_VALUE"""),47.0)</f>
        <v>47</v>
      </c>
      <c r="E65" s="162"/>
      <c r="F65" s="166" t="str">
        <f>IFERROR(__xludf.DUMMYFUNCTION("""COMPUTED_VALUE"""),"FIRMA DEL PROFESOR")</f>
        <v>FIRMA DEL PROFESOR</v>
      </c>
      <c r="G65" s="162"/>
      <c r="H65" s="166" t="str">
        <f>IFERROR(__xludf.DUMMYFUNCTION("""COMPUTED_VALUE"""),"FIRMA DEL ORIENTADOR")</f>
        <v>FIRMA DEL ORIENTADOR</v>
      </c>
      <c r="J65" s="167" t="str">
        <f>IFERROR(__xludf.DUMMYFUNCTION("""COMPUTED_VALUE"""),"Vo. Bo. SUBDIRECCIÓN ESCOLAR")</f>
        <v>Vo. Bo. SUBDIRECCIÓN ESCOLAR</v>
      </c>
      <c r="K65" s="168" t="str">
        <f>IFERROR(__xludf.DUMMYFUNCTION("""COMPUTED_VALUE"""),"REVISADO POR SECRETARIA ESCOLAR ")</f>
        <v>REVISADO POR SECRETARIA ESCOLAR </v>
      </c>
      <c r="L65" s="16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"/>
    </row>
    <row r="66" ht="24.75" customHeight="1">
      <c r="A66" s="119"/>
      <c r="B66" s="169" t="str">
        <f>IFERROR(__xludf.DUMMYFUNCTION("""COMPUTED_VALUE"""),"BAJAS DURANTE EL SEMESTRE")</f>
        <v>BAJAS DURANTE EL SEMESTRE</v>
      </c>
      <c r="C66" s="79"/>
      <c r="D66" s="170">
        <f>IFERROR(__xludf.DUMMYFUNCTION("""COMPUTED_VALUE"""),0.0)</f>
        <v>0</v>
      </c>
      <c r="E66" s="162"/>
      <c r="G66" s="162"/>
      <c r="K66" s="10"/>
      <c r="L66" s="16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"/>
    </row>
    <row r="67" ht="24.75" customHeight="1">
      <c r="A67" s="119"/>
      <c r="B67" s="169" t="str">
        <f>IFERROR(__xludf.DUMMYFUNCTION("""COMPUTED_VALUE"""),"EXISTENCIA")</f>
        <v>EXISTENCIA</v>
      </c>
      <c r="C67" s="79"/>
      <c r="D67" s="171">
        <f>IFERROR(__xludf.DUMMYFUNCTION("""COMPUTED_VALUE"""),47.0)</f>
        <v>47</v>
      </c>
      <c r="E67" s="162"/>
      <c r="F67" s="162"/>
      <c r="G67" s="162"/>
      <c r="H67" s="162"/>
      <c r="I67" s="130"/>
      <c r="J67" s="163"/>
      <c r="K67" s="126"/>
      <c r="L67" s="16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"/>
    </row>
    <row r="68" ht="24.75" customHeight="1">
      <c r="A68" s="119"/>
      <c r="B68" s="169" t="str">
        <f>IFERROR(__xludf.DUMMYFUNCTION("""COMPUTED_VALUE"""),"No. DE ALUMNOS APROBADOS")</f>
        <v>No. DE ALUMNOS APROBADOS</v>
      </c>
      <c r="C68" s="79"/>
      <c r="D68" s="172">
        <f>IFERROR(__xludf.DUMMYFUNCTION("""COMPUTED_VALUE"""),41.0)</f>
        <v>41</v>
      </c>
      <c r="E68" s="162"/>
      <c r="F68" s="162"/>
      <c r="G68" s="162"/>
      <c r="H68" s="162"/>
      <c r="I68" s="130"/>
      <c r="J68" s="163"/>
      <c r="K68" s="126"/>
      <c r="L68" s="16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"/>
    </row>
    <row r="69" ht="13.5" customHeight="1">
      <c r="A69" s="119"/>
      <c r="B69" s="169" t="str">
        <f>IFERROR(__xludf.DUMMYFUNCTION("""COMPUTED_VALUE"""),"No. DE ALUMNOS REPROBADOS")</f>
        <v>No. DE ALUMNOS REPROBADOS</v>
      </c>
      <c r="C69" s="79"/>
      <c r="D69" s="172">
        <f>IFERROR(__xludf.DUMMYFUNCTION("""COMPUTED_VALUE"""),6.0)</f>
        <v>6</v>
      </c>
      <c r="E69" s="130"/>
      <c r="F69" s="173"/>
      <c r="G69" s="125"/>
      <c r="H69" s="173"/>
      <c r="I69" s="173"/>
      <c r="J69" s="174"/>
      <c r="K69" s="175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"/>
    </row>
    <row r="70" ht="21.75" customHeight="1">
      <c r="A70" s="176"/>
      <c r="B70" s="169" t="str">
        <f>IFERROR(__xludf.DUMMYFUNCTION("""COMPUTED_VALUE"""),"% DE APROBADOS")</f>
        <v>% DE APROBADOS</v>
      </c>
      <c r="C70" s="79"/>
      <c r="D70" s="177">
        <f>IFERROR(__xludf.DUMMYFUNCTION("""COMPUTED_VALUE"""),87.23404255319149)</f>
        <v>87.23404255</v>
      </c>
      <c r="E70" s="125"/>
      <c r="F70" s="178" t="str">
        <f>IFERROR(__xludf.DUMMYFUNCTION("""COMPUTED_VALUE"""),"PROFR. ")</f>
        <v>PROFR. </v>
      </c>
      <c r="G70" s="128"/>
      <c r="H70" s="179" t="str">
        <f>IFERROR(__xludf.DUMMYFUNCTION("""COMPUTED_VALUE"""),"PROFRA. ANA ISABEL CORREA SALGADO")</f>
        <v>PROFRA. ANA ISABEL CORREA SALGADO</v>
      </c>
      <c r="J70" s="180" t="str">
        <f>IFERROR(__xludf.DUMMYFUNCTION("""COMPUTED_VALUE"""),"PROFR. OCTAVIO VÁZQUEZ BARRETO")</f>
        <v>PROFR. OCTAVIO VÁZQUEZ BARRETO</v>
      </c>
      <c r="K70" s="181" t="str">
        <f>IFERROR(__xludf.DUMMYFUNCTION("""COMPUTED_VALUE"""),"PROFR. ROBERTO PALOMARES MEJÍA ")</f>
        <v>PROFR. ROBERTO PALOMARES MEJÍA </v>
      </c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"/>
    </row>
    <row r="71" ht="21.75" customHeight="1">
      <c r="A71" s="176"/>
      <c r="B71" s="182" t="str">
        <f>IFERROR(__xludf.DUMMYFUNCTION("""COMPUTED_VALUE"""),"PROMEDIO")</f>
        <v>PROMEDIO</v>
      </c>
      <c r="C71" s="97"/>
      <c r="D71" s="183">
        <f>IFERROR(__xludf.DUMMYFUNCTION("""COMPUTED_VALUE"""),8.170212765957446)</f>
        <v>8.170212766</v>
      </c>
      <c r="E71" s="125"/>
      <c r="G71" s="128"/>
      <c r="K71" s="10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"/>
    </row>
    <row r="72" ht="21.75" customHeight="1">
      <c r="A72" s="184"/>
      <c r="B72" s="119"/>
      <c r="C72" s="119"/>
      <c r="D72" s="119"/>
      <c r="E72" s="119"/>
      <c r="F72" s="119"/>
      <c r="G72" s="119"/>
      <c r="H72" s="119"/>
      <c r="I72" s="119"/>
      <c r="J72" s="119"/>
      <c r="K72" s="126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"/>
    </row>
    <row r="73" ht="21.75" customHeight="1">
      <c r="A73" s="185"/>
      <c r="B73" s="186"/>
      <c r="C73" s="187"/>
      <c r="D73" s="188"/>
      <c r="E73" s="125"/>
      <c r="G73" s="125"/>
      <c r="H73" s="125"/>
      <c r="I73" s="125"/>
      <c r="J73" s="125"/>
      <c r="K73" s="189"/>
      <c r="L73" s="125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"/>
    </row>
    <row r="74" ht="21.75" customHeight="1">
      <c r="A74" s="190"/>
      <c r="B74" s="125"/>
      <c r="C74" s="125"/>
      <c r="D74" s="161"/>
      <c r="E74" s="125"/>
      <c r="F74" s="119"/>
      <c r="G74" s="119"/>
      <c r="H74" s="119"/>
      <c r="I74" s="119"/>
      <c r="J74" s="119"/>
      <c r="K74" s="126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"/>
    </row>
    <row r="75" ht="27.75" customHeight="1">
      <c r="A75" s="190"/>
      <c r="B75" s="125"/>
      <c r="C75" s="125"/>
      <c r="D75" s="191"/>
      <c r="E75" s="125"/>
      <c r="F75" s="192"/>
      <c r="G75" s="119"/>
      <c r="H75" s="192"/>
      <c r="I75" s="192"/>
      <c r="J75" s="192"/>
      <c r="K75" s="193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"/>
    </row>
    <row r="76" ht="21.75" customHeight="1">
      <c r="A76" s="194"/>
      <c r="B76" s="195"/>
      <c r="C76" s="195"/>
      <c r="D76" s="196"/>
      <c r="E76" s="197"/>
      <c r="F76" s="198"/>
      <c r="G76" s="199"/>
      <c r="H76" s="198"/>
      <c r="I76" s="198"/>
      <c r="J76" s="198"/>
      <c r="K76" s="200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"/>
    </row>
    <row r="77" ht="13.5" customHeight="1">
      <c r="A77" s="119"/>
      <c r="B77" s="125"/>
      <c r="C77" s="125"/>
      <c r="D77" s="125"/>
      <c r="E77" s="125"/>
      <c r="F77" s="119"/>
      <c r="G77" s="119"/>
      <c r="H77" s="119"/>
      <c r="I77" s="119"/>
      <c r="J77" s="128"/>
      <c r="K77" s="128"/>
      <c r="L77" s="128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"/>
    </row>
    <row r="78" ht="13.5" customHeight="1">
      <c r="A78" s="119"/>
      <c r="B78" s="125"/>
      <c r="C78" s="125"/>
      <c r="D78" s="125"/>
      <c r="E78" s="125"/>
      <c r="F78" s="119"/>
      <c r="G78" s="119"/>
      <c r="H78" s="119"/>
      <c r="I78" s="119"/>
      <c r="J78" s="128"/>
      <c r="K78" s="128"/>
      <c r="L78" s="12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"/>
    </row>
    <row r="79" ht="13.5" customHeight="1">
      <c r="A79" s="119"/>
      <c r="B79" s="125"/>
      <c r="C79" s="125"/>
      <c r="D79" s="125"/>
      <c r="E79" s="125"/>
      <c r="F79" s="119"/>
      <c r="G79" s="119"/>
      <c r="H79" s="119"/>
      <c r="I79" s="119"/>
      <c r="J79" s="128"/>
      <c r="K79" s="128"/>
      <c r="L79" s="12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"/>
    </row>
    <row r="80" ht="13.5" customHeight="1">
      <c r="A80" s="119"/>
      <c r="B80" s="125"/>
      <c r="C80" s="125"/>
      <c r="D80" s="125"/>
      <c r="E80" s="125"/>
      <c r="F80" s="119"/>
      <c r="G80" s="119"/>
      <c r="H80" s="119"/>
      <c r="I80" s="119"/>
      <c r="J80" s="128"/>
      <c r="K80" s="128"/>
      <c r="L80" s="12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"/>
    </row>
    <row r="81" ht="13.5" customHeight="1">
      <c r="A81" s="119"/>
      <c r="B81" s="125"/>
      <c r="C81" s="125"/>
      <c r="D81" s="125"/>
      <c r="E81" s="125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"/>
    </row>
    <row r="82" ht="14.25" customHeight="1">
      <c r="A82" s="119"/>
      <c r="B82" s="125"/>
      <c r="C82" s="125"/>
      <c r="D82" s="125"/>
      <c r="E82" s="125"/>
      <c r="F82" s="119"/>
      <c r="G82" s="119"/>
      <c r="H82" s="119"/>
      <c r="I82" s="119"/>
      <c r="J82" s="119"/>
      <c r="K82" s="163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"/>
    </row>
    <row r="83" ht="14.25" customHeight="1">
      <c r="A83" s="119"/>
      <c r="B83" s="125"/>
      <c r="C83" s="125"/>
      <c r="D83" s="125"/>
      <c r="E83" s="125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"/>
    </row>
    <row r="84" ht="14.25" customHeight="1">
      <c r="A84" s="119"/>
      <c r="B84" s="125"/>
      <c r="C84" s="125"/>
      <c r="D84" s="125"/>
      <c r="E84" s="12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"/>
    </row>
    <row r="85" ht="14.25" customHeight="1">
      <c r="A85" s="119"/>
      <c r="B85" s="125"/>
      <c r="C85" s="125"/>
      <c r="D85" s="125"/>
      <c r="E85" s="12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"/>
    </row>
    <row r="86" ht="14.25" customHeight="1">
      <c r="A86" s="119"/>
      <c r="B86" s="125"/>
      <c r="C86" s="125"/>
      <c r="D86" s="125"/>
      <c r="E86" s="12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"/>
    </row>
    <row r="87" ht="14.25" customHeight="1">
      <c r="A87" s="119"/>
      <c r="B87" s="125"/>
      <c r="C87" s="125"/>
      <c r="D87" s="125"/>
      <c r="E87" s="125"/>
      <c r="F87" s="119"/>
      <c r="G87" s="119"/>
      <c r="H87" s="119"/>
      <c r="I87" s="119"/>
      <c r="J87" s="119"/>
      <c r="K87" s="163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"/>
    </row>
    <row r="88" ht="14.25" customHeight="1">
      <c r="A88" s="119"/>
      <c r="B88" s="125"/>
      <c r="C88" s="125"/>
      <c r="D88" s="125"/>
      <c r="E88" s="125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"/>
    </row>
    <row r="94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"/>
    </row>
    <row r="95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"/>
    </row>
    <row r="9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"/>
    </row>
    <row r="97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"/>
    </row>
    <row r="98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"/>
    </row>
    <row r="99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"/>
    </row>
    <row r="100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"/>
    </row>
    <row r="101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"/>
    </row>
    <row r="102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"/>
    </row>
    <row r="103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"/>
    </row>
    <row r="104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"/>
    </row>
    <row r="105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"/>
    </row>
    <row r="10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"/>
    </row>
    <row r="107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"/>
    </row>
    <row r="108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"/>
    </row>
    <row r="109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"/>
    </row>
    <row r="110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"/>
    </row>
    <row r="111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"/>
    </row>
    <row r="112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"/>
    </row>
    <row r="113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"/>
    </row>
    <row r="114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"/>
    </row>
    <row r="115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"/>
    </row>
    <row r="11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"/>
    </row>
    <row r="117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"/>
    </row>
    <row r="118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"/>
    </row>
    <row r="119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"/>
    </row>
    <row r="120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"/>
    </row>
    <row r="121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"/>
    </row>
    <row r="122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"/>
    </row>
    <row r="123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"/>
    </row>
    <row r="124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"/>
    </row>
    <row r="125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"/>
    </row>
    <row r="1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"/>
    </row>
    <row r="127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"/>
    </row>
    <row r="128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"/>
    </row>
    <row r="129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"/>
    </row>
    <row r="130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"/>
    </row>
    <row r="131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"/>
    </row>
    <row r="132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"/>
    </row>
    <row r="133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"/>
    </row>
    <row r="134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"/>
    </row>
    <row r="135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"/>
    </row>
    <row r="13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"/>
    </row>
    <row r="137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"/>
    </row>
    <row r="138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"/>
    </row>
    <row r="139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"/>
    </row>
    <row r="140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"/>
    </row>
    <row r="141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"/>
    </row>
    <row r="142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"/>
    </row>
    <row r="143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"/>
    </row>
    <row r="144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"/>
    </row>
    <row r="145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"/>
    </row>
    <row r="14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"/>
    </row>
    <row r="147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"/>
    </row>
    <row r="148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"/>
    </row>
    <row r="149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"/>
    </row>
    <row r="150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"/>
    </row>
    <row r="151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"/>
    </row>
    <row r="152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"/>
    </row>
    <row r="153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"/>
    </row>
    <row r="154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"/>
    </row>
    <row r="155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"/>
    </row>
    <row r="15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"/>
    </row>
    <row r="157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"/>
    </row>
    <row r="158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"/>
    </row>
    <row r="159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"/>
    </row>
    <row r="160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"/>
    </row>
    <row r="161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"/>
    </row>
    <row r="162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"/>
    </row>
    <row r="163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"/>
    </row>
    <row r="164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"/>
    </row>
    <row r="165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"/>
    </row>
    <row r="16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"/>
    </row>
    <row r="167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"/>
    </row>
    <row r="168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"/>
    </row>
    <row r="169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"/>
    </row>
    <row r="170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"/>
    </row>
    <row r="171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"/>
    </row>
    <row r="172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"/>
    </row>
    <row r="173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"/>
    </row>
    <row r="174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"/>
    </row>
    <row r="175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"/>
    </row>
    <row r="17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"/>
    </row>
    <row r="177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"/>
    </row>
    <row r="178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"/>
    </row>
    <row r="179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"/>
    </row>
    <row r="180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"/>
    </row>
    <row r="181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"/>
    </row>
    <row r="182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"/>
    </row>
    <row r="183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"/>
    </row>
    <row r="184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"/>
    </row>
    <row r="185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"/>
    </row>
    <row r="18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"/>
    </row>
    <row r="187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"/>
    </row>
    <row r="188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"/>
    </row>
    <row r="189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"/>
    </row>
    <row r="190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"/>
    </row>
    <row r="191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"/>
    </row>
    <row r="192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"/>
    </row>
    <row r="193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"/>
    </row>
    <row r="194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"/>
    </row>
    <row r="195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"/>
    </row>
    <row r="19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"/>
    </row>
    <row r="197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"/>
    </row>
    <row r="198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"/>
    </row>
    <row r="199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"/>
    </row>
    <row r="200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"/>
    </row>
    <row r="201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"/>
    </row>
    <row r="202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"/>
    </row>
    <row r="203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"/>
    </row>
    <row r="204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"/>
    </row>
    <row r="205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"/>
    </row>
    <row r="20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"/>
    </row>
    <row r="207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"/>
    </row>
    <row r="208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"/>
    </row>
    <row r="209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"/>
    </row>
    <row r="210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"/>
    </row>
    <row r="211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"/>
    </row>
    <row r="212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"/>
    </row>
    <row r="213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"/>
    </row>
    <row r="214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"/>
    </row>
    <row r="215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"/>
    </row>
    <row r="21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"/>
    </row>
    <row r="217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"/>
    </row>
    <row r="218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"/>
    </row>
    <row r="219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"/>
    </row>
    <row r="220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"/>
    </row>
    <row r="221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"/>
    </row>
    <row r="222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"/>
    </row>
    <row r="223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"/>
    </row>
    <row r="224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"/>
    </row>
    <row r="225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"/>
    </row>
    <row r="2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"/>
    </row>
    <row r="227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"/>
    </row>
    <row r="228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"/>
    </row>
    <row r="229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"/>
    </row>
    <row r="230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"/>
    </row>
    <row r="231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"/>
    </row>
    <row r="232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"/>
    </row>
    <row r="233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"/>
    </row>
    <row r="234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"/>
    </row>
    <row r="235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"/>
    </row>
    <row r="23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"/>
    </row>
    <row r="237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"/>
    </row>
    <row r="238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"/>
    </row>
    <row r="239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"/>
    </row>
    <row r="240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"/>
    </row>
    <row r="241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"/>
    </row>
    <row r="242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"/>
    </row>
    <row r="243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"/>
    </row>
    <row r="244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"/>
    </row>
    <row r="245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"/>
    </row>
    <row r="24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"/>
    </row>
    <row r="247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"/>
    </row>
    <row r="248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"/>
    </row>
    <row r="249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"/>
    </row>
    <row r="250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"/>
    </row>
    <row r="251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"/>
    </row>
    <row r="252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"/>
    </row>
    <row r="253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"/>
    </row>
    <row r="254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"/>
    </row>
    <row r="255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"/>
    </row>
    <row r="25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"/>
    </row>
    <row r="257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"/>
    </row>
    <row r="258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"/>
    </row>
    <row r="259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"/>
    </row>
    <row r="260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"/>
    </row>
    <row r="261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"/>
    </row>
    <row r="262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"/>
    </row>
    <row r="263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"/>
    </row>
    <row r="264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"/>
    </row>
    <row r="265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"/>
    </row>
    <row r="26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"/>
    </row>
    <row r="267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"/>
    </row>
    <row r="268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"/>
    </row>
    <row r="269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"/>
    </row>
    <row r="270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"/>
    </row>
    <row r="271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"/>
    </row>
    <row r="272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"/>
    </row>
    <row r="273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"/>
    </row>
    <row r="274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"/>
    </row>
    <row r="275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"/>
    </row>
    <row r="27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19" t="str">
        <f>IFERROR(__xludf.DUMMYFUNCTION("IMPORTRANGE(""https://docs.google.com/spreadsheets/d/1EP_hswqwZqMe09uobhGUJsTmBwIfoRYMNR6T0jrWUAo/edit?gid=1219540721#gid=1219540721"",""2-3 educacion integral en sexualidad y genero ii !A1:Q85"")"),"")</f>
        <v/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"/>
    </row>
    <row r="2" ht="15.0" customHeight="1">
      <c r="A2" s="120"/>
      <c r="B2" s="121"/>
      <c r="C2" s="121"/>
      <c r="D2" s="121"/>
      <c r="E2" s="122"/>
      <c r="F2" s="122"/>
      <c r="G2" s="122"/>
      <c r="H2" s="122"/>
      <c r="I2" s="122"/>
      <c r="J2" s="122"/>
      <c r="K2" s="123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"/>
    </row>
    <row r="3" ht="15.0" customHeight="1">
      <c r="A3" s="124"/>
      <c r="B3" s="125"/>
      <c r="C3" s="125"/>
      <c r="D3" s="125"/>
      <c r="E3" s="119"/>
      <c r="F3" s="119"/>
      <c r="G3" s="119"/>
      <c r="H3" s="119"/>
      <c r="I3" s="119"/>
      <c r="J3" s="119"/>
      <c r="K3" s="126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"/>
    </row>
    <row r="4" ht="15.0" customHeight="1">
      <c r="A4" s="124"/>
      <c r="B4" s="125"/>
      <c r="C4" s="125"/>
      <c r="D4" s="125"/>
      <c r="E4" s="119"/>
      <c r="F4" s="119"/>
      <c r="G4" s="119"/>
      <c r="H4" s="119"/>
      <c r="I4" s="119"/>
      <c r="J4" s="119"/>
      <c r="K4" s="12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"/>
    </row>
    <row r="5" ht="15.0" customHeight="1">
      <c r="A5" s="124"/>
      <c r="B5" s="125"/>
      <c r="C5" s="125"/>
      <c r="D5" s="125"/>
      <c r="E5" s="119"/>
      <c r="F5" s="119"/>
      <c r="G5" s="119"/>
      <c r="H5" s="119"/>
      <c r="I5" s="119"/>
      <c r="J5" s="119"/>
      <c r="K5" s="12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"/>
    </row>
    <row r="6" ht="15.0" customHeight="1">
      <c r="A6" s="124"/>
      <c r="B6" s="125"/>
      <c r="C6" s="125"/>
      <c r="D6" s="125"/>
      <c r="E6" s="119"/>
      <c r="F6" s="119"/>
      <c r="G6" s="119"/>
      <c r="H6" s="119"/>
      <c r="I6" s="119"/>
      <c r="J6" s="119"/>
      <c r="K6" s="126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"/>
    </row>
    <row r="7" ht="15.0" customHeight="1">
      <c r="A7" s="124"/>
      <c r="B7" s="125"/>
      <c r="C7" s="125"/>
      <c r="D7" s="125"/>
      <c r="E7" s="119"/>
      <c r="F7" s="119"/>
      <c r="G7" s="119"/>
      <c r="H7" s="119"/>
      <c r="I7" s="119"/>
      <c r="J7" s="119"/>
      <c r="K7" s="126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"/>
    </row>
    <row r="8" ht="9.75" customHeight="1">
      <c r="A8" s="124"/>
      <c r="B8" s="125"/>
      <c r="C8" s="125"/>
      <c r="D8" s="125"/>
      <c r="E8" s="119"/>
      <c r="F8" s="119"/>
      <c r="G8" s="119"/>
      <c r="H8" s="119"/>
      <c r="I8" s="119"/>
      <c r="J8" s="119"/>
      <c r="K8" s="126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"/>
    </row>
    <row r="9" ht="23.25" customHeight="1">
      <c r="A9" s="127" t="str">
        <f>IFERROR(__xludf.DUMMYFUNCTION("""COMPUTED_VALUE"""),"ESCUELA PREPARATORIA OFICIAL NÚM. 67")</f>
        <v>ESCUELA PREPARATORIA OFICIAL NÚM. 67</v>
      </c>
      <c r="K9" s="10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"/>
    </row>
    <row r="10" ht="9.75" customHeight="1">
      <c r="A10" s="124"/>
      <c r="B10" s="125"/>
      <c r="C10" s="125"/>
      <c r="D10" s="125"/>
      <c r="E10" s="128"/>
      <c r="K10" s="10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"/>
    </row>
    <row r="11" ht="19.5" customHeight="1">
      <c r="A11" s="124"/>
      <c r="B11" s="129" t="str">
        <f>IFERROR(__xludf.DUMMYFUNCTION("""COMPUTED_VALUE"""),"CONTROL PRIMER PARCIAL ")</f>
        <v>CONTROL PRIMER PARCIAL </v>
      </c>
      <c r="C11" s="130"/>
      <c r="D11" s="130"/>
      <c r="E11" s="119"/>
      <c r="F11" s="119"/>
      <c r="G11" s="119"/>
      <c r="H11" s="119"/>
      <c r="I11" s="119"/>
      <c r="J11" s="119"/>
      <c r="K11" s="12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"/>
    </row>
    <row r="12" ht="12.75" customHeight="1">
      <c r="A12" s="124"/>
      <c r="B12" s="125"/>
      <c r="C12" s="125"/>
      <c r="D12" s="125"/>
      <c r="E12" s="119"/>
      <c r="F12" s="119"/>
      <c r="G12" s="119"/>
      <c r="H12" s="119"/>
      <c r="I12" s="119"/>
      <c r="J12" s="119"/>
      <c r="K12" s="12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"/>
    </row>
    <row r="13" ht="32.25" customHeight="1">
      <c r="A13" s="131" t="str">
        <f>IFERROR(__xludf.DUMMYFUNCTION("""COMPUTED_VALUE"""),"PROFESOR (A): ")</f>
        <v>PROFESOR (A): </v>
      </c>
      <c r="B13" s="17"/>
      <c r="C13" s="132" t="str">
        <f>IFERROR(__xludf.DUMMYFUNCTION("""COMPUTED_VALUE"""),"ROSARIO CALZADA GASPAR ")</f>
        <v>ROSARIO CALZADA GASPAR </v>
      </c>
      <c r="D13" s="17"/>
      <c r="E13" s="133" t="str">
        <f>IFERROR(__xludf.DUMMYFUNCTION("""COMPUTED_VALUE"""),"II")</f>
        <v>II</v>
      </c>
      <c r="F13" s="133" t="str">
        <f>IFERROR(__xludf.DUMMYFUNCTION("""COMPUTED_VALUE"""),"III")</f>
        <v>III</v>
      </c>
      <c r="G13" s="134" t="str">
        <f>IFERROR(__xludf.DUMMYFUNCTION("""COMPUTED_VALUE"""),"PUNTAJE EXTRA")</f>
        <v>PUNTAJE EXTRA</v>
      </c>
      <c r="H13" s="135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"/>
    </row>
    <row r="14" ht="35.25" customHeight="1">
      <c r="A14" s="136" t="str">
        <f>IFERROR(__xludf.DUMMYFUNCTION("""COMPUTED_VALUE"""),"UAC")</f>
        <v>UAC</v>
      </c>
      <c r="B14" s="137" t="str">
        <f>IFERROR(__xludf.DUMMYFUNCTION("""COMPUTED_VALUE"""),"EDUCACIÓN INTEGRAL EN SEXUALIDAD Y GÉNERO II")</f>
        <v>EDUCACIÓN INTEGRAL EN SEXUALIDAD Y GÉNERO II</v>
      </c>
      <c r="C14" s="27"/>
      <c r="D14" s="28"/>
      <c r="E14" s="138" t="str">
        <f>IFERROR(__xludf.DUMMYFUNCTION("""COMPUTED_VALUE"""),"Evaluación continua 80%")</f>
        <v>Evaluación continua 80%</v>
      </c>
      <c r="F14" s="139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"/>
    </row>
    <row r="15" ht="24.75" customHeight="1">
      <c r="A15" s="140" t="str">
        <f>IFERROR(__xludf.DUMMYFUNCTION("""COMPUTED_VALUE"""),"GRADO")</f>
        <v>GRADO</v>
      </c>
      <c r="B15" s="141" t="str">
        <f>IFERROR(__xludf.DUMMYFUNCTION("""COMPUTED_VALUE"""),"2°")</f>
        <v>2°</v>
      </c>
      <c r="C15" s="142" t="str">
        <f>IFERROR(__xludf.DUMMYFUNCTION("""COMPUTED_VALUE"""),"GRUPO")</f>
        <v>GRUPO</v>
      </c>
      <c r="D15" s="143">
        <f>IFERROR(__xludf.DUMMYFUNCTION("""COMPUTED_VALUE"""),3.0)</f>
        <v>3</v>
      </c>
      <c r="E15" s="32"/>
      <c r="F15" s="32"/>
      <c r="G15" s="39"/>
      <c r="H15" s="144"/>
      <c r="I15" s="145"/>
      <c r="J15" s="27"/>
      <c r="K15" s="42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"/>
    </row>
    <row r="16" ht="40.5" customHeight="1">
      <c r="A16" s="146" t="str">
        <f>IFERROR(__xludf.DUMMYFUNCTION("""COMPUTED_VALUE"""),"No.")</f>
        <v>No.</v>
      </c>
      <c r="B16" s="147" t="str">
        <f>IFERROR(__xludf.DUMMYFUNCTION("""COMPUTED_VALUE"""),"NOMBRE DEL ALUMNO")</f>
        <v>NOMBRE DEL ALUMNO</v>
      </c>
      <c r="C16" s="27"/>
      <c r="D16" s="28"/>
      <c r="E16" s="46"/>
      <c r="F16" s="46"/>
      <c r="G16" s="148"/>
      <c r="H16" s="149" t="str">
        <f>IFERROR(__xludf.DUMMYFUNCTION("""COMPUTED_VALUE"""),"Suma")</f>
        <v>Suma</v>
      </c>
      <c r="I16" s="150" t="str">
        <f>IFERROR(__xludf.DUMMYFUNCTION("""COMPUTED_VALUE"""),"Faltas")</f>
        <v>Faltas</v>
      </c>
      <c r="J16" s="150" t="str">
        <f>IFERROR(__xludf.DUMMYFUNCTION("""COMPUTED_VALUE"""),"Calificación Definitiva")</f>
        <v>Calificación Definitiva</v>
      </c>
      <c r="K16" s="151" t="str">
        <f>IFERROR(__xludf.DUMMYFUNCTION("""COMPUTED_VALUE"""),"FIRMA")</f>
        <v>FIRMA</v>
      </c>
      <c r="L16" s="150" t="str">
        <f>IFERROR(__xludf.DUMMYFUNCTION("""COMPUTED_VALUE"""),"Calificación Definitiva")</f>
        <v>Calificación Definitiva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"/>
    </row>
    <row r="17" ht="24.75" customHeight="1">
      <c r="A17" s="152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153">
        <f>IFERROR(__xludf.DUMMYFUNCTION("""COMPUTED_VALUE"""),7.0)</f>
        <v>7</v>
      </c>
      <c r="F17" s="153">
        <f>IFERROR(__xludf.DUMMYFUNCTION("""COMPUTED_VALUE"""),2.0)</f>
        <v>2</v>
      </c>
      <c r="G17" s="153">
        <f>IFERROR(__xludf.DUMMYFUNCTION("""COMPUTED_VALUE"""),1.0)</f>
        <v>1</v>
      </c>
      <c r="H17" s="154">
        <f>IFERROR(__xludf.DUMMYFUNCTION("""COMPUTED_VALUE"""),10.0)</f>
        <v>10</v>
      </c>
      <c r="I17" s="155">
        <f>IFERROR(__xludf.DUMMYFUNCTION("""COMPUTED_VALUE"""),0.0)</f>
        <v>0</v>
      </c>
      <c r="J17" s="156">
        <f>IFERROR(__xludf.DUMMYFUNCTION("""COMPUTED_VALUE"""),10.0)</f>
        <v>10</v>
      </c>
      <c r="K17" s="157"/>
      <c r="L17" s="158">
        <f>IFERROR(__xludf.DUMMYFUNCTION("""COMPUTED_VALUE"""),10.0)</f>
        <v>10</v>
      </c>
      <c r="M17" s="119" t="str">
        <f>IFERROR(__xludf.DUMMYFUNCTION("""COMPUTED_VALUE"""),"HORAS IMPARTIDAS")</f>
        <v>HORAS IMPARTIDAS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"/>
    </row>
    <row r="18" ht="24.75" customHeight="1">
      <c r="A18" s="152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153">
        <f>IFERROR(__xludf.DUMMYFUNCTION("""COMPUTED_VALUE"""),7.0)</f>
        <v>7</v>
      </c>
      <c r="F18" s="153">
        <f>IFERROR(__xludf.DUMMYFUNCTION("""COMPUTED_VALUE"""),2.0)</f>
        <v>2</v>
      </c>
      <c r="G18" s="153">
        <f>IFERROR(__xludf.DUMMYFUNCTION("""COMPUTED_VALUE"""),1.0)</f>
        <v>1</v>
      </c>
      <c r="H18" s="154">
        <f>IFERROR(__xludf.DUMMYFUNCTION("""COMPUTED_VALUE"""),10.0)</f>
        <v>10</v>
      </c>
      <c r="I18" s="155">
        <f>IFERROR(__xludf.DUMMYFUNCTION("""COMPUTED_VALUE"""),0.0)</f>
        <v>0</v>
      </c>
      <c r="J18" s="156">
        <f>IFERROR(__xludf.DUMMYFUNCTION("""COMPUTED_VALUE"""),10.0)</f>
        <v>10</v>
      </c>
      <c r="K18" s="155"/>
      <c r="L18" s="158">
        <f>IFERROR(__xludf.DUMMYFUNCTION("""COMPUTED_VALUE"""),10.0)</f>
        <v>10</v>
      </c>
      <c r="M18" s="119" t="str">
        <f>IFERROR(__xludf.DUMMYFUNCTION("""COMPUTED_VALUE"""),"Febrero")</f>
        <v>Febrero</v>
      </c>
      <c r="N18" s="119">
        <f>IFERROR(__xludf.DUMMYFUNCTION("""COMPUTED_VALUE"""),3.0)</f>
        <v>3</v>
      </c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"/>
    </row>
    <row r="19" ht="24.75" customHeight="1">
      <c r="A19" s="152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153">
        <f>IFERROR(__xludf.DUMMYFUNCTION("""COMPUTED_VALUE"""),8.0)</f>
        <v>8</v>
      </c>
      <c r="F19" s="153">
        <f>IFERROR(__xludf.DUMMYFUNCTION("""COMPUTED_VALUE"""),2.0)</f>
        <v>2</v>
      </c>
      <c r="G19" s="153"/>
      <c r="H19" s="154">
        <f>IFERROR(__xludf.DUMMYFUNCTION("""COMPUTED_VALUE"""),10.0)</f>
        <v>10</v>
      </c>
      <c r="I19" s="155">
        <f>IFERROR(__xludf.DUMMYFUNCTION("""COMPUTED_VALUE"""),0.0)</f>
        <v>0</v>
      </c>
      <c r="J19" s="156">
        <f>IFERROR(__xludf.DUMMYFUNCTION("""COMPUTED_VALUE"""),10.0)</f>
        <v>10</v>
      </c>
      <c r="K19" s="155"/>
      <c r="L19" s="158">
        <f>IFERROR(__xludf.DUMMYFUNCTION("""COMPUTED_VALUE"""),10.0)</f>
        <v>10</v>
      </c>
      <c r="M19" s="119" t="str">
        <f>IFERROR(__xludf.DUMMYFUNCTION("""COMPUTED_VALUE"""),"Marzo")</f>
        <v>Marzo</v>
      </c>
      <c r="N19" s="119">
        <f>IFERROR(__xludf.DUMMYFUNCTION("""COMPUTED_VALUE"""),3.0)</f>
        <v>3</v>
      </c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"/>
    </row>
    <row r="20" ht="24.75" customHeight="1">
      <c r="A20" s="152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153">
        <f>IFERROR(__xludf.DUMMYFUNCTION("""COMPUTED_VALUE"""),7.0)</f>
        <v>7</v>
      </c>
      <c r="F20" s="153">
        <f>IFERROR(__xludf.DUMMYFUNCTION("""COMPUTED_VALUE"""),2.0)</f>
        <v>2</v>
      </c>
      <c r="G20" s="153"/>
      <c r="H20" s="154">
        <f>IFERROR(__xludf.DUMMYFUNCTION("""COMPUTED_VALUE"""),9.0)</f>
        <v>9</v>
      </c>
      <c r="I20" s="155">
        <f>IFERROR(__xludf.DUMMYFUNCTION("""COMPUTED_VALUE"""),0.0)</f>
        <v>0</v>
      </c>
      <c r="J20" s="156">
        <f>IFERROR(__xludf.DUMMYFUNCTION("""COMPUTED_VALUE"""),9.0)</f>
        <v>9</v>
      </c>
      <c r="K20" s="155"/>
      <c r="L20" s="158">
        <f>IFERROR(__xludf.DUMMYFUNCTION("""COMPUTED_VALUE"""),9.0)</f>
        <v>9</v>
      </c>
      <c r="M20" s="119" t="str">
        <f>IFERROR(__xludf.DUMMYFUNCTION("""COMPUTED_VALUE"""),"Abril")</f>
        <v>Abril</v>
      </c>
      <c r="N20" s="119">
        <f>IFERROR(__xludf.DUMMYFUNCTION("""COMPUTED_VALUE"""),3.0)</f>
        <v>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"/>
    </row>
    <row r="21" ht="24.75" customHeight="1">
      <c r="A21" s="152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153">
        <f>IFERROR(__xludf.DUMMYFUNCTION("""COMPUTED_VALUE"""),8.0)</f>
        <v>8</v>
      </c>
      <c r="F21" s="153">
        <f>IFERROR(__xludf.DUMMYFUNCTION("""COMPUTED_VALUE"""),2.0)</f>
        <v>2</v>
      </c>
      <c r="G21" s="153"/>
      <c r="H21" s="154">
        <f>IFERROR(__xludf.DUMMYFUNCTION("""COMPUTED_VALUE"""),10.0)</f>
        <v>10</v>
      </c>
      <c r="I21" s="155">
        <f>IFERROR(__xludf.DUMMYFUNCTION("""COMPUTED_VALUE"""),0.0)</f>
        <v>0</v>
      </c>
      <c r="J21" s="156">
        <f>IFERROR(__xludf.DUMMYFUNCTION("""COMPUTED_VALUE"""),10.0)</f>
        <v>10</v>
      </c>
      <c r="K21" s="155"/>
      <c r="L21" s="158">
        <f>IFERROR(__xludf.DUMMYFUNCTION("""COMPUTED_VALUE"""),10.0)</f>
        <v>10</v>
      </c>
      <c r="M21" s="119" t="str">
        <f>IFERROR(__xludf.DUMMYFUNCTION("""COMPUTED_VALUE"""),"Junio")</f>
        <v>Junio</v>
      </c>
      <c r="N21" s="119">
        <f>IFERROR(__xludf.DUMMYFUNCTION("""COMPUTED_VALUE"""),4.0)</f>
        <v>4</v>
      </c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"/>
    </row>
    <row r="22" ht="24.75" customHeight="1">
      <c r="A22" s="152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153">
        <f>IFERROR(__xludf.DUMMYFUNCTION("""COMPUTED_VALUE"""),4.0)</f>
        <v>4</v>
      </c>
      <c r="F22" s="153">
        <f>IFERROR(__xludf.DUMMYFUNCTION("""COMPUTED_VALUE"""),2.0)</f>
        <v>2</v>
      </c>
      <c r="G22" s="153"/>
      <c r="H22" s="154">
        <f>IFERROR(__xludf.DUMMYFUNCTION("""COMPUTED_VALUE"""),6.0)</f>
        <v>6</v>
      </c>
      <c r="I22" s="155">
        <f>IFERROR(__xludf.DUMMYFUNCTION("""COMPUTED_VALUE"""),0.0)</f>
        <v>0</v>
      </c>
      <c r="J22" s="156">
        <f>IFERROR(__xludf.DUMMYFUNCTION("""COMPUTED_VALUE"""),6.0)</f>
        <v>6</v>
      </c>
      <c r="K22" s="155"/>
      <c r="L22" s="158">
        <f>IFERROR(__xludf.DUMMYFUNCTION("""COMPUTED_VALUE"""),6.0)</f>
        <v>6</v>
      </c>
      <c r="M22" s="119" t="str">
        <f>IFERROR(__xludf.DUMMYFUNCTION("""COMPUTED_VALUE"""),"Julio")</f>
        <v>Julio</v>
      </c>
      <c r="N22" s="119">
        <f>IFERROR(__xludf.DUMMYFUNCTION("""COMPUTED_VALUE"""),2.0)</f>
        <v>2</v>
      </c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"/>
    </row>
    <row r="23" ht="24.75" customHeight="1">
      <c r="A23" s="152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153">
        <f>IFERROR(__xludf.DUMMYFUNCTION("""COMPUTED_VALUE"""),8.0)</f>
        <v>8</v>
      </c>
      <c r="F23" s="153">
        <f>IFERROR(__xludf.DUMMYFUNCTION("""COMPUTED_VALUE"""),2.0)</f>
        <v>2</v>
      </c>
      <c r="G23" s="153"/>
      <c r="H23" s="154">
        <f>IFERROR(__xludf.DUMMYFUNCTION("""COMPUTED_VALUE"""),10.0)</f>
        <v>10</v>
      </c>
      <c r="I23" s="155">
        <f>IFERROR(__xludf.DUMMYFUNCTION("""COMPUTED_VALUE"""),0.0)</f>
        <v>0</v>
      </c>
      <c r="J23" s="156">
        <f>IFERROR(__xludf.DUMMYFUNCTION("""COMPUTED_VALUE"""),10.0)</f>
        <v>10</v>
      </c>
      <c r="K23" s="155"/>
      <c r="L23" s="158">
        <f>IFERROR(__xludf.DUMMYFUNCTION("""COMPUTED_VALUE"""),10.0)</f>
        <v>10</v>
      </c>
      <c r="M23" s="119" t="str">
        <f>IFERROR(__xludf.DUMMYFUNCTION("""COMPUTED_VALUE"""),"TOTAL")</f>
        <v>TOTAL</v>
      </c>
      <c r="N23" s="119">
        <f>IFERROR(__xludf.DUMMYFUNCTION("""COMPUTED_VALUE"""),15.0)</f>
        <v>15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"/>
    </row>
    <row r="24" ht="24.75" customHeight="1">
      <c r="A24" s="152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153">
        <f>IFERROR(__xludf.DUMMYFUNCTION("""COMPUTED_VALUE"""),7.0)</f>
        <v>7</v>
      </c>
      <c r="F24" s="153">
        <f>IFERROR(__xludf.DUMMYFUNCTION("""COMPUTED_VALUE"""),2.0)</f>
        <v>2</v>
      </c>
      <c r="G24" s="153"/>
      <c r="H24" s="154">
        <f>IFERROR(__xludf.DUMMYFUNCTION("""COMPUTED_VALUE"""),9.0)</f>
        <v>9</v>
      </c>
      <c r="I24" s="155">
        <f>IFERROR(__xludf.DUMMYFUNCTION("""COMPUTED_VALUE"""),0.0)</f>
        <v>0</v>
      </c>
      <c r="J24" s="156">
        <f>IFERROR(__xludf.DUMMYFUNCTION("""COMPUTED_VALUE"""),9.0)</f>
        <v>9</v>
      </c>
      <c r="K24" s="155"/>
      <c r="L24" s="158">
        <f>IFERROR(__xludf.DUMMYFUNCTION("""COMPUTED_VALUE"""),9.0)</f>
        <v>9</v>
      </c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"/>
    </row>
    <row r="25" ht="24.75" customHeight="1">
      <c r="A25" s="152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153">
        <f>IFERROR(__xludf.DUMMYFUNCTION("""COMPUTED_VALUE"""),6.0)</f>
        <v>6</v>
      </c>
      <c r="F25" s="153">
        <f>IFERROR(__xludf.DUMMYFUNCTION("""COMPUTED_VALUE"""),2.0)</f>
        <v>2</v>
      </c>
      <c r="G25" s="153">
        <f>IFERROR(__xludf.DUMMYFUNCTION("""COMPUTED_VALUE"""),1.0)</f>
        <v>1</v>
      </c>
      <c r="H25" s="154">
        <f>IFERROR(__xludf.DUMMYFUNCTION("""COMPUTED_VALUE"""),9.0)</f>
        <v>9</v>
      </c>
      <c r="I25" s="155">
        <f>IFERROR(__xludf.DUMMYFUNCTION("""COMPUTED_VALUE"""),0.0)</f>
        <v>0</v>
      </c>
      <c r="J25" s="156">
        <f>IFERROR(__xludf.DUMMYFUNCTION("""COMPUTED_VALUE"""),9.0)</f>
        <v>9</v>
      </c>
      <c r="K25" s="155"/>
      <c r="L25" s="158">
        <f>IFERROR(__xludf.DUMMYFUNCTION("""COMPUTED_VALUE"""),9.0)</f>
        <v>9</v>
      </c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"/>
    </row>
    <row r="26" ht="24.75" customHeight="1">
      <c r="A26" s="152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153">
        <f>IFERROR(__xludf.DUMMYFUNCTION("""COMPUTED_VALUE"""),8.0)</f>
        <v>8</v>
      </c>
      <c r="F26" s="153">
        <f>IFERROR(__xludf.DUMMYFUNCTION("""COMPUTED_VALUE"""),2.0)</f>
        <v>2</v>
      </c>
      <c r="G26" s="153"/>
      <c r="H26" s="154">
        <f>IFERROR(__xludf.DUMMYFUNCTION("""COMPUTED_VALUE"""),10.0)</f>
        <v>10</v>
      </c>
      <c r="I26" s="155">
        <f>IFERROR(__xludf.DUMMYFUNCTION("""COMPUTED_VALUE"""),0.0)</f>
        <v>0</v>
      </c>
      <c r="J26" s="156">
        <f>IFERROR(__xludf.DUMMYFUNCTION("""COMPUTED_VALUE"""),10.0)</f>
        <v>10</v>
      </c>
      <c r="K26" s="155"/>
      <c r="L26" s="158">
        <f>IFERROR(__xludf.DUMMYFUNCTION("""COMPUTED_VALUE"""),10.0)</f>
        <v>10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"/>
    </row>
    <row r="27" ht="24.75" customHeight="1">
      <c r="A27" s="152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153">
        <f>IFERROR(__xludf.DUMMYFUNCTION("""COMPUTED_VALUE"""),8.0)</f>
        <v>8</v>
      </c>
      <c r="F27" s="153">
        <f>IFERROR(__xludf.DUMMYFUNCTION("""COMPUTED_VALUE"""),2.0)</f>
        <v>2</v>
      </c>
      <c r="G27" s="153"/>
      <c r="H27" s="154">
        <f>IFERROR(__xludf.DUMMYFUNCTION("""COMPUTED_VALUE"""),10.0)</f>
        <v>10</v>
      </c>
      <c r="I27" s="155">
        <f>IFERROR(__xludf.DUMMYFUNCTION("""COMPUTED_VALUE"""),0.0)</f>
        <v>0</v>
      </c>
      <c r="J27" s="156">
        <f>IFERROR(__xludf.DUMMYFUNCTION("""COMPUTED_VALUE"""),10.0)</f>
        <v>10</v>
      </c>
      <c r="K27" s="155"/>
      <c r="L27" s="158">
        <f>IFERROR(__xludf.DUMMYFUNCTION("""COMPUTED_VALUE"""),10.0)</f>
        <v>10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"/>
    </row>
    <row r="28" ht="24.75" customHeight="1">
      <c r="A28" s="152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153">
        <f>IFERROR(__xludf.DUMMYFUNCTION("""COMPUTED_VALUE"""),6.0)</f>
        <v>6</v>
      </c>
      <c r="F28" s="153">
        <f>IFERROR(__xludf.DUMMYFUNCTION("""COMPUTED_VALUE"""),2.0)</f>
        <v>2</v>
      </c>
      <c r="G28" s="153"/>
      <c r="H28" s="154">
        <f>IFERROR(__xludf.DUMMYFUNCTION("""COMPUTED_VALUE"""),8.0)</f>
        <v>8</v>
      </c>
      <c r="I28" s="155">
        <f>IFERROR(__xludf.DUMMYFUNCTION("""COMPUTED_VALUE"""),0.0)</f>
        <v>0</v>
      </c>
      <c r="J28" s="156">
        <f>IFERROR(__xludf.DUMMYFUNCTION("""COMPUTED_VALUE"""),8.0)</f>
        <v>8</v>
      </c>
      <c r="K28" s="155"/>
      <c r="L28" s="158">
        <f>IFERROR(__xludf.DUMMYFUNCTION("""COMPUTED_VALUE"""),8.0)</f>
        <v>8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"/>
    </row>
    <row r="29" ht="24.75" customHeight="1">
      <c r="A29" s="152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153">
        <f>IFERROR(__xludf.DUMMYFUNCTION("""COMPUTED_VALUE"""),8.0)</f>
        <v>8</v>
      </c>
      <c r="F29" s="153">
        <f>IFERROR(__xludf.DUMMYFUNCTION("""COMPUTED_VALUE"""),2.0)</f>
        <v>2</v>
      </c>
      <c r="G29" s="153"/>
      <c r="H29" s="154">
        <f>IFERROR(__xludf.DUMMYFUNCTION("""COMPUTED_VALUE"""),10.0)</f>
        <v>10</v>
      </c>
      <c r="I29" s="155">
        <f>IFERROR(__xludf.DUMMYFUNCTION("""COMPUTED_VALUE"""),0.0)</f>
        <v>0</v>
      </c>
      <c r="J29" s="156">
        <f>IFERROR(__xludf.DUMMYFUNCTION("""COMPUTED_VALUE"""),10.0)</f>
        <v>10</v>
      </c>
      <c r="K29" s="155"/>
      <c r="L29" s="158">
        <f>IFERROR(__xludf.DUMMYFUNCTION("""COMPUTED_VALUE"""),10.0)</f>
        <v>10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"/>
    </row>
    <row r="30" ht="24.75" customHeight="1">
      <c r="A30" s="152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153">
        <f>IFERROR(__xludf.DUMMYFUNCTION("""COMPUTED_VALUE"""),7.0)</f>
        <v>7</v>
      </c>
      <c r="F30" s="153">
        <f>IFERROR(__xludf.DUMMYFUNCTION("""COMPUTED_VALUE"""),2.0)</f>
        <v>2</v>
      </c>
      <c r="G30" s="153"/>
      <c r="H30" s="154">
        <f>IFERROR(__xludf.DUMMYFUNCTION("""COMPUTED_VALUE"""),9.0)</f>
        <v>9</v>
      </c>
      <c r="I30" s="155">
        <f>IFERROR(__xludf.DUMMYFUNCTION("""COMPUTED_VALUE"""),0.0)</f>
        <v>0</v>
      </c>
      <c r="J30" s="156">
        <f>IFERROR(__xludf.DUMMYFUNCTION("""COMPUTED_VALUE"""),9.0)</f>
        <v>9</v>
      </c>
      <c r="K30" s="155"/>
      <c r="L30" s="158">
        <f>IFERROR(__xludf.DUMMYFUNCTION("""COMPUTED_VALUE"""),9.0)</f>
        <v>9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"/>
    </row>
    <row r="31" ht="24.75" customHeight="1">
      <c r="A31" s="152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153">
        <f>IFERROR(__xludf.DUMMYFUNCTION("""COMPUTED_VALUE"""),8.0)</f>
        <v>8</v>
      </c>
      <c r="F31" s="153">
        <f>IFERROR(__xludf.DUMMYFUNCTION("""COMPUTED_VALUE"""),2.0)</f>
        <v>2</v>
      </c>
      <c r="G31" s="153"/>
      <c r="H31" s="154">
        <f>IFERROR(__xludf.DUMMYFUNCTION("""COMPUTED_VALUE"""),10.0)</f>
        <v>10</v>
      </c>
      <c r="I31" s="155">
        <f>IFERROR(__xludf.DUMMYFUNCTION("""COMPUTED_VALUE"""),0.0)</f>
        <v>0</v>
      </c>
      <c r="J31" s="156">
        <f>IFERROR(__xludf.DUMMYFUNCTION("""COMPUTED_VALUE"""),10.0)</f>
        <v>10</v>
      </c>
      <c r="K31" s="155"/>
      <c r="L31" s="158">
        <f>IFERROR(__xludf.DUMMYFUNCTION("""COMPUTED_VALUE"""),10.0)</f>
        <v>10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"/>
    </row>
    <row r="32" ht="24.75" customHeight="1">
      <c r="A32" s="152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153">
        <f>IFERROR(__xludf.DUMMYFUNCTION("""COMPUTED_VALUE"""),8.0)</f>
        <v>8</v>
      </c>
      <c r="F32" s="153">
        <f>IFERROR(__xludf.DUMMYFUNCTION("""COMPUTED_VALUE"""),2.0)</f>
        <v>2</v>
      </c>
      <c r="G32" s="153"/>
      <c r="H32" s="154">
        <f>IFERROR(__xludf.DUMMYFUNCTION("""COMPUTED_VALUE"""),10.0)</f>
        <v>10</v>
      </c>
      <c r="I32" s="155">
        <f>IFERROR(__xludf.DUMMYFUNCTION("""COMPUTED_VALUE"""),1.0)</f>
        <v>1</v>
      </c>
      <c r="J32" s="156">
        <f>IFERROR(__xludf.DUMMYFUNCTION("""COMPUTED_VALUE"""),10.0)</f>
        <v>10</v>
      </c>
      <c r="K32" s="155"/>
      <c r="L32" s="158">
        <f>IFERROR(__xludf.DUMMYFUNCTION("""COMPUTED_VALUE"""),10.0)</f>
        <v>10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"/>
    </row>
    <row r="33" ht="24.75" customHeight="1">
      <c r="A33" s="152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153">
        <f>IFERROR(__xludf.DUMMYFUNCTION("""COMPUTED_VALUE"""),8.0)</f>
        <v>8</v>
      </c>
      <c r="F33" s="153">
        <f>IFERROR(__xludf.DUMMYFUNCTION("""COMPUTED_VALUE"""),2.0)</f>
        <v>2</v>
      </c>
      <c r="G33" s="153"/>
      <c r="H33" s="154">
        <f>IFERROR(__xludf.DUMMYFUNCTION("""COMPUTED_VALUE"""),10.0)</f>
        <v>10</v>
      </c>
      <c r="I33" s="155">
        <f>IFERROR(__xludf.DUMMYFUNCTION("""COMPUTED_VALUE"""),0.0)</f>
        <v>0</v>
      </c>
      <c r="J33" s="156">
        <f>IFERROR(__xludf.DUMMYFUNCTION("""COMPUTED_VALUE"""),10.0)</f>
        <v>10</v>
      </c>
      <c r="K33" s="155"/>
      <c r="L33" s="158">
        <f>IFERROR(__xludf.DUMMYFUNCTION("""COMPUTED_VALUE"""),10.0)</f>
        <v>10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"/>
    </row>
    <row r="34" ht="24.75" customHeight="1">
      <c r="A34" s="152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153">
        <f>IFERROR(__xludf.DUMMYFUNCTION("""COMPUTED_VALUE"""),7.0)</f>
        <v>7</v>
      </c>
      <c r="F34" s="153">
        <f>IFERROR(__xludf.DUMMYFUNCTION("""COMPUTED_VALUE"""),2.0)</f>
        <v>2</v>
      </c>
      <c r="G34" s="153">
        <f>IFERROR(__xludf.DUMMYFUNCTION("""COMPUTED_VALUE"""),1.0)</f>
        <v>1</v>
      </c>
      <c r="H34" s="154">
        <f>IFERROR(__xludf.DUMMYFUNCTION("""COMPUTED_VALUE"""),10.0)</f>
        <v>10</v>
      </c>
      <c r="I34" s="155">
        <f>IFERROR(__xludf.DUMMYFUNCTION("""COMPUTED_VALUE"""),0.0)</f>
        <v>0</v>
      </c>
      <c r="J34" s="156">
        <f>IFERROR(__xludf.DUMMYFUNCTION("""COMPUTED_VALUE"""),10.0)</f>
        <v>10</v>
      </c>
      <c r="K34" s="155"/>
      <c r="L34" s="158">
        <f>IFERROR(__xludf.DUMMYFUNCTION("""COMPUTED_VALUE"""),10.0)</f>
        <v>10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"/>
    </row>
    <row r="35" ht="24.75" customHeight="1">
      <c r="A35" s="152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153">
        <f>IFERROR(__xludf.DUMMYFUNCTION("""COMPUTED_VALUE"""),8.0)</f>
        <v>8</v>
      </c>
      <c r="F35" s="153">
        <f>IFERROR(__xludf.DUMMYFUNCTION("""COMPUTED_VALUE"""),2.0)</f>
        <v>2</v>
      </c>
      <c r="G35" s="153"/>
      <c r="H35" s="154">
        <f>IFERROR(__xludf.DUMMYFUNCTION("""COMPUTED_VALUE"""),10.0)</f>
        <v>10</v>
      </c>
      <c r="I35" s="155">
        <f>IFERROR(__xludf.DUMMYFUNCTION("""COMPUTED_VALUE"""),0.0)</f>
        <v>0</v>
      </c>
      <c r="J35" s="156">
        <f>IFERROR(__xludf.DUMMYFUNCTION("""COMPUTED_VALUE"""),10.0)</f>
        <v>10</v>
      </c>
      <c r="K35" s="155"/>
      <c r="L35" s="158">
        <f>IFERROR(__xludf.DUMMYFUNCTION("""COMPUTED_VALUE"""),10.0)</f>
        <v>10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"/>
    </row>
    <row r="36" ht="24.75" customHeight="1">
      <c r="A36" s="152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153">
        <f>IFERROR(__xludf.DUMMYFUNCTION("""COMPUTED_VALUE"""),7.0)</f>
        <v>7</v>
      </c>
      <c r="F36" s="153">
        <f>IFERROR(__xludf.DUMMYFUNCTION("""COMPUTED_VALUE"""),2.0)</f>
        <v>2</v>
      </c>
      <c r="G36" s="153">
        <f>IFERROR(__xludf.DUMMYFUNCTION("""COMPUTED_VALUE"""),1.0)</f>
        <v>1</v>
      </c>
      <c r="H36" s="154">
        <f>IFERROR(__xludf.DUMMYFUNCTION("""COMPUTED_VALUE"""),10.0)</f>
        <v>10</v>
      </c>
      <c r="I36" s="155">
        <f>IFERROR(__xludf.DUMMYFUNCTION("""COMPUTED_VALUE"""),0.0)</f>
        <v>0</v>
      </c>
      <c r="J36" s="156">
        <f>IFERROR(__xludf.DUMMYFUNCTION("""COMPUTED_VALUE"""),10.0)</f>
        <v>10</v>
      </c>
      <c r="K36" s="155"/>
      <c r="L36" s="158">
        <f>IFERROR(__xludf.DUMMYFUNCTION("""COMPUTED_VALUE"""),10.0)</f>
        <v>10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"/>
    </row>
    <row r="37" ht="24.75" customHeight="1">
      <c r="A37" s="152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153">
        <f>IFERROR(__xludf.DUMMYFUNCTION("""COMPUTED_VALUE"""),7.0)</f>
        <v>7</v>
      </c>
      <c r="F37" s="153">
        <f>IFERROR(__xludf.DUMMYFUNCTION("""COMPUTED_VALUE"""),2.0)</f>
        <v>2</v>
      </c>
      <c r="G37" s="153">
        <f>IFERROR(__xludf.DUMMYFUNCTION("""COMPUTED_VALUE"""),1.0)</f>
        <v>1</v>
      </c>
      <c r="H37" s="154">
        <f>IFERROR(__xludf.DUMMYFUNCTION("""COMPUTED_VALUE"""),10.0)</f>
        <v>10</v>
      </c>
      <c r="I37" s="155">
        <f>IFERROR(__xludf.DUMMYFUNCTION("""COMPUTED_VALUE"""),0.0)</f>
        <v>0</v>
      </c>
      <c r="J37" s="156">
        <f>IFERROR(__xludf.DUMMYFUNCTION("""COMPUTED_VALUE"""),10.0)</f>
        <v>10</v>
      </c>
      <c r="K37" s="155"/>
      <c r="L37" s="158">
        <f>IFERROR(__xludf.DUMMYFUNCTION("""COMPUTED_VALUE"""),10.0)</f>
        <v>10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"/>
    </row>
    <row r="38" ht="24.75" customHeight="1">
      <c r="A38" s="152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153">
        <f>IFERROR(__xludf.DUMMYFUNCTION("""COMPUTED_VALUE"""),8.0)</f>
        <v>8</v>
      </c>
      <c r="F38" s="153">
        <f>IFERROR(__xludf.DUMMYFUNCTION("""COMPUTED_VALUE"""),2.0)</f>
        <v>2</v>
      </c>
      <c r="G38" s="153"/>
      <c r="H38" s="154">
        <f>IFERROR(__xludf.DUMMYFUNCTION("""COMPUTED_VALUE"""),10.0)</f>
        <v>10</v>
      </c>
      <c r="I38" s="155">
        <f>IFERROR(__xludf.DUMMYFUNCTION("""COMPUTED_VALUE"""),0.0)</f>
        <v>0</v>
      </c>
      <c r="J38" s="156">
        <f>IFERROR(__xludf.DUMMYFUNCTION("""COMPUTED_VALUE"""),10.0)</f>
        <v>10</v>
      </c>
      <c r="K38" s="155"/>
      <c r="L38" s="158">
        <f>IFERROR(__xludf.DUMMYFUNCTION("""COMPUTED_VALUE"""),10.0)</f>
        <v>10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"/>
    </row>
    <row r="39" ht="24.75" customHeight="1">
      <c r="A39" s="152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153">
        <f>IFERROR(__xludf.DUMMYFUNCTION("""COMPUTED_VALUE"""),8.0)</f>
        <v>8</v>
      </c>
      <c r="F39" s="153">
        <f>IFERROR(__xludf.DUMMYFUNCTION("""COMPUTED_VALUE"""),2.0)</f>
        <v>2</v>
      </c>
      <c r="G39" s="153"/>
      <c r="H39" s="154">
        <f>IFERROR(__xludf.DUMMYFUNCTION("""COMPUTED_VALUE"""),10.0)</f>
        <v>10</v>
      </c>
      <c r="I39" s="155">
        <f>IFERROR(__xludf.DUMMYFUNCTION("""COMPUTED_VALUE"""),0.0)</f>
        <v>0</v>
      </c>
      <c r="J39" s="156">
        <f>IFERROR(__xludf.DUMMYFUNCTION("""COMPUTED_VALUE"""),10.0)</f>
        <v>10</v>
      </c>
      <c r="K39" s="155"/>
      <c r="L39" s="158">
        <f>IFERROR(__xludf.DUMMYFUNCTION("""COMPUTED_VALUE"""),10.0)</f>
        <v>10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"/>
    </row>
    <row r="40" ht="24.75" customHeight="1">
      <c r="A40" s="152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153">
        <f>IFERROR(__xludf.DUMMYFUNCTION("""COMPUTED_VALUE"""),6.0)</f>
        <v>6</v>
      </c>
      <c r="F40" s="153">
        <f>IFERROR(__xludf.DUMMYFUNCTION("""COMPUTED_VALUE"""),2.0)</f>
        <v>2</v>
      </c>
      <c r="G40" s="153"/>
      <c r="H40" s="154">
        <f>IFERROR(__xludf.DUMMYFUNCTION("""COMPUTED_VALUE"""),8.0)</f>
        <v>8</v>
      </c>
      <c r="I40" s="155">
        <f>IFERROR(__xludf.DUMMYFUNCTION("""COMPUTED_VALUE"""),0.0)</f>
        <v>0</v>
      </c>
      <c r="J40" s="156">
        <f>IFERROR(__xludf.DUMMYFUNCTION("""COMPUTED_VALUE"""),8.0)</f>
        <v>8</v>
      </c>
      <c r="K40" s="155"/>
      <c r="L40" s="158">
        <f>IFERROR(__xludf.DUMMYFUNCTION("""COMPUTED_VALUE"""),8.0)</f>
        <v>8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"/>
    </row>
    <row r="41" ht="24.75" customHeight="1">
      <c r="A41" s="152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153">
        <f>IFERROR(__xludf.DUMMYFUNCTION("""COMPUTED_VALUE"""),7.0)</f>
        <v>7</v>
      </c>
      <c r="F41" s="153">
        <f>IFERROR(__xludf.DUMMYFUNCTION("""COMPUTED_VALUE"""),2.0)</f>
        <v>2</v>
      </c>
      <c r="G41" s="153">
        <f>IFERROR(__xludf.DUMMYFUNCTION("""COMPUTED_VALUE"""),1.0)</f>
        <v>1</v>
      </c>
      <c r="H41" s="154">
        <f>IFERROR(__xludf.DUMMYFUNCTION("""COMPUTED_VALUE"""),10.0)</f>
        <v>10</v>
      </c>
      <c r="I41" s="155">
        <f>IFERROR(__xludf.DUMMYFUNCTION("""COMPUTED_VALUE"""),0.0)</f>
        <v>0</v>
      </c>
      <c r="J41" s="156">
        <f>IFERROR(__xludf.DUMMYFUNCTION("""COMPUTED_VALUE"""),10.0)</f>
        <v>10</v>
      </c>
      <c r="K41" s="155"/>
      <c r="L41" s="158">
        <f>IFERROR(__xludf.DUMMYFUNCTION("""COMPUTED_VALUE"""),10.0)</f>
        <v>10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"/>
    </row>
    <row r="42" ht="24.75" customHeight="1">
      <c r="A42" s="152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153">
        <f>IFERROR(__xludf.DUMMYFUNCTION("""COMPUTED_VALUE"""),7.0)</f>
        <v>7</v>
      </c>
      <c r="F42" s="153">
        <f>IFERROR(__xludf.DUMMYFUNCTION("""COMPUTED_VALUE"""),2.0)</f>
        <v>2</v>
      </c>
      <c r="G42" s="153">
        <f>IFERROR(__xludf.DUMMYFUNCTION("""COMPUTED_VALUE"""),1.0)</f>
        <v>1</v>
      </c>
      <c r="H42" s="154">
        <f>IFERROR(__xludf.DUMMYFUNCTION("""COMPUTED_VALUE"""),10.0)</f>
        <v>10</v>
      </c>
      <c r="I42" s="155">
        <f>IFERROR(__xludf.DUMMYFUNCTION("""COMPUTED_VALUE"""),0.0)</f>
        <v>0</v>
      </c>
      <c r="J42" s="156">
        <f>IFERROR(__xludf.DUMMYFUNCTION("""COMPUTED_VALUE"""),10.0)</f>
        <v>10</v>
      </c>
      <c r="K42" s="155"/>
      <c r="L42" s="158">
        <f>IFERROR(__xludf.DUMMYFUNCTION("""COMPUTED_VALUE"""),10.0)</f>
        <v>10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"/>
    </row>
    <row r="43" ht="24.75" customHeight="1">
      <c r="A43" s="152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153">
        <f>IFERROR(__xludf.DUMMYFUNCTION("""COMPUTED_VALUE"""),7.0)</f>
        <v>7</v>
      </c>
      <c r="F43" s="153">
        <f>IFERROR(__xludf.DUMMYFUNCTION("""COMPUTED_VALUE"""),2.0)</f>
        <v>2</v>
      </c>
      <c r="G43" s="153"/>
      <c r="H43" s="154">
        <f>IFERROR(__xludf.DUMMYFUNCTION("""COMPUTED_VALUE"""),9.0)</f>
        <v>9</v>
      </c>
      <c r="I43" s="155">
        <f>IFERROR(__xludf.DUMMYFUNCTION("""COMPUTED_VALUE"""),0.0)</f>
        <v>0</v>
      </c>
      <c r="J43" s="156">
        <f>IFERROR(__xludf.DUMMYFUNCTION("""COMPUTED_VALUE"""),9.0)</f>
        <v>9</v>
      </c>
      <c r="K43" s="155"/>
      <c r="L43" s="158">
        <f>IFERROR(__xludf.DUMMYFUNCTION("""COMPUTED_VALUE"""),9.0)</f>
        <v>9</v>
      </c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"/>
    </row>
    <row r="44" ht="24.75" customHeight="1">
      <c r="A44" s="152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153">
        <f>IFERROR(__xludf.DUMMYFUNCTION("""COMPUTED_VALUE"""),4.0)</f>
        <v>4</v>
      </c>
      <c r="F44" s="153">
        <f>IFERROR(__xludf.DUMMYFUNCTION("""COMPUTED_VALUE"""),2.0)</f>
        <v>2</v>
      </c>
      <c r="G44" s="153"/>
      <c r="H44" s="154">
        <f>IFERROR(__xludf.DUMMYFUNCTION("""COMPUTED_VALUE"""),6.0)</f>
        <v>6</v>
      </c>
      <c r="I44" s="155">
        <f>IFERROR(__xludf.DUMMYFUNCTION("""COMPUTED_VALUE"""),0.0)</f>
        <v>0</v>
      </c>
      <c r="J44" s="156">
        <f>IFERROR(__xludf.DUMMYFUNCTION("""COMPUTED_VALUE"""),6.0)</f>
        <v>6</v>
      </c>
      <c r="K44" s="155"/>
      <c r="L44" s="158">
        <f>IFERROR(__xludf.DUMMYFUNCTION("""COMPUTED_VALUE"""),6.0)</f>
        <v>6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"/>
    </row>
    <row r="45" ht="24.75" customHeight="1">
      <c r="A45" s="152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153">
        <f>IFERROR(__xludf.DUMMYFUNCTION("""COMPUTED_VALUE"""),6.0)</f>
        <v>6</v>
      </c>
      <c r="F45" s="153">
        <f>IFERROR(__xludf.DUMMYFUNCTION("""COMPUTED_VALUE"""),2.0)</f>
        <v>2</v>
      </c>
      <c r="G45" s="153"/>
      <c r="H45" s="154">
        <f>IFERROR(__xludf.DUMMYFUNCTION("""COMPUTED_VALUE"""),8.0)</f>
        <v>8</v>
      </c>
      <c r="I45" s="155">
        <f>IFERROR(__xludf.DUMMYFUNCTION("""COMPUTED_VALUE"""),0.0)</f>
        <v>0</v>
      </c>
      <c r="J45" s="156">
        <f>IFERROR(__xludf.DUMMYFUNCTION("""COMPUTED_VALUE"""),8.0)</f>
        <v>8</v>
      </c>
      <c r="K45" s="155"/>
      <c r="L45" s="158">
        <f>IFERROR(__xludf.DUMMYFUNCTION("""COMPUTED_VALUE"""),8.0)</f>
        <v>8</v>
      </c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"/>
    </row>
    <row r="46" ht="24.75" customHeight="1">
      <c r="A46" s="152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153">
        <f>IFERROR(__xludf.DUMMYFUNCTION("""COMPUTED_VALUE"""),8.0)</f>
        <v>8</v>
      </c>
      <c r="F46" s="153">
        <f>IFERROR(__xludf.DUMMYFUNCTION("""COMPUTED_VALUE"""),2.0)</f>
        <v>2</v>
      </c>
      <c r="G46" s="153"/>
      <c r="H46" s="154">
        <f>IFERROR(__xludf.DUMMYFUNCTION("""COMPUTED_VALUE"""),10.0)</f>
        <v>10</v>
      </c>
      <c r="I46" s="155">
        <f>IFERROR(__xludf.DUMMYFUNCTION("""COMPUTED_VALUE"""),0.0)</f>
        <v>0</v>
      </c>
      <c r="J46" s="156">
        <f>IFERROR(__xludf.DUMMYFUNCTION("""COMPUTED_VALUE"""),10.0)</f>
        <v>10</v>
      </c>
      <c r="K46" s="155"/>
      <c r="L46" s="158">
        <f>IFERROR(__xludf.DUMMYFUNCTION("""COMPUTED_VALUE"""),10.0)</f>
        <v>10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"/>
    </row>
    <row r="47" ht="24.75" customHeight="1">
      <c r="A47" s="152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153">
        <f>IFERROR(__xludf.DUMMYFUNCTION("""COMPUTED_VALUE"""),7.0)</f>
        <v>7</v>
      </c>
      <c r="F47" s="153">
        <f>IFERROR(__xludf.DUMMYFUNCTION("""COMPUTED_VALUE"""),2.0)</f>
        <v>2</v>
      </c>
      <c r="G47" s="153">
        <f>IFERROR(__xludf.DUMMYFUNCTION("""COMPUTED_VALUE"""),1.0)</f>
        <v>1</v>
      </c>
      <c r="H47" s="154">
        <f>IFERROR(__xludf.DUMMYFUNCTION("""COMPUTED_VALUE"""),10.0)</f>
        <v>10</v>
      </c>
      <c r="I47" s="155">
        <f>IFERROR(__xludf.DUMMYFUNCTION("""COMPUTED_VALUE"""),0.0)</f>
        <v>0</v>
      </c>
      <c r="J47" s="156">
        <f>IFERROR(__xludf.DUMMYFUNCTION("""COMPUTED_VALUE"""),10.0)</f>
        <v>10</v>
      </c>
      <c r="K47" s="155"/>
      <c r="L47" s="158">
        <f>IFERROR(__xludf.DUMMYFUNCTION("""COMPUTED_VALUE"""),10.0)</f>
        <v>10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"/>
    </row>
    <row r="48" ht="24.75" customHeight="1">
      <c r="A48" s="152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153">
        <f>IFERROR(__xludf.DUMMYFUNCTION("""COMPUTED_VALUE"""),7.0)</f>
        <v>7</v>
      </c>
      <c r="F48" s="153">
        <f>IFERROR(__xludf.DUMMYFUNCTION("""COMPUTED_VALUE"""),2.0)</f>
        <v>2</v>
      </c>
      <c r="G48" s="153"/>
      <c r="H48" s="154">
        <f>IFERROR(__xludf.DUMMYFUNCTION("""COMPUTED_VALUE"""),9.0)</f>
        <v>9</v>
      </c>
      <c r="I48" s="155">
        <f>IFERROR(__xludf.DUMMYFUNCTION("""COMPUTED_VALUE"""),0.0)</f>
        <v>0</v>
      </c>
      <c r="J48" s="156">
        <f>IFERROR(__xludf.DUMMYFUNCTION("""COMPUTED_VALUE"""),9.0)</f>
        <v>9</v>
      </c>
      <c r="K48" s="155"/>
      <c r="L48" s="158">
        <f>IFERROR(__xludf.DUMMYFUNCTION("""COMPUTED_VALUE"""),9.0)</f>
        <v>9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"/>
    </row>
    <row r="49" ht="24.75" customHeight="1">
      <c r="A49" s="152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153">
        <f>IFERROR(__xludf.DUMMYFUNCTION("""COMPUTED_VALUE"""),6.0)</f>
        <v>6</v>
      </c>
      <c r="F49" s="153">
        <f>IFERROR(__xludf.DUMMYFUNCTION("""COMPUTED_VALUE"""),2.0)</f>
        <v>2</v>
      </c>
      <c r="G49" s="153"/>
      <c r="H49" s="154">
        <f>IFERROR(__xludf.DUMMYFUNCTION("""COMPUTED_VALUE"""),8.0)</f>
        <v>8</v>
      </c>
      <c r="I49" s="155">
        <f>IFERROR(__xludf.DUMMYFUNCTION("""COMPUTED_VALUE"""),0.0)</f>
        <v>0</v>
      </c>
      <c r="J49" s="156">
        <f>IFERROR(__xludf.DUMMYFUNCTION("""COMPUTED_VALUE"""),8.0)</f>
        <v>8</v>
      </c>
      <c r="K49" s="155"/>
      <c r="L49" s="158">
        <f>IFERROR(__xludf.DUMMYFUNCTION("""COMPUTED_VALUE"""),8.0)</f>
        <v>8</v>
      </c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"/>
    </row>
    <row r="50" ht="24.75" customHeight="1">
      <c r="A50" s="152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153">
        <f>IFERROR(__xludf.DUMMYFUNCTION("""COMPUTED_VALUE"""),8.0)</f>
        <v>8</v>
      </c>
      <c r="F50" s="153">
        <f>IFERROR(__xludf.DUMMYFUNCTION("""COMPUTED_VALUE"""),2.0)</f>
        <v>2</v>
      </c>
      <c r="G50" s="153"/>
      <c r="H50" s="154">
        <f>IFERROR(__xludf.DUMMYFUNCTION("""COMPUTED_VALUE"""),10.0)</f>
        <v>10</v>
      </c>
      <c r="I50" s="155">
        <f>IFERROR(__xludf.DUMMYFUNCTION("""COMPUTED_VALUE"""),0.0)</f>
        <v>0</v>
      </c>
      <c r="J50" s="156">
        <f>IFERROR(__xludf.DUMMYFUNCTION("""COMPUTED_VALUE"""),10.0)</f>
        <v>10</v>
      </c>
      <c r="K50" s="155"/>
      <c r="L50" s="158">
        <f>IFERROR(__xludf.DUMMYFUNCTION("""COMPUTED_VALUE"""),10.0)</f>
        <v>10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"/>
    </row>
    <row r="51" ht="24.75" customHeight="1">
      <c r="A51" s="152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153">
        <f>IFERROR(__xludf.DUMMYFUNCTION("""COMPUTED_VALUE"""),8.0)</f>
        <v>8</v>
      </c>
      <c r="F51" s="153">
        <f>IFERROR(__xludf.DUMMYFUNCTION("""COMPUTED_VALUE"""),2.0)</f>
        <v>2</v>
      </c>
      <c r="G51" s="153"/>
      <c r="H51" s="154">
        <f>IFERROR(__xludf.DUMMYFUNCTION("""COMPUTED_VALUE"""),10.0)</f>
        <v>10</v>
      </c>
      <c r="I51" s="155">
        <f>IFERROR(__xludf.DUMMYFUNCTION("""COMPUTED_VALUE"""),0.0)</f>
        <v>0</v>
      </c>
      <c r="J51" s="156">
        <f>IFERROR(__xludf.DUMMYFUNCTION("""COMPUTED_VALUE"""),10.0)</f>
        <v>10</v>
      </c>
      <c r="K51" s="155"/>
      <c r="L51" s="158">
        <f>IFERROR(__xludf.DUMMYFUNCTION("""COMPUTED_VALUE"""),10.0)</f>
        <v>10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"/>
    </row>
    <row r="52" ht="24.75" customHeight="1">
      <c r="A52" s="152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153">
        <f>IFERROR(__xludf.DUMMYFUNCTION("""COMPUTED_VALUE"""),6.0)</f>
        <v>6</v>
      </c>
      <c r="F52" s="153">
        <f>IFERROR(__xludf.DUMMYFUNCTION("""COMPUTED_VALUE"""),2.0)</f>
        <v>2</v>
      </c>
      <c r="G52" s="153"/>
      <c r="H52" s="154">
        <f>IFERROR(__xludf.DUMMYFUNCTION("""COMPUTED_VALUE"""),8.0)</f>
        <v>8</v>
      </c>
      <c r="I52" s="155">
        <f>IFERROR(__xludf.DUMMYFUNCTION("""COMPUTED_VALUE"""),0.0)</f>
        <v>0</v>
      </c>
      <c r="J52" s="156">
        <f>IFERROR(__xludf.DUMMYFUNCTION("""COMPUTED_VALUE"""),8.0)</f>
        <v>8</v>
      </c>
      <c r="K52" s="155"/>
      <c r="L52" s="159">
        <f>IFERROR(__xludf.DUMMYFUNCTION("""COMPUTED_VALUE"""),8.0)</f>
        <v>8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"/>
    </row>
    <row r="53" ht="24.75" customHeight="1">
      <c r="A53" s="152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153">
        <f>IFERROR(__xludf.DUMMYFUNCTION("""COMPUTED_VALUE"""),0.0)</f>
        <v>0</v>
      </c>
      <c r="F53" s="153">
        <f>IFERROR(__xludf.DUMMYFUNCTION("""COMPUTED_VALUE"""),0.0)</f>
        <v>0</v>
      </c>
      <c r="G53" s="153"/>
      <c r="H53" s="154">
        <f>IFERROR(__xludf.DUMMYFUNCTION("""COMPUTED_VALUE"""),0.0)</f>
        <v>0</v>
      </c>
      <c r="I53" s="155">
        <f>IFERROR(__xludf.DUMMYFUNCTION("""COMPUTED_VALUE"""),1.0)</f>
        <v>1</v>
      </c>
      <c r="J53" s="156">
        <f>IFERROR(__xludf.DUMMYFUNCTION("""COMPUTED_VALUE"""),5.0)</f>
        <v>5</v>
      </c>
      <c r="K53" s="155"/>
      <c r="L53" s="159">
        <f>IFERROR(__xludf.DUMMYFUNCTION("""COMPUTED_VALUE"""),0.0)</f>
        <v>0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"/>
    </row>
    <row r="54" ht="24.75" customHeight="1">
      <c r="A54" s="152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153">
        <f>IFERROR(__xludf.DUMMYFUNCTION("""COMPUTED_VALUE"""),8.0)</f>
        <v>8</v>
      </c>
      <c r="F54" s="153">
        <f>IFERROR(__xludf.DUMMYFUNCTION("""COMPUTED_VALUE"""),2.0)</f>
        <v>2</v>
      </c>
      <c r="G54" s="153"/>
      <c r="H54" s="154">
        <f>IFERROR(__xludf.DUMMYFUNCTION("""COMPUTED_VALUE"""),10.0)</f>
        <v>10</v>
      </c>
      <c r="I54" s="155">
        <f>IFERROR(__xludf.DUMMYFUNCTION("""COMPUTED_VALUE"""),0.0)</f>
        <v>0</v>
      </c>
      <c r="J54" s="156">
        <f>IFERROR(__xludf.DUMMYFUNCTION("""COMPUTED_VALUE"""),10.0)</f>
        <v>10</v>
      </c>
      <c r="K54" s="155"/>
      <c r="L54" s="159">
        <f>IFERROR(__xludf.DUMMYFUNCTION("""COMPUTED_VALUE"""),10.0)</f>
        <v>10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"/>
    </row>
    <row r="55" ht="24.75" customHeight="1">
      <c r="A55" s="152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153">
        <f>IFERROR(__xludf.DUMMYFUNCTION("""COMPUTED_VALUE"""),6.0)</f>
        <v>6</v>
      </c>
      <c r="F55" s="153">
        <f>IFERROR(__xludf.DUMMYFUNCTION("""COMPUTED_VALUE"""),2.0)</f>
        <v>2</v>
      </c>
      <c r="G55" s="153"/>
      <c r="H55" s="154">
        <f>IFERROR(__xludf.DUMMYFUNCTION("""COMPUTED_VALUE"""),8.0)</f>
        <v>8</v>
      </c>
      <c r="I55" s="160">
        <f>IFERROR(__xludf.DUMMYFUNCTION("""COMPUTED_VALUE"""),0.0)</f>
        <v>0</v>
      </c>
      <c r="J55" s="156">
        <f>IFERROR(__xludf.DUMMYFUNCTION("""COMPUTED_VALUE"""),8.0)</f>
        <v>8</v>
      </c>
      <c r="K55" s="155"/>
      <c r="L55" s="159">
        <f>IFERROR(__xludf.DUMMYFUNCTION("""COMPUTED_VALUE"""),8.0)</f>
        <v>8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"/>
    </row>
    <row r="56" ht="24.75" customHeight="1">
      <c r="A56" s="152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153">
        <f>IFERROR(__xludf.DUMMYFUNCTION("""COMPUTED_VALUE"""),6.0)</f>
        <v>6</v>
      </c>
      <c r="F56" s="153">
        <f>IFERROR(__xludf.DUMMYFUNCTION("""COMPUTED_VALUE"""),2.0)</f>
        <v>2</v>
      </c>
      <c r="G56" s="153"/>
      <c r="H56" s="154">
        <f>IFERROR(__xludf.DUMMYFUNCTION("""COMPUTED_VALUE"""),8.0)</f>
        <v>8</v>
      </c>
      <c r="I56" s="160">
        <f>IFERROR(__xludf.DUMMYFUNCTION("""COMPUTED_VALUE"""),0.0)</f>
        <v>0</v>
      </c>
      <c r="J56" s="156">
        <f>IFERROR(__xludf.DUMMYFUNCTION("""COMPUTED_VALUE"""),8.0)</f>
        <v>8</v>
      </c>
      <c r="K56" s="155"/>
      <c r="L56" s="159">
        <f>IFERROR(__xludf.DUMMYFUNCTION("""COMPUTED_VALUE"""),8.0)</f>
        <v>8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"/>
    </row>
    <row r="57" ht="24.75" customHeight="1">
      <c r="A57" s="152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153">
        <f>IFERROR(__xludf.DUMMYFUNCTION("""COMPUTED_VALUE"""),8.0)</f>
        <v>8</v>
      </c>
      <c r="F57" s="153">
        <f>IFERROR(__xludf.DUMMYFUNCTION("""COMPUTED_VALUE"""),2.0)</f>
        <v>2</v>
      </c>
      <c r="G57" s="153"/>
      <c r="H57" s="154">
        <f>IFERROR(__xludf.DUMMYFUNCTION("""COMPUTED_VALUE"""),10.0)</f>
        <v>10</v>
      </c>
      <c r="I57" s="160">
        <f>IFERROR(__xludf.DUMMYFUNCTION("""COMPUTED_VALUE"""),0.0)</f>
        <v>0</v>
      </c>
      <c r="J57" s="156">
        <f>IFERROR(__xludf.DUMMYFUNCTION("""COMPUTED_VALUE"""),10.0)</f>
        <v>10</v>
      </c>
      <c r="K57" s="155"/>
      <c r="L57" s="159">
        <f>IFERROR(__xludf.DUMMYFUNCTION("""COMPUTED_VALUE"""),10.0)</f>
        <v>10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"/>
    </row>
    <row r="58" ht="24.75" customHeight="1">
      <c r="A58" s="152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153">
        <f>IFERROR(__xludf.DUMMYFUNCTION("""COMPUTED_VALUE"""),6.0)</f>
        <v>6</v>
      </c>
      <c r="F58" s="153">
        <f>IFERROR(__xludf.DUMMYFUNCTION("""COMPUTED_VALUE"""),2.0)</f>
        <v>2</v>
      </c>
      <c r="G58" s="153"/>
      <c r="H58" s="154">
        <f>IFERROR(__xludf.DUMMYFUNCTION("""COMPUTED_VALUE"""),8.0)</f>
        <v>8</v>
      </c>
      <c r="I58" s="160">
        <f>IFERROR(__xludf.DUMMYFUNCTION("""COMPUTED_VALUE"""),0.0)</f>
        <v>0</v>
      </c>
      <c r="J58" s="156">
        <f>IFERROR(__xludf.DUMMYFUNCTION("""COMPUTED_VALUE"""),8.0)</f>
        <v>8</v>
      </c>
      <c r="K58" s="155"/>
      <c r="L58" s="159">
        <f>IFERROR(__xludf.DUMMYFUNCTION("""COMPUTED_VALUE"""),8.0)</f>
        <v>8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"/>
    </row>
    <row r="59" ht="24.75" customHeight="1">
      <c r="A59" s="152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153">
        <f>IFERROR(__xludf.DUMMYFUNCTION("""COMPUTED_VALUE"""),5.0)</f>
        <v>5</v>
      </c>
      <c r="F59" s="153">
        <f>IFERROR(__xludf.DUMMYFUNCTION("""COMPUTED_VALUE"""),2.0)</f>
        <v>2</v>
      </c>
      <c r="G59" s="153">
        <f>IFERROR(__xludf.DUMMYFUNCTION("""COMPUTED_VALUE"""),1.0)</f>
        <v>1</v>
      </c>
      <c r="H59" s="154">
        <f>IFERROR(__xludf.DUMMYFUNCTION("""COMPUTED_VALUE"""),8.0)</f>
        <v>8</v>
      </c>
      <c r="I59" s="160">
        <f>IFERROR(__xludf.DUMMYFUNCTION("""COMPUTED_VALUE"""),0.0)</f>
        <v>0</v>
      </c>
      <c r="J59" s="156">
        <f>IFERROR(__xludf.DUMMYFUNCTION("""COMPUTED_VALUE"""),8.0)</f>
        <v>8</v>
      </c>
      <c r="K59" s="155"/>
      <c r="L59" s="159">
        <f>IFERROR(__xludf.DUMMYFUNCTION("""COMPUTED_VALUE"""),8.0)</f>
        <v>8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"/>
    </row>
    <row r="60" ht="24.75" customHeight="1">
      <c r="A60" s="152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153">
        <f>IFERROR(__xludf.DUMMYFUNCTION("""COMPUTED_VALUE"""),5.0)</f>
        <v>5</v>
      </c>
      <c r="F60" s="153">
        <f>IFERROR(__xludf.DUMMYFUNCTION("""COMPUTED_VALUE"""),2.0)</f>
        <v>2</v>
      </c>
      <c r="G60" s="153"/>
      <c r="H60" s="154">
        <f>IFERROR(__xludf.DUMMYFUNCTION("""COMPUTED_VALUE"""),7.0)</f>
        <v>7</v>
      </c>
      <c r="I60" s="160"/>
      <c r="J60" s="156">
        <f>IFERROR(__xludf.DUMMYFUNCTION("""COMPUTED_VALUE"""),7.0)</f>
        <v>7</v>
      </c>
      <c r="K60" s="155"/>
      <c r="L60" s="159">
        <f>IFERROR(__xludf.DUMMYFUNCTION("""COMPUTED_VALUE"""),7.0)</f>
        <v>7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"/>
    </row>
    <row r="61" ht="24.75" customHeight="1">
      <c r="A61" s="152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153">
        <f>IFERROR(__xludf.DUMMYFUNCTION("""COMPUTED_VALUE"""),7.0)</f>
        <v>7</v>
      </c>
      <c r="F61" s="153">
        <f>IFERROR(__xludf.DUMMYFUNCTION("""COMPUTED_VALUE"""),2.0)</f>
        <v>2</v>
      </c>
      <c r="G61" s="153">
        <f>IFERROR(__xludf.DUMMYFUNCTION("""COMPUTED_VALUE"""),1.0)</f>
        <v>1</v>
      </c>
      <c r="H61" s="154">
        <f>IFERROR(__xludf.DUMMYFUNCTION("""COMPUTED_VALUE"""),10.0)</f>
        <v>10</v>
      </c>
      <c r="I61" s="160">
        <f>IFERROR(__xludf.DUMMYFUNCTION("""COMPUTED_VALUE"""),0.0)</f>
        <v>0</v>
      </c>
      <c r="J61" s="156">
        <f>IFERROR(__xludf.DUMMYFUNCTION("""COMPUTED_VALUE"""),10.0)</f>
        <v>10</v>
      </c>
      <c r="K61" s="155"/>
      <c r="L61" s="159">
        <f>IFERROR(__xludf.DUMMYFUNCTION("""COMPUTED_VALUE"""),10.0)</f>
        <v>10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"/>
    </row>
    <row r="62" ht="24.75" customHeight="1">
      <c r="A62" s="152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153">
        <f>IFERROR(__xludf.DUMMYFUNCTION("""COMPUTED_VALUE"""),7.0)</f>
        <v>7</v>
      </c>
      <c r="F62" s="153">
        <f>IFERROR(__xludf.DUMMYFUNCTION("""COMPUTED_VALUE"""),2.0)</f>
        <v>2</v>
      </c>
      <c r="G62" s="153">
        <f>IFERROR(__xludf.DUMMYFUNCTION("""COMPUTED_VALUE"""),1.0)</f>
        <v>1</v>
      </c>
      <c r="H62" s="154">
        <f>IFERROR(__xludf.DUMMYFUNCTION("""COMPUTED_VALUE"""),10.0)</f>
        <v>10</v>
      </c>
      <c r="I62" s="153">
        <f>IFERROR(__xludf.DUMMYFUNCTION("""COMPUTED_VALUE"""),0.0)</f>
        <v>0</v>
      </c>
      <c r="J62" s="156">
        <f>IFERROR(__xludf.DUMMYFUNCTION("""COMPUTED_VALUE"""),10.0)</f>
        <v>10</v>
      </c>
      <c r="K62" s="155"/>
      <c r="L62" s="159">
        <f>IFERROR(__xludf.DUMMYFUNCTION("""COMPUTED_VALUE"""),10.0)</f>
        <v>10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"/>
    </row>
    <row r="63" ht="24.75" customHeight="1">
      <c r="A63" s="152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153">
        <f>IFERROR(__xludf.DUMMYFUNCTION("""COMPUTED_VALUE"""),8.0)</f>
        <v>8</v>
      </c>
      <c r="F63" s="153">
        <f>IFERROR(__xludf.DUMMYFUNCTION("""COMPUTED_VALUE"""),2.0)</f>
        <v>2</v>
      </c>
      <c r="G63" s="153"/>
      <c r="H63" s="154">
        <f>IFERROR(__xludf.DUMMYFUNCTION("""COMPUTED_VALUE"""),10.0)</f>
        <v>10</v>
      </c>
      <c r="I63" s="153">
        <f>IFERROR(__xludf.DUMMYFUNCTION("""COMPUTED_VALUE"""),0.0)</f>
        <v>0</v>
      </c>
      <c r="J63" s="156">
        <f>IFERROR(__xludf.DUMMYFUNCTION("""COMPUTED_VALUE"""),10.0)</f>
        <v>10</v>
      </c>
      <c r="K63" s="155"/>
      <c r="L63" s="159">
        <f>IFERROR(__xludf.DUMMYFUNCTION("""COMPUTED_VALUE"""),10.0)</f>
        <v>10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"/>
    </row>
    <row r="64" ht="24.75" customHeight="1">
      <c r="A64" s="124"/>
      <c r="B64" s="161"/>
      <c r="C64" s="161"/>
      <c r="D64" s="125"/>
      <c r="E64" s="162"/>
      <c r="F64" s="162"/>
      <c r="G64" s="162"/>
      <c r="H64" s="162"/>
      <c r="I64" s="130"/>
      <c r="J64" s="163"/>
      <c r="K64" s="126"/>
      <c r="L64" s="163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"/>
    </row>
    <row r="65" ht="24.75" customHeight="1">
      <c r="A65" s="119"/>
      <c r="B65" s="164" t="str">
        <f>IFERROR(__xludf.DUMMYFUNCTION("""COMPUTED_VALUE"""),"No. DE ALUMNOS INSCRITOS")</f>
        <v>No. DE ALUMNOS INSCRITOS</v>
      </c>
      <c r="C65" s="72"/>
      <c r="D65" s="201">
        <f>IFERROR(__xludf.DUMMYFUNCTION("""COMPUTED_VALUE"""),47.0)</f>
        <v>47</v>
      </c>
      <c r="E65" s="162"/>
      <c r="F65" s="166" t="str">
        <f>IFERROR(__xludf.DUMMYFUNCTION("""COMPUTED_VALUE"""),"FIRMA DEL PROFESOR")</f>
        <v>FIRMA DEL PROFESOR</v>
      </c>
      <c r="G65" s="162"/>
      <c r="H65" s="166" t="str">
        <f>IFERROR(__xludf.DUMMYFUNCTION("""COMPUTED_VALUE"""),"FIRMA DEL ORIENTADOR")</f>
        <v>FIRMA DEL ORIENTADOR</v>
      </c>
      <c r="J65" s="167" t="str">
        <f>IFERROR(__xludf.DUMMYFUNCTION("""COMPUTED_VALUE"""),"Vo. Bo. SUBDIRECCIÓN ESCOLAR")</f>
        <v>Vo. Bo. SUBDIRECCIÓN ESCOLAR</v>
      </c>
      <c r="K65" s="168" t="str">
        <f>IFERROR(__xludf.DUMMYFUNCTION("""COMPUTED_VALUE"""),"REVISADO POR SECRETARIA ESCOLAR ")</f>
        <v>REVISADO POR SECRETARIA ESCOLAR </v>
      </c>
      <c r="L65" s="16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"/>
    </row>
    <row r="66" ht="24.75" customHeight="1">
      <c r="A66" s="119"/>
      <c r="B66" s="169" t="str">
        <f>IFERROR(__xludf.DUMMYFUNCTION("""COMPUTED_VALUE"""),"BAJAS DURANTE EL SEMESTRE")</f>
        <v>BAJAS DURANTE EL SEMESTRE</v>
      </c>
      <c r="C66" s="79"/>
      <c r="D66" s="202">
        <f>IFERROR(__xludf.DUMMYFUNCTION("""COMPUTED_VALUE"""),0.0)</f>
        <v>0</v>
      </c>
      <c r="E66" s="162"/>
      <c r="G66" s="162"/>
      <c r="K66" s="10"/>
      <c r="L66" s="16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"/>
    </row>
    <row r="67" ht="24.75" customHeight="1">
      <c r="A67" s="119"/>
      <c r="B67" s="169" t="str">
        <f>IFERROR(__xludf.DUMMYFUNCTION("""COMPUTED_VALUE"""),"EXISTENCIA")</f>
        <v>EXISTENCIA</v>
      </c>
      <c r="C67" s="79"/>
      <c r="D67" s="177">
        <f>IFERROR(__xludf.DUMMYFUNCTION("""COMPUTED_VALUE"""),47.0)</f>
        <v>47</v>
      </c>
      <c r="E67" s="162"/>
      <c r="F67" s="162"/>
      <c r="G67" s="162"/>
      <c r="H67" s="162"/>
      <c r="I67" s="130"/>
      <c r="J67" s="163"/>
      <c r="K67" s="126"/>
      <c r="L67" s="16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"/>
    </row>
    <row r="68" ht="24.75" customHeight="1">
      <c r="A68" s="119"/>
      <c r="B68" s="169" t="str">
        <f>IFERROR(__xludf.DUMMYFUNCTION("""COMPUTED_VALUE"""),"No. DE ALUMNOS APROBADOS")</f>
        <v>No. DE ALUMNOS APROBADOS</v>
      </c>
      <c r="C68" s="79"/>
      <c r="D68" s="172">
        <f>IFERROR(__xludf.DUMMYFUNCTION("""COMPUTED_VALUE"""),46.0)</f>
        <v>46</v>
      </c>
      <c r="E68" s="162"/>
      <c r="F68" s="162"/>
      <c r="G68" s="162"/>
      <c r="H68" s="162"/>
      <c r="I68" s="130"/>
      <c r="J68" s="163"/>
      <c r="K68" s="126"/>
      <c r="L68" s="16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"/>
    </row>
    <row r="69" ht="13.5" customHeight="1">
      <c r="A69" s="119"/>
      <c r="B69" s="169" t="str">
        <f>IFERROR(__xludf.DUMMYFUNCTION("""COMPUTED_VALUE"""),"No. DE ALUMNOS REPROBADOS")</f>
        <v>No. DE ALUMNOS REPROBADOS</v>
      </c>
      <c r="C69" s="79"/>
      <c r="D69" s="172">
        <f>IFERROR(__xludf.DUMMYFUNCTION("""COMPUTED_VALUE"""),1.0)</f>
        <v>1</v>
      </c>
      <c r="E69" s="130"/>
      <c r="F69" s="173"/>
      <c r="G69" s="125"/>
      <c r="H69" s="173"/>
      <c r="I69" s="173"/>
      <c r="J69" s="174"/>
      <c r="K69" s="175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"/>
    </row>
    <row r="70" ht="21.75" customHeight="1">
      <c r="A70" s="176"/>
      <c r="B70" s="169" t="str">
        <f>IFERROR(__xludf.DUMMYFUNCTION("""COMPUTED_VALUE"""),"% DE APROBADOS")</f>
        <v>% DE APROBADOS</v>
      </c>
      <c r="C70" s="79"/>
      <c r="D70" s="177">
        <f>IFERROR(__xludf.DUMMYFUNCTION("""COMPUTED_VALUE"""),97.87234042553192)</f>
        <v>97.87234043</v>
      </c>
      <c r="E70" s="125"/>
      <c r="F70" s="178" t="str">
        <f>IFERROR(__xludf.DUMMYFUNCTION("""COMPUTED_VALUE"""),"PROFR. ROSARIO CALZADA GASPAR")</f>
        <v>PROFR. ROSARIO CALZADA GASPAR</v>
      </c>
      <c r="G70" s="128"/>
      <c r="H70" s="179" t="str">
        <f>IFERROR(__xludf.DUMMYFUNCTION("""COMPUTED_VALUE"""),"PROFA. JUANA RANGEL PALACIOS")</f>
        <v>PROFA. JUANA RANGEL PALACIOS</v>
      </c>
      <c r="J70" s="180" t="str">
        <f>IFERROR(__xludf.DUMMYFUNCTION("""COMPUTED_VALUE"""),"PROFR. OCTAVIO VÁZQUEZ BARRETO")</f>
        <v>PROFR. OCTAVIO VÁZQUEZ BARRETO</v>
      </c>
      <c r="K70" s="181" t="str">
        <f>IFERROR(__xludf.DUMMYFUNCTION("""COMPUTED_VALUE"""),"PROFR. ROBERTO PALOMARES MEJÍA ")</f>
        <v>PROFR. ROBERTO PALOMARES MEJÍA </v>
      </c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"/>
    </row>
    <row r="71" ht="21.75" customHeight="1">
      <c r="A71" s="176"/>
      <c r="B71" s="182" t="str">
        <f>IFERROR(__xludf.DUMMYFUNCTION("""COMPUTED_VALUE"""),"PROMEDIO")</f>
        <v>PROMEDIO</v>
      </c>
      <c r="C71" s="97"/>
      <c r="D71" s="183">
        <f>IFERROR(__xludf.DUMMYFUNCTION("""COMPUTED_VALUE"""),9.148936170212766)</f>
        <v>9.14893617</v>
      </c>
      <c r="E71" s="125"/>
      <c r="G71" s="128"/>
      <c r="K71" s="10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"/>
    </row>
    <row r="72" ht="21.75" customHeight="1">
      <c r="A72" s="184"/>
      <c r="B72" s="119"/>
      <c r="C72" s="119"/>
      <c r="D72" s="119"/>
      <c r="E72" s="119"/>
      <c r="F72" s="119"/>
      <c r="G72" s="119"/>
      <c r="H72" s="119"/>
      <c r="I72" s="119"/>
      <c r="J72" s="119"/>
      <c r="K72" s="126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"/>
    </row>
    <row r="73" ht="21.75" customHeight="1">
      <c r="A73" s="185"/>
      <c r="B73" s="186"/>
      <c r="C73" s="187"/>
      <c r="D73" s="188"/>
      <c r="E73" s="125"/>
      <c r="G73" s="125"/>
      <c r="H73" s="125"/>
      <c r="I73" s="125"/>
      <c r="J73" s="125"/>
      <c r="K73" s="189"/>
      <c r="L73" s="125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"/>
    </row>
    <row r="74" ht="21.75" customHeight="1">
      <c r="A74" s="190"/>
      <c r="B74" s="125"/>
      <c r="C74" s="125"/>
      <c r="D74" s="161"/>
      <c r="E74" s="125"/>
      <c r="F74" s="119"/>
      <c r="G74" s="119"/>
      <c r="H74" s="119"/>
      <c r="I74" s="119"/>
      <c r="J74" s="119"/>
      <c r="K74" s="126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"/>
    </row>
    <row r="75" ht="27.75" customHeight="1">
      <c r="A75" s="190"/>
      <c r="B75" s="125"/>
      <c r="C75" s="125"/>
      <c r="D75" s="191"/>
      <c r="E75" s="125"/>
      <c r="F75" s="192"/>
      <c r="G75" s="119"/>
      <c r="H75" s="192"/>
      <c r="I75" s="192"/>
      <c r="J75" s="192"/>
      <c r="K75" s="193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"/>
    </row>
    <row r="76" ht="21.75" customHeight="1">
      <c r="A76" s="194"/>
      <c r="B76" s="195"/>
      <c r="C76" s="195"/>
      <c r="D76" s="196"/>
      <c r="E76" s="197"/>
      <c r="F76" s="198"/>
      <c r="G76" s="199"/>
      <c r="H76" s="198"/>
      <c r="I76" s="198"/>
      <c r="J76" s="198"/>
      <c r="K76" s="200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"/>
    </row>
    <row r="77" ht="13.5" customHeight="1">
      <c r="A77" s="119"/>
      <c r="B77" s="125"/>
      <c r="C77" s="125"/>
      <c r="D77" s="125"/>
      <c r="E77" s="125"/>
      <c r="F77" s="119"/>
      <c r="G77" s="119"/>
      <c r="H77" s="119"/>
      <c r="I77" s="119"/>
      <c r="J77" s="128"/>
      <c r="K77" s="128"/>
      <c r="L77" s="128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"/>
    </row>
    <row r="78" ht="13.5" customHeight="1">
      <c r="A78" s="119"/>
      <c r="B78" s="125"/>
      <c r="C78" s="125"/>
      <c r="D78" s="125"/>
      <c r="E78" s="125"/>
      <c r="F78" s="119"/>
      <c r="G78" s="119"/>
      <c r="H78" s="119"/>
      <c r="I78" s="119"/>
      <c r="J78" s="128"/>
      <c r="K78" s="128"/>
      <c r="L78" s="12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"/>
    </row>
    <row r="79" ht="13.5" customHeight="1">
      <c r="A79" s="119"/>
      <c r="B79" s="125"/>
      <c r="C79" s="125"/>
      <c r="D79" s="125"/>
      <c r="E79" s="125"/>
      <c r="F79" s="119"/>
      <c r="G79" s="119"/>
      <c r="H79" s="119"/>
      <c r="I79" s="119"/>
      <c r="J79" s="128"/>
      <c r="K79" s="128"/>
      <c r="L79" s="12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"/>
    </row>
    <row r="80" ht="13.5" customHeight="1">
      <c r="A80" s="119"/>
      <c r="B80" s="125"/>
      <c r="C80" s="125"/>
      <c r="D80" s="125"/>
      <c r="E80" s="125"/>
      <c r="F80" s="119"/>
      <c r="G80" s="119"/>
      <c r="H80" s="119"/>
      <c r="I80" s="119"/>
      <c r="J80" s="128"/>
      <c r="K80" s="128"/>
      <c r="L80" s="12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"/>
    </row>
    <row r="81" ht="13.5" customHeight="1">
      <c r="A81" s="119"/>
      <c r="B81" s="125"/>
      <c r="C81" s="125"/>
      <c r="D81" s="125"/>
      <c r="E81" s="125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"/>
    </row>
    <row r="82" ht="14.25" customHeight="1">
      <c r="A82" s="119"/>
      <c r="B82" s="125"/>
      <c r="C82" s="125"/>
      <c r="D82" s="125"/>
      <c r="E82" s="125"/>
      <c r="F82" s="119"/>
      <c r="G82" s="119"/>
      <c r="H82" s="119"/>
      <c r="I82" s="119"/>
      <c r="J82" s="119"/>
      <c r="K82" s="163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"/>
    </row>
    <row r="83" ht="14.25" customHeight="1">
      <c r="A83" s="119"/>
      <c r="B83" s="125"/>
      <c r="C83" s="125"/>
      <c r="D83" s="125"/>
      <c r="E83" s="125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"/>
    </row>
    <row r="84" ht="14.25" customHeight="1">
      <c r="A84" s="119"/>
      <c r="B84" s="125"/>
      <c r="C84" s="125"/>
      <c r="D84" s="125"/>
      <c r="E84" s="12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"/>
    </row>
    <row r="85" ht="14.25" customHeight="1">
      <c r="A85" s="119"/>
      <c r="B85" s="125"/>
      <c r="C85" s="125"/>
      <c r="D85" s="125"/>
      <c r="E85" s="12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"/>
    </row>
    <row r="86" ht="14.25" customHeight="1">
      <c r="A86" s="119"/>
      <c r="B86" s="125"/>
      <c r="C86" s="125"/>
      <c r="D86" s="125"/>
      <c r="E86" s="12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"/>
    </row>
    <row r="87" ht="14.25" customHeight="1">
      <c r="A87" s="119"/>
      <c r="B87" s="125"/>
      <c r="C87" s="125"/>
      <c r="D87" s="125"/>
      <c r="E87" s="125"/>
      <c r="F87" s="119"/>
      <c r="G87" s="119"/>
      <c r="H87" s="119"/>
      <c r="I87" s="119"/>
      <c r="J87" s="119"/>
      <c r="K87" s="163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"/>
    </row>
    <row r="88" ht="14.25" customHeight="1">
      <c r="A88" s="119"/>
      <c r="B88" s="125"/>
      <c r="C88" s="125"/>
      <c r="D88" s="125"/>
      <c r="E88" s="125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"/>
    </row>
    <row r="89" ht="14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"/>
    </row>
    <row r="94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"/>
    </row>
    <row r="95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"/>
    </row>
    <row r="9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"/>
    </row>
    <row r="97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"/>
    </row>
    <row r="98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"/>
    </row>
    <row r="99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"/>
    </row>
    <row r="100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"/>
    </row>
    <row r="101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"/>
    </row>
    <row r="102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"/>
    </row>
    <row r="103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"/>
    </row>
    <row r="104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"/>
    </row>
    <row r="105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"/>
    </row>
    <row r="10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"/>
    </row>
    <row r="107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"/>
    </row>
    <row r="108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"/>
    </row>
    <row r="109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"/>
    </row>
    <row r="110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"/>
    </row>
    <row r="111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"/>
    </row>
    <row r="112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"/>
    </row>
    <row r="113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"/>
    </row>
    <row r="114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"/>
    </row>
    <row r="115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"/>
    </row>
    <row r="11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"/>
    </row>
    <row r="117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"/>
    </row>
    <row r="118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"/>
    </row>
    <row r="119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"/>
    </row>
    <row r="120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"/>
    </row>
    <row r="121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"/>
    </row>
    <row r="122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"/>
    </row>
    <row r="123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"/>
    </row>
    <row r="124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"/>
    </row>
    <row r="125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"/>
    </row>
    <row r="1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"/>
    </row>
    <row r="127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"/>
    </row>
    <row r="128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"/>
    </row>
    <row r="129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"/>
    </row>
    <row r="130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"/>
    </row>
    <row r="131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"/>
    </row>
    <row r="132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"/>
    </row>
    <row r="133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"/>
    </row>
    <row r="134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"/>
    </row>
    <row r="135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"/>
    </row>
    <row r="13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"/>
    </row>
    <row r="137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"/>
    </row>
    <row r="138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"/>
    </row>
    <row r="139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"/>
    </row>
    <row r="140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"/>
    </row>
    <row r="141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"/>
    </row>
    <row r="142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"/>
    </row>
    <row r="143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"/>
    </row>
    <row r="144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"/>
    </row>
    <row r="145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"/>
    </row>
    <row r="14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"/>
    </row>
    <row r="147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"/>
    </row>
    <row r="148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"/>
    </row>
    <row r="149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"/>
    </row>
    <row r="150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"/>
    </row>
    <row r="151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"/>
    </row>
    <row r="152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"/>
    </row>
    <row r="153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"/>
    </row>
    <row r="154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"/>
    </row>
    <row r="155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"/>
    </row>
    <row r="15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"/>
    </row>
    <row r="157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"/>
    </row>
    <row r="158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"/>
    </row>
    <row r="159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"/>
    </row>
    <row r="160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"/>
    </row>
    <row r="161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"/>
    </row>
    <row r="162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"/>
    </row>
    <row r="163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"/>
    </row>
    <row r="164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"/>
    </row>
    <row r="165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"/>
    </row>
    <row r="16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"/>
    </row>
    <row r="167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"/>
    </row>
    <row r="168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"/>
    </row>
    <row r="169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"/>
    </row>
    <row r="170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"/>
    </row>
    <row r="171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"/>
    </row>
    <row r="172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"/>
    </row>
    <row r="173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"/>
    </row>
    <row r="174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"/>
    </row>
    <row r="175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"/>
    </row>
    <row r="17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"/>
    </row>
    <row r="177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"/>
    </row>
    <row r="178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"/>
    </row>
    <row r="179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"/>
    </row>
    <row r="180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"/>
    </row>
    <row r="181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"/>
    </row>
    <row r="182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"/>
    </row>
    <row r="183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"/>
    </row>
    <row r="184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"/>
    </row>
    <row r="185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"/>
    </row>
    <row r="18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"/>
    </row>
    <row r="187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"/>
    </row>
    <row r="188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"/>
    </row>
    <row r="189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"/>
    </row>
    <row r="190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"/>
    </row>
    <row r="191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"/>
    </row>
    <row r="192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"/>
    </row>
    <row r="193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"/>
    </row>
    <row r="194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"/>
    </row>
    <row r="195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"/>
    </row>
    <row r="19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"/>
    </row>
    <row r="197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"/>
    </row>
    <row r="198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"/>
    </row>
    <row r="199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"/>
    </row>
    <row r="200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"/>
    </row>
    <row r="201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"/>
    </row>
    <row r="202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"/>
    </row>
    <row r="203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"/>
    </row>
    <row r="204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"/>
    </row>
    <row r="205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"/>
    </row>
    <row r="20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"/>
    </row>
    <row r="207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"/>
    </row>
    <row r="208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"/>
    </row>
    <row r="209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"/>
    </row>
    <row r="210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"/>
    </row>
    <row r="211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"/>
    </row>
    <row r="212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"/>
    </row>
    <row r="213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"/>
    </row>
    <row r="214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"/>
    </row>
    <row r="215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"/>
    </row>
    <row r="21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"/>
    </row>
    <row r="217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"/>
    </row>
    <row r="218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"/>
    </row>
    <row r="219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"/>
    </row>
    <row r="220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"/>
    </row>
    <row r="221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"/>
    </row>
    <row r="222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"/>
    </row>
    <row r="223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"/>
    </row>
    <row r="224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"/>
    </row>
    <row r="225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"/>
    </row>
    <row r="2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"/>
    </row>
    <row r="227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"/>
    </row>
    <row r="228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"/>
    </row>
    <row r="229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"/>
    </row>
    <row r="230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"/>
    </row>
    <row r="231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"/>
    </row>
    <row r="232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"/>
    </row>
    <row r="233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"/>
    </row>
    <row r="234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"/>
    </row>
    <row r="235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"/>
    </row>
    <row r="23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"/>
    </row>
    <row r="237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"/>
    </row>
    <row r="238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"/>
    </row>
    <row r="239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"/>
    </row>
    <row r="240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"/>
    </row>
    <row r="241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"/>
    </row>
    <row r="242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"/>
    </row>
    <row r="243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"/>
    </row>
    <row r="244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"/>
    </row>
    <row r="245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"/>
    </row>
    <row r="24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"/>
    </row>
    <row r="247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"/>
    </row>
    <row r="248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"/>
    </row>
    <row r="249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"/>
    </row>
    <row r="250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"/>
    </row>
    <row r="251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"/>
    </row>
    <row r="252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"/>
    </row>
    <row r="253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"/>
    </row>
    <row r="254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"/>
    </row>
    <row r="255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"/>
    </row>
    <row r="25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"/>
    </row>
    <row r="257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"/>
    </row>
    <row r="258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"/>
    </row>
    <row r="259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"/>
    </row>
    <row r="260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"/>
    </row>
    <row r="261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"/>
    </row>
    <row r="262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"/>
    </row>
    <row r="263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"/>
    </row>
    <row r="264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"/>
    </row>
    <row r="265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"/>
    </row>
    <row r="26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"/>
    </row>
    <row r="267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"/>
    </row>
    <row r="268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"/>
    </row>
    <row r="269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"/>
    </row>
    <row r="270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"/>
    </row>
    <row r="271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"/>
    </row>
    <row r="272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"/>
    </row>
    <row r="273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"/>
    </row>
    <row r="274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"/>
    </row>
    <row r="275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"/>
    </row>
    <row r="27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/>
    <row r="1011" ht="15.75" customHeight="1"/>
    <row r="1012" ht="15.75" customHeight="1"/>
    <row r="1013" ht="15.75" customHeight="1"/>
    <row r="1014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8 K18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19" t="str">
        <f>IFERROR(__xludf.DUMMYFUNCTION("IMPORTRANGE(""https://docs.google.com/spreadsheets/d/19tMSH2UXNSY1VoWpC5BT8xRWr5RVfNGLLZNe6BC1dj4/edit?gid=805543490#gid=805543490"",""2-3 temas selectos de igualdad y derechos humanos !a1:q85"")"),"")</f>
        <v/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"/>
    </row>
    <row r="2" ht="15.0" customHeight="1">
      <c r="A2" s="120"/>
      <c r="B2" s="121"/>
      <c r="C2" s="121"/>
      <c r="D2" s="121"/>
      <c r="E2" s="122"/>
      <c r="F2" s="122"/>
      <c r="G2" s="122"/>
      <c r="H2" s="122"/>
      <c r="I2" s="122"/>
      <c r="J2" s="122"/>
      <c r="K2" s="123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"/>
    </row>
    <row r="3" ht="15.0" customHeight="1">
      <c r="A3" s="124"/>
      <c r="B3" s="125"/>
      <c r="C3" s="125"/>
      <c r="D3" s="125"/>
      <c r="E3" s="119"/>
      <c r="F3" s="119"/>
      <c r="G3" s="119"/>
      <c r="H3" s="119"/>
      <c r="I3" s="119"/>
      <c r="J3" s="119"/>
      <c r="K3" s="126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"/>
    </row>
    <row r="4" ht="15.0" customHeight="1">
      <c r="A4" s="124"/>
      <c r="B4" s="125"/>
      <c r="C4" s="125"/>
      <c r="D4" s="125"/>
      <c r="E4" s="119"/>
      <c r="F4" s="119"/>
      <c r="G4" s="119"/>
      <c r="H4" s="119"/>
      <c r="I4" s="119"/>
      <c r="J4" s="119"/>
      <c r="K4" s="126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"/>
    </row>
    <row r="5" ht="15.0" customHeight="1">
      <c r="A5" s="124"/>
      <c r="B5" s="125"/>
      <c r="C5" s="125"/>
      <c r="D5" s="125"/>
      <c r="E5" s="119"/>
      <c r="F5" s="119"/>
      <c r="G5" s="119"/>
      <c r="H5" s="119"/>
      <c r="I5" s="119"/>
      <c r="J5" s="119"/>
      <c r="K5" s="12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"/>
    </row>
    <row r="6" ht="15.0" customHeight="1">
      <c r="A6" s="124"/>
      <c r="B6" s="125"/>
      <c r="C6" s="125"/>
      <c r="D6" s="125"/>
      <c r="E6" s="119"/>
      <c r="F6" s="119"/>
      <c r="G6" s="119"/>
      <c r="H6" s="119"/>
      <c r="I6" s="119"/>
      <c r="J6" s="119"/>
      <c r="K6" s="126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"/>
    </row>
    <row r="7" ht="15.0" customHeight="1">
      <c r="A7" s="124"/>
      <c r="B7" s="125"/>
      <c r="C7" s="125"/>
      <c r="D7" s="125"/>
      <c r="E7" s="119"/>
      <c r="F7" s="119"/>
      <c r="G7" s="119"/>
      <c r="H7" s="119"/>
      <c r="I7" s="119"/>
      <c r="J7" s="119"/>
      <c r="K7" s="126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"/>
    </row>
    <row r="8" ht="9.75" customHeight="1">
      <c r="A8" s="124"/>
      <c r="B8" s="125"/>
      <c r="C8" s="125"/>
      <c r="D8" s="125"/>
      <c r="E8" s="119"/>
      <c r="F8" s="119"/>
      <c r="G8" s="119"/>
      <c r="H8" s="119"/>
      <c r="I8" s="119"/>
      <c r="J8" s="119"/>
      <c r="K8" s="126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"/>
    </row>
    <row r="9" ht="23.25" customHeight="1">
      <c r="A9" s="127" t="str">
        <f>IFERROR(__xludf.DUMMYFUNCTION("""COMPUTED_VALUE"""),"ESCUELA PREPARATORIA OFICIAL NÚM. 67")</f>
        <v>ESCUELA PREPARATORIA OFICIAL NÚM. 67</v>
      </c>
      <c r="K9" s="10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"/>
    </row>
    <row r="10" ht="9.75" customHeight="1">
      <c r="A10" s="124"/>
      <c r="B10" s="125"/>
      <c r="C10" s="125"/>
      <c r="D10" s="125"/>
      <c r="E10" s="128"/>
      <c r="K10" s="10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"/>
    </row>
    <row r="11" ht="19.5" customHeight="1">
      <c r="A11" s="124"/>
      <c r="B11" s="129" t="str">
        <f>IFERROR(__xludf.DUMMYFUNCTION("""COMPUTED_VALUE"""),"CONTROL PRIMER PARCIAL ")</f>
        <v>CONTROL PRIMER PARCIAL </v>
      </c>
      <c r="C11" s="130"/>
      <c r="D11" s="130"/>
      <c r="E11" s="119"/>
      <c r="F11" s="119"/>
      <c r="G11" s="119"/>
      <c r="H11" s="119"/>
      <c r="I11" s="119"/>
      <c r="J11" s="119"/>
      <c r="K11" s="12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"/>
    </row>
    <row r="12" ht="12.75" customHeight="1">
      <c r="A12" s="124"/>
      <c r="B12" s="125"/>
      <c r="C12" s="125"/>
      <c r="D12" s="125"/>
      <c r="E12" s="119"/>
      <c r="F12" s="119"/>
      <c r="G12" s="119"/>
      <c r="H12" s="119"/>
      <c r="I12" s="119"/>
      <c r="J12" s="119"/>
      <c r="K12" s="12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"/>
    </row>
    <row r="13" ht="32.25" customHeight="1">
      <c r="A13" s="131" t="str">
        <f>IFERROR(__xludf.DUMMYFUNCTION("""COMPUTED_VALUE"""),"PROFESOR (A): ")</f>
        <v>PROFESOR (A): </v>
      </c>
      <c r="B13" s="17"/>
      <c r="C13" s="132" t="str">
        <f>IFERROR(__xludf.DUMMYFUNCTION("""COMPUTED_VALUE"""),"ALEJANDRA GONZÁLEZ CORTÉS")</f>
        <v>ALEJANDRA GONZÁLEZ CORTÉS</v>
      </c>
      <c r="D13" s="17"/>
      <c r="E13" s="133" t="str">
        <f>IFERROR(__xludf.DUMMYFUNCTION("""COMPUTED_VALUE"""),"II")</f>
        <v>II</v>
      </c>
      <c r="F13" s="133" t="str">
        <f>IFERROR(__xludf.DUMMYFUNCTION("""COMPUTED_VALUE"""),"III")</f>
        <v>III</v>
      </c>
      <c r="G13" s="134" t="str">
        <f>IFERROR(__xludf.DUMMYFUNCTION("""COMPUTED_VALUE"""),"PUNTAJE EXTRA")</f>
        <v>PUNTAJE EXTRA</v>
      </c>
      <c r="H13" s="135">
        <f>IFERROR(__xludf.DUMMYFUNCTION("""COMPUTED_VALUE"""),1.0)</f>
        <v>1</v>
      </c>
      <c r="I13" s="22" t="str">
        <f>IFERROR(__xludf.DUMMYFUNCTION("""COMPUTED_VALUE"""),"CUARTO SEMESTRE
MATUTINO")</f>
        <v>CUARTO SEMESTRE
MATUTINO</v>
      </c>
      <c r="J13" s="23"/>
      <c r="K13" s="24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"/>
    </row>
    <row r="14" ht="35.25" customHeight="1">
      <c r="A14" s="136" t="str">
        <f>IFERROR(__xludf.DUMMYFUNCTION("""COMPUTED_VALUE"""),"UAC")</f>
        <v>UAC</v>
      </c>
      <c r="B14" s="137" t="str">
        <f>IFERROR(__xludf.DUMMYFUNCTION("""COMPUTED_VALUE"""),"TEMAS SELECTOS DE IGUALDAD Y DERECHOS HUMANOS IV")</f>
        <v>TEMAS SELECTOS DE IGUALDAD Y DERECHOS HUMANOS IV</v>
      </c>
      <c r="C14" s="27"/>
      <c r="D14" s="28"/>
      <c r="E14" s="138" t="str">
        <f>IFERROR(__xludf.DUMMYFUNCTION("""COMPUTED_VALUE"""),"Evaluación continua 80%")</f>
        <v>Evaluación continua 80%</v>
      </c>
      <c r="F14" s="139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"/>
    </row>
    <row r="15" ht="24.75" customHeight="1">
      <c r="A15" s="140" t="str">
        <f>IFERROR(__xludf.DUMMYFUNCTION("""COMPUTED_VALUE"""),"GRADO")</f>
        <v>GRADO</v>
      </c>
      <c r="B15" s="141" t="str">
        <f>IFERROR(__xludf.DUMMYFUNCTION("""COMPUTED_VALUE"""),"2°")</f>
        <v>2°</v>
      </c>
      <c r="C15" s="142" t="str">
        <f>IFERROR(__xludf.DUMMYFUNCTION("""COMPUTED_VALUE"""),"GRUPO")</f>
        <v>GRUPO</v>
      </c>
      <c r="D15" s="143">
        <f>IFERROR(__xludf.DUMMYFUNCTION("""COMPUTED_VALUE"""),3.0)</f>
        <v>3</v>
      </c>
      <c r="E15" s="32"/>
      <c r="F15" s="32"/>
      <c r="G15" s="39"/>
      <c r="H15" s="144"/>
      <c r="I15" s="145"/>
      <c r="J15" s="27"/>
      <c r="K15" s="42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"/>
    </row>
    <row r="16" ht="40.5" customHeight="1">
      <c r="A16" s="146" t="str">
        <f>IFERROR(__xludf.DUMMYFUNCTION("""COMPUTED_VALUE"""),"No.")</f>
        <v>No.</v>
      </c>
      <c r="B16" s="147" t="str">
        <f>IFERROR(__xludf.DUMMYFUNCTION("""COMPUTED_VALUE"""),"NOMBRE DEL ALUMNO")</f>
        <v>NOMBRE DEL ALUMNO</v>
      </c>
      <c r="C16" s="27"/>
      <c r="D16" s="28"/>
      <c r="E16" s="46"/>
      <c r="F16" s="46"/>
      <c r="G16" s="148"/>
      <c r="H16" s="149" t="str">
        <f>IFERROR(__xludf.DUMMYFUNCTION("""COMPUTED_VALUE"""),"Suma")</f>
        <v>Suma</v>
      </c>
      <c r="I16" s="150" t="str">
        <f>IFERROR(__xludf.DUMMYFUNCTION("""COMPUTED_VALUE"""),"Faltas")</f>
        <v>Faltas</v>
      </c>
      <c r="J16" s="150" t="str">
        <f>IFERROR(__xludf.DUMMYFUNCTION("""COMPUTED_VALUE"""),"Calificación Definitiva")</f>
        <v>Calificación Definitiva</v>
      </c>
      <c r="K16" s="151" t="str">
        <f>IFERROR(__xludf.DUMMYFUNCTION("""COMPUTED_VALUE"""),"FIRMA")</f>
        <v>FIRMA</v>
      </c>
      <c r="L16" s="150" t="str">
        <f>IFERROR(__xludf.DUMMYFUNCTION("""COMPUTED_VALUE"""),"Calificación Definitiva")</f>
        <v>Calificación Definitiva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"/>
    </row>
    <row r="17" ht="24.75" customHeight="1">
      <c r="A17" s="152">
        <f>IFERROR(__xludf.DUMMYFUNCTION("""COMPUTED_VALUE"""),1.0)</f>
        <v>1</v>
      </c>
      <c r="B17" s="52" t="str">
        <f>IFERROR(__xludf.DUMMYFUNCTION("""COMPUTED_VALUE"""),"ACUÑA")</f>
        <v>ACUÑA</v>
      </c>
      <c r="C17" s="52" t="str">
        <f>IFERROR(__xludf.DUMMYFUNCTION("""COMPUTED_VALUE"""),"RAMIREZ")</f>
        <v>RAMIREZ</v>
      </c>
      <c r="D17" s="53" t="str">
        <f>IFERROR(__xludf.DUMMYFUNCTION("""COMPUTED_VALUE"""),"ALLISON MALILLANY")</f>
        <v>ALLISON MALILLANY</v>
      </c>
      <c r="E17" s="153">
        <f>IFERROR(__xludf.DUMMYFUNCTION("""COMPUTED_VALUE"""),8.0)</f>
        <v>8</v>
      </c>
      <c r="F17" s="153">
        <f>IFERROR(__xludf.DUMMYFUNCTION("""COMPUTED_VALUE"""),1.8)</f>
        <v>1.8</v>
      </c>
      <c r="G17" s="153"/>
      <c r="H17" s="154">
        <f>IFERROR(__xludf.DUMMYFUNCTION("""COMPUTED_VALUE"""),9.8)</f>
        <v>9.8</v>
      </c>
      <c r="I17" s="155">
        <f>IFERROR(__xludf.DUMMYFUNCTION("""COMPUTED_VALUE"""),0.0)</f>
        <v>0</v>
      </c>
      <c r="J17" s="156">
        <f>IFERROR(__xludf.DUMMYFUNCTION("""COMPUTED_VALUE"""),10.0)</f>
        <v>10</v>
      </c>
      <c r="K17" s="157"/>
      <c r="L17" s="158">
        <f>IFERROR(__xludf.DUMMYFUNCTION("""COMPUTED_VALUE"""),10.0)</f>
        <v>10</v>
      </c>
      <c r="M17" s="119" t="str">
        <f>IFERROR(__xludf.DUMMYFUNCTION("""COMPUTED_VALUE"""),"HORAS IMPARTIDAS")</f>
        <v>HORAS IMPARTIDAS</v>
      </c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"/>
    </row>
    <row r="18" ht="24.75" customHeight="1">
      <c r="A18" s="152">
        <f>IFERROR(__xludf.DUMMYFUNCTION("""COMPUTED_VALUE"""),2.0)</f>
        <v>2</v>
      </c>
      <c r="B18" s="61" t="str">
        <f>IFERROR(__xludf.DUMMYFUNCTION("""COMPUTED_VALUE"""),"ALCANTARA")</f>
        <v>ALCANTARA</v>
      </c>
      <c r="C18" s="62" t="str">
        <f>IFERROR(__xludf.DUMMYFUNCTION("""COMPUTED_VALUE"""),"HERNANDEZ")</f>
        <v>HERNANDEZ</v>
      </c>
      <c r="D18" s="63" t="str">
        <f>IFERROR(__xludf.DUMMYFUNCTION("""COMPUTED_VALUE"""),"SANTIAGO EFRAIN")</f>
        <v>SANTIAGO EFRAIN</v>
      </c>
      <c r="E18" s="153">
        <f>IFERROR(__xludf.DUMMYFUNCTION("""COMPUTED_VALUE"""),8.0)</f>
        <v>8</v>
      </c>
      <c r="F18" s="153">
        <f>IFERROR(__xludf.DUMMYFUNCTION("""COMPUTED_VALUE"""),2.0)</f>
        <v>2</v>
      </c>
      <c r="G18" s="153"/>
      <c r="H18" s="154">
        <f>IFERROR(__xludf.DUMMYFUNCTION("""COMPUTED_VALUE"""),10.0)</f>
        <v>10</v>
      </c>
      <c r="I18" s="155">
        <f>IFERROR(__xludf.DUMMYFUNCTION("""COMPUTED_VALUE"""),0.0)</f>
        <v>0</v>
      </c>
      <c r="J18" s="156">
        <f>IFERROR(__xludf.DUMMYFUNCTION("""COMPUTED_VALUE"""),10.0)</f>
        <v>10</v>
      </c>
      <c r="K18" s="155"/>
      <c r="L18" s="158">
        <f>IFERROR(__xludf.DUMMYFUNCTION("""COMPUTED_VALUE"""),10.0)</f>
        <v>10</v>
      </c>
      <c r="M18" s="119" t="str">
        <f>IFERROR(__xludf.DUMMYFUNCTION("""COMPUTED_VALUE"""),"Febrero")</f>
        <v>Febrero</v>
      </c>
      <c r="N18" s="119">
        <f>IFERROR(__xludf.DUMMYFUNCTION("""COMPUTED_VALUE"""),2.0)</f>
        <v>2</v>
      </c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"/>
    </row>
    <row r="19" ht="24.75" customHeight="1">
      <c r="A19" s="152">
        <f>IFERROR(__xludf.DUMMYFUNCTION("""COMPUTED_VALUE"""),3.0)</f>
        <v>3</v>
      </c>
      <c r="B19" s="61" t="str">
        <f>IFERROR(__xludf.DUMMYFUNCTION("""COMPUTED_VALUE"""),"ALEMAN")</f>
        <v>ALEMAN</v>
      </c>
      <c r="C19" s="62" t="str">
        <f>IFERROR(__xludf.DUMMYFUNCTION("""COMPUTED_VALUE"""),"GONZALEZ")</f>
        <v>GONZALEZ</v>
      </c>
      <c r="D19" s="63" t="str">
        <f>IFERROR(__xludf.DUMMYFUNCTION("""COMPUTED_VALUE"""),"JAIME")</f>
        <v>JAIME</v>
      </c>
      <c r="E19" s="153">
        <f>IFERROR(__xludf.DUMMYFUNCTION("""COMPUTED_VALUE"""),8.0)</f>
        <v>8</v>
      </c>
      <c r="F19" s="153">
        <f>IFERROR(__xludf.DUMMYFUNCTION("""COMPUTED_VALUE"""),8.0)</f>
        <v>8</v>
      </c>
      <c r="G19" s="153"/>
      <c r="H19" s="154">
        <f>IFERROR(__xludf.DUMMYFUNCTION("""COMPUTED_VALUE"""),16.0)</f>
        <v>16</v>
      </c>
      <c r="I19" s="155">
        <f>IFERROR(__xludf.DUMMYFUNCTION("""COMPUTED_VALUE"""),0.0)</f>
        <v>0</v>
      </c>
      <c r="J19" s="156">
        <f>IFERROR(__xludf.DUMMYFUNCTION("""COMPUTED_VALUE"""),10.0)</f>
        <v>10</v>
      </c>
      <c r="K19" s="155"/>
      <c r="L19" s="158">
        <f>IFERROR(__xludf.DUMMYFUNCTION("""COMPUTED_VALUE"""),16.0)</f>
        <v>16</v>
      </c>
      <c r="M19" s="119" t="str">
        <f>IFERROR(__xludf.DUMMYFUNCTION("""COMPUTED_VALUE"""),"Marzo")</f>
        <v>Marzo</v>
      </c>
      <c r="N19" s="119">
        <f>IFERROR(__xludf.DUMMYFUNCTION("""COMPUTED_VALUE"""),3.0)</f>
        <v>3</v>
      </c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"/>
    </row>
    <row r="20" ht="24.75" customHeight="1">
      <c r="A20" s="152">
        <f>IFERROR(__xludf.DUMMYFUNCTION("""COMPUTED_VALUE"""),4.0)</f>
        <v>4</v>
      </c>
      <c r="B20" s="61" t="str">
        <f>IFERROR(__xludf.DUMMYFUNCTION("""COMPUTED_VALUE"""),"ANAYA")</f>
        <v>ANAYA</v>
      </c>
      <c r="C20" s="62" t="str">
        <f>IFERROR(__xludf.DUMMYFUNCTION("""COMPUTED_VALUE"""),"ESPINOZA")</f>
        <v>ESPINOZA</v>
      </c>
      <c r="D20" s="63" t="str">
        <f>IFERROR(__xludf.DUMMYFUNCTION("""COMPUTED_VALUE"""),"VICTOR SANTIAGO")</f>
        <v>VICTOR SANTIAGO</v>
      </c>
      <c r="E20" s="153">
        <f>IFERROR(__xludf.DUMMYFUNCTION("""COMPUTED_VALUE"""),8.0)</f>
        <v>8</v>
      </c>
      <c r="F20" s="153">
        <f>IFERROR(__xludf.DUMMYFUNCTION("""COMPUTED_VALUE"""),2.0)</f>
        <v>2</v>
      </c>
      <c r="G20" s="153"/>
      <c r="H20" s="154">
        <f>IFERROR(__xludf.DUMMYFUNCTION("""COMPUTED_VALUE"""),10.0)</f>
        <v>10</v>
      </c>
      <c r="I20" s="155">
        <f>IFERROR(__xludf.DUMMYFUNCTION("""COMPUTED_VALUE"""),0.0)</f>
        <v>0</v>
      </c>
      <c r="J20" s="156">
        <f>IFERROR(__xludf.DUMMYFUNCTION("""COMPUTED_VALUE"""),10.0)</f>
        <v>10</v>
      </c>
      <c r="K20" s="155"/>
      <c r="L20" s="158">
        <f>IFERROR(__xludf.DUMMYFUNCTION("""COMPUTED_VALUE"""),10.0)</f>
        <v>10</v>
      </c>
      <c r="M20" s="119" t="str">
        <f>IFERROR(__xludf.DUMMYFUNCTION("""COMPUTED_VALUE"""),"Abril")</f>
        <v>Abril</v>
      </c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"/>
    </row>
    <row r="21" ht="24.75" customHeight="1">
      <c r="A21" s="152">
        <f>IFERROR(__xludf.DUMMYFUNCTION("""COMPUTED_VALUE"""),5.0)</f>
        <v>5</v>
      </c>
      <c r="B21" s="61" t="str">
        <f>IFERROR(__xludf.DUMMYFUNCTION("""COMPUTED_VALUE"""),"ARECHAVALA")</f>
        <v>ARECHAVALA</v>
      </c>
      <c r="C21" s="62" t="str">
        <f>IFERROR(__xludf.DUMMYFUNCTION("""COMPUTED_VALUE"""),"ESPARZA")</f>
        <v>ESPARZA</v>
      </c>
      <c r="D21" s="63" t="str">
        <f>IFERROR(__xludf.DUMMYFUNCTION("""COMPUTED_VALUE"""),"REGINA")</f>
        <v>REGINA</v>
      </c>
      <c r="E21" s="153">
        <f>IFERROR(__xludf.DUMMYFUNCTION("""COMPUTED_VALUE"""),8.0)</f>
        <v>8</v>
      </c>
      <c r="F21" s="153">
        <f>IFERROR(__xludf.DUMMYFUNCTION("""COMPUTED_VALUE"""),2.0)</f>
        <v>2</v>
      </c>
      <c r="G21" s="153"/>
      <c r="H21" s="154">
        <f>IFERROR(__xludf.DUMMYFUNCTION("""COMPUTED_VALUE"""),10.0)</f>
        <v>10</v>
      </c>
      <c r="I21" s="155">
        <f>IFERROR(__xludf.DUMMYFUNCTION("""COMPUTED_VALUE"""),0.0)</f>
        <v>0</v>
      </c>
      <c r="J21" s="156">
        <f>IFERROR(__xludf.DUMMYFUNCTION("""COMPUTED_VALUE"""),10.0)</f>
        <v>10</v>
      </c>
      <c r="K21" s="155"/>
      <c r="L21" s="158">
        <f>IFERROR(__xludf.DUMMYFUNCTION("""COMPUTED_VALUE"""),10.0)</f>
        <v>10</v>
      </c>
      <c r="M21" s="119" t="str">
        <f>IFERROR(__xludf.DUMMYFUNCTION("""COMPUTED_VALUE"""),"Junio")</f>
        <v>Junio</v>
      </c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"/>
    </row>
    <row r="22" ht="24.75" customHeight="1">
      <c r="A22" s="152">
        <f>IFERROR(__xludf.DUMMYFUNCTION("""COMPUTED_VALUE"""),6.0)</f>
        <v>6</v>
      </c>
      <c r="B22" s="61" t="str">
        <f>IFERROR(__xludf.DUMMYFUNCTION("""COMPUTED_VALUE"""),"BOSQUES")</f>
        <v>BOSQUES</v>
      </c>
      <c r="C22" s="62" t="str">
        <f>IFERROR(__xludf.DUMMYFUNCTION("""COMPUTED_VALUE"""),"CONDE")</f>
        <v>CONDE</v>
      </c>
      <c r="D22" s="63" t="str">
        <f>IFERROR(__xludf.DUMMYFUNCTION("""COMPUTED_VALUE"""),"LUIS ABRAHAM")</f>
        <v>LUIS ABRAHAM</v>
      </c>
      <c r="E22" s="153">
        <f>IFERROR(__xludf.DUMMYFUNCTION("""COMPUTED_VALUE"""),7.2)</f>
        <v>7.2</v>
      </c>
      <c r="F22" s="153">
        <f>IFERROR(__xludf.DUMMYFUNCTION("""COMPUTED_VALUE"""),0.0)</f>
        <v>0</v>
      </c>
      <c r="G22" s="153"/>
      <c r="H22" s="154">
        <f>IFERROR(__xludf.DUMMYFUNCTION("""COMPUTED_VALUE"""),7.2)</f>
        <v>7.2</v>
      </c>
      <c r="I22" s="155">
        <f>IFERROR(__xludf.DUMMYFUNCTION("""COMPUTED_VALUE"""),0.0)</f>
        <v>0</v>
      </c>
      <c r="J22" s="156">
        <f>IFERROR(__xludf.DUMMYFUNCTION("""COMPUTED_VALUE"""),7.0)</f>
        <v>7</v>
      </c>
      <c r="K22" s="155"/>
      <c r="L22" s="158">
        <f>IFERROR(__xludf.DUMMYFUNCTION("""COMPUTED_VALUE"""),7.0)</f>
        <v>7</v>
      </c>
      <c r="M22" s="119" t="str">
        <f>IFERROR(__xludf.DUMMYFUNCTION("""COMPUTED_VALUE"""),"Julio")</f>
        <v>Julio</v>
      </c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"/>
    </row>
    <row r="23" ht="24.75" customHeight="1">
      <c r="A23" s="152">
        <f>IFERROR(__xludf.DUMMYFUNCTION("""COMPUTED_VALUE"""),7.0)</f>
        <v>7</v>
      </c>
      <c r="B23" s="61" t="str">
        <f>IFERROR(__xludf.DUMMYFUNCTION("""COMPUTED_VALUE"""),"CARRILLO")</f>
        <v>CARRILLO</v>
      </c>
      <c r="C23" s="62" t="str">
        <f>IFERROR(__xludf.DUMMYFUNCTION("""COMPUTED_VALUE"""),"CARBAJAL")</f>
        <v>CARBAJAL</v>
      </c>
      <c r="D23" s="63" t="str">
        <f>IFERROR(__xludf.DUMMYFUNCTION("""COMPUTED_VALUE"""),"DANIEL ALEXIS")</f>
        <v>DANIEL ALEXIS</v>
      </c>
      <c r="E23" s="153">
        <f>IFERROR(__xludf.DUMMYFUNCTION("""COMPUTED_VALUE"""),8.0)</f>
        <v>8</v>
      </c>
      <c r="F23" s="153">
        <f>IFERROR(__xludf.DUMMYFUNCTION("""COMPUTED_VALUE"""),1.8)</f>
        <v>1.8</v>
      </c>
      <c r="G23" s="153"/>
      <c r="H23" s="154">
        <f>IFERROR(__xludf.DUMMYFUNCTION("""COMPUTED_VALUE"""),9.8)</f>
        <v>9.8</v>
      </c>
      <c r="I23" s="155">
        <f>IFERROR(__xludf.DUMMYFUNCTION("""COMPUTED_VALUE"""),0.0)</f>
        <v>0</v>
      </c>
      <c r="J23" s="156">
        <f>IFERROR(__xludf.DUMMYFUNCTION("""COMPUTED_VALUE"""),10.0)</f>
        <v>10</v>
      </c>
      <c r="K23" s="155"/>
      <c r="L23" s="158">
        <f>IFERROR(__xludf.DUMMYFUNCTION("""COMPUTED_VALUE"""),10.0)</f>
        <v>10</v>
      </c>
      <c r="M23" s="119" t="str">
        <f>IFERROR(__xludf.DUMMYFUNCTION("""COMPUTED_VALUE"""),"TOTAL")</f>
        <v>TOTAL</v>
      </c>
      <c r="N23" s="119">
        <f>IFERROR(__xludf.DUMMYFUNCTION("""COMPUTED_VALUE"""),5.0)</f>
        <v>5</v>
      </c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"/>
    </row>
    <row r="24" ht="24.75" customHeight="1">
      <c r="A24" s="152">
        <f>IFERROR(__xludf.DUMMYFUNCTION("""COMPUTED_VALUE"""),8.0)</f>
        <v>8</v>
      </c>
      <c r="B24" s="61" t="str">
        <f>IFERROR(__xludf.DUMMYFUNCTION("""COMPUTED_VALUE"""),"CASTILLO")</f>
        <v>CASTILLO</v>
      </c>
      <c r="C24" s="62" t="str">
        <f>IFERROR(__xludf.DUMMYFUNCTION("""COMPUTED_VALUE"""),"REYES")</f>
        <v>REYES</v>
      </c>
      <c r="D24" s="63" t="str">
        <f>IFERROR(__xludf.DUMMYFUNCTION("""COMPUTED_VALUE"""),"GUSTAVO JULIAN")</f>
        <v>GUSTAVO JULIAN</v>
      </c>
      <c r="E24" s="153">
        <f>IFERROR(__xludf.DUMMYFUNCTION("""COMPUTED_VALUE"""),0.0)</f>
        <v>0</v>
      </c>
      <c r="F24" s="153">
        <f>IFERROR(__xludf.DUMMYFUNCTION("""COMPUTED_VALUE"""),1.8)</f>
        <v>1.8</v>
      </c>
      <c r="G24" s="153"/>
      <c r="H24" s="154">
        <f>IFERROR(__xludf.DUMMYFUNCTION("""COMPUTED_VALUE"""),1.8)</f>
        <v>1.8</v>
      </c>
      <c r="I24" s="155">
        <f>IFERROR(__xludf.DUMMYFUNCTION("""COMPUTED_VALUE"""),0.0)</f>
        <v>0</v>
      </c>
      <c r="J24" s="156">
        <f>IFERROR(__xludf.DUMMYFUNCTION("""COMPUTED_VALUE"""),5.0)</f>
        <v>5</v>
      </c>
      <c r="K24" s="155"/>
      <c r="L24" s="158">
        <f>IFERROR(__xludf.DUMMYFUNCTION("""COMPUTED_VALUE"""),1.0)</f>
        <v>1</v>
      </c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"/>
    </row>
    <row r="25" ht="24.75" customHeight="1">
      <c r="A25" s="152">
        <f>IFERROR(__xludf.DUMMYFUNCTION("""COMPUTED_VALUE"""),9.0)</f>
        <v>9</v>
      </c>
      <c r="B25" s="61" t="str">
        <f>IFERROR(__xludf.DUMMYFUNCTION("""COMPUTED_VALUE"""),"CERDA")</f>
        <v>CERDA</v>
      </c>
      <c r="C25" s="62" t="str">
        <f>IFERROR(__xludf.DUMMYFUNCTION("""COMPUTED_VALUE"""),"TOVAR")</f>
        <v>TOVAR</v>
      </c>
      <c r="D25" s="63" t="str">
        <f>IFERROR(__xludf.DUMMYFUNCTION("""COMPUTED_VALUE"""),"ANGEL JORELL")</f>
        <v>ANGEL JORELL</v>
      </c>
      <c r="E25" s="153">
        <f>IFERROR(__xludf.DUMMYFUNCTION("""COMPUTED_VALUE"""),0.0)</f>
        <v>0</v>
      </c>
      <c r="F25" s="153">
        <f>IFERROR(__xludf.DUMMYFUNCTION("""COMPUTED_VALUE"""),1.8)</f>
        <v>1.8</v>
      </c>
      <c r="G25" s="153"/>
      <c r="H25" s="154">
        <f>IFERROR(__xludf.DUMMYFUNCTION("""COMPUTED_VALUE"""),1.8)</f>
        <v>1.8</v>
      </c>
      <c r="I25" s="155">
        <f>IFERROR(__xludf.DUMMYFUNCTION("""COMPUTED_VALUE"""),0.0)</f>
        <v>0</v>
      </c>
      <c r="J25" s="156">
        <f>IFERROR(__xludf.DUMMYFUNCTION("""COMPUTED_VALUE"""),5.0)</f>
        <v>5</v>
      </c>
      <c r="K25" s="155"/>
      <c r="L25" s="158">
        <f>IFERROR(__xludf.DUMMYFUNCTION("""COMPUTED_VALUE"""),1.0)</f>
        <v>1</v>
      </c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"/>
    </row>
    <row r="26" ht="24.75" customHeight="1">
      <c r="A26" s="152">
        <f>IFERROR(__xludf.DUMMYFUNCTION("""COMPUTED_VALUE"""),10.0)</f>
        <v>10</v>
      </c>
      <c r="B26" s="61" t="str">
        <f>IFERROR(__xludf.DUMMYFUNCTION("""COMPUTED_VALUE"""),"CERVANTES")</f>
        <v>CERVANTES</v>
      </c>
      <c r="C26" s="62" t="str">
        <f>IFERROR(__xludf.DUMMYFUNCTION("""COMPUTED_VALUE"""),"CRISOSTOMO")</f>
        <v>CRISOSTOMO</v>
      </c>
      <c r="D26" s="64" t="str">
        <f>IFERROR(__xludf.DUMMYFUNCTION("""COMPUTED_VALUE"""),"SANTIAGO DAVID")</f>
        <v>SANTIAGO DAVID</v>
      </c>
      <c r="E26" s="153">
        <f>IFERROR(__xludf.DUMMYFUNCTION("""COMPUTED_VALUE"""),8.0)</f>
        <v>8</v>
      </c>
      <c r="F26" s="153">
        <f>IFERROR(__xludf.DUMMYFUNCTION("""COMPUTED_VALUE"""),0.0)</f>
        <v>0</v>
      </c>
      <c r="G26" s="153"/>
      <c r="H26" s="154">
        <f>IFERROR(__xludf.DUMMYFUNCTION("""COMPUTED_VALUE"""),8.0)</f>
        <v>8</v>
      </c>
      <c r="I26" s="155">
        <f>IFERROR(__xludf.DUMMYFUNCTION("""COMPUTED_VALUE"""),0.0)</f>
        <v>0</v>
      </c>
      <c r="J26" s="156">
        <f>IFERROR(__xludf.DUMMYFUNCTION("""COMPUTED_VALUE"""),8.0)</f>
        <v>8</v>
      </c>
      <c r="K26" s="155"/>
      <c r="L26" s="158">
        <f>IFERROR(__xludf.DUMMYFUNCTION("""COMPUTED_VALUE"""),8.0)</f>
        <v>8</v>
      </c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"/>
    </row>
    <row r="27" ht="24.75" customHeight="1">
      <c r="A27" s="152">
        <f>IFERROR(__xludf.DUMMYFUNCTION("""COMPUTED_VALUE"""),11.0)</f>
        <v>11</v>
      </c>
      <c r="B27" s="61" t="str">
        <f>IFERROR(__xludf.DUMMYFUNCTION("""COMPUTED_VALUE"""),"CORTEZ")</f>
        <v>CORTEZ</v>
      </c>
      <c r="C27" s="62" t="str">
        <f>IFERROR(__xludf.DUMMYFUNCTION("""COMPUTED_VALUE"""),"BAUTISTA")</f>
        <v>BAUTISTA</v>
      </c>
      <c r="D27" s="63" t="str">
        <f>IFERROR(__xludf.DUMMYFUNCTION("""COMPUTED_VALUE"""),"KAREN")</f>
        <v>KAREN</v>
      </c>
      <c r="E27" s="153">
        <f>IFERROR(__xludf.DUMMYFUNCTION("""COMPUTED_VALUE"""),8.0)</f>
        <v>8</v>
      </c>
      <c r="F27" s="153">
        <f>IFERROR(__xludf.DUMMYFUNCTION("""COMPUTED_VALUE"""),2.0)</f>
        <v>2</v>
      </c>
      <c r="G27" s="153"/>
      <c r="H27" s="154">
        <f>IFERROR(__xludf.DUMMYFUNCTION("""COMPUTED_VALUE"""),10.0)</f>
        <v>10</v>
      </c>
      <c r="I27" s="155">
        <f>IFERROR(__xludf.DUMMYFUNCTION("""COMPUTED_VALUE"""),0.0)</f>
        <v>0</v>
      </c>
      <c r="J27" s="156">
        <f>IFERROR(__xludf.DUMMYFUNCTION("""COMPUTED_VALUE"""),10.0)</f>
        <v>10</v>
      </c>
      <c r="K27" s="155"/>
      <c r="L27" s="158">
        <f>IFERROR(__xludf.DUMMYFUNCTION("""COMPUTED_VALUE"""),10.0)</f>
        <v>10</v>
      </c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"/>
    </row>
    <row r="28" ht="24.75" customHeight="1">
      <c r="A28" s="152">
        <f>IFERROR(__xludf.DUMMYFUNCTION("""COMPUTED_VALUE"""),12.0)</f>
        <v>12</v>
      </c>
      <c r="B28" s="61" t="str">
        <f>IFERROR(__xludf.DUMMYFUNCTION("""COMPUTED_VALUE"""),"DALVEZ")</f>
        <v>DALVEZ</v>
      </c>
      <c r="C28" s="62" t="str">
        <f>IFERROR(__xludf.DUMMYFUNCTION("""COMPUTED_VALUE"""),"PEÑA")</f>
        <v>PEÑA</v>
      </c>
      <c r="D28" s="63" t="str">
        <f>IFERROR(__xludf.DUMMYFUNCTION("""COMPUTED_VALUE"""),"SANTIAGO")</f>
        <v>SANTIAGO</v>
      </c>
      <c r="E28" s="153">
        <f>IFERROR(__xludf.DUMMYFUNCTION("""COMPUTED_VALUE"""),5.6)</f>
        <v>5.6</v>
      </c>
      <c r="F28" s="153">
        <f>IFERROR(__xludf.DUMMYFUNCTION("""COMPUTED_VALUE"""),2.0)</f>
        <v>2</v>
      </c>
      <c r="G28" s="153"/>
      <c r="H28" s="154">
        <f>IFERROR(__xludf.DUMMYFUNCTION("""COMPUTED_VALUE"""),7.6)</f>
        <v>7.6</v>
      </c>
      <c r="I28" s="155">
        <f>IFERROR(__xludf.DUMMYFUNCTION("""COMPUTED_VALUE"""),0.0)</f>
        <v>0</v>
      </c>
      <c r="J28" s="156">
        <f>IFERROR(__xludf.DUMMYFUNCTION("""COMPUTED_VALUE"""),8.0)</f>
        <v>8</v>
      </c>
      <c r="K28" s="155"/>
      <c r="L28" s="158">
        <f>IFERROR(__xludf.DUMMYFUNCTION("""COMPUTED_VALUE"""),8.0)</f>
        <v>8</v>
      </c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"/>
    </row>
    <row r="29" ht="24.75" customHeight="1">
      <c r="A29" s="152">
        <f>IFERROR(__xludf.DUMMYFUNCTION("""COMPUTED_VALUE"""),13.0)</f>
        <v>13</v>
      </c>
      <c r="B29" s="61" t="str">
        <f>IFERROR(__xludf.DUMMYFUNCTION("""COMPUTED_VALUE"""),"ESCAMILLA")</f>
        <v>ESCAMILLA</v>
      </c>
      <c r="C29" s="62" t="str">
        <f>IFERROR(__xludf.DUMMYFUNCTION("""COMPUTED_VALUE"""),"ESTRADA")</f>
        <v>ESTRADA</v>
      </c>
      <c r="D29" s="63" t="str">
        <f>IFERROR(__xludf.DUMMYFUNCTION("""COMPUTED_VALUE"""),"JOSUE ALEJANDRO")</f>
        <v>JOSUE ALEJANDRO</v>
      </c>
      <c r="E29" s="153">
        <f>IFERROR(__xludf.DUMMYFUNCTION("""COMPUTED_VALUE"""),8.0)</f>
        <v>8</v>
      </c>
      <c r="F29" s="153">
        <f>IFERROR(__xludf.DUMMYFUNCTION("""COMPUTED_VALUE"""),2.0)</f>
        <v>2</v>
      </c>
      <c r="G29" s="153"/>
      <c r="H29" s="154">
        <f>IFERROR(__xludf.DUMMYFUNCTION("""COMPUTED_VALUE"""),10.0)</f>
        <v>10</v>
      </c>
      <c r="I29" s="155">
        <f>IFERROR(__xludf.DUMMYFUNCTION("""COMPUTED_VALUE"""),0.0)</f>
        <v>0</v>
      </c>
      <c r="J29" s="156">
        <f>IFERROR(__xludf.DUMMYFUNCTION("""COMPUTED_VALUE"""),10.0)</f>
        <v>10</v>
      </c>
      <c r="K29" s="155"/>
      <c r="L29" s="158">
        <f>IFERROR(__xludf.DUMMYFUNCTION("""COMPUTED_VALUE"""),10.0)</f>
        <v>10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"/>
    </row>
    <row r="30" ht="24.75" customHeight="1">
      <c r="A30" s="152">
        <f>IFERROR(__xludf.DUMMYFUNCTION("""COMPUTED_VALUE"""),14.0)</f>
        <v>14</v>
      </c>
      <c r="B30" s="61" t="str">
        <f>IFERROR(__xludf.DUMMYFUNCTION("""COMPUTED_VALUE"""),"FLORES")</f>
        <v>FLORES</v>
      </c>
      <c r="C30" s="62" t="str">
        <f>IFERROR(__xludf.DUMMYFUNCTION("""COMPUTED_VALUE"""),"FLORES")</f>
        <v>FLORES</v>
      </c>
      <c r="D30" s="63" t="str">
        <f>IFERROR(__xludf.DUMMYFUNCTION("""COMPUTED_VALUE"""),"YESID XIMENA")</f>
        <v>YESID XIMENA</v>
      </c>
      <c r="E30" s="153">
        <f>IFERROR(__xludf.DUMMYFUNCTION("""COMPUTED_VALUE"""),8.0)</f>
        <v>8</v>
      </c>
      <c r="F30" s="153">
        <f>IFERROR(__xludf.DUMMYFUNCTION("""COMPUTED_VALUE"""),1.8)</f>
        <v>1.8</v>
      </c>
      <c r="G30" s="153"/>
      <c r="H30" s="154">
        <f>IFERROR(__xludf.DUMMYFUNCTION("""COMPUTED_VALUE"""),9.8)</f>
        <v>9.8</v>
      </c>
      <c r="I30" s="155">
        <f>IFERROR(__xludf.DUMMYFUNCTION("""COMPUTED_VALUE"""),0.0)</f>
        <v>0</v>
      </c>
      <c r="J30" s="156">
        <f>IFERROR(__xludf.DUMMYFUNCTION("""COMPUTED_VALUE"""),10.0)</f>
        <v>10</v>
      </c>
      <c r="K30" s="155"/>
      <c r="L30" s="158">
        <f>IFERROR(__xludf.DUMMYFUNCTION("""COMPUTED_VALUE"""),10.0)</f>
        <v>10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"/>
    </row>
    <row r="31" ht="24.75" customHeight="1">
      <c r="A31" s="152">
        <f>IFERROR(__xludf.DUMMYFUNCTION("""COMPUTED_VALUE"""),15.0)</f>
        <v>15</v>
      </c>
      <c r="B31" s="61" t="str">
        <f>IFERROR(__xludf.DUMMYFUNCTION("""COMPUTED_VALUE"""),"GOMEZ")</f>
        <v>GOMEZ</v>
      </c>
      <c r="C31" s="62" t="str">
        <f>IFERROR(__xludf.DUMMYFUNCTION("""COMPUTED_VALUE"""),"MARTINEZ")</f>
        <v>MARTINEZ</v>
      </c>
      <c r="D31" s="63" t="str">
        <f>IFERROR(__xludf.DUMMYFUNCTION("""COMPUTED_VALUE"""),"LEONARDO")</f>
        <v>LEONARDO</v>
      </c>
      <c r="E31" s="153">
        <f>IFERROR(__xludf.DUMMYFUNCTION("""COMPUTED_VALUE"""),8.0)</f>
        <v>8</v>
      </c>
      <c r="F31" s="153">
        <f>IFERROR(__xludf.DUMMYFUNCTION("""COMPUTED_VALUE"""),2.0)</f>
        <v>2</v>
      </c>
      <c r="G31" s="153"/>
      <c r="H31" s="154">
        <f>IFERROR(__xludf.DUMMYFUNCTION("""COMPUTED_VALUE"""),10.0)</f>
        <v>10</v>
      </c>
      <c r="I31" s="155">
        <f>IFERROR(__xludf.DUMMYFUNCTION("""COMPUTED_VALUE"""),0.0)</f>
        <v>0</v>
      </c>
      <c r="J31" s="156">
        <f>IFERROR(__xludf.DUMMYFUNCTION("""COMPUTED_VALUE"""),10.0)</f>
        <v>10</v>
      </c>
      <c r="K31" s="155"/>
      <c r="L31" s="158">
        <f>IFERROR(__xludf.DUMMYFUNCTION("""COMPUTED_VALUE"""),10.0)</f>
        <v>10</v>
      </c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"/>
    </row>
    <row r="32" ht="24.75" customHeight="1">
      <c r="A32" s="152">
        <f>IFERROR(__xludf.DUMMYFUNCTION("""COMPUTED_VALUE"""),16.0)</f>
        <v>16</v>
      </c>
      <c r="B32" s="61" t="str">
        <f>IFERROR(__xludf.DUMMYFUNCTION("""COMPUTED_VALUE"""),"GOMEZ")</f>
        <v>GOMEZ</v>
      </c>
      <c r="C32" s="62" t="str">
        <f>IFERROR(__xludf.DUMMYFUNCTION("""COMPUTED_VALUE"""),"MENESES")</f>
        <v>MENESES</v>
      </c>
      <c r="D32" s="63" t="str">
        <f>IFERROR(__xludf.DUMMYFUNCTION("""COMPUTED_VALUE"""),"SAMANTHA MABEL")</f>
        <v>SAMANTHA MABEL</v>
      </c>
      <c r="E32" s="153">
        <f>IFERROR(__xludf.DUMMYFUNCTION("""COMPUTED_VALUE"""),8.0)</f>
        <v>8</v>
      </c>
      <c r="F32" s="153">
        <f>IFERROR(__xludf.DUMMYFUNCTION("""COMPUTED_VALUE"""),0.0)</f>
        <v>0</v>
      </c>
      <c r="G32" s="153"/>
      <c r="H32" s="154">
        <f>IFERROR(__xludf.DUMMYFUNCTION("""COMPUTED_VALUE"""),8.0)</f>
        <v>8</v>
      </c>
      <c r="I32" s="155">
        <f>IFERROR(__xludf.DUMMYFUNCTION("""COMPUTED_VALUE"""),0.0)</f>
        <v>0</v>
      </c>
      <c r="J32" s="156">
        <f>IFERROR(__xludf.DUMMYFUNCTION("""COMPUTED_VALUE"""),8.0)</f>
        <v>8</v>
      </c>
      <c r="K32" s="155"/>
      <c r="L32" s="158">
        <f>IFERROR(__xludf.DUMMYFUNCTION("""COMPUTED_VALUE"""),8.0)</f>
        <v>8</v>
      </c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"/>
    </row>
    <row r="33" ht="24.75" customHeight="1">
      <c r="A33" s="152">
        <f>IFERROR(__xludf.DUMMYFUNCTION("""COMPUTED_VALUE"""),17.0)</f>
        <v>17</v>
      </c>
      <c r="B33" s="61" t="str">
        <f>IFERROR(__xludf.DUMMYFUNCTION("""COMPUTED_VALUE"""),"GOMEZ")</f>
        <v>GOMEZ</v>
      </c>
      <c r="C33" s="62" t="str">
        <f>IFERROR(__xludf.DUMMYFUNCTION("""COMPUTED_VALUE"""),"PAREDES")</f>
        <v>PAREDES</v>
      </c>
      <c r="D33" s="63" t="str">
        <f>IFERROR(__xludf.DUMMYFUNCTION("""COMPUTED_VALUE"""),"URIEL")</f>
        <v>URIEL</v>
      </c>
      <c r="E33" s="153">
        <f>IFERROR(__xludf.DUMMYFUNCTION("""COMPUTED_VALUE"""),8.0)</f>
        <v>8</v>
      </c>
      <c r="F33" s="153">
        <f>IFERROR(__xludf.DUMMYFUNCTION("""COMPUTED_VALUE"""),1.8)</f>
        <v>1.8</v>
      </c>
      <c r="G33" s="153"/>
      <c r="H33" s="154">
        <f>IFERROR(__xludf.DUMMYFUNCTION("""COMPUTED_VALUE"""),9.8)</f>
        <v>9.8</v>
      </c>
      <c r="I33" s="155">
        <f>IFERROR(__xludf.DUMMYFUNCTION("""COMPUTED_VALUE"""),0.0)</f>
        <v>0</v>
      </c>
      <c r="J33" s="156">
        <f>IFERROR(__xludf.DUMMYFUNCTION("""COMPUTED_VALUE"""),10.0)</f>
        <v>10</v>
      </c>
      <c r="K33" s="155"/>
      <c r="L33" s="158">
        <f>IFERROR(__xludf.DUMMYFUNCTION("""COMPUTED_VALUE"""),10.0)</f>
        <v>10</v>
      </c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"/>
    </row>
    <row r="34" ht="24.75" customHeight="1">
      <c r="A34" s="152">
        <f>IFERROR(__xludf.DUMMYFUNCTION("""COMPUTED_VALUE"""),18.0)</f>
        <v>18</v>
      </c>
      <c r="B34" s="61" t="str">
        <f>IFERROR(__xludf.DUMMYFUNCTION("""COMPUTED_VALUE"""),"GONZALEZ")</f>
        <v>GONZALEZ</v>
      </c>
      <c r="C34" s="62" t="str">
        <f>IFERROR(__xludf.DUMMYFUNCTION("""COMPUTED_VALUE"""),"SANCHEZ")</f>
        <v>SANCHEZ</v>
      </c>
      <c r="D34" s="63" t="str">
        <f>IFERROR(__xludf.DUMMYFUNCTION("""COMPUTED_VALUE"""),"FERNANDA ANTONIETA")</f>
        <v>FERNANDA ANTONIETA</v>
      </c>
      <c r="E34" s="153">
        <f>IFERROR(__xludf.DUMMYFUNCTION("""COMPUTED_VALUE"""),8.0)</f>
        <v>8</v>
      </c>
      <c r="F34" s="153">
        <f>IFERROR(__xludf.DUMMYFUNCTION("""COMPUTED_VALUE"""),2.0)</f>
        <v>2</v>
      </c>
      <c r="G34" s="153"/>
      <c r="H34" s="154">
        <f>IFERROR(__xludf.DUMMYFUNCTION("""COMPUTED_VALUE"""),10.0)</f>
        <v>10</v>
      </c>
      <c r="I34" s="155">
        <f>IFERROR(__xludf.DUMMYFUNCTION("""COMPUTED_VALUE"""),0.0)</f>
        <v>0</v>
      </c>
      <c r="J34" s="156">
        <f>IFERROR(__xludf.DUMMYFUNCTION("""COMPUTED_VALUE"""),10.0)</f>
        <v>10</v>
      </c>
      <c r="K34" s="155"/>
      <c r="L34" s="158">
        <f>IFERROR(__xludf.DUMMYFUNCTION("""COMPUTED_VALUE"""),10.0)</f>
        <v>10</v>
      </c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"/>
    </row>
    <row r="35" ht="24.75" customHeight="1">
      <c r="A35" s="152">
        <f>IFERROR(__xludf.DUMMYFUNCTION("""COMPUTED_VALUE"""),19.0)</f>
        <v>19</v>
      </c>
      <c r="B35" s="61" t="str">
        <f>IFERROR(__xludf.DUMMYFUNCTION("""COMPUTED_VALUE"""),"GUERRERO")</f>
        <v>GUERRERO</v>
      </c>
      <c r="C35" s="62" t="str">
        <f>IFERROR(__xludf.DUMMYFUNCTION("""COMPUTED_VALUE"""),"ALVAREZ")</f>
        <v>ALVAREZ</v>
      </c>
      <c r="D35" s="63" t="str">
        <f>IFERROR(__xludf.DUMMYFUNCTION("""COMPUTED_VALUE"""),"MELINA MONSERRAT")</f>
        <v>MELINA MONSERRAT</v>
      </c>
      <c r="E35" s="153">
        <f>IFERROR(__xludf.DUMMYFUNCTION("""COMPUTED_VALUE"""),8.0)</f>
        <v>8</v>
      </c>
      <c r="F35" s="153">
        <f>IFERROR(__xludf.DUMMYFUNCTION("""COMPUTED_VALUE"""),2.0)</f>
        <v>2</v>
      </c>
      <c r="G35" s="153"/>
      <c r="H35" s="154">
        <f>IFERROR(__xludf.DUMMYFUNCTION("""COMPUTED_VALUE"""),10.0)</f>
        <v>10</v>
      </c>
      <c r="I35" s="155">
        <f>IFERROR(__xludf.DUMMYFUNCTION("""COMPUTED_VALUE"""),0.0)</f>
        <v>0</v>
      </c>
      <c r="J35" s="156">
        <f>IFERROR(__xludf.DUMMYFUNCTION("""COMPUTED_VALUE"""),10.0)</f>
        <v>10</v>
      </c>
      <c r="K35" s="155"/>
      <c r="L35" s="158">
        <f>IFERROR(__xludf.DUMMYFUNCTION("""COMPUTED_VALUE"""),10.0)</f>
        <v>10</v>
      </c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"/>
    </row>
    <row r="36" ht="24.75" customHeight="1">
      <c r="A36" s="152">
        <f>IFERROR(__xludf.DUMMYFUNCTION("""COMPUTED_VALUE"""),20.0)</f>
        <v>20</v>
      </c>
      <c r="B36" s="61" t="str">
        <f>IFERROR(__xludf.DUMMYFUNCTION("""COMPUTED_VALUE"""),"GUTIERREZ")</f>
        <v>GUTIERREZ</v>
      </c>
      <c r="C36" s="62" t="str">
        <f>IFERROR(__xludf.DUMMYFUNCTION("""COMPUTED_VALUE"""),"CHIMAL")</f>
        <v>CHIMAL</v>
      </c>
      <c r="D36" s="63" t="str">
        <f>IFERROR(__xludf.DUMMYFUNCTION("""COMPUTED_VALUE"""),"SAYURI DENISSE")</f>
        <v>SAYURI DENISSE</v>
      </c>
      <c r="E36" s="153">
        <f>IFERROR(__xludf.DUMMYFUNCTION("""COMPUTED_VALUE"""),8.0)</f>
        <v>8</v>
      </c>
      <c r="F36" s="153">
        <f>IFERROR(__xludf.DUMMYFUNCTION("""COMPUTED_VALUE"""),2.0)</f>
        <v>2</v>
      </c>
      <c r="G36" s="153"/>
      <c r="H36" s="154">
        <f>IFERROR(__xludf.DUMMYFUNCTION("""COMPUTED_VALUE"""),10.0)</f>
        <v>10</v>
      </c>
      <c r="I36" s="155">
        <f>IFERROR(__xludf.DUMMYFUNCTION("""COMPUTED_VALUE"""),0.0)</f>
        <v>0</v>
      </c>
      <c r="J36" s="156">
        <f>IFERROR(__xludf.DUMMYFUNCTION("""COMPUTED_VALUE"""),10.0)</f>
        <v>10</v>
      </c>
      <c r="K36" s="155"/>
      <c r="L36" s="158">
        <f>IFERROR(__xludf.DUMMYFUNCTION("""COMPUTED_VALUE"""),10.0)</f>
        <v>10</v>
      </c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"/>
    </row>
    <row r="37" ht="24.75" customHeight="1">
      <c r="A37" s="152">
        <f>IFERROR(__xludf.DUMMYFUNCTION("""COMPUTED_VALUE"""),21.0)</f>
        <v>21</v>
      </c>
      <c r="B37" s="61" t="str">
        <f>IFERROR(__xludf.DUMMYFUNCTION("""COMPUTED_VALUE"""),"GUTIERREZ")</f>
        <v>GUTIERREZ</v>
      </c>
      <c r="C37" s="62" t="str">
        <f>IFERROR(__xludf.DUMMYFUNCTION("""COMPUTED_VALUE"""),"GARCIA")</f>
        <v>GARCIA</v>
      </c>
      <c r="D37" s="63" t="str">
        <f>IFERROR(__xludf.DUMMYFUNCTION("""COMPUTED_VALUE"""),"XIMENA")</f>
        <v>XIMENA</v>
      </c>
      <c r="E37" s="153">
        <f>IFERROR(__xludf.DUMMYFUNCTION("""COMPUTED_VALUE"""),8.0)</f>
        <v>8</v>
      </c>
      <c r="F37" s="153">
        <f>IFERROR(__xludf.DUMMYFUNCTION("""COMPUTED_VALUE"""),2.0)</f>
        <v>2</v>
      </c>
      <c r="G37" s="153"/>
      <c r="H37" s="154">
        <f>IFERROR(__xludf.DUMMYFUNCTION("""COMPUTED_VALUE"""),10.0)</f>
        <v>10</v>
      </c>
      <c r="I37" s="155">
        <f>IFERROR(__xludf.DUMMYFUNCTION("""COMPUTED_VALUE"""),0.0)</f>
        <v>0</v>
      </c>
      <c r="J37" s="156">
        <f>IFERROR(__xludf.DUMMYFUNCTION("""COMPUTED_VALUE"""),10.0)</f>
        <v>10</v>
      </c>
      <c r="K37" s="155"/>
      <c r="L37" s="158">
        <f>IFERROR(__xludf.DUMMYFUNCTION("""COMPUTED_VALUE"""),10.0)</f>
        <v>10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"/>
    </row>
    <row r="38" ht="24.75" customHeight="1">
      <c r="A38" s="152">
        <f>IFERROR(__xludf.DUMMYFUNCTION("""COMPUTED_VALUE"""),22.0)</f>
        <v>22</v>
      </c>
      <c r="B38" s="61" t="str">
        <f>IFERROR(__xludf.DUMMYFUNCTION("""COMPUTED_VALUE"""),"HERNANDEZ")</f>
        <v>HERNANDEZ</v>
      </c>
      <c r="C38" s="62" t="str">
        <f>IFERROR(__xludf.DUMMYFUNCTION("""COMPUTED_VALUE"""),"BOLAÑOS")</f>
        <v>BOLAÑOS</v>
      </c>
      <c r="D38" s="63" t="str">
        <f>IFERROR(__xludf.DUMMYFUNCTION("""COMPUTED_VALUE"""),"CAMILA")</f>
        <v>CAMILA</v>
      </c>
      <c r="E38" s="153">
        <f>IFERROR(__xludf.DUMMYFUNCTION("""COMPUTED_VALUE"""),7.2)</f>
        <v>7.2</v>
      </c>
      <c r="F38" s="153">
        <f>IFERROR(__xludf.DUMMYFUNCTION("""COMPUTED_VALUE"""),1.8)</f>
        <v>1.8</v>
      </c>
      <c r="G38" s="153"/>
      <c r="H38" s="154">
        <f>IFERROR(__xludf.DUMMYFUNCTION("""COMPUTED_VALUE"""),9.0)</f>
        <v>9</v>
      </c>
      <c r="I38" s="155">
        <f>IFERROR(__xludf.DUMMYFUNCTION("""COMPUTED_VALUE"""),0.0)</f>
        <v>0</v>
      </c>
      <c r="J38" s="156">
        <f>IFERROR(__xludf.DUMMYFUNCTION("""COMPUTED_VALUE"""),9.0)</f>
        <v>9</v>
      </c>
      <c r="K38" s="155"/>
      <c r="L38" s="158">
        <f>IFERROR(__xludf.DUMMYFUNCTION("""COMPUTED_VALUE"""),9.0)</f>
        <v>9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"/>
    </row>
    <row r="39" ht="24.75" customHeight="1">
      <c r="A39" s="152">
        <f>IFERROR(__xludf.DUMMYFUNCTION("""COMPUTED_VALUE"""),23.0)</f>
        <v>23</v>
      </c>
      <c r="B39" s="61" t="str">
        <f>IFERROR(__xludf.DUMMYFUNCTION("""COMPUTED_VALUE"""),"JIMENEZ")</f>
        <v>JIMENEZ</v>
      </c>
      <c r="C39" s="62" t="str">
        <f>IFERROR(__xludf.DUMMYFUNCTION("""COMPUTED_VALUE"""),"GOMEZ")</f>
        <v>GOMEZ</v>
      </c>
      <c r="D39" s="63" t="str">
        <f>IFERROR(__xludf.DUMMYFUNCTION("""COMPUTED_VALUE"""),"LAURA REGINA")</f>
        <v>LAURA REGINA</v>
      </c>
      <c r="E39" s="153">
        <f>IFERROR(__xludf.DUMMYFUNCTION("""COMPUTED_VALUE"""),0.0)</f>
        <v>0</v>
      </c>
      <c r="F39" s="153">
        <f>IFERROR(__xludf.DUMMYFUNCTION("""COMPUTED_VALUE"""),1.8)</f>
        <v>1.8</v>
      </c>
      <c r="G39" s="153"/>
      <c r="H39" s="154">
        <f>IFERROR(__xludf.DUMMYFUNCTION("""COMPUTED_VALUE"""),1.8)</f>
        <v>1.8</v>
      </c>
      <c r="I39" s="155">
        <f>IFERROR(__xludf.DUMMYFUNCTION("""COMPUTED_VALUE"""),0.0)</f>
        <v>0</v>
      </c>
      <c r="J39" s="156">
        <f>IFERROR(__xludf.DUMMYFUNCTION("""COMPUTED_VALUE"""),5.0)</f>
        <v>5</v>
      </c>
      <c r="K39" s="155"/>
      <c r="L39" s="158">
        <f>IFERROR(__xludf.DUMMYFUNCTION("""COMPUTED_VALUE"""),1.0)</f>
        <v>1</v>
      </c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"/>
    </row>
    <row r="40" ht="24.75" customHeight="1">
      <c r="A40" s="152">
        <f>IFERROR(__xludf.DUMMYFUNCTION("""COMPUTED_VALUE"""),24.0)</f>
        <v>24</v>
      </c>
      <c r="B40" s="61" t="str">
        <f>IFERROR(__xludf.DUMMYFUNCTION("""COMPUTED_VALUE"""),"LOPEZ")</f>
        <v>LOPEZ</v>
      </c>
      <c r="C40" s="62" t="str">
        <f>IFERROR(__xludf.DUMMYFUNCTION("""COMPUTED_VALUE"""),"TORRES")</f>
        <v>TORRES</v>
      </c>
      <c r="D40" s="63" t="str">
        <f>IFERROR(__xludf.DUMMYFUNCTION("""COMPUTED_VALUE"""),"HECTOR DANIEL")</f>
        <v>HECTOR DANIEL</v>
      </c>
      <c r="E40" s="153">
        <f>IFERROR(__xludf.DUMMYFUNCTION("""COMPUTED_VALUE"""),6.4)</f>
        <v>6.4</v>
      </c>
      <c r="F40" s="153">
        <f>IFERROR(__xludf.DUMMYFUNCTION("""COMPUTED_VALUE"""),1.8)</f>
        <v>1.8</v>
      </c>
      <c r="G40" s="153"/>
      <c r="H40" s="154">
        <f>IFERROR(__xludf.DUMMYFUNCTION("""COMPUTED_VALUE"""),8.200000000000001)</f>
        <v>8.2</v>
      </c>
      <c r="I40" s="155">
        <f>IFERROR(__xludf.DUMMYFUNCTION("""COMPUTED_VALUE"""),0.0)</f>
        <v>0</v>
      </c>
      <c r="J40" s="156">
        <f>IFERROR(__xludf.DUMMYFUNCTION("""COMPUTED_VALUE"""),8.0)</f>
        <v>8</v>
      </c>
      <c r="K40" s="155"/>
      <c r="L40" s="158">
        <f>IFERROR(__xludf.DUMMYFUNCTION("""COMPUTED_VALUE"""),8.0)</f>
        <v>8</v>
      </c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"/>
    </row>
    <row r="41" ht="24.75" customHeight="1">
      <c r="A41" s="152">
        <f>IFERROR(__xludf.DUMMYFUNCTION("""COMPUTED_VALUE"""),25.0)</f>
        <v>25</v>
      </c>
      <c r="B41" s="61" t="str">
        <f>IFERROR(__xludf.DUMMYFUNCTION("""COMPUTED_VALUE"""),"MARTINEZ")</f>
        <v>MARTINEZ</v>
      </c>
      <c r="C41" s="62" t="str">
        <f>IFERROR(__xludf.DUMMYFUNCTION("""COMPUTED_VALUE"""),"ESPINOZA")</f>
        <v>ESPINOZA</v>
      </c>
      <c r="D41" s="63" t="str">
        <f>IFERROR(__xludf.DUMMYFUNCTION("""COMPUTED_VALUE"""),"NAXHELI")</f>
        <v>NAXHELI</v>
      </c>
      <c r="E41" s="153">
        <f>IFERROR(__xludf.DUMMYFUNCTION("""COMPUTED_VALUE"""),8.0)</f>
        <v>8</v>
      </c>
      <c r="F41" s="153">
        <f>IFERROR(__xludf.DUMMYFUNCTION("""COMPUTED_VALUE"""),2.0)</f>
        <v>2</v>
      </c>
      <c r="G41" s="153"/>
      <c r="H41" s="154">
        <f>IFERROR(__xludf.DUMMYFUNCTION("""COMPUTED_VALUE"""),10.0)</f>
        <v>10</v>
      </c>
      <c r="I41" s="155">
        <f>IFERROR(__xludf.DUMMYFUNCTION("""COMPUTED_VALUE"""),0.0)</f>
        <v>0</v>
      </c>
      <c r="J41" s="156">
        <f>IFERROR(__xludf.DUMMYFUNCTION("""COMPUTED_VALUE"""),10.0)</f>
        <v>10</v>
      </c>
      <c r="K41" s="155"/>
      <c r="L41" s="158">
        <f>IFERROR(__xludf.DUMMYFUNCTION("""COMPUTED_VALUE"""),10.0)</f>
        <v>10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"/>
    </row>
    <row r="42" ht="24.75" customHeight="1">
      <c r="A42" s="152">
        <f>IFERROR(__xludf.DUMMYFUNCTION("""COMPUTED_VALUE"""),26.0)</f>
        <v>26</v>
      </c>
      <c r="B42" s="61" t="str">
        <f>IFERROR(__xludf.DUMMYFUNCTION("""COMPUTED_VALUE"""),"MARTINEZ")</f>
        <v>MARTINEZ</v>
      </c>
      <c r="C42" s="62" t="str">
        <f>IFERROR(__xludf.DUMMYFUNCTION("""COMPUTED_VALUE"""),"TORRES")</f>
        <v>TORRES</v>
      </c>
      <c r="D42" s="63" t="str">
        <f>IFERROR(__xludf.DUMMYFUNCTION("""COMPUTED_VALUE"""),"SILVIA ANAHI")</f>
        <v>SILVIA ANAHI</v>
      </c>
      <c r="E42" s="153">
        <f>IFERROR(__xludf.DUMMYFUNCTION("""COMPUTED_VALUE"""),8.0)</f>
        <v>8</v>
      </c>
      <c r="F42" s="153">
        <f>IFERROR(__xludf.DUMMYFUNCTION("""COMPUTED_VALUE"""),1.8)</f>
        <v>1.8</v>
      </c>
      <c r="G42" s="153"/>
      <c r="H42" s="154">
        <f>IFERROR(__xludf.DUMMYFUNCTION("""COMPUTED_VALUE"""),9.8)</f>
        <v>9.8</v>
      </c>
      <c r="I42" s="155">
        <f>IFERROR(__xludf.DUMMYFUNCTION("""COMPUTED_VALUE"""),0.0)</f>
        <v>0</v>
      </c>
      <c r="J42" s="156">
        <f>IFERROR(__xludf.DUMMYFUNCTION("""COMPUTED_VALUE"""),10.0)</f>
        <v>10</v>
      </c>
      <c r="K42" s="155"/>
      <c r="L42" s="158">
        <f>IFERROR(__xludf.DUMMYFUNCTION("""COMPUTED_VALUE"""),10.0)</f>
        <v>10</v>
      </c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"/>
    </row>
    <row r="43" ht="24.75" customHeight="1">
      <c r="A43" s="152">
        <f>IFERROR(__xludf.DUMMYFUNCTION("""COMPUTED_VALUE"""),27.0)</f>
        <v>27</v>
      </c>
      <c r="B43" s="61" t="str">
        <f>IFERROR(__xludf.DUMMYFUNCTION("""COMPUTED_VALUE"""),"MENDEZ")</f>
        <v>MENDEZ</v>
      </c>
      <c r="C43" s="62" t="str">
        <f>IFERROR(__xludf.DUMMYFUNCTION("""COMPUTED_VALUE"""),"GONZALEZ")</f>
        <v>GONZALEZ</v>
      </c>
      <c r="D43" s="63" t="str">
        <f>IFERROR(__xludf.DUMMYFUNCTION("""COMPUTED_VALUE"""),"LUNA YHOALIBETH")</f>
        <v>LUNA YHOALIBETH</v>
      </c>
      <c r="E43" s="153">
        <f>IFERROR(__xludf.DUMMYFUNCTION("""COMPUTED_VALUE"""),7.2)</f>
        <v>7.2</v>
      </c>
      <c r="F43" s="153">
        <f>IFERROR(__xludf.DUMMYFUNCTION("""COMPUTED_VALUE"""),1.8)</f>
        <v>1.8</v>
      </c>
      <c r="G43" s="153"/>
      <c r="H43" s="154">
        <f>IFERROR(__xludf.DUMMYFUNCTION("""COMPUTED_VALUE"""),9.0)</f>
        <v>9</v>
      </c>
      <c r="I43" s="155">
        <f>IFERROR(__xludf.DUMMYFUNCTION("""COMPUTED_VALUE"""),0.0)</f>
        <v>0</v>
      </c>
      <c r="J43" s="156">
        <f>IFERROR(__xludf.DUMMYFUNCTION("""COMPUTED_VALUE"""),9.0)</f>
        <v>9</v>
      </c>
      <c r="K43" s="155"/>
      <c r="L43" s="158">
        <f>IFERROR(__xludf.DUMMYFUNCTION("""COMPUTED_VALUE"""),9.0)</f>
        <v>9</v>
      </c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"/>
    </row>
    <row r="44" ht="24.75" customHeight="1">
      <c r="A44" s="152">
        <f>IFERROR(__xludf.DUMMYFUNCTION("""COMPUTED_VALUE"""),28.0)</f>
        <v>28</v>
      </c>
      <c r="B44" s="61" t="str">
        <f>IFERROR(__xludf.DUMMYFUNCTION("""COMPUTED_VALUE"""),"MIRANDA")</f>
        <v>MIRANDA</v>
      </c>
      <c r="C44" s="62" t="str">
        <f>IFERROR(__xludf.DUMMYFUNCTION("""COMPUTED_VALUE"""),"VEGA")</f>
        <v>VEGA</v>
      </c>
      <c r="D44" s="63" t="str">
        <f>IFERROR(__xludf.DUMMYFUNCTION("""COMPUTED_VALUE"""),"MARCUS JOSHEP")</f>
        <v>MARCUS JOSHEP</v>
      </c>
      <c r="E44" s="153">
        <f>IFERROR(__xludf.DUMMYFUNCTION("""COMPUTED_VALUE"""),0.0)</f>
        <v>0</v>
      </c>
      <c r="F44" s="153">
        <f>IFERROR(__xludf.DUMMYFUNCTION("""COMPUTED_VALUE"""),2.0)</f>
        <v>2</v>
      </c>
      <c r="G44" s="153"/>
      <c r="H44" s="154">
        <f>IFERROR(__xludf.DUMMYFUNCTION("""COMPUTED_VALUE"""),2.0)</f>
        <v>2</v>
      </c>
      <c r="I44" s="155">
        <f>IFERROR(__xludf.DUMMYFUNCTION("""COMPUTED_VALUE"""),0.0)</f>
        <v>0</v>
      </c>
      <c r="J44" s="156">
        <f>IFERROR(__xludf.DUMMYFUNCTION("""COMPUTED_VALUE"""),5.0)</f>
        <v>5</v>
      </c>
      <c r="K44" s="155"/>
      <c r="L44" s="158">
        <f>IFERROR(__xludf.DUMMYFUNCTION("""COMPUTED_VALUE"""),2.0)</f>
        <v>2</v>
      </c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"/>
    </row>
    <row r="45" ht="24.75" customHeight="1">
      <c r="A45" s="152">
        <f>IFERROR(__xludf.DUMMYFUNCTION("""COMPUTED_VALUE"""),29.0)</f>
        <v>29</v>
      </c>
      <c r="B45" s="61" t="str">
        <f>IFERROR(__xludf.DUMMYFUNCTION("""COMPUTED_VALUE"""),"MORALES")</f>
        <v>MORALES</v>
      </c>
      <c r="C45" s="62" t="str">
        <f>IFERROR(__xludf.DUMMYFUNCTION("""COMPUTED_VALUE"""),"TREJO")</f>
        <v>TREJO</v>
      </c>
      <c r="D45" s="63" t="str">
        <f>IFERROR(__xludf.DUMMYFUNCTION("""COMPUTED_VALUE"""),"ERICK IVAN")</f>
        <v>ERICK IVAN</v>
      </c>
      <c r="E45" s="153">
        <f>IFERROR(__xludf.DUMMYFUNCTION("""COMPUTED_VALUE"""),7.2)</f>
        <v>7.2</v>
      </c>
      <c r="F45" s="153">
        <f>IFERROR(__xludf.DUMMYFUNCTION("""COMPUTED_VALUE"""),0.0)</f>
        <v>0</v>
      </c>
      <c r="G45" s="153"/>
      <c r="H45" s="154">
        <f>IFERROR(__xludf.DUMMYFUNCTION("""COMPUTED_VALUE"""),7.2)</f>
        <v>7.2</v>
      </c>
      <c r="I45" s="155">
        <f>IFERROR(__xludf.DUMMYFUNCTION("""COMPUTED_VALUE"""),0.0)</f>
        <v>0</v>
      </c>
      <c r="J45" s="156">
        <f>IFERROR(__xludf.DUMMYFUNCTION("""COMPUTED_VALUE"""),7.0)</f>
        <v>7</v>
      </c>
      <c r="K45" s="155"/>
      <c r="L45" s="158">
        <f>IFERROR(__xludf.DUMMYFUNCTION("""COMPUTED_VALUE"""),7.0)</f>
        <v>7</v>
      </c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"/>
    </row>
    <row r="46" ht="24.75" customHeight="1">
      <c r="A46" s="152">
        <f>IFERROR(__xludf.DUMMYFUNCTION("""COMPUTED_VALUE"""),30.0)</f>
        <v>30</v>
      </c>
      <c r="B46" s="61" t="str">
        <f>IFERROR(__xludf.DUMMYFUNCTION("""COMPUTED_VALUE"""),"MURILLO")</f>
        <v>MURILLO</v>
      </c>
      <c r="C46" s="62" t="str">
        <f>IFERROR(__xludf.DUMMYFUNCTION("""COMPUTED_VALUE"""),"TORRES")</f>
        <v>TORRES</v>
      </c>
      <c r="D46" s="63" t="str">
        <f>IFERROR(__xludf.DUMMYFUNCTION("""COMPUTED_VALUE"""),"JULIA IVETTE")</f>
        <v>JULIA IVETTE</v>
      </c>
      <c r="E46" s="153">
        <f>IFERROR(__xludf.DUMMYFUNCTION("""COMPUTED_VALUE"""),6.4)</f>
        <v>6.4</v>
      </c>
      <c r="F46" s="153">
        <f>IFERROR(__xludf.DUMMYFUNCTION("""COMPUTED_VALUE"""),1.8)</f>
        <v>1.8</v>
      </c>
      <c r="G46" s="153"/>
      <c r="H46" s="154">
        <f>IFERROR(__xludf.DUMMYFUNCTION("""COMPUTED_VALUE"""),8.200000000000001)</f>
        <v>8.2</v>
      </c>
      <c r="I46" s="155">
        <f>IFERROR(__xludf.DUMMYFUNCTION("""COMPUTED_VALUE"""),0.0)</f>
        <v>0</v>
      </c>
      <c r="J46" s="156">
        <f>IFERROR(__xludf.DUMMYFUNCTION("""COMPUTED_VALUE"""),8.0)</f>
        <v>8</v>
      </c>
      <c r="K46" s="155"/>
      <c r="L46" s="158">
        <f>IFERROR(__xludf.DUMMYFUNCTION("""COMPUTED_VALUE"""),8.0)</f>
        <v>8</v>
      </c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"/>
    </row>
    <row r="47" ht="24.75" customHeight="1">
      <c r="A47" s="152">
        <f>IFERROR(__xludf.DUMMYFUNCTION("""COMPUTED_VALUE"""),31.0)</f>
        <v>31</v>
      </c>
      <c r="B47" s="61" t="str">
        <f>IFERROR(__xludf.DUMMYFUNCTION("""COMPUTED_VALUE"""),"NICOLAS")</f>
        <v>NICOLAS</v>
      </c>
      <c r="C47" s="62" t="str">
        <f>IFERROR(__xludf.DUMMYFUNCTION("""COMPUTED_VALUE"""),"SANCHEZ")</f>
        <v>SANCHEZ</v>
      </c>
      <c r="D47" s="63" t="str">
        <f>IFERROR(__xludf.DUMMYFUNCTION("""COMPUTED_VALUE"""),"KAREN JIMENA")</f>
        <v>KAREN JIMENA</v>
      </c>
      <c r="E47" s="153">
        <f>IFERROR(__xludf.DUMMYFUNCTION("""COMPUTED_VALUE"""),8.0)</f>
        <v>8</v>
      </c>
      <c r="F47" s="153">
        <f>IFERROR(__xludf.DUMMYFUNCTION("""COMPUTED_VALUE"""),1.8)</f>
        <v>1.8</v>
      </c>
      <c r="G47" s="153"/>
      <c r="H47" s="154">
        <f>IFERROR(__xludf.DUMMYFUNCTION("""COMPUTED_VALUE"""),9.8)</f>
        <v>9.8</v>
      </c>
      <c r="I47" s="155">
        <f>IFERROR(__xludf.DUMMYFUNCTION("""COMPUTED_VALUE"""),0.0)</f>
        <v>0</v>
      </c>
      <c r="J47" s="156">
        <f>IFERROR(__xludf.DUMMYFUNCTION("""COMPUTED_VALUE"""),10.0)</f>
        <v>10</v>
      </c>
      <c r="K47" s="155"/>
      <c r="L47" s="158">
        <f>IFERROR(__xludf.DUMMYFUNCTION("""COMPUTED_VALUE"""),10.0)</f>
        <v>10</v>
      </c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"/>
    </row>
    <row r="48" ht="24.75" customHeight="1">
      <c r="A48" s="152">
        <f>IFERROR(__xludf.DUMMYFUNCTION("""COMPUTED_VALUE"""),32.0)</f>
        <v>32</v>
      </c>
      <c r="B48" s="61" t="str">
        <f>IFERROR(__xludf.DUMMYFUNCTION("""COMPUTED_VALUE"""),"PEREZ")</f>
        <v>PEREZ</v>
      </c>
      <c r="C48" s="62" t="str">
        <f>IFERROR(__xludf.DUMMYFUNCTION("""COMPUTED_VALUE"""),"MARTINEZ")</f>
        <v>MARTINEZ</v>
      </c>
      <c r="D48" s="63" t="str">
        <f>IFERROR(__xludf.DUMMYFUNCTION("""COMPUTED_VALUE"""),"ANDREA")</f>
        <v>ANDREA</v>
      </c>
      <c r="E48" s="153">
        <f>IFERROR(__xludf.DUMMYFUNCTION("""COMPUTED_VALUE"""),8.0)</f>
        <v>8</v>
      </c>
      <c r="F48" s="153">
        <f>IFERROR(__xludf.DUMMYFUNCTION("""COMPUTED_VALUE"""),1.8)</f>
        <v>1.8</v>
      </c>
      <c r="G48" s="153"/>
      <c r="H48" s="154">
        <f>IFERROR(__xludf.DUMMYFUNCTION("""COMPUTED_VALUE"""),9.8)</f>
        <v>9.8</v>
      </c>
      <c r="I48" s="155">
        <f>IFERROR(__xludf.DUMMYFUNCTION("""COMPUTED_VALUE"""),0.0)</f>
        <v>0</v>
      </c>
      <c r="J48" s="156">
        <f>IFERROR(__xludf.DUMMYFUNCTION("""COMPUTED_VALUE"""),10.0)</f>
        <v>10</v>
      </c>
      <c r="K48" s="155"/>
      <c r="L48" s="158">
        <f>IFERROR(__xludf.DUMMYFUNCTION("""COMPUTED_VALUE"""),10.0)</f>
        <v>10</v>
      </c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"/>
    </row>
    <row r="49" ht="24.75" customHeight="1">
      <c r="A49" s="152">
        <f>IFERROR(__xludf.DUMMYFUNCTION("""COMPUTED_VALUE"""),33.0)</f>
        <v>33</v>
      </c>
      <c r="B49" s="61" t="str">
        <f>IFERROR(__xludf.DUMMYFUNCTION("""COMPUTED_VALUE"""),"PUGA")</f>
        <v>PUGA</v>
      </c>
      <c r="C49" s="62" t="str">
        <f>IFERROR(__xludf.DUMMYFUNCTION("""COMPUTED_VALUE"""),"FLORES")</f>
        <v>FLORES</v>
      </c>
      <c r="D49" s="63" t="str">
        <f>IFERROR(__xludf.DUMMYFUNCTION("""COMPUTED_VALUE"""),"ANUAR LEONARDO")</f>
        <v>ANUAR LEONARDO</v>
      </c>
      <c r="E49" s="153">
        <f>IFERROR(__xludf.DUMMYFUNCTION("""COMPUTED_VALUE"""),7.2)</f>
        <v>7.2</v>
      </c>
      <c r="F49" s="153">
        <f>IFERROR(__xludf.DUMMYFUNCTION("""COMPUTED_VALUE"""),0.0)</f>
        <v>0</v>
      </c>
      <c r="G49" s="153"/>
      <c r="H49" s="154">
        <f>IFERROR(__xludf.DUMMYFUNCTION("""COMPUTED_VALUE"""),7.2)</f>
        <v>7.2</v>
      </c>
      <c r="I49" s="155">
        <f>IFERROR(__xludf.DUMMYFUNCTION("""COMPUTED_VALUE"""),0.0)</f>
        <v>0</v>
      </c>
      <c r="J49" s="156">
        <f>IFERROR(__xludf.DUMMYFUNCTION("""COMPUTED_VALUE"""),7.0)</f>
        <v>7</v>
      </c>
      <c r="K49" s="155"/>
      <c r="L49" s="158">
        <f>IFERROR(__xludf.DUMMYFUNCTION("""COMPUTED_VALUE"""),7.0)</f>
        <v>7</v>
      </c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"/>
    </row>
    <row r="50" ht="24.75" customHeight="1">
      <c r="A50" s="152">
        <f>IFERROR(__xludf.DUMMYFUNCTION("""COMPUTED_VALUE"""),34.0)</f>
        <v>34</v>
      </c>
      <c r="B50" s="61" t="str">
        <f>IFERROR(__xludf.DUMMYFUNCTION("""COMPUTED_VALUE"""),"RAMIREZ")</f>
        <v>RAMIREZ</v>
      </c>
      <c r="C50" s="62" t="str">
        <f>IFERROR(__xludf.DUMMYFUNCTION("""COMPUTED_VALUE"""),"GALINDO")</f>
        <v>GALINDO</v>
      </c>
      <c r="D50" s="63" t="str">
        <f>IFERROR(__xludf.DUMMYFUNCTION("""COMPUTED_VALUE"""),"FERNANDA")</f>
        <v>FERNANDA</v>
      </c>
      <c r="E50" s="153">
        <f>IFERROR(__xludf.DUMMYFUNCTION("""COMPUTED_VALUE"""),8.0)</f>
        <v>8</v>
      </c>
      <c r="F50" s="153">
        <f>IFERROR(__xludf.DUMMYFUNCTION("""COMPUTED_VALUE"""),2.0)</f>
        <v>2</v>
      </c>
      <c r="G50" s="153"/>
      <c r="H50" s="154">
        <f>IFERROR(__xludf.DUMMYFUNCTION("""COMPUTED_VALUE"""),10.0)</f>
        <v>10</v>
      </c>
      <c r="I50" s="155">
        <f>IFERROR(__xludf.DUMMYFUNCTION("""COMPUTED_VALUE"""),0.0)</f>
        <v>0</v>
      </c>
      <c r="J50" s="156">
        <f>IFERROR(__xludf.DUMMYFUNCTION("""COMPUTED_VALUE"""),10.0)</f>
        <v>10</v>
      </c>
      <c r="K50" s="155"/>
      <c r="L50" s="158">
        <f>IFERROR(__xludf.DUMMYFUNCTION("""COMPUTED_VALUE"""),10.0)</f>
        <v>10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"/>
    </row>
    <row r="51" ht="24.75" customHeight="1">
      <c r="A51" s="152">
        <f>IFERROR(__xludf.DUMMYFUNCTION("""COMPUTED_VALUE"""),35.0)</f>
        <v>35</v>
      </c>
      <c r="B51" s="65" t="str">
        <f>IFERROR(__xludf.DUMMYFUNCTION("""COMPUTED_VALUE"""),"RAMOS")</f>
        <v>RAMOS</v>
      </c>
      <c r="C51" s="62" t="str">
        <f>IFERROR(__xludf.DUMMYFUNCTION("""COMPUTED_VALUE"""),"SANCHEZ")</f>
        <v>SANCHEZ</v>
      </c>
      <c r="D51" s="63" t="str">
        <f>IFERROR(__xludf.DUMMYFUNCTION("""COMPUTED_VALUE"""),"EDRYK JOSAFATH")</f>
        <v>EDRYK JOSAFATH</v>
      </c>
      <c r="E51" s="153">
        <f>IFERROR(__xludf.DUMMYFUNCTION("""COMPUTED_VALUE"""),8.0)</f>
        <v>8</v>
      </c>
      <c r="F51" s="153">
        <f>IFERROR(__xludf.DUMMYFUNCTION("""COMPUTED_VALUE"""),2.0)</f>
        <v>2</v>
      </c>
      <c r="G51" s="153"/>
      <c r="H51" s="154">
        <f>IFERROR(__xludf.DUMMYFUNCTION("""COMPUTED_VALUE"""),10.0)</f>
        <v>10</v>
      </c>
      <c r="I51" s="155">
        <f>IFERROR(__xludf.DUMMYFUNCTION("""COMPUTED_VALUE"""),0.0)</f>
        <v>0</v>
      </c>
      <c r="J51" s="156">
        <f>IFERROR(__xludf.DUMMYFUNCTION("""COMPUTED_VALUE"""),10.0)</f>
        <v>10</v>
      </c>
      <c r="K51" s="155"/>
      <c r="L51" s="158">
        <f>IFERROR(__xludf.DUMMYFUNCTION("""COMPUTED_VALUE"""),10.0)</f>
        <v>10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"/>
    </row>
    <row r="52" ht="24.75" customHeight="1">
      <c r="A52" s="152">
        <f>IFERROR(__xludf.DUMMYFUNCTION("""COMPUTED_VALUE"""),36.0)</f>
        <v>36</v>
      </c>
      <c r="B52" s="65" t="str">
        <f>IFERROR(__xludf.DUMMYFUNCTION("""COMPUTED_VALUE"""),"RAMOS")</f>
        <v>RAMOS</v>
      </c>
      <c r="C52" s="62" t="str">
        <f>IFERROR(__xludf.DUMMYFUNCTION("""COMPUTED_VALUE"""),"VERDIGUEL")</f>
        <v>VERDIGUEL</v>
      </c>
      <c r="D52" s="63" t="str">
        <f>IFERROR(__xludf.DUMMYFUNCTION("""COMPUTED_VALUE"""),"ROBERTO")</f>
        <v>ROBERTO</v>
      </c>
      <c r="E52" s="153">
        <f>IFERROR(__xludf.DUMMYFUNCTION("""COMPUTED_VALUE"""),7.2)</f>
        <v>7.2</v>
      </c>
      <c r="F52" s="153">
        <f>IFERROR(__xludf.DUMMYFUNCTION("""COMPUTED_VALUE"""),2.0)</f>
        <v>2</v>
      </c>
      <c r="G52" s="153"/>
      <c r="H52" s="154">
        <f>IFERROR(__xludf.DUMMYFUNCTION("""COMPUTED_VALUE"""),9.2)</f>
        <v>9.2</v>
      </c>
      <c r="I52" s="155">
        <f>IFERROR(__xludf.DUMMYFUNCTION("""COMPUTED_VALUE"""),0.0)</f>
        <v>0</v>
      </c>
      <c r="J52" s="156">
        <f>IFERROR(__xludf.DUMMYFUNCTION("""COMPUTED_VALUE"""),9.0)</f>
        <v>9</v>
      </c>
      <c r="K52" s="155"/>
      <c r="L52" s="159">
        <f>IFERROR(__xludf.DUMMYFUNCTION("""COMPUTED_VALUE"""),9.0)</f>
        <v>9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"/>
    </row>
    <row r="53" ht="24.75" customHeight="1">
      <c r="A53" s="152">
        <f>IFERROR(__xludf.DUMMYFUNCTION("""COMPUTED_VALUE"""),37.0)</f>
        <v>37</v>
      </c>
      <c r="B53" s="65" t="str">
        <f>IFERROR(__xludf.DUMMYFUNCTION("""COMPUTED_VALUE"""),"REYES")</f>
        <v>REYES</v>
      </c>
      <c r="C53" s="62" t="str">
        <f>IFERROR(__xludf.DUMMYFUNCTION("""COMPUTED_VALUE"""),"RODRIGUEZ")</f>
        <v>RODRIGUEZ</v>
      </c>
      <c r="D53" s="63" t="str">
        <f>IFERROR(__xludf.DUMMYFUNCTION("""COMPUTED_VALUE"""),"ANA FERNANDA")</f>
        <v>ANA FERNANDA</v>
      </c>
      <c r="E53" s="153">
        <f>IFERROR(__xludf.DUMMYFUNCTION("""COMPUTED_VALUE"""),7.2)</f>
        <v>7.2</v>
      </c>
      <c r="F53" s="153">
        <f>IFERROR(__xludf.DUMMYFUNCTION("""COMPUTED_VALUE"""),0.0)</f>
        <v>0</v>
      </c>
      <c r="G53" s="153"/>
      <c r="H53" s="154">
        <f>IFERROR(__xludf.DUMMYFUNCTION("""COMPUTED_VALUE"""),7.2)</f>
        <v>7.2</v>
      </c>
      <c r="I53" s="155">
        <f>IFERROR(__xludf.DUMMYFUNCTION("""COMPUTED_VALUE"""),0.0)</f>
        <v>0</v>
      </c>
      <c r="J53" s="156">
        <f>IFERROR(__xludf.DUMMYFUNCTION("""COMPUTED_VALUE"""),7.0)</f>
        <v>7</v>
      </c>
      <c r="K53" s="155"/>
      <c r="L53" s="159">
        <f>IFERROR(__xludf.DUMMYFUNCTION("""COMPUTED_VALUE"""),7.0)</f>
        <v>7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"/>
    </row>
    <row r="54" ht="24.75" customHeight="1">
      <c r="A54" s="152">
        <f>IFERROR(__xludf.DUMMYFUNCTION("""COMPUTED_VALUE"""),38.0)</f>
        <v>38</v>
      </c>
      <c r="B54" s="65" t="str">
        <f>IFERROR(__xludf.DUMMYFUNCTION("""COMPUTED_VALUE"""),"SANCHEZ")</f>
        <v>SANCHEZ</v>
      </c>
      <c r="C54" s="62" t="str">
        <f>IFERROR(__xludf.DUMMYFUNCTION("""COMPUTED_VALUE"""),"PEREZ")</f>
        <v>PEREZ</v>
      </c>
      <c r="D54" s="63" t="str">
        <f>IFERROR(__xludf.DUMMYFUNCTION("""COMPUTED_VALUE"""),"JESUS ALEXANDER")</f>
        <v>JESUS ALEXANDER</v>
      </c>
      <c r="E54" s="153">
        <f>IFERROR(__xludf.DUMMYFUNCTION("""COMPUTED_VALUE"""),8.0)</f>
        <v>8</v>
      </c>
      <c r="F54" s="153">
        <f>IFERROR(__xludf.DUMMYFUNCTION("""COMPUTED_VALUE"""),2.0)</f>
        <v>2</v>
      </c>
      <c r="G54" s="153"/>
      <c r="H54" s="154">
        <f>IFERROR(__xludf.DUMMYFUNCTION("""COMPUTED_VALUE"""),10.0)</f>
        <v>10</v>
      </c>
      <c r="I54" s="155">
        <f>IFERROR(__xludf.DUMMYFUNCTION("""COMPUTED_VALUE"""),0.0)</f>
        <v>0</v>
      </c>
      <c r="J54" s="156">
        <f>IFERROR(__xludf.DUMMYFUNCTION("""COMPUTED_VALUE"""),10.0)</f>
        <v>10</v>
      </c>
      <c r="K54" s="155"/>
      <c r="L54" s="159">
        <f>IFERROR(__xludf.DUMMYFUNCTION("""COMPUTED_VALUE"""),10.0)</f>
        <v>10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"/>
    </row>
    <row r="55" ht="24.75" customHeight="1">
      <c r="A55" s="152">
        <f>IFERROR(__xludf.DUMMYFUNCTION("""COMPUTED_VALUE"""),39.0)</f>
        <v>39</v>
      </c>
      <c r="B55" s="65" t="str">
        <f>IFERROR(__xludf.DUMMYFUNCTION("""COMPUTED_VALUE"""),"SANTANA")</f>
        <v>SANTANA</v>
      </c>
      <c r="C55" s="62" t="str">
        <f>IFERROR(__xludf.DUMMYFUNCTION("""COMPUTED_VALUE"""),"RAZO")</f>
        <v>RAZO</v>
      </c>
      <c r="D55" s="63" t="str">
        <f>IFERROR(__xludf.DUMMYFUNCTION("""COMPUTED_VALUE"""),"IVAN EMMANUEL")</f>
        <v>IVAN EMMANUEL</v>
      </c>
      <c r="E55" s="153">
        <f>IFERROR(__xludf.DUMMYFUNCTION("""COMPUTED_VALUE"""),8.0)</f>
        <v>8</v>
      </c>
      <c r="F55" s="153">
        <f>IFERROR(__xludf.DUMMYFUNCTION("""COMPUTED_VALUE"""),0.0)</f>
        <v>0</v>
      </c>
      <c r="G55" s="153"/>
      <c r="H55" s="154">
        <f>IFERROR(__xludf.DUMMYFUNCTION("""COMPUTED_VALUE"""),8.0)</f>
        <v>8</v>
      </c>
      <c r="I55" s="160">
        <f>IFERROR(__xludf.DUMMYFUNCTION("""COMPUTED_VALUE"""),0.0)</f>
        <v>0</v>
      </c>
      <c r="J55" s="156">
        <f>IFERROR(__xludf.DUMMYFUNCTION("""COMPUTED_VALUE"""),8.0)</f>
        <v>8</v>
      </c>
      <c r="K55" s="155"/>
      <c r="L55" s="159">
        <f>IFERROR(__xludf.DUMMYFUNCTION("""COMPUTED_VALUE"""),8.0)</f>
        <v>8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"/>
    </row>
    <row r="56" ht="24.75" customHeight="1">
      <c r="A56" s="152">
        <f>IFERROR(__xludf.DUMMYFUNCTION("""COMPUTED_VALUE"""),40.0)</f>
        <v>40</v>
      </c>
      <c r="B56" s="65" t="str">
        <f>IFERROR(__xludf.DUMMYFUNCTION("""COMPUTED_VALUE"""),"SANTILLAN")</f>
        <v>SANTILLAN</v>
      </c>
      <c r="C56" s="62" t="str">
        <f>IFERROR(__xludf.DUMMYFUNCTION("""COMPUTED_VALUE"""),"JULIAN")</f>
        <v>JULIAN</v>
      </c>
      <c r="D56" s="63" t="str">
        <f>IFERROR(__xludf.DUMMYFUNCTION("""COMPUTED_VALUE"""),"JUAN ALBERTO")</f>
        <v>JUAN ALBERTO</v>
      </c>
      <c r="E56" s="153">
        <f>IFERROR(__xludf.DUMMYFUNCTION("""COMPUTED_VALUE"""),6.4)</f>
        <v>6.4</v>
      </c>
      <c r="F56" s="153">
        <f>IFERROR(__xludf.DUMMYFUNCTION("""COMPUTED_VALUE"""),1.8)</f>
        <v>1.8</v>
      </c>
      <c r="G56" s="153"/>
      <c r="H56" s="154">
        <f>IFERROR(__xludf.DUMMYFUNCTION("""COMPUTED_VALUE"""),8.200000000000001)</f>
        <v>8.2</v>
      </c>
      <c r="I56" s="160">
        <f>IFERROR(__xludf.DUMMYFUNCTION("""COMPUTED_VALUE"""),0.0)</f>
        <v>0</v>
      </c>
      <c r="J56" s="156">
        <f>IFERROR(__xludf.DUMMYFUNCTION("""COMPUTED_VALUE"""),8.0)</f>
        <v>8</v>
      </c>
      <c r="K56" s="155"/>
      <c r="L56" s="159">
        <f>IFERROR(__xludf.DUMMYFUNCTION("""COMPUTED_VALUE"""),8.0)</f>
        <v>8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"/>
    </row>
    <row r="57" ht="24.75" customHeight="1">
      <c r="A57" s="152">
        <f>IFERROR(__xludf.DUMMYFUNCTION("""COMPUTED_VALUE"""),41.0)</f>
        <v>41</v>
      </c>
      <c r="B57" s="65" t="str">
        <f>IFERROR(__xludf.DUMMYFUNCTION("""COMPUTED_VALUE"""),"SOLIS")</f>
        <v>SOLIS</v>
      </c>
      <c r="C57" s="62" t="str">
        <f>IFERROR(__xludf.DUMMYFUNCTION("""COMPUTED_VALUE"""),"MARTINEZ")</f>
        <v>MARTINEZ</v>
      </c>
      <c r="D57" s="63" t="str">
        <f>IFERROR(__xludf.DUMMYFUNCTION("""COMPUTED_VALUE"""),"ISAIAS")</f>
        <v>ISAIAS</v>
      </c>
      <c r="E57" s="153">
        <f>IFERROR(__xludf.DUMMYFUNCTION("""COMPUTED_VALUE"""),8.0)</f>
        <v>8</v>
      </c>
      <c r="F57" s="153">
        <f>IFERROR(__xludf.DUMMYFUNCTION("""COMPUTED_VALUE"""),1.8)</f>
        <v>1.8</v>
      </c>
      <c r="G57" s="153"/>
      <c r="H57" s="154">
        <f>IFERROR(__xludf.DUMMYFUNCTION("""COMPUTED_VALUE"""),9.8)</f>
        <v>9.8</v>
      </c>
      <c r="I57" s="160">
        <f>IFERROR(__xludf.DUMMYFUNCTION("""COMPUTED_VALUE"""),0.0)</f>
        <v>0</v>
      </c>
      <c r="J57" s="156">
        <f>IFERROR(__xludf.DUMMYFUNCTION("""COMPUTED_VALUE"""),10.0)</f>
        <v>10</v>
      </c>
      <c r="K57" s="155"/>
      <c r="L57" s="159">
        <f>IFERROR(__xludf.DUMMYFUNCTION("""COMPUTED_VALUE"""),10.0)</f>
        <v>10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"/>
    </row>
    <row r="58" ht="24.75" customHeight="1">
      <c r="A58" s="152">
        <f>IFERROR(__xludf.DUMMYFUNCTION("""COMPUTED_VALUE"""),42.0)</f>
        <v>42</v>
      </c>
      <c r="B58" s="65" t="str">
        <f>IFERROR(__xludf.DUMMYFUNCTION("""COMPUTED_VALUE"""),"SUAREZ")</f>
        <v>SUAREZ</v>
      </c>
      <c r="C58" s="62" t="str">
        <f>IFERROR(__xludf.DUMMYFUNCTION("""COMPUTED_VALUE"""),"GONZALEZ")</f>
        <v>GONZALEZ</v>
      </c>
      <c r="D58" s="63" t="str">
        <f>IFERROR(__xludf.DUMMYFUNCTION("""COMPUTED_VALUE"""),"ZAID MANUEL")</f>
        <v>ZAID MANUEL</v>
      </c>
      <c r="E58" s="153">
        <f>IFERROR(__xludf.DUMMYFUNCTION("""COMPUTED_VALUE"""),6.4)</f>
        <v>6.4</v>
      </c>
      <c r="F58" s="153">
        <f>IFERROR(__xludf.DUMMYFUNCTION("""COMPUTED_VALUE"""),1.8)</f>
        <v>1.8</v>
      </c>
      <c r="G58" s="153"/>
      <c r="H58" s="154">
        <f>IFERROR(__xludf.DUMMYFUNCTION("""COMPUTED_VALUE"""),8.200000000000001)</f>
        <v>8.2</v>
      </c>
      <c r="I58" s="160">
        <f>IFERROR(__xludf.DUMMYFUNCTION("""COMPUTED_VALUE"""),0.0)</f>
        <v>0</v>
      </c>
      <c r="J58" s="156">
        <f>IFERROR(__xludf.DUMMYFUNCTION("""COMPUTED_VALUE"""),8.0)</f>
        <v>8</v>
      </c>
      <c r="K58" s="155"/>
      <c r="L58" s="159">
        <f>IFERROR(__xludf.DUMMYFUNCTION("""COMPUTED_VALUE"""),8.0)</f>
        <v>8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"/>
    </row>
    <row r="59" ht="24.75" customHeight="1">
      <c r="A59" s="152">
        <f>IFERROR(__xludf.DUMMYFUNCTION("""COMPUTED_VALUE"""),43.0)</f>
        <v>43</v>
      </c>
      <c r="B59" s="65" t="str">
        <f>IFERROR(__xludf.DUMMYFUNCTION("""COMPUTED_VALUE"""),"VALLEJO")</f>
        <v>VALLEJO</v>
      </c>
      <c r="C59" s="62" t="str">
        <f>IFERROR(__xludf.DUMMYFUNCTION("""COMPUTED_VALUE"""),"MORALES")</f>
        <v>MORALES</v>
      </c>
      <c r="D59" s="63" t="str">
        <f>IFERROR(__xludf.DUMMYFUNCTION("""COMPUTED_VALUE"""),"ALEJANDRO")</f>
        <v>ALEJANDRO</v>
      </c>
      <c r="E59" s="153">
        <f>IFERROR(__xludf.DUMMYFUNCTION("""COMPUTED_VALUE"""),7.2)</f>
        <v>7.2</v>
      </c>
      <c r="F59" s="153">
        <f>IFERROR(__xludf.DUMMYFUNCTION("""COMPUTED_VALUE"""),2.0)</f>
        <v>2</v>
      </c>
      <c r="G59" s="153"/>
      <c r="H59" s="154">
        <f>IFERROR(__xludf.DUMMYFUNCTION("""COMPUTED_VALUE"""),9.2)</f>
        <v>9.2</v>
      </c>
      <c r="I59" s="160">
        <f>IFERROR(__xludf.DUMMYFUNCTION("""COMPUTED_VALUE"""),0.0)</f>
        <v>0</v>
      </c>
      <c r="J59" s="156">
        <f>IFERROR(__xludf.DUMMYFUNCTION("""COMPUTED_VALUE"""),9.0)</f>
        <v>9</v>
      </c>
      <c r="K59" s="155"/>
      <c r="L59" s="159">
        <f>IFERROR(__xludf.DUMMYFUNCTION("""COMPUTED_VALUE"""),9.0)</f>
        <v>9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"/>
    </row>
    <row r="60" ht="24.75" customHeight="1">
      <c r="A60" s="152">
        <f>IFERROR(__xludf.DUMMYFUNCTION("""COMPUTED_VALUE"""),44.0)</f>
        <v>44</v>
      </c>
      <c r="B60" s="65" t="str">
        <f>IFERROR(__xludf.DUMMYFUNCTION("""COMPUTED_VALUE"""),"VELEZ")</f>
        <v>VELEZ</v>
      </c>
      <c r="C60" s="62" t="str">
        <f>IFERROR(__xludf.DUMMYFUNCTION("""COMPUTED_VALUE"""),"RODRIGUEZ")</f>
        <v>RODRIGUEZ</v>
      </c>
      <c r="D60" s="63" t="str">
        <f>IFERROR(__xludf.DUMMYFUNCTION("""COMPUTED_VALUE"""),"PAULA VALERIA")</f>
        <v>PAULA VALERIA</v>
      </c>
      <c r="E60" s="153">
        <f>IFERROR(__xludf.DUMMYFUNCTION("""COMPUTED_VALUE"""),6.4)</f>
        <v>6.4</v>
      </c>
      <c r="F60" s="153">
        <f>IFERROR(__xludf.DUMMYFUNCTION("""COMPUTED_VALUE"""),1.8)</f>
        <v>1.8</v>
      </c>
      <c r="G60" s="153"/>
      <c r="H60" s="154">
        <f>IFERROR(__xludf.DUMMYFUNCTION("""COMPUTED_VALUE"""),8.200000000000001)</f>
        <v>8.2</v>
      </c>
      <c r="I60" s="160">
        <f>IFERROR(__xludf.DUMMYFUNCTION("""COMPUTED_VALUE"""),0.0)</f>
        <v>0</v>
      </c>
      <c r="J60" s="156">
        <f>IFERROR(__xludf.DUMMYFUNCTION("""COMPUTED_VALUE"""),8.0)</f>
        <v>8</v>
      </c>
      <c r="K60" s="155"/>
      <c r="L60" s="159">
        <f>IFERROR(__xludf.DUMMYFUNCTION("""COMPUTED_VALUE"""),8.0)</f>
        <v>8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"/>
    </row>
    <row r="61" ht="24.75" customHeight="1">
      <c r="A61" s="152">
        <f>IFERROR(__xludf.DUMMYFUNCTION("""COMPUTED_VALUE"""),45.0)</f>
        <v>45</v>
      </c>
      <c r="B61" s="65" t="str">
        <f>IFERROR(__xludf.DUMMYFUNCTION("""COMPUTED_VALUE"""),"YAÑEZ")</f>
        <v>YAÑEZ</v>
      </c>
      <c r="C61" s="62" t="str">
        <f>IFERROR(__xludf.DUMMYFUNCTION("""COMPUTED_VALUE"""),"MERCADO")</f>
        <v>MERCADO</v>
      </c>
      <c r="D61" s="63" t="str">
        <f>IFERROR(__xludf.DUMMYFUNCTION("""COMPUTED_VALUE"""),"HANNA AYELET")</f>
        <v>HANNA AYELET</v>
      </c>
      <c r="E61" s="153">
        <f>IFERROR(__xludf.DUMMYFUNCTION("""COMPUTED_VALUE"""),8.0)</f>
        <v>8</v>
      </c>
      <c r="F61" s="153">
        <f>IFERROR(__xludf.DUMMYFUNCTION("""COMPUTED_VALUE"""),1.8)</f>
        <v>1.8</v>
      </c>
      <c r="G61" s="153"/>
      <c r="H61" s="154">
        <f>IFERROR(__xludf.DUMMYFUNCTION("""COMPUTED_VALUE"""),9.8)</f>
        <v>9.8</v>
      </c>
      <c r="I61" s="160">
        <f>IFERROR(__xludf.DUMMYFUNCTION("""COMPUTED_VALUE"""),0.0)</f>
        <v>0</v>
      </c>
      <c r="J61" s="156">
        <f>IFERROR(__xludf.DUMMYFUNCTION("""COMPUTED_VALUE"""),10.0)</f>
        <v>10</v>
      </c>
      <c r="K61" s="155"/>
      <c r="L61" s="159">
        <f>IFERROR(__xludf.DUMMYFUNCTION("""COMPUTED_VALUE"""),10.0)</f>
        <v>10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"/>
    </row>
    <row r="62" ht="24.75" customHeight="1">
      <c r="A62" s="152">
        <f>IFERROR(__xludf.DUMMYFUNCTION("""COMPUTED_VALUE"""),46.0)</f>
        <v>46</v>
      </c>
      <c r="B62" s="65" t="str">
        <f>IFERROR(__xludf.DUMMYFUNCTION("""COMPUTED_VALUE"""),"ZUÑIGA")</f>
        <v>ZUÑIGA</v>
      </c>
      <c r="C62" s="62" t="str">
        <f>IFERROR(__xludf.DUMMYFUNCTION("""COMPUTED_VALUE"""),"ARIZAGA")</f>
        <v>ARIZAGA</v>
      </c>
      <c r="D62" s="63" t="str">
        <f>IFERROR(__xludf.DUMMYFUNCTION("""COMPUTED_VALUE"""),"ISRAEL")</f>
        <v>ISRAEL</v>
      </c>
      <c r="E62" s="153">
        <f>IFERROR(__xludf.DUMMYFUNCTION("""COMPUTED_VALUE"""),8.0)</f>
        <v>8</v>
      </c>
      <c r="F62" s="153">
        <f>IFERROR(__xludf.DUMMYFUNCTION("""COMPUTED_VALUE"""),1.8)</f>
        <v>1.8</v>
      </c>
      <c r="G62" s="153"/>
      <c r="H62" s="154">
        <f>IFERROR(__xludf.DUMMYFUNCTION("""COMPUTED_VALUE"""),9.8)</f>
        <v>9.8</v>
      </c>
      <c r="I62" s="160">
        <f>IFERROR(__xludf.DUMMYFUNCTION("""COMPUTED_VALUE"""),0.0)</f>
        <v>0</v>
      </c>
      <c r="J62" s="156">
        <f>IFERROR(__xludf.DUMMYFUNCTION("""COMPUTED_VALUE"""),10.0)</f>
        <v>10</v>
      </c>
      <c r="K62" s="155"/>
      <c r="L62" s="159">
        <f>IFERROR(__xludf.DUMMYFUNCTION("""COMPUTED_VALUE"""),10.0)</f>
        <v>10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"/>
    </row>
    <row r="63" ht="24.75" customHeight="1">
      <c r="A63" s="152">
        <f>IFERROR(__xludf.DUMMYFUNCTION("""COMPUTED_VALUE"""),47.0)</f>
        <v>47</v>
      </c>
      <c r="B63" s="65" t="str">
        <f>IFERROR(__xludf.DUMMYFUNCTION("""COMPUTED_VALUE"""),"ZUÑIGA")</f>
        <v>ZUÑIGA</v>
      </c>
      <c r="C63" s="62" t="str">
        <f>IFERROR(__xludf.DUMMYFUNCTION("""COMPUTED_VALUE"""),"NAVARRETE")</f>
        <v>NAVARRETE</v>
      </c>
      <c r="D63" s="63" t="str">
        <f>IFERROR(__xludf.DUMMYFUNCTION("""COMPUTED_VALUE"""),"IRVING")</f>
        <v>IRVING</v>
      </c>
      <c r="E63" s="153">
        <f>IFERROR(__xludf.DUMMYFUNCTION("""COMPUTED_VALUE"""),8.0)</f>
        <v>8</v>
      </c>
      <c r="F63" s="153">
        <f>IFERROR(__xludf.DUMMYFUNCTION("""COMPUTED_VALUE"""),1.8)</f>
        <v>1.8</v>
      </c>
      <c r="G63" s="153"/>
      <c r="H63" s="154">
        <f>IFERROR(__xludf.DUMMYFUNCTION("""COMPUTED_VALUE"""),9.8)</f>
        <v>9.8</v>
      </c>
      <c r="I63" s="160">
        <f>IFERROR(__xludf.DUMMYFUNCTION("""COMPUTED_VALUE"""),0.0)</f>
        <v>0</v>
      </c>
      <c r="J63" s="156">
        <f>IFERROR(__xludf.DUMMYFUNCTION("""COMPUTED_VALUE"""),10.0)</f>
        <v>10</v>
      </c>
      <c r="K63" s="155"/>
      <c r="L63" s="159">
        <f>IFERROR(__xludf.DUMMYFUNCTION("""COMPUTED_VALUE"""),10.0)</f>
        <v>10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"/>
    </row>
    <row r="64" ht="24.75" customHeight="1">
      <c r="A64" s="152"/>
      <c r="B64" s="65"/>
      <c r="C64" s="62"/>
      <c r="D64" s="63"/>
      <c r="E64" s="153"/>
      <c r="F64" s="153"/>
      <c r="G64" s="153"/>
      <c r="H64" s="154"/>
      <c r="I64" s="160"/>
      <c r="J64" s="156"/>
      <c r="K64" s="155"/>
      <c r="L64" s="15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"/>
    </row>
    <row r="65" ht="24.75" customHeight="1">
      <c r="A65" s="124"/>
      <c r="B65" s="161" t="str">
        <f>IFERROR(__xludf.DUMMYFUNCTION("""COMPUTED_VALUE"""),"No. DE ALUMNOS INSCRITOS")</f>
        <v>No. DE ALUMNOS INSCRITOS</v>
      </c>
      <c r="C65" s="161"/>
      <c r="D65" s="125">
        <f>IFERROR(__xludf.DUMMYFUNCTION("""COMPUTED_VALUE"""),47.0)</f>
        <v>47</v>
      </c>
      <c r="E65" s="162"/>
      <c r="F65" s="162" t="str">
        <f>IFERROR(__xludf.DUMMYFUNCTION("""COMPUTED_VALUE"""),"FIRMA DEL PROFESOR")</f>
        <v>FIRMA DEL PROFESOR</v>
      </c>
      <c r="G65" s="162"/>
      <c r="H65" s="162" t="str">
        <f>IFERROR(__xludf.DUMMYFUNCTION("""COMPUTED_VALUE"""),"FIRMA DEL ORIENTADOR")</f>
        <v>FIRMA DEL ORIENTADOR</v>
      </c>
      <c r="I65" s="130"/>
      <c r="J65" s="163" t="str">
        <f>IFERROR(__xludf.DUMMYFUNCTION("""COMPUTED_VALUE"""),"Vo. Bo. SUBDIRECCIÓN ESCOLAR")</f>
        <v>Vo. Bo. SUBDIRECCIÓN ESCOLAR</v>
      </c>
      <c r="K65" s="126" t="str">
        <f>IFERROR(__xludf.DUMMYFUNCTION("""COMPUTED_VALUE"""),"REVISADO POR SECRETARIA ESCOLAR ")</f>
        <v>REVISADO POR SECRETARIA ESCOLAR </v>
      </c>
      <c r="L65" s="16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"/>
    </row>
    <row r="66" ht="24.75" customHeight="1">
      <c r="A66" s="119"/>
      <c r="B66" s="164" t="str">
        <f>IFERROR(__xludf.DUMMYFUNCTION("""COMPUTED_VALUE"""),"BAJAS DURANTE EL SEMESTRE")</f>
        <v>BAJAS DURANTE EL SEMESTRE</v>
      </c>
      <c r="C66" s="72"/>
      <c r="D66" s="165">
        <f>IFERROR(__xludf.DUMMYFUNCTION("""COMPUTED_VALUE"""),0.0)</f>
        <v>0</v>
      </c>
      <c r="E66" s="162"/>
      <c r="F66" s="166"/>
      <c r="G66" s="162"/>
      <c r="H66" s="166"/>
      <c r="J66" s="167"/>
      <c r="K66" s="168"/>
      <c r="L66" s="16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"/>
    </row>
    <row r="67" ht="24.75" customHeight="1">
      <c r="A67" s="119"/>
      <c r="B67" s="169" t="str">
        <f>IFERROR(__xludf.DUMMYFUNCTION("""COMPUTED_VALUE"""),"EXISTENCIA")</f>
        <v>EXISTENCIA</v>
      </c>
      <c r="C67" s="79"/>
      <c r="D67" s="170">
        <f>IFERROR(__xludf.DUMMYFUNCTION("""COMPUTED_VALUE"""),47.0)</f>
        <v>47</v>
      </c>
      <c r="E67" s="162"/>
      <c r="G67" s="162"/>
      <c r="K67" s="10"/>
      <c r="L67" s="16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"/>
    </row>
    <row r="68" ht="24.75" customHeight="1">
      <c r="A68" s="119"/>
      <c r="B68" s="169" t="str">
        <f>IFERROR(__xludf.DUMMYFUNCTION("""COMPUTED_VALUE"""),"No. DE ALUMNOS APROBADOS")</f>
        <v>No. DE ALUMNOS APROBADOS</v>
      </c>
      <c r="C68" s="79"/>
      <c r="D68" s="172">
        <f>IFERROR(__xludf.DUMMYFUNCTION("""COMPUTED_VALUE"""),43.0)</f>
        <v>43</v>
      </c>
      <c r="E68" s="162"/>
      <c r="F68" s="162"/>
      <c r="G68" s="162"/>
      <c r="H68" s="162"/>
      <c r="I68" s="130"/>
      <c r="J68" s="163"/>
      <c r="K68" s="126"/>
      <c r="L68" s="16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"/>
    </row>
    <row r="69" ht="24.75" customHeight="1">
      <c r="A69" s="119"/>
      <c r="B69" s="169" t="str">
        <f>IFERROR(__xludf.DUMMYFUNCTION("""COMPUTED_VALUE"""),"No. DE ALUMNOS REPROBADOS")</f>
        <v>No. DE ALUMNOS REPROBADOS</v>
      </c>
      <c r="C69" s="79"/>
      <c r="D69" s="172">
        <f>IFERROR(__xludf.DUMMYFUNCTION("""COMPUTED_VALUE"""),4.0)</f>
        <v>4</v>
      </c>
      <c r="E69" s="162"/>
      <c r="F69" s="162"/>
      <c r="G69" s="162"/>
      <c r="H69" s="162"/>
      <c r="I69" s="130"/>
      <c r="J69" s="163"/>
      <c r="K69" s="126"/>
      <c r="L69" s="163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"/>
    </row>
    <row r="70" ht="13.5" customHeight="1">
      <c r="A70" s="119"/>
      <c r="B70" s="169" t="str">
        <f>IFERROR(__xludf.DUMMYFUNCTION("""COMPUTED_VALUE"""),"% DE APROBADOS")</f>
        <v>% DE APROBADOS</v>
      </c>
      <c r="C70" s="79"/>
      <c r="D70" s="172">
        <f>IFERROR(__xludf.DUMMYFUNCTION("""COMPUTED_VALUE"""),91.48936170212765)</f>
        <v>91.4893617</v>
      </c>
      <c r="E70" s="130"/>
      <c r="F70" s="203" t="str">
        <f>IFERROR(__xludf.DUMMYFUNCTION("""COMPUTED_VALUE"""),"PROFR. ")</f>
        <v>PROFR. </v>
      </c>
      <c r="G70" s="125"/>
      <c r="H70" s="203" t="str">
        <f>IFERROR(__xludf.DUMMYFUNCTION("""COMPUTED_VALUE"""),"PROFA. JUANA RANGEL PALACIOS ")</f>
        <v>PROFA. JUANA RANGEL PALACIOS </v>
      </c>
      <c r="I70" s="173"/>
      <c r="J70" s="204" t="str">
        <f>IFERROR(__xludf.DUMMYFUNCTION("""COMPUTED_VALUE"""),"PROFR. OCTAVIO VÁZQUEZ BARRETO")</f>
        <v>PROFR. OCTAVIO VÁZQUEZ BARRETO</v>
      </c>
      <c r="K70" s="175" t="str">
        <f>IFERROR(__xludf.DUMMYFUNCTION("""COMPUTED_VALUE"""),"PROFR. ROBERTO PALOMARES MEJÍA ")</f>
        <v>PROFR. ROBERTO PALOMARES MEJÍA </v>
      </c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"/>
    </row>
    <row r="71" ht="21.75" customHeight="1">
      <c r="A71" s="176"/>
      <c r="B71" s="205" t="str">
        <f>IFERROR(__xludf.DUMMYFUNCTION("""COMPUTED_VALUE"""),"PROMEDIO")</f>
        <v>PROMEDIO</v>
      </c>
      <c r="C71" s="79"/>
      <c r="D71" s="177">
        <f>IFERROR(__xludf.DUMMYFUNCTION("""COMPUTED_VALUE"""),8.851063829787234)</f>
        <v>8.85106383</v>
      </c>
      <c r="E71" s="125"/>
      <c r="F71" s="206"/>
      <c r="G71" s="128"/>
      <c r="H71" s="207"/>
      <c r="J71" s="208"/>
      <c r="K71" s="181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"/>
    </row>
    <row r="72" ht="21.75" customHeight="1">
      <c r="A72" s="176"/>
      <c r="B72" s="182"/>
      <c r="C72" s="97"/>
      <c r="D72" s="183"/>
      <c r="E72" s="125"/>
      <c r="G72" s="128"/>
      <c r="K72" s="10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"/>
    </row>
    <row r="73" ht="21.75" customHeight="1">
      <c r="A73" s="184"/>
      <c r="B73" s="119"/>
      <c r="C73" s="119"/>
      <c r="D73" s="119"/>
      <c r="E73" s="119"/>
      <c r="F73" s="119"/>
      <c r="G73" s="119"/>
      <c r="H73" s="119"/>
      <c r="I73" s="119"/>
      <c r="J73" s="119"/>
      <c r="K73" s="126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"/>
    </row>
    <row r="74" ht="21.75" customHeight="1">
      <c r="A74" s="185"/>
      <c r="B74" s="186"/>
      <c r="C74" s="187"/>
      <c r="D74" s="188"/>
      <c r="E74" s="125"/>
      <c r="G74" s="125"/>
      <c r="H74" s="125"/>
      <c r="I74" s="125"/>
      <c r="J74" s="125"/>
      <c r="K74" s="189"/>
      <c r="L74" s="125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"/>
    </row>
    <row r="75" ht="21.75" customHeight="1">
      <c r="A75" s="190"/>
      <c r="B75" s="125"/>
      <c r="C75" s="125"/>
      <c r="D75" s="161"/>
      <c r="E75" s="125"/>
      <c r="F75" s="119"/>
      <c r="G75" s="119"/>
      <c r="H75" s="119"/>
      <c r="I75" s="119"/>
      <c r="J75" s="119"/>
      <c r="K75" s="126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"/>
    </row>
    <row r="76" ht="27.75" customHeight="1">
      <c r="A76" s="190"/>
      <c r="B76" s="125"/>
      <c r="C76" s="125"/>
      <c r="D76" s="191"/>
      <c r="E76" s="125"/>
      <c r="F76" s="192"/>
      <c r="G76" s="119"/>
      <c r="H76" s="192"/>
      <c r="I76" s="192"/>
      <c r="J76" s="192"/>
      <c r="K76" s="193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"/>
    </row>
    <row r="77" ht="21.75" customHeight="1">
      <c r="A77" s="194"/>
      <c r="B77" s="195"/>
      <c r="C77" s="195"/>
      <c r="D77" s="196"/>
      <c r="E77" s="197"/>
      <c r="F77" s="198"/>
      <c r="G77" s="199"/>
      <c r="H77" s="198"/>
      <c r="I77" s="198"/>
      <c r="J77" s="198"/>
      <c r="K77" s="200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"/>
    </row>
    <row r="78" ht="13.5" customHeight="1">
      <c r="A78" s="119"/>
      <c r="B78" s="125"/>
      <c r="C78" s="125"/>
      <c r="D78" s="125"/>
      <c r="E78" s="125"/>
      <c r="F78" s="119"/>
      <c r="G78" s="119"/>
      <c r="H78" s="119"/>
      <c r="I78" s="119"/>
      <c r="J78" s="128"/>
      <c r="K78" s="128"/>
      <c r="L78" s="128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"/>
    </row>
    <row r="79" ht="13.5" customHeight="1">
      <c r="A79" s="119"/>
      <c r="B79" s="125"/>
      <c r="C79" s="125"/>
      <c r="D79" s="125"/>
      <c r="E79" s="125"/>
      <c r="F79" s="119"/>
      <c r="G79" s="119"/>
      <c r="H79" s="119"/>
      <c r="I79" s="119"/>
      <c r="J79" s="128"/>
      <c r="K79" s="128"/>
      <c r="L79" s="128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"/>
    </row>
    <row r="80" ht="13.5" customHeight="1">
      <c r="A80" s="119"/>
      <c r="B80" s="125"/>
      <c r="C80" s="125"/>
      <c r="D80" s="125"/>
      <c r="E80" s="125"/>
      <c r="F80" s="119"/>
      <c r="G80" s="119"/>
      <c r="H80" s="119"/>
      <c r="I80" s="119"/>
      <c r="J80" s="128"/>
      <c r="K80" s="128"/>
      <c r="L80" s="128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"/>
    </row>
    <row r="81" ht="13.5" customHeight="1">
      <c r="A81" s="119"/>
      <c r="B81" s="125"/>
      <c r="C81" s="125"/>
      <c r="D81" s="125"/>
      <c r="E81" s="125"/>
      <c r="F81" s="119"/>
      <c r="G81" s="119"/>
      <c r="H81" s="119"/>
      <c r="I81" s="119"/>
      <c r="J81" s="128"/>
      <c r="K81" s="128"/>
      <c r="L81" s="128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"/>
    </row>
    <row r="82" ht="13.5" customHeight="1">
      <c r="A82" s="119"/>
      <c r="B82" s="125"/>
      <c r="C82" s="125"/>
      <c r="D82" s="125"/>
      <c r="E82" s="125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"/>
    </row>
    <row r="83" ht="14.25" customHeight="1">
      <c r="A83" s="119"/>
      <c r="B83" s="125"/>
      <c r="C83" s="125"/>
      <c r="D83" s="125"/>
      <c r="E83" s="125"/>
      <c r="F83" s="119"/>
      <c r="G83" s="119"/>
      <c r="H83" s="119"/>
      <c r="I83" s="119"/>
      <c r="J83" s="119"/>
      <c r="K83" s="163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"/>
    </row>
    <row r="84" ht="14.25" customHeight="1">
      <c r="A84" s="119"/>
      <c r="B84" s="125"/>
      <c r="C84" s="125"/>
      <c r="D84" s="125"/>
      <c r="E84" s="125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"/>
    </row>
    <row r="85" ht="14.25" customHeight="1">
      <c r="A85" s="119"/>
      <c r="B85" s="125"/>
      <c r="C85" s="125"/>
      <c r="D85" s="125"/>
      <c r="E85" s="125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"/>
    </row>
    <row r="86" ht="14.25" customHeight="1">
      <c r="A86" s="119"/>
      <c r="B86" s="125"/>
      <c r="C86" s="125"/>
      <c r="D86" s="125"/>
      <c r="E86" s="125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"/>
    </row>
    <row r="87" ht="14.25" customHeight="1">
      <c r="A87" s="119"/>
      <c r="B87" s="125"/>
      <c r="C87" s="125"/>
      <c r="D87" s="125"/>
      <c r="E87" s="125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"/>
    </row>
    <row r="88" ht="14.25" customHeight="1">
      <c r="A88" s="119"/>
      <c r="B88" s="125"/>
      <c r="C88" s="125"/>
      <c r="D88" s="125"/>
      <c r="E88" s="125"/>
      <c r="F88" s="119"/>
      <c r="G88" s="119"/>
      <c r="H88" s="119"/>
      <c r="I88" s="119"/>
      <c r="J88" s="119"/>
      <c r="K88" s="163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"/>
    </row>
    <row r="89" ht="14.25" customHeight="1">
      <c r="A89" s="119"/>
      <c r="B89" s="125"/>
      <c r="C89" s="125"/>
      <c r="D89" s="125"/>
      <c r="E89" s="125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"/>
    </row>
    <row r="90" ht="14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"/>
    </row>
    <row r="91" ht="14.2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"/>
    </row>
    <row r="92" ht="14.2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"/>
    </row>
    <row r="93" ht="14.2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"/>
    </row>
    <row r="94" ht="14.2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"/>
    </row>
    <row r="95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"/>
    </row>
    <row r="9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"/>
    </row>
    <row r="97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"/>
    </row>
    <row r="98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"/>
    </row>
    <row r="99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"/>
    </row>
    <row r="100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"/>
    </row>
    <row r="101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"/>
    </row>
    <row r="102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"/>
    </row>
    <row r="103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"/>
    </row>
    <row r="104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"/>
    </row>
    <row r="105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"/>
    </row>
    <row r="10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"/>
    </row>
    <row r="107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"/>
    </row>
    <row r="108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"/>
    </row>
    <row r="109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"/>
    </row>
    <row r="110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"/>
    </row>
    <row r="111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"/>
    </row>
    <row r="112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"/>
    </row>
    <row r="113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"/>
    </row>
    <row r="114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"/>
    </row>
    <row r="115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"/>
    </row>
    <row r="11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"/>
    </row>
    <row r="117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"/>
    </row>
    <row r="118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"/>
    </row>
    <row r="119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"/>
    </row>
    <row r="120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"/>
    </row>
    <row r="121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"/>
    </row>
    <row r="122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"/>
    </row>
    <row r="123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"/>
    </row>
    <row r="124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"/>
    </row>
    <row r="125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"/>
    </row>
    <row r="1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"/>
    </row>
    <row r="127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"/>
    </row>
    <row r="128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"/>
    </row>
    <row r="129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"/>
    </row>
    <row r="130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"/>
    </row>
    <row r="131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"/>
    </row>
    <row r="132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"/>
    </row>
    <row r="133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"/>
    </row>
    <row r="134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"/>
    </row>
    <row r="135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"/>
    </row>
    <row r="13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"/>
    </row>
    <row r="137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"/>
    </row>
    <row r="138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"/>
    </row>
    <row r="139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"/>
    </row>
    <row r="140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"/>
    </row>
    <row r="141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"/>
    </row>
    <row r="142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"/>
    </row>
    <row r="143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"/>
    </row>
    <row r="144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"/>
    </row>
    <row r="145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"/>
    </row>
    <row r="14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"/>
    </row>
    <row r="147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"/>
    </row>
    <row r="148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"/>
    </row>
    <row r="149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"/>
    </row>
    <row r="150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"/>
    </row>
    <row r="151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"/>
    </row>
    <row r="152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"/>
    </row>
    <row r="153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"/>
    </row>
    <row r="154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"/>
    </row>
    <row r="155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"/>
    </row>
    <row r="15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"/>
    </row>
    <row r="157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"/>
    </row>
    <row r="158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"/>
    </row>
    <row r="159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"/>
    </row>
    <row r="160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"/>
    </row>
    <row r="161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"/>
    </row>
    <row r="162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"/>
    </row>
    <row r="163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"/>
    </row>
    <row r="164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"/>
    </row>
    <row r="165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"/>
    </row>
    <row r="16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"/>
    </row>
    <row r="167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"/>
    </row>
    <row r="168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"/>
    </row>
    <row r="169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"/>
    </row>
    <row r="170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"/>
    </row>
    <row r="171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"/>
    </row>
    <row r="172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"/>
    </row>
    <row r="173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"/>
    </row>
    <row r="174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"/>
    </row>
    <row r="175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"/>
    </row>
    <row r="17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"/>
    </row>
    <row r="177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"/>
    </row>
    <row r="178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"/>
    </row>
    <row r="179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"/>
    </row>
    <row r="180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"/>
    </row>
    <row r="181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"/>
    </row>
    <row r="182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"/>
    </row>
    <row r="183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"/>
    </row>
    <row r="184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"/>
    </row>
    <row r="185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"/>
    </row>
    <row r="18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"/>
    </row>
    <row r="187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"/>
    </row>
    <row r="188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"/>
    </row>
    <row r="189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"/>
    </row>
    <row r="190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"/>
    </row>
    <row r="191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"/>
    </row>
    <row r="192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"/>
    </row>
    <row r="193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"/>
    </row>
    <row r="194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"/>
    </row>
    <row r="195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"/>
    </row>
    <row r="19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"/>
    </row>
    <row r="197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"/>
    </row>
    <row r="198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"/>
    </row>
    <row r="199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"/>
    </row>
    <row r="200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"/>
    </row>
    <row r="201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"/>
    </row>
    <row r="202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"/>
    </row>
    <row r="203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"/>
    </row>
    <row r="204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"/>
    </row>
    <row r="205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"/>
    </row>
    <row r="20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"/>
    </row>
    <row r="207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"/>
    </row>
    <row r="208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"/>
    </row>
    <row r="209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"/>
    </row>
    <row r="210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"/>
    </row>
    <row r="211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"/>
    </row>
    <row r="212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"/>
    </row>
    <row r="213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"/>
    </row>
    <row r="214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"/>
    </row>
    <row r="215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"/>
    </row>
    <row r="21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"/>
    </row>
    <row r="217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"/>
    </row>
    <row r="218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"/>
    </row>
    <row r="219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"/>
    </row>
    <row r="220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"/>
    </row>
    <row r="221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"/>
    </row>
    <row r="222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"/>
    </row>
    <row r="223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"/>
    </row>
    <row r="224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"/>
    </row>
    <row r="225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"/>
    </row>
    <row r="2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"/>
    </row>
    <row r="227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"/>
    </row>
    <row r="228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"/>
    </row>
    <row r="229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"/>
    </row>
    <row r="230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"/>
    </row>
    <row r="231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"/>
    </row>
    <row r="232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"/>
    </row>
    <row r="233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"/>
    </row>
    <row r="234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"/>
    </row>
    <row r="235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"/>
    </row>
    <row r="23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"/>
    </row>
    <row r="237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"/>
    </row>
    <row r="238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"/>
    </row>
    <row r="239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"/>
    </row>
    <row r="240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"/>
    </row>
    <row r="241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"/>
    </row>
    <row r="242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"/>
    </row>
    <row r="243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"/>
    </row>
    <row r="244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"/>
    </row>
    <row r="245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"/>
    </row>
    <row r="24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"/>
    </row>
    <row r="247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"/>
    </row>
    <row r="248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"/>
    </row>
    <row r="249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"/>
    </row>
    <row r="250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"/>
    </row>
    <row r="251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"/>
    </row>
    <row r="252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"/>
    </row>
    <row r="253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"/>
    </row>
    <row r="254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"/>
    </row>
    <row r="255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"/>
    </row>
    <row r="25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"/>
    </row>
    <row r="257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"/>
    </row>
    <row r="258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"/>
    </row>
    <row r="259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"/>
    </row>
    <row r="260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"/>
    </row>
    <row r="261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"/>
    </row>
    <row r="262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"/>
    </row>
    <row r="263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"/>
    </row>
    <row r="264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"/>
    </row>
    <row r="265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"/>
    </row>
    <row r="26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"/>
    </row>
    <row r="267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"/>
    </row>
    <row r="268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"/>
    </row>
    <row r="269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"/>
    </row>
    <row r="270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"/>
    </row>
    <row r="271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"/>
    </row>
    <row r="272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"/>
    </row>
    <row r="273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"/>
    </row>
    <row r="274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"/>
    </row>
    <row r="275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"/>
    </row>
    <row r="27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"/>
    </row>
    <row r="277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ht="15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ht="15.75" customHeight="1">
      <c r="A1002" s="176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ht="15.75" customHeight="1">
      <c r="A1003" s="176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ht="15.75" customHeight="1">
      <c r="A1004" s="176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ht="15.75" customHeight="1">
      <c r="A1005" s="176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ht="15.75" customHeight="1">
      <c r="A1006" s="176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ht="15.75" customHeight="1">
      <c r="A1007" s="176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ht="15.75" customHeight="1">
      <c r="A1008" s="176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ht="15.75" customHeight="1">
      <c r="A1009" s="176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ht="15.75" customHeight="1">
      <c r="A1010" s="176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