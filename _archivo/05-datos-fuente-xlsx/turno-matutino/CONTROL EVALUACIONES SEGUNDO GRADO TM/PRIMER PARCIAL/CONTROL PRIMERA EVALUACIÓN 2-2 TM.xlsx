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pensamiento literario" sheetId="1" r:id="rId5"/>
    <sheet state="visible" name="2-2 ingles iv" sheetId="2" r:id="rId6"/>
    <sheet state="visible" name="2-2 temas selectos de matematic" sheetId="3" r:id="rId7"/>
    <sheet state="visible" name="2-2 conciencia historica i" sheetId="4" r:id="rId8"/>
    <sheet state="visible" name="2-2 taller de cultura digital" sheetId="5" r:id="rId9"/>
    <sheet state="visible" name="2-2 reacciones quimicas y conse" sheetId="6" r:id="rId10"/>
    <sheet state="visible" name="2-2 espacio y sociedad" sheetId="7" r:id="rId11"/>
    <sheet state="visible" name="2-2 ciencias sociales iii" sheetId="8" r:id="rId12"/>
    <sheet state="visible" name="2-2 comunidades virtuales" sheetId="9" r:id="rId13"/>
    <sheet state="visible" name="2-2 mantenimiento de redes de c" sheetId="10" r:id="rId14"/>
    <sheet state="visible" name="2-2 actividades artisticas y cu" sheetId="11" r:id="rId15"/>
    <sheet state="visible" name="2-2 educacion integral en sexua" sheetId="12" r:id="rId16"/>
    <sheet state="visible" name="2-2 temas selectos de igualdad " sheetId="13" r:id="rId1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0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sz val="9.0"/>
      <color theme="1"/>
      <name val="&quot;Century Gothic&quot;"/>
    </font>
    <font>
      <sz val="8.0"/>
      <color theme="1"/>
      <name val="&quot;Century Gothic&quot;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b/>
      <color theme="1"/>
      <name val="Arial"/>
    </font>
    <font>
      <b/>
      <color theme="1"/>
      <name val="Gotham Book"/>
    </font>
    <font>
      <color theme="1"/>
      <name val="Arial"/>
    </font>
    <font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horizontal="left" readingOrder="0" shrinkToFit="0" vertical="bottom" wrapText="0"/>
    </xf>
    <xf borderId="23" fillId="0" fontId="12" numFmtId="1" xfId="0" applyAlignment="1" applyBorder="1" applyFont="1" applyNumberFormat="1">
      <alignment horizontal="left" readingOrder="0" shrinkToFit="0" wrapText="0"/>
    </xf>
    <xf borderId="23" fillId="0" fontId="12" numFmtId="0" xfId="0" applyAlignment="1" applyBorder="1" applyFont="1">
      <alignment horizontal="left" readingOrder="0" shrinkToFit="0" vertical="bottom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5" numFmtId="1" xfId="0" applyAlignment="1" applyBorder="1" applyFont="1" applyNumberFormat="1">
      <alignment horizontal="left" readingOrder="0" shrinkToFit="0" vertical="bottom" wrapText="0"/>
    </xf>
    <xf borderId="23" fillId="0" fontId="15" numFmtId="1" xfId="0" applyAlignment="1" applyBorder="1" applyFont="1" applyNumberFormat="1">
      <alignment horizontal="left" readingOrder="0" shrinkToFit="0" wrapText="0"/>
    </xf>
    <xf borderId="23" fillId="0" fontId="15" numFmtId="0" xfId="0" applyAlignment="1" applyBorder="1" applyFont="1">
      <alignment horizontal="left" readingOrder="0" shrinkToFit="0" vertical="bottom" wrapText="0"/>
    </xf>
    <xf borderId="23" fillId="0" fontId="13" numFmtId="0" xfId="0" applyAlignment="1" applyBorder="1" applyFont="1">
      <alignment horizontal="center" readingOrder="0" vertical="center"/>
    </xf>
    <xf borderId="23" fillId="0" fontId="16" numFmtId="0" xfId="0" applyAlignment="1" applyBorder="1" applyFont="1">
      <alignment horizontal="left" readingOrder="0" shrinkToFit="0" vertical="bottom" wrapText="0"/>
    </xf>
    <xf borderId="23" fillId="0" fontId="13" numFmtId="1" xfId="0" applyAlignment="1" applyBorder="1" applyFont="1" applyNumberFormat="1">
      <alignment horizontal="center" readingOrder="0" vertical="center"/>
    </xf>
    <xf borderId="23" fillId="0" fontId="16" numFmtId="1" xfId="0" applyAlignment="1" applyBorder="1" applyFont="1" applyNumberFormat="1">
      <alignment horizontal="left" readingOrder="0" shrinkToFit="0" wrapText="0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7" numFmtId="0" xfId="0" applyFont="1"/>
    <xf borderId="29" fillId="0" fontId="18" numFmtId="1" xfId="0" applyAlignment="1" applyBorder="1" applyFont="1" applyNumberFormat="1">
      <alignment horizontal="right" readingOrder="0" shrinkToFit="1" vertical="center" wrapText="0"/>
    </xf>
    <xf borderId="30" fillId="0" fontId="3" numFmtId="0" xfId="0" applyBorder="1" applyFont="1"/>
    <xf borderId="31" fillId="0" fontId="19" numFmtId="1" xfId="0" applyAlignment="1" applyBorder="1" applyFont="1" applyNumberFormat="1">
      <alignment shrinkToFit="1" vertical="center" wrapText="0"/>
    </xf>
    <xf borderId="0" fillId="0" fontId="20" numFmtId="164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1" numFmtId="1" xfId="0" applyAlignment="1" applyFont="1" applyNumberFormat="1">
      <alignment horizontal="center" shrinkToFit="0" vertical="center" wrapText="1"/>
    </xf>
    <xf borderId="5" fillId="0" fontId="20" numFmtId="0" xfId="0" applyAlignment="1" applyBorder="1" applyFont="1">
      <alignment horizontal="center" shrinkToFit="0" vertical="center" wrapText="1"/>
    </xf>
    <xf borderId="32" fillId="0" fontId="22" numFmtId="1" xfId="0" applyAlignment="1" applyBorder="1" applyFont="1" applyNumberFormat="1">
      <alignment horizontal="right" shrinkToFit="1" vertical="center" wrapText="0"/>
    </xf>
    <xf borderId="33" fillId="0" fontId="3" numFmtId="0" xfId="0" applyBorder="1" applyFont="1"/>
    <xf borderId="34" fillId="0" fontId="19" numFmtId="2" xfId="0" applyAlignment="1" applyBorder="1" applyFont="1" applyNumberFormat="1">
      <alignment shrinkToFit="1" vertical="center" wrapText="0"/>
    </xf>
    <xf borderId="35" fillId="0" fontId="19" numFmtId="2" xfId="0" applyAlignment="1" applyBorder="1" applyFont="1" applyNumberFormat="1">
      <alignment shrinkToFit="1" vertical="center" wrapText="0"/>
    </xf>
    <xf borderId="0" fillId="0" fontId="22" numFmtId="0" xfId="0" applyAlignment="1" applyFont="1">
      <alignment shrinkToFit="1" vertical="center" wrapText="0"/>
    </xf>
    <xf borderId="0" fillId="0" fontId="22" numFmtId="0" xfId="0" applyAlignment="1" applyFont="1">
      <alignment horizontal="center" vertical="center"/>
    </xf>
    <xf borderId="0" fillId="0" fontId="22" numFmtId="0" xfId="0" applyFont="1"/>
    <xf borderId="5" fillId="0" fontId="22" numFmtId="0" xfId="0" applyBorder="1" applyFont="1"/>
    <xf borderId="35" fillId="0" fontId="19" numFmtId="1" xfId="0" applyAlignment="1" applyBorder="1" applyFont="1" applyNumberFormat="1">
      <alignment shrinkToFit="1" vertical="center" wrapText="0"/>
    </xf>
    <xf borderId="20" fillId="0" fontId="22" numFmtId="0" xfId="0" applyAlignment="1" applyBorder="1" applyFont="1">
      <alignment shrinkToFit="1" vertical="center" wrapText="0"/>
    </xf>
    <xf borderId="20" fillId="0" fontId="22" numFmtId="0" xfId="0" applyBorder="1" applyFont="1"/>
    <xf borderId="21" fillId="0" fontId="22" numFmtId="0" xfId="0" applyBorder="1" applyFont="1"/>
    <xf borderId="32" fillId="0" fontId="22" numFmtId="0" xfId="0" applyAlignment="1" applyBorder="1" applyFont="1">
      <alignment horizontal="right" shrinkToFit="1" vertical="center" wrapText="0"/>
    </xf>
    <xf borderId="36" fillId="0" fontId="5" numFmtId="164" xfId="0" applyAlignment="1" applyBorder="1" applyFont="1" applyNumberFormat="1">
      <alignment horizontal="center" readingOrder="0" shrinkToFit="0" vertical="top" wrapText="1"/>
    </xf>
    <xf borderId="0" fillId="0" fontId="22" numFmtId="0" xfId="0" applyAlignment="1" applyFont="1">
      <alignment horizontal="center" vertical="top"/>
    </xf>
    <xf borderId="0" fillId="0" fontId="5" numFmtId="164" xfId="0" applyAlignment="1" applyFont="1" applyNumberFormat="1">
      <alignment horizontal="center" readingOrder="0" shrinkToFit="0" vertical="top" wrapText="1"/>
    </xf>
    <xf borderId="0" fillId="0" fontId="7" numFmtId="1" xfId="0" applyAlignment="1" applyFont="1" applyNumberForma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20" numFmtId="0" xfId="0" applyFont="1"/>
    <xf borderId="37" fillId="0" fontId="18" numFmtId="0" xfId="0" applyAlignment="1" applyBorder="1" applyFont="1">
      <alignment horizontal="right" readingOrder="0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3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4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5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31" fillId="0" fontId="19" numFmtId="0" xfId="0" applyAlignment="1" applyBorder="1" applyFont="1">
      <alignment shrinkToFit="1" vertical="center" wrapText="0"/>
    </xf>
    <xf borderId="34" fillId="0" fontId="19" numFmtId="0" xfId="0" applyAlignment="1" applyBorder="1" applyFont="1">
      <alignment shrinkToFit="1" vertical="center" wrapText="0"/>
    </xf>
    <xf borderId="20" fillId="0" fontId="22" numFmtId="164" xfId="0" applyAlignment="1" applyBorder="1" applyFont="1" applyNumberFormat="1">
      <alignment shrinkToFit="1" vertical="center" wrapText="0"/>
    </xf>
    <xf borderId="8" fillId="2" fontId="5" numFmtId="0" xfId="0" applyAlignment="1" applyBorder="1" applyFont="1">
      <alignment horizontal="center" readingOrder="0" vertical="center"/>
    </xf>
    <xf borderId="0" fillId="0" fontId="7" numFmtId="164" xfId="0" applyAlignment="1" applyFont="1" applyNumberFormat="1">
      <alignment horizontal="center" shrinkToFit="0" vertical="top" wrapText="1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2" fillId="0" fontId="11" numFmtId="0" xfId="0" applyBorder="1" applyFont="1"/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0" fillId="0" fontId="11" numFmtId="0" xfId="0" applyFont="1"/>
    <xf borderId="5" fillId="0" fontId="11" numFmtId="0" xfId="0" applyAlignment="1" applyBorder="1" applyFont="1">
      <alignment vertical="bottom"/>
    </xf>
    <xf borderId="4" fillId="0" fontId="2" numFmtId="0" xfId="0" applyAlignment="1" applyBorder="1" applyFont="1">
      <alignment horizontal="center" shrinkToFit="0" wrapText="1"/>
    </xf>
    <xf borderId="0" fillId="0" fontId="11" numFmtId="0" xfId="0" applyAlignment="1" applyFont="1">
      <alignment vertical="top"/>
    </xf>
    <xf borderId="0" fillId="0" fontId="2" numFmtId="0" xfId="0" applyFont="1"/>
    <xf borderId="0" fillId="0" fontId="11" numFmtId="0" xfId="0" applyFont="1"/>
    <xf borderId="6" fillId="2" fontId="26" numFmtId="0" xfId="0" applyAlignment="1" applyBorder="1" applyFont="1">
      <alignment horizontal="center"/>
    </xf>
    <xf borderId="8" fillId="2" fontId="11" numFmtId="0" xfId="0" applyBorder="1" applyFont="1"/>
    <xf borderId="9" fillId="2" fontId="4" numFmtId="0" xfId="0" applyAlignment="1" applyBorder="1" applyFont="1">
      <alignment horizontal="center"/>
    </xf>
    <xf borderId="10" fillId="2" fontId="4" numFmtId="0" xfId="0" applyAlignment="1" applyBorder="1" applyFont="1">
      <alignment horizontal="center" shrinkToFit="0" wrapText="1"/>
    </xf>
    <xf borderId="11" fillId="2" fontId="4" numFmtId="9" xfId="0" applyAlignment="1" applyBorder="1" applyFont="1" applyNumberFormat="1">
      <alignment horizontal="center"/>
    </xf>
    <xf borderId="13" fillId="2" fontId="26" numFmtId="0" xfId="0" applyAlignment="1" applyBorder="1" applyFont="1">
      <alignment horizontal="center" shrinkToFit="0" wrapText="1"/>
    </xf>
    <xf borderId="14" fillId="2" fontId="26" numFmtId="0" xfId="0" applyAlignment="1" applyBorder="1" applyFont="1">
      <alignment horizontal="center" readingOrder="0" shrinkToFit="0" wrapText="1"/>
    </xf>
    <xf borderId="16" fillId="2" fontId="7" numFmtId="0" xfId="0" applyAlignment="1" applyBorder="1" applyFont="1">
      <alignment horizontal="center" shrinkToFit="0" wrapText="1"/>
    </xf>
    <xf borderId="16" fillId="2" fontId="7" numFmtId="0" xfId="0" applyBorder="1" applyFont="1"/>
    <xf borderId="22" fillId="2" fontId="26" numFmtId="0" xfId="0" applyAlignment="1" applyBorder="1" applyFont="1">
      <alignment horizontal="center"/>
    </xf>
    <xf borderId="23" fillId="2" fontId="26" numFmtId="0" xfId="0" applyAlignment="1" applyBorder="1" applyFont="1">
      <alignment horizontal="center"/>
    </xf>
    <xf borderId="15" fillId="2" fontId="26" numFmtId="0" xfId="0" applyAlignment="1" applyBorder="1" applyFont="1">
      <alignment horizontal="center"/>
    </xf>
    <xf borderId="18" fillId="2" fontId="11" numFmtId="0" xfId="0" applyBorder="1" applyFont="1"/>
    <xf borderId="25" fillId="2" fontId="11" numFmtId="0" xfId="0" applyBorder="1" applyFont="1"/>
    <xf borderId="22" fillId="2" fontId="27" numFmtId="0" xfId="0" applyAlignment="1" applyBorder="1" applyFont="1">
      <alignment horizontal="center"/>
    </xf>
    <xf borderId="27" fillId="2" fontId="27" numFmtId="0" xfId="0" applyAlignment="1" applyBorder="1" applyFont="1">
      <alignment horizontal="center"/>
    </xf>
    <xf borderId="23" fillId="2" fontId="11" numFmtId="0" xfId="0" applyBorder="1" applyFont="1"/>
    <xf borderId="23" fillId="2" fontId="6" numFmtId="0" xfId="0" applyAlignment="1" applyBorder="1" applyFont="1">
      <alignment horizontal="center" shrinkToFit="0" wrapText="1"/>
    </xf>
    <xf borderId="23" fillId="2" fontId="4" numFmtId="0" xfId="0" applyAlignment="1" applyBorder="1" applyFont="1">
      <alignment horizontal="center" shrinkToFit="0" wrapText="1"/>
    </xf>
    <xf borderId="28" fillId="2" fontId="4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1" numFmtId="164" xfId="0" applyBorder="1" applyFont="1" applyNumberFormat="1"/>
    <xf borderId="23" fillId="0" fontId="1" numFmtId="164" xfId="0" applyAlignment="1" applyBorder="1" applyFont="1" applyNumberFormat="1">
      <alignment horizontal="center"/>
    </xf>
    <xf borderId="23" fillId="0" fontId="11" numFmtId="0" xfId="0" applyBorder="1" applyFont="1"/>
    <xf borderId="23" fillId="2" fontId="14" numFmtId="1" xfId="0" applyAlignment="1" applyBorder="1" applyFont="1" applyNumberFormat="1">
      <alignment horizontal="center"/>
    </xf>
    <xf borderId="23" fillId="0" fontId="11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3" fillId="0" fontId="1" numFmtId="1" xfId="0" applyAlignment="1" applyBorder="1" applyFont="1" applyNumberFormat="1">
      <alignment horizontal="center"/>
    </xf>
    <xf borderId="23" fillId="0" fontId="11" numFmtId="0" xfId="0" applyBorder="1" applyFont="1"/>
    <xf borderId="0" fillId="0" fontId="11" numFmtId="1" xfId="0" applyFont="1" applyNumberFormat="1"/>
    <xf borderId="0" fillId="0" fontId="11" numFmtId="164" xfId="0" applyFont="1" applyNumberFormat="1"/>
    <xf borderId="0" fillId="0" fontId="11" numFmtId="1" xfId="0" applyAlignment="1" applyFont="1" applyNumberFormat="1">
      <alignment vertical="bottom"/>
    </xf>
    <xf borderId="29" fillId="0" fontId="28" numFmtId="1" xfId="0" applyAlignment="1" applyBorder="1" applyFont="1" applyNumberFormat="1">
      <alignment horizontal="right"/>
    </xf>
    <xf borderId="31" fillId="0" fontId="19" numFmtId="0" xfId="0" applyAlignment="1" applyBorder="1" applyFont="1">
      <alignment horizontal="right"/>
    </xf>
    <xf borderId="0" fillId="0" fontId="20" numFmtId="164" xfId="0" applyAlignment="1" applyFont="1" applyNumberFormat="1">
      <alignment horizontal="center" shrinkToFit="0" wrapText="1"/>
    </xf>
    <xf borderId="0" fillId="0" fontId="21" numFmtId="1" xfId="0" applyAlignment="1" applyFont="1" applyNumberFormat="1">
      <alignment horizontal="center" shrinkToFit="0" wrapText="1"/>
    </xf>
    <xf borderId="5" fillId="0" fontId="20" numFmtId="0" xfId="0" applyAlignment="1" applyBorder="1" applyFont="1">
      <alignment horizontal="center" shrinkToFit="0" wrapText="1"/>
    </xf>
    <xf borderId="32" fillId="0" fontId="29" numFmtId="1" xfId="0" applyAlignment="1" applyBorder="1" applyFont="1" applyNumberFormat="1">
      <alignment horizontal="right"/>
    </xf>
    <xf borderId="34" fillId="0" fontId="19" numFmtId="0" xfId="0" applyAlignment="1" applyBorder="1" applyFont="1">
      <alignment horizontal="right"/>
    </xf>
    <xf borderId="35" fillId="0" fontId="19" numFmtId="1" xfId="0" applyAlignment="1" applyBorder="1" applyFont="1" applyNumberFormat="1">
      <alignment horizontal="right"/>
    </xf>
    <xf borderId="20" fillId="0" fontId="11" numFmtId="0" xfId="0" applyBorder="1" applyFont="1"/>
    <xf borderId="20" fillId="0" fontId="11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32" fillId="0" fontId="29" numFmtId="0" xfId="0" applyAlignment="1" applyBorder="1" applyFont="1">
      <alignment horizontal="right"/>
    </xf>
    <xf borderId="35" fillId="0" fontId="19" numFmtId="2" xfId="0" applyAlignment="1" applyBorder="1" applyFont="1" applyNumberFormat="1">
      <alignment horizontal="right"/>
    </xf>
    <xf borderId="36" fillId="0" fontId="26" numFmtId="164" xfId="0" applyAlignment="1" applyBorder="1" applyFont="1" applyNumberFormat="1">
      <alignment horizontal="center" shrinkToFit="0" vertical="top" wrapText="1"/>
    </xf>
    <xf borderId="0" fillId="0" fontId="7" numFmtId="1" xfId="0" applyAlignment="1" applyFont="1" applyNumberForma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37" fillId="0" fontId="28" numFmtId="0" xfId="0" applyAlignment="1" applyBorder="1" applyFont="1">
      <alignment horizontal="right"/>
    </xf>
    <xf borderId="39" fillId="0" fontId="14" numFmtId="2" xfId="0" applyAlignment="1" applyBorder="1" applyFont="1" applyNumberFormat="1">
      <alignment horizontal="right"/>
    </xf>
    <xf borderId="4" fillId="0" fontId="11" numFmtId="0" xfId="0" applyAlignment="1" applyBorder="1" applyFont="1">
      <alignment vertical="bottom"/>
    </xf>
    <xf borderId="40" fillId="4" fontId="11" numFmtId="0" xfId="0" applyBorder="1" applyFill="1" applyFont="1"/>
    <xf borderId="41" fillId="4" fontId="11" numFmtId="0" xfId="0" applyBorder="1" applyFont="1"/>
    <xf borderId="0" fillId="4" fontId="11" numFmtId="0" xfId="0" applyFont="1"/>
    <xf borderId="0" fillId="4" fontId="11" numFmtId="1" xfId="0" applyFont="1" applyNumberFormat="1"/>
    <xf borderId="5" fillId="0" fontId="11" numFmtId="0" xfId="0" applyBorder="1" applyFont="1"/>
    <xf borderId="4" fillId="0" fontId="11" numFmtId="0" xfId="0" applyBorder="1" applyFont="1"/>
    <xf borderId="0" fillId="0" fontId="11" numFmtId="2" xfId="0" applyFont="1" applyNumberFormat="1"/>
    <xf borderId="0" fillId="0" fontId="11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42" fillId="0" fontId="11" numFmtId="0" xfId="0" applyBorder="1" applyFont="1"/>
    <xf borderId="43" fillId="0" fontId="11" numFmtId="0" xfId="0" applyBorder="1" applyFont="1"/>
    <xf borderId="43" fillId="0" fontId="11" numFmtId="2" xfId="0" applyBorder="1" applyFont="1" applyNumberFormat="1"/>
    <xf borderId="43" fillId="0" fontId="11" numFmtId="0" xfId="0" applyBorder="1" applyFont="1"/>
    <xf borderId="43" fillId="0" fontId="11" numFmtId="0" xfId="0" applyAlignment="1" applyBorder="1" applyFont="1">
      <alignment vertical="bottom"/>
    </xf>
    <xf borderId="43" fillId="0" fontId="11" numFmtId="0" xfId="0" applyAlignment="1" applyBorder="1" applyFont="1">
      <alignment vertical="bottom"/>
    </xf>
    <xf borderId="44" fillId="0" fontId="11" numFmtId="0" xfId="0" applyAlignment="1" applyBorder="1" applyFont="1">
      <alignment vertical="bottom"/>
    </xf>
    <xf borderId="31" fillId="0" fontId="19" numFmtId="1" xfId="0" applyAlignment="1" applyBorder="1" applyFont="1" applyNumberFormat="1">
      <alignment horizontal="right"/>
    </xf>
    <xf borderId="34" fillId="0" fontId="19" numFmtId="1" xfId="0" applyAlignment="1" applyBorder="1" applyFont="1" applyNumberFormat="1">
      <alignment horizontal="right"/>
    </xf>
    <xf borderId="23" fillId="0" fontId="11" numFmtId="164" xfId="0" applyAlignment="1" applyBorder="1" applyFont="1" applyNumberFormat="1">
      <alignment readingOrder="0"/>
    </xf>
    <xf borderId="34" fillId="0" fontId="19" numFmtId="2" xfId="0" applyAlignment="1" applyBorder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75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73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133350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75</xdr:row>
      <xdr:rowOff>85725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74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75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152400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74</xdr:row>
      <xdr:rowOff>152400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73</xdr:row>
      <xdr:rowOff>85725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75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75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66675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75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74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200025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74</xdr:row>
      <xdr:rowOff>190500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228600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74</xdr:row>
      <xdr:rowOff>152400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73</xdr:row>
      <xdr:rowOff>190500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314325</xdr:colOff>
      <xdr:row>74</xdr:row>
      <xdr:rowOff>152400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190500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74</xdr:row>
      <xdr:rowOff>114300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152400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74</xdr:row>
      <xdr:rowOff>104775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142875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 t="str">
        <f>IFERROR(__xludf.DUMMYFUNCTION("IMPORTRANGE(""https://docs.google.com/spreadsheets/d/1Bp_n31YOQY73dChHnRTG6fgXrhI35khhILEo81Ke6AA/edit?gid=789053769#gid=789053769"",""2-2 pensamiento literario!a1:q86"")"),"")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IFERROR(__xludf.DUMMYFUNCTION("""COMPUTED_VALUE"""),"IVONNE GABRIELA CEDILLO POLO")</f>
        <v>IVONNE GABRIELA CEDILLO POLO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LITERARIO")</f>
        <v>PENSAMIENTO LITERARIO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55">
        <f>IFERROR(__xludf.DUMMYFUNCTION("""COMPUTED_VALUE"""),7.2)</f>
        <v>7.2</v>
      </c>
      <c r="F17" s="55">
        <f>IFERROR(__xludf.DUMMYFUNCTION("""COMPUTED_VALUE"""),1.9)</f>
        <v>1.9</v>
      </c>
      <c r="G17" s="56">
        <f>IFERROR(__xludf.DUMMYFUNCTION("""COMPUTED_VALUE"""),1.0)</f>
        <v>1</v>
      </c>
      <c r="H17" s="57">
        <f>IFERROR(__xludf.DUMMYFUNCTION("""COMPUTED_VALUE"""),10.1)</f>
        <v>10.1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55">
        <f>IFERROR(__xludf.DUMMYFUNCTION("""COMPUTED_VALUE"""),4.7)</f>
        <v>4.7</v>
      </c>
      <c r="F18" s="55">
        <f>IFERROR(__xludf.DUMMYFUNCTION("""COMPUTED_VALUE"""),1.4)</f>
        <v>1.4</v>
      </c>
      <c r="G18" s="56">
        <f>IFERROR(__xludf.DUMMYFUNCTION("""COMPUTED_VALUE"""),1.0)</f>
        <v>1</v>
      </c>
      <c r="H18" s="57">
        <f>IFERROR(__xludf.DUMMYFUNCTION("""COMPUTED_VALUE"""),7.1)</f>
        <v>7.1</v>
      </c>
      <c r="I18" s="58">
        <f>IFERROR(__xludf.DUMMYFUNCTION("""COMPUTED_VALUE"""),0.0)</f>
        <v>0</v>
      </c>
      <c r="J18" s="59">
        <f>IFERROR(__xludf.DUMMYFUNCTION("""COMPUTED_VALUE"""),7.0)</f>
        <v>7</v>
      </c>
      <c r="K18" s="51"/>
      <c r="L18" s="61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56">
        <f>IFERROR(__xludf.DUMMYFUNCTION("""COMPUTED_VALUE"""),7.4)</f>
        <v>7.4</v>
      </c>
      <c r="F19" s="55">
        <f>IFERROR(__xludf.DUMMYFUNCTION("""COMPUTED_VALUE"""),1.8)</f>
        <v>1.8</v>
      </c>
      <c r="G19" s="56"/>
      <c r="H19" s="57">
        <f>IFERROR(__xludf.DUMMYFUNCTION("""COMPUTED_VALUE"""),9.200000000000001)</f>
        <v>9.2</v>
      </c>
      <c r="I19" s="58">
        <f>IFERROR(__xludf.DUMMYFUNCTION("""COMPUTED_VALUE"""),0.0)</f>
        <v>0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55">
        <f>IFERROR(__xludf.DUMMYFUNCTION("""COMPUTED_VALUE"""),4.3)</f>
        <v>4.3</v>
      </c>
      <c r="F20" s="55">
        <f>IFERROR(__xludf.DUMMYFUNCTION("""COMPUTED_VALUE"""),1.9)</f>
        <v>1.9</v>
      </c>
      <c r="G20" s="56"/>
      <c r="H20" s="57">
        <f>IFERROR(__xludf.DUMMYFUNCTION("""COMPUTED_VALUE"""),6.199999999999999)</f>
        <v>6.2</v>
      </c>
      <c r="I20" s="58">
        <f>IFERROR(__xludf.DUMMYFUNCTION("""COMPUTED_VALUE"""),0.0)</f>
        <v>0</v>
      </c>
      <c r="J20" s="59">
        <f>IFERROR(__xludf.DUMMYFUNCTION("""COMPUTED_VALUE"""),6.0)</f>
        <v>6</v>
      </c>
      <c r="K20" s="51"/>
      <c r="L20" s="61">
        <f>IFERROR(__xludf.DUMMYFUNCTION("""COMPUTED_VALUE"""),6.0)</f>
        <v>6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55">
        <f>IFERROR(__xludf.DUMMYFUNCTION("""COMPUTED_VALUE"""),4.8)</f>
        <v>4.8</v>
      </c>
      <c r="F21" s="55">
        <f>IFERROR(__xludf.DUMMYFUNCTION("""COMPUTED_VALUE"""),1.9)</f>
        <v>1.9</v>
      </c>
      <c r="G21" s="56"/>
      <c r="H21" s="57">
        <f>IFERROR(__xludf.DUMMYFUNCTION("""COMPUTED_VALUE"""),6.699999999999999)</f>
        <v>6.7</v>
      </c>
      <c r="I21" s="58">
        <f>IFERROR(__xludf.DUMMYFUNCTION("""COMPUTED_VALUE"""),0.0)</f>
        <v>0</v>
      </c>
      <c r="J21" s="59">
        <f>IFERROR(__xludf.DUMMYFUNCTION("""COMPUTED_VALUE"""),7.0)</f>
        <v>7</v>
      </c>
      <c r="K21" s="51"/>
      <c r="L21" s="61">
        <f>IFERROR(__xludf.DUMMYFUNCTION("""COMPUTED_VALUE"""),7.0)</f>
        <v>7</v>
      </c>
      <c r="M21" s="1" t="str">
        <f>IFERROR(__xludf.DUMMYFUNCTION("""COMPUTED_VALUE"""),"Mayo")</f>
        <v>Mayo</v>
      </c>
      <c r="N21" s="1">
        <f>IFERROR(__xludf.DUMMYFUNCTION("""COMPUTED_VALUE"""),10.0)</f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55">
        <f>IFERROR(__xludf.DUMMYFUNCTION("""COMPUTED_VALUE"""),5.5)</f>
        <v>5.5</v>
      </c>
      <c r="F22" s="55">
        <f>IFERROR(__xludf.DUMMYFUNCTION("""COMPUTED_VALUE"""),1.0)</f>
        <v>1</v>
      </c>
      <c r="G22" s="56"/>
      <c r="H22" s="57">
        <f>IFERROR(__xludf.DUMMYFUNCTION("""COMPUTED_VALUE"""),6.5)</f>
        <v>6.5</v>
      </c>
      <c r="I22" s="58">
        <f>IFERROR(__xludf.DUMMYFUNCTION("""COMPUTED_VALUE"""),1.0)</f>
        <v>1</v>
      </c>
      <c r="J22" s="59">
        <f>IFERROR(__xludf.DUMMYFUNCTION("""COMPUTED_VALUE"""),7.0)</f>
        <v>7</v>
      </c>
      <c r="K22" s="51"/>
      <c r="L22" s="61">
        <f>IFERROR(__xludf.DUMMYFUNCTION("""COMPUTED_VALUE"""),7.0)</f>
        <v>7</v>
      </c>
      <c r="M22" s="1" t="str">
        <f>IFERROR(__xludf.DUMMYFUNCTION("""COMPUTED_VALUE"""),"Junio")</f>
        <v>Junio</v>
      </c>
      <c r="N22" s="1">
        <f>IFERROR(__xludf.DUMMYFUNCTION("""COMPUTED_VALUE"""),14.0)</f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55">
        <f>IFERROR(__xludf.DUMMYFUNCTION("""COMPUTED_VALUE"""),8.0)</f>
        <v>8</v>
      </c>
      <c r="F23" s="55">
        <f>IFERROR(__xludf.DUMMYFUNCTION("""COMPUTED_VALUE"""),1.9)</f>
        <v>1.9</v>
      </c>
      <c r="G23" s="56">
        <f>IFERROR(__xludf.DUMMYFUNCTION("""COMPUTED_VALUE"""),1.0)</f>
        <v>1</v>
      </c>
      <c r="H23" s="57">
        <f>IFERROR(__xludf.DUMMYFUNCTION("""COMPUTED_VALUE"""),10.9)</f>
        <v>10.9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IFERROR(__xludf.DUMMYFUNCTION("""COMPUTED_VALUE"""),11.0)</f>
        <v>11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56">
        <f>IFERROR(__xludf.DUMMYFUNCTION("""COMPUTED_VALUE"""),5.7)</f>
        <v>5.7</v>
      </c>
      <c r="F24" s="55">
        <f>IFERROR(__xludf.DUMMYFUNCTION("""COMPUTED_VALUE"""),2.0)</f>
        <v>2</v>
      </c>
      <c r="G24" s="56"/>
      <c r="H24" s="57">
        <f>IFERROR(__xludf.DUMMYFUNCTION("""COMPUTED_VALUE"""),7.7)</f>
        <v>7.7</v>
      </c>
      <c r="I24" s="58">
        <f>IFERROR(__xludf.DUMMYFUNCTION("""COMPUTED_VALUE"""),1.0)</f>
        <v>1</v>
      </c>
      <c r="J24" s="59">
        <f>IFERROR(__xludf.DUMMYFUNCTION("""COMPUTED_VALUE"""),8.0)</f>
        <v>8</v>
      </c>
      <c r="K24" s="51"/>
      <c r="L24" s="61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IFERROR(__xludf.DUMMYFUNCTION("""COMPUTED_VALUE"""),58.0)</f>
        <v>58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55">
        <f>IFERROR(__xludf.DUMMYFUNCTION("""COMPUTED_VALUE"""),4.0)</f>
        <v>4</v>
      </c>
      <c r="F25" s="55">
        <f>IFERROR(__xludf.DUMMYFUNCTION("""COMPUTED_VALUE"""),1.9)</f>
        <v>1.9</v>
      </c>
      <c r="G25" s="56"/>
      <c r="H25" s="57">
        <f>IFERROR(__xludf.DUMMYFUNCTION("""COMPUTED_VALUE"""),5.9)</f>
        <v>5.9</v>
      </c>
      <c r="I25" s="58">
        <f>IFERROR(__xludf.DUMMYFUNCTION("""COMPUTED_VALUE"""),0.0)</f>
        <v>0</v>
      </c>
      <c r="J25" s="59">
        <f>IFERROR(__xludf.DUMMYFUNCTION("""COMPUTED_VALUE"""),5.0)</f>
        <v>5</v>
      </c>
      <c r="K25" s="51"/>
      <c r="L25" s="61">
        <f>IFERROR(__xludf.DUMMYFUNCTION("""COMPUTED_VALUE"""),5.0)</f>
        <v>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56">
        <f>IFERROR(__xludf.DUMMYFUNCTION("""COMPUTED_VALUE"""),2.6)</f>
        <v>2.6</v>
      </c>
      <c r="F26" s="55">
        <f>IFERROR(__xludf.DUMMYFUNCTION("""COMPUTED_VALUE"""),1.9)</f>
        <v>1.9</v>
      </c>
      <c r="G26" s="56"/>
      <c r="H26" s="57">
        <f>IFERROR(__xludf.DUMMYFUNCTION("""COMPUTED_VALUE"""),4.5)</f>
        <v>4.5</v>
      </c>
      <c r="I26" s="58">
        <f>IFERROR(__xludf.DUMMYFUNCTION("""COMPUTED_VALUE"""),0.0)</f>
        <v>0</v>
      </c>
      <c r="J26" s="59">
        <f>IFERROR(__xludf.DUMMYFUNCTION("""COMPUTED_VALUE"""),5.0)</f>
        <v>5</v>
      </c>
      <c r="K26" s="51"/>
      <c r="L26" s="61">
        <f>IFERROR(__xludf.DUMMYFUNCTION("""COMPUTED_VALUE"""),4.0)</f>
        <v>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55">
        <f>IFERROR(__xludf.DUMMYFUNCTION("""COMPUTED_VALUE"""),6.4)</f>
        <v>6.4</v>
      </c>
      <c r="F27" s="55">
        <f>IFERROR(__xludf.DUMMYFUNCTION("""COMPUTED_VALUE"""),1.3)</f>
        <v>1.3</v>
      </c>
      <c r="G27" s="56">
        <f>IFERROR(__xludf.DUMMYFUNCTION("""COMPUTED_VALUE"""),1.0)</f>
        <v>1</v>
      </c>
      <c r="H27" s="57">
        <f>IFERROR(__xludf.DUMMYFUNCTION("""COMPUTED_VALUE"""),8.7)</f>
        <v>8.7</v>
      </c>
      <c r="I27" s="58">
        <f>IFERROR(__xludf.DUMMYFUNCTION("""COMPUTED_VALUE"""),0.0)</f>
        <v>0</v>
      </c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55">
        <f>IFERROR(__xludf.DUMMYFUNCTION("""COMPUTED_VALUE"""),3.2)</f>
        <v>3.2</v>
      </c>
      <c r="F28" s="55">
        <f>IFERROR(__xludf.DUMMYFUNCTION("""COMPUTED_VALUE"""),1.2)</f>
        <v>1.2</v>
      </c>
      <c r="G28" s="56"/>
      <c r="H28" s="57">
        <f>IFERROR(__xludf.DUMMYFUNCTION("""COMPUTED_VALUE"""),4.4)</f>
        <v>4.4</v>
      </c>
      <c r="I28" s="58">
        <f>IFERROR(__xludf.DUMMYFUNCTION("""COMPUTED_VALUE"""),1.0)</f>
        <v>1</v>
      </c>
      <c r="J28" s="59">
        <f>IFERROR(__xludf.DUMMYFUNCTION("""COMPUTED_VALUE"""),5.0)</f>
        <v>5</v>
      </c>
      <c r="K28" s="51"/>
      <c r="L28" s="61">
        <f>IFERROR(__xludf.DUMMYFUNCTION("""COMPUTED_VALUE"""),4.0)</f>
        <v>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55">
        <f>IFERROR(__xludf.DUMMYFUNCTION("""COMPUTED_VALUE"""),5.0)</f>
        <v>5</v>
      </c>
      <c r="F29" s="55">
        <f>IFERROR(__xludf.DUMMYFUNCTION("""COMPUTED_VALUE"""),1.4)</f>
        <v>1.4</v>
      </c>
      <c r="G29" s="56"/>
      <c r="H29" s="57">
        <f>IFERROR(__xludf.DUMMYFUNCTION("""COMPUTED_VALUE"""),6.4)</f>
        <v>6.4</v>
      </c>
      <c r="I29" s="58">
        <f>IFERROR(__xludf.DUMMYFUNCTION("""COMPUTED_VALUE"""),0.0)</f>
        <v>0</v>
      </c>
      <c r="J29" s="59">
        <f>IFERROR(__xludf.DUMMYFUNCTION("""COMPUTED_VALUE"""),6.0)</f>
        <v>6</v>
      </c>
      <c r="K29" s="51"/>
      <c r="L29" s="61">
        <f>IFERROR(__xludf.DUMMYFUNCTION("""COMPUTED_VALUE"""),6.0)</f>
        <v>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56">
        <f>IFERROR(__xludf.DUMMYFUNCTION("""COMPUTED_VALUE"""),7.8)</f>
        <v>7.8</v>
      </c>
      <c r="F30" s="55">
        <f>IFERROR(__xludf.DUMMYFUNCTION("""COMPUTED_VALUE"""),1.3)</f>
        <v>1.3</v>
      </c>
      <c r="G30" s="56"/>
      <c r="H30" s="57">
        <f>IFERROR(__xludf.DUMMYFUNCTION("""COMPUTED_VALUE"""),9.1)</f>
        <v>9.1</v>
      </c>
      <c r="I30" s="58">
        <f>IFERROR(__xludf.DUMMYFUNCTION("""COMPUTED_VALUE"""),0.0)</f>
        <v>0</v>
      </c>
      <c r="J30" s="59">
        <f>IFERROR(__xludf.DUMMYFUNCTION("""COMPUTED_VALUE"""),9.0)</f>
        <v>9</v>
      </c>
      <c r="K30" s="51"/>
      <c r="L30" s="61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56">
        <f>IFERROR(__xludf.DUMMYFUNCTION("""COMPUTED_VALUE"""),5.4)</f>
        <v>5.4</v>
      </c>
      <c r="F31" s="55">
        <f>IFERROR(__xludf.DUMMYFUNCTION("""COMPUTED_VALUE"""),1.4)</f>
        <v>1.4</v>
      </c>
      <c r="G31" s="56"/>
      <c r="H31" s="57">
        <f>IFERROR(__xludf.DUMMYFUNCTION("""COMPUTED_VALUE"""),6.800000000000001)</f>
        <v>6.8</v>
      </c>
      <c r="I31" s="58">
        <f>IFERROR(__xludf.DUMMYFUNCTION("""COMPUTED_VALUE"""),0.0)</f>
        <v>0</v>
      </c>
      <c r="J31" s="59">
        <f>IFERROR(__xludf.DUMMYFUNCTION("""COMPUTED_VALUE"""),7.0)</f>
        <v>7</v>
      </c>
      <c r="K31" s="51"/>
      <c r="L31" s="61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55">
        <f>IFERROR(__xludf.DUMMYFUNCTION("""COMPUTED_VALUE"""),7.9)</f>
        <v>7.9</v>
      </c>
      <c r="F32" s="55">
        <f>IFERROR(__xludf.DUMMYFUNCTION("""COMPUTED_VALUE"""),1.3)</f>
        <v>1.3</v>
      </c>
      <c r="G32" s="56">
        <f>IFERROR(__xludf.DUMMYFUNCTION("""COMPUTED_VALUE"""),1.0)</f>
        <v>1</v>
      </c>
      <c r="H32" s="57">
        <f>IFERROR(__xludf.DUMMYFUNCTION("""COMPUTED_VALUE"""),10.200000000000001)</f>
        <v>10.2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55">
        <f>IFERROR(__xludf.DUMMYFUNCTION("""COMPUTED_VALUE"""),3.8)</f>
        <v>3.8</v>
      </c>
      <c r="F33" s="55">
        <f>IFERROR(__xludf.DUMMYFUNCTION("""COMPUTED_VALUE"""),1.7)</f>
        <v>1.7</v>
      </c>
      <c r="G33" s="56"/>
      <c r="H33" s="57">
        <f>IFERROR(__xludf.DUMMYFUNCTION("""COMPUTED_VALUE"""),5.5)</f>
        <v>5.5</v>
      </c>
      <c r="I33" s="58">
        <f>IFERROR(__xludf.DUMMYFUNCTION("""COMPUTED_VALUE"""),0.0)</f>
        <v>0</v>
      </c>
      <c r="J33" s="59">
        <f>IFERROR(__xludf.DUMMYFUNCTION("""COMPUTED_VALUE"""),5.0)</f>
        <v>5</v>
      </c>
      <c r="K33" s="51"/>
      <c r="L33" s="61">
        <f>IFERROR(__xludf.DUMMYFUNCTION("""COMPUTED_VALUE"""),5.0)</f>
        <v>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56">
        <f>IFERROR(__xludf.DUMMYFUNCTION("""COMPUTED_VALUE"""),3.9)</f>
        <v>3.9</v>
      </c>
      <c r="F34" s="55">
        <f>IFERROR(__xludf.DUMMYFUNCTION("""COMPUTED_VALUE"""),1.7)</f>
        <v>1.7</v>
      </c>
      <c r="G34" s="56"/>
      <c r="H34" s="57">
        <f>IFERROR(__xludf.DUMMYFUNCTION("""COMPUTED_VALUE"""),5.6)</f>
        <v>5.6</v>
      </c>
      <c r="I34" s="58">
        <f>IFERROR(__xludf.DUMMYFUNCTION("""COMPUTED_VALUE"""),0.0)</f>
        <v>0</v>
      </c>
      <c r="J34" s="59">
        <f>IFERROR(__xludf.DUMMYFUNCTION("""COMPUTED_VALUE"""),5.0)</f>
        <v>5</v>
      </c>
      <c r="K34" s="51"/>
      <c r="L34" s="61">
        <f>IFERROR(__xludf.DUMMYFUNCTION("""COMPUTED_VALUE"""),5.0)</f>
        <v>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55">
        <f>IFERROR(__xludf.DUMMYFUNCTION("""COMPUTED_VALUE"""),7.9)</f>
        <v>7.9</v>
      </c>
      <c r="F35" s="55">
        <f>IFERROR(__xludf.DUMMYFUNCTION("""COMPUTED_VALUE"""),1.3)</f>
        <v>1.3</v>
      </c>
      <c r="G35" s="56">
        <f>IFERROR(__xludf.DUMMYFUNCTION("""COMPUTED_VALUE"""),1.0)</f>
        <v>1</v>
      </c>
      <c r="H35" s="57">
        <f>IFERROR(__xludf.DUMMYFUNCTION("""COMPUTED_VALUE"""),10.200000000000001)</f>
        <v>10.2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55">
        <f>IFERROR(__xludf.DUMMYFUNCTION("""COMPUTED_VALUE"""),5.5)</f>
        <v>5.5</v>
      </c>
      <c r="F36" s="55">
        <f>IFERROR(__xludf.DUMMYFUNCTION("""COMPUTED_VALUE"""),1.3)</f>
        <v>1.3</v>
      </c>
      <c r="G36" s="56">
        <f>IFERROR(__xludf.DUMMYFUNCTION("""COMPUTED_VALUE"""),1.0)</f>
        <v>1</v>
      </c>
      <c r="H36" s="57">
        <f>IFERROR(__xludf.DUMMYFUNCTION("""COMPUTED_VALUE"""),7.8)</f>
        <v>7.8</v>
      </c>
      <c r="I36" s="58">
        <f>IFERROR(__xludf.DUMMYFUNCTION("""COMPUTED_VALUE"""),0.0)</f>
        <v>0</v>
      </c>
      <c r="J36" s="59">
        <f>IFERROR(__xludf.DUMMYFUNCTION("""COMPUTED_VALUE"""),8.0)</f>
        <v>8</v>
      </c>
      <c r="K36" s="51"/>
      <c r="L36" s="61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56">
        <f>IFERROR(__xludf.DUMMYFUNCTION("""COMPUTED_VALUE"""),1.7)</f>
        <v>1.7</v>
      </c>
      <c r="F37" s="55">
        <f>IFERROR(__xludf.DUMMYFUNCTION("""COMPUTED_VALUE"""),1.1)</f>
        <v>1.1</v>
      </c>
      <c r="G37" s="56"/>
      <c r="H37" s="57">
        <f>IFERROR(__xludf.DUMMYFUNCTION("""COMPUTED_VALUE"""),2.8)</f>
        <v>2.8</v>
      </c>
      <c r="I37" s="58">
        <f>IFERROR(__xludf.DUMMYFUNCTION("""COMPUTED_VALUE"""),4.0)</f>
        <v>4</v>
      </c>
      <c r="J37" s="59">
        <f>IFERROR(__xludf.DUMMYFUNCTION("""COMPUTED_VALUE"""),5.0)</f>
        <v>5</v>
      </c>
      <c r="K37" s="51"/>
      <c r="L37" s="61">
        <f>IFERROR(__xludf.DUMMYFUNCTION("""COMPUTED_VALUE"""),2.0)</f>
        <v>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55">
        <f>IFERROR(__xludf.DUMMYFUNCTION("""COMPUTED_VALUE"""),7.9)</f>
        <v>7.9</v>
      </c>
      <c r="F38" s="55">
        <f>IFERROR(__xludf.DUMMYFUNCTION("""COMPUTED_VALUE"""),1.8)</f>
        <v>1.8</v>
      </c>
      <c r="G38" s="56">
        <f>IFERROR(__xludf.DUMMYFUNCTION("""COMPUTED_VALUE"""),1.0)</f>
        <v>1</v>
      </c>
      <c r="H38" s="57">
        <f>IFERROR(__xludf.DUMMYFUNCTION("""COMPUTED_VALUE"""),10.700000000000001)</f>
        <v>10.7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IFERROR(__xludf.DUMMYFUNCTION("""COMPUTED_VALUE"""),11.0)</f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55">
        <f>IFERROR(__xludf.DUMMYFUNCTION("""COMPUTED_VALUE"""),7.6)</f>
        <v>7.6</v>
      </c>
      <c r="F39" s="55">
        <f>IFERROR(__xludf.DUMMYFUNCTION("""COMPUTED_VALUE"""),1.4)</f>
        <v>1.4</v>
      </c>
      <c r="G39" s="56"/>
      <c r="H39" s="57">
        <f>IFERROR(__xludf.DUMMYFUNCTION("""COMPUTED_VALUE"""),9.0)</f>
        <v>9</v>
      </c>
      <c r="I39" s="58">
        <f>IFERROR(__xludf.DUMMYFUNCTION("""COMPUTED_VALUE"""),0.0)</f>
        <v>0</v>
      </c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55">
        <f>IFERROR(__xludf.DUMMYFUNCTION("""COMPUTED_VALUE"""),7.9)</f>
        <v>7.9</v>
      </c>
      <c r="F40" s="55">
        <f>IFERROR(__xludf.DUMMYFUNCTION("""COMPUTED_VALUE"""),1.7)</f>
        <v>1.7</v>
      </c>
      <c r="G40" s="56">
        <f>IFERROR(__xludf.DUMMYFUNCTION("""COMPUTED_VALUE"""),1.0)</f>
        <v>1</v>
      </c>
      <c r="H40" s="57">
        <f>IFERROR(__xludf.DUMMYFUNCTION("""COMPUTED_VALUE"""),10.6)</f>
        <v>10.6</v>
      </c>
      <c r="I40" s="58">
        <f>IFERROR(__xludf.DUMMYFUNCTION("""COMPUTED_VALUE"""),0.0)</f>
        <v>0</v>
      </c>
      <c r="J40" s="59">
        <f>IFERROR(__xludf.DUMMYFUNCTION("""COMPUTED_VALUE"""),10.0)</f>
        <v>10</v>
      </c>
      <c r="K40" s="51"/>
      <c r="L40" s="61">
        <f>IFERROR(__xludf.DUMMYFUNCTION("""COMPUTED_VALUE"""),11.0)</f>
        <v>11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55">
        <f>IFERROR(__xludf.DUMMYFUNCTION("""COMPUTED_VALUE"""),7.6)</f>
        <v>7.6</v>
      </c>
      <c r="F41" s="55">
        <f>IFERROR(__xludf.DUMMYFUNCTION("""COMPUTED_VALUE"""),1.4)</f>
        <v>1.4</v>
      </c>
      <c r="G41" s="56">
        <f>IFERROR(__xludf.DUMMYFUNCTION("""COMPUTED_VALUE"""),1.0)</f>
        <v>1</v>
      </c>
      <c r="H41" s="57">
        <f>IFERROR(__xludf.DUMMYFUNCTION("""COMPUTED_VALUE"""),10.0)</f>
        <v>10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55">
        <f>IFERROR(__xludf.DUMMYFUNCTION("""COMPUTED_VALUE"""),4.8)</f>
        <v>4.8</v>
      </c>
      <c r="F42" s="55">
        <f>IFERROR(__xludf.DUMMYFUNCTION("""COMPUTED_VALUE"""),1.4)</f>
        <v>1.4</v>
      </c>
      <c r="G42" s="56">
        <f>IFERROR(__xludf.DUMMYFUNCTION("""COMPUTED_VALUE"""),1.0)</f>
        <v>1</v>
      </c>
      <c r="H42" s="57">
        <f>IFERROR(__xludf.DUMMYFUNCTION("""COMPUTED_VALUE"""),7.199999999999999)</f>
        <v>7.2</v>
      </c>
      <c r="I42" s="58">
        <f>IFERROR(__xludf.DUMMYFUNCTION("""COMPUTED_VALUE"""),0.0)</f>
        <v>0</v>
      </c>
      <c r="J42" s="59">
        <f>IFERROR(__xludf.DUMMYFUNCTION("""COMPUTED_VALUE"""),7.0)</f>
        <v>7</v>
      </c>
      <c r="K42" s="51"/>
      <c r="L42" s="61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55">
        <f>IFERROR(__xludf.DUMMYFUNCTION("""COMPUTED_VALUE"""),3.8)</f>
        <v>3.8</v>
      </c>
      <c r="F43" s="55">
        <f>IFERROR(__xludf.DUMMYFUNCTION("""COMPUTED_VALUE"""),1.4)</f>
        <v>1.4</v>
      </c>
      <c r="G43" s="56"/>
      <c r="H43" s="57">
        <f>IFERROR(__xludf.DUMMYFUNCTION("""COMPUTED_VALUE"""),5.199999999999999)</f>
        <v>5.2</v>
      </c>
      <c r="I43" s="58">
        <f>IFERROR(__xludf.DUMMYFUNCTION("""COMPUTED_VALUE"""),4.0)</f>
        <v>4</v>
      </c>
      <c r="J43" s="59">
        <f>IFERROR(__xludf.DUMMYFUNCTION("""COMPUTED_VALUE"""),5.0)</f>
        <v>5</v>
      </c>
      <c r="K43" s="51"/>
      <c r="L43" s="61">
        <f>IFERROR(__xludf.DUMMYFUNCTION("""COMPUTED_VALUE"""),5.0)</f>
        <v>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55">
        <f>IFERROR(__xludf.DUMMYFUNCTION("""COMPUTED_VALUE"""),5.0)</f>
        <v>5</v>
      </c>
      <c r="F44" s="55">
        <f>IFERROR(__xludf.DUMMYFUNCTION("""COMPUTED_VALUE"""),1.4)</f>
        <v>1.4</v>
      </c>
      <c r="G44" s="56">
        <f>IFERROR(__xludf.DUMMYFUNCTION("""COMPUTED_VALUE"""),1.0)</f>
        <v>1</v>
      </c>
      <c r="H44" s="57">
        <f>IFERROR(__xludf.DUMMYFUNCTION("""COMPUTED_VALUE"""),7.4)</f>
        <v>7.4</v>
      </c>
      <c r="I44" s="58">
        <f>IFERROR(__xludf.DUMMYFUNCTION("""COMPUTED_VALUE"""),4.0)</f>
        <v>4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55">
        <f>IFERROR(__xludf.DUMMYFUNCTION("""COMPUTED_VALUE"""),5.2)</f>
        <v>5.2</v>
      </c>
      <c r="F45" s="55">
        <f>IFERROR(__xludf.DUMMYFUNCTION("""COMPUTED_VALUE"""),1.4)</f>
        <v>1.4</v>
      </c>
      <c r="G45" s="56"/>
      <c r="H45" s="57">
        <f>IFERROR(__xludf.DUMMYFUNCTION("""COMPUTED_VALUE"""),6.6)</f>
        <v>6.6</v>
      </c>
      <c r="I45" s="58">
        <f>IFERROR(__xludf.DUMMYFUNCTION("""COMPUTED_VALUE"""),0.0)</f>
        <v>0</v>
      </c>
      <c r="J45" s="59">
        <f>IFERROR(__xludf.DUMMYFUNCTION("""COMPUTED_VALUE"""),7.0)</f>
        <v>7</v>
      </c>
      <c r="K45" s="51"/>
      <c r="L45" s="61">
        <f>IFERROR(__xludf.DUMMYFUNCTION("""COMPUTED_VALUE"""),7.0)</f>
        <v>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55">
        <f>IFERROR(__xludf.DUMMYFUNCTION("""COMPUTED_VALUE"""),7.4)</f>
        <v>7.4</v>
      </c>
      <c r="F46" s="55">
        <f>IFERROR(__xludf.DUMMYFUNCTION("""COMPUTED_VALUE"""),1.9)</f>
        <v>1.9</v>
      </c>
      <c r="G46" s="56">
        <f>IFERROR(__xludf.DUMMYFUNCTION("""COMPUTED_VALUE"""),1.0)</f>
        <v>1</v>
      </c>
      <c r="H46" s="57">
        <f>IFERROR(__xludf.DUMMYFUNCTION("""COMPUTED_VALUE"""),10.3)</f>
        <v>10.3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55">
        <f>IFERROR(__xludf.DUMMYFUNCTION("""COMPUTED_VALUE"""),0.0)</f>
        <v>0</v>
      </c>
      <c r="F47" s="55">
        <f>IFERROR(__xludf.DUMMYFUNCTION("""COMPUTED_VALUE"""),1.7)</f>
        <v>1.7</v>
      </c>
      <c r="G47" s="56"/>
      <c r="H47" s="57">
        <f>IFERROR(__xludf.DUMMYFUNCTION("""COMPUTED_VALUE"""),1.7)</f>
        <v>1.7</v>
      </c>
      <c r="I47" s="58">
        <f>IFERROR(__xludf.DUMMYFUNCTION("""COMPUTED_VALUE"""),0.0)</f>
        <v>0</v>
      </c>
      <c r="J47" s="59">
        <f>IFERROR(__xludf.DUMMYFUNCTION("""COMPUTED_VALUE"""),5.0)</f>
        <v>5</v>
      </c>
      <c r="K47" s="51"/>
      <c r="L47" s="61">
        <f>IFERROR(__xludf.DUMMYFUNCTION("""COMPUTED_VALUE"""),1.0)</f>
        <v>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55">
        <f>IFERROR(__xludf.DUMMYFUNCTION("""COMPUTED_VALUE"""),4.3)</f>
        <v>4.3</v>
      </c>
      <c r="F48" s="55">
        <f>IFERROR(__xludf.DUMMYFUNCTION("""COMPUTED_VALUE"""),1.7)</f>
        <v>1.7</v>
      </c>
      <c r="G48" s="56">
        <f>IFERROR(__xludf.DUMMYFUNCTION("""COMPUTED_VALUE"""),1.0)</f>
        <v>1</v>
      </c>
      <c r="H48" s="57">
        <f>IFERROR(__xludf.DUMMYFUNCTION("""COMPUTED_VALUE"""),7.0)</f>
        <v>7</v>
      </c>
      <c r="I48" s="58">
        <f>IFERROR(__xludf.DUMMYFUNCTION("""COMPUTED_VALUE"""),1.0)</f>
        <v>1</v>
      </c>
      <c r="J48" s="59">
        <f>IFERROR(__xludf.DUMMYFUNCTION("""COMPUTED_VALUE"""),7.0)</f>
        <v>7</v>
      </c>
      <c r="K48" s="51"/>
      <c r="L48" s="61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55">
        <f>IFERROR(__xludf.DUMMYFUNCTION("""COMPUTED_VALUE"""),3.8)</f>
        <v>3.8</v>
      </c>
      <c r="F49" s="55">
        <f>IFERROR(__xludf.DUMMYFUNCTION("""COMPUTED_VALUE"""),1.8)</f>
        <v>1.8</v>
      </c>
      <c r="G49" s="56"/>
      <c r="H49" s="57">
        <f>IFERROR(__xludf.DUMMYFUNCTION("""COMPUTED_VALUE"""),5.6)</f>
        <v>5.6</v>
      </c>
      <c r="I49" s="58">
        <f>IFERROR(__xludf.DUMMYFUNCTION("""COMPUTED_VALUE"""),0.0)</f>
        <v>0</v>
      </c>
      <c r="J49" s="59">
        <f>IFERROR(__xludf.DUMMYFUNCTION("""COMPUTED_VALUE"""),5.0)</f>
        <v>5</v>
      </c>
      <c r="K49" s="51"/>
      <c r="L49" s="61">
        <f>IFERROR(__xludf.DUMMYFUNCTION("""COMPUTED_VALUE"""),5.0)</f>
        <v>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55">
        <f>IFERROR(__xludf.DUMMYFUNCTION("""COMPUTED_VALUE"""),7.9)</f>
        <v>7.9</v>
      </c>
      <c r="F50" s="55">
        <f>IFERROR(__xludf.DUMMYFUNCTION("""COMPUTED_VALUE"""),1.7)</f>
        <v>1.7</v>
      </c>
      <c r="G50" s="56">
        <f>IFERROR(__xludf.DUMMYFUNCTION("""COMPUTED_VALUE"""),1.0)</f>
        <v>1</v>
      </c>
      <c r="H50" s="57">
        <f>IFERROR(__xludf.DUMMYFUNCTION("""COMPUTED_VALUE"""),10.6)</f>
        <v>10.6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IFERROR(__xludf.DUMMYFUNCTION("""COMPUTED_VALUE"""),11.0)</f>
        <v>11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55">
        <f>IFERROR(__xludf.DUMMYFUNCTION("""COMPUTED_VALUE"""),3.8)</f>
        <v>3.8</v>
      </c>
      <c r="F51" s="55">
        <f>IFERROR(__xludf.DUMMYFUNCTION("""COMPUTED_VALUE"""),1.4)</f>
        <v>1.4</v>
      </c>
      <c r="G51" s="56"/>
      <c r="H51" s="57">
        <f>IFERROR(__xludf.DUMMYFUNCTION("""COMPUTED_VALUE"""),5.199999999999999)</f>
        <v>5.2</v>
      </c>
      <c r="I51" s="58">
        <f>IFERROR(__xludf.DUMMYFUNCTION("""COMPUTED_VALUE"""),2.0)</f>
        <v>2</v>
      </c>
      <c r="J51" s="59">
        <f>IFERROR(__xludf.DUMMYFUNCTION("""COMPUTED_VALUE"""),5.0)</f>
        <v>5</v>
      </c>
      <c r="K51" s="51"/>
      <c r="L51" s="61">
        <f>IFERROR(__xludf.DUMMYFUNCTION("""COMPUTED_VALUE"""),5.0)</f>
        <v>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55">
        <f>IFERROR(__xludf.DUMMYFUNCTION("""COMPUTED_VALUE"""),7.6)</f>
        <v>7.6</v>
      </c>
      <c r="F52" s="55">
        <f>IFERROR(__xludf.DUMMYFUNCTION("""COMPUTED_VALUE"""),1.4)</f>
        <v>1.4</v>
      </c>
      <c r="G52" s="56"/>
      <c r="H52" s="57">
        <f>IFERROR(__xludf.DUMMYFUNCTION("""COMPUTED_VALUE"""),9.0)</f>
        <v>9</v>
      </c>
      <c r="I52" s="58">
        <f>IFERROR(__xludf.DUMMYFUNCTION("""COMPUTED_VALUE"""),0.0)</f>
        <v>0</v>
      </c>
      <c r="J52" s="59">
        <f>IFERROR(__xludf.DUMMYFUNCTION("""COMPUTED_VALUE"""),9.0)</f>
        <v>9</v>
      </c>
      <c r="K52" s="51"/>
      <c r="L52" s="60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55">
        <f>IFERROR(__xludf.DUMMYFUNCTION("""COMPUTED_VALUE"""),3.4)</f>
        <v>3.4</v>
      </c>
      <c r="F53" s="55">
        <f>IFERROR(__xludf.DUMMYFUNCTION("""COMPUTED_VALUE"""),1.7)</f>
        <v>1.7</v>
      </c>
      <c r="G53" s="56"/>
      <c r="H53" s="57">
        <f>IFERROR(__xludf.DUMMYFUNCTION("""COMPUTED_VALUE"""),5.1)</f>
        <v>5.1</v>
      </c>
      <c r="I53" s="58">
        <f>IFERROR(__xludf.DUMMYFUNCTION("""COMPUTED_VALUE"""),0.0)</f>
        <v>0</v>
      </c>
      <c r="J53" s="59">
        <f>IFERROR(__xludf.DUMMYFUNCTION("""COMPUTED_VALUE"""),5.0)</f>
        <v>5</v>
      </c>
      <c r="K53" s="51"/>
      <c r="L53" s="60">
        <f>IFERROR(__xludf.DUMMYFUNCTION("""COMPUTED_VALUE"""),5.0)</f>
        <v>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55">
        <f>IFERROR(__xludf.DUMMYFUNCTION("""COMPUTED_VALUE"""),5.7)</f>
        <v>5.7</v>
      </c>
      <c r="F54" s="55">
        <f>IFERROR(__xludf.DUMMYFUNCTION("""COMPUTED_VALUE"""),1.7)</f>
        <v>1.7</v>
      </c>
      <c r="G54" s="56"/>
      <c r="H54" s="57">
        <f>IFERROR(__xludf.DUMMYFUNCTION("""COMPUTED_VALUE"""),7.4)</f>
        <v>7.4</v>
      </c>
      <c r="I54" s="58">
        <f>IFERROR(__xludf.DUMMYFUNCTION("""COMPUTED_VALUE"""),3.0)</f>
        <v>3</v>
      </c>
      <c r="J54" s="59">
        <f>IFERROR(__xludf.DUMMYFUNCTION("""COMPUTED_VALUE"""),7.0)</f>
        <v>7</v>
      </c>
      <c r="K54" s="51"/>
      <c r="L54" s="60">
        <f>IFERROR(__xludf.DUMMYFUNCTION("""COMPUTED_VALUE"""),7.0)</f>
        <v>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55">
        <f>IFERROR(__xludf.DUMMYFUNCTION("""COMPUTED_VALUE"""),2.3)</f>
        <v>2.3</v>
      </c>
      <c r="F55" s="55">
        <f>IFERROR(__xludf.DUMMYFUNCTION("""COMPUTED_VALUE"""),0.0)</f>
        <v>0</v>
      </c>
      <c r="G55" s="56"/>
      <c r="H55" s="57">
        <f>IFERROR(__xludf.DUMMYFUNCTION("""COMPUTED_VALUE"""),2.3)</f>
        <v>2.3</v>
      </c>
      <c r="I55" s="65">
        <f>IFERROR(__xludf.DUMMYFUNCTION("""COMPUTED_VALUE"""),1.0)</f>
        <v>1</v>
      </c>
      <c r="J55" s="59">
        <f>IFERROR(__xludf.DUMMYFUNCTION("""COMPUTED_VALUE"""),5.0)</f>
        <v>5</v>
      </c>
      <c r="K55" s="51"/>
      <c r="L55" s="60">
        <f>IFERROR(__xludf.DUMMYFUNCTION("""COMPUTED_VALUE"""),2.0)</f>
        <v>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55">
        <f>IFERROR(__xludf.DUMMYFUNCTION("""COMPUTED_VALUE"""),7.9)</f>
        <v>7.9</v>
      </c>
      <c r="F56" s="55">
        <f>IFERROR(__xludf.DUMMYFUNCTION("""COMPUTED_VALUE"""),1.3)</f>
        <v>1.3</v>
      </c>
      <c r="G56" s="56"/>
      <c r="H56" s="57">
        <f>IFERROR(__xludf.DUMMYFUNCTION("""COMPUTED_VALUE"""),9.200000000000001)</f>
        <v>9.2</v>
      </c>
      <c r="I56" s="65">
        <f>IFERROR(__xludf.DUMMYFUNCTION("""COMPUTED_VALUE"""),0.0)</f>
        <v>0</v>
      </c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55">
        <f>IFERROR(__xludf.DUMMYFUNCTION("""COMPUTED_VALUE"""),7.8)</f>
        <v>7.8</v>
      </c>
      <c r="F57" s="55">
        <f>IFERROR(__xludf.DUMMYFUNCTION("""COMPUTED_VALUE"""),1.3)</f>
        <v>1.3</v>
      </c>
      <c r="G57" s="56">
        <f>IFERROR(__xludf.DUMMYFUNCTION("""COMPUTED_VALUE"""),1.0)</f>
        <v>1</v>
      </c>
      <c r="H57" s="57">
        <f>IFERROR(__xludf.DUMMYFUNCTION("""COMPUTED_VALUE"""),10.1)</f>
        <v>10.1</v>
      </c>
      <c r="I57" s="65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55">
        <f>IFERROR(__xludf.DUMMYFUNCTION("""COMPUTED_VALUE"""),5.4)</f>
        <v>5.4</v>
      </c>
      <c r="F58" s="55">
        <f>IFERROR(__xludf.DUMMYFUNCTION("""COMPUTED_VALUE"""),1.7)</f>
        <v>1.7</v>
      </c>
      <c r="G58" s="56"/>
      <c r="H58" s="57">
        <f>IFERROR(__xludf.DUMMYFUNCTION("""COMPUTED_VALUE"""),7.1000000000000005)</f>
        <v>7.1</v>
      </c>
      <c r="I58" s="65">
        <f>IFERROR(__xludf.DUMMYFUNCTION("""COMPUTED_VALUE"""),0.0)</f>
        <v>0</v>
      </c>
      <c r="J58" s="59">
        <f>IFERROR(__xludf.DUMMYFUNCTION("""COMPUTED_VALUE"""),7.0)</f>
        <v>7</v>
      </c>
      <c r="K58" s="51"/>
      <c r="L58" s="60">
        <f>IFERROR(__xludf.DUMMYFUNCTION("""COMPUTED_VALUE"""),7.0)</f>
        <v>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55">
        <f>IFERROR(__xludf.DUMMYFUNCTION("""COMPUTED_VALUE"""),5.1)</f>
        <v>5.1</v>
      </c>
      <c r="F59" s="55">
        <f>IFERROR(__xludf.DUMMYFUNCTION("""COMPUTED_VALUE"""),1.7)</f>
        <v>1.7</v>
      </c>
      <c r="G59" s="56"/>
      <c r="H59" s="57">
        <f>IFERROR(__xludf.DUMMYFUNCTION("""COMPUTED_VALUE"""),6.8)</f>
        <v>6.8</v>
      </c>
      <c r="I59" s="65">
        <f>IFERROR(__xludf.DUMMYFUNCTION("""COMPUTED_VALUE"""),1.0)</f>
        <v>1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55">
        <f>IFERROR(__xludf.DUMMYFUNCTION("""COMPUTED_VALUE"""),6.9)</f>
        <v>6.9</v>
      </c>
      <c r="F60" s="55">
        <f>IFERROR(__xludf.DUMMYFUNCTION("""COMPUTED_VALUE"""),1.9)</f>
        <v>1.9</v>
      </c>
      <c r="G60" s="56">
        <f>IFERROR(__xludf.DUMMYFUNCTION("""COMPUTED_VALUE"""),1.0)</f>
        <v>1</v>
      </c>
      <c r="H60" s="57">
        <f>IFERROR(__xludf.DUMMYFUNCTION("""COMPUTED_VALUE"""),9.8)</f>
        <v>9.8</v>
      </c>
      <c r="I60" s="65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55">
        <f>IFERROR(__xludf.DUMMYFUNCTION("""COMPUTED_VALUE"""),4.8)</f>
        <v>4.8</v>
      </c>
      <c r="F61" s="55">
        <f>IFERROR(__xludf.DUMMYFUNCTION("""COMPUTED_VALUE"""),1.2)</f>
        <v>1.2</v>
      </c>
      <c r="G61" s="56"/>
      <c r="H61" s="57">
        <f>IFERROR(__xludf.DUMMYFUNCTION("""COMPUTED_VALUE"""),6.0)</f>
        <v>6</v>
      </c>
      <c r="I61" s="65">
        <f>IFERROR(__xludf.DUMMYFUNCTION("""COMPUTED_VALUE"""),1.0)</f>
        <v>1</v>
      </c>
      <c r="J61" s="59">
        <f>IFERROR(__xludf.DUMMYFUNCTION("""COMPUTED_VALUE"""),6.0)</f>
        <v>6</v>
      </c>
      <c r="K61" s="51"/>
      <c r="L61" s="60">
        <f>IFERROR(__xludf.DUMMYFUNCTION("""COMPUTED_VALUE"""),6.0)</f>
        <v>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4.75" customHeight="1">
      <c r="A62" s="51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55">
        <f>IFERROR(__xludf.DUMMYFUNCTION("""COMPUTED_VALUE"""),6.9)</f>
        <v>6.9</v>
      </c>
      <c r="F62" s="55">
        <f>IFERROR(__xludf.DUMMYFUNCTION("""COMPUTED_VALUE"""),1.3)</f>
        <v>1.3</v>
      </c>
      <c r="G62" s="56">
        <f>IFERROR(__xludf.DUMMYFUNCTION("""COMPUTED_VALUE"""),1.0)</f>
        <v>1</v>
      </c>
      <c r="H62" s="57">
        <f>IFERROR(__xludf.DUMMYFUNCTION("""COMPUTED_VALUE"""),9.200000000000001)</f>
        <v>9.2</v>
      </c>
      <c r="I62" s="65">
        <f>IFERROR(__xludf.DUMMYFUNCTION("""COMPUTED_VALUE"""),0.0)</f>
        <v>0</v>
      </c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4.75" customHeight="1">
      <c r="A63" s="51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55">
        <f>IFERROR(__xludf.DUMMYFUNCTION("""COMPUTED_VALUE"""),5.9)</f>
        <v>5.9</v>
      </c>
      <c r="F63" s="55">
        <f>IFERROR(__xludf.DUMMYFUNCTION("""COMPUTED_VALUE"""),1.8)</f>
        <v>1.8</v>
      </c>
      <c r="G63" s="56">
        <f>IFERROR(__xludf.DUMMYFUNCTION("""COMPUTED_VALUE"""),1.0)</f>
        <v>1</v>
      </c>
      <c r="H63" s="57">
        <f>IFERROR(__xludf.DUMMYFUNCTION("""COMPUTED_VALUE"""),8.7)</f>
        <v>8.7</v>
      </c>
      <c r="I63" s="67">
        <f>IFERROR(__xludf.DUMMYFUNCTION("""COMPUTED_VALUE"""),0.0)</f>
        <v>0</v>
      </c>
      <c r="J63" s="59">
        <f>IFERROR(__xludf.DUMMYFUNCTION("""COMPUTED_VALUE"""),9.0)</f>
        <v>9</v>
      </c>
      <c r="K63" s="51"/>
      <c r="L63" s="60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4.75" customHeight="1">
      <c r="A64" s="51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55">
        <f>IFERROR(__xludf.DUMMYFUNCTION("""COMPUTED_VALUE"""),7.6)</f>
        <v>7.6</v>
      </c>
      <c r="F64" s="55">
        <f>IFERROR(__xludf.DUMMYFUNCTION("""COMPUTED_VALUE"""),1.4)</f>
        <v>1.4</v>
      </c>
      <c r="G64" s="56">
        <f>IFERROR(__xludf.DUMMYFUNCTION("""COMPUTED_VALUE"""),1.0)</f>
        <v>1</v>
      </c>
      <c r="H64" s="57">
        <f>IFERROR(__xludf.DUMMYFUNCTION("""COMPUTED_VALUE"""),10.0)</f>
        <v>10</v>
      </c>
      <c r="I64" s="67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4.75" customHeight="1">
      <c r="A65" s="51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55">
        <f>IFERROR(__xludf.DUMMYFUNCTION("""COMPUTED_VALUE"""),4.1)</f>
        <v>4.1</v>
      </c>
      <c r="F65" s="55">
        <f>IFERROR(__xludf.DUMMYFUNCTION("""COMPUTED_VALUE"""),0.0)</f>
        <v>0</v>
      </c>
      <c r="G65" s="56"/>
      <c r="H65" s="57">
        <f>IFERROR(__xludf.DUMMYFUNCTION("""COMPUTED_VALUE"""),4.1)</f>
        <v>4.1</v>
      </c>
      <c r="I65" s="65">
        <f>IFERROR(__xludf.DUMMYFUNCTION("""COMPUTED_VALUE"""),1.0)</f>
        <v>1</v>
      </c>
      <c r="J65" s="59">
        <f>IFERROR(__xludf.DUMMYFUNCTION("""COMPUTED_VALUE"""),5.0)</f>
        <v>5</v>
      </c>
      <c r="K65" s="51"/>
      <c r="L65" s="60">
        <f>IFERROR(__xludf.DUMMYFUNCTION("""COMPUTED_VALUE"""),4.0)</f>
        <v>4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>
      <c r="A66" s="6"/>
      <c r="B66" s="69"/>
      <c r="C66" s="69"/>
      <c r="D66" s="69"/>
      <c r="E66" s="70"/>
      <c r="F66" s="69"/>
      <c r="G66" s="69"/>
      <c r="H66" s="69"/>
      <c r="I66" s="69"/>
      <c r="J66" s="1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1.75" customHeight="1">
      <c r="A67" s="71"/>
      <c r="B67" s="72" t="str">
        <f>IFERROR(__xludf.DUMMYFUNCTION("""COMPUTED_VALUE"""),"No. DE ALUMNOS INSCRITOS")</f>
        <v>No. DE ALUMNOS INSCRITOS</v>
      </c>
      <c r="C67" s="73"/>
      <c r="D67" s="74">
        <f>IFERROR(__xludf.DUMMYFUNCTION("""COMPUTED_VALUE"""),49.0)</f>
        <v>49</v>
      </c>
      <c r="E67" s="69"/>
      <c r="F67" s="75" t="str">
        <f>IFERROR(__xludf.DUMMYFUNCTION("""COMPUTED_VALUE"""),"FIRMA DEL PROFESOR")</f>
        <v>FIRMA DEL PROFESOR</v>
      </c>
      <c r="G67" s="76"/>
      <c r="H67" s="75" t="str">
        <f>IFERROR(__xludf.DUMMYFUNCTION("""COMPUTED_VALUE"""),"FIRMA DEL ORIENTADOR")</f>
        <v>FIRMA DEL ORIENTADOR</v>
      </c>
      <c r="J67" s="77" t="str">
        <f>IFERROR(__xludf.DUMMYFUNCTION("""COMPUTED_VALUE"""),"Vo. Bo. SUBDIRECCIÓN ESCOLAR")</f>
        <v>Vo. Bo. SUBDIRECCIÓN ESCOLAR</v>
      </c>
      <c r="K67" s="78" t="str">
        <f>IFERROR(__xludf.DUMMYFUNCTION("""COMPUTED_VALUE"""),"REVISADO POR SECRETARIA ESCOLAR ")</f>
        <v>REVISADO POR SECRETARIA ESCOLAR 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1.75" customHeight="1">
      <c r="A68" s="71"/>
      <c r="B68" s="79" t="str">
        <f>IFERROR(__xludf.DUMMYFUNCTION("""COMPUTED_VALUE"""),"BAJAS DURANTE EL SEMESTRE")</f>
        <v>BAJAS DURANTE EL SEMESTRE</v>
      </c>
      <c r="C68" s="80"/>
      <c r="D68" s="81">
        <f>IFERROR(__xludf.DUMMYFUNCTION("""COMPUTED_VALUE"""),0.0)</f>
        <v>0</v>
      </c>
      <c r="E68" s="69"/>
      <c r="G68" s="76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1.75" customHeight="1">
      <c r="A69" s="71"/>
      <c r="B69" s="79" t="str">
        <f>IFERROR(__xludf.DUMMYFUNCTION("""COMPUTED_VALUE"""),"EXISTENCIA")</f>
        <v>EXISTENCIA</v>
      </c>
      <c r="C69" s="80"/>
      <c r="D69" s="82">
        <f>IFERROR(__xludf.DUMMYFUNCTION("""COMPUTED_VALUE"""),49.0)</f>
        <v>49</v>
      </c>
      <c r="E69" s="69"/>
      <c r="F69" s="83"/>
      <c r="G69" s="84"/>
      <c r="H69" s="83"/>
      <c r="I69" s="83"/>
      <c r="J69" s="85"/>
      <c r="K69" s="8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1.75" customHeight="1">
      <c r="A70" s="71"/>
      <c r="B70" s="79" t="str">
        <f>IFERROR(__xludf.DUMMYFUNCTION("""COMPUTED_VALUE"""),"No. DE ALUMNOS APROBADOS")</f>
        <v>No. DE ALUMNOS APROBADOS</v>
      </c>
      <c r="C70" s="80"/>
      <c r="D70" s="87">
        <f>IFERROR(__xludf.DUMMYFUNCTION("""COMPUTED_VALUE"""),36.0)</f>
        <v>36</v>
      </c>
      <c r="E70" s="69"/>
      <c r="F70" s="83"/>
      <c r="G70" s="84"/>
      <c r="H70" s="83"/>
      <c r="I70" s="83"/>
      <c r="J70" s="85"/>
      <c r="K70" s="8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1.75" customHeight="1">
      <c r="A71" s="71"/>
      <c r="B71" s="79" t="str">
        <f>IFERROR(__xludf.DUMMYFUNCTION("""COMPUTED_VALUE"""),"No. DE ALUMNOS REPROBADOS")</f>
        <v>No. DE ALUMNOS REPROBADOS</v>
      </c>
      <c r="C71" s="80"/>
      <c r="D71" s="87">
        <f>IFERROR(__xludf.DUMMYFUNCTION("""COMPUTED_VALUE"""),13.0)</f>
        <v>13</v>
      </c>
      <c r="E71" s="69"/>
      <c r="F71" s="88"/>
      <c r="G71" s="84"/>
      <c r="H71" s="88"/>
      <c r="I71" s="88"/>
      <c r="J71" s="89"/>
      <c r="K71" s="9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7.75" customHeight="1">
      <c r="A72" s="71"/>
      <c r="B72" s="91" t="str">
        <f>IFERROR(__xludf.DUMMYFUNCTION("""COMPUTED_VALUE"""),"% DE APROBADOS")</f>
        <v>% DE APROBADOS</v>
      </c>
      <c r="C72" s="80"/>
      <c r="D72" s="82">
        <f>IFERROR(__xludf.DUMMYFUNCTION("""COMPUTED_VALUE"""),73.46938775510205)</f>
        <v>73.46938776</v>
      </c>
      <c r="E72" s="69"/>
      <c r="F72" s="92" t="str">
        <f>IFERROR(__xludf.DUMMYFUNCTION("""COMPUTED_VALUE"""),"PROFR. ")</f>
        <v>PROFR. </v>
      </c>
      <c r="G72" s="93"/>
      <c r="H72" s="94" t="str">
        <f>IFERROR(__xludf.DUMMYFUNCTION("""COMPUTED_VALUE"""),"PROFRA. ANA ISABEL CORREA SALGADO")</f>
        <v>PROFRA. ANA ISABEL CORREA SALGADO</v>
      </c>
      <c r="J72" s="95" t="str">
        <f>IFERROR(__xludf.DUMMYFUNCTION("""COMPUTED_VALUE"""),"PROFR. OCTAVIO VÁZQUEZ BARRETO")</f>
        <v>PROFR. OCTAVIO VÁZQUEZ BARRETO</v>
      </c>
      <c r="K72" s="96" t="str">
        <f>IFERROR(__xludf.DUMMYFUNCTION("""COMPUTED_VALUE"""),"PROFR. ROBERTO PALOMARES MEJÍA ")</f>
        <v>PROFR. ROBERTO PALOMARES MEJÍA </v>
      </c>
      <c r="L72" s="9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1.75" customHeight="1">
      <c r="A73" s="71"/>
      <c r="B73" s="98" t="str">
        <f>IFERROR(__xludf.DUMMYFUNCTION("""COMPUTED_VALUE"""),"PROMEDIO")</f>
        <v>PROMEDIO</v>
      </c>
      <c r="C73" s="99"/>
      <c r="D73" s="100">
        <f>IFERROR(__xludf.DUMMYFUNCTION("""COMPUTED_VALUE"""),7.510204081632653)</f>
        <v>7.510204082</v>
      </c>
      <c r="E73" s="69"/>
      <c r="G73" s="93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6"/>
      <c r="B74" s="1"/>
      <c r="C74" s="1"/>
      <c r="D74" s="1"/>
      <c r="E74" s="1"/>
      <c r="F74" s="1"/>
      <c r="G74" s="1"/>
      <c r="H74" s="1"/>
      <c r="I74" s="1"/>
      <c r="J74" s="1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>
      <c r="A75" s="101"/>
      <c r="B75" s="102"/>
      <c r="C75" s="103"/>
      <c r="D75" s="103"/>
      <c r="E75" s="69"/>
      <c r="G75" s="7"/>
      <c r="H75" s="7"/>
      <c r="I75" s="7"/>
      <c r="J75" s="7"/>
      <c r="K75" s="104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>
      <c r="A76" s="106"/>
      <c r="B76" s="69"/>
      <c r="C76" s="69"/>
      <c r="D76" s="69"/>
      <c r="E76" s="7"/>
      <c r="F76" s="1"/>
      <c r="G76" s="1"/>
      <c r="H76" s="1"/>
      <c r="I76" s="1"/>
      <c r="J76" s="1"/>
      <c r="K76" s="8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>
      <c r="A77" s="106"/>
      <c r="B77" s="69"/>
      <c r="C77" s="69"/>
      <c r="D77" s="69"/>
      <c r="E77" s="7"/>
      <c r="F77" s="1"/>
      <c r="G77" s="1"/>
      <c r="H77" s="1"/>
      <c r="I77" s="1"/>
      <c r="J77" s="1"/>
      <c r="K77" s="8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>
      <c r="A78" s="108"/>
      <c r="B78" s="109"/>
      <c r="C78" s="109"/>
      <c r="D78" s="109"/>
      <c r="E78" s="110"/>
      <c r="F78" s="111"/>
      <c r="G78" s="111"/>
      <c r="H78" s="111"/>
      <c r="I78" s="111"/>
      <c r="J78" s="111"/>
      <c r="K78" s="112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13"/>
      <c r="C79" s="113"/>
      <c r="D79" s="113"/>
      <c r="E79" s="113"/>
      <c r="F79" s="1"/>
      <c r="G79" s="1"/>
      <c r="H79" s="1"/>
      <c r="I79" s="1"/>
      <c r="J79" s="114"/>
      <c r="K79" s="114"/>
      <c r="L79" s="1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13"/>
      <c r="C80" s="113"/>
      <c r="D80" s="113"/>
      <c r="E80" s="113"/>
      <c r="F80" s="1"/>
      <c r="G80" s="1"/>
      <c r="H80" s="1"/>
      <c r="I80" s="1"/>
      <c r="J80" s="114"/>
      <c r="K80" s="114"/>
      <c r="L80" s="1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13"/>
      <c r="C81" s="113"/>
      <c r="D81" s="113"/>
      <c r="E81" s="113"/>
      <c r="F81" s="1"/>
      <c r="G81" s="1"/>
      <c r="H81" s="1"/>
      <c r="I81" s="1"/>
      <c r="J81" s="114"/>
      <c r="K81" s="114"/>
      <c r="L81" s="1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13"/>
      <c r="C82" s="113"/>
      <c r="D82" s="113"/>
      <c r="E82" s="113"/>
      <c r="F82" s="1"/>
      <c r="G82" s="1"/>
      <c r="H82" s="1"/>
      <c r="I82" s="1"/>
      <c r="J82" s="114"/>
      <c r="K82" s="114"/>
      <c r="L82" s="1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13"/>
      <c r="C83" s="113"/>
      <c r="D83" s="113"/>
      <c r="E83" s="11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13"/>
      <c r="C84" s="113"/>
      <c r="D84" s="113"/>
      <c r="E84" s="113"/>
      <c r="F84" s="1"/>
      <c r="G84" s="1"/>
      <c r="H84" s="1"/>
      <c r="I84" s="1"/>
      <c r="J84" s="1"/>
      <c r="K84" s="1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13"/>
      <c r="C85" s="113"/>
      <c r="D85" s="113"/>
      <c r="E85" s="1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13"/>
      <c r="C86" s="113"/>
      <c r="D86" s="113"/>
      <c r="E86" s="11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13"/>
      <c r="C87" s="113"/>
      <c r="D87" s="113"/>
      <c r="E87" s="11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13"/>
      <c r="C88" s="113"/>
      <c r="D88" s="113"/>
      <c r="E88" s="11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13"/>
      <c r="C89" s="113"/>
      <c r="D89" s="113"/>
      <c r="E89" s="11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13"/>
      <c r="C90" s="113"/>
      <c r="D90" s="113"/>
      <c r="E90" s="1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5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IFERROR(__xludf.DUMMYFUNCTION("IMPORTRANGE(""https://docs.google.com/spreadsheets/d/1HPE5TEKBOu3O40f04LRpHNrEE5hiGRvXPuWG9UEzjKs/edit?gid=1435907698#gid=1435907698"",""2-2 ingles iv!a1:q86"")"),"")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IFERROR(__xludf.DUMMYFUNCTION("""COMPUTED_VALUE"""),"BENJAMÍN BALDOMERO SALAS CASAS")</f>
        <v>BENJAMÍN BALDOMERO SALAS CASAS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IFERROR(__xludf.DUMMYFUNCTION("""COMPUTED_VALUE"""),"INGLÉS IV")</f>
        <v>INGLÉS IV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55">
        <f>IFERROR(__xludf.DUMMYFUNCTION("""COMPUTED_VALUE"""),5.5)</f>
        <v>5.5</v>
      </c>
      <c r="F17" s="55">
        <f>IFERROR(__xludf.DUMMYFUNCTION("""COMPUTED_VALUE"""),2.0)</f>
        <v>2</v>
      </c>
      <c r="G17" s="56">
        <f>IFERROR(__xludf.DUMMYFUNCTION("""COMPUTED_VALUE"""),1.0)</f>
        <v>1</v>
      </c>
      <c r="H17" s="57">
        <f>IFERROR(__xludf.DUMMYFUNCTION("""COMPUTED_VALUE"""),8.5)</f>
        <v>8.5</v>
      </c>
      <c r="I17" s="58">
        <f>IFERROR(__xludf.DUMMYFUNCTION("""COMPUTED_VALUE"""),4.0)</f>
        <v>4</v>
      </c>
      <c r="J17" s="59">
        <f>IFERROR(__xludf.DUMMYFUNCTION("""COMPUTED_VALUE"""),9.0)</f>
        <v>9</v>
      </c>
      <c r="K17" s="60"/>
      <c r="L17" s="61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55">
        <f>IFERROR(__xludf.DUMMYFUNCTION("""COMPUTED_VALUE"""),6.5)</f>
        <v>6.5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IFERROR(__xludf.DUMMYFUNCTION("""COMPUTED_VALUE"""),9.5)</f>
        <v>9.5</v>
      </c>
      <c r="I18" s="58">
        <f>IFERROR(__xludf.DUMMYFUNCTION("""COMPUTED_VALUE"""),2.0)</f>
        <v>2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56">
        <f>IFERROR(__xludf.DUMMYFUNCTION("""COMPUTED_VALUE"""),7.2)</f>
        <v>7.2</v>
      </c>
      <c r="F19" s="55">
        <f>IFERROR(__xludf.DUMMYFUNCTION("""COMPUTED_VALUE"""),2.0)</f>
        <v>2</v>
      </c>
      <c r="G19" s="56"/>
      <c r="H19" s="57">
        <f>IFERROR(__xludf.DUMMYFUNCTION("""COMPUTED_VALUE"""),9.2)</f>
        <v>9.2</v>
      </c>
      <c r="I19" s="58">
        <f>IFERROR(__xludf.DUMMYFUNCTION("""COMPUTED_VALUE"""),2.0)</f>
        <v>2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55">
        <f>IFERROR(__xludf.DUMMYFUNCTION("""COMPUTED_VALUE"""),6.9)</f>
        <v>6.9</v>
      </c>
      <c r="F20" s="55">
        <f>IFERROR(__xludf.DUMMYFUNCTION("""COMPUTED_VALUE"""),2.0)</f>
        <v>2</v>
      </c>
      <c r="G20" s="56"/>
      <c r="H20" s="57">
        <f>IFERROR(__xludf.DUMMYFUNCTION("""COMPUTED_VALUE"""),8.9)</f>
        <v>8.9</v>
      </c>
      <c r="I20" s="58">
        <f>IFERROR(__xludf.DUMMYFUNCTION("""COMPUTED_VALUE"""),0.0)</f>
        <v>0</v>
      </c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55">
        <f>IFERROR(__xludf.DUMMYFUNCTION("""COMPUTED_VALUE"""),6.6)</f>
        <v>6.6</v>
      </c>
      <c r="F21" s="55">
        <f>IFERROR(__xludf.DUMMYFUNCTION("""COMPUTED_VALUE"""),2.0)</f>
        <v>2</v>
      </c>
      <c r="G21" s="56"/>
      <c r="H21" s="57">
        <f>IFERROR(__xludf.DUMMYFUNCTION("""COMPUTED_VALUE"""),8.6)</f>
        <v>8.6</v>
      </c>
      <c r="I21" s="58">
        <f>IFERROR(__xludf.DUMMYFUNCTION("""COMPUTED_VALUE"""),2.0)</f>
        <v>2</v>
      </c>
      <c r="J21" s="59">
        <f>IFERROR(__xludf.DUMMYFUNCTION("""COMPUTED_VALUE"""),9.0)</f>
        <v>9</v>
      </c>
      <c r="K21" s="51"/>
      <c r="L21" s="61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55">
        <f>IFERROR(__xludf.DUMMYFUNCTION("""COMPUTED_VALUE"""),5.0)</f>
        <v>5</v>
      </c>
      <c r="F22" s="55">
        <f>IFERROR(__xludf.DUMMYFUNCTION("""COMPUTED_VALUE"""),2.0)</f>
        <v>2</v>
      </c>
      <c r="G22" s="56"/>
      <c r="H22" s="57">
        <f>IFERROR(__xludf.DUMMYFUNCTION("""COMPUTED_VALUE"""),7.0)</f>
        <v>7</v>
      </c>
      <c r="I22" s="58">
        <f>IFERROR(__xludf.DUMMYFUNCTION("""COMPUTED_VALUE"""),2.0)</f>
        <v>2</v>
      </c>
      <c r="J22" s="59">
        <f>IFERROR(__xludf.DUMMYFUNCTION("""COMPUTED_VALUE"""),7.0)</f>
        <v>7</v>
      </c>
      <c r="K22" s="51"/>
      <c r="L22" s="61">
        <f>IFERROR(__xludf.DUMMYFUNCTION("""COMPUTED_VALUE"""),7.0)</f>
        <v>7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55">
        <f>IFERROR(__xludf.DUMMYFUNCTION("""COMPUTED_VALUE"""),7.5)</f>
        <v>7.5</v>
      </c>
      <c r="F23" s="55">
        <f>IFERROR(__xludf.DUMMYFUNCTION("""COMPUTED_VALUE"""),2.0)</f>
        <v>2</v>
      </c>
      <c r="G23" s="56"/>
      <c r="H23" s="57">
        <f>IFERROR(__xludf.DUMMYFUNCTION("""COMPUTED_VALUE"""),9.5)</f>
        <v>9.5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56">
        <f>IFERROR(__xludf.DUMMYFUNCTION("""COMPUTED_VALUE"""),7.0)</f>
        <v>7</v>
      </c>
      <c r="F24" s="55">
        <f>IFERROR(__xludf.DUMMYFUNCTION("""COMPUTED_VALUE"""),2.0)</f>
        <v>2</v>
      </c>
      <c r="G24" s="56"/>
      <c r="H24" s="57">
        <f>IFERROR(__xludf.DUMMYFUNCTION("""COMPUTED_VALUE"""),9.0)</f>
        <v>9</v>
      </c>
      <c r="I24" s="58">
        <f>IFERROR(__xludf.DUMMYFUNCTION("""COMPUTED_VALUE"""),3.0)</f>
        <v>3</v>
      </c>
      <c r="J24" s="59">
        <f>IFERROR(__xludf.DUMMYFUNCTION("""COMPUTED_VALUE"""),9.0)</f>
        <v>9</v>
      </c>
      <c r="K24" s="51"/>
      <c r="L24" s="61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IFERROR(__xludf.DUMMYFUNCTION("""COMPUTED_VALUE"""),19.0)</f>
        <v>19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55">
        <f>IFERROR(__xludf.DUMMYFUNCTION("""COMPUTED_VALUE"""),6.0)</f>
        <v>6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IFERROR(__xludf.DUMMYFUNCTION("""COMPUTED_VALUE"""),9.0)</f>
        <v>9</v>
      </c>
      <c r="I25" s="58">
        <f>IFERROR(__xludf.DUMMYFUNCTION("""COMPUTED_VALUE"""),0.0)</f>
        <v>0</v>
      </c>
      <c r="J25" s="59">
        <f>IFERROR(__xludf.DUMMYFUNCTION("""COMPUTED_VALUE"""),9.0)</f>
        <v>9</v>
      </c>
      <c r="K25" s="51"/>
      <c r="L25" s="61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56">
        <f>IFERROR(__xludf.DUMMYFUNCTION("""COMPUTED_VALUE"""),6.0)</f>
        <v>6</v>
      </c>
      <c r="F26" s="55">
        <f>IFERROR(__xludf.DUMMYFUNCTION("""COMPUTED_VALUE"""),2.0)</f>
        <v>2</v>
      </c>
      <c r="G26" s="56"/>
      <c r="H26" s="57">
        <f>IFERROR(__xludf.DUMMYFUNCTION("""COMPUTED_VALUE"""),8.0)</f>
        <v>8</v>
      </c>
      <c r="I26" s="58">
        <f>IFERROR(__xludf.DUMMYFUNCTION("""COMPUTED_VALUE"""),2.0)</f>
        <v>2</v>
      </c>
      <c r="J26" s="59">
        <f>IFERROR(__xludf.DUMMYFUNCTION("""COMPUTED_VALUE"""),8.0)</f>
        <v>8</v>
      </c>
      <c r="K26" s="51"/>
      <c r="L26" s="61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55">
        <f>IFERROR(__xludf.DUMMYFUNCTION("""COMPUTED_VALUE"""),7.6)</f>
        <v>7.6</v>
      </c>
      <c r="F27" s="55">
        <f>IFERROR(__xludf.DUMMYFUNCTION("""COMPUTED_VALUE"""),2.0)</f>
        <v>2</v>
      </c>
      <c r="G27" s="56"/>
      <c r="H27" s="57">
        <f>IFERROR(__xludf.DUMMYFUNCTION("""COMPUTED_VALUE"""),9.6)</f>
        <v>9.6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55">
        <f>IFERROR(__xludf.DUMMYFUNCTION("""COMPUTED_VALUE"""),5.2)</f>
        <v>5.2</v>
      </c>
      <c r="F28" s="55">
        <f>IFERROR(__xludf.DUMMYFUNCTION("""COMPUTED_VALUE"""),2.0)</f>
        <v>2</v>
      </c>
      <c r="G28" s="56"/>
      <c r="H28" s="57">
        <f>IFERROR(__xludf.DUMMYFUNCTION("""COMPUTED_VALUE"""),7.2)</f>
        <v>7.2</v>
      </c>
      <c r="I28" s="58">
        <f>IFERROR(__xludf.DUMMYFUNCTION("""COMPUTED_VALUE"""),3.0)</f>
        <v>3</v>
      </c>
      <c r="J28" s="59">
        <f>IFERROR(__xludf.DUMMYFUNCTION("""COMPUTED_VALUE"""),7.0)</f>
        <v>7</v>
      </c>
      <c r="K28" s="51"/>
      <c r="L28" s="61">
        <f>IFERROR(__xludf.DUMMYFUNCTION("""COMPUTED_VALUE"""),7.0)</f>
        <v>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55">
        <f>IFERROR(__xludf.DUMMYFUNCTION("""COMPUTED_VALUE"""),7.0)</f>
        <v>7</v>
      </c>
      <c r="F29" s="55">
        <f>IFERROR(__xludf.DUMMYFUNCTION("""COMPUTED_VALUE"""),2.0)</f>
        <v>2</v>
      </c>
      <c r="G29" s="56"/>
      <c r="H29" s="57">
        <f>IFERROR(__xludf.DUMMYFUNCTION("""COMPUTED_VALUE"""),9.0)</f>
        <v>9</v>
      </c>
      <c r="I29" s="58">
        <f>IFERROR(__xludf.DUMMYFUNCTION("""COMPUTED_VALUE"""),0.0)</f>
        <v>0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56">
        <f>IFERROR(__xludf.DUMMYFUNCTION("""COMPUTED_VALUE"""),7.9)</f>
        <v>7.9</v>
      </c>
      <c r="F30" s="55">
        <f>IFERROR(__xludf.DUMMYFUNCTION("""COMPUTED_VALUE"""),2.0)</f>
        <v>2</v>
      </c>
      <c r="G30" s="56"/>
      <c r="H30" s="57">
        <f>IFERROR(__xludf.DUMMYFUNCTION("""COMPUTED_VALUE"""),9.9)</f>
        <v>9.9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56">
        <f>IFERROR(__xludf.DUMMYFUNCTION("""COMPUTED_VALUE"""),6.9)</f>
        <v>6.9</v>
      </c>
      <c r="F31" s="55">
        <f>IFERROR(__xludf.DUMMYFUNCTION("""COMPUTED_VALUE"""),2.0)</f>
        <v>2</v>
      </c>
      <c r="G31" s="56"/>
      <c r="H31" s="57">
        <f>IFERROR(__xludf.DUMMYFUNCTION("""COMPUTED_VALUE"""),8.9)</f>
        <v>8.9</v>
      </c>
      <c r="I31" s="58">
        <f>IFERROR(__xludf.DUMMYFUNCTION("""COMPUTED_VALUE"""),0.0)</f>
        <v>0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55">
        <f>IFERROR(__xludf.DUMMYFUNCTION("""COMPUTED_VALUE"""),7.0)</f>
        <v>7</v>
      </c>
      <c r="F32" s="55">
        <f>IFERROR(__xludf.DUMMYFUNCTION("""COMPUTED_VALUE"""),2.0)</f>
        <v>2</v>
      </c>
      <c r="G32" s="56">
        <f>IFERROR(__xludf.DUMMYFUNCTION("""COMPUTED_VALUE"""),1.0)</f>
        <v>1</v>
      </c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55">
        <f>IFERROR(__xludf.DUMMYFUNCTION("""COMPUTED_VALUE"""),4.6)</f>
        <v>4.6</v>
      </c>
      <c r="F33" s="55">
        <f>IFERROR(__xludf.DUMMYFUNCTION("""COMPUTED_VALUE"""),0.0)</f>
        <v>0</v>
      </c>
      <c r="G33" s="56"/>
      <c r="H33" s="57">
        <f>IFERROR(__xludf.DUMMYFUNCTION("""COMPUTED_VALUE"""),4.6)</f>
        <v>4.6</v>
      </c>
      <c r="I33" s="58">
        <f>IFERROR(__xludf.DUMMYFUNCTION("""COMPUTED_VALUE"""),1.0)</f>
        <v>1</v>
      </c>
      <c r="J33" s="59">
        <f>IFERROR(__xludf.DUMMYFUNCTION("""COMPUTED_VALUE"""),5.0)</f>
        <v>5</v>
      </c>
      <c r="K33" s="51"/>
      <c r="L33" s="61">
        <f>IFERROR(__xludf.DUMMYFUNCTION("""COMPUTED_VALUE"""),4.0)</f>
        <v>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56">
        <f>IFERROR(__xludf.DUMMYFUNCTION("""COMPUTED_VALUE"""),6.6)</f>
        <v>6.6</v>
      </c>
      <c r="F34" s="55">
        <f>IFERROR(__xludf.DUMMYFUNCTION("""COMPUTED_VALUE"""),2.0)</f>
        <v>2</v>
      </c>
      <c r="G34" s="56">
        <f>IFERROR(__xludf.DUMMYFUNCTION("""COMPUTED_VALUE"""),1.0)</f>
        <v>1</v>
      </c>
      <c r="H34" s="57">
        <f>IFERROR(__xludf.DUMMYFUNCTION("""COMPUTED_VALUE"""),9.6)</f>
        <v>9.6</v>
      </c>
      <c r="I34" s="58">
        <f>IFERROR(__xludf.DUMMYFUNCTION("""COMPUTED_VALUE"""),1.0)</f>
        <v>1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55">
        <f>IFERROR(__xludf.DUMMYFUNCTION("""COMPUTED_VALUE"""),7.0)</f>
        <v>7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55">
        <f>IFERROR(__xludf.DUMMYFUNCTION("""COMPUTED_VALUE"""),6.7)</f>
        <v>6.7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IFERROR(__xludf.DUMMYFUNCTION("""COMPUTED_VALUE"""),9.7)</f>
        <v>9.7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56">
        <f>IFERROR(__xludf.DUMMYFUNCTION("""COMPUTED_VALUE"""),3.9)</f>
        <v>3.9</v>
      </c>
      <c r="F37" s="55">
        <f>IFERROR(__xludf.DUMMYFUNCTION("""COMPUTED_VALUE"""),2.0)</f>
        <v>2</v>
      </c>
      <c r="G37" s="56"/>
      <c r="H37" s="57">
        <f>IFERROR(__xludf.DUMMYFUNCTION("""COMPUTED_VALUE"""),5.9)</f>
        <v>5.9</v>
      </c>
      <c r="I37" s="58">
        <f>IFERROR(__xludf.DUMMYFUNCTION("""COMPUTED_VALUE"""),3.0)</f>
        <v>3</v>
      </c>
      <c r="J37" s="59">
        <f>IFERROR(__xludf.DUMMYFUNCTION("""COMPUTED_VALUE"""),5.0)</f>
        <v>5</v>
      </c>
      <c r="K37" s="51"/>
      <c r="L37" s="61">
        <f>IFERROR(__xludf.DUMMYFUNCTION("""COMPUTED_VALUE"""),5.0)</f>
        <v>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55">
        <f>IFERROR(__xludf.DUMMYFUNCTION("""COMPUTED_VALUE"""),7.0)</f>
        <v>7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55">
        <f>IFERROR(__xludf.DUMMYFUNCTION("""COMPUTED_VALUE"""),7.6)</f>
        <v>7.6</v>
      </c>
      <c r="F39" s="55">
        <f>IFERROR(__xludf.DUMMYFUNCTION("""COMPUTED_VALUE"""),2.0)</f>
        <v>2</v>
      </c>
      <c r="G39" s="56"/>
      <c r="H39" s="57">
        <f>IFERROR(__xludf.DUMMYFUNCTION("""COMPUTED_VALUE"""),9.6)</f>
        <v>9.6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55">
        <f>IFERROR(__xludf.DUMMYFUNCTION("""COMPUTED_VALUE"""),6.6)</f>
        <v>6.6</v>
      </c>
      <c r="F40" s="55">
        <f>IFERROR(__xludf.DUMMYFUNCTION("""COMPUTED_VALUE"""),2.0)</f>
        <v>2</v>
      </c>
      <c r="G40" s="56">
        <f>IFERROR(__xludf.DUMMYFUNCTION("""COMPUTED_VALUE"""),1.0)</f>
        <v>1</v>
      </c>
      <c r="H40" s="57">
        <f>IFERROR(__xludf.DUMMYFUNCTION("""COMPUTED_VALUE"""),9.6)</f>
        <v>9.6</v>
      </c>
      <c r="I40" s="58">
        <f>IFERROR(__xludf.DUMMYFUNCTION("""COMPUTED_VALUE"""),0.0)</f>
        <v>0</v>
      </c>
      <c r="J40" s="59">
        <f>IFERROR(__xludf.DUMMYFUNCTION("""COMPUTED_VALUE"""),10.0)</f>
        <v>10</v>
      </c>
      <c r="K40" s="51"/>
      <c r="L40" s="61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55">
        <f>IFERROR(__xludf.DUMMYFUNCTION("""COMPUTED_VALUE"""),6.9)</f>
        <v>6.9</v>
      </c>
      <c r="F41" s="55">
        <f>IFERROR(__xludf.DUMMYFUNCTION("""COMPUTED_VALUE"""),0.0)</f>
        <v>0</v>
      </c>
      <c r="G41" s="56">
        <f>IFERROR(__xludf.DUMMYFUNCTION("""COMPUTED_VALUE"""),1.0)</f>
        <v>1</v>
      </c>
      <c r="H41" s="57">
        <f>IFERROR(__xludf.DUMMYFUNCTION("""COMPUTED_VALUE"""),7.9)</f>
        <v>7.9</v>
      </c>
      <c r="I41" s="58">
        <f>IFERROR(__xludf.DUMMYFUNCTION("""COMPUTED_VALUE"""),0.0)</f>
        <v>0</v>
      </c>
      <c r="J41" s="59">
        <f>IFERROR(__xludf.DUMMYFUNCTION("""COMPUTED_VALUE"""),8.0)</f>
        <v>8</v>
      </c>
      <c r="K41" s="51"/>
      <c r="L41" s="61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55">
        <f>IFERROR(__xludf.DUMMYFUNCTION("""COMPUTED_VALUE"""),6.7)</f>
        <v>6.7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IFERROR(__xludf.DUMMYFUNCTION("""COMPUTED_VALUE"""),9.7)</f>
        <v>9.7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55">
        <f>IFERROR(__xludf.DUMMYFUNCTION("""COMPUTED_VALUE"""),7.0)</f>
        <v>7</v>
      </c>
      <c r="F43" s="55">
        <f>IFERROR(__xludf.DUMMYFUNCTION("""COMPUTED_VALUE"""),2.0)</f>
        <v>2</v>
      </c>
      <c r="G43" s="56">
        <f>IFERROR(__xludf.DUMMYFUNCTION("""COMPUTED_VALUE"""),1.0)</f>
        <v>1</v>
      </c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55">
        <f>IFERROR(__xludf.DUMMYFUNCTION("""COMPUTED_VALUE"""),6.8)</f>
        <v>6.8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IFERROR(__xludf.DUMMYFUNCTION("""COMPUTED_VALUE"""),9.8)</f>
        <v>9.8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55">
        <f>IFERROR(__xludf.DUMMYFUNCTION("""COMPUTED_VALUE"""),6.5)</f>
        <v>6.5</v>
      </c>
      <c r="F45" s="55">
        <f>IFERROR(__xludf.DUMMYFUNCTION("""COMPUTED_VALUE"""),2.0)</f>
        <v>2</v>
      </c>
      <c r="G45" s="56"/>
      <c r="H45" s="57">
        <f>IFERROR(__xludf.DUMMYFUNCTION("""COMPUTED_VALUE"""),8.5)</f>
        <v>8.5</v>
      </c>
      <c r="I45" s="58">
        <f>IFERROR(__xludf.DUMMYFUNCTION("""COMPUTED_VALUE"""),1.0)</f>
        <v>1</v>
      </c>
      <c r="J45" s="59">
        <f>IFERROR(__xludf.DUMMYFUNCTION("""COMPUTED_VALUE"""),9.0)</f>
        <v>9</v>
      </c>
      <c r="K45" s="51"/>
      <c r="L45" s="61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55">
        <f>IFERROR(__xludf.DUMMYFUNCTION("""COMPUTED_VALUE"""),7.0)</f>
        <v>7</v>
      </c>
      <c r="F46" s="55">
        <f>IFERROR(__xludf.DUMMYFUNCTION("""COMPUTED_VALUE"""),2.0)</f>
        <v>2</v>
      </c>
      <c r="G46" s="56">
        <f>IFERROR(__xludf.DUMMYFUNCTION("""COMPUTED_VALUE"""),1.0)</f>
        <v>1</v>
      </c>
      <c r="H46" s="57">
        <f>IFERROR(__xludf.DUMMYFUNCTION("""COMPUTED_VALUE"""),10.0)</f>
        <v>10</v>
      </c>
      <c r="I46" s="58">
        <f>IFERROR(__xludf.DUMMYFUNCTION("""COMPUTED_VALUE"""),1.0)</f>
        <v>1</v>
      </c>
      <c r="J46" s="59">
        <f>IFERROR(__xludf.DUMMYFUNCTION("""COMPUTED_VALUE"""),10.0)</f>
        <v>10</v>
      </c>
      <c r="K46" s="51"/>
      <c r="L46" s="61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55">
        <f>IFERROR(__xludf.DUMMYFUNCTION("""COMPUTED_VALUE"""),4.8)</f>
        <v>4.8</v>
      </c>
      <c r="F47" s="55">
        <f>IFERROR(__xludf.DUMMYFUNCTION("""COMPUTED_VALUE"""),0.0)</f>
        <v>0</v>
      </c>
      <c r="G47" s="56"/>
      <c r="H47" s="57">
        <f>IFERROR(__xludf.DUMMYFUNCTION("""COMPUTED_VALUE"""),4.8)</f>
        <v>4.8</v>
      </c>
      <c r="I47" s="58">
        <f>IFERROR(__xludf.DUMMYFUNCTION("""COMPUTED_VALUE"""),0.0)</f>
        <v>0</v>
      </c>
      <c r="J47" s="59">
        <f>IFERROR(__xludf.DUMMYFUNCTION("""COMPUTED_VALUE"""),5.0)</f>
        <v>5</v>
      </c>
      <c r="K47" s="51"/>
      <c r="L47" s="61">
        <f>IFERROR(__xludf.DUMMYFUNCTION("""COMPUTED_VALUE"""),4.0)</f>
        <v>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55">
        <f>IFERROR(__xludf.DUMMYFUNCTION("""COMPUTED_VALUE"""),5.5)</f>
        <v>5.5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IFERROR(__xludf.DUMMYFUNCTION("""COMPUTED_VALUE"""),8.5)</f>
        <v>8.5</v>
      </c>
      <c r="I48" s="58">
        <f>IFERROR(__xludf.DUMMYFUNCTION("""COMPUTED_VALUE"""),3.0)</f>
        <v>3</v>
      </c>
      <c r="J48" s="59">
        <f>IFERROR(__xludf.DUMMYFUNCTION("""COMPUTED_VALUE"""),9.0)</f>
        <v>9</v>
      </c>
      <c r="K48" s="51"/>
      <c r="L48" s="61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55">
        <f>IFERROR(__xludf.DUMMYFUNCTION("""COMPUTED_VALUE"""),6.0)</f>
        <v>6</v>
      </c>
      <c r="F49" s="55">
        <f>IFERROR(__xludf.DUMMYFUNCTION("""COMPUTED_VALUE"""),2.0)</f>
        <v>2</v>
      </c>
      <c r="G49" s="56">
        <f>IFERROR(__xludf.DUMMYFUNCTION("""COMPUTED_VALUE"""),1.0)</f>
        <v>1</v>
      </c>
      <c r="H49" s="57">
        <f>IFERROR(__xludf.DUMMYFUNCTION("""COMPUTED_VALUE"""),9.0)</f>
        <v>9</v>
      </c>
      <c r="I49" s="58">
        <f>IFERROR(__xludf.DUMMYFUNCTION("""COMPUTED_VALUE"""),0.0)</f>
        <v>0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55">
        <f>IFERROR(__xludf.DUMMYFUNCTION("""COMPUTED_VALUE"""),6.7)</f>
        <v>6.7</v>
      </c>
      <c r="F50" s="55">
        <f>IFERROR(__xludf.DUMMYFUNCTION("""COMPUTED_VALUE"""),2.0)</f>
        <v>2</v>
      </c>
      <c r="G50" s="56">
        <f>IFERROR(__xludf.DUMMYFUNCTION("""COMPUTED_VALUE"""),1.0)</f>
        <v>1</v>
      </c>
      <c r="H50" s="57">
        <f>IFERROR(__xludf.DUMMYFUNCTION("""COMPUTED_VALUE"""),9.7)</f>
        <v>9.7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55">
        <f>IFERROR(__xludf.DUMMYFUNCTION("""COMPUTED_VALUE"""),7.4)</f>
        <v>7.4</v>
      </c>
      <c r="F51" s="55">
        <f>IFERROR(__xludf.DUMMYFUNCTION("""COMPUTED_VALUE"""),0.0)</f>
        <v>0</v>
      </c>
      <c r="G51" s="56">
        <f>IFERROR(__xludf.DUMMYFUNCTION("""COMPUTED_VALUE"""),1.0)</f>
        <v>1</v>
      </c>
      <c r="H51" s="57">
        <f>IFERROR(__xludf.DUMMYFUNCTION("""COMPUTED_VALUE"""),8.4)</f>
        <v>8.4</v>
      </c>
      <c r="I51" s="58">
        <f>IFERROR(__xludf.DUMMYFUNCTION("""COMPUTED_VALUE"""),0.0)</f>
        <v>0</v>
      </c>
      <c r="J51" s="59">
        <f>IFERROR(__xludf.DUMMYFUNCTION("""COMPUTED_VALUE"""),8.0)</f>
        <v>8</v>
      </c>
      <c r="K51" s="51"/>
      <c r="L51" s="61">
        <f>IFERROR(__xludf.DUMMYFUNCTION("""COMPUTED_VALUE"""),8.0)</f>
        <v>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55">
        <f>IFERROR(__xludf.DUMMYFUNCTION("""COMPUTED_VALUE"""),7.5)</f>
        <v>7.5</v>
      </c>
      <c r="F52" s="55">
        <f>IFERROR(__xludf.DUMMYFUNCTION("""COMPUTED_VALUE"""),2.0)</f>
        <v>2</v>
      </c>
      <c r="G52" s="56"/>
      <c r="H52" s="57">
        <f>IFERROR(__xludf.DUMMYFUNCTION("""COMPUTED_VALUE"""),9.5)</f>
        <v>9.5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55">
        <f>IFERROR(__xludf.DUMMYFUNCTION("""COMPUTED_VALUE"""),7.4)</f>
        <v>7.4</v>
      </c>
      <c r="F53" s="55">
        <f>IFERROR(__xludf.DUMMYFUNCTION("""COMPUTED_VALUE"""),2.0)</f>
        <v>2</v>
      </c>
      <c r="G53" s="56"/>
      <c r="H53" s="57">
        <f>IFERROR(__xludf.DUMMYFUNCTION("""COMPUTED_VALUE"""),9.4)</f>
        <v>9.4</v>
      </c>
      <c r="I53" s="58">
        <f>IFERROR(__xludf.DUMMYFUNCTION("""COMPUTED_VALUE"""),0.0)</f>
        <v>0</v>
      </c>
      <c r="J53" s="59">
        <f>IFERROR(__xludf.DUMMYFUNCTION("""COMPUTED_VALUE"""),9.0)</f>
        <v>9</v>
      </c>
      <c r="K53" s="51"/>
      <c r="L53" s="60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55">
        <f>IFERROR(__xludf.DUMMYFUNCTION("""COMPUTED_VALUE"""),5.9)</f>
        <v>5.9</v>
      </c>
      <c r="F54" s="55">
        <f>IFERROR(__xludf.DUMMYFUNCTION("""COMPUTED_VALUE"""),2.0)</f>
        <v>2</v>
      </c>
      <c r="G54" s="56"/>
      <c r="H54" s="57">
        <f>IFERROR(__xludf.DUMMYFUNCTION("""COMPUTED_VALUE"""),7.9)</f>
        <v>7.9</v>
      </c>
      <c r="I54" s="58">
        <f>IFERROR(__xludf.DUMMYFUNCTION("""COMPUTED_VALUE"""),1.0)</f>
        <v>1</v>
      </c>
      <c r="J54" s="59">
        <f>IFERROR(__xludf.DUMMYFUNCTION("""COMPUTED_VALUE"""),8.0)</f>
        <v>8</v>
      </c>
      <c r="K54" s="51"/>
      <c r="L54" s="60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55">
        <f>IFERROR(__xludf.DUMMYFUNCTION("""COMPUTED_VALUE"""),5.3)</f>
        <v>5.3</v>
      </c>
      <c r="F55" s="55">
        <f>IFERROR(__xludf.DUMMYFUNCTION("""COMPUTED_VALUE"""),2.0)</f>
        <v>2</v>
      </c>
      <c r="G55" s="56"/>
      <c r="H55" s="57">
        <f>IFERROR(__xludf.DUMMYFUNCTION("""COMPUTED_VALUE"""),7.3)</f>
        <v>7.3</v>
      </c>
      <c r="I55" s="65">
        <f>IFERROR(__xludf.DUMMYFUNCTION("""COMPUTED_VALUE"""),0.0)</f>
        <v>0</v>
      </c>
      <c r="J55" s="59">
        <f>IFERROR(__xludf.DUMMYFUNCTION("""COMPUTED_VALUE"""),7.0)</f>
        <v>7</v>
      </c>
      <c r="K55" s="51"/>
      <c r="L55" s="60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55">
        <f>IFERROR(__xludf.DUMMYFUNCTION("""COMPUTED_VALUE"""),6.4)</f>
        <v>6.4</v>
      </c>
      <c r="F56" s="55">
        <f>IFERROR(__xludf.DUMMYFUNCTION("""COMPUTED_VALUE"""),2.0)</f>
        <v>2</v>
      </c>
      <c r="G56" s="56"/>
      <c r="H56" s="57">
        <f>IFERROR(__xludf.DUMMYFUNCTION("""COMPUTED_VALUE"""),8.4)</f>
        <v>8.4</v>
      </c>
      <c r="I56" s="65">
        <f>IFERROR(__xludf.DUMMYFUNCTION("""COMPUTED_VALUE"""),0.0)</f>
        <v>0</v>
      </c>
      <c r="J56" s="59">
        <f>IFERROR(__xludf.DUMMYFUNCTION("""COMPUTED_VALUE"""),8.0)</f>
        <v>8</v>
      </c>
      <c r="K56" s="51"/>
      <c r="L56" s="60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55">
        <f>IFERROR(__xludf.DUMMYFUNCTION("""COMPUTED_VALUE"""),7.0)</f>
        <v>7</v>
      </c>
      <c r="F57" s="55">
        <f>IFERROR(__xludf.DUMMYFUNCTION("""COMPUTED_VALUE"""),2.0)</f>
        <v>2</v>
      </c>
      <c r="G57" s="56">
        <f>IFERROR(__xludf.DUMMYFUNCTION("""COMPUTED_VALUE"""),1.0)</f>
        <v>1</v>
      </c>
      <c r="H57" s="57">
        <f>IFERROR(__xludf.DUMMYFUNCTION("""COMPUTED_VALUE"""),10.0)</f>
        <v>10</v>
      </c>
      <c r="I57" s="65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55">
        <f>IFERROR(__xludf.DUMMYFUNCTION("""COMPUTED_VALUE"""),5.8)</f>
        <v>5.8</v>
      </c>
      <c r="F58" s="55">
        <f>IFERROR(__xludf.DUMMYFUNCTION("""COMPUTED_VALUE"""),2.0)</f>
        <v>2</v>
      </c>
      <c r="G58" s="56"/>
      <c r="H58" s="57">
        <f>IFERROR(__xludf.DUMMYFUNCTION("""COMPUTED_VALUE"""),7.8)</f>
        <v>7.8</v>
      </c>
      <c r="I58" s="65">
        <f>IFERROR(__xludf.DUMMYFUNCTION("""COMPUTED_VALUE"""),0.0)</f>
        <v>0</v>
      </c>
      <c r="J58" s="59">
        <f>IFERROR(__xludf.DUMMYFUNCTION("""COMPUTED_VALUE"""),8.0)</f>
        <v>8</v>
      </c>
      <c r="K58" s="51"/>
      <c r="L58" s="60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55">
        <f>IFERROR(__xludf.DUMMYFUNCTION("""COMPUTED_VALUE"""),5.1)</f>
        <v>5.1</v>
      </c>
      <c r="F59" s="55">
        <f>IFERROR(__xludf.DUMMYFUNCTION("""COMPUTED_VALUE"""),2.0)</f>
        <v>2</v>
      </c>
      <c r="G59" s="56"/>
      <c r="H59" s="57">
        <f>IFERROR(__xludf.DUMMYFUNCTION("""COMPUTED_VALUE"""),7.1)</f>
        <v>7.1</v>
      </c>
      <c r="I59" s="65">
        <f>IFERROR(__xludf.DUMMYFUNCTION("""COMPUTED_VALUE"""),0.0)</f>
        <v>0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55">
        <f>IFERROR(__xludf.DUMMYFUNCTION("""COMPUTED_VALUE"""),7.5)</f>
        <v>7.5</v>
      </c>
      <c r="F60" s="55">
        <f>IFERROR(__xludf.DUMMYFUNCTION("""COMPUTED_VALUE"""),2.0)</f>
        <v>2</v>
      </c>
      <c r="G60" s="56"/>
      <c r="H60" s="57">
        <f>IFERROR(__xludf.DUMMYFUNCTION("""COMPUTED_VALUE"""),9.5)</f>
        <v>9.5</v>
      </c>
      <c r="I60" s="65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55">
        <f>IFERROR(__xludf.DUMMYFUNCTION("""COMPUTED_VALUE"""),6.3)</f>
        <v>6.3</v>
      </c>
      <c r="F61" s="55">
        <f>IFERROR(__xludf.DUMMYFUNCTION("""COMPUTED_VALUE"""),2.0)</f>
        <v>2</v>
      </c>
      <c r="G61" s="56"/>
      <c r="H61" s="57">
        <f>IFERROR(__xludf.DUMMYFUNCTION("""COMPUTED_VALUE"""),8.3)</f>
        <v>8.3</v>
      </c>
      <c r="I61" s="65">
        <f>IFERROR(__xludf.DUMMYFUNCTION("""COMPUTED_VALUE"""),0.0)</f>
        <v>0</v>
      </c>
      <c r="J61" s="59">
        <f>IFERROR(__xludf.DUMMYFUNCTION("""COMPUTED_VALUE"""),8.0)</f>
        <v>8</v>
      </c>
      <c r="K61" s="51"/>
      <c r="L61" s="60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55">
        <f>IFERROR(__xludf.DUMMYFUNCTION("""COMPUTED_VALUE"""),7.0)</f>
        <v>7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IFERROR(__xludf.DUMMYFUNCTION("""COMPUTED_VALUE"""),10.0)</f>
        <v>10</v>
      </c>
      <c r="I62" s="65">
        <f>IFERROR(__xludf.DUMMYFUNCTION("""COMPUTED_VALUE"""),2.0)</f>
        <v>2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55">
        <f>IFERROR(__xludf.DUMMYFUNCTION("""COMPUTED_VALUE"""),7.0)</f>
        <v>7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IFERROR(__xludf.DUMMYFUNCTION("""COMPUTED_VALUE"""),10.0)</f>
        <v>10</v>
      </c>
      <c r="I63" s="6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55">
        <f>IFERROR(__xludf.DUMMYFUNCTION("""COMPUTED_VALUE"""),7.0)</f>
        <v>7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IFERROR(__xludf.DUMMYFUNCTION("""COMPUTED_VALUE"""),10.0)</f>
        <v>10</v>
      </c>
      <c r="I64" s="65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55">
        <f>IFERROR(__xludf.DUMMYFUNCTION("""COMPUTED_VALUE"""),5.8)</f>
        <v>5.8</v>
      </c>
      <c r="F65" s="55">
        <f>IFERROR(__xludf.DUMMYFUNCTION("""COMPUTED_VALUE"""),2.0)</f>
        <v>2</v>
      </c>
      <c r="G65" s="56"/>
      <c r="H65" s="57">
        <f>IFERROR(__xludf.DUMMYFUNCTION("""COMPUTED_VALUE"""),7.8)</f>
        <v>7.8</v>
      </c>
      <c r="I65" s="65">
        <f>IFERROR(__xludf.DUMMYFUNCTION("""COMPUTED_VALUE"""),3.0)</f>
        <v>3</v>
      </c>
      <c r="J65" s="59">
        <f>IFERROR(__xludf.DUMMYFUNCTION("""COMPUTED_VALUE"""),8.0)</f>
        <v>8</v>
      </c>
      <c r="K65" s="51"/>
      <c r="L65" s="60">
        <f>IFERROR(__xludf.DUMMYFUNCTION("""COMPUTED_VALUE"""),8.0)</f>
        <v>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69"/>
      <c r="C66" s="69"/>
      <c r="D66" s="69"/>
      <c r="E66" s="70"/>
      <c r="F66" s="69"/>
      <c r="G66" s="69"/>
      <c r="H66" s="69"/>
      <c r="I66" s="69"/>
      <c r="J66" s="1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1"/>
      <c r="B67" s="72" t="str">
        <f>IFERROR(__xludf.DUMMYFUNCTION("""COMPUTED_VALUE"""),"No. DE ALUMNOS INSCRITOS")</f>
        <v>No. DE ALUMNOS INSCRITOS</v>
      </c>
      <c r="C67" s="73"/>
      <c r="D67" s="116">
        <f>IFERROR(__xludf.DUMMYFUNCTION("""COMPUTED_VALUE"""),49.0)</f>
        <v>49</v>
      </c>
      <c r="E67" s="69"/>
      <c r="F67" s="75" t="str">
        <f>IFERROR(__xludf.DUMMYFUNCTION("""COMPUTED_VALUE"""),"FIRMA DEL PROFESOR")</f>
        <v>FIRMA DEL PROFESOR</v>
      </c>
      <c r="G67" s="76"/>
      <c r="H67" s="75" t="str">
        <f>IFERROR(__xludf.DUMMYFUNCTION("""COMPUTED_VALUE"""),"FIRMA DEL ORIENTADOR")</f>
        <v>FIRMA DEL ORIENTADOR</v>
      </c>
      <c r="J67" s="77" t="str">
        <f>IFERROR(__xludf.DUMMYFUNCTION("""COMPUTED_VALUE"""),"Vo. Bo. SUBDIRECCIÓN ESCOLAR")</f>
        <v>Vo. Bo. SUBDIRECCIÓN ESCOLAR</v>
      </c>
      <c r="K67" s="78" t="str">
        <f>IFERROR(__xludf.DUMMYFUNCTION("""COMPUTED_VALUE"""),"REVISADO POR SECRETARIA ESCOLAR ")</f>
        <v>REVISADO POR SECRETARIA ESCOLAR 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1"/>
      <c r="B68" s="79" t="str">
        <f>IFERROR(__xludf.DUMMYFUNCTION("""COMPUTED_VALUE"""),"BAJAS DURANTE EL SEMESTRE")</f>
        <v>BAJAS DURANTE EL SEMESTRE</v>
      </c>
      <c r="C68" s="80"/>
      <c r="D68" s="117">
        <f>IFERROR(__xludf.DUMMYFUNCTION("""COMPUTED_VALUE"""),0.0)</f>
        <v>0</v>
      </c>
      <c r="E68" s="69"/>
      <c r="G68" s="76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1"/>
      <c r="B69" s="79" t="str">
        <f>IFERROR(__xludf.DUMMYFUNCTION("""COMPUTED_VALUE"""),"EXISTENCIA")</f>
        <v>EXISTENCIA</v>
      </c>
      <c r="C69" s="80"/>
      <c r="D69" s="87">
        <f>IFERROR(__xludf.DUMMYFUNCTION("""COMPUTED_VALUE"""),49.0)</f>
        <v>49</v>
      </c>
      <c r="E69" s="69"/>
      <c r="F69" s="83"/>
      <c r="G69" s="84"/>
      <c r="H69" s="83"/>
      <c r="I69" s="83"/>
      <c r="J69" s="85"/>
      <c r="K69" s="8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71"/>
      <c r="B70" s="79" t="str">
        <f>IFERROR(__xludf.DUMMYFUNCTION("""COMPUTED_VALUE"""),"No. DE ALUMNOS APROBADOS")</f>
        <v>No. DE ALUMNOS APROBADOS</v>
      </c>
      <c r="C70" s="80"/>
      <c r="D70" s="87">
        <f>IFERROR(__xludf.DUMMYFUNCTION("""COMPUTED_VALUE"""),46.0)</f>
        <v>46</v>
      </c>
      <c r="E70" s="69"/>
      <c r="F70" s="83"/>
      <c r="G70" s="84"/>
      <c r="H70" s="83"/>
      <c r="I70" s="83"/>
      <c r="J70" s="85"/>
      <c r="K70" s="8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1"/>
      <c r="B71" s="79" t="str">
        <f>IFERROR(__xludf.DUMMYFUNCTION("""COMPUTED_VALUE"""),"No. DE ALUMNOS REPROBADOS")</f>
        <v>No. DE ALUMNOS REPROBADOS</v>
      </c>
      <c r="C71" s="80"/>
      <c r="D71" s="87">
        <f>IFERROR(__xludf.DUMMYFUNCTION("""COMPUTED_VALUE"""),3.0)</f>
        <v>3</v>
      </c>
      <c r="E71" s="69"/>
      <c r="F71" s="88"/>
      <c r="G71" s="84"/>
      <c r="H71" s="88"/>
      <c r="I71" s="88"/>
      <c r="J71" s="89"/>
      <c r="K71" s="9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71"/>
      <c r="B72" s="91" t="str">
        <f>IFERROR(__xludf.DUMMYFUNCTION("""COMPUTED_VALUE"""),"% DE APROBADOS")</f>
        <v>% DE APROBADOS</v>
      </c>
      <c r="C72" s="80"/>
      <c r="D72" s="82">
        <f>IFERROR(__xludf.DUMMYFUNCTION("""COMPUTED_VALUE"""),93.87755102040816)</f>
        <v>93.87755102</v>
      </c>
      <c r="E72" s="69"/>
      <c r="F72" s="92" t="str">
        <f>IFERROR(__xludf.DUMMYFUNCTION("""COMPUTED_VALUE"""),"PROFR. ")</f>
        <v>PROFR. </v>
      </c>
      <c r="G72" s="93"/>
      <c r="H72" s="94" t="str">
        <f>IFERROR(__xludf.DUMMYFUNCTION("""COMPUTED_VALUE"""),"PROFRA. ANA ISABEL CORREA SALGADO")</f>
        <v>PROFRA. ANA ISABEL CORREA SALGADO</v>
      </c>
      <c r="J72" s="95" t="str">
        <f>IFERROR(__xludf.DUMMYFUNCTION("""COMPUTED_VALUE"""),"PROFR. OCTAVIO VÁZQUEZ BARRETO")</f>
        <v>PROFR. OCTAVIO VÁZQUEZ BARRETO</v>
      </c>
      <c r="K72" s="96" t="str">
        <f>IFERROR(__xludf.DUMMYFUNCTION("""COMPUTED_VALUE"""),"PROFR. ROBERTO PALOMARES MEJÍA ")</f>
        <v>PROFR. ROBERTO PALOMARES MEJÍA </v>
      </c>
      <c r="L72" s="9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98" t="str">
        <f>IFERROR(__xludf.DUMMYFUNCTION("""COMPUTED_VALUE"""),"PROMEDIO")</f>
        <v>PROMEDIO</v>
      </c>
      <c r="C73" s="99"/>
      <c r="D73" s="100">
        <f>IFERROR(__xludf.DUMMYFUNCTION("""COMPUTED_VALUE"""),8.877551020408163)</f>
        <v>8.87755102</v>
      </c>
      <c r="E73" s="69"/>
      <c r="G73" s="93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6"/>
      <c r="B74" s="1"/>
      <c r="C74" s="1"/>
      <c r="D74" s="1"/>
      <c r="E74" s="1"/>
      <c r="F74" s="1"/>
      <c r="G74" s="1"/>
      <c r="H74" s="1"/>
      <c r="I74" s="1"/>
      <c r="J74" s="1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3"/>
      <c r="D75" s="103"/>
      <c r="E75" s="69"/>
      <c r="G75" s="7"/>
      <c r="H75" s="7"/>
      <c r="I75" s="7"/>
      <c r="J75" s="7"/>
      <c r="K75" s="104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69"/>
      <c r="C76" s="69"/>
      <c r="D76" s="69"/>
      <c r="E76" s="7"/>
      <c r="F76" s="1"/>
      <c r="G76" s="1"/>
      <c r="H76" s="1"/>
      <c r="I76" s="1"/>
      <c r="J76" s="1"/>
      <c r="K76" s="8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06"/>
      <c r="B77" s="69"/>
      <c r="C77" s="69"/>
      <c r="D77" s="69"/>
      <c r="E77" s="7"/>
      <c r="F77" s="1"/>
      <c r="G77" s="1"/>
      <c r="H77" s="1"/>
      <c r="I77" s="1"/>
      <c r="J77" s="1"/>
      <c r="K77" s="8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08"/>
      <c r="B78" s="109"/>
      <c r="C78" s="109"/>
      <c r="D78" s="109"/>
      <c r="E78" s="110"/>
      <c r="F78" s="111"/>
      <c r="G78" s="111"/>
      <c r="H78" s="111"/>
      <c r="I78" s="111"/>
      <c r="J78" s="111"/>
      <c r="K78" s="112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3"/>
      <c r="C79" s="113"/>
      <c r="D79" s="113"/>
      <c r="E79" s="113"/>
      <c r="F79" s="1"/>
      <c r="G79" s="1"/>
      <c r="H79" s="1"/>
      <c r="I79" s="1"/>
      <c r="J79" s="114"/>
      <c r="K79" s="114"/>
      <c r="L79" s="1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3"/>
      <c r="C80" s="113"/>
      <c r="D80" s="113"/>
      <c r="E80" s="113"/>
      <c r="F80" s="1"/>
      <c r="G80" s="1"/>
      <c r="H80" s="1"/>
      <c r="I80" s="1"/>
      <c r="J80" s="114"/>
      <c r="K80" s="114"/>
      <c r="L80" s="1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3"/>
      <c r="C81" s="113"/>
      <c r="D81" s="113"/>
      <c r="E81" s="113"/>
      <c r="F81" s="1"/>
      <c r="G81" s="1"/>
      <c r="H81" s="1"/>
      <c r="I81" s="1"/>
      <c r="J81" s="114"/>
      <c r="K81" s="114"/>
      <c r="L81" s="1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3"/>
      <c r="C82" s="113"/>
      <c r="D82" s="113"/>
      <c r="E82" s="113"/>
      <c r="F82" s="1"/>
      <c r="G82" s="1"/>
      <c r="H82" s="1"/>
      <c r="I82" s="1"/>
      <c r="J82" s="114"/>
      <c r="K82" s="114"/>
      <c r="L82" s="1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3"/>
      <c r="C83" s="113"/>
      <c r="D83" s="113"/>
      <c r="E83" s="11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3"/>
      <c r="C84" s="113"/>
      <c r="D84" s="113"/>
      <c r="E84" s="113"/>
      <c r="F84" s="1"/>
      <c r="G84" s="1"/>
      <c r="H84" s="1"/>
      <c r="I84" s="1"/>
      <c r="J84" s="1"/>
      <c r="K84" s="1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3"/>
      <c r="C85" s="113"/>
      <c r="D85" s="113"/>
      <c r="E85" s="1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3"/>
      <c r="C86" s="113"/>
      <c r="D86" s="113"/>
      <c r="E86" s="11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3"/>
      <c r="C87" s="113"/>
      <c r="D87" s="113"/>
      <c r="E87" s="11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3"/>
      <c r="C88" s="113"/>
      <c r="D88" s="113"/>
      <c r="E88" s="11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3"/>
      <c r="C89" s="113"/>
      <c r="D89" s="113"/>
      <c r="E89" s="11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3"/>
      <c r="C90" s="113"/>
      <c r="D90" s="113"/>
      <c r="E90" s="1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8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IFERROR(__xludf.DUMMYFUNCTION("IMPORTRANGE(""https://docs.google.com/spreadsheets/d/1_AFCWkM3jCUHMVRwvoFkZ6syz5Zk2VPuCdzg3T7okfQ/edit?gid=805543490#gid=805543490"",""2-2 temas selectos de matematicas 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Jorge Flores Ceron")</f>
        <v>PROFESOR (A): Jorge Flores Ceron</v>
      </c>
      <c r="B13" s="17"/>
      <c r="C13" s="18"/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MATEMÁTICAS I")</f>
        <v>TEMAS SELECTOS DE MATEMÁTICAS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55">
        <f>IFERROR(__xludf.DUMMYFUNCTION("""COMPUTED_VALUE"""),3.9)</f>
        <v>3.9</v>
      </c>
      <c r="F17" s="55">
        <f>IFERROR(__xludf.DUMMYFUNCTION("""COMPUTED_VALUE"""),2.0)</f>
        <v>2</v>
      </c>
      <c r="G17" s="56">
        <f>IFERROR(__xludf.DUMMYFUNCTION("""COMPUTED_VALUE"""),2.0)</f>
        <v>2</v>
      </c>
      <c r="H17" s="57">
        <f>IFERROR(__xludf.DUMMYFUNCTION("""COMPUTED_VALUE"""),7.9)</f>
        <v>7.9</v>
      </c>
      <c r="I17" s="58">
        <f>IFERROR(__xludf.DUMMYFUNCTION("""COMPUTED_VALUE"""),0.0)</f>
        <v>0</v>
      </c>
      <c r="J17" s="59">
        <f>IFERROR(__xludf.DUMMYFUNCTION("""COMPUTED_VALUE"""),8.0)</f>
        <v>8</v>
      </c>
      <c r="K17" s="60"/>
      <c r="L17" s="61">
        <f>IFERROR(__xludf.DUMMYFUNCTION("""COMPUTED_VALUE"""),8.0)</f>
        <v>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55">
        <f>IFERROR(__xludf.DUMMYFUNCTION("""COMPUTED_VALUE"""),4.1)</f>
        <v>4.1</v>
      </c>
      <c r="F18" s="55">
        <f>IFERROR(__xludf.DUMMYFUNCTION("""COMPUTED_VALUE"""),1.6)</f>
        <v>1.6</v>
      </c>
      <c r="G18" s="56">
        <f>IFERROR(__xludf.DUMMYFUNCTION("""COMPUTED_VALUE"""),2.0)</f>
        <v>2</v>
      </c>
      <c r="H18" s="57">
        <f>IFERROR(__xludf.DUMMYFUNCTION("""COMPUTED_VALUE"""),7.699999999999999)</f>
        <v>7.7</v>
      </c>
      <c r="I18" s="58">
        <f>IFERROR(__xludf.DUMMYFUNCTION("""COMPUTED_VALUE"""),0.0)</f>
        <v>0</v>
      </c>
      <c r="J18" s="59">
        <f>IFERROR(__xludf.DUMMYFUNCTION("""COMPUTED_VALUE"""),8.0)</f>
        <v>8</v>
      </c>
      <c r="K18" s="51"/>
      <c r="L18" s="61">
        <f>IFERROR(__xludf.DUMMYFUNCTION("""COMPUTED_VALUE"""),8.0)</f>
        <v>8</v>
      </c>
      <c r="M18" s="1" t="str">
        <f>IFERROR(__xludf.DUMMYFUNCTION("""COMPUTED_VALUE"""),"Febrero")</f>
        <v>Febrero</v>
      </c>
      <c r="N18" s="1">
        <f>IFERROR(__xludf.DUMMYFUNCTION("""COMPUTED_VALUE"""),12.0)</f>
        <v>12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56">
        <f>IFERROR(__xludf.DUMMYFUNCTION("""COMPUTED_VALUE"""),4.7)</f>
        <v>4.7</v>
      </c>
      <c r="F19" s="55">
        <f>IFERROR(__xludf.DUMMYFUNCTION("""COMPUTED_VALUE"""),1.6)</f>
        <v>1.6</v>
      </c>
      <c r="G19" s="56">
        <f>IFERROR(__xludf.DUMMYFUNCTION("""COMPUTED_VALUE"""),1.0)</f>
        <v>1</v>
      </c>
      <c r="H19" s="57">
        <f>IFERROR(__xludf.DUMMYFUNCTION("""COMPUTED_VALUE"""),7.300000000000001)</f>
        <v>7.3</v>
      </c>
      <c r="I19" s="58">
        <f>IFERROR(__xludf.DUMMYFUNCTION("""COMPUTED_VALUE"""),0.0)</f>
        <v>0</v>
      </c>
      <c r="J19" s="59">
        <f>IFERROR(__xludf.DUMMYFUNCTION("""COMPUTED_VALUE"""),7.0)</f>
        <v>7</v>
      </c>
      <c r="K19" s="51"/>
      <c r="L19" s="61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55">
        <f>IFERROR(__xludf.DUMMYFUNCTION("""COMPUTED_VALUE"""),5.7)</f>
        <v>5.7</v>
      </c>
      <c r="F20" s="55">
        <f>IFERROR(__xludf.DUMMYFUNCTION("""COMPUTED_VALUE"""),1.6)</f>
        <v>1.6</v>
      </c>
      <c r="G20" s="56">
        <f>IFERROR(__xludf.DUMMYFUNCTION("""COMPUTED_VALUE"""),1.0)</f>
        <v>1</v>
      </c>
      <c r="H20" s="57">
        <f>IFERROR(__xludf.DUMMYFUNCTION("""COMPUTED_VALUE"""),8.3)</f>
        <v>8.3</v>
      </c>
      <c r="I20" s="58">
        <f>IFERROR(__xludf.DUMMYFUNCTION("""COMPUTED_VALUE"""),0.0)</f>
        <v>0</v>
      </c>
      <c r="J20" s="59">
        <f>IFERROR(__xludf.DUMMYFUNCTION("""COMPUTED_VALUE"""),8.0)</f>
        <v>8</v>
      </c>
      <c r="K20" s="51"/>
      <c r="L20" s="61">
        <f>IFERROR(__xludf.DUMMYFUNCTION("""COMPUTED_VALUE"""),8.0)</f>
        <v>8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55">
        <f>IFERROR(__xludf.DUMMYFUNCTION("""COMPUTED_VALUE"""),4.1)</f>
        <v>4.1</v>
      </c>
      <c r="F21" s="55">
        <f>IFERROR(__xludf.DUMMYFUNCTION("""COMPUTED_VALUE"""),1.8)</f>
        <v>1.8</v>
      </c>
      <c r="G21" s="56">
        <f>IFERROR(__xludf.DUMMYFUNCTION("""COMPUTED_VALUE"""),1.0)</f>
        <v>1</v>
      </c>
      <c r="H21" s="57">
        <f>IFERROR(__xludf.DUMMYFUNCTION("""COMPUTED_VALUE"""),6.8999999999999995)</f>
        <v>6.9</v>
      </c>
      <c r="I21" s="58">
        <f>IFERROR(__xludf.DUMMYFUNCTION("""COMPUTED_VALUE"""),0.0)</f>
        <v>0</v>
      </c>
      <c r="J21" s="59">
        <f>IFERROR(__xludf.DUMMYFUNCTION("""COMPUTED_VALUE"""),7.0)</f>
        <v>7</v>
      </c>
      <c r="K21" s="51"/>
      <c r="L21" s="61">
        <f>IFERROR(__xludf.DUMMYFUNCTION("""COMPUTED_VALUE"""),7.0)</f>
        <v>7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55">
        <f>IFERROR(__xludf.DUMMYFUNCTION("""COMPUTED_VALUE"""),5.5)</f>
        <v>5.5</v>
      </c>
      <c r="F22" s="55">
        <f>IFERROR(__xludf.DUMMYFUNCTION("""COMPUTED_VALUE"""),0.0)</f>
        <v>0</v>
      </c>
      <c r="G22" s="56">
        <f>IFERROR(__xludf.DUMMYFUNCTION("""COMPUTED_VALUE"""),2.0)</f>
        <v>2</v>
      </c>
      <c r="H22" s="57">
        <f>IFERROR(__xludf.DUMMYFUNCTION("""COMPUTED_VALUE"""),7.5)</f>
        <v>7.5</v>
      </c>
      <c r="I22" s="58">
        <f>IFERROR(__xludf.DUMMYFUNCTION("""COMPUTED_VALUE"""),0.0)</f>
        <v>0</v>
      </c>
      <c r="J22" s="59">
        <f>IFERROR(__xludf.DUMMYFUNCTION("""COMPUTED_VALUE"""),8.0)</f>
        <v>8</v>
      </c>
      <c r="K22" s="51"/>
      <c r="L22" s="61">
        <f>IFERROR(__xludf.DUMMYFUNCTION("""COMPUTED_VALUE"""),8.0)</f>
        <v>8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55">
        <f>IFERROR(__xludf.DUMMYFUNCTION("""COMPUTED_VALUE"""),7.6)</f>
        <v>7.6</v>
      </c>
      <c r="F23" s="55">
        <f>IFERROR(__xludf.DUMMYFUNCTION("""COMPUTED_VALUE"""),2.0)</f>
        <v>2</v>
      </c>
      <c r="G23" s="56">
        <f>IFERROR(__xludf.DUMMYFUNCTION("""COMPUTED_VALUE"""),2.0)</f>
        <v>2</v>
      </c>
      <c r="H23" s="57">
        <f>IFERROR(__xludf.DUMMYFUNCTION("""COMPUTED_VALUE"""),11.6)</f>
        <v>11.6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IFERROR(__xludf.DUMMYFUNCTION("""COMPUTED_VALUE"""),12.0)</f>
        <v>12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56">
        <f>IFERROR(__xludf.DUMMYFUNCTION("""COMPUTED_VALUE"""),6.0)</f>
        <v>6</v>
      </c>
      <c r="F24" s="55">
        <f>IFERROR(__xludf.DUMMYFUNCTION("""COMPUTED_VALUE"""),2.0)</f>
        <v>2</v>
      </c>
      <c r="G24" s="56">
        <f>IFERROR(__xludf.DUMMYFUNCTION("""COMPUTED_VALUE"""),0.0)</f>
        <v>0</v>
      </c>
      <c r="H24" s="57">
        <f>IFERROR(__xludf.DUMMYFUNCTION("""COMPUTED_VALUE"""),8.0)</f>
        <v>8</v>
      </c>
      <c r="I24" s="58">
        <f>IFERROR(__xludf.DUMMYFUNCTION("""COMPUTED_VALUE"""),0.0)</f>
        <v>0</v>
      </c>
      <c r="J24" s="59">
        <f>IFERROR(__xludf.DUMMYFUNCTION("""COMPUTED_VALUE"""),8.0)</f>
        <v>8</v>
      </c>
      <c r="K24" s="51"/>
      <c r="L24" s="61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IFERROR(__xludf.DUMMYFUNCTION("""COMPUTED_VALUE"""),28.0)</f>
        <v>28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55">
        <f>IFERROR(__xludf.DUMMYFUNCTION("""COMPUTED_VALUE"""),2.4)</f>
        <v>2.4</v>
      </c>
      <c r="F25" s="55">
        <f>IFERROR(__xludf.DUMMYFUNCTION("""COMPUTED_VALUE"""),1.4)</f>
        <v>1.4</v>
      </c>
      <c r="G25" s="56">
        <f>IFERROR(__xludf.DUMMYFUNCTION("""COMPUTED_VALUE"""),1.0)</f>
        <v>1</v>
      </c>
      <c r="H25" s="57">
        <f>IFERROR(__xludf.DUMMYFUNCTION("""COMPUTED_VALUE"""),4.8)</f>
        <v>4.8</v>
      </c>
      <c r="I25" s="58">
        <f>IFERROR(__xludf.DUMMYFUNCTION("""COMPUTED_VALUE"""),0.0)</f>
        <v>0</v>
      </c>
      <c r="J25" s="59">
        <f>IFERROR(__xludf.DUMMYFUNCTION("""COMPUTED_VALUE"""),5.0)</f>
        <v>5</v>
      </c>
      <c r="K25" s="51"/>
      <c r="L25" s="61">
        <f>IFERROR(__xludf.DUMMYFUNCTION("""COMPUTED_VALUE"""),4.0)</f>
        <v>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56">
        <f>IFERROR(__xludf.DUMMYFUNCTION("""COMPUTED_VALUE"""),2.3)</f>
        <v>2.3</v>
      </c>
      <c r="F26" s="55">
        <f>IFERROR(__xludf.DUMMYFUNCTION("""COMPUTED_VALUE"""),1.8)</f>
        <v>1.8</v>
      </c>
      <c r="G26" s="56">
        <f>IFERROR(__xludf.DUMMYFUNCTION("""COMPUTED_VALUE"""),1.0)</f>
        <v>1</v>
      </c>
      <c r="H26" s="57">
        <f>IFERROR(__xludf.DUMMYFUNCTION("""COMPUTED_VALUE"""),5.1)</f>
        <v>5.1</v>
      </c>
      <c r="I26" s="58">
        <f>IFERROR(__xludf.DUMMYFUNCTION("""COMPUTED_VALUE"""),0.0)</f>
        <v>0</v>
      </c>
      <c r="J26" s="59">
        <f>IFERROR(__xludf.DUMMYFUNCTION("""COMPUTED_VALUE"""),5.0)</f>
        <v>5</v>
      </c>
      <c r="K26" s="51"/>
      <c r="L26" s="61">
        <f>IFERROR(__xludf.DUMMYFUNCTION("""COMPUTED_VALUE"""),5.0)</f>
        <v>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55">
        <f>IFERROR(__xludf.DUMMYFUNCTION("""COMPUTED_VALUE"""),6.5)</f>
        <v>6.5</v>
      </c>
      <c r="F27" s="55">
        <f>IFERROR(__xludf.DUMMYFUNCTION("""COMPUTED_VALUE"""),1.8)</f>
        <v>1.8</v>
      </c>
      <c r="G27" s="56">
        <f>IFERROR(__xludf.DUMMYFUNCTION("""COMPUTED_VALUE"""),2.0)</f>
        <v>2</v>
      </c>
      <c r="H27" s="57">
        <f>IFERROR(__xludf.DUMMYFUNCTION("""COMPUTED_VALUE"""),10.3)</f>
        <v>10.3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55">
        <f>IFERROR(__xludf.DUMMYFUNCTION("""COMPUTED_VALUE"""),4.9)</f>
        <v>4.9</v>
      </c>
      <c r="F28" s="55">
        <f>IFERROR(__xludf.DUMMYFUNCTION("""COMPUTED_VALUE"""),1.6)</f>
        <v>1.6</v>
      </c>
      <c r="G28" s="56">
        <f>IFERROR(__xludf.DUMMYFUNCTION("""COMPUTED_VALUE"""),1.0)</f>
        <v>1</v>
      </c>
      <c r="H28" s="57">
        <f>IFERROR(__xludf.DUMMYFUNCTION("""COMPUTED_VALUE"""),7.5)</f>
        <v>7.5</v>
      </c>
      <c r="I28" s="58">
        <f>IFERROR(__xludf.DUMMYFUNCTION("""COMPUTED_VALUE"""),0.0)</f>
        <v>0</v>
      </c>
      <c r="J28" s="59">
        <f>IFERROR(__xludf.DUMMYFUNCTION("""COMPUTED_VALUE"""),8.0)</f>
        <v>8</v>
      </c>
      <c r="K28" s="51"/>
      <c r="L28" s="61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55">
        <f>IFERROR(__xludf.DUMMYFUNCTION("""COMPUTED_VALUE"""),4.5)</f>
        <v>4.5</v>
      </c>
      <c r="F29" s="55">
        <f>IFERROR(__xludf.DUMMYFUNCTION("""COMPUTED_VALUE"""),1.8)</f>
        <v>1.8</v>
      </c>
      <c r="G29" s="56">
        <f>IFERROR(__xludf.DUMMYFUNCTION("""COMPUTED_VALUE"""),1.0)</f>
        <v>1</v>
      </c>
      <c r="H29" s="57">
        <f>IFERROR(__xludf.DUMMYFUNCTION("""COMPUTED_VALUE"""),7.3)</f>
        <v>7.3</v>
      </c>
      <c r="I29" s="58">
        <f>IFERROR(__xludf.DUMMYFUNCTION("""COMPUTED_VALUE"""),0.0)</f>
        <v>0</v>
      </c>
      <c r="J29" s="59">
        <f>IFERROR(__xludf.DUMMYFUNCTION("""COMPUTED_VALUE"""),7.0)</f>
        <v>7</v>
      </c>
      <c r="K29" s="51"/>
      <c r="L29" s="61">
        <f>IFERROR(__xludf.DUMMYFUNCTION("""COMPUTED_VALUE"""),7.0)</f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56">
        <f>IFERROR(__xludf.DUMMYFUNCTION("""COMPUTED_VALUE"""),6.2)</f>
        <v>6.2</v>
      </c>
      <c r="F30" s="55">
        <f>IFERROR(__xludf.DUMMYFUNCTION("""COMPUTED_VALUE"""),2.0)</f>
        <v>2</v>
      </c>
      <c r="G30" s="56">
        <f>IFERROR(__xludf.DUMMYFUNCTION("""COMPUTED_VALUE"""),1.0)</f>
        <v>1</v>
      </c>
      <c r="H30" s="57">
        <f>IFERROR(__xludf.DUMMYFUNCTION("""COMPUTED_VALUE"""),9.2)</f>
        <v>9.2</v>
      </c>
      <c r="I30" s="58">
        <f>IFERROR(__xludf.DUMMYFUNCTION("""COMPUTED_VALUE"""),0.0)</f>
        <v>0</v>
      </c>
      <c r="J30" s="59">
        <f>IFERROR(__xludf.DUMMYFUNCTION("""COMPUTED_VALUE"""),9.0)</f>
        <v>9</v>
      </c>
      <c r="K30" s="51"/>
      <c r="L30" s="61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56">
        <f>IFERROR(__xludf.DUMMYFUNCTION("""COMPUTED_VALUE"""),5.0)</f>
        <v>5</v>
      </c>
      <c r="F31" s="55">
        <f>IFERROR(__xludf.DUMMYFUNCTION("""COMPUTED_VALUE"""),2.0)</f>
        <v>2</v>
      </c>
      <c r="G31" s="56">
        <f>IFERROR(__xludf.DUMMYFUNCTION("""COMPUTED_VALUE"""),1.0)</f>
        <v>1</v>
      </c>
      <c r="H31" s="57">
        <f>IFERROR(__xludf.DUMMYFUNCTION("""COMPUTED_VALUE"""),8.0)</f>
        <v>8</v>
      </c>
      <c r="I31" s="58">
        <f>IFERROR(__xludf.DUMMYFUNCTION("""COMPUTED_VALUE"""),0.0)</f>
        <v>0</v>
      </c>
      <c r="J31" s="59">
        <f>IFERROR(__xludf.DUMMYFUNCTION("""COMPUTED_VALUE"""),8.0)</f>
        <v>8</v>
      </c>
      <c r="K31" s="51"/>
      <c r="L31" s="61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55">
        <f>IFERROR(__xludf.DUMMYFUNCTION("""COMPUTED_VALUE"""),7.3)</f>
        <v>7.3</v>
      </c>
      <c r="F32" s="55">
        <f>IFERROR(__xludf.DUMMYFUNCTION("""COMPUTED_VALUE"""),2.0)</f>
        <v>2</v>
      </c>
      <c r="G32" s="56">
        <f>IFERROR(__xludf.DUMMYFUNCTION("""COMPUTED_VALUE"""),2.0)</f>
        <v>2</v>
      </c>
      <c r="H32" s="57">
        <f>IFERROR(__xludf.DUMMYFUNCTION("""COMPUTED_VALUE"""),11.3)</f>
        <v>11.3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IFERROR(__xludf.DUMMYFUNCTION("""COMPUTED_VALUE"""),11.0)</f>
        <v>11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55">
        <f>IFERROR(__xludf.DUMMYFUNCTION("""COMPUTED_VALUE"""),4.9)</f>
        <v>4.9</v>
      </c>
      <c r="F33" s="55">
        <f>IFERROR(__xludf.DUMMYFUNCTION("""COMPUTED_VALUE"""),1.8)</f>
        <v>1.8</v>
      </c>
      <c r="G33" s="56">
        <f>IFERROR(__xludf.DUMMYFUNCTION("""COMPUTED_VALUE"""),1.0)</f>
        <v>1</v>
      </c>
      <c r="H33" s="57">
        <f>IFERROR(__xludf.DUMMYFUNCTION("""COMPUTED_VALUE"""),7.7)</f>
        <v>7.7</v>
      </c>
      <c r="I33" s="58">
        <f>IFERROR(__xludf.DUMMYFUNCTION("""COMPUTED_VALUE"""),0.0)</f>
        <v>0</v>
      </c>
      <c r="J33" s="59">
        <f>IFERROR(__xludf.DUMMYFUNCTION("""COMPUTED_VALUE"""),8.0)</f>
        <v>8</v>
      </c>
      <c r="K33" s="51"/>
      <c r="L33" s="61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56">
        <f>IFERROR(__xludf.DUMMYFUNCTION("""COMPUTED_VALUE"""),4.9)</f>
        <v>4.9</v>
      </c>
      <c r="F34" s="55">
        <f>IFERROR(__xludf.DUMMYFUNCTION("""COMPUTED_VALUE"""),1.8)</f>
        <v>1.8</v>
      </c>
      <c r="G34" s="56">
        <f>IFERROR(__xludf.DUMMYFUNCTION("""COMPUTED_VALUE"""),2.0)</f>
        <v>2</v>
      </c>
      <c r="H34" s="57">
        <f>IFERROR(__xludf.DUMMYFUNCTION("""COMPUTED_VALUE"""),8.7)</f>
        <v>8.7</v>
      </c>
      <c r="I34" s="58">
        <f>IFERROR(__xludf.DUMMYFUNCTION("""COMPUTED_VALUE"""),0.0)</f>
        <v>0</v>
      </c>
      <c r="J34" s="59">
        <f>IFERROR(__xludf.DUMMYFUNCTION("""COMPUTED_VALUE"""),9.0)</f>
        <v>9</v>
      </c>
      <c r="K34" s="51"/>
      <c r="L34" s="61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55">
        <f>IFERROR(__xludf.DUMMYFUNCTION("""COMPUTED_VALUE"""),6.6)</f>
        <v>6.6</v>
      </c>
      <c r="F35" s="55">
        <f>IFERROR(__xludf.DUMMYFUNCTION("""COMPUTED_VALUE"""),2.0)</f>
        <v>2</v>
      </c>
      <c r="G35" s="56">
        <f>IFERROR(__xludf.DUMMYFUNCTION("""COMPUTED_VALUE"""),2.0)</f>
        <v>2</v>
      </c>
      <c r="H35" s="57">
        <f>IFERROR(__xludf.DUMMYFUNCTION("""COMPUTED_VALUE"""),10.6)</f>
        <v>10.6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IFERROR(__xludf.DUMMYFUNCTION("""COMPUTED_VALUE"""),11.0)</f>
        <v>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>
        <f>IFERROR(__xludf.DUMMYFUNCTION("""COMPUTED_VALUE"""),2.0)</f>
        <v>2</v>
      </c>
      <c r="H36" s="57">
        <f>IFERROR(__xludf.DUMMYFUNCTION("""COMPUTED_VALUE"""),12.0)</f>
        <v>12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IFERROR(__xludf.DUMMYFUNCTION("""COMPUTED_VALUE"""),12.0)</f>
        <v>12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56">
        <f>IFERROR(__xludf.DUMMYFUNCTION("""COMPUTED_VALUE"""),1.5)</f>
        <v>1.5</v>
      </c>
      <c r="F37" s="55">
        <f>IFERROR(__xludf.DUMMYFUNCTION("""COMPUTED_VALUE"""),0.0)</f>
        <v>0</v>
      </c>
      <c r="G37" s="56">
        <f>IFERROR(__xludf.DUMMYFUNCTION("""COMPUTED_VALUE"""),0.0)</f>
        <v>0</v>
      </c>
      <c r="H37" s="57">
        <f>IFERROR(__xludf.DUMMYFUNCTION("""COMPUTED_VALUE"""),1.5)</f>
        <v>1.5</v>
      </c>
      <c r="I37" s="58">
        <f>IFERROR(__xludf.DUMMYFUNCTION("""COMPUTED_VALUE"""),2.0)</f>
        <v>2</v>
      </c>
      <c r="J37" s="59">
        <f>IFERROR(__xludf.DUMMYFUNCTION("""COMPUTED_VALUE"""),5.0)</f>
        <v>5</v>
      </c>
      <c r="K37" s="51"/>
      <c r="L37" s="61">
        <f>IFERROR(__xludf.DUMMYFUNCTION("""COMPUTED_VALUE"""),1.0)</f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55">
        <f>IFERROR(__xludf.DUMMYFUNCTION("""COMPUTED_VALUE"""),6.2)</f>
        <v>6.2</v>
      </c>
      <c r="F38" s="55">
        <f>IFERROR(__xludf.DUMMYFUNCTION("""COMPUTED_VALUE"""),1.8)</f>
        <v>1.8</v>
      </c>
      <c r="G38" s="56">
        <f>IFERROR(__xludf.DUMMYFUNCTION("""COMPUTED_VALUE"""),2.0)</f>
        <v>2</v>
      </c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55">
        <f>IFERROR(__xludf.DUMMYFUNCTION("""COMPUTED_VALUE"""),4.4)</f>
        <v>4.4</v>
      </c>
      <c r="F39" s="55">
        <f>IFERROR(__xludf.DUMMYFUNCTION("""COMPUTED_VALUE"""),2.0)</f>
        <v>2</v>
      </c>
      <c r="G39" s="56">
        <f>IFERROR(__xludf.DUMMYFUNCTION("""COMPUTED_VALUE"""),1.0)</f>
        <v>1</v>
      </c>
      <c r="H39" s="57">
        <f>IFERROR(__xludf.DUMMYFUNCTION("""COMPUTED_VALUE"""),7.4)</f>
        <v>7.4</v>
      </c>
      <c r="I39" s="58">
        <f>IFERROR(__xludf.DUMMYFUNCTION("""COMPUTED_VALUE"""),0.0)</f>
        <v>0</v>
      </c>
      <c r="J39" s="59">
        <f>IFERROR(__xludf.DUMMYFUNCTION("""COMPUTED_VALUE"""),7.0)</f>
        <v>7</v>
      </c>
      <c r="K39" s="51"/>
      <c r="L39" s="61">
        <f>IFERROR(__xludf.DUMMYFUNCTION("""COMPUTED_VALUE"""),7.0)</f>
        <v>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55">
        <f>IFERROR(__xludf.DUMMYFUNCTION("""COMPUTED_VALUE"""),4.6)</f>
        <v>4.6</v>
      </c>
      <c r="F40" s="55">
        <f>IFERROR(__xludf.DUMMYFUNCTION("""COMPUTED_VALUE"""),2.0)</f>
        <v>2</v>
      </c>
      <c r="G40" s="56">
        <f>IFERROR(__xludf.DUMMYFUNCTION("""COMPUTED_VALUE"""),2.0)</f>
        <v>2</v>
      </c>
      <c r="H40" s="57">
        <f>IFERROR(__xludf.DUMMYFUNCTION("""COMPUTED_VALUE"""),8.6)</f>
        <v>8.6</v>
      </c>
      <c r="I40" s="58">
        <f>IFERROR(__xludf.DUMMYFUNCTION("""COMPUTED_VALUE"""),0.0)</f>
        <v>0</v>
      </c>
      <c r="J40" s="59">
        <f>IFERROR(__xludf.DUMMYFUNCTION("""COMPUTED_VALUE"""),9.0)</f>
        <v>9</v>
      </c>
      <c r="K40" s="51"/>
      <c r="L40" s="61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55">
        <f>IFERROR(__xludf.DUMMYFUNCTION("""COMPUTED_VALUE"""),4.3)</f>
        <v>4.3</v>
      </c>
      <c r="F41" s="55">
        <f>IFERROR(__xludf.DUMMYFUNCTION("""COMPUTED_VALUE"""),1.8)</f>
        <v>1.8</v>
      </c>
      <c r="G41" s="56">
        <f>IFERROR(__xludf.DUMMYFUNCTION("""COMPUTED_VALUE"""),1.0)</f>
        <v>1</v>
      </c>
      <c r="H41" s="57">
        <f>IFERROR(__xludf.DUMMYFUNCTION("""COMPUTED_VALUE"""),7.1)</f>
        <v>7.1</v>
      </c>
      <c r="I41" s="58">
        <f>IFERROR(__xludf.DUMMYFUNCTION("""COMPUTED_VALUE"""),1.0)</f>
        <v>1</v>
      </c>
      <c r="J41" s="59">
        <f>IFERROR(__xludf.DUMMYFUNCTION("""COMPUTED_VALUE"""),7.0)</f>
        <v>7</v>
      </c>
      <c r="K41" s="51"/>
      <c r="L41" s="61">
        <f>IFERROR(__xludf.DUMMYFUNCTION("""COMPUTED_VALUE"""),7.0)</f>
        <v>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55">
        <f>IFERROR(__xludf.DUMMYFUNCTION("""COMPUTED_VALUE"""),4.5)</f>
        <v>4.5</v>
      </c>
      <c r="F42" s="55">
        <f>IFERROR(__xludf.DUMMYFUNCTION("""COMPUTED_VALUE"""),1.8)</f>
        <v>1.8</v>
      </c>
      <c r="G42" s="56">
        <f>IFERROR(__xludf.DUMMYFUNCTION("""COMPUTED_VALUE"""),2.0)</f>
        <v>2</v>
      </c>
      <c r="H42" s="57">
        <f>IFERROR(__xludf.DUMMYFUNCTION("""COMPUTED_VALUE"""),8.3)</f>
        <v>8.3</v>
      </c>
      <c r="I42" s="58">
        <f>IFERROR(__xludf.DUMMYFUNCTION("""COMPUTED_VALUE"""),0.0)</f>
        <v>0</v>
      </c>
      <c r="J42" s="59">
        <f>IFERROR(__xludf.DUMMYFUNCTION("""COMPUTED_VALUE"""),8.0)</f>
        <v>8</v>
      </c>
      <c r="K42" s="51"/>
      <c r="L42" s="61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55">
        <f>IFERROR(__xludf.DUMMYFUNCTION("""COMPUTED_VALUE"""),6.8)</f>
        <v>6.8</v>
      </c>
      <c r="F43" s="55">
        <f>IFERROR(__xludf.DUMMYFUNCTION("""COMPUTED_VALUE"""),2.0)</f>
        <v>2</v>
      </c>
      <c r="G43" s="56">
        <f>IFERROR(__xludf.DUMMYFUNCTION("""COMPUTED_VALUE"""),2.0)</f>
        <v>2</v>
      </c>
      <c r="H43" s="57">
        <f>IFERROR(__xludf.DUMMYFUNCTION("""COMPUTED_VALUE"""),10.8)</f>
        <v>10.8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IFERROR(__xludf.DUMMYFUNCTION("""COMPUTED_VALUE"""),11.0)</f>
        <v>11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55">
        <f>IFERROR(__xludf.DUMMYFUNCTION("""COMPUTED_VALUE"""),3.3)</f>
        <v>3.3</v>
      </c>
      <c r="F44" s="55">
        <f>IFERROR(__xludf.DUMMYFUNCTION("""COMPUTED_VALUE"""),2.0)</f>
        <v>2</v>
      </c>
      <c r="G44" s="56">
        <f>IFERROR(__xludf.DUMMYFUNCTION("""COMPUTED_VALUE"""),2.0)</f>
        <v>2</v>
      </c>
      <c r="H44" s="57">
        <f>IFERROR(__xludf.DUMMYFUNCTION("""COMPUTED_VALUE"""),7.3)</f>
        <v>7.3</v>
      </c>
      <c r="I44" s="58">
        <f>IFERROR(__xludf.DUMMYFUNCTION("""COMPUTED_VALUE"""),0.0)</f>
        <v>0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55">
        <f>IFERROR(__xludf.DUMMYFUNCTION("""COMPUTED_VALUE"""),2.9)</f>
        <v>2.9</v>
      </c>
      <c r="F45" s="55">
        <f>IFERROR(__xludf.DUMMYFUNCTION("""COMPUTED_VALUE"""),1.8)</f>
        <v>1.8</v>
      </c>
      <c r="G45" s="56">
        <f>IFERROR(__xludf.DUMMYFUNCTION("""COMPUTED_VALUE"""),1.0)</f>
        <v>1</v>
      </c>
      <c r="H45" s="57">
        <f>IFERROR(__xludf.DUMMYFUNCTION("""COMPUTED_VALUE"""),5.7)</f>
        <v>5.7</v>
      </c>
      <c r="I45" s="58">
        <f>IFERROR(__xludf.DUMMYFUNCTION("""COMPUTED_VALUE"""),0.0)</f>
        <v>0</v>
      </c>
      <c r="J45" s="59">
        <f>IFERROR(__xludf.DUMMYFUNCTION("""COMPUTED_VALUE"""),5.0)</f>
        <v>5</v>
      </c>
      <c r="K45" s="51"/>
      <c r="L45" s="61">
        <f>IFERROR(__xludf.DUMMYFUNCTION("""COMPUTED_VALUE"""),5.0)</f>
        <v>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55">
        <f>IFERROR(__xludf.DUMMYFUNCTION("""COMPUTED_VALUE"""),6.3)</f>
        <v>6.3</v>
      </c>
      <c r="F46" s="55">
        <f>IFERROR(__xludf.DUMMYFUNCTION("""COMPUTED_VALUE"""),2.0)</f>
        <v>2</v>
      </c>
      <c r="G46" s="56">
        <f>IFERROR(__xludf.DUMMYFUNCTION("""COMPUTED_VALUE"""),2.0)</f>
        <v>2</v>
      </c>
      <c r="H46" s="57">
        <f>IFERROR(__xludf.DUMMYFUNCTION("""COMPUTED_VALUE"""),10.3)</f>
        <v>10.3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55">
        <f>IFERROR(__xludf.DUMMYFUNCTION("""COMPUTED_VALUE"""),3.0)</f>
        <v>3</v>
      </c>
      <c r="F47" s="55">
        <f>IFERROR(__xludf.DUMMYFUNCTION("""COMPUTED_VALUE"""),1.8)</f>
        <v>1.8</v>
      </c>
      <c r="G47" s="56">
        <f>IFERROR(__xludf.DUMMYFUNCTION("""COMPUTED_VALUE"""),1.0)</f>
        <v>1</v>
      </c>
      <c r="H47" s="57">
        <f>IFERROR(__xludf.DUMMYFUNCTION("""COMPUTED_VALUE"""),5.8)</f>
        <v>5.8</v>
      </c>
      <c r="I47" s="58">
        <f>IFERROR(__xludf.DUMMYFUNCTION("""COMPUTED_VALUE"""),0.0)</f>
        <v>0</v>
      </c>
      <c r="J47" s="59">
        <f>IFERROR(__xludf.DUMMYFUNCTION("""COMPUTED_VALUE"""),5.0)</f>
        <v>5</v>
      </c>
      <c r="K47" s="51"/>
      <c r="L47" s="61">
        <f>IFERROR(__xludf.DUMMYFUNCTION("""COMPUTED_VALUE"""),5.0)</f>
        <v>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55">
        <f>IFERROR(__xludf.DUMMYFUNCTION("""COMPUTED_VALUE"""),6.8)</f>
        <v>6.8</v>
      </c>
      <c r="F48" s="55">
        <f>IFERROR(__xludf.DUMMYFUNCTION("""COMPUTED_VALUE"""),2.0)</f>
        <v>2</v>
      </c>
      <c r="G48" s="56">
        <f>IFERROR(__xludf.DUMMYFUNCTION("""COMPUTED_VALUE"""),2.0)</f>
        <v>2</v>
      </c>
      <c r="H48" s="57">
        <f>IFERROR(__xludf.DUMMYFUNCTION("""COMPUTED_VALUE"""),10.8)</f>
        <v>10.8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IFERROR(__xludf.DUMMYFUNCTION("""COMPUTED_VALUE"""),11.0)</f>
        <v>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55">
        <f>IFERROR(__xludf.DUMMYFUNCTION("""COMPUTED_VALUE"""),3.7)</f>
        <v>3.7</v>
      </c>
      <c r="F49" s="55">
        <f>IFERROR(__xludf.DUMMYFUNCTION("""COMPUTED_VALUE"""),2.0)</f>
        <v>2</v>
      </c>
      <c r="G49" s="56">
        <f>IFERROR(__xludf.DUMMYFUNCTION("""COMPUTED_VALUE"""),2.0)</f>
        <v>2</v>
      </c>
      <c r="H49" s="57">
        <f>IFERROR(__xludf.DUMMYFUNCTION("""COMPUTED_VALUE"""),7.7)</f>
        <v>7.7</v>
      </c>
      <c r="I49" s="58">
        <f>IFERROR(__xludf.DUMMYFUNCTION("""COMPUTED_VALUE"""),0.0)</f>
        <v>0</v>
      </c>
      <c r="J49" s="59">
        <f>IFERROR(__xludf.DUMMYFUNCTION("""COMPUTED_VALUE"""),8.0)</f>
        <v>8</v>
      </c>
      <c r="K49" s="51"/>
      <c r="L49" s="61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55">
        <f>IFERROR(__xludf.DUMMYFUNCTION("""COMPUTED_VALUE"""),6.4)</f>
        <v>6.4</v>
      </c>
      <c r="F50" s="55">
        <f>IFERROR(__xludf.DUMMYFUNCTION("""COMPUTED_VALUE"""),2.0)</f>
        <v>2</v>
      </c>
      <c r="G50" s="56">
        <f>IFERROR(__xludf.DUMMYFUNCTION("""COMPUTED_VALUE"""),2.0)</f>
        <v>2</v>
      </c>
      <c r="H50" s="57">
        <f>IFERROR(__xludf.DUMMYFUNCTION("""COMPUTED_VALUE"""),10.4)</f>
        <v>10.4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55">
        <f>IFERROR(__xludf.DUMMYFUNCTION("""COMPUTED_VALUE"""),2.7)</f>
        <v>2.7</v>
      </c>
      <c r="F51" s="55">
        <f>IFERROR(__xludf.DUMMYFUNCTION("""COMPUTED_VALUE"""),1.6)</f>
        <v>1.6</v>
      </c>
      <c r="G51" s="56">
        <f>IFERROR(__xludf.DUMMYFUNCTION("""COMPUTED_VALUE"""),1.0)</f>
        <v>1</v>
      </c>
      <c r="H51" s="57">
        <f>IFERROR(__xludf.DUMMYFUNCTION("""COMPUTED_VALUE"""),5.300000000000001)</f>
        <v>5.3</v>
      </c>
      <c r="I51" s="58">
        <f>IFERROR(__xludf.DUMMYFUNCTION("""COMPUTED_VALUE"""),1.0)</f>
        <v>1</v>
      </c>
      <c r="J51" s="59">
        <f>IFERROR(__xludf.DUMMYFUNCTION("""COMPUTED_VALUE"""),5.0)</f>
        <v>5</v>
      </c>
      <c r="K51" s="51"/>
      <c r="L51" s="61">
        <f>IFERROR(__xludf.DUMMYFUNCTION("""COMPUTED_VALUE"""),5.0)</f>
        <v>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55">
        <f>IFERROR(__xludf.DUMMYFUNCTION("""COMPUTED_VALUE"""),5.6)</f>
        <v>5.6</v>
      </c>
      <c r="F52" s="55">
        <f>IFERROR(__xludf.DUMMYFUNCTION("""COMPUTED_VALUE"""),1.8)</f>
        <v>1.8</v>
      </c>
      <c r="G52" s="56">
        <f>IFERROR(__xludf.DUMMYFUNCTION("""COMPUTED_VALUE"""),1.0)</f>
        <v>1</v>
      </c>
      <c r="H52" s="57">
        <f>IFERROR(__xludf.DUMMYFUNCTION("""COMPUTED_VALUE"""),8.399999999999999)</f>
        <v>8.4</v>
      </c>
      <c r="I52" s="58">
        <f>IFERROR(__xludf.DUMMYFUNCTION("""COMPUTED_VALUE"""),0.0)</f>
        <v>0</v>
      </c>
      <c r="J52" s="59">
        <f>IFERROR(__xludf.DUMMYFUNCTION("""COMPUTED_VALUE"""),8.0)</f>
        <v>8</v>
      </c>
      <c r="K52" s="51"/>
      <c r="L52" s="60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55">
        <f>IFERROR(__xludf.DUMMYFUNCTION("""COMPUTED_VALUE"""),5.0)</f>
        <v>5</v>
      </c>
      <c r="F53" s="55">
        <f>IFERROR(__xludf.DUMMYFUNCTION("""COMPUTED_VALUE"""),1.8)</f>
        <v>1.8</v>
      </c>
      <c r="G53" s="56">
        <f>IFERROR(__xludf.DUMMYFUNCTION("""COMPUTED_VALUE"""),1.0)</f>
        <v>1</v>
      </c>
      <c r="H53" s="57">
        <f>IFERROR(__xludf.DUMMYFUNCTION("""COMPUTED_VALUE"""),7.8)</f>
        <v>7.8</v>
      </c>
      <c r="I53" s="58">
        <f>IFERROR(__xludf.DUMMYFUNCTION("""COMPUTED_VALUE"""),0.0)</f>
        <v>0</v>
      </c>
      <c r="J53" s="59">
        <f>IFERROR(__xludf.DUMMYFUNCTION("""COMPUTED_VALUE"""),8.0)</f>
        <v>8</v>
      </c>
      <c r="K53" s="51"/>
      <c r="L53" s="60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55">
        <f>IFERROR(__xludf.DUMMYFUNCTION("""COMPUTED_VALUE"""),6.1)</f>
        <v>6.1</v>
      </c>
      <c r="F54" s="55">
        <f>IFERROR(__xludf.DUMMYFUNCTION("""COMPUTED_VALUE"""),1.8)</f>
        <v>1.8</v>
      </c>
      <c r="G54" s="56">
        <f>IFERROR(__xludf.DUMMYFUNCTION("""COMPUTED_VALUE"""),1.0)</f>
        <v>1</v>
      </c>
      <c r="H54" s="57">
        <f>IFERROR(__xludf.DUMMYFUNCTION("""COMPUTED_VALUE"""),8.899999999999999)</f>
        <v>8.9</v>
      </c>
      <c r="I54" s="58">
        <f>IFERROR(__xludf.DUMMYFUNCTION("""COMPUTED_VALUE"""),0.0)</f>
        <v>0</v>
      </c>
      <c r="J54" s="59">
        <f>IFERROR(__xludf.DUMMYFUNCTION("""COMPUTED_VALUE"""),9.0)</f>
        <v>9</v>
      </c>
      <c r="K54" s="51"/>
      <c r="L54" s="60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55">
        <f>IFERROR(__xludf.DUMMYFUNCTION("""COMPUTED_VALUE"""),2.1)</f>
        <v>2.1</v>
      </c>
      <c r="F55" s="55">
        <f>IFERROR(__xludf.DUMMYFUNCTION("""COMPUTED_VALUE"""),1.6)</f>
        <v>1.6</v>
      </c>
      <c r="G55" s="56">
        <f>IFERROR(__xludf.DUMMYFUNCTION("""COMPUTED_VALUE"""),1.0)</f>
        <v>1</v>
      </c>
      <c r="H55" s="57">
        <f>IFERROR(__xludf.DUMMYFUNCTION("""COMPUTED_VALUE"""),4.7)</f>
        <v>4.7</v>
      </c>
      <c r="I55" s="65">
        <f>IFERROR(__xludf.DUMMYFUNCTION("""COMPUTED_VALUE"""),0.0)</f>
        <v>0</v>
      </c>
      <c r="J55" s="59">
        <f>IFERROR(__xludf.DUMMYFUNCTION("""COMPUTED_VALUE"""),5.0)</f>
        <v>5</v>
      </c>
      <c r="K55" s="51"/>
      <c r="L55" s="60">
        <f>IFERROR(__xludf.DUMMYFUNCTION("""COMPUTED_VALUE"""),4.0)</f>
        <v>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55">
        <f>IFERROR(__xludf.DUMMYFUNCTION("""COMPUTED_VALUE"""),3.9)</f>
        <v>3.9</v>
      </c>
      <c r="F56" s="55">
        <f>IFERROR(__xludf.DUMMYFUNCTION("""COMPUTED_VALUE"""),2.0)</f>
        <v>2</v>
      </c>
      <c r="G56" s="56">
        <f>IFERROR(__xludf.DUMMYFUNCTION("""COMPUTED_VALUE"""),1.0)</f>
        <v>1</v>
      </c>
      <c r="H56" s="57">
        <f>IFERROR(__xludf.DUMMYFUNCTION("""COMPUTED_VALUE"""),6.9)</f>
        <v>6.9</v>
      </c>
      <c r="I56" s="65">
        <f>IFERROR(__xludf.DUMMYFUNCTION("""COMPUTED_VALUE"""),0.0)</f>
        <v>0</v>
      </c>
      <c r="J56" s="59">
        <f>IFERROR(__xludf.DUMMYFUNCTION("""COMPUTED_VALUE"""),7.0)</f>
        <v>7</v>
      </c>
      <c r="K56" s="51"/>
      <c r="L56" s="60">
        <f>IFERROR(__xludf.DUMMYFUNCTION("""COMPUTED_VALUE"""),7.0)</f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55">
        <f>IFERROR(__xludf.DUMMYFUNCTION("""COMPUTED_VALUE"""),6.2)</f>
        <v>6.2</v>
      </c>
      <c r="F57" s="55">
        <f>IFERROR(__xludf.DUMMYFUNCTION("""COMPUTED_VALUE"""),2.0)</f>
        <v>2</v>
      </c>
      <c r="G57" s="56">
        <f>IFERROR(__xludf.DUMMYFUNCTION("""COMPUTED_VALUE"""),2.0)</f>
        <v>2</v>
      </c>
      <c r="H57" s="57">
        <f>IFERROR(__xludf.DUMMYFUNCTION("""COMPUTED_VALUE"""),10.2)</f>
        <v>10.2</v>
      </c>
      <c r="I57" s="65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55">
        <f>IFERROR(__xludf.DUMMYFUNCTION("""COMPUTED_VALUE"""),5.4)</f>
        <v>5.4</v>
      </c>
      <c r="F58" s="55">
        <f>IFERROR(__xludf.DUMMYFUNCTION("""COMPUTED_VALUE"""),1.6)</f>
        <v>1.6</v>
      </c>
      <c r="G58" s="56">
        <f>IFERROR(__xludf.DUMMYFUNCTION("""COMPUTED_VALUE"""),1.0)</f>
        <v>1</v>
      </c>
      <c r="H58" s="57">
        <f>IFERROR(__xludf.DUMMYFUNCTION("""COMPUTED_VALUE"""),8.0)</f>
        <v>8</v>
      </c>
      <c r="I58" s="65">
        <f>IFERROR(__xludf.DUMMYFUNCTION("""COMPUTED_VALUE"""),0.0)</f>
        <v>0</v>
      </c>
      <c r="J58" s="59">
        <f>IFERROR(__xludf.DUMMYFUNCTION("""COMPUTED_VALUE"""),8.0)</f>
        <v>8</v>
      </c>
      <c r="K58" s="51"/>
      <c r="L58" s="60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55">
        <f>IFERROR(__xludf.DUMMYFUNCTION("""COMPUTED_VALUE"""),2.2)</f>
        <v>2.2</v>
      </c>
      <c r="F59" s="55">
        <f>IFERROR(__xludf.DUMMYFUNCTION("""COMPUTED_VALUE"""),0.0)</f>
        <v>0</v>
      </c>
      <c r="G59" s="56">
        <f>IFERROR(__xludf.DUMMYFUNCTION("""COMPUTED_VALUE"""),1.0)</f>
        <v>1</v>
      </c>
      <c r="H59" s="57">
        <f>IFERROR(__xludf.DUMMYFUNCTION("""COMPUTED_VALUE"""),3.2)</f>
        <v>3.2</v>
      </c>
      <c r="I59" s="65">
        <f>IFERROR(__xludf.DUMMYFUNCTION("""COMPUTED_VALUE"""),0.0)</f>
        <v>0</v>
      </c>
      <c r="J59" s="59">
        <f>IFERROR(__xludf.DUMMYFUNCTION("""COMPUTED_VALUE"""),5.0)</f>
        <v>5</v>
      </c>
      <c r="K59" s="51"/>
      <c r="L59" s="60">
        <f>IFERROR(__xludf.DUMMYFUNCTION("""COMPUTED_VALUE"""),3.0)</f>
        <v>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55">
        <f>IFERROR(__xludf.DUMMYFUNCTION("""COMPUTED_VALUE"""),6.3)</f>
        <v>6.3</v>
      </c>
      <c r="F60" s="55">
        <f>IFERROR(__xludf.DUMMYFUNCTION("""COMPUTED_VALUE"""),2.0)</f>
        <v>2</v>
      </c>
      <c r="G60" s="56">
        <f>IFERROR(__xludf.DUMMYFUNCTION("""COMPUTED_VALUE"""),2.0)</f>
        <v>2</v>
      </c>
      <c r="H60" s="57">
        <f>IFERROR(__xludf.DUMMYFUNCTION("""COMPUTED_VALUE"""),10.3)</f>
        <v>10.3</v>
      </c>
      <c r="I60" s="65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55">
        <f>IFERROR(__xludf.DUMMYFUNCTION("""COMPUTED_VALUE"""),2.2)</f>
        <v>2.2</v>
      </c>
      <c r="F61" s="55">
        <f>IFERROR(__xludf.DUMMYFUNCTION("""COMPUTED_VALUE"""),1.8)</f>
        <v>1.8</v>
      </c>
      <c r="G61" s="56">
        <f>IFERROR(__xludf.DUMMYFUNCTION("""COMPUTED_VALUE"""),1.0)</f>
        <v>1</v>
      </c>
      <c r="H61" s="57">
        <f>IFERROR(__xludf.DUMMYFUNCTION("""COMPUTED_VALUE"""),5.0)</f>
        <v>5</v>
      </c>
      <c r="I61" s="65">
        <f>IFERROR(__xludf.DUMMYFUNCTION("""COMPUTED_VALUE"""),0.0)</f>
        <v>0</v>
      </c>
      <c r="J61" s="59">
        <f>IFERROR(__xludf.DUMMYFUNCTION("""COMPUTED_VALUE"""),5.0)</f>
        <v>5</v>
      </c>
      <c r="K61" s="51"/>
      <c r="L61" s="60">
        <f>IFERROR(__xludf.DUMMYFUNCTION("""COMPUTED_VALUE"""),5.0)</f>
        <v>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55">
        <f>IFERROR(__xludf.DUMMYFUNCTION("""COMPUTED_VALUE"""),5.5)</f>
        <v>5.5</v>
      </c>
      <c r="F62" s="55">
        <f>IFERROR(__xludf.DUMMYFUNCTION("""COMPUTED_VALUE"""),1.8)</f>
        <v>1.8</v>
      </c>
      <c r="G62" s="56">
        <f>IFERROR(__xludf.DUMMYFUNCTION("""COMPUTED_VALUE"""),2.0)</f>
        <v>2</v>
      </c>
      <c r="H62" s="57">
        <f>IFERROR(__xludf.DUMMYFUNCTION("""COMPUTED_VALUE"""),9.3)</f>
        <v>9.3</v>
      </c>
      <c r="I62" s="65">
        <f>IFERROR(__xludf.DUMMYFUNCTION("""COMPUTED_VALUE"""),0.0)</f>
        <v>0</v>
      </c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55">
        <f>IFERROR(__xludf.DUMMYFUNCTION("""COMPUTED_VALUE"""),4.9)</f>
        <v>4.9</v>
      </c>
      <c r="F63" s="55">
        <f>IFERROR(__xludf.DUMMYFUNCTION("""COMPUTED_VALUE"""),2.0)</f>
        <v>2</v>
      </c>
      <c r="G63" s="56">
        <f>IFERROR(__xludf.DUMMYFUNCTION("""COMPUTED_VALUE"""),2.0)</f>
        <v>2</v>
      </c>
      <c r="H63" s="57">
        <f>IFERROR(__xludf.DUMMYFUNCTION("""COMPUTED_VALUE"""),8.9)</f>
        <v>8.9</v>
      </c>
      <c r="I63" s="65">
        <f>IFERROR(__xludf.DUMMYFUNCTION("""COMPUTED_VALUE"""),0.0)</f>
        <v>0</v>
      </c>
      <c r="J63" s="59">
        <f>IFERROR(__xludf.DUMMYFUNCTION("""COMPUTED_VALUE"""),9.0)</f>
        <v>9</v>
      </c>
      <c r="K63" s="51"/>
      <c r="L63" s="60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55">
        <f>IFERROR(__xludf.DUMMYFUNCTION("""COMPUTED_VALUE"""),4.5)</f>
        <v>4.5</v>
      </c>
      <c r="F64" s="55">
        <f>IFERROR(__xludf.DUMMYFUNCTION("""COMPUTED_VALUE"""),2.0)</f>
        <v>2</v>
      </c>
      <c r="G64" s="56">
        <f>IFERROR(__xludf.DUMMYFUNCTION("""COMPUTED_VALUE"""),2.0)</f>
        <v>2</v>
      </c>
      <c r="H64" s="57">
        <f>IFERROR(__xludf.DUMMYFUNCTION("""COMPUTED_VALUE"""),8.5)</f>
        <v>8.5</v>
      </c>
      <c r="I64" s="65">
        <f>IFERROR(__xludf.DUMMYFUNCTION("""COMPUTED_VALUE"""),0.0)</f>
        <v>0</v>
      </c>
      <c r="J64" s="59">
        <f>IFERROR(__xludf.DUMMYFUNCTION("""COMPUTED_VALUE"""),9.0)</f>
        <v>9</v>
      </c>
      <c r="K64" s="51"/>
      <c r="L64" s="60">
        <f>IFERROR(__xludf.DUMMYFUNCTION("""COMPUTED_VALUE"""),9.0)</f>
        <v>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55">
        <f>IFERROR(__xludf.DUMMYFUNCTION("""COMPUTED_VALUE"""),4.0)</f>
        <v>4</v>
      </c>
      <c r="F65" s="55">
        <f>IFERROR(__xludf.DUMMYFUNCTION("""COMPUTED_VALUE"""),0.0)</f>
        <v>0</v>
      </c>
      <c r="G65" s="56">
        <f>IFERROR(__xludf.DUMMYFUNCTION("""COMPUTED_VALUE"""),1.0)</f>
        <v>1</v>
      </c>
      <c r="H65" s="57">
        <f>IFERROR(__xludf.DUMMYFUNCTION("""COMPUTED_VALUE"""),5.0)</f>
        <v>5</v>
      </c>
      <c r="I65" s="65">
        <f>IFERROR(__xludf.DUMMYFUNCTION("""COMPUTED_VALUE"""),2.0)</f>
        <v>2</v>
      </c>
      <c r="J65" s="59">
        <f>IFERROR(__xludf.DUMMYFUNCTION("""COMPUTED_VALUE"""),5.0)</f>
        <v>5</v>
      </c>
      <c r="K65" s="51"/>
      <c r="L65" s="60">
        <f>IFERROR(__xludf.DUMMYFUNCTION("""COMPUTED_VALUE"""),5.0)</f>
        <v>5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69"/>
      <c r="C66" s="69"/>
      <c r="D66" s="69"/>
      <c r="E66" s="70"/>
      <c r="F66" s="69"/>
      <c r="G66" s="69"/>
      <c r="H66" s="69"/>
      <c r="I66" s="69"/>
      <c r="J66" s="1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1"/>
      <c r="B67" s="72" t="str">
        <f>IFERROR(__xludf.DUMMYFUNCTION("""COMPUTED_VALUE"""),"No. DE ALUMNOS INSCRITOS")</f>
        <v>No. DE ALUMNOS INSCRITOS</v>
      </c>
      <c r="C67" s="73"/>
      <c r="D67" s="116">
        <f>IFERROR(__xludf.DUMMYFUNCTION("""COMPUTED_VALUE"""),49.0)</f>
        <v>49</v>
      </c>
      <c r="E67" s="69"/>
      <c r="F67" s="75" t="str">
        <f>IFERROR(__xludf.DUMMYFUNCTION("""COMPUTED_VALUE"""),"FIRMA DEL PROFESOR")</f>
        <v>FIRMA DEL PROFESOR</v>
      </c>
      <c r="G67" s="76"/>
      <c r="H67" s="75" t="str">
        <f>IFERROR(__xludf.DUMMYFUNCTION("""COMPUTED_VALUE"""),"FIRMA DEL ORIENTADOR")</f>
        <v>FIRMA DEL ORIENTADOR</v>
      </c>
      <c r="J67" s="77" t="str">
        <f>IFERROR(__xludf.DUMMYFUNCTION("""COMPUTED_VALUE"""),"Vo. Bo. SUBDIRECCIÓN ESCOLAR")</f>
        <v>Vo. Bo. SUBDIRECCIÓN ESCOLAR</v>
      </c>
      <c r="K67" s="78" t="str">
        <f>IFERROR(__xludf.DUMMYFUNCTION("""COMPUTED_VALUE"""),"REVISADO POR SECRETARIA ESCOLAR ")</f>
        <v>REVISADO POR SECRETARIA ESCOLAR 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1"/>
      <c r="B68" s="79" t="str">
        <f>IFERROR(__xludf.DUMMYFUNCTION("""COMPUTED_VALUE"""),"BAJAS DURANTE EL SEMESTRE")</f>
        <v>BAJAS DURANTE EL SEMESTRE</v>
      </c>
      <c r="C68" s="80"/>
      <c r="D68" s="117">
        <f>IFERROR(__xludf.DUMMYFUNCTION("""COMPUTED_VALUE"""),0.0)</f>
        <v>0</v>
      </c>
      <c r="E68" s="69"/>
      <c r="G68" s="76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1"/>
      <c r="B69" s="79" t="str">
        <f>IFERROR(__xludf.DUMMYFUNCTION("""COMPUTED_VALUE"""),"EXISTENCIA")</f>
        <v>EXISTENCIA</v>
      </c>
      <c r="C69" s="80"/>
      <c r="D69" s="87">
        <f>IFERROR(__xludf.DUMMYFUNCTION("""COMPUTED_VALUE"""),49.0)</f>
        <v>49</v>
      </c>
      <c r="E69" s="69"/>
      <c r="F69" s="83"/>
      <c r="G69" s="84"/>
      <c r="H69" s="83"/>
      <c r="I69" s="83"/>
      <c r="J69" s="85"/>
      <c r="K69" s="8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71"/>
      <c r="B70" s="79" t="str">
        <f>IFERROR(__xludf.DUMMYFUNCTION("""COMPUTED_VALUE"""),"No. DE ALUMNOS APROBADOS")</f>
        <v>No. DE ALUMNOS APROBADOS</v>
      </c>
      <c r="C70" s="80"/>
      <c r="D70" s="87">
        <f>IFERROR(__xludf.DUMMYFUNCTION("""COMPUTED_VALUE"""),39.0)</f>
        <v>39</v>
      </c>
      <c r="E70" s="69"/>
      <c r="F70" s="83"/>
      <c r="G70" s="84"/>
      <c r="H70" s="83"/>
      <c r="I70" s="83"/>
      <c r="J70" s="85"/>
      <c r="K70" s="8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1"/>
      <c r="B71" s="79" t="str">
        <f>IFERROR(__xludf.DUMMYFUNCTION("""COMPUTED_VALUE"""),"No. DE ALUMNOS REPROBADOS")</f>
        <v>No. DE ALUMNOS REPROBADOS</v>
      </c>
      <c r="C71" s="80"/>
      <c r="D71" s="87">
        <f>IFERROR(__xludf.DUMMYFUNCTION("""COMPUTED_VALUE"""),10.0)</f>
        <v>10</v>
      </c>
      <c r="E71" s="69"/>
      <c r="F71" s="88"/>
      <c r="G71" s="84"/>
      <c r="H71" s="88"/>
      <c r="I71" s="88"/>
      <c r="J71" s="89"/>
      <c r="K71" s="9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71"/>
      <c r="B72" s="91" t="str">
        <f>IFERROR(__xludf.DUMMYFUNCTION("""COMPUTED_VALUE"""),"% DE APROBADOS")</f>
        <v>% DE APROBADOS</v>
      </c>
      <c r="C72" s="80"/>
      <c r="D72" s="82">
        <f>IFERROR(__xludf.DUMMYFUNCTION("""COMPUTED_VALUE"""),79.59183673469387)</f>
        <v>79.59183673</v>
      </c>
      <c r="E72" s="69"/>
      <c r="F72" s="92" t="str">
        <f>IFERROR(__xludf.DUMMYFUNCTION("""COMPUTED_VALUE"""),"PROFR. ")</f>
        <v>PROFR. </v>
      </c>
      <c r="G72" s="93"/>
      <c r="H72" s="94" t="str">
        <f>IFERROR(__xludf.DUMMYFUNCTION("""COMPUTED_VALUE"""),"PROFRA. ANA ISABEL CORREA SALGADO")</f>
        <v>PROFRA. ANA ISABEL CORREA SALGADO</v>
      </c>
      <c r="J72" s="95" t="str">
        <f>IFERROR(__xludf.DUMMYFUNCTION("""COMPUTED_VALUE"""),"PROFR. OCTAVIO VÁZQUEZ BARRETO")</f>
        <v>PROFR. OCTAVIO VÁZQUEZ BARRETO</v>
      </c>
      <c r="K72" s="96" t="str">
        <f>IFERROR(__xludf.DUMMYFUNCTION("""COMPUTED_VALUE"""),"PROFR. ROBERTO PALOMARES MEJÍA ")</f>
        <v>PROFR. ROBERTO PALOMARES MEJÍA </v>
      </c>
      <c r="L72" s="9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98" t="str">
        <f>IFERROR(__xludf.DUMMYFUNCTION("""COMPUTED_VALUE"""),"PROMEDIO")</f>
        <v>PROMEDIO</v>
      </c>
      <c r="C73" s="99"/>
      <c r="D73" s="100">
        <f>IFERROR(__xludf.DUMMYFUNCTION("""COMPUTED_VALUE"""),7.877551020408164)</f>
        <v>7.87755102</v>
      </c>
      <c r="E73" s="69"/>
      <c r="G73" s="93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6"/>
      <c r="B74" s="1"/>
      <c r="C74" s="1"/>
      <c r="D74" s="1"/>
      <c r="E74" s="1"/>
      <c r="F74" s="1"/>
      <c r="G74" s="1"/>
      <c r="H74" s="1"/>
      <c r="I74" s="1"/>
      <c r="J74" s="1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3"/>
      <c r="D75" s="103"/>
      <c r="E75" s="69"/>
      <c r="G75" s="7"/>
      <c r="H75" s="7"/>
      <c r="I75" s="7"/>
      <c r="J75" s="7"/>
      <c r="K75" s="104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69"/>
      <c r="C76" s="69"/>
      <c r="D76" s="69"/>
      <c r="E76" s="7"/>
      <c r="F76" s="1"/>
      <c r="G76" s="1"/>
      <c r="H76" s="1"/>
      <c r="I76" s="1"/>
      <c r="J76" s="1"/>
      <c r="K76" s="8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06"/>
      <c r="B77" s="69"/>
      <c r="C77" s="69"/>
      <c r="D77" s="69"/>
      <c r="E77" s="7"/>
      <c r="F77" s="1"/>
      <c r="G77" s="1"/>
      <c r="H77" s="1"/>
      <c r="I77" s="1"/>
      <c r="J77" s="1"/>
      <c r="K77" s="8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08"/>
      <c r="B78" s="109"/>
      <c r="C78" s="109"/>
      <c r="D78" s="109"/>
      <c r="E78" s="110"/>
      <c r="F78" s="111"/>
      <c r="G78" s="111"/>
      <c r="H78" s="111"/>
      <c r="I78" s="111"/>
      <c r="J78" s="111"/>
      <c r="K78" s="112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3"/>
      <c r="C79" s="113"/>
      <c r="D79" s="113"/>
      <c r="E79" s="113"/>
      <c r="F79" s="1"/>
      <c r="G79" s="1"/>
      <c r="H79" s="1"/>
      <c r="I79" s="1"/>
      <c r="J79" s="114"/>
      <c r="K79" s="114"/>
      <c r="L79" s="1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3"/>
      <c r="C80" s="113"/>
      <c r="D80" s="113"/>
      <c r="E80" s="113"/>
      <c r="F80" s="1"/>
      <c r="G80" s="1"/>
      <c r="H80" s="1"/>
      <c r="I80" s="1"/>
      <c r="J80" s="114"/>
      <c r="K80" s="114"/>
      <c r="L80" s="1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3"/>
      <c r="C81" s="113"/>
      <c r="D81" s="113"/>
      <c r="E81" s="113"/>
      <c r="F81" s="1"/>
      <c r="G81" s="1"/>
      <c r="H81" s="1"/>
      <c r="I81" s="1"/>
      <c r="J81" s="114"/>
      <c r="K81" s="114"/>
      <c r="L81" s="1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3"/>
      <c r="C82" s="113"/>
      <c r="D82" s="113"/>
      <c r="E82" s="113"/>
      <c r="F82" s="1"/>
      <c r="G82" s="1"/>
      <c r="H82" s="1"/>
      <c r="I82" s="1"/>
      <c r="J82" s="114"/>
      <c r="K82" s="114"/>
      <c r="L82" s="1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3"/>
      <c r="C83" s="113"/>
      <c r="D83" s="113"/>
      <c r="E83" s="11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3"/>
      <c r="C84" s="113"/>
      <c r="D84" s="113"/>
      <c r="E84" s="113"/>
      <c r="F84" s="1"/>
      <c r="G84" s="1"/>
      <c r="H84" s="1"/>
      <c r="I84" s="1"/>
      <c r="J84" s="1"/>
      <c r="K84" s="1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3"/>
      <c r="C85" s="113"/>
      <c r="D85" s="113"/>
      <c r="E85" s="1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3"/>
      <c r="C86" s="113"/>
      <c r="D86" s="113"/>
      <c r="E86" s="11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3"/>
      <c r="C87" s="113"/>
      <c r="D87" s="113"/>
      <c r="E87" s="11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3"/>
      <c r="C88" s="113"/>
      <c r="D88" s="113"/>
      <c r="E88" s="11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3"/>
      <c r="C89" s="113"/>
      <c r="D89" s="113"/>
      <c r="E89" s="11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3"/>
      <c r="C90" s="113"/>
      <c r="D90" s="113"/>
      <c r="E90" s="1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IFERROR(__xludf.DUMMYFUNCTION("IMPORTRANGE(""https://docs.google.com/spreadsheets/d/1HPE5TEKBOu3O40f04LRpHNrEE5hiGRvXPuWG9UEzjKs/edit?gid=1435907698#gid=1435907698"",""2-2 conciencia historica 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IFERROR(__xludf.DUMMYFUNCTION("""COMPUTED_VALUE"""),"BENJAMÍN BALDOMERO SALAS CASAS")</f>
        <v>BENJAMÍN BALDOMERO SALAS CASAS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IFERROR(__xludf.DUMMYFUNCTION("""COMPUTED_VALUE"""),"CONCIENCIA HISTÓRICA I")</f>
        <v>CONCIENCIA HISTÓRICA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55">
        <f>IFERROR(__xludf.DUMMYFUNCTION("""COMPUTED_VALUE"""),7.0)</f>
        <v>7</v>
      </c>
      <c r="F17" s="55">
        <f>IFERROR(__xludf.DUMMYFUNCTION("""COMPUTED_VALUE"""),2.0)</f>
        <v>2</v>
      </c>
      <c r="G17" s="56">
        <f>IFERROR(__xludf.DUMMYFUNCTION("""COMPUTED_VALUE"""),1.0)</f>
        <v>1</v>
      </c>
      <c r="H17" s="57">
        <f>IFERROR(__xludf.DUMMYFUNCTION("""COMPUTED_VALUE"""),10.0)</f>
        <v>10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55">
        <f>IFERROR(__xludf.DUMMYFUNCTION("""COMPUTED_VALUE"""),4.5)</f>
        <v>4.5</v>
      </c>
      <c r="F18" s="55">
        <f>IFERROR(__xludf.DUMMYFUNCTION("""COMPUTED_VALUE"""),2.0)</f>
        <v>2</v>
      </c>
      <c r="G18" s="56"/>
      <c r="H18" s="57">
        <f>IFERROR(__xludf.DUMMYFUNCTION("""COMPUTED_VALUE"""),6.5)</f>
        <v>6.5</v>
      </c>
      <c r="I18" s="58">
        <f>IFERROR(__xludf.DUMMYFUNCTION("""COMPUTED_VALUE"""),0.0)</f>
        <v>0</v>
      </c>
      <c r="J18" s="59">
        <f>IFERROR(__xludf.DUMMYFUNCTION("""COMPUTED_VALUE"""),7.0)</f>
        <v>7</v>
      </c>
      <c r="K18" s="51"/>
      <c r="L18" s="61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56">
        <f>IFERROR(__xludf.DUMMYFUNCTION("""COMPUTED_VALUE"""),6.2)</f>
        <v>6.2</v>
      </c>
      <c r="F19" s="55">
        <f>IFERROR(__xludf.DUMMYFUNCTION("""COMPUTED_VALUE"""),2.0)</f>
        <v>2</v>
      </c>
      <c r="G19" s="56"/>
      <c r="H19" s="57">
        <f>IFERROR(__xludf.DUMMYFUNCTION("""COMPUTED_VALUE"""),8.2)</f>
        <v>8.2</v>
      </c>
      <c r="I19" s="58">
        <f>IFERROR(__xludf.DUMMYFUNCTION("""COMPUTED_VALUE"""),0.0)</f>
        <v>0</v>
      </c>
      <c r="J19" s="59">
        <f>IFERROR(__xludf.DUMMYFUNCTION("""COMPUTED_VALUE"""),8.0)</f>
        <v>8</v>
      </c>
      <c r="K19" s="51"/>
      <c r="L19" s="61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IFERROR(__xludf.DUMMYFUNCTION("""COMPUTED_VALUE"""),9.0)</f>
        <v>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55">
        <f>IFERROR(__xludf.DUMMYFUNCTION("""COMPUTED_VALUE"""),6.7)</f>
        <v>6.7</v>
      </c>
      <c r="F20" s="55">
        <f>IFERROR(__xludf.DUMMYFUNCTION("""COMPUTED_VALUE"""),2.0)</f>
        <v>2</v>
      </c>
      <c r="G20" s="56"/>
      <c r="H20" s="57">
        <f>IFERROR(__xludf.DUMMYFUNCTION("""COMPUTED_VALUE"""),8.7)</f>
        <v>8.7</v>
      </c>
      <c r="I20" s="58">
        <f>IFERROR(__xludf.DUMMYFUNCTION("""COMPUTED_VALUE"""),0.0)</f>
        <v>0</v>
      </c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55">
        <f>IFERROR(__xludf.DUMMYFUNCTION("""COMPUTED_VALUE"""),6.7)</f>
        <v>6.7</v>
      </c>
      <c r="F21" s="55">
        <f>IFERROR(__xludf.DUMMYFUNCTION("""COMPUTED_VALUE"""),2.0)</f>
        <v>2</v>
      </c>
      <c r="G21" s="56"/>
      <c r="H21" s="57">
        <f>IFERROR(__xludf.DUMMYFUNCTION("""COMPUTED_VALUE"""),8.7)</f>
        <v>8.7</v>
      </c>
      <c r="I21" s="58">
        <f>IFERROR(__xludf.DUMMYFUNCTION("""COMPUTED_VALUE"""),2.0)</f>
        <v>2</v>
      </c>
      <c r="J21" s="59">
        <f>IFERROR(__xludf.DUMMYFUNCTION("""COMPUTED_VALUE"""),9.0)</f>
        <v>9</v>
      </c>
      <c r="K21" s="51"/>
      <c r="L21" s="61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55">
        <f>IFERROR(__xludf.DUMMYFUNCTION("""COMPUTED_VALUE"""),6.5)</f>
        <v>6.5</v>
      </c>
      <c r="F22" s="55">
        <f>IFERROR(__xludf.DUMMYFUNCTION("""COMPUTED_VALUE"""),2.0)</f>
        <v>2</v>
      </c>
      <c r="G22" s="56"/>
      <c r="H22" s="57">
        <f>IFERROR(__xludf.DUMMYFUNCTION("""COMPUTED_VALUE"""),8.5)</f>
        <v>8.5</v>
      </c>
      <c r="I22" s="58">
        <f>IFERROR(__xludf.DUMMYFUNCTION("""COMPUTED_VALUE"""),0.0)</f>
        <v>0</v>
      </c>
      <c r="J22" s="59">
        <f>IFERROR(__xludf.DUMMYFUNCTION("""COMPUTED_VALUE"""),9.0)</f>
        <v>9</v>
      </c>
      <c r="K22" s="51"/>
      <c r="L22" s="61">
        <f>IFERROR(__xludf.DUMMYFUNCTION("""COMPUTED_VALUE"""),9.0)</f>
        <v>9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55">
        <f>IFERROR(__xludf.DUMMYFUNCTION("""COMPUTED_VALUE"""),7.0)</f>
        <v>7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IFERROR(__xludf.DUMMYFUNCTION("""COMPUTED_VALUE"""),10.0)</f>
        <v>10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56">
        <f>IFERROR(__xludf.DUMMYFUNCTION("""COMPUTED_VALUE"""),7.0)</f>
        <v>7</v>
      </c>
      <c r="F24" s="55">
        <f>IFERROR(__xludf.DUMMYFUNCTION("""COMPUTED_VALUE"""),2.0)</f>
        <v>2</v>
      </c>
      <c r="G24" s="56"/>
      <c r="H24" s="57">
        <f>IFERROR(__xludf.DUMMYFUNCTION("""COMPUTED_VALUE"""),9.0)</f>
        <v>9</v>
      </c>
      <c r="I24" s="58">
        <f>IFERROR(__xludf.DUMMYFUNCTION("""COMPUTED_VALUE"""),1.0)</f>
        <v>1</v>
      </c>
      <c r="J24" s="59">
        <f>IFERROR(__xludf.DUMMYFUNCTION("""COMPUTED_VALUE"""),9.0)</f>
        <v>9</v>
      </c>
      <c r="K24" s="51"/>
      <c r="L24" s="61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IFERROR(__xludf.DUMMYFUNCTION("""COMPUTED_VALUE"""),16.0)</f>
        <v>16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55">
        <f>IFERROR(__xludf.DUMMYFUNCTION("""COMPUTED_VALUE"""),3.2)</f>
        <v>3.2</v>
      </c>
      <c r="F25" s="55">
        <f>IFERROR(__xludf.DUMMYFUNCTION("""COMPUTED_VALUE"""),2.0)</f>
        <v>2</v>
      </c>
      <c r="G25" s="56"/>
      <c r="H25" s="57">
        <f>IFERROR(__xludf.DUMMYFUNCTION("""COMPUTED_VALUE"""),5.2)</f>
        <v>5.2</v>
      </c>
      <c r="I25" s="58">
        <f>IFERROR(__xludf.DUMMYFUNCTION("""COMPUTED_VALUE"""),0.0)</f>
        <v>0</v>
      </c>
      <c r="J25" s="59">
        <f>IFERROR(__xludf.DUMMYFUNCTION("""COMPUTED_VALUE"""),5.0)</f>
        <v>5</v>
      </c>
      <c r="K25" s="51"/>
      <c r="L25" s="61">
        <f>IFERROR(__xludf.DUMMYFUNCTION("""COMPUTED_VALUE"""),5.0)</f>
        <v>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56">
        <f>IFERROR(__xludf.DUMMYFUNCTION("""COMPUTED_VALUE"""),5.9)</f>
        <v>5.9</v>
      </c>
      <c r="F26" s="55">
        <f>IFERROR(__xludf.DUMMYFUNCTION("""COMPUTED_VALUE"""),2.0)</f>
        <v>2</v>
      </c>
      <c r="G26" s="56"/>
      <c r="H26" s="57">
        <f>IFERROR(__xludf.DUMMYFUNCTION("""COMPUTED_VALUE"""),7.9)</f>
        <v>7.9</v>
      </c>
      <c r="I26" s="58">
        <f>IFERROR(__xludf.DUMMYFUNCTION("""COMPUTED_VALUE"""),0.0)</f>
        <v>0</v>
      </c>
      <c r="J26" s="59">
        <f>IFERROR(__xludf.DUMMYFUNCTION("""COMPUTED_VALUE"""),8.0)</f>
        <v>8</v>
      </c>
      <c r="K26" s="51"/>
      <c r="L26" s="61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55">
        <f>IFERROR(__xludf.DUMMYFUNCTION("""COMPUTED_VALUE"""),4.8)</f>
        <v>4.8</v>
      </c>
      <c r="F27" s="55">
        <f>IFERROR(__xludf.DUMMYFUNCTION("""COMPUTED_VALUE"""),2.0)</f>
        <v>2</v>
      </c>
      <c r="G27" s="56">
        <f>IFERROR(__xludf.DUMMYFUNCTION("""COMPUTED_VALUE"""),1.0)</f>
        <v>1</v>
      </c>
      <c r="H27" s="57">
        <f>IFERROR(__xludf.DUMMYFUNCTION("""COMPUTED_VALUE"""),7.8)</f>
        <v>7.8</v>
      </c>
      <c r="I27" s="58">
        <f>IFERROR(__xludf.DUMMYFUNCTION("""COMPUTED_VALUE"""),0.0)</f>
        <v>0</v>
      </c>
      <c r="J27" s="59">
        <f>IFERROR(__xludf.DUMMYFUNCTION("""COMPUTED_VALUE"""),8.0)</f>
        <v>8</v>
      </c>
      <c r="K27" s="51"/>
      <c r="L27" s="61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55">
        <f>IFERROR(__xludf.DUMMYFUNCTION("""COMPUTED_VALUE"""),4.6)</f>
        <v>4.6</v>
      </c>
      <c r="F28" s="55">
        <f>IFERROR(__xludf.DUMMYFUNCTION("""COMPUTED_VALUE"""),2.0)</f>
        <v>2</v>
      </c>
      <c r="G28" s="56"/>
      <c r="H28" s="57">
        <f>IFERROR(__xludf.DUMMYFUNCTION("""COMPUTED_VALUE"""),6.6)</f>
        <v>6.6</v>
      </c>
      <c r="I28" s="58">
        <f>IFERROR(__xludf.DUMMYFUNCTION("""COMPUTED_VALUE"""),1.0)</f>
        <v>1</v>
      </c>
      <c r="J28" s="59">
        <f>IFERROR(__xludf.DUMMYFUNCTION("""COMPUTED_VALUE"""),7.0)</f>
        <v>7</v>
      </c>
      <c r="K28" s="51"/>
      <c r="L28" s="61">
        <f>IFERROR(__xludf.DUMMYFUNCTION("""COMPUTED_VALUE"""),7.0)</f>
        <v>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55">
        <f>IFERROR(__xludf.DUMMYFUNCTION("""COMPUTED_VALUE"""),6.4)</f>
        <v>6.4</v>
      </c>
      <c r="F29" s="55">
        <f>IFERROR(__xludf.DUMMYFUNCTION("""COMPUTED_VALUE"""),2.0)</f>
        <v>2</v>
      </c>
      <c r="G29" s="56"/>
      <c r="H29" s="57">
        <f>IFERROR(__xludf.DUMMYFUNCTION("""COMPUTED_VALUE"""),8.4)</f>
        <v>8.4</v>
      </c>
      <c r="I29" s="58">
        <f>IFERROR(__xludf.DUMMYFUNCTION("""COMPUTED_VALUE"""),1.0)</f>
        <v>1</v>
      </c>
      <c r="J29" s="59">
        <f>IFERROR(__xludf.DUMMYFUNCTION("""COMPUTED_VALUE"""),8.0)</f>
        <v>8</v>
      </c>
      <c r="K29" s="51"/>
      <c r="L29" s="61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56">
        <f>IFERROR(__xludf.DUMMYFUNCTION("""COMPUTED_VALUE"""),7.1)</f>
        <v>7.1</v>
      </c>
      <c r="F30" s="55">
        <f>IFERROR(__xludf.DUMMYFUNCTION("""COMPUTED_VALUE"""),2.0)</f>
        <v>2</v>
      </c>
      <c r="G30" s="56"/>
      <c r="H30" s="57">
        <f>IFERROR(__xludf.DUMMYFUNCTION("""COMPUTED_VALUE"""),9.1)</f>
        <v>9.1</v>
      </c>
      <c r="I30" s="58">
        <f>IFERROR(__xludf.DUMMYFUNCTION("""COMPUTED_VALUE"""),0.0)</f>
        <v>0</v>
      </c>
      <c r="J30" s="59">
        <f>IFERROR(__xludf.DUMMYFUNCTION("""COMPUTED_VALUE"""),9.0)</f>
        <v>9</v>
      </c>
      <c r="K30" s="51"/>
      <c r="L30" s="61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56">
        <f>IFERROR(__xludf.DUMMYFUNCTION("""COMPUTED_VALUE"""),6.7)</f>
        <v>6.7</v>
      </c>
      <c r="F31" s="55">
        <f>IFERROR(__xludf.DUMMYFUNCTION("""COMPUTED_VALUE"""),2.0)</f>
        <v>2</v>
      </c>
      <c r="G31" s="56"/>
      <c r="H31" s="57">
        <f>IFERROR(__xludf.DUMMYFUNCTION("""COMPUTED_VALUE"""),8.7)</f>
        <v>8.7</v>
      </c>
      <c r="I31" s="58">
        <f>IFERROR(__xludf.DUMMYFUNCTION("""COMPUTED_VALUE"""),1.0)</f>
        <v>1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55">
        <f>IFERROR(__xludf.DUMMYFUNCTION("""COMPUTED_VALUE"""),7.0)</f>
        <v>7</v>
      </c>
      <c r="F32" s="55">
        <f>IFERROR(__xludf.DUMMYFUNCTION("""COMPUTED_VALUE"""),2.0)</f>
        <v>2</v>
      </c>
      <c r="G32" s="56">
        <f>IFERROR(__xludf.DUMMYFUNCTION("""COMPUTED_VALUE"""),1.0)</f>
        <v>1</v>
      </c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55">
        <f>IFERROR(__xludf.DUMMYFUNCTION("""COMPUTED_VALUE"""),4.9)</f>
        <v>4.9</v>
      </c>
      <c r="F33" s="55">
        <f>IFERROR(__xludf.DUMMYFUNCTION("""COMPUTED_VALUE"""),2.0)</f>
        <v>2</v>
      </c>
      <c r="G33" s="56"/>
      <c r="H33" s="57">
        <f>IFERROR(__xludf.DUMMYFUNCTION("""COMPUTED_VALUE"""),6.9)</f>
        <v>6.9</v>
      </c>
      <c r="I33" s="58">
        <f>IFERROR(__xludf.DUMMYFUNCTION("""COMPUTED_VALUE"""),0.0)</f>
        <v>0</v>
      </c>
      <c r="J33" s="59">
        <f>IFERROR(__xludf.DUMMYFUNCTION("""COMPUTED_VALUE"""),7.0)</f>
        <v>7</v>
      </c>
      <c r="K33" s="51"/>
      <c r="L33" s="61">
        <f>IFERROR(__xludf.DUMMYFUNCTION("""COMPUTED_VALUE"""),7.0)</f>
        <v>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56">
        <f>IFERROR(__xludf.DUMMYFUNCTION("""COMPUTED_VALUE"""),5.5)</f>
        <v>5.5</v>
      </c>
      <c r="F34" s="55">
        <f>IFERROR(__xludf.DUMMYFUNCTION("""COMPUTED_VALUE"""),2.0)</f>
        <v>2</v>
      </c>
      <c r="G34" s="56">
        <f>IFERROR(__xludf.DUMMYFUNCTION("""COMPUTED_VALUE"""),1.0)</f>
        <v>1</v>
      </c>
      <c r="H34" s="57">
        <f>IFERROR(__xludf.DUMMYFUNCTION("""COMPUTED_VALUE"""),8.5)</f>
        <v>8.5</v>
      </c>
      <c r="I34" s="58">
        <f>IFERROR(__xludf.DUMMYFUNCTION("""COMPUTED_VALUE"""),0.0)</f>
        <v>0</v>
      </c>
      <c r="J34" s="59">
        <f>IFERROR(__xludf.DUMMYFUNCTION("""COMPUTED_VALUE"""),9.0)</f>
        <v>9</v>
      </c>
      <c r="K34" s="51"/>
      <c r="L34" s="61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55">
        <f>IFERROR(__xludf.DUMMYFUNCTION("""COMPUTED_VALUE"""),5.9)</f>
        <v>5.9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IFERROR(__xludf.DUMMYFUNCTION("""COMPUTED_VALUE"""),8.9)</f>
        <v>8.9</v>
      </c>
      <c r="I35" s="58">
        <f>IFERROR(__xludf.DUMMYFUNCTION("""COMPUTED_VALUE"""),0.0)</f>
        <v>0</v>
      </c>
      <c r="J35" s="59">
        <f>IFERROR(__xludf.DUMMYFUNCTION("""COMPUTED_VALUE"""),9.0)</f>
        <v>9</v>
      </c>
      <c r="K35" s="51"/>
      <c r="L35" s="61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55">
        <f>IFERROR(__xludf.DUMMYFUNCTION("""COMPUTED_VALUE"""),6.4)</f>
        <v>6.4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IFERROR(__xludf.DUMMYFUNCTION("""COMPUTED_VALUE"""),9.4)</f>
        <v>9.4</v>
      </c>
      <c r="I36" s="58">
        <f>IFERROR(__xludf.DUMMYFUNCTION("""COMPUTED_VALUE"""),0.0)</f>
        <v>0</v>
      </c>
      <c r="J36" s="59">
        <f>IFERROR(__xludf.DUMMYFUNCTION("""COMPUTED_VALUE"""),9.0)</f>
        <v>9</v>
      </c>
      <c r="K36" s="51"/>
      <c r="L36" s="61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56">
        <f>IFERROR(__xludf.DUMMYFUNCTION("""COMPUTED_VALUE"""),3.6)</f>
        <v>3.6</v>
      </c>
      <c r="F37" s="55">
        <f>IFERROR(__xludf.DUMMYFUNCTION("""COMPUTED_VALUE"""),2.0)</f>
        <v>2</v>
      </c>
      <c r="G37" s="56"/>
      <c r="H37" s="57">
        <f>IFERROR(__xludf.DUMMYFUNCTION("""COMPUTED_VALUE"""),5.6)</f>
        <v>5.6</v>
      </c>
      <c r="I37" s="58">
        <f>IFERROR(__xludf.DUMMYFUNCTION("""COMPUTED_VALUE"""),0.0)</f>
        <v>0</v>
      </c>
      <c r="J37" s="59">
        <f>IFERROR(__xludf.DUMMYFUNCTION("""COMPUTED_VALUE"""),5.0)</f>
        <v>5</v>
      </c>
      <c r="K37" s="51"/>
      <c r="L37" s="61">
        <f>IFERROR(__xludf.DUMMYFUNCTION("""COMPUTED_VALUE"""),5.0)</f>
        <v>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55">
        <f>IFERROR(__xludf.DUMMYFUNCTION("""COMPUTED_VALUE"""),6.6)</f>
        <v>6.6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IFERROR(__xludf.DUMMYFUNCTION("""COMPUTED_VALUE"""),9.6)</f>
        <v>9.6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55">
        <f>IFERROR(__xludf.DUMMYFUNCTION("""COMPUTED_VALUE"""),7.4)</f>
        <v>7.4</v>
      </c>
      <c r="F39" s="55">
        <f>IFERROR(__xludf.DUMMYFUNCTION("""COMPUTED_VALUE"""),2.0)</f>
        <v>2</v>
      </c>
      <c r="G39" s="56"/>
      <c r="H39" s="57">
        <f>IFERROR(__xludf.DUMMYFUNCTION("""COMPUTED_VALUE"""),9.4)</f>
        <v>9.4</v>
      </c>
      <c r="I39" s="58">
        <f>IFERROR(__xludf.DUMMYFUNCTION("""COMPUTED_VALUE"""),0.0)</f>
        <v>0</v>
      </c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55">
        <f>IFERROR(__xludf.DUMMYFUNCTION("""COMPUTED_VALUE"""),6.4)</f>
        <v>6.4</v>
      </c>
      <c r="F40" s="55">
        <f>IFERROR(__xludf.DUMMYFUNCTION("""COMPUTED_VALUE"""),2.0)</f>
        <v>2</v>
      </c>
      <c r="G40" s="56">
        <f>IFERROR(__xludf.DUMMYFUNCTION("""COMPUTED_VALUE"""),1.0)</f>
        <v>1</v>
      </c>
      <c r="H40" s="57">
        <f>IFERROR(__xludf.DUMMYFUNCTION("""COMPUTED_VALUE"""),9.4)</f>
        <v>9.4</v>
      </c>
      <c r="I40" s="58">
        <f>IFERROR(__xludf.DUMMYFUNCTION("""COMPUTED_VALUE"""),0.0)</f>
        <v>0</v>
      </c>
      <c r="J40" s="59">
        <f>IFERROR(__xludf.DUMMYFUNCTION("""COMPUTED_VALUE"""),9.0)</f>
        <v>9</v>
      </c>
      <c r="K40" s="51"/>
      <c r="L40" s="61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55">
        <f>IFERROR(__xludf.DUMMYFUNCTION("""COMPUTED_VALUE"""),5.5)</f>
        <v>5.5</v>
      </c>
      <c r="F41" s="55">
        <f>IFERROR(__xludf.DUMMYFUNCTION("""COMPUTED_VALUE"""),2.0)</f>
        <v>2</v>
      </c>
      <c r="G41" s="56">
        <f>IFERROR(__xludf.DUMMYFUNCTION("""COMPUTED_VALUE"""),1.0)</f>
        <v>1</v>
      </c>
      <c r="H41" s="57">
        <f>IFERROR(__xludf.DUMMYFUNCTION("""COMPUTED_VALUE"""),8.5)</f>
        <v>8.5</v>
      </c>
      <c r="I41" s="58">
        <f>IFERROR(__xludf.DUMMYFUNCTION("""COMPUTED_VALUE"""),1.0)</f>
        <v>1</v>
      </c>
      <c r="J41" s="59">
        <f>IFERROR(__xludf.DUMMYFUNCTION("""COMPUTED_VALUE"""),9.0)</f>
        <v>9</v>
      </c>
      <c r="K41" s="51"/>
      <c r="L41" s="61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55">
        <f>IFERROR(__xludf.DUMMYFUNCTION("""COMPUTED_VALUE"""),7.0)</f>
        <v>7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IFERROR(__xludf.DUMMYFUNCTION("""COMPUTED_VALUE"""),10.0)</f>
        <v>10</v>
      </c>
      <c r="I42" s="58">
        <f>IFERROR(__xludf.DUMMYFUNCTION("""COMPUTED_VALUE"""),1.0)</f>
        <v>1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55">
        <f>IFERROR(__xludf.DUMMYFUNCTION("""COMPUTED_VALUE"""),6.9)</f>
        <v>6.9</v>
      </c>
      <c r="F43" s="55">
        <f>IFERROR(__xludf.DUMMYFUNCTION("""COMPUTED_VALUE"""),2.0)</f>
        <v>2</v>
      </c>
      <c r="G43" s="56">
        <f>IFERROR(__xludf.DUMMYFUNCTION("""COMPUTED_VALUE"""),1.0)</f>
        <v>1</v>
      </c>
      <c r="H43" s="57">
        <f>IFERROR(__xludf.DUMMYFUNCTION("""COMPUTED_VALUE"""),9.9)</f>
        <v>9.9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55">
        <f>IFERROR(__xludf.DUMMYFUNCTION("""COMPUTED_VALUE"""),5.5)</f>
        <v>5.5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IFERROR(__xludf.DUMMYFUNCTION("""COMPUTED_VALUE"""),8.5)</f>
        <v>8.5</v>
      </c>
      <c r="I44" s="58">
        <f>IFERROR(__xludf.DUMMYFUNCTION("""COMPUTED_VALUE"""),0.0)</f>
        <v>0</v>
      </c>
      <c r="J44" s="59">
        <f>IFERROR(__xludf.DUMMYFUNCTION("""COMPUTED_VALUE"""),9.0)</f>
        <v>9</v>
      </c>
      <c r="K44" s="51"/>
      <c r="L44" s="61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55">
        <f>IFERROR(__xludf.DUMMYFUNCTION("""COMPUTED_VALUE"""),6.0)</f>
        <v>6</v>
      </c>
      <c r="F45" s="55">
        <f>IFERROR(__xludf.DUMMYFUNCTION("""COMPUTED_VALUE"""),2.0)</f>
        <v>2</v>
      </c>
      <c r="G45" s="56"/>
      <c r="H45" s="57">
        <f>IFERROR(__xludf.DUMMYFUNCTION("""COMPUTED_VALUE"""),8.0)</f>
        <v>8</v>
      </c>
      <c r="I45" s="58">
        <f>IFERROR(__xludf.DUMMYFUNCTION("""COMPUTED_VALUE"""),0.0)</f>
        <v>0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55">
        <f>IFERROR(__xludf.DUMMYFUNCTION("""COMPUTED_VALUE"""),5.4)</f>
        <v>5.4</v>
      </c>
      <c r="F46" s="55">
        <f>IFERROR(__xludf.DUMMYFUNCTION("""COMPUTED_VALUE"""),2.0)</f>
        <v>2</v>
      </c>
      <c r="G46" s="56">
        <f>IFERROR(__xludf.DUMMYFUNCTION("""COMPUTED_VALUE"""),1.0)</f>
        <v>1</v>
      </c>
      <c r="H46" s="57">
        <f>IFERROR(__xludf.DUMMYFUNCTION("""COMPUTED_VALUE"""),8.4)</f>
        <v>8.4</v>
      </c>
      <c r="I46" s="58">
        <f>IFERROR(__xludf.DUMMYFUNCTION("""COMPUTED_VALUE"""),1.0)</f>
        <v>1</v>
      </c>
      <c r="J46" s="59">
        <f>IFERROR(__xludf.DUMMYFUNCTION("""COMPUTED_VALUE"""),8.0)</f>
        <v>8</v>
      </c>
      <c r="K46" s="51"/>
      <c r="L46" s="61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55">
        <f>IFERROR(__xludf.DUMMYFUNCTION("""COMPUTED_VALUE"""),3.2)</f>
        <v>3.2</v>
      </c>
      <c r="F47" s="55">
        <f>IFERROR(__xludf.DUMMYFUNCTION("""COMPUTED_VALUE"""),0.0)</f>
        <v>0</v>
      </c>
      <c r="G47" s="56"/>
      <c r="H47" s="57">
        <f>IFERROR(__xludf.DUMMYFUNCTION("""COMPUTED_VALUE"""),3.2)</f>
        <v>3.2</v>
      </c>
      <c r="I47" s="58">
        <f>IFERROR(__xludf.DUMMYFUNCTION("""COMPUTED_VALUE"""),2.0)</f>
        <v>2</v>
      </c>
      <c r="J47" s="59">
        <f>IFERROR(__xludf.DUMMYFUNCTION("""COMPUTED_VALUE"""),5.0)</f>
        <v>5</v>
      </c>
      <c r="K47" s="51"/>
      <c r="L47" s="61">
        <f>IFERROR(__xludf.DUMMYFUNCTION("""COMPUTED_VALUE"""),3.0)</f>
        <v>3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55">
        <f>IFERROR(__xludf.DUMMYFUNCTION("""COMPUTED_VALUE"""),5.4)</f>
        <v>5.4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IFERROR(__xludf.DUMMYFUNCTION("""COMPUTED_VALUE"""),8.4)</f>
        <v>8.4</v>
      </c>
      <c r="I48" s="58">
        <f>IFERROR(__xludf.DUMMYFUNCTION("""COMPUTED_VALUE"""),2.0)</f>
        <v>2</v>
      </c>
      <c r="J48" s="59">
        <f>IFERROR(__xludf.DUMMYFUNCTION("""COMPUTED_VALUE"""),8.0)</f>
        <v>8</v>
      </c>
      <c r="K48" s="51"/>
      <c r="L48" s="61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55">
        <f>IFERROR(__xludf.DUMMYFUNCTION("""COMPUTED_VALUE"""),4.9)</f>
        <v>4.9</v>
      </c>
      <c r="F49" s="55">
        <f>IFERROR(__xludf.DUMMYFUNCTION("""COMPUTED_VALUE"""),2.0)</f>
        <v>2</v>
      </c>
      <c r="G49" s="56">
        <f>IFERROR(__xludf.DUMMYFUNCTION("""COMPUTED_VALUE"""),1.0)</f>
        <v>1</v>
      </c>
      <c r="H49" s="57">
        <f>IFERROR(__xludf.DUMMYFUNCTION("""COMPUTED_VALUE"""),7.9)</f>
        <v>7.9</v>
      </c>
      <c r="I49" s="58">
        <f>IFERROR(__xludf.DUMMYFUNCTION("""COMPUTED_VALUE"""),2.0)</f>
        <v>2</v>
      </c>
      <c r="J49" s="59">
        <f>IFERROR(__xludf.DUMMYFUNCTION("""COMPUTED_VALUE"""),8.0)</f>
        <v>8</v>
      </c>
      <c r="K49" s="51"/>
      <c r="L49" s="61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55">
        <f>IFERROR(__xludf.DUMMYFUNCTION("""COMPUTED_VALUE"""),7.0)</f>
        <v>7</v>
      </c>
      <c r="F50" s="55">
        <f>IFERROR(__xludf.DUMMYFUNCTION("""COMPUTED_VALUE"""),2.0)</f>
        <v>2</v>
      </c>
      <c r="G50" s="56">
        <f>IFERROR(__xludf.DUMMYFUNCTION("""COMPUTED_VALUE"""),1.0)</f>
        <v>1</v>
      </c>
      <c r="H50" s="57">
        <f>IFERROR(__xludf.DUMMYFUNCTION("""COMPUTED_VALUE"""),10.0)</f>
        <v>10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55">
        <f>IFERROR(__xludf.DUMMYFUNCTION("""COMPUTED_VALUE"""),7.6)</f>
        <v>7.6</v>
      </c>
      <c r="F51" s="55">
        <f>IFERROR(__xludf.DUMMYFUNCTION("""COMPUTED_VALUE"""),2.0)</f>
        <v>2</v>
      </c>
      <c r="G51" s="56"/>
      <c r="H51" s="57">
        <f>IFERROR(__xludf.DUMMYFUNCTION("""COMPUTED_VALUE"""),9.6)</f>
        <v>9.6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1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55">
        <f>IFERROR(__xludf.DUMMYFUNCTION("""COMPUTED_VALUE"""),6.7)</f>
        <v>6.7</v>
      </c>
      <c r="F52" s="55">
        <f>IFERROR(__xludf.DUMMYFUNCTION("""COMPUTED_VALUE"""),2.0)</f>
        <v>2</v>
      </c>
      <c r="G52" s="56"/>
      <c r="H52" s="57">
        <f>IFERROR(__xludf.DUMMYFUNCTION("""COMPUTED_VALUE"""),8.7)</f>
        <v>8.7</v>
      </c>
      <c r="I52" s="58">
        <f>IFERROR(__xludf.DUMMYFUNCTION("""COMPUTED_VALUE"""),0.0)</f>
        <v>0</v>
      </c>
      <c r="J52" s="59">
        <f>IFERROR(__xludf.DUMMYFUNCTION("""COMPUTED_VALUE"""),9.0)</f>
        <v>9</v>
      </c>
      <c r="K52" s="51"/>
      <c r="L52" s="60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55">
        <f>IFERROR(__xludf.DUMMYFUNCTION("""COMPUTED_VALUE"""),6.7)</f>
        <v>6.7</v>
      </c>
      <c r="F53" s="55">
        <f>IFERROR(__xludf.DUMMYFUNCTION("""COMPUTED_VALUE"""),2.0)</f>
        <v>2</v>
      </c>
      <c r="G53" s="56"/>
      <c r="H53" s="57">
        <f>IFERROR(__xludf.DUMMYFUNCTION("""COMPUTED_VALUE"""),8.7)</f>
        <v>8.7</v>
      </c>
      <c r="I53" s="58">
        <f>IFERROR(__xludf.DUMMYFUNCTION("""COMPUTED_VALUE"""),0.0)</f>
        <v>0</v>
      </c>
      <c r="J53" s="59">
        <f>IFERROR(__xludf.DUMMYFUNCTION("""COMPUTED_VALUE"""),9.0)</f>
        <v>9</v>
      </c>
      <c r="K53" s="51"/>
      <c r="L53" s="60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55">
        <f>IFERROR(__xludf.DUMMYFUNCTION("""COMPUTED_VALUE"""),6.0)</f>
        <v>6</v>
      </c>
      <c r="F54" s="55">
        <f>IFERROR(__xludf.DUMMYFUNCTION("""COMPUTED_VALUE"""),2.0)</f>
        <v>2</v>
      </c>
      <c r="G54" s="56"/>
      <c r="H54" s="57">
        <f>IFERROR(__xludf.DUMMYFUNCTION("""COMPUTED_VALUE"""),8.0)</f>
        <v>8</v>
      </c>
      <c r="I54" s="58">
        <f>IFERROR(__xludf.DUMMYFUNCTION("""COMPUTED_VALUE"""),0.0)</f>
        <v>0</v>
      </c>
      <c r="J54" s="59">
        <f>IFERROR(__xludf.DUMMYFUNCTION("""COMPUTED_VALUE"""),8.0)</f>
        <v>8</v>
      </c>
      <c r="K54" s="51"/>
      <c r="L54" s="60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55">
        <f>IFERROR(__xludf.DUMMYFUNCTION("""COMPUTED_VALUE"""),4.3)</f>
        <v>4.3</v>
      </c>
      <c r="F55" s="55">
        <f>IFERROR(__xludf.DUMMYFUNCTION("""COMPUTED_VALUE"""),2.0)</f>
        <v>2</v>
      </c>
      <c r="G55" s="56"/>
      <c r="H55" s="57">
        <f>IFERROR(__xludf.DUMMYFUNCTION("""COMPUTED_VALUE"""),6.3)</f>
        <v>6.3</v>
      </c>
      <c r="I55" s="65">
        <f>IFERROR(__xludf.DUMMYFUNCTION("""COMPUTED_VALUE"""),0.0)</f>
        <v>0</v>
      </c>
      <c r="J55" s="59">
        <f>IFERROR(__xludf.DUMMYFUNCTION("""COMPUTED_VALUE"""),6.0)</f>
        <v>6</v>
      </c>
      <c r="K55" s="51"/>
      <c r="L55" s="60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55">
        <f>IFERROR(__xludf.DUMMYFUNCTION("""COMPUTED_VALUE"""),5.8)</f>
        <v>5.8</v>
      </c>
      <c r="F56" s="55">
        <f>IFERROR(__xludf.DUMMYFUNCTION("""COMPUTED_VALUE"""),2.0)</f>
        <v>2</v>
      </c>
      <c r="G56" s="56"/>
      <c r="H56" s="57">
        <f>IFERROR(__xludf.DUMMYFUNCTION("""COMPUTED_VALUE"""),7.8)</f>
        <v>7.8</v>
      </c>
      <c r="I56" s="65">
        <f>IFERROR(__xludf.DUMMYFUNCTION("""COMPUTED_VALUE"""),0.0)</f>
        <v>0</v>
      </c>
      <c r="J56" s="59">
        <f>IFERROR(__xludf.DUMMYFUNCTION("""COMPUTED_VALUE"""),8.0)</f>
        <v>8</v>
      </c>
      <c r="K56" s="51"/>
      <c r="L56" s="60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55">
        <f>IFERROR(__xludf.DUMMYFUNCTION("""COMPUTED_VALUE"""),7.0)</f>
        <v>7</v>
      </c>
      <c r="F57" s="55">
        <f>IFERROR(__xludf.DUMMYFUNCTION("""COMPUTED_VALUE"""),2.0)</f>
        <v>2</v>
      </c>
      <c r="G57" s="56">
        <f>IFERROR(__xludf.DUMMYFUNCTION("""COMPUTED_VALUE"""),1.0)</f>
        <v>1</v>
      </c>
      <c r="H57" s="57">
        <f>IFERROR(__xludf.DUMMYFUNCTION("""COMPUTED_VALUE"""),10.0)</f>
        <v>10</v>
      </c>
      <c r="I57" s="65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55">
        <f>IFERROR(__xludf.DUMMYFUNCTION("""COMPUTED_VALUE"""),5.3)</f>
        <v>5.3</v>
      </c>
      <c r="F58" s="55">
        <f>IFERROR(__xludf.DUMMYFUNCTION("""COMPUTED_VALUE"""),2.0)</f>
        <v>2</v>
      </c>
      <c r="G58" s="56"/>
      <c r="H58" s="57">
        <f>IFERROR(__xludf.DUMMYFUNCTION("""COMPUTED_VALUE"""),7.3)</f>
        <v>7.3</v>
      </c>
      <c r="I58" s="65">
        <f>IFERROR(__xludf.DUMMYFUNCTION("""COMPUTED_VALUE"""),0.0)</f>
        <v>0</v>
      </c>
      <c r="J58" s="59">
        <f>IFERROR(__xludf.DUMMYFUNCTION("""COMPUTED_VALUE"""),7.0)</f>
        <v>7</v>
      </c>
      <c r="K58" s="51"/>
      <c r="L58" s="60">
        <f>IFERROR(__xludf.DUMMYFUNCTION("""COMPUTED_VALUE"""),7.0)</f>
        <v>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55">
        <f>IFERROR(__xludf.DUMMYFUNCTION("""COMPUTED_VALUE"""),5.4)</f>
        <v>5.4</v>
      </c>
      <c r="F59" s="55">
        <f>IFERROR(__xludf.DUMMYFUNCTION("""COMPUTED_VALUE"""),2.0)</f>
        <v>2</v>
      </c>
      <c r="G59" s="56"/>
      <c r="H59" s="57">
        <f>IFERROR(__xludf.DUMMYFUNCTION("""COMPUTED_VALUE"""),7.4)</f>
        <v>7.4</v>
      </c>
      <c r="I59" s="65">
        <f>IFERROR(__xludf.DUMMYFUNCTION("""COMPUTED_VALUE"""),0.0)</f>
        <v>0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55">
        <f>IFERROR(__xludf.DUMMYFUNCTION("""COMPUTED_VALUE"""),6.8)</f>
        <v>6.8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IFERROR(__xludf.DUMMYFUNCTION("""COMPUTED_VALUE"""),9.8)</f>
        <v>9.8</v>
      </c>
      <c r="I60" s="65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55">
        <f>IFERROR(__xludf.DUMMYFUNCTION("""COMPUTED_VALUE"""),5.0)</f>
        <v>5</v>
      </c>
      <c r="F61" s="55">
        <f>IFERROR(__xludf.DUMMYFUNCTION("""COMPUTED_VALUE"""),1.0)</f>
        <v>1</v>
      </c>
      <c r="G61" s="56"/>
      <c r="H61" s="57">
        <f>IFERROR(__xludf.DUMMYFUNCTION("""COMPUTED_VALUE"""),6.0)</f>
        <v>6</v>
      </c>
      <c r="I61" s="65">
        <f>IFERROR(__xludf.DUMMYFUNCTION("""COMPUTED_VALUE"""),1.0)</f>
        <v>1</v>
      </c>
      <c r="J61" s="59">
        <f>IFERROR(__xludf.DUMMYFUNCTION("""COMPUTED_VALUE"""),6.0)</f>
        <v>6</v>
      </c>
      <c r="K61" s="51"/>
      <c r="L61" s="60">
        <f>IFERROR(__xludf.DUMMYFUNCTION("""COMPUTED_VALUE"""),6.0)</f>
        <v>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55">
        <f>IFERROR(__xludf.DUMMYFUNCTION("""COMPUTED_VALUE"""),6.4)</f>
        <v>6.4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IFERROR(__xludf.DUMMYFUNCTION("""COMPUTED_VALUE"""),9.4)</f>
        <v>9.4</v>
      </c>
      <c r="I62" s="65">
        <f>IFERROR(__xludf.DUMMYFUNCTION("""COMPUTED_VALUE"""),0.0)</f>
        <v>0</v>
      </c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55">
        <f>IFERROR(__xludf.DUMMYFUNCTION("""COMPUTED_VALUE"""),6.6)</f>
        <v>6.6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IFERROR(__xludf.DUMMYFUNCTION("""COMPUTED_VALUE"""),9.6)</f>
        <v>9.6</v>
      </c>
      <c r="I63" s="6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55">
        <f>IFERROR(__xludf.DUMMYFUNCTION("""COMPUTED_VALUE"""),6.6)</f>
        <v>6.6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IFERROR(__xludf.DUMMYFUNCTION("""COMPUTED_VALUE"""),9.6)</f>
        <v>9.6</v>
      </c>
      <c r="I64" s="65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55">
        <f>IFERROR(__xludf.DUMMYFUNCTION("""COMPUTED_VALUE"""),2.3)</f>
        <v>2.3</v>
      </c>
      <c r="F65" s="55">
        <f>IFERROR(__xludf.DUMMYFUNCTION("""COMPUTED_VALUE"""),2.0)</f>
        <v>2</v>
      </c>
      <c r="G65" s="56"/>
      <c r="H65" s="57">
        <f>IFERROR(__xludf.DUMMYFUNCTION("""COMPUTED_VALUE"""),4.3)</f>
        <v>4.3</v>
      </c>
      <c r="I65" s="65">
        <f>IFERROR(__xludf.DUMMYFUNCTION("""COMPUTED_VALUE"""),1.0)</f>
        <v>1</v>
      </c>
      <c r="J65" s="59">
        <f>IFERROR(__xludf.DUMMYFUNCTION("""COMPUTED_VALUE"""),5.0)</f>
        <v>5</v>
      </c>
      <c r="K65" s="51"/>
      <c r="L65" s="60">
        <f>IFERROR(__xludf.DUMMYFUNCTION("""COMPUTED_VALUE"""),4.0)</f>
        <v>4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69"/>
      <c r="C66" s="69"/>
      <c r="D66" s="69"/>
      <c r="E66" s="70"/>
      <c r="F66" s="69"/>
      <c r="G66" s="69"/>
      <c r="H66" s="69"/>
      <c r="I66" s="69"/>
      <c r="J66" s="1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1"/>
      <c r="B67" s="72" t="str">
        <f>IFERROR(__xludf.DUMMYFUNCTION("""COMPUTED_VALUE"""),"No. DE ALUMNOS INSCRITOS")</f>
        <v>No. DE ALUMNOS INSCRITOS</v>
      </c>
      <c r="C67" s="73"/>
      <c r="D67" s="116">
        <f>IFERROR(__xludf.DUMMYFUNCTION("""COMPUTED_VALUE"""),49.0)</f>
        <v>49</v>
      </c>
      <c r="E67" s="69"/>
      <c r="F67" s="75" t="str">
        <f>IFERROR(__xludf.DUMMYFUNCTION("""COMPUTED_VALUE"""),"FIRMA DEL PROFESOR")</f>
        <v>FIRMA DEL PROFESOR</v>
      </c>
      <c r="G67" s="76"/>
      <c r="H67" s="75" t="str">
        <f>IFERROR(__xludf.DUMMYFUNCTION("""COMPUTED_VALUE"""),"FIRMA DEL ORIENTADOR")</f>
        <v>FIRMA DEL ORIENTADOR</v>
      </c>
      <c r="J67" s="77" t="str">
        <f>IFERROR(__xludf.DUMMYFUNCTION("""COMPUTED_VALUE"""),"Vo. Bo. SUBDIRECCIÓN ESCOLAR")</f>
        <v>Vo. Bo. SUBDIRECCIÓN ESCOLAR</v>
      </c>
      <c r="K67" s="78" t="str">
        <f>IFERROR(__xludf.DUMMYFUNCTION("""COMPUTED_VALUE"""),"REVISADO POR SECRETARIA ESCOLAR ")</f>
        <v>REVISADO POR SECRETARIA ESCOLAR 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1"/>
      <c r="B68" s="79" t="str">
        <f>IFERROR(__xludf.DUMMYFUNCTION("""COMPUTED_VALUE"""),"BAJAS DURANTE EL SEMESTRE")</f>
        <v>BAJAS DURANTE EL SEMESTRE</v>
      </c>
      <c r="C68" s="80"/>
      <c r="D68" s="117">
        <f>IFERROR(__xludf.DUMMYFUNCTION("""COMPUTED_VALUE"""),0.0)</f>
        <v>0</v>
      </c>
      <c r="E68" s="69"/>
      <c r="G68" s="76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1"/>
      <c r="B69" s="79" t="str">
        <f>IFERROR(__xludf.DUMMYFUNCTION("""COMPUTED_VALUE"""),"EXISTENCIA")</f>
        <v>EXISTENCIA</v>
      </c>
      <c r="C69" s="80"/>
      <c r="D69" s="87">
        <f>IFERROR(__xludf.DUMMYFUNCTION("""COMPUTED_VALUE"""),49.0)</f>
        <v>49</v>
      </c>
      <c r="E69" s="69"/>
      <c r="F69" s="83"/>
      <c r="G69" s="84"/>
      <c r="H69" s="83"/>
      <c r="I69" s="83"/>
      <c r="J69" s="85"/>
      <c r="K69" s="8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71"/>
      <c r="B70" s="79" t="str">
        <f>IFERROR(__xludf.DUMMYFUNCTION("""COMPUTED_VALUE"""),"No. DE ALUMNOS APROBADOS")</f>
        <v>No. DE ALUMNOS APROBADOS</v>
      </c>
      <c r="C70" s="80"/>
      <c r="D70" s="87">
        <f>IFERROR(__xludf.DUMMYFUNCTION("""COMPUTED_VALUE"""),45.0)</f>
        <v>45</v>
      </c>
      <c r="E70" s="69"/>
      <c r="F70" s="83"/>
      <c r="G70" s="84"/>
      <c r="H70" s="83"/>
      <c r="I70" s="83"/>
      <c r="J70" s="85"/>
      <c r="K70" s="8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1"/>
      <c r="B71" s="79" t="str">
        <f>IFERROR(__xludf.DUMMYFUNCTION("""COMPUTED_VALUE"""),"No. DE ALUMNOS REPROBADOS")</f>
        <v>No. DE ALUMNOS REPROBADOS</v>
      </c>
      <c r="C71" s="80"/>
      <c r="D71" s="87">
        <f>IFERROR(__xludf.DUMMYFUNCTION("""COMPUTED_VALUE"""),4.0)</f>
        <v>4</v>
      </c>
      <c r="E71" s="69"/>
      <c r="F71" s="88"/>
      <c r="G71" s="84"/>
      <c r="H71" s="88"/>
      <c r="I71" s="88"/>
      <c r="J71" s="89"/>
      <c r="K71" s="9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71"/>
      <c r="B72" s="91" t="str">
        <f>IFERROR(__xludf.DUMMYFUNCTION("""COMPUTED_VALUE"""),"% DE APROBADOS")</f>
        <v>% DE APROBADOS</v>
      </c>
      <c r="C72" s="80"/>
      <c r="D72" s="82">
        <f>IFERROR(__xludf.DUMMYFUNCTION("""COMPUTED_VALUE"""),91.83673469387755)</f>
        <v>91.83673469</v>
      </c>
      <c r="E72" s="69"/>
      <c r="F72" s="92" t="str">
        <f>IFERROR(__xludf.DUMMYFUNCTION("""COMPUTED_VALUE"""),"PROFR. ")</f>
        <v>PROFR. </v>
      </c>
      <c r="G72" s="93"/>
      <c r="H72" s="94" t="str">
        <f>IFERROR(__xludf.DUMMYFUNCTION("""COMPUTED_VALUE"""),"PROFRA. ANA ISABEL CORREA SALGADO")</f>
        <v>PROFRA. ANA ISABEL CORREA SALGADO</v>
      </c>
      <c r="J72" s="95" t="str">
        <f>IFERROR(__xludf.DUMMYFUNCTION("""COMPUTED_VALUE"""),"PROFR. OCTAVIO VÁZQUEZ BARRETO")</f>
        <v>PROFR. OCTAVIO VÁZQUEZ BARRETO</v>
      </c>
      <c r="K72" s="96" t="str">
        <f>IFERROR(__xludf.DUMMYFUNCTION("""COMPUTED_VALUE"""),"PROFR. ROBERTO PALOMARES MEJÍA ")</f>
        <v>PROFR. ROBERTO PALOMARES MEJÍA </v>
      </c>
      <c r="L72" s="9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98" t="str">
        <f>IFERROR(__xludf.DUMMYFUNCTION("""COMPUTED_VALUE"""),"PROMEDIO")</f>
        <v>PROMEDIO</v>
      </c>
      <c r="C73" s="99"/>
      <c r="D73" s="100">
        <f>IFERROR(__xludf.DUMMYFUNCTION("""COMPUTED_VALUE"""),8.387755102040817)</f>
        <v>8.387755102</v>
      </c>
      <c r="E73" s="69"/>
      <c r="G73" s="93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6"/>
      <c r="B74" s="1"/>
      <c r="C74" s="1"/>
      <c r="D74" s="1"/>
      <c r="E74" s="1"/>
      <c r="F74" s="1"/>
      <c r="G74" s="1"/>
      <c r="H74" s="1"/>
      <c r="I74" s="1"/>
      <c r="J74" s="1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3"/>
      <c r="D75" s="103"/>
      <c r="E75" s="69"/>
      <c r="G75" s="7"/>
      <c r="H75" s="7"/>
      <c r="I75" s="7"/>
      <c r="J75" s="7"/>
      <c r="K75" s="104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69"/>
      <c r="C76" s="69"/>
      <c r="D76" s="69"/>
      <c r="E76" s="7"/>
      <c r="F76" s="1"/>
      <c r="G76" s="1"/>
      <c r="H76" s="1"/>
      <c r="I76" s="1"/>
      <c r="J76" s="1"/>
      <c r="K76" s="8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06"/>
      <c r="B77" s="69"/>
      <c r="C77" s="69"/>
      <c r="D77" s="69"/>
      <c r="E77" s="7"/>
      <c r="F77" s="1"/>
      <c r="G77" s="1"/>
      <c r="H77" s="1"/>
      <c r="I77" s="1"/>
      <c r="J77" s="1"/>
      <c r="K77" s="8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08"/>
      <c r="B78" s="109"/>
      <c r="C78" s="109"/>
      <c r="D78" s="109"/>
      <c r="E78" s="110"/>
      <c r="F78" s="111"/>
      <c r="G78" s="111"/>
      <c r="H78" s="111"/>
      <c r="I78" s="111"/>
      <c r="J78" s="111"/>
      <c r="K78" s="112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3"/>
      <c r="C79" s="113"/>
      <c r="D79" s="113"/>
      <c r="E79" s="113"/>
      <c r="F79" s="1"/>
      <c r="G79" s="1"/>
      <c r="H79" s="1"/>
      <c r="I79" s="1"/>
      <c r="J79" s="114"/>
      <c r="K79" s="114"/>
      <c r="L79" s="1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3"/>
      <c r="C80" s="113"/>
      <c r="D80" s="113"/>
      <c r="E80" s="113"/>
      <c r="F80" s="1"/>
      <c r="G80" s="1"/>
      <c r="H80" s="1"/>
      <c r="I80" s="1"/>
      <c r="J80" s="114"/>
      <c r="K80" s="114"/>
      <c r="L80" s="1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3"/>
      <c r="C81" s="113"/>
      <c r="D81" s="113"/>
      <c r="E81" s="113"/>
      <c r="F81" s="1"/>
      <c r="G81" s="1"/>
      <c r="H81" s="1"/>
      <c r="I81" s="1"/>
      <c r="J81" s="114"/>
      <c r="K81" s="114"/>
      <c r="L81" s="1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3"/>
      <c r="C82" s="113"/>
      <c r="D82" s="113"/>
      <c r="E82" s="113"/>
      <c r="F82" s="1"/>
      <c r="G82" s="1"/>
      <c r="H82" s="1"/>
      <c r="I82" s="1"/>
      <c r="J82" s="114"/>
      <c r="K82" s="114"/>
      <c r="L82" s="1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3"/>
      <c r="C83" s="113"/>
      <c r="D83" s="113"/>
      <c r="E83" s="11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3"/>
      <c r="C84" s="113"/>
      <c r="D84" s="113"/>
      <c r="E84" s="113"/>
      <c r="F84" s="1"/>
      <c r="G84" s="1"/>
      <c r="H84" s="1"/>
      <c r="I84" s="1"/>
      <c r="J84" s="1"/>
      <c r="K84" s="1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3"/>
      <c r="C85" s="113"/>
      <c r="D85" s="113"/>
      <c r="E85" s="1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3"/>
      <c r="C86" s="113"/>
      <c r="D86" s="113"/>
      <c r="E86" s="11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3"/>
      <c r="C87" s="113"/>
      <c r="D87" s="113"/>
      <c r="E87" s="11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3"/>
      <c r="C88" s="113"/>
      <c r="D88" s="113"/>
      <c r="E88" s="11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3"/>
      <c r="C89" s="113"/>
      <c r="D89" s="113"/>
      <c r="E89" s="11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3"/>
      <c r="C90" s="113"/>
      <c r="D90" s="113"/>
      <c r="E90" s="1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IFERROR(__xludf.DUMMYFUNCTION("IMPORTRANGE(""https://docs.google.com/spreadsheets/d/1i11TE1AhN8DUZgkr4Zj1Y6ZCiwgcvKK-yC04b7p9WUo/edit?gid=592118830#gid=592118830"",""2-2 taller de cultura digital!a1:q86"")"),"")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IFERROR(__xludf.DUMMYFUNCTION("""COMPUTED_VALUE"""),"ROSALVA ANDREA AZPEITIA CORREA")</f>
        <v>ROSALVA ANDREA AZPEITIA CORREA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IFERROR(__xludf.DUMMYFUNCTION("""COMPUTED_VALUE"""),"TALLER DE CULTURA DIGITAL")</f>
        <v>TALLER DE CULTURA DIGITAL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55">
        <f>IFERROR(__xludf.DUMMYFUNCTION("""COMPUTED_VALUE"""),8.0)</f>
        <v>8</v>
      </c>
      <c r="F17" s="55">
        <f>IFERROR(__xludf.DUMMYFUNCTION("""COMPUTED_VALUE"""),2.0)</f>
        <v>2</v>
      </c>
      <c r="G17" s="56"/>
      <c r="H17" s="57">
        <f>IFERROR(__xludf.DUMMYFUNCTION("""COMPUTED_VALUE"""),10.0)</f>
        <v>10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55">
        <f>IFERROR(__xludf.DUMMYFUNCTION("""COMPUTED_VALUE"""),7.0)</f>
        <v>7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IFERROR(__xludf.DUMMYFUNCTION("""COMPUTED_VALUE"""),10.0)</f>
        <v>10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IFERROR(__xludf.DUMMYFUNCTION("""COMPUTED_VALUE"""),4.0)</f>
        <v>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56">
        <f>IFERROR(__xludf.DUMMYFUNCTION("""COMPUTED_VALUE"""),8.0)</f>
        <v>8</v>
      </c>
      <c r="F19" s="55">
        <f>IFERROR(__xludf.DUMMYFUNCTION("""COMPUTED_VALUE"""),2.0)</f>
        <v>2</v>
      </c>
      <c r="G19" s="56"/>
      <c r="H19" s="57">
        <f>IFERROR(__xludf.DUMMYFUNCTION("""COMPUTED_VALUE"""),10.0)</f>
        <v>10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55">
        <f>IFERROR(__xludf.DUMMYFUNCTION("""COMPUTED_VALUE"""),5.0)</f>
        <v>5</v>
      </c>
      <c r="F21" s="55">
        <f>IFERROR(__xludf.DUMMYFUNCTION("""COMPUTED_VALUE"""),2.0)</f>
        <v>2</v>
      </c>
      <c r="G21" s="56"/>
      <c r="H21" s="57">
        <f>IFERROR(__xludf.DUMMYFUNCTION("""COMPUTED_VALUE"""),7.0)</f>
        <v>7</v>
      </c>
      <c r="I21" s="58">
        <f>IFERROR(__xludf.DUMMYFUNCTION("""COMPUTED_VALUE"""),0.0)</f>
        <v>0</v>
      </c>
      <c r="J21" s="59">
        <f>IFERROR(__xludf.DUMMYFUNCTION("""COMPUTED_VALUE"""),7.0)</f>
        <v>7</v>
      </c>
      <c r="K21" s="51"/>
      <c r="L21" s="61">
        <f>IFERROR(__xludf.DUMMYFUNCTION("""COMPUTED_VALUE"""),7.0)</f>
        <v>7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55">
        <f>IFERROR(__xludf.DUMMYFUNCTION("""COMPUTED_VALUE"""),8.0)</f>
        <v>8</v>
      </c>
      <c r="F22" s="55">
        <f>IFERROR(__xludf.DUMMYFUNCTION("""COMPUTED_VALUE"""),0.0)</f>
        <v>0</v>
      </c>
      <c r="G22" s="56"/>
      <c r="H22" s="57">
        <f>IFERROR(__xludf.DUMMYFUNCTION("""COMPUTED_VALUE"""),8.0)</f>
        <v>8</v>
      </c>
      <c r="I22" s="58">
        <f>IFERROR(__xludf.DUMMYFUNCTION("""COMPUTED_VALUE"""),0.0)</f>
        <v>0</v>
      </c>
      <c r="J22" s="59">
        <f>IFERROR(__xludf.DUMMYFUNCTION("""COMPUTED_VALUE"""),8.0)</f>
        <v>8</v>
      </c>
      <c r="K22" s="51"/>
      <c r="L22" s="61">
        <f>IFERROR(__xludf.DUMMYFUNCTION("""COMPUTED_VALUE"""),8.0)</f>
        <v>8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55">
        <f>IFERROR(__xludf.DUMMYFUNCTION("""COMPUTED_VALUE"""),8.0)</f>
        <v>8</v>
      </c>
      <c r="F23" s="55">
        <f>IFERROR(__xludf.DUMMYFUNCTION("""COMPUTED_VALUE"""),2.0)</f>
        <v>2</v>
      </c>
      <c r="G23" s="56"/>
      <c r="H23" s="57">
        <f>IFERROR(__xludf.DUMMYFUNCTION("""COMPUTED_VALUE"""),10.0)</f>
        <v>10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56">
        <f>IFERROR(__xludf.DUMMYFUNCTION("""COMPUTED_VALUE"""),8.0)</f>
        <v>8</v>
      </c>
      <c r="F24" s="55">
        <f>IFERROR(__xludf.DUMMYFUNCTION("""COMPUTED_VALUE"""),2.0)</f>
        <v>2</v>
      </c>
      <c r="G24" s="56"/>
      <c r="H24" s="57">
        <f>IFERROR(__xludf.DUMMYFUNCTION("""COMPUTED_VALUE"""),10.0)</f>
        <v>10</v>
      </c>
      <c r="I24" s="58">
        <f>IFERROR(__xludf.DUMMYFUNCTION("""COMPUTED_VALUE"""),0.0)</f>
        <v>0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IFERROR(__xludf.DUMMYFUNCTION("""COMPUTED_VALUE"""),8.0)</f>
        <v>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55">
        <f>IFERROR(__xludf.DUMMYFUNCTION("""COMPUTED_VALUE"""),6.0)</f>
        <v>6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IFERROR(__xludf.DUMMYFUNCTION("""COMPUTED_VALUE"""),9.0)</f>
        <v>9</v>
      </c>
      <c r="I25" s="58">
        <f>IFERROR(__xludf.DUMMYFUNCTION("""COMPUTED_VALUE"""),0.0)</f>
        <v>0</v>
      </c>
      <c r="J25" s="59">
        <f>IFERROR(__xludf.DUMMYFUNCTION("""COMPUTED_VALUE"""),9.0)</f>
        <v>9</v>
      </c>
      <c r="K25" s="51"/>
      <c r="L25" s="61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56">
        <f>IFERROR(__xludf.DUMMYFUNCTION("""COMPUTED_VALUE"""),6.0)</f>
        <v>6</v>
      </c>
      <c r="F26" s="55">
        <f>IFERROR(__xludf.DUMMYFUNCTION("""COMPUTED_VALUE"""),2.0)</f>
        <v>2</v>
      </c>
      <c r="G26" s="56"/>
      <c r="H26" s="57">
        <f>IFERROR(__xludf.DUMMYFUNCTION("""COMPUTED_VALUE"""),8.0)</f>
        <v>8</v>
      </c>
      <c r="I26" s="58">
        <f>IFERROR(__xludf.DUMMYFUNCTION("""COMPUTED_VALUE"""),0.0)</f>
        <v>0</v>
      </c>
      <c r="J26" s="59">
        <f>IFERROR(__xludf.DUMMYFUNCTION("""COMPUTED_VALUE"""),8.0)</f>
        <v>8</v>
      </c>
      <c r="K26" s="51"/>
      <c r="L26" s="61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55">
        <f>IFERROR(__xludf.DUMMYFUNCTION("""COMPUTED_VALUE"""),7.0)</f>
        <v>7</v>
      </c>
      <c r="F28" s="55">
        <f>IFERROR(__xludf.DUMMYFUNCTION("""COMPUTED_VALUE"""),2.0)</f>
        <v>2</v>
      </c>
      <c r="G28" s="56"/>
      <c r="H28" s="57">
        <f>IFERROR(__xludf.DUMMYFUNCTION("""COMPUTED_VALUE"""),9.0)</f>
        <v>9</v>
      </c>
      <c r="I28" s="58">
        <f>IFERROR(__xludf.DUMMYFUNCTION("""COMPUTED_VALUE"""),1.0)</f>
        <v>1</v>
      </c>
      <c r="J28" s="59">
        <f>IFERROR(__xludf.DUMMYFUNCTION("""COMPUTED_VALUE"""),9.0)</f>
        <v>9</v>
      </c>
      <c r="K28" s="51"/>
      <c r="L28" s="61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55">
        <f>IFERROR(__xludf.DUMMYFUNCTION("""COMPUTED_VALUE"""),8.0)</f>
        <v>8</v>
      </c>
      <c r="F29" s="55">
        <f>IFERROR(__xludf.DUMMYFUNCTION("""COMPUTED_VALUE"""),1.0)</f>
        <v>1</v>
      </c>
      <c r="G29" s="56"/>
      <c r="H29" s="57">
        <f>IFERROR(__xludf.DUMMYFUNCTION("""COMPUTED_VALUE"""),9.0)</f>
        <v>9</v>
      </c>
      <c r="I29" s="58">
        <f>IFERROR(__xludf.DUMMYFUNCTION("""COMPUTED_VALUE"""),0.0)</f>
        <v>0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56">
        <f>IFERROR(__xludf.DUMMYFUNCTION("""COMPUTED_VALUE"""),8.0)</f>
        <v>8</v>
      </c>
      <c r="F30" s="55">
        <f>IFERROR(__xludf.DUMMYFUNCTION("""COMPUTED_VALUE"""),2.0)</f>
        <v>2</v>
      </c>
      <c r="G30" s="56"/>
      <c r="H30" s="57">
        <f>IFERROR(__xludf.DUMMYFUNCTION("""COMPUTED_VALUE"""),10.0)</f>
        <v>10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56">
        <f>IFERROR(__xludf.DUMMYFUNCTION("""COMPUTED_VALUE"""),8.0)</f>
        <v>8</v>
      </c>
      <c r="F31" s="55">
        <f>IFERROR(__xludf.DUMMYFUNCTION("""COMPUTED_VALUE"""),1.0)</f>
        <v>1</v>
      </c>
      <c r="G31" s="56"/>
      <c r="H31" s="57">
        <f>IFERROR(__xludf.DUMMYFUNCTION("""COMPUTED_VALUE"""),9.0)</f>
        <v>9</v>
      </c>
      <c r="I31" s="58">
        <f>IFERROR(__xludf.DUMMYFUNCTION("""COMPUTED_VALUE"""),0.0)</f>
        <v>0</v>
      </c>
      <c r="J31" s="59">
        <f>IFERROR(__xludf.DUMMYFUNCTION("""COMPUTED_VALUE"""),9.0)</f>
        <v>9</v>
      </c>
      <c r="K31" s="51"/>
      <c r="L31" s="61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/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56">
        <f>IFERROR(__xludf.DUMMYFUNCTION("""COMPUTED_VALUE"""),2.0)</f>
        <v>2</v>
      </c>
      <c r="F34" s="55">
        <f>IFERROR(__xludf.DUMMYFUNCTION("""COMPUTED_VALUE"""),7.0)</f>
        <v>7</v>
      </c>
      <c r="G34" s="56">
        <f>IFERROR(__xludf.DUMMYFUNCTION("""COMPUTED_VALUE"""),1.0)</f>
        <v>1</v>
      </c>
      <c r="H34" s="57">
        <f>IFERROR(__xludf.DUMMYFUNCTION("""COMPUTED_VALUE"""),10.0)</f>
        <v>10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/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/>
      <c r="H36" s="57">
        <f>IFERROR(__xludf.DUMMYFUNCTION("""COMPUTED_VALUE"""),10.0)</f>
        <v>10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56">
        <f>IFERROR(__xludf.DUMMYFUNCTION("""COMPUTED_VALUE"""),0.0)</f>
        <v>0</v>
      </c>
      <c r="F37" s="55">
        <f>IFERROR(__xludf.DUMMYFUNCTION("""COMPUTED_VALUE"""),0.0)</f>
        <v>0</v>
      </c>
      <c r="G37" s="56"/>
      <c r="H37" s="57">
        <f>IFERROR(__xludf.DUMMYFUNCTION("""COMPUTED_VALUE"""),0.0)</f>
        <v>0</v>
      </c>
      <c r="I37" s="58">
        <f>IFERROR(__xludf.DUMMYFUNCTION("""COMPUTED_VALUE"""),0.0)</f>
        <v>0</v>
      </c>
      <c r="J37" s="59">
        <f>IFERROR(__xludf.DUMMYFUNCTION("""COMPUTED_VALUE"""),5.0)</f>
        <v>5</v>
      </c>
      <c r="K37" s="51"/>
      <c r="L37" s="61">
        <f>IFERROR(__xludf.DUMMYFUNCTION("""COMPUTED_VALUE"""),0.0)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/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55">
        <f>IFERROR(__xludf.DUMMYFUNCTION("""COMPUTED_VALUE"""),8.0)</f>
        <v>8</v>
      </c>
      <c r="F39" s="55">
        <f>IFERROR(__xludf.DUMMYFUNCTION("""COMPUTED_VALUE"""),1.0)</f>
        <v>1</v>
      </c>
      <c r="G39" s="56"/>
      <c r="H39" s="57">
        <f>IFERROR(__xludf.DUMMYFUNCTION("""COMPUTED_VALUE"""),9.0)</f>
        <v>9</v>
      </c>
      <c r="I39" s="58">
        <f>IFERROR(__xludf.DUMMYFUNCTION("""COMPUTED_VALUE"""),0.0)</f>
        <v>0</v>
      </c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55">
        <f>IFERROR(__xludf.DUMMYFUNCTION("""COMPUTED_VALUE"""),8.0)</f>
        <v>8</v>
      </c>
      <c r="F40" s="55">
        <f>IFERROR(__xludf.DUMMYFUNCTION("""COMPUTED_VALUE"""),2.0)</f>
        <v>2</v>
      </c>
      <c r="G40" s="56"/>
      <c r="H40" s="57">
        <f>IFERROR(__xludf.DUMMYFUNCTION("""COMPUTED_VALUE"""),10.0)</f>
        <v>10</v>
      </c>
      <c r="I40" s="58">
        <f>IFERROR(__xludf.DUMMYFUNCTION("""COMPUTED_VALUE"""),0.0)</f>
        <v>0</v>
      </c>
      <c r="J40" s="59">
        <f>IFERROR(__xludf.DUMMYFUNCTION("""COMPUTED_VALUE"""),10.0)</f>
        <v>10</v>
      </c>
      <c r="K40" s="51"/>
      <c r="L40" s="61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55">
        <f>IFERROR(__xludf.DUMMYFUNCTION("""COMPUTED_VALUE"""),7.0)</f>
        <v>7</v>
      </c>
      <c r="F41" s="55">
        <f>IFERROR(__xludf.DUMMYFUNCTION("""COMPUTED_VALUE"""),2.0)</f>
        <v>2</v>
      </c>
      <c r="G41" s="56">
        <f>IFERROR(__xludf.DUMMYFUNCTION("""COMPUTED_VALUE"""),1.0)</f>
        <v>1</v>
      </c>
      <c r="H41" s="57">
        <f>IFERROR(__xludf.DUMMYFUNCTION("""COMPUTED_VALUE"""),10.0)</f>
        <v>10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55">
        <f>IFERROR(__xludf.DUMMYFUNCTION("""COMPUTED_VALUE"""),7.0)</f>
        <v>7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IFERROR(__xludf.DUMMYFUNCTION("""COMPUTED_VALUE"""),10.0)</f>
        <v>10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55">
        <f>IFERROR(__xludf.DUMMYFUNCTION("""COMPUTED_VALUE"""),7.0)</f>
        <v>7</v>
      </c>
      <c r="F43" s="55">
        <f>IFERROR(__xludf.DUMMYFUNCTION("""COMPUTED_VALUE"""),2.0)</f>
        <v>2</v>
      </c>
      <c r="G43" s="56">
        <f>IFERROR(__xludf.DUMMYFUNCTION("""COMPUTED_VALUE"""),1.0)</f>
        <v>1</v>
      </c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55">
        <f>IFERROR(__xludf.DUMMYFUNCTION("""COMPUTED_VALUE"""),8.0)</f>
        <v>8</v>
      </c>
      <c r="F44" s="55">
        <f>IFERROR(__xludf.DUMMYFUNCTION("""COMPUTED_VALUE"""),2.0)</f>
        <v>2</v>
      </c>
      <c r="G44" s="56"/>
      <c r="H44" s="57">
        <f>IFERROR(__xludf.DUMMYFUNCTION("""COMPUTED_VALUE"""),10.0)</f>
        <v>10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55">
        <f>IFERROR(__xludf.DUMMYFUNCTION("""COMPUTED_VALUE"""),7.0)</f>
        <v>7</v>
      </c>
      <c r="F45" s="55">
        <f>IFERROR(__xludf.DUMMYFUNCTION("""COMPUTED_VALUE"""),2.0)</f>
        <v>2</v>
      </c>
      <c r="G45" s="56"/>
      <c r="H45" s="57">
        <f>IFERROR(__xludf.DUMMYFUNCTION("""COMPUTED_VALUE"""),9.0)</f>
        <v>9</v>
      </c>
      <c r="I45" s="58">
        <f>IFERROR(__xludf.DUMMYFUNCTION("""COMPUTED_VALUE"""),0.0)</f>
        <v>0</v>
      </c>
      <c r="J45" s="59">
        <f>IFERROR(__xludf.DUMMYFUNCTION("""COMPUTED_VALUE"""),9.0)</f>
        <v>9</v>
      </c>
      <c r="K45" s="51"/>
      <c r="L45" s="61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55">
        <f>IFERROR(__xludf.DUMMYFUNCTION("""COMPUTED_VALUE"""),8.0)</f>
        <v>8</v>
      </c>
      <c r="F46" s="55">
        <f>IFERROR(__xludf.DUMMYFUNCTION("""COMPUTED_VALUE"""),2.0)</f>
        <v>2</v>
      </c>
      <c r="G46" s="56"/>
      <c r="H46" s="57">
        <f>IFERROR(__xludf.DUMMYFUNCTION("""COMPUTED_VALUE"""),10.0)</f>
        <v>10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55">
        <f>IFERROR(__xludf.DUMMYFUNCTION("""COMPUTED_VALUE"""),0.0)</f>
        <v>0</v>
      </c>
      <c r="F47" s="55">
        <f>IFERROR(__xludf.DUMMYFUNCTION("""COMPUTED_VALUE"""),0.0)</f>
        <v>0</v>
      </c>
      <c r="G47" s="56"/>
      <c r="H47" s="57">
        <f>IFERROR(__xludf.DUMMYFUNCTION("""COMPUTED_VALUE"""),0.0)</f>
        <v>0</v>
      </c>
      <c r="I47" s="58">
        <f>IFERROR(__xludf.DUMMYFUNCTION("""COMPUTED_VALUE"""),2.0)</f>
        <v>2</v>
      </c>
      <c r="J47" s="59">
        <f>IFERROR(__xludf.DUMMYFUNCTION("""COMPUTED_VALUE"""),5.0)</f>
        <v>5</v>
      </c>
      <c r="K47" s="51"/>
      <c r="L47" s="61">
        <f>IFERROR(__xludf.DUMMYFUNCTION("""COMPUTED_VALUE"""),0.0)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55">
        <f>IFERROR(__xludf.DUMMYFUNCTION("""COMPUTED_VALUE"""),8.0)</f>
        <v>8</v>
      </c>
      <c r="F48" s="55">
        <f>IFERROR(__xludf.DUMMYFUNCTION("""COMPUTED_VALUE"""),1.0)</f>
        <v>1</v>
      </c>
      <c r="G48" s="56">
        <f>IFERROR(__xludf.DUMMYFUNCTION("""COMPUTED_VALUE"""),1.0)</f>
        <v>1</v>
      </c>
      <c r="H48" s="57">
        <f>IFERROR(__xludf.DUMMYFUNCTION("""COMPUTED_VALUE"""),10.0)</f>
        <v>10</v>
      </c>
      <c r="I48" s="58">
        <f>IFERROR(__xludf.DUMMYFUNCTION("""COMPUTED_VALUE"""),1.0)</f>
        <v>1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55">
        <f>IFERROR(__xludf.DUMMYFUNCTION("""COMPUTED_VALUE"""),6.0)</f>
        <v>6</v>
      </c>
      <c r="F49" s="55">
        <f>IFERROR(__xludf.DUMMYFUNCTION("""COMPUTED_VALUE"""),2.0)</f>
        <v>2</v>
      </c>
      <c r="G49" s="56">
        <f>IFERROR(__xludf.DUMMYFUNCTION("""COMPUTED_VALUE"""),1.0)</f>
        <v>1</v>
      </c>
      <c r="H49" s="57">
        <f>IFERROR(__xludf.DUMMYFUNCTION("""COMPUTED_VALUE"""),9.0)</f>
        <v>9</v>
      </c>
      <c r="I49" s="58">
        <f>IFERROR(__xludf.DUMMYFUNCTION("""COMPUTED_VALUE"""),0.0)</f>
        <v>0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55">
        <f>IFERROR(__xludf.DUMMYFUNCTION("""COMPUTED_VALUE"""),8.0)</f>
        <v>8</v>
      </c>
      <c r="F50" s="55">
        <f>IFERROR(__xludf.DUMMYFUNCTION("""COMPUTED_VALUE"""),2.0)</f>
        <v>2</v>
      </c>
      <c r="G50" s="56"/>
      <c r="H50" s="57">
        <f>IFERROR(__xludf.DUMMYFUNCTION("""COMPUTED_VALUE"""),10.0)</f>
        <v>10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55">
        <f>IFERROR(__xludf.DUMMYFUNCTION("""COMPUTED_VALUE"""),6.0)</f>
        <v>6</v>
      </c>
      <c r="F51" s="55">
        <f>IFERROR(__xludf.DUMMYFUNCTION("""COMPUTED_VALUE"""),2.0)</f>
        <v>2</v>
      </c>
      <c r="G51" s="56">
        <f>IFERROR(__xludf.DUMMYFUNCTION("""COMPUTED_VALUE"""),1.0)</f>
        <v>1</v>
      </c>
      <c r="H51" s="57">
        <f>IFERROR(__xludf.DUMMYFUNCTION("""COMPUTED_VALUE"""),9.0)</f>
        <v>9</v>
      </c>
      <c r="I51" s="58">
        <f>IFERROR(__xludf.DUMMYFUNCTION("""COMPUTED_VALUE"""),0.0)</f>
        <v>0</v>
      </c>
      <c r="J51" s="59">
        <f>IFERROR(__xludf.DUMMYFUNCTION("""COMPUTED_VALUE"""),9.0)</f>
        <v>9</v>
      </c>
      <c r="K51" s="51"/>
      <c r="L51" s="61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55">
        <f>IFERROR(__xludf.DUMMYFUNCTION("""COMPUTED_VALUE"""),8.0)</f>
        <v>8</v>
      </c>
      <c r="F52" s="55">
        <f>IFERROR(__xludf.DUMMYFUNCTION("""COMPUTED_VALUE"""),1.0)</f>
        <v>1</v>
      </c>
      <c r="G52" s="56"/>
      <c r="H52" s="57">
        <f>IFERROR(__xludf.DUMMYFUNCTION("""COMPUTED_VALUE"""),9.0)</f>
        <v>9</v>
      </c>
      <c r="I52" s="58">
        <f>IFERROR(__xludf.DUMMYFUNCTION("""COMPUTED_VALUE"""),0.0)</f>
        <v>0</v>
      </c>
      <c r="J52" s="59">
        <f>IFERROR(__xludf.DUMMYFUNCTION("""COMPUTED_VALUE"""),9.0)</f>
        <v>9</v>
      </c>
      <c r="K52" s="51"/>
      <c r="L52" s="60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55">
        <f>IFERROR(__xludf.DUMMYFUNCTION("""COMPUTED_VALUE"""),8.0)</f>
        <v>8</v>
      </c>
      <c r="F53" s="55">
        <f>IFERROR(__xludf.DUMMYFUNCTION("""COMPUTED_VALUE"""),2.0)</f>
        <v>2</v>
      </c>
      <c r="G53" s="56"/>
      <c r="H53" s="57">
        <f>IFERROR(__xludf.DUMMYFUNCTION("""COMPUTED_VALUE"""),10.0)</f>
        <v>10</v>
      </c>
      <c r="I53" s="58">
        <f>IFERROR(__xludf.DUMMYFUNCTION("""COMPUTED_VALUE"""),0.0)</f>
        <v>0</v>
      </c>
      <c r="J53" s="59">
        <f>IFERROR(__xludf.DUMMYFUNCTION("""COMPUTED_VALUE"""),10.0)</f>
        <v>10</v>
      </c>
      <c r="K53" s="51"/>
      <c r="L53" s="60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55">
        <f>IFERROR(__xludf.DUMMYFUNCTION("""COMPUTED_VALUE"""),7.0)</f>
        <v>7</v>
      </c>
      <c r="F54" s="55">
        <f>IFERROR(__xludf.DUMMYFUNCTION("""COMPUTED_VALUE"""),2.0)</f>
        <v>2</v>
      </c>
      <c r="G54" s="56"/>
      <c r="H54" s="57">
        <f>IFERROR(__xludf.DUMMYFUNCTION("""COMPUTED_VALUE"""),9.0)</f>
        <v>9</v>
      </c>
      <c r="I54" s="58">
        <f>IFERROR(__xludf.DUMMYFUNCTION("""COMPUTED_VALUE"""),0.0)</f>
        <v>0</v>
      </c>
      <c r="J54" s="59">
        <f>IFERROR(__xludf.DUMMYFUNCTION("""COMPUTED_VALUE"""),9.0)</f>
        <v>9</v>
      </c>
      <c r="K54" s="51"/>
      <c r="L54" s="60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55">
        <f>IFERROR(__xludf.DUMMYFUNCTION("""COMPUTED_VALUE"""),0.0)</f>
        <v>0</v>
      </c>
      <c r="F55" s="55">
        <f>IFERROR(__xludf.DUMMYFUNCTION("""COMPUTED_VALUE"""),0.0)</f>
        <v>0</v>
      </c>
      <c r="G55" s="56"/>
      <c r="H55" s="57">
        <f>IFERROR(__xludf.DUMMYFUNCTION("""COMPUTED_VALUE"""),0.0)</f>
        <v>0</v>
      </c>
      <c r="I55" s="65">
        <f>IFERROR(__xludf.DUMMYFUNCTION("""COMPUTED_VALUE"""),2.0)</f>
        <v>2</v>
      </c>
      <c r="J55" s="59">
        <f>IFERROR(__xludf.DUMMYFUNCTION("""COMPUTED_VALUE"""),5.0)</f>
        <v>5</v>
      </c>
      <c r="K55" s="51"/>
      <c r="L55" s="60">
        <f>IFERROR(__xludf.DUMMYFUNCTION("""COMPUTED_VALUE"""),0.0)</f>
        <v>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5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5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55">
        <f>IFERROR(__xludf.DUMMYFUNCTION("""COMPUTED_VALUE"""),7.0)</f>
        <v>7</v>
      </c>
      <c r="F58" s="55">
        <f>IFERROR(__xludf.DUMMYFUNCTION("""COMPUTED_VALUE"""),2.0)</f>
        <v>2</v>
      </c>
      <c r="G58" s="56"/>
      <c r="H58" s="57">
        <f>IFERROR(__xludf.DUMMYFUNCTION("""COMPUTED_VALUE"""),9.0)</f>
        <v>9</v>
      </c>
      <c r="I58" s="65">
        <f>IFERROR(__xludf.DUMMYFUNCTION("""COMPUTED_VALUE"""),0.0)</f>
        <v>0</v>
      </c>
      <c r="J58" s="59">
        <f>IFERROR(__xludf.DUMMYFUNCTION("""COMPUTED_VALUE"""),9.0)</f>
        <v>9</v>
      </c>
      <c r="K58" s="51"/>
      <c r="L58" s="60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55">
        <f>IFERROR(__xludf.DUMMYFUNCTION("""COMPUTED_VALUE"""),7.0)</f>
        <v>7</v>
      </c>
      <c r="F59" s="55">
        <f>IFERROR(__xludf.DUMMYFUNCTION("""COMPUTED_VALUE"""),0.0)</f>
        <v>0</v>
      </c>
      <c r="G59" s="56"/>
      <c r="H59" s="57">
        <f>IFERROR(__xludf.DUMMYFUNCTION("""COMPUTED_VALUE"""),7.0)</f>
        <v>7</v>
      </c>
      <c r="I59" s="65">
        <f>IFERROR(__xludf.DUMMYFUNCTION("""COMPUTED_VALUE"""),1.0)</f>
        <v>1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/>
      <c r="H60" s="57">
        <f>IFERROR(__xludf.DUMMYFUNCTION("""COMPUTED_VALUE"""),10.0)</f>
        <v>10</v>
      </c>
      <c r="I60" s="65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/>
      <c r="H61" s="57">
        <f>IFERROR(__xludf.DUMMYFUNCTION("""COMPUTED_VALUE"""),10.0)</f>
        <v>10</v>
      </c>
      <c r="I61" s="65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/>
      <c r="H62" s="57">
        <f>IFERROR(__xludf.DUMMYFUNCTION("""COMPUTED_VALUE"""),10.0)</f>
        <v>10</v>
      </c>
      <c r="I62" s="65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/>
      <c r="H63" s="57">
        <f>IFERROR(__xludf.DUMMYFUNCTION("""COMPUTED_VALUE"""),10.0)</f>
        <v>10</v>
      </c>
      <c r="I63" s="6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55">
        <f>IFERROR(__xludf.DUMMYFUNCTION("""COMPUTED_VALUE"""),8.0)</f>
        <v>8</v>
      </c>
      <c r="F64" s="55">
        <f>IFERROR(__xludf.DUMMYFUNCTION("""COMPUTED_VALUE"""),2.0)</f>
        <v>2</v>
      </c>
      <c r="G64" s="56"/>
      <c r="H64" s="57">
        <f>IFERROR(__xludf.DUMMYFUNCTION("""COMPUTED_VALUE"""),10.0)</f>
        <v>10</v>
      </c>
      <c r="I64" s="65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IFERROR(__xludf.DUMMYFUNCTION("""COMPUTED_VALUE"""),10.0)</f>
        <v>10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55">
        <f>IFERROR(__xludf.DUMMYFUNCTION("""COMPUTED_VALUE"""),7.0)</f>
        <v>7</v>
      </c>
      <c r="F65" s="55">
        <f>IFERROR(__xludf.DUMMYFUNCTION("""COMPUTED_VALUE"""),2.0)</f>
        <v>2</v>
      </c>
      <c r="G65" s="56"/>
      <c r="H65" s="57">
        <f>IFERROR(__xludf.DUMMYFUNCTION("""COMPUTED_VALUE"""),9.0)</f>
        <v>9</v>
      </c>
      <c r="I65" s="65">
        <f>IFERROR(__xludf.DUMMYFUNCTION("""COMPUTED_VALUE"""),1.0)</f>
        <v>1</v>
      </c>
      <c r="J65" s="59">
        <f>IFERROR(__xludf.DUMMYFUNCTION("""COMPUTED_VALUE"""),9.0)</f>
        <v>9</v>
      </c>
      <c r="K65" s="51"/>
      <c r="L65" s="60">
        <f>IFERROR(__xludf.DUMMYFUNCTION("""COMPUTED_VALUE"""),9.0)</f>
        <v>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69"/>
      <c r="C66" s="69"/>
      <c r="D66" s="69"/>
      <c r="E66" s="70"/>
      <c r="F66" s="69"/>
      <c r="G66" s="69"/>
      <c r="H66" s="69"/>
      <c r="I66" s="69"/>
      <c r="J66" s="1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1"/>
      <c r="B67" s="72" t="str">
        <f>IFERROR(__xludf.DUMMYFUNCTION("""COMPUTED_VALUE"""),"No. DE ALUMNOS INSCRITOS")</f>
        <v>No. DE ALUMNOS INSCRITOS</v>
      </c>
      <c r="C67" s="73"/>
      <c r="D67" s="116">
        <f>IFERROR(__xludf.DUMMYFUNCTION("""COMPUTED_VALUE"""),49.0)</f>
        <v>49</v>
      </c>
      <c r="E67" s="69"/>
      <c r="F67" s="75" t="str">
        <f>IFERROR(__xludf.DUMMYFUNCTION("""COMPUTED_VALUE"""),"FIRMA DEL PROFESOR")</f>
        <v>FIRMA DEL PROFESOR</v>
      </c>
      <c r="G67" s="76"/>
      <c r="H67" s="75" t="str">
        <f>IFERROR(__xludf.DUMMYFUNCTION("""COMPUTED_VALUE"""),"FIRMA DEL ORIENTADOR")</f>
        <v>FIRMA DEL ORIENTADOR</v>
      </c>
      <c r="J67" s="77" t="str">
        <f>IFERROR(__xludf.DUMMYFUNCTION("""COMPUTED_VALUE"""),"Vo. Bo. SUBDIRECCIÓN ESCOLAR")</f>
        <v>Vo. Bo. SUBDIRECCIÓN ESCOLAR</v>
      </c>
      <c r="K67" s="78" t="str">
        <f>IFERROR(__xludf.DUMMYFUNCTION("""COMPUTED_VALUE"""),"REVISADO POR SECRETARIA ESCOLAR ")</f>
        <v>REVISADO POR SECRETARIA ESCOLAR 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1"/>
      <c r="B68" s="79" t="str">
        <f>IFERROR(__xludf.DUMMYFUNCTION("""COMPUTED_VALUE"""),"BAJAS DURANTE EL SEMESTRE")</f>
        <v>BAJAS DURANTE EL SEMESTRE</v>
      </c>
      <c r="C68" s="80"/>
      <c r="D68" s="117">
        <f>IFERROR(__xludf.DUMMYFUNCTION("""COMPUTED_VALUE"""),0.0)</f>
        <v>0</v>
      </c>
      <c r="E68" s="69"/>
      <c r="G68" s="76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1"/>
      <c r="B69" s="79" t="str">
        <f>IFERROR(__xludf.DUMMYFUNCTION("""COMPUTED_VALUE"""),"EXISTENCIA")</f>
        <v>EXISTENCIA</v>
      </c>
      <c r="C69" s="80"/>
      <c r="D69" s="87">
        <f>IFERROR(__xludf.DUMMYFUNCTION("""COMPUTED_VALUE"""),49.0)</f>
        <v>49</v>
      </c>
      <c r="E69" s="69"/>
      <c r="F69" s="83"/>
      <c r="G69" s="84"/>
      <c r="H69" s="83"/>
      <c r="I69" s="83"/>
      <c r="J69" s="85"/>
      <c r="K69" s="8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71"/>
      <c r="B70" s="79" t="str">
        <f>IFERROR(__xludf.DUMMYFUNCTION("""COMPUTED_VALUE"""),"No. DE ALUMNOS APROBADOS")</f>
        <v>No. DE ALUMNOS APROBADOS</v>
      </c>
      <c r="C70" s="80"/>
      <c r="D70" s="87">
        <f>IFERROR(__xludf.DUMMYFUNCTION("""COMPUTED_VALUE"""),46.0)</f>
        <v>46</v>
      </c>
      <c r="E70" s="69"/>
      <c r="F70" s="83"/>
      <c r="G70" s="84"/>
      <c r="H70" s="83"/>
      <c r="I70" s="83"/>
      <c r="J70" s="85"/>
      <c r="K70" s="8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1"/>
      <c r="B71" s="79" t="str">
        <f>IFERROR(__xludf.DUMMYFUNCTION("""COMPUTED_VALUE"""),"No. DE ALUMNOS REPROBADOS")</f>
        <v>No. DE ALUMNOS REPROBADOS</v>
      </c>
      <c r="C71" s="80"/>
      <c r="D71" s="87">
        <f>IFERROR(__xludf.DUMMYFUNCTION("""COMPUTED_VALUE"""),3.0)</f>
        <v>3</v>
      </c>
      <c r="E71" s="69"/>
      <c r="F71" s="118" t="str">
        <f>IFERROR(__xludf.DUMMYFUNCTION("""COMPUTED_VALUE"""),"ROSALVA ANDREA AZPEITIA CORREA")</f>
        <v>ROSALVA ANDREA AZPEITIA CORREA</v>
      </c>
      <c r="G71" s="84"/>
      <c r="H71" s="88"/>
      <c r="I71" s="88"/>
      <c r="J71" s="89"/>
      <c r="K71" s="9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71"/>
      <c r="B72" s="91" t="str">
        <f>IFERROR(__xludf.DUMMYFUNCTION("""COMPUTED_VALUE"""),"% DE APROBADOS")</f>
        <v>% DE APROBADOS</v>
      </c>
      <c r="C72" s="80"/>
      <c r="D72" s="82">
        <f>IFERROR(__xludf.DUMMYFUNCTION("""COMPUTED_VALUE"""),93.87755102040816)</f>
        <v>93.87755102</v>
      </c>
      <c r="E72" s="69"/>
      <c r="F72" s="92" t="str">
        <f>IFERROR(__xludf.DUMMYFUNCTION("""COMPUTED_VALUE"""),"PROFR. ")</f>
        <v>PROFR. </v>
      </c>
      <c r="G72" s="93"/>
      <c r="H72" s="94" t="str">
        <f>IFERROR(__xludf.DUMMYFUNCTION("""COMPUTED_VALUE"""),"PROFRA. ANA ISABEL CORREA SALGADO")</f>
        <v>PROFRA. ANA ISABEL CORREA SALGADO</v>
      </c>
      <c r="J72" s="95" t="str">
        <f>IFERROR(__xludf.DUMMYFUNCTION("""COMPUTED_VALUE"""),"PROFR. OCTAVIO VÁZQUEZ BARRETO")</f>
        <v>PROFR. OCTAVIO VÁZQUEZ BARRETO</v>
      </c>
      <c r="K72" s="96" t="str">
        <f>IFERROR(__xludf.DUMMYFUNCTION("""COMPUTED_VALUE"""),"PROFR. ROBERTO PALOMARES MEJÍA ")</f>
        <v>PROFR. ROBERTO PALOMARES MEJÍA </v>
      </c>
      <c r="L72" s="9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98" t="str">
        <f>IFERROR(__xludf.DUMMYFUNCTION("""COMPUTED_VALUE"""),"PROMEDIO")</f>
        <v>PROMEDIO</v>
      </c>
      <c r="C73" s="99"/>
      <c r="D73" s="100">
        <f>IFERROR(__xludf.DUMMYFUNCTION("""COMPUTED_VALUE"""),9.244897959183673)</f>
        <v>9.244897959</v>
      </c>
      <c r="E73" s="69"/>
      <c r="G73" s="93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6"/>
      <c r="B74" s="1"/>
      <c r="C74" s="1"/>
      <c r="D74" s="1"/>
      <c r="E74" s="1"/>
      <c r="F74" s="1"/>
      <c r="G74" s="1"/>
      <c r="H74" s="1"/>
      <c r="I74" s="1"/>
      <c r="J74" s="1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3"/>
      <c r="D75" s="103"/>
      <c r="E75" s="69"/>
      <c r="G75" s="7"/>
      <c r="H75" s="7"/>
      <c r="I75" s="7"/>
      <c r="J75" s="7"/>
      <c r="K75" s="104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69"/>
      <c r="C76" s="69"/>
      <c r="D76" s="69"/>
      <c r="E76" s="7"/>
      <c r="F76" s="1"/>
      <c r="G76" s="1"/>
      <c r="H76" s="1"/>
      <c r="I76" s="1"/>
      <c r="J76" s="1"/>
      <c r="K76" s="8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06"/>
      <c r="B77" s="69"/>
      <c r="C77" s="69"/>
      <c r="D77" s="69"/>
      <c r="E77" s="7"/>
      <c r="F77" s="1"/>
      <c r="G77" s="1"/>
      <c r="H77" s="1"/>
      <c r="I77" s="1"/>
      <c r="J77" s="1"/>
      <c r="K77" s="8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08"/>
      <c r="B78" s="109"/>
      <c r="C78" s="109"/>
      <c r="D78" s="109"/>
      <c r="E78" s="110"/>
      <c r="F78" s="111"/>
      <c r="G78" s="111"/>
      <c r="H78" s="111"/>
      <c r="I78" s="111"/>
      <c r="J78" s="111"/>
      <c r="K78" s="112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3"/>
      <c r="C79" s="113"/>
      <c r="D79" s="113"/>
      <c r="E79" s="113"/>
      <c r="F79" s="1"/>
      <c r="G79" s="1"/>
      <c r="H79" s="1"/>
      <c r="I79" s="1"/>
      <c r="J79" s="114"/>
      <c r="K79" s="114"/>
      <c r="L79" s="1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3"/>
      <c r="C80" s="113"/>
      <c r="D80" s="113"/>
      <c r="E80" s="113"/>
      <c r="F80" s="1"/>
      <c r="G80" s="1"/>
      <c r="H80" s="1"/>
      <c r="I80" s="1"/>
      <c r="J80" s="114"/>
      <c r="K80" s="114"/>
      <c r="L80" s="1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3"/>
      <c r="C81" s="113"/>
      <c r="D81" s="113"/>
      <c r="E81" s="113"/>
      <c r="F81" s="1"/>
      <c r="G81" s="1"/>
      <c r="H81" s="1"/>
      <c r="I81" s="1"/>
      <c r="J81" s="114"/>
      <c r="K81" s="114"/>
      <c r="L81" s="1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3"/>
      <c r="C82" s="113"/>
      <c r="D82" s="113"/>
      <c r="E82" s="113"/>
      <c r="F82" s="1"/>
      <c r="G82" s="1"/>
      <c r="H82" s="1"/>
      <c r="I82" s="1"/>
      <c r="J82" s="114"/>
      <c r="K82" s="114"/>
      <c r="L82" s="1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3"/>
      <c r="C83" s="113"/>
      <c r="D83" s="113"/>
      <c r="E83" s="11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3"/>
      <c r="C84" s="113"/>
      <c r="D84" s="113"/>
      <c r="E84" s="113"/>
      <c r="F84" s="1"/>
      <c r="G84" s="1"/>
      <c r="H84" s="1"/>
      <c r="I84" s="1"/>
      <c r="J84" s="1"/>
      <c r="K84" s="1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3"/>
      <c r="C85" s="113"/>
      <c r="D85" s="113"/>
      <c r="E85" s="1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3"/>
      <c r="C86" s="113"/>
      <c r="D86" s="113"/>
      <c r="E86" s="11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3"/>
      <c r="C87" s="113"/>
      <c r="D87" s="113"/>
      <c r="E87" s="11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3"/>
      <c r="C88" s="113"/>
      <c r="D88" s="113"/>
      <c r="E88" s="11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3"/>
      <c r="C89" s="113"/>
      <c r="D89" s="113"/>
      <c r="E89" s="11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3"/>
      <c r="C90" s="113"/>
      <c r="D90" s="113"/>
      <c r="E90" s="1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IFERROR(__xludf.DUMMYFUNCTION("IMPORTRANGE(""https://docs.google.com/spreadsheets/d/1IwheF3XSbLmldt4Se6BnSq7f8DRFJ3O-aN_RpWWG9kE/edit?gid=1396373749#gid=1396373749"",""2-2 reacciones quimicas y conservacion de la mater!a1:q86"")"),"")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19" t="str">
        <f>IFERROR(__xludf.DUMMYFUNCTION("""COMPUTED_VALUE"""),"OLIVIA PEÑA RAMÍREZ")</f>
        <v>OLIVIA PEÑA RAMÍREZ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IFERROR(__xludf.DUMMYFUNCTION("""COMPUTED_VALUE"""),"REACCIONES QUÍMICAS Y CONSERVACIÓN DE LA MATERIA")</f>
        <v>REACCIONES QUÍMICAS Y CONSERVACIÓN DE LA MATERIA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55">
        <f>IFERROR(__xludf.DUMMYFUNCTION("""COMPUTED_VALUE"""),6.5)</f>
        <v>6.5</v>
      </c>
      <c r="F17" s="55">
        <f>IFERROR(__xludf.DUMMYFUNCTION("""COMPUTED_VALUE"""),1.6)</f>
        <v>1.6</v>
      </c>
      <c r="G17" s="56">
        <f>IFERROR(__xludf.DUMMYFUNCTION("""COMPUTED_VALUE"""),1.0)</f>
        <v>1</v>
      </c>
      <c r="H17" s="57">
        <f>IFERROR(__xludf.DUMMYFUNCTION("""COMPUTED_VALUE"""),9.1)</f>
        <v>9.1</v>
      </c>
      <c r="I17" s="58">
        <f>IFERROR(__xludf.DUMMYFUNCTION("""COMPUTED_VALUE"""),0.0)</f>
        <v>0</v>
      </c>
      <c r="J17" s="59">
        <f>IFERROR(__xludf.DUMMYFUNCTION("""COMPUTED_VALUE"""),9.0)</f>
        <v>9</v>
      </c>
      <c r="K17" s="60"/>
      <c r="L17" s="61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55">
        <f>IFERROR(__xludf.DUMMYFUNCTION("""COMPUTED_VALUE"""),4.7)</f>
        <v>4.7</v>
      </c>
      <c r="F18" s="55">
        <f>IFERROR(__xludf.DUMMYFUNCTION("""COMPUTED_VALUE"""),1.7)</f>
        <v>1.7</v>
      </c>
      <c r="G18" s="56">
        <f>IFERROR(__xludf.DUMMYFUNCTION("""COMPUTED_VALUE"""),1.0)</f>
        <v>1</v>
      </c>
      <c r="H18" s="57">
        <f>IFERROR(__xludf.DUMMYFUNCTION("""COMPUTED_VALUE"""),7.4)</f>
        <v>7.4</v>
      </c>
      <c r="I18" s="58">
        <f>IFERROR(__xludf.DUMMYFUNCTION("""COMPUTED_VALUE"""),2.0)</f>
        <v>2</v>
      </c>
      <c r="J18" s="59">
        <f>IFERROR(__xludf.DUMMYFUNCTION("""COMPUTED_VALUE"""),7.0)</f>
        <v>7</v>
      </c>
      <c r="K18" s="51"/>
      <c r="L18" s="61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IFERROR(__xludf.DUMMYFUNCTION("""COMPUTED_VALUE"""),10.0)</f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56">
        <f>IFERROR(__xludf.DUMMYFUNCTION("""COMPUTED_VALUE"""),6.9)</f>
        <v>6.9</v>
      </c>
      <c r="F19" s="55">
        <f>IFERROR(__xludf.DUMMYFUNCTION("""COMPUTED_VALUE"""),1.8)</f>
        <v>1.8</v>
      </c>
      <c r="G19" s="56"/>
      <c r="H19" s="57">
        <f>IFERROR(__xludf.DUMMYFUNCTION("""COMPUTED_VALUE"""),8.700000000000001)</f>
        <v>8.7</v>
      </c>
      <c r="I19" s="58">
        <f>IFERROR(__xludf.DUMMYFUNCTION("""COMPUTED_VALUE"""),0.0)</f>
        <v>0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IFERROR(__xludf.DUMMYFUNCTION("""COMPUTED_VALUE"""),14.0)</f>
        <v>14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55">
        <f>IFERROR(__xludf.DUMMYFUNCTION("""COMPUTED_VALUE"""),5.4)</f>
        <v>5.4</v>
      </c>
      <c r="F20" s="55">
        <f>IFERROR(__xludf.DUMMYFUNCTION("""COMPUTED_VALUE"""),1.3)</f>
        <v>1.3</v>
      </c>
      <c r="G20" s="56"/>
      <c r="H20" s="57">
        <f>IFERROR(__xludf.DUMMYFUNCTION("""COMPUTED_VALUE"""),6.7)</f>
        <v>6.7</v>
      </c>
      <c r="I20" s="58">
        <f>IFERROR(__xludf.DUMMYFUNCTION("""COMPUTED_VALUE"""),1.0)</f>
        <v>1</v>
      </c>
      <c r="J20" s="59">
        <f>IFERROR(__xludf.DUMMYFUNCTION("""COMPUTED_VALUE"""),7.0)</f>
        <v>7</v>
      </c>
      <c r="K20" s="51"/>
      <c r="L20" s="61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55">
        <f>IFERROR(__xludf.DUMMYFUNCTION("""COMPUTED_VALUE"""),3.4)</f>
        <v>3.4</v>
      </c>
      <c r="F21" s="55">
        <f>IFERROR(__xludf.DUMMYFUNCTION("""COMPUTED_VALUE"""),1.3)</f>
        <v>1.3</v>
      </c>
      <c r="G21" s="56"/>
      <c r="H21" s="57">
        <f>IFERROR(__xludf.DUMMYFUNCTION("""COMPUTED_VALUE"""),4.7)</f>
        <v>4.7</v>
      </c>
      <c r="I21" s="58">
        <f>IFERROR(__xludf.DUMMYFUNCTION("""COMPUTED_VALUE"""),0.0)</f>
        <v>0</v>
      </c>
      <c r="J21" s="59">
        <f>IFERROR(__xludf.DUMMYFUNCTION("""COMPUTED_VALUE"""),5.0)</f>
        <v>5</v>
      </c>
      <c r="K21" s="51"/>
      <c r="L21" s="61">
        <f>IFERROR(__xludf.DUMMYFUNCTION("""COMPUTED_VALUE"""),4.0)</f>
        <v>4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55">
        <f>IFERROR(__xludf.DUMMYFUNCTION("""COMPUTED_VALUE"""),5.2)</f>
        <v>5.2</v>
      </c>
      <c r="F22" s="55">
        <f>IFERROR(__xludf.DUMMYFUNCTION("""COMPUTED_VALUE"""),1.8)</f>
        <v>1.8</v>
      </c>
      <c r="G22" s="56"/>
      <c r="H22" s="57">
        <f>IFERROR(__xludf.DUMMYFUNCTION("""COMPUTED_VALUE"""),7.0)</f>
        <v>7</v>
      </c>
      <c r="I22" s="58">
        <f>IFERROR(__xludf.DUMMYFUNCTION("""COMPUTED_VALUE"""),0.0)</f>
        <v>0</v>
      </c>
      <c r="J22" s="59">
        <f>IFERROR(__xludf.DUMMYFUNCTION("""COMPUTED_VALUE"""),7.0)</f>
        <v>7</v>
      </c>
      <c r="K22" s="51"/>
      <c r="L22" s="61">
        <f>IFERROR(__xludf.DUMMYFUNCTION("""COMPUTED_VALUE"""),7.0)</f>
        <v>7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55">
        <f>IFERROR(__xludf.DUMMYFUNCTION("""COMPUTED_VALUE"""),6.6)</f>
        <v>6.6</v>
      </c>
      <c r="F23" s="55">
        <f>IFERROR(__xludf.DUMMYFUNCTION("""COMPUTED_VALUE"""),1.7)</f>
        <v>1.7</v>
      </c>
      <c r="G23" s="56">
        <f>IFERROR(__xludf.DUMMYFUNCTION("""COMPUTED_VALUE"""),1.0)</f>
        <v>1</v>
      </c>
      <c r="H23" s="57">
        <f>IFERROR(__xludf.DUMMYFUNCTION("""COMPUTED_VALUE"""),9.299999999999999)</f>
        <v>9.3</v>
      </c>
      <c r="I23" s="58">
        <f>IFERROR(__xludf.DUMMYFUNCTION("""COMPUTED_VALUE"""),0.0)</f>
        <v>0</v>
      </c>
      <c r="J23" s="59">
        <f>IFERROR(__xludf.DUMMYFUNCTION("""COMPUTED_VALUE"""),9.0)</f>
        <v>9</v>
      </c>
      <c r="K23" s="51"/>
      <c r="L23" s="61">
        <f>IFERROR(__xludf.DUMMYFUNCTION("""COMPUTED_VALUE"""),9.0)</f>
        <v>9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56">
        <f>IFERROR(__xludf.DUMMYFUNCTION("""COMPUTED_VALUE"""),7.0)</f>
        <v>7</v>
      </c>
      <c r="F24" s="55">
        <f>IFERROR(__xludf.DUMMYFUNCTION("""COMPUTED_VALUE"""),1.3)</f>
        <v>1.3</v>
      </c>
      <c r="G24" s="56"/>
      <c r="H24" s="57">
        <f>IFERROR(__xludf.DUMMYFUNCTION("""COMPUTED_VALUE"""),8.3)</f>
        <v>8.3</v>
      </c>
      <c r="I24" s="58">
        <f>IFERROR(__xludf.DUMMYFUNCTION("""COMPUTED_VALUE"""),1.0)</f>
        <v>1</v>
      </c>
      <c r="J24" s="59">
        <f>IFERROR(__xludf.DUMMYFUNCTION("""COMPUTED_VALUE"""),8.0)</f>
        <v>8</v>
      </c>
      <c r="K24" s="51"/>
      <c r="L24" s="61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IFERROR(__xludf.DUMMYFUNCTION("""COMPUTED_VALUE"""),24.0)</f>
        <v>24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55">
        <f>IFERROR(__xludf.DUMMYFUNCTION("""COMPUTED_VALUE"""),4.8)</f>
        <v>4.8</v>
      </c>
      <c r="F25" s="55">
        <f>IFERROR(__xludf.DUMMYFUNCTION("""COMPUTED_VALUE"""),1.5)</f>
        <v>1.5</v>
      </c>
      <c r="G25" s="56">
        <f>IFERROR(__xludf.DUMMYFUNCTION("""COMPUTED_VALUE"""),1.0)</f>
        <v>1</v>
      </c>
      <c r="H25" s="57">
        <f>IFERROR(__xludf.DUMMYFUNCTION("""COMPUTED_VALUE"""),7.3)</f>
        <v>7.3</v>
      </c>
      <c r="I25" s="58">
        <f>IFERROR(__xludf.DUMMYFUNCTION("""COMPUTED_VALUE"""),0.0)</f>
        <v>0</v>
      </c>
      <c r="J25" s="59">
        <f>IFERROR(__xludf.DUMMYFUNCTION("""COMPUTED_VALUE"""),7.0)</f>
        <v>7</v>
      </c>
      <c r="K25" s="51"/>
      <c r="L25" s="61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56">
        <f>IFERROR(__xludf.DUMMYFUNCTION("""COMPUTED_VALUE"""),4.2)</f>
        <v>4.2</v>
      </c>
      <c r="F26" s="55">
        <f>IFERROR(__xludf.DUMMYFUNCTION("""COMPUTED_VALUE"""),1.4)</f>
        <v>1.4</v>
      </c>
      <c r="G26" s="56"/>
      <c r="H26" s="57">
        <f>IFERROR(__xludf.DUMMYFUNCTION("""COMPUTED_VALUE"""),5.6)</f>
        <v>5.6</v>
      </c>
      <c r="I26" s="58">
        <f>IFERROR(__xludf.DUMMYFUNCTION("""COMPUTED_VALUE"""),0.0)</f>
        <v>0</v>
      </c>
      <c r="J26" s="59">
        <f>IFERROR(__xludf.DUMMYFUNCTION("""COMPUTED_VALUE"""),5.0)</f>
        <v>5</v>
      </c>
      <c r="K26" s="51"/>
      <c r="L26" s="61">
        <f>IFERROR(__xludf.DUMMYFUNCTION("""COMPUTED_VALUE"""),5.0)</f>
        <v>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55">
        <f>IFERROR(__xludf.DUMMYFUNCTION("""COMPUTED_VALUE"""),5.4)</f>
        <v>5.4</v>
      </c>
      <c r="F27" s="55">
        <f>IFERROR(__xludf.DUMMYFUNCTION("""COMPUTED_VALUE"""),1.8)</f>
        <v>1.8</v>
      </c>
      <c r="G27" s="56">
        <f>IFERROR(__xludf.DUMMYFUNCTION("""COMPUTED_VALUE"""),1.0)</f>
        <v>1</v>
      </c>
      <c r="H27" s="57">
        <f>IFERROR(__xludf.DUMMYFUNCTION("""COMPUTED_VALUE"""),8.2)</f>
        <v>8.2</v>
      </c>
      <c r="I27" s="58">
        <f>IFERROR(__xludf.DUMMYFUNCTION("""COMPUTED_VALUE"""),0.0)</f>
        <v>0</v>
      </c>
      <c r="J27" s="59">
        <f>IFERROR(__xludf.DUMMYFUNCTION("""COMPUTED_VALUE"""),8.0)</f>
        <v>8</v>
      </c>
      <c r="K27" s="51"/>
      <c r="L27" s="61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55">
        <f>IFERROR(__xludf.DUMMYFUNCTION("""COMPUTED_VALUE"""),6.4)</f>
        <v>6.4</v>
      </c>
      <c r="F28" s="55">
        <f>IFERROR(__xludf.DUMMYFUNCTION("""COMPUTED_VALUE"""),1.8)</f>
        <v>1.8</v>
      </c>
      <c r="G28" s="56"/>
      <c r="H28" s="57">
        <f>IFERROR(__xludf.DUMMYFUNCTION("""COMPUTED_VALUE"""),8.200000000000001)</f>
        <v>8.2</v>
      </c>
      <c r="I28" s="58">
        <f>IFERROR(__xludf.DUMMYFUNCTION("""COMPUTED_VALUE"""),0.0)</f>
        <v>0</v>
      </c>
      <c r="J28" s="59">
        <f>IFERROR(__xludf.DUMMYFUNCTION("""COMPUTED_VALUE"""),8.0)</f>
        <v>8</v>
      </c>
      <c r="K28" s="51"/>
      <c r="L28" s="61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55">
        <f>IFERROR(__xludf.DUMMYFUNCTION("""COMPUTED_VALUE"""),5.4)</f>
        <v>5.4</v>
      </c>
      <c r="F29" s="55">
        <f>IFERROR(__xludf.DUMMYFUNCTION("""COMPUTED_VALUE"""),1.5)</f>
        <v>1.5</v>
      </c>
      <c r="G29" s="56"/>
      <c r="H29" s="57">
        <f>IFERROR(__xludf.DUMMYFUNCTION("""COMPUTED_VALUE"""),6.9)</f>
        <v>6.9</v>
      </c>
      <c r="I29" s="58">
        <f>IFERROR(__xludf.DUMMYFUNCTION("""COMPUTED_VALUE"""),1.0)</f>
        <v>1</v>
      </c>
      <c r="J29" s="59">
        <f>IFERROR(__xludf.DUMMYFUNCTION("""COMPUTED_VALUE"""),7.0)</f>
        <v>7</v>
      </c>
      <c r="K29" s="51"/>
      <c r="L29" s="61">
        <f>IFERROR(__xludf.DUMMYFUNCTION("""COMPUTED_VALUE"""),7.0)</f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56">
        <f>IFERROR(__xludf.DUMMYFUNCTION("""COMPUTED_VALUE"""),6.5)</f>
        <v>6.5</v>
      </c>
      <c r="F30" s="55">
        <f>IFERROR(__xludf.DUMMYFUNCTION("""COMPUTED_VALUE"""),1.8)</f>
        <v>1.8</v>
      </c>
      <c r="G30" s="56"/>
      <c r="H30" s="57">
        <f>IFERROR(__xludf.DUMMYFUNCTION("""COMPUTED_VALUE"""),8.3)</f>
        <v>8.3</v>
      </c>
      <c r="I30" s="58">
        <f>IFERROR(__xludf.DUMMYFUNCTION("""COMPUTED_VALUE"""),0.0)</f>
        <v>0</v>
      </c>
      <c r="J30" s="59">
        <f>IFERROR(__xludf.DUMMYFUNCTION("""COMPUTED_VALUE"""),8.0)</f>
        <v>8</v>
      </c>
      <c r="K30" s="51"/>
      <c r="L30" s="61">
        <f>IFERROR(__xludf.DUMMYFUNCTION("""COMPUTED_VALUE"""),8.0)</f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56">
        <f>IFERROR(__xludf.DUMMYFUNCTION("""COMPUTED_VALUE"""),6.0)</f>
        <v>6</v>
      </c>
      <c r="F31" s="55">
        <f>IFERROR(__xludf.DUMMYFUNCTION("""COMPUTED_VALUE"""),1.8)</f>
        <v>1.8</v>
      </c>
      <c r="G31" s="56"/>
      <c r="H31" s="57">
        <f>IFERROR(__xludf.DUMMYFUNCTION("""COMPUTED_VALUE"""),7.8)</f>
        <v>7.8</v>
      </c>
      <c r="I31" s="58">
        <f>IFERROR(__xludf.DUMMYFUNCTION("""COMPUTED_VALUE"""),0.0)</f>
        <v>0</v>
      </c>
      <c r="J31" s="59">
        <f>IFERROR(__xludf.DUMMYFUNCTION("""COMPUTED_VALUE"""),8.0)</f>
        <v>8</v>
      </c>
      <c r="K31" s="51"/>
      <c r="L31" s="61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55">
        <f>IFERROR(__xludf.DUMMYFUNCTION("""COMPUTED_VALUE"""),6.1)</f>
        <v>6.1</v>
      </c>
      <c r="F32" s="55">
        <f>IFERROR(__xludf.DUMMYFUNCTION("""COMPUTED_VALUE"""),1.7)</f>
        <v>1.7</v>
      </c>
      <c r="G32" s="56">
        <f>IFERROR(__xludf.DUMMYFUNCTION("""COMPUTED_VALUE"""),1.0)</f>
        <v>1</v>
      </c>
      <c r="H32" s="57">
        <f>IFERROR(__xludf.DUMMYFUNCTION("""COMPUTED_VALUE"""),8.8)</f>
        <v>8.8</v>
      </c>
      <c r="I32" s="58">
        <f>IFERROR(__xludf.DUMMYFUNCTION("""COMPUTED_VALUE"""),0.0)</f>
        <v>0</v>
      </c>
      <c r="J32" s="59">
        <f>IFERROR(__xludf.DUMMYFUNCTION("""COMPUTED_VALUE"""),9.0)</f>
        <v>9</v>
      </c>
      <c r="K32" s="51"/>
      <c r="L32" s="61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55">
        <f>IFERROR(__xludf.DUMMYFUNCTION("""COMPUTED_VALUE"""),5.2)</f>
        <v>5.2</v>
      </c>
      <c r="F33" s="55">
        <f>IFERROR(__xludf.DUMMYFUNCTION("""COMPUTED_VALUE"""),1.5)</f>
        <v>1.5</v>
      </c>
      <c r="G33" s="56"/>
      <c r="H33" s="57">
        <f>IFERROR(__xludf.DUMMYFUNCTION("""COMPUTED_VALUE"""),6.7)</f>
        <v>6.7</v>
      </c>
      <c r="I33" s="58">
        <f>IFERROR(__xludf.DUMMYFUNCTION("""COMPUTED_VALUE"""),0.0)</f>
        <v>0</v>
      </c>
      <c r="J33" s="59">
        <f>IFERROR(__xludf.DUMMYFUNCTION("""COMPUTED_VALUE"""),7.0)</f>
        <v>7</v>
      </c>
      <c r="K33" s="51"/>
      <c r="L33" s="61">
        <f>IFERROR(__xludf.DUMMYFUNCTION("""COMPUTED_VALUE"""),7.0)</f>
        <v>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56">
        <f>IFERROR(__xludf.DUMMYFUNCTION("""COMPUTED_VALUE"""),5.9)</f>
        <v>5.9</v>
      </c>
      <c r="F34" s="55">
        <f>IFERROR(__xludf.DUMMYFUNCTION("""COMPUTED_VALUE"""),1.7)</f>
        <v>1.7</v>
      </c>
      <c r="G34" s="56">
        <f>IFERROR(__xludf.DUMMYFUNCTION("""COMPUTED_VALUE"""),1.0)</f>
        <v>1</v>
      </c>
      <c r="H34" s="57">
        <f>IFERROR(__xludf.DUMMYFUNCTION("""COMPUTED_VALUE"""),8.600000000000001)</f>
        <v>8.6</v>
      </c>
      <c r="I34" s="58">
        <f>IFERROR(__xludf.DUMMYFUNCTION("""COMPUTED_VALUE"""),0.0)</f>
        <v>0</v>
      </c>
      <c r="J34" s="59">
        <f>IFERROR(__xludf.DUMMYFUNCTION("""COMPUTED_VALUE"""),9.0)</f>
        <v>9</v>
      </c>
      <c r="K34" s="51"/>
      <c r="L34" s="61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55">
        <f>IFERROR(__xludf.DUMMYFUNCTION("""COMPUTED_VALUE"""),6.5)</f>
        <v>6.5</v>
      </c>
      <c r="F35" s="55">
        <f>IFERROR(__xludf.DUMMYFUNCTION("""COMPUTED_VALUE"""),1.8)</f>
        <v>1.8</v>
      </c>
      <c r="G35" s="56">
        <f>IFERROR(__xludf.DUMMYFUNCTION("""COMPUTED_VALUE"""),1.0)</f>
        <v>1</v>
      </c>
      <c r="H35" s="57">
        <f>IFERROR(__xludf.DUMMYFUNCTION("""COMPUTED_VALUE"""),9.3)</f>
        <v>9.3</v>
      </c>
      <c r="I35" s="58">
        <f>IFERROR(__xludf.DUMMYFUNCTION("""COMPUTED_VALUE"""),0.0)</f>
        <v>0</v>
      </c>
      <c r="J35" s="59">
        <f>IFERROR(__xludf.DUMMYFUNCTION("""COMPUTED_VALUE"""),9.0)</f>
        <v>9</v>
      </c>
      <c r="K35" s="51"/>
      <c r="L35" s="61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55">
        <f>IFERROR(__xludf.DUMMYFUNCTION("""COMPUTED_VALUE"""),6.3)</f>
        <v>6.3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IFERROR(__xludf.DUMMYFUNCTION("""COMPUTED_VALUE"""),9.3)</f>
        <v>9.3</v>
      </c>
      <c r="I36" s="58">
        <f>IFERROR(__xludf.DUMMYFUNCTION("""COMPUTED_VALUE"""),0.0)</f>
        <v>0</v>
      </c>
      <c r="J36" s="59">
        <f>IFERROR(__xludf.DUMMYFUNCTION("""COMPUTED_VALUE"""),9.0)</f>
        <v>9</v>
      </c>
      <c r="K36" s="51"/>
      <c r="L36" s="61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56">
        <f>IFERROR(__xludf.DUMMYFUNCTION("""COMPUTED_VALUE"""),1.3)</f>
        <v>1.3</v>
      </c>
      <c r="F37" s="55">
        <f>IFERROR(__xludf.DUMMYFUNCTION("""COMPUTED_VALUE"""),0.0)</f>
        <v>0</v>
      </c>
      <c r="G37" s="56"/>
      <c r="H37" s="57">
        <f>IFERROR(__xludf.DUMMYFUNCTION("""COMPUTED_VALUE"""),1.3)</f>
        <v>1.3</v>
      </c>
      <c r="I37" s="58">
        <f>IFERROR(__xludf.DUMMYFUNCTION("""COMPUTED_VALUE"""),5.0)</f>
        <v>5</v>
      </c>
      <c r="J37" s="59">
        <f>IFERROR(__xludf.DUMMYFUNCTION("""COMPUTED_VALUE"""),5.0)</f>
        <v>5</v>
      </c>
      <c r="K37" s="51"/>
      <c r="L37" s="61">
        <f>IFERROR(__xludf.DUMMYFUNCTION("""COMPUTED_VALUE"""),1.0)</f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55">
        <f>IFERROR(__xludf.DUMMYFUNCTION("""COMPUTED_VALUE"""),6.6)</f>
        <v>6.6</v>
      </c>
      <c r="F38" s="55">
        <f>IFERROR(__xludf.DUMMYFUNCTION("""COMPUTED_VALUE"""),1.8)</f>
        <v>1.8</v>
      </c>
      <c r="G38" s="56">
        <f>IFERROR(__xludf.DUMMYFUNCTION("""COMPUTED_VALUE"""),1.0)</f>
        <v>1</v>
      </c>
      <c r="H38" s="57">
        <f>IFERROR(__xludf.DUMMYFUNCTION("""COMPUTED_VALUE"""),9.4)</f>
        <v>9.4</v>
      </c>
      <c r="I38" s="58">
        <f>IFERROR(__xludf.DUMMYFUNCTION("""COMPUTED_VALUE"""),0.0)</f>
        <v>0</v>
      </c>
      <c r="J38" s="59">
        <f>IFERROR(__xludf.DUMMYFUNCTION("""COMPUTED_VALUE"""),9.0)</f>
        <v>9</v>
      </c>
      <c r="K38" s="51"/>
      <c r="L38" s="61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55">
        <f>IFERROR(__xludf.DUMMYFUNCTION("""COMPUTED_VALUE"""),5.5)</f>
        <v>5.5</v>
      </c>
      <c r="F39" s="55">
        <f>IFERROR(__xludf.DUMMYFUNCTION("""COMPUTED_VALUE"""),1.8)</f>
        <v>1.8</v>
      </c>
      <c r="G39" s="56"/>
      <c r="H39" s="57">
        <f>IFERROR(__xludf.DUMMYFUNCTION("""COMPUTED_VALUE"""),7.3)</f>
        <v>7.3</v>
      </c>
      <c r="I39" s="58">
        <f>IFERROR(__xludf.DUMMYFUNCTION("""COMPUTED_VALUE"""),0.0)</f>
        <v>0</v>
      </c>
      <c r="J39" s="59">
        <f>IFERROR(__xludf.DUMMYFUNCTION("""COMPUTED_VALUE"""),7.0)</f>
        <v>7</v>
      </c>
      <c r="K39" s="51"/>
      <c r="L39" s="61">
        <f>IFERROR(__xludf.DUMMYFUNCTION("""COMPUTED_VALUE"""),7.0)</f>
        <v>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55">
        <f>IFERROR(__xludf.DUMMYFUNCTION("""COMPUTED_VALUE"""),5.9)</f>
        <v>5.9</v>
      </c>
      <c r="F40" s="55">
        <f>IFERROR(__xludf.DUMMYFUNCTION("""COMPUTED_VALUE"""),2.0)</f>
        <v>2</v>
      </c>
      <c r="G40" s="56">
        <f>IFERROR(__xludf.DUMMYFUNCTION("""COMPUTED_VALUE"""),1.0)</f>
        <v>1</v>
      </c>
      <c r="H40" s="57">
        <f>IFERROR(__xludf.DUMMYFUNCTION("""COMPUTED_VALUE"""),8.9)</f>
        <v>8.9</v>
      </c>
      <c r="I40" s="58">
        <f>IFERROR(__xludf.DUMMYFUNCTION("""COMPUTED_VALUE"""),0.0)</f>
        <v>0</v>
      </c>
      <c r="J40" s="59">
        <f>IFERROR(__xludf.DUMMYFUNCTION("""COMPUTED_VALUE"""),9.0)</f>
        <v>9</v>
      </c>
      <c r="K40" s="51"/>
      <c r="L40" s="61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55">
        <f>IFERROR(__xludf.DUMMYFUNCTION("""COMPUTED_VALUE"""),3.9)</f>
        <v>3.9</v>
      </c>
      <c r="F41" s="55">
        <f>IFERROR(__xludf.DUMMYFUNCTION("""COMPUTED_VALUE"""),2.0)</f>
        <v>2</v>
      </c>
      <c r="G41" s="56">
        <f>IFERROR(__xludf.DUMMYFUNCTION("""COMPUTED_VALUE"""),1.0)</f>
        <v>1</v>
      </c>
      <c r="H41" s="57">
        <f>IFERROR(__xludf.DUMMYFUNCTION("""COMPUTED_VALUE"""),6.9)</f>
        <v>6.9</v>
      </c>
      <c r="I41" s="58">
        <f>IFERROR(__xludf.DUMMYFUNCTION("""COMPUTED_VALUE"""),0.0)</f>
        <v>0</v>
      </c>
      <c r="J41" s="59">
        <f>IFERROR(__xludf.DUMMYFUNCTION("""COMPUTED_VALUE"""),7.0)</f>
        <v>7</v>
      </c>
      <c r="K41" s="51"/>
      <c r="L41" s="61">
        <f>IFERROR(__xludf.DUMMYFUNCTION("""COMPUTED_VALUE"""),7.0)</f>
        <v>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55">
        <f>IFERROR(__xludf.DUMMYFUNCTION("""COMPUTED_VALUE"""),6.4)</f>
        <v>6.4</v>
      </c>
      <c r="F42" s="55">
        <f>IFERROR(__xludf.DUMMYFUNCTION("""COMPUTED_VALUE"""),1.8)</f>
        <v>1.8</v>
      </c>
      <c r="G42" s="56">
        <f>IFERROR(__xludf.DUMMYFUNCTION("""COMPUTED_VALUE"""),1.0)</f>
        <v>1</v>
      </c>
      <c r="H42" s="57">
        <f>IFERROR(__xludf.DUMMYFUNCTION("""COMPUTED_VALUE"""),9.200000000000001)</f>
        <v>9.2</v>
      </c>
      <c r="I42" s="58">
        <f>IFERROR(__xludf.DUMMYFUNCTION("""COMPUTED_VALUE"""),0.0)</f>
        <v>0</v>
      </c>
      <c r="J42" s="59">
        <f>IFERROR(__xludf.DUMMYFUNCTION("""COMPUTED_VALUE"""),9.0)</f>
        <v>9</v>
      </c>
      <c r="K42" s="51"/>
      <c r="L42" s="61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55">
        <f>IFERROR(__xludf.DUMMYFUNCTION("""COMPUTED_VALUE"""),5.2)</f>
        <v>5.2</v>
      </c>
      <c r="F43" s="55">
        <f>IFERROR(__xludf.DUMMYFUNCTION("""COMPUTED_VALUE"""),1.7)</f>
        <v>1.7</v>
      </c>
      <c r="G43" s="56">
        <f>IFERROR(__xludf.DUMMYFUNCTION("""COMPUTED_VALUE"""),1.0)</f>
        <v>1</v>
      </c>
      <c r="H43" s="57">
        <f>IFERROR(__xludf.DUMMYFUNCTION("""COMPUTED_VALUE"""),7.9)</f>
        <v>7.9</v>
      </c>
      <c r="I43" s="58">
        <f>IFERROR(__xludf.DUMMYFUNCTION("""COMPUTED_VALUE"""),0.0)</f>
        <v>0</v>
      </c>
      <c r="J43" s="59">
        <f>IFERROR(__xludf.DUMMYFUNCTION("""COMPUTED_VALUE"""),8.0)</f>
        <v>8</v>
      </c>
      <c r="K43" s="51"/>
      <c r="L43" s="61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55">
        <f>IFERROR(__xludf.DUMMYFUNCTION("""COMPUTED_VALUE"""),5.7)</f>
        <v>5.7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IFERROR(__xludf.DUMMYFUNCTION("""COMPUTED_VALUE"""),8.7)</f>
        <v>8.7</v>
      </c>
      <c r="I44" s="58">
        <f>IFERROR(__xludf.DUMMYFUNCTION("""COMPUTED_VALUE"""),0.0)</f>
        <v>0</v>
      </c>
      <c r="J44" s="59">
        <f>IFERROR(__xludf.DUMMYFUNCTION("""COMPUTED_VALUE"""),9.0)</f>
        <v>9</v>
      </c>
      <c r="K44" s="51"/>
      <c r="L44" s="61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55">
        <f>IFERROR(__xludf.DUMMYFUNCTION("""COMPUTED_VALUE"""),4.7)</f>
        <v>4.7</v>
      </c>
      <c r="F45" s="55">
        <f>IFERROR(__xludf.DUMMYFUNCTION("""COMPUTED_VALUE"""),1.5)</f>
        <v>1.5</v>
      </c>
      <c r="G45" s="56"/>
      <c r="H45" s="57">
        <f>IFERROR(__xludf.DUMMYFUNCTION("""COMPUTED_VALUE"""),6.2)</f>
        <v>6.2</v>
      </c>
      <c r="I45" s="58">
        <f>IFERROR(__xludf.DUMMYFUNCTION("""COMPUTED_VALUE"""),1.0)</f>
        <v>1</v>
      </c>
      <c r="J45" s="59">
        <f>IFERROR(__xludf.DUMMYFUNCTION("""COMPUTED_VALUE"""),6.0)</f>
        <v>6</v>
      </c>
      <c r="K45" s="51"/>
      <c r="L45" s="61">
        <f>IFERROR(__xludf.DUMMYFUNCTION("""COMPUTED_VALUE"""),6.0)</f>
        <v>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55">
        <f>IFERROR(__xludf.DUMMYFUNCTION("""COMPUTED_VALUE"""),5.6)</f>
        <v>5.6</v>
      </c>
      <c r="F46" s="55">
        <f>IFERROR(__xludf.DUMMYFUNCTION("""COMPUTED_VALUE"""),2.0)</f>
        <v>2</v>
      </c>
      <c r="G46" s="56">
        <f>IFERROR(__xludf.DUMMYFUNCTION("""COMPUTED_VALUE"""),1.0)</f>
        <v>1</v>
      </c>
      <c r="H46" s="57">
        <f>IFERROR(__xludf.DUMMYFUNCTION("""COMPUTED_VALUE"""),8.6)</f>
        <v>8.6</v>
      </c>
      <c r="I46" s="58">
        <f>IFERROR(__xludf.DUMMYFUNCTION("""COMPUTED_VALUE"""),0.0)</f>
        <v>0</v>
      </c>
      <c r="J46" s="59">
        <f>IFERROR(__xludf.DUMMYFUNCTION("""COMPUTED_VALUE"""),9.0)</f>
        <v>9</v>
      </c>
      <c r="K46" s="51"/>
      <c r="L46" s="61">
        <f>IFERROR(__xludf.DUMMYFUNCTION("""COMPUTED_VALUE"""),9.0)</f>
        <v>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55">
        <f>IFERROR(__xludf.DUMMYFUNCTION("""COMPUTED_VALUE"""),5.4)</f>
        <v>5.4</v>
      </c>
      <c r="F47" s="55">
        <f>IFERROR(__xludf.DUMMYFUNCTION("""COMPUTED_VALUE"""),1.7)</f>
        <v>1.7</v>
      </c>
      <c r="G47" s="56"/>
      <c r="H47" s="57">
        <f>IFERROR(__xludf.DUMMYFUNCTION("""COMPUTED_VALUE"""),7.1000000000000005)</f>
        <v>7.1</v>
      </c>
      <c r="I47" s="58">
        <f>IFERROR(__xludf.DUMMYFUNCTION("""COMPUTED_VALUE"""),0.0)</f>
        <v>0</v>
      </c>
      <c r="J47" s="59">
        <f>IFERROR(__xludf.DUMMYFUNCTION("""COMPUTED_VALUE"""),7.0)</f>
        <v>7</v>
      </c>
      <c r="K47" s="51"/>
      <c r="L47" s="61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55">
        <f>IFERROR(__xludf.DUMMYFUNCTION("""COMPUTED_VALUE"""),4.6)</f>
        <v>4.6</v>
      </c>
      <c r="F48" s="55">
        <f>IFERROR(__xludf.DUMMYFUNCTION("""COMPUTED_VALUE"""),1.5)</f>
        <v>1.5</v>
      </c>
      <c r="G48" s="56">
        <f>IFERROR(__xludf.DUMMYFUNCTION("""COMPUTED_VALUE"""),1.0)</f>
        <v>1</v>
      </c>
      <c r="H48" s="57">
        <f>IFERROR(__xludf.DUMMYFUNCTION("""COMPUTED_VALUE"""),7.1)</f>
        <v>7.1</v>
      </c>
      <c r="I48" s="58">
        <f>IFERROR(__xludf.DUMMYFUNCTION("""COMPUTED_VALUE"""),0.0)</f>
        <v>0</v>
      </c>
      <c r="J48" s="59">
        <f>IFERROR(__xludf.DUMMYFUNCTION("""COMPUTED_VALUE"""),7.0)</f>
        <v>7</v>
      </c>
      <c r="K48" s="51"/>
      <c r="L48" s="61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55">
        <f>IFERROR(__xludf.DUMMYFUNCTION("""COMPUTED_VALUE"""),4.8)</f>
        <v>4.8</v>
      </c>
      <c r="F49" s="55">
        <f>IFERROR(__xludf.DUMMYFUNCTION("""COMPUTED_VALUE"""),1.7)</f>
        <v>1.7</v>
      </c>
      <c r="G49" s="56">
        <f>IFERROR(__xludf.DUMMYFUNCTION("""COMPUTED_VALUE"""),1.0)</f>
        <v>1</v>
      </c>
      <c r="H49" s="57">
        <f>IFERROR(__xludf.DUMMYFUNCTION("""COMPUTED_VALUE"""),7.5)</f>
        <v>7.5</v>
      </c>
      <c r="I49" s="58">
        <f>IFERROR(__xludf.DUMMYFUNCTION("""COMPUTED_VALUE"""),0.0)</f>
        <v>0</v>
      </c>
      <c r="J49" s="59">
        <f>IFERROR(__xludf.DUMMYFUNCTION("""COMPUTED_VALUE"""),8.0)</f>
        <v>8</v>
      </c>
      <c r="K49" s="51"/>
      <c r="L49" s="61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55">
        <f>IFERROR(__xludf.DUMMYFUNCTION("""COMPUTED_VALUE"""),6.4)</f>
        <v>6.4</v>
      </c>
      <c r="F50" s="55">
        <f>IFERROR(__xludf.DUMMYFUNCTION("""COMPUTED_VALUE"""),1.8)</f>
        <v>1.8</v>
      </c>
      <c r="G50" s="56">
        <f>IFERROR(__xludf.DUMMYFUNCTION("""COMPUTED_VALUE"""),1.0)</f>
        <v>1</v>
      </c>
      <c r="H50" s="57">
        <f>IFERROR(__xludf.DUMMYFUNCTION("""COMPUTED_VALUE"""),9.200000000000001)</f>
        <v>9.2</v>
      </c>
      <c r="I50" s="58">
        <f>IFERROR(__xludf.DUMMYFUNCTION("""COMPUTED_VALUE"""),0.0)</f>
        <v>0</v>
      </c>
      <c r="J50" s="59">
        <f>IFERROR(__xludf.DUMMYFUNCTION("""COMPUTED_VALUE"""),9.0)</f>
        <v>9</v>
      </c>
      <c r="K50" s="51"/>
      <c r="L50" s="61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55">
        <f>IFERROR(__xludf.DUMMYFUNCTION("""COMPUTED_VALUE"""),5.7)</f>
        <v>5.7</v>
      </c>
      <c r="F51" s="55">
        <f>IFERROR(__xludf.DUMMYFUNCTION("""COMPUTED_VALUE"""),1.8)</f>
        <v>1.8</v>
      </c>
      <c r="G51" s="56">
        <f>IFERROR(__xludf.DUMMYFUNCTION("""COMPUTED_VALUE"""),1.0)</f>
        <v>1</v>
      </c>
      <c r="H51" s="57">
        <f>IFERROR(__xludf.DUMMYFUNCTION("""COMPUTED_VALUE"""),8.5)</f>
        <v>8.5</v>
      </c>
      <c r="I51" s="58">
        <f>IFERROR(__xludf.DUMMYFUNCTION("""COMPUTED_VALUE"""),0.0)</f>
        <v>0</v>
      </c>
      <c r="J51" s="59">
        <f>IFERROR(__xludf.DUMMYFUNCTION("""COMPUTED_VALUE"""),9.0)</f>
        <v>9</v>
      </c>
      <c r="K51" s="51"/>
      <c r="L51" s="61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55">
        <f>IFERROR(__xludf.DUMMYFUNCTION("""COMPUTED_VALUE"""),5.2)</f>
        <v>5.2</v>
      </c>
      <c r="F52" s="55">
        <f>IFERROR(__xludf.DUMMYFUNCTION("""COMPUTED_VALUE"""),1.8)</f>
        <v>1.8</v>
      </c>
      <c r="G52" s="56"/>
      <c r="H52" s="57">
        <f>IFERROR(__xludf.DUMMYFUNCTION("""COMPUTED_VALUE"""),7.0)</f>
        <v>7</v>
      </c>
      <c r="I52" s="58">
        <f>IFERROR(__xludf.DUMMYFUNCTION("""COMPUTED_VALUE"""),0.0)</f>
        <v>0</v>
      </c>
      <c r="J52" s="59">
        <f>IFERROR(__xludf.DUMMYFUNCTION("""COMPUTED_VALUE"""),7.0)</f>
        <v>7</v>
      </c>
      <c r="K52" s="51"/>
      <c r="L52" s="60">
        <f>IFERROR(__xludf.DUMMYFUNCTION("""COMPUTED_VALUE"""),7.0)</f>
        <v>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55">
        <f>IFERROR(__xludf.DUMMYFUNCTION("""COMPUTED_VALUE"""),5.5)</f>
        <v>5.5</v>
      </c>
      <c r="F53" s="55">
        <f>IFERROR(__xludf.DUMMYFUNCTION("""COMPUTED_VALUE"""),1.8)</f>
        <v>1.8</v>
      </c>
      <c r="G53" s="56"/>
      <c r="H53" s="57">
        <f>IFERROR(__xludf.DUMMYFUNCTION("""COMPUTED_VALUE"""),7.3)</f>
        <v>7.3</v>
      </c>
      <c r="I53" s="58">
        <f>IFERROR(__xludf.DUMMYFUNCTION("""COMPUTED_VALUE"""),0.0)</f>
        <v>0</v>
      </c>
      <c r="J53" s="59">
        <f>IFERROR(__xludf.DUMMYFUNCTION("""COMPUTED_VALUE"""),7.0)</f>
        <v>7</v>
      </c>
      <c r="K53" s="51"/>
      <c r="L53" s="60">
        <f>IFERROR(__xludf.DUMMYFUNCTION("""COMPUTED_VALUE"""),7.0)</f>
        <v>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55">
        <f>IFERROR(__xludf.DUMMYFUNCTION("""COMPUTED_VALUE"""),5.9)</f>
        <v>5.9</v>
      </c>
      <c r="F54" s="55">
        <f>IFERROR(__xludf.DUMMYFUNCTION("""COMPUTED_VALUE"""),1.8)</f>
        <v>1.8</v>
      </c>
      <c r="G54" s="56"/>
      <c r="H54" s="57">
        <f>IFERROR(__xludf.DUMMYFUNCTION("""COMPUTED_VALUE"""),7.7)</f>
        <v>7.7</v>
      </c>
      <c r="I54" s="58">
        <f>IFERROR(__xludf.DUMMYFUNCTION("""COMPUTED_VALUE"""),0.0)</f>
        <v>0</v>
      </c>
      <c r="J54" s="59">
        <f>IFERROR(__xludf.DUMMYFUNCTION("""COMPUTED_VALUE"""),8.0)</f>
        <v>8</v>
      </c>
      <c r="K54" s="51"/>
      <c r="L54" s="60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55">
        <f>IFERROR(__xludf.DUMMYFUNCTION("""COMPUTED_VALUE"""),4.3)</f>
        <v>4.3</v>
      </c>
      <c r="F55" s="55">
        <f>IFERROR(__xludf.DUMMYFUNCTION("""COMPUTED_VALUE"""),1.8)</f>
        <v>1.8</v>
      </c>
      <c r="G55" s="56"/>
      <c r="H55" s="57">
        <f>IFERROR(__xludf.DUMMYFUNCTION("""COMPUTED_VALUE"""),6.1)</f>
        <v>6.1</v>
      </c>
      <c r="I55" s="65">
        <f>IFERROR(__xludf.DUMMYFUNCTION("""COMPUTED_VALUE"""),0.0)</f>
        <v>0</v>
      </c>
      <c r="J55" s="59">
        <f>IFERROR(__xludf.DUMMYFUNCTION("""COMPUTED_VALUE"""),6.0)</f>
        <v>6</v>
      </c>
      <c r="K55" s="51"/>
      <c r="L55" s="60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55">
        <f>IFERROR(__xludf.DUMMYFUNCTION("""COMPUTED_VALUE"""),5.7)</f>
        <v>5.7</v>
      </c>
      <c r="F56" s="55">
        <f>IFERROR(__xludf.DUMMYFUNCTION("""COMPUTED_VALUE"""),1.8)</f>
        <v>1.8</v>
      </c>
      <c r="G56" s="56"/>
      <c r="H56" s="57">
        <f>IFERROR(__xludf.DUMMYFUNCTION("""COMPUTED_VALUE"""),7.5)</f>
        <v>7.5</v>
      </c>
      <c r="I56" s="65">
        <f>IFERROR(__xludf.DUMMYFUNCTION("""COMPUTED_VALUE"""),0.0)</f>
        <v>0</v>
      </c>
      <c r="J56" s="59">
        <f>IFERROR(__xludf.DUMMYFUNCTION("""COMPUTED_VALUE"""),8.0)</f>
        <v>8</v>
      </c>
      <c r="K56" s="51"/>
      <c r="L56" s="60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55">
        <f>IFERROR(__xludf.DUMMYFUNCTION("""COMPUTED_VALUE"""),5.6)</f>
        <v>5.6</v>
      </c>
      <c r="F57" s="55">
        <f>IFERROR(__xludf.DUMMYFUNCTION("""COMPUTED_VALUE"""),1.8)</f>
        <v>1.8</v>
      </c>
      <c r="G57" s="56">
        <f>IFERROR(__xludf.DUMMYFUNCTION("""COMPUTED_VALUE"""),1.0)</f>
        <v>1</v>
      </c>
      <c r="H57" s="57">
        <f>IFERROR(__xludf.DUMMYFUNCTION("""COMPUTED_VALUE"""),8.399999999999999)</f>
        <v>8.4</v>
      </c>
      <c r="I57" s="65">
        <f>IFERROR(__xludf.DUMMYFUNCTION("""COMPUTED_VALUE"""),0.0)</f>
        <v>0</v>
      </c>
      <c r="J57" s="59">
        <f>IFERROR(__xludf.DUMMYFUNCTION("""COMPUTED_VALUE"""),8.0)</f>
        <v>8</v>
      </c>
      <c r="K57" s="51"/>
      <c r="L57" s="60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55">
        <f>IFERROR(__xludf.DUMMYFUNCTION("""COMPUTED_VALUE"""),4.5)</f>
        <v>4.5</v>
      </c>
      <c r="F58" s="55">
        <f>IFERROR(__xludf.DUMMYFUNCTION("""COMPUTED_VALUE"""),1.7)</f>
        <v>1.7</v>
      </c>
      <c r="G58" s="56"/>
      <c r="H58" s="57">
        <f>IFERROR(__xludf.DUMMYFUNCTION("""COMPUTED_VALUE"""),6.2)</f>
        <v>6.2</v>
      </c>
      <c r="I58" s="65">
        <f>IFERROR(__xludf.DUMMYFUNCTION("""COMPUTED_VALUE"""),1.0)</f>
        <v>1</v>
      </c>
      <c r="J58" s="59">
        <f>IFERROR(__xludf.DUMMYFUNCTION("""COMPUTED_VALUE"""),6.0)</f>
        <v>6</v>
      </c>
      <c r="K58" s="51"/>
      <c r="L58" s="60">
        <f>IFERROR(__xludf.DUMMYFUNCTION("""COMPUTED_VALUE"""),6.0)</f>
        <v>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55">
        <f>IFERROR(__xludf.DUMMYFUNCTION("""COMPUTED_VALUE"""),4.8)</f>
        <v>4.8</v>
      </c>
      <c r="F59" s="55">
        <f>IFERROR(__xludf.DUMMYFUNCTION("""COMPUTED_VALUE"""),1.7)</f>
        <v>1.7</v>
      </c>
      <c r="G59" s="56"/>
      <c r="H59" s="57">
        <f>IFERROR(__xludf.DUMMYFUNCTION("""COMPUTED_VALUE"""),6.5)</f>
        <v>6.5</v>
      </c>
      <c r="I59" s="65">
        <f>IFERROR(__xludf.DUMMYFUNCTION("""COMPUTED_VALUE"""),0.0)</f>
        <v>0</v>
      </c>
      <c r="J59" s="59">
        <f>IFERROR(__xludf.DUMMYFUNCTION("""COMPUTED_VALUE"""),7.0)</f>
        <v>7</v>
      </c>
      <c r="K59" s="51"/>
      <c r="L59" s="60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55">
        <f>IFERROR(__xludf.DUMMYFUNCTION("""COMPUTED_VALUE"""),5.9)</f>
        <v>5.9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IFERROR(__xludf.DUMMYFUNCTION("""COMPUTED_VALUE"""),8.9)</f>
        <v>8.9</v>
      </c>
      <c r="I60" s="65">
        <f>IFERROR(__xludf.DUMMYFUNCTION("""COMPUTED_VALUE"""),0.0)</f>
        <v>0</v>
      </c>
      <c r="J60" s="59">
        <f>IFERROR(__xludf.DUMMYFUNCTION("""COMPUTED_VALUE"""),9.0)</f>
        <v>9</v>
      </c>
      <c r="K60" s="51"/>
      <c r="L60" s="60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55">
        <f>IFERROR(__xludf.DUMMYFUNCTION("""COMPUTED_VALUE"""),5.0)</f>
        <v>5</v>
      </c>
      <c r="F61" s="55">
        <f>IFERROR(__xludf.DUMMYFUNCTION("""COMPUTED_VALUE"""),1.5)</f>
        <v>1.5</v>
      </c>
      <c r="G61" s="56"/>
      <c r="H61" s="57">
        <f>IFERROR(__xludf.DUMMYFUNCTION("""COMPUTED_VALUE"""),6.5)</f>
        <v>6.5</v>
      </c>
      <c r="I61" s="65">
        <f>IFERROR(__xludf.DUMMYFUNCTION("""COMPUTED_VALUE"""),0.0)</f>
        <v>0</v>
      </c>
      <c r="J61" s="59">
        <f>IFERROR(__xludf.DUMMYFUNCTION("""COMPUTED_VALUE"""),7.0)</f>
        <v>7</v>
      </c>
      <c r="K61" s="51"/>
      <c r="L61" s="60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55">
        <f>IFERROR(__xludf.DUMMYFUNCTION("""COMPUTED_VALUE"""),5.3)</f>
        <v>5.3</v>
      </c>
      <c r="F62" s="55">
        <f>IFERROR(__xludf.DUMMYFUNCTION("""COMPUTED_VALUE"""),1.6)</f>
        <v>1.6</v>
      </c>
      <c r="G62" s="56">
        <f>IFERROR(__xludf.DUMMYFUNCTION("""COMPUTED_VALUE"""),1.0)</f>
        <v>1</v>
      </c>
      <c r="H62" s="57">
        <f>IFERROR(__xludf.DUMMYFUNCTION("""COMPUTED_VALUE"""),7.9)</f>
        <v>7.9</v>
      </c>
      <c r="I62" s="65">
        <f>IFERROR(__xludf.DUMMYFUNCTION("""COMPUTED_VALUE"""),0.0)</f>
        <v>0</v>
      </c>
      <c r="J62" s="59">
        <f>IFERROR(__xludf.DUMMYFUNCTION("""COMPUTED_VALUE"""),8.0)</f>
        <v>8</v>
      </c>
      <c r="K62" s="51"/>
      <c r="L62" s="60">
        <f>IFERROR(__xludf.DUMMYFUNCTION("""COMPUTED_VALUE"""),8.0)</f>
        <v>8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55">
        <f>IFERROR(__xludf.DUMMYFUNCTION("""COMPUTED_VALUE"""),5.4)</f>
        <v>5.4</v>
      </c>
      <c r="F63" s="55">
        <f>IFERROR(__xludf.DUMMYFUNCTION("""COMPUTED_VALUE"""),1.7)</f>
        <v>1.7</v>
      </c>
      <c r="G63" s="56">
        <f>IFERROR(__xludf.DUMMYFUNCTION("""COMPUTED_VALUE"""),1.0)</f>
        <v>1</v>
      </c>
      <c r="H63" s="57">
        <f>IFERROR(__xludf.DUMMYFUNCTION("""COMPUTED_VALUE"""),8.100000000000001)</f>
        <v>8.1</v>
      </c>
      <c r="I63" s="65">
        <f>IFERROR(__xludf.DUMMYFUNCTION("""COMPUTED_VALUE"""),0.0)</f>
        <v>0</v>
      </c>
      <c r="J63" s="59">
        <f>IFERROR(__xludf.DUMMYFUNCTION("""COMPUTED_VALUE"""),8.0)</f>
        <v>8</v>
      </c>
      <c r="K63" s="51"/>
      <c r="L63" s="60">
        <f>IFERROR(__xludf.DUMMYFUNCTION("""COMPUTED_VALUE"""),8.0)</f>
        <v>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55">
        <f>IFERROR(__xludf.DUMMYFUNCTION("""COMPUTED_VALUE"""),5.8)</f>
        <v>5.8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IFERROR(__xludf.DUMMYFUNCTION("""COMPUTED_VALUE"""),8.8)</f>
        <v>8.8</v>
      </c>
      <c r="I64" s="65">
        <f>IFERROR(__xludf.DUMMYFUNCTION("""COMPUTED_VALUE"""),0.0)</f>
        <v>0</v>
      </c>
      <c r="J64" s="59">
        <f>IFERROR(__xludf.DUMMYFUNCTION("""COMPUTED_VALUE"""),9.0)</f>
        <v>9</v>
      </c>
      <c r="K64" s="51"/>
      <c r="L64" s="60">
        <f>IFERROR(__xludf.DUMMYFUNCTION("""COMPUTED_VALUE"""),9.0)</f>
        <v>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55">
        <f>IFERROR(__xludf.DUMMYFUNCTION("""COMPUTED_VALUE"""),3.4)</f>
        <v>3.4</v>
      </c>
      <c r="F65" s="55">
        <f>IFERROR(__xludf.DUMMYFUNCTION("""COMPUTED_VALUE"""),1.2)</f>
        <v>1.2</v>
      </c>
      <c r="G65" s="56"/>
      <c r="H65" s="57">
        <f>IFERROR(__xludf.DUMMYFUNCTION("""COMPUTED_VALUE"""),4.6)</f>
        <v>4.6</v>
      </c>
      <c r="I65" s="65">
        <f>IFERROR(__xludf.DUMMYFUNCTION("""COMPUTED_VALUE"""),0.0)</f>
        <v>0</v>
      </c>
      <c r="J65" s="59">
        <f>IFERROR(__xludf.DUMMYFUNCTION("""COMPUTED_VALUE"""),5.0)</f>
        <v>5</v>
      </c>
      <c r="K65" s="51"/>
      <c r="L65" s="60">
        <f>IFERROR(__xludf.DUMMYFUNCTION("""COMPUTED_VALUE"""),4.0)</f>
        <v>4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69"/>
      <c r="C66" s="69"/>
      <c r="D66" s="69"/>
      <c r="E66" s="70"/>
      <c r="F66" s="69"/>
      <c r="G66" s="69"/>
      <c r="H66" s="69"/>
      <c r="I66" s="69"/>
      <c r="J66" s="1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1"/>
      <c r="B67" s="72" t="str">
        <f>IFERROR(__xludf.DUMMYFUNCTION("""COMPUTED_VALUE"""),"No. DE ALUMNOS INSCRITOS")</f>
        <v>No. DE ALUMNOS INSCRITOS</v>
      </c>
      <c r="C67" s="73"/>
      <c r="D67" s="74">
        <f>IFERROR(__xludf.DUMMYFUNCTION("""COMPUTED_VALUE"""),49.0)</f>
        <v>49</v>
      </c>
      <c r="E67" s="69"/>
      <c r="F67" s="75" t="str">
        <f>IFERROR(__xludf.DUMMYFUNCTION("""COMPUTED_VALUE"""),"FIRMA DEL PROFESOR")</f>
        <v>FIRMA DEL PROFESOR</v>
      </c>
      <c r="G67" s="76"/>
      <c r="H67" s="75" t="str">
        <f>IFERROR(__xludf.DUMMYFUNCTION("""COMPUTED_VALUE"""),"FIRMA DEL ORIENTADOR")</f>
        <v>FIRMA DEL ORIENTADOR</v>
      </c>
      <c r="J67" s="77" t="str">
        <f>IFERROR(__xludf.DUMMYFUNCTION("""COMPUTED_VALUE"""),"Vo. Bo. SUBDIRECCIÓN ESCOLAR")</f>
        <v>Vo. Bo. SUBDIRECCIÓN ESCOLAR</v>
      </c>
      <c r="K67" s="78" t="str">
        <f>IFERROR(__xludf.DUMMYFUNCTION("""COMPUTED_VALUE"""),"REVISADO POR SECRETARIA ESCOLAR ")</f>
        <v>REVISADO POR SECRETARIA ESCOLAR 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1"/>
      <c r="B68" s="79" t="str">
        <f>IFERROR(__xludf.DUMMYFUNCTION("""COMPUTED_VALUE"""),"BAJAS DURANTE EL SEMESTRE")</f>
        <v>BAJAS DURANTE EL SEMESTRE</v>
      </c>
      <c r="C68" s="80"/>
      <c r="D68" s="81">
        <f>IFERROR(__xludf.DUMMYFUNCTION("""COMPUTED_VALUE"""),0.0)</f>
        <v>0</v>
      </c>
      <c r="E68" s="69"/>
      <c r="G68" s="76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1"/>
      <c r="B69" s="79" t="str">
        <f>IFERROR(__xludf.DUMMYFUNCTION("""COMPUTED_VALUE"""),"EXISTENCIA")</f>
        <v>EXISTENCIA</v>
      </c>
      <c r="C69" s="80"/>
      <c r="D69" s="87">
        <f>IFERROR(__xludf.DUMMYFUNCTION("""COMPUTED_VALUE"""),49.0)</f>
        <v>49</v>
      </c>
      <c r="E69" s="69"/>
      <c r="F69" s="83"/>
      <c r="G69" s="84"/>
      <c r="H69" s="83"/>
      <c r="I69" s="83"/>
      <c r="J69" s="85"/>
      <c r="K69" s="8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71"/>
      <c r="B70" s="79" t="str">
        <f>IFERROR(__xludf.DUMMYFUNCTION("""COMPUTED_VALUE"""),"No. DE ALUMNOS APROBADOS")</f>
        <v>No. DE ALUMNOS APROBADOS</v>
      </c>
      <c r="C70" s="80"/>
      <c r="D70" s="87">
        <f>IFERROR(__xludf.DUMMYFUNCTION("""COMPUTED_VALUE"""),45.0)</f>
        <v>45</v>
      </c>
      <c r="E70" s="69"/>
      <c r="F70" s="83"/>
      <c r="G70" s="84"/>
      <c r="H70" s="83"/>
      <c r="I70" s="83"/>
      <c r="J70" s="85"/>
      <c r="K70" s="8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1"/>
      <c r="B71" s="79" t="str">
        <f>IFERROR(__xludf.DUMMYFUNCTION("""COMPUTED_VALUE"""),"No. DE ALUMNOS REPROBADOS")</f>
        <v>No. DE ALUMNOS REPROBADOS</v>
      </c>
      <c r="C71" s="80"/>
      <c r="D71" s="87">
        <f>IFERROR(__xludf.DUMMYFUNCTION("""COMPUTED_VALUE"""),4.0)</f>
        <v>4</v>
      </c>
      <c r="E71" s="69"/>
      <c r="F71" s="88"/>
      <c r="G71" s="84"/>
      <c r="H71" s="88"/>
      <c r="I71" s="88"/>
      <c r="J71" s="89"/>
      <c r="K71" s="9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71"/>
      <c r="B72" s="91" t="str">
        <f>IFERROR(__xludf.DUMMYFUNCTION("""COMPUTED_VALUE"""),"% DE APROBADOS")</f>
        <v>% DE APROBADOS</v>
      </c>
      <c r="C72" s="80"/>
      <c r="D72" s="82">
        <f>IFERROR(__xludf.DUMMYFUNCTION("""COMPUTED_VALUE"""),91.83673469387755)</f>
        <v>91.83673469</v>
      </c>
      <c r="E72" s="69"/>
      <c r="F72" s="92" t="str">
        <f>IFERROR(__xludf.DUMMYFUNCTION("""COMPUTED_VALUE"""),"PROFR. ")</f>
        <v>PROFR. </v>
      </c>
      <c r="G72" s="93"/>
      <c r="H72" s="94" t="str">
        <f>IFERROR(__xludf.DUMMYFUNCTION("""COMPUTED_VALUE"""),"PROFRA. ANA ISABEL CORREA SALGADO")</f>
        <v>PROFRA. ANA ISABEL CORREA SALGADO</v>
      </c>
      <c r="J72" s="95" t="str">
        <f>IFERROR(__xludf.DUMMYFUNCTION("""COMPUTED_VALUE"""),"PROFR. OCTAVIO VÁZQUEZ BARRETO")</f>
        <v>PROFR. OCTAVIO VÁZQUEZ BARRETO</v>
      </c>
      <c r="K72" s="96" t="str">
        <f>IFERROR(__xludf.DUMMYFUNCTION("""COMPUTED_VALUE"""),"PROFR. ROBERTO PALOMARES MEJÍA ")</f>
        <v>PROFR. ROBERTO PALOMARES MEJÍA </v>
      </c>
      <c r="L72" s="9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98" t="str">
        <f>IFERROR(__xludf.DUMMYFUNCTION("""COMPUTED_VALUE"""),"PROMEDIO")</f>
        <v>PROMEDIO</v>
      </c>
      <c r="C73" s="99"/>
      <c r="D73" s="100">
        <f>IFERROR(__xludf.DUMMYFUNCTION("""COMPUTED_VALUE"""),7.673469387755102)</f>
        <v>7.673469388</v>
      </c>
      <c r="E73" s="69"/>
      <c r="G73" s="93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6"/>
      <c r="B74" s="1"/>
      <c r="C74" s="1"/>
      <c r="D74" s="1"/>
      <c r="E74" s="1"/>
      <c r="F74" s="1"/>
      <c r="G74" s="1"/>
      <c r="H74" s="1"/>
      <c r="I74" s="1"/>
      <c r="J74" s="1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3"/>
      <c r="D75" s="103"/>
      <c r="E75" s="69"/>
      <c r="G75" s="7"/>
      <c r="H75" s="7"/>
      <c r="I75" s="7"/>
      <c r="J75" s="7"/>
      <c r="K75" s="104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69"/>
      <c r="C76" s="69"/>
      <c r="D76" s="69"/>
      <c r="E76" s="7"/>
      <c r="F76" s="1"/>
      <c r="G76" s="1"/>
      <c r="H76" s="1"/>
      <c r="I76" s="1"/>
      <c r="J76" s="1"/>
      <c r="K76" s="8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06"/>
      <c r="B77" s="69"/>
      <c r="C77" s="69"/>
      <c r="D77" s="69"/>
      <c r="E77" s="7"/>
      <c r="F77" s="1"/>
      <c r="G77" s="1"/>
      <c r="H77" s="1"/>
      <c r="I77" s="1"/>
      <c r="J77" s="1"/>
      <c r="K77" s="8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08"/>
      <c r="B78" s="109"/>
      <c r="C78" s="109"/>
      <c r="D78" s="109"/>
      <c r="E78" s="110"/>
      <c r="F78" s="111"/>
      <c r="G78" s="111"/>
      <c r="H78" s="111"/>
      <c r="I78" s="111"/>
      <c r="J78" s="111"/>
      <c r="K78" s="112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3"/>
      <c r="C79" s="113"/>
      <c r="D79" s="113"/>
      <c r="E79" s="113"/>
      <c r="F79" s="1"/>
      <c r="G79" s="1"/>
      <c r="H79" s="1"/>
      <c r="I79" s="1"/>
      <c r="J79" s="114"/>
      <c r="K79" s="114"/>
      <c r="L79" s="1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3"/>
      <c r="C80" s="113"/>
      <c r="D80" s="113"/>
      <c r="E80" s="113"/>
      <c r="F80" s="1"/>
      <c r="G80" s="1"/>
      <c r="H80" s="1"/>
      <c r="I80" s="1"/>
      <c r="J80" s="114"/>
      <c r="K80" s="114"/>
      <c r="L80" s="1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3"/>
      <c r="C81" s="113"/>
      <c r="D81" s="113"/>
      <c r="E81" s="113"/>
      <c r="F81" s="1"/>
      <c r="G81" s="1"/>
      <c r="H81" s="1"/>
      <c r="I81" s="1"/>
      <c r="J81" s="114"/>
      <c r="K81" s="114"/>
      <c r="L81" s="1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3"/>
      <c r="C82" s="113"/>
      <c r="D82" s="113"/>
      <c r="E82" s="113"/>
      <c r="F82" s="1"/>
      <c r="G82" s="1"/>
      <c r="H82" s="1"/>
      <c r="I82" s="1"/>
      <c r="J82" s="114"/>
      <c r="K82" s="114"/>
      <c r="L82" s="1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3"/>
      <c r="C83" s="113"/>
      <c r="D83" s="113"/>
      <c r="E83" s="11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3"/>
      <c r="C84" s="113"/>
      <c r="D84" s="113"/>
      <c r="E84" s="113"/>
      <c r="F84" s="1"/>
      <c r="G84" s="1"/>
      <c r="H84" s="1"/>
      <c r="I84" s="1"/>
      <c r="J84" s="1"/>
      <c r="K84" s="1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3"/>
      <c r="C85" s="113"/>
      <c r="D85" s="113"/>
      <c r="E85" s="1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3"/>
      <c r="C86" s="113"/>
      <c r="D86" s="113"/>
      <c r="E86" s="11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3"/>
      <c r="C87" s="113"/>
      <c r="D87" s="113"/>
      <c r="E87" s="11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3"/>
      <c r="C88" s="113"/>
      <c r="D88" s="113"/>
      <c r="E88" s="11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3"/>
      <c r="C89" s="113"/>
      <c r="D89" s="113"/>
      <c r="E89" s="11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3"/>
      <c r="C90" s="113"/>
      <c r="D90" s="113"/>
      <c r="E90" s="1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IFERROR(__xludf.DUMMYFUNCTION("IMPORTRANGE(""https://docs.google.com/spreadsheets/d/18XH-tWyTO3gH42Gvu54gWEYK7bDv4GEIXeZqjlgKESU/edit?gid=868681460#gid=868681460"",""2-2 espacio y sociedad!a1:q86"")"),"")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IFERROR(__xludf.DUMMYFUNCTION("""COMPUTED_VALUE"""),"JOSÉ MARTIN MONROY MARTÍNEZ")</f>
        <v>JOSÉ MARTIN MONROY MARTÍNEZ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IFERROR(__xludf.DUMMYFUNCTION("""COMPUTED_VALUE"""),"ESPACIO Y SOCIEDAD")</f>
        <v>ESPACIO Y SOCIEDAD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55">
        <f>IFERROR(__xludf.DUMMYFUNCTION("""COMPUTED_VALUE"""),6.9)</f>
        <v>6.9</v>
      </c>
      <c r="F17" s="55">
        <f>IFERROR(__xludf.DUMMYFUNCTION("""COMPUTED_VALUE"""),2.0)</f>
        <v>2</v>
      </c>
      <c r="G17" s="56">
        <f>IFERROR(__xludf.DUMMYFUNCTION("""COMPUTED_VALUE"""),1.0)</f>
        <v>1</v>
      </c>
      <c r="H17" s="57">
        <f>IFERROR(__xludf.DUMMYFUNCTION("""COMPUTED_VALUE"""),9.9)</f>
        <v>9.9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55">
        <f>IFERROR(__xludf.DUMMYFUNCTION("""COMPUTED_VALUE"""),6.7)</f>
        <v>6.7</v>
      </c>
      <c r="F18" s="55">
        <f>IFERROR(__xludf.DUMMYFUNCTION("""COMPUTED_VALUE"""),2.0)</f>
        <v>2</v>
      </c>
      <c r="G18" s="56">
        <f>IFERROR(__xludf.DUMMYFUNCTION("""COMPUTED_VALUE"""),1.0)</f>
        <v>1</v>
      </c>
      <c r="H18" s="57">
        <f>IFERROR(__xludf.DUMMYFUNCTION("""COMPUTED_VALUE"""),9.7)</f>
        <v>9.7</v>
      </c>
      <c r="I18" s="58">
        <f>IFERROR(__xludf.DUMMYFUNCTION("""COMPUTED_VALUE"""),0.0)</f>
        <v>0</v>
      </c>
      <c r="J18" s="59">
        <f>IFERROR(__xludf.DUMMYFUNCTION("""COMPUTED_VALUE"""),10.0)</f>
        <v>10</v>
      </c>
      <c r="K18" s="51"/>
      <c r="L18" s="61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56">
        <f>IFERROR(__xludf.DUMMYFUNCTION("""COMPUTED_VALUE"""),7.5)</f>
        <v>7.5</v>
      </c>
      <c r="F19" s="55">
        <f>IFERROR(__xludf.DUMMYFUNCTION("""COMPUTED_VALUE"""),2.0)</f>
        <v>2</v>
      </c>
      <c r="G19" s="56"/>
      <c r="H19" s="57">
        <f>IFERROR(__xludf.DUMMYFUNCTION("""COMPUTED_VALUE"""),9.5)</f>
        <v>9.5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55">
        <f>IFERROR(__xludf.DUMMYFUNCTION("""COMPUTED_VALUE"""),5.1)</f>
        <v>5.1</v>
      </c>
      <c r="F20" s="55">
        <f>IFERROR(__xludf.DUMMYFUNCTION("""COMPUTED_VALUE"""),2.0)</f>
        <v>2</v>
      </c>
      <c r="G20" s="56"/>
      <c r="H20" s="57">
        <f>IFERROR(__xludf.DUMMYFUNCTION("""COMPUTED_VALUE"""),7.1)</f>
        <v>7.1</v>
      </c>
      <c r="I20" s="58">
        <f>IFERROR(__xludf.DUMMYFUNCTION("""COMPUTED_VALUE"""),0.0)</f>
        <v>0</v>
      </c>
      <c r="J20" s="59">
        <f>IFERROR(__xludf.DUMMYFUNCTION("""COMPUTED_VALUE"""),7.0)</f>
        <v>7</v>
      </c>
      <c r="K20" s="51"/>
      <c r="L20" s="61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55">
        <f>IFERROR(__xludf.DUMMYFUNCTION("""COMPUTED_VALUE"""),7.5)</f>
        <v>7.5</v>
      </c>
      <c r="F21" s="55">
        <f>IFERROR(__xludf.DUMMYFUNCTION("""COMPUTED_VALUE"""),2.0)</f>
        <v>2</v>
      </c>
      <c r="G21" s="56"/>
      <c r="H21" s="57">
        <f>IFERROR(__xludf.DUMMYFUNCTION("""COMPUTED_VALUE"""),9.5)</f>
        <v>9.5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55">
        <f>IFERROR(__xludf.DUMMYFUNCTION("""COMPUTED_VALUE"""),6.6)</f>
        <v>6.6</v>
      </c>
      <c r="F22" s="55">
        <f>IFERROR(__xludf.DUMMYFUNCTION("""COMPUTED_VALUE"""),2.0)</f>
        <v>2</v>
      </c>
      <c r="G22" s="56"/>
      <c r="H22" s="57">
        <f>IFERROR(__xludf.DUMMYFUNCTION("""COMPUTED_VALUE"""),8.6)</f>
        <v>8.6</v>
      </c>
      <c r="I22" s="58">
        <f>IFERROR(__xludf.DUMMYFUNCTION("""COMPUTED_VALUE"""),0.0)</f>
        <v>0</v>
      </c>
      <c r="J22" s="59">
        <f>IFERROR(__xludf.DUMMYFUNCTION("""COMPUTED_VALUE"""),9.0)</f>
        <v>9</v>
      </c>
      <c r="K22" s="51"/>
      <c r="L22" s="61">
        <f>IFERROR(__xludf.DUMMYFUNCTION("""COMPUTED_VALUE"""),9.0)</f>
        <v>9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55">
        <f>IFERROR(__xludf.DUMMYFUNCTION("""COMPUTED_VALUE"""),7.8)</f>
        <v>7.8</v>
      </c>
      <c r="F23" s="55">
        <f>IFERROR(__xludf.DUMMYFUNCTION("""COMPUTED_VALUE"""),2.0)</f>
        <v>2</v>
      </c>
      <c r="G23" s="56">
        <f>IFERROR(__xludf.DUMMYFUNCTION("""COMPUTED_VALUE"""),1.0)</f>
        <v>1</v>
      </c>
      <c r="H23" s="57">
        <f>IFERROR(__xludf.DUMMYFUNCTION("""COMPUTED_VALUE"""),10.8)</f>
        <v>10.8</v>
      </c>
      <c r="I23" s="58">
        <f>IFERROR(__xludf.DUMMYFUNCTION("""COMPUTED_VALUE"""),0.0)</f>
        <v>0</v>
      </c>
      <c r="J23" s="59">
        <f>IFERROR(__xludf.DUMMYFUNCTION("""COMPUTED_VALUE"""),10.0)</f>
        <v>10</v>
      </c>
      <c r="K23" s="51"/>
      <c r="L23" s="61">
        <f>IFERROR(__xludf.DUMMYFUNCTION("""COMPUTED_VALUE"""),11.0)</f>
        <v>11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56">
        <f>IFERROR(__xludf.DUMMYFUNCTION("""COMPUTED_VALUE"""),7.3)</f>
        <v>7.3</v>
      </c>
      <c r="F24" s="55">
        <f>IFERROR(__xludf.DUMMYFUNCTION("""COMPUTED_VALUE"""),2.0)</f>
        <v>2</v>
      </c>
      <c r="G24" s="56"/>
      <c r="H24" s="57">
        <f>IFERROR(__xludf.DUMMYFUNCTION("""COMPUTED_VALUE"""),9.3)</f>
        <v>9.3</v>
      </c>
      <c r="I24" s="58">
        <f>IFERROR(__xludf.DUMMYFUNCTION("""COMPUTED_VALUE"""),0.0)</f>
        <v>0</v>
      </c>
      <c r="J24" s="59">
        <f>IFERROR(__xludf.DUMMYFUNCTION("""COMPUTED_VALUE"""),9.0)</f>
        <v>9</v>
      </c>
      <c r="K24" s="51"/>
      <c r="L24" s="61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IFERROR(__xludf.DUMMYFUNCTION("""COMPUTED_VALUE"""),21.0)</f>
        <v>21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55">
        <f>IFERROR(__xludf.DUMMYFUNCTION("""COMPUTED_VALUE"""),5.9)</f>
        <v>5.9</v>
      </c>
      <c r="F25" s="55">
        <f>IFERROR(__xludf.DUMMYFUNCTION("""COMPUTED_VALUE"""),2.0)</f>
        <v>2</v>
      </c>
      <c r="G25" s="56">
        <f>IFERROR(__xludf.DUMMYFUNCTION("""COMPUTED_VALUE"""),1.0)</f>
        <v>1</v>
      </c>
      <c r="H25" s="57">
        <f>IFERROR(__xludf.DUMMYFUNCTION("""COMPUTED_VALUE"""),8.9)</f>
        <v>8.9</v>
      </c>
      <c r="I25" s="58">
        <f>IFERROR(__xludf.DUMMYFUNCTION("""COMPUTED_VALUE"""),0.0)</f>
        <v>0</v>
      </c>
      <c r="J25" s="59">
        <f>IFERROR(__xludf.DUMMYFUNCTION("""COMPUTED_VALUE"""),9.0)</f>
        <v>9</v>
      </c>
      <c r="K25" s="51"/>
      <c r="L25" s="61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56">
        <f>IFERROR(__xludf.DUMMYFUNCTION("""COMPUTED_VALUE"""),5.7)</f>
        <v>5.7</v>
      </c>
      <c r="F26" s="55">
        <f>IFERROR(__xludf.DUMMYFUNCTION("""COMPUTED_VALUE"""),0.7)</f>
        <v>0.7</v>
      </c>
      <c r="G26" s="56"/>
      <c r="H26" s="57">
        <f>IFERROR(__xludf.DUMMYFUNCTION("""COMPUTED_VALUE"""),6.4)</f>
        <v>6.4</v>
      </c>
      <c r="I26" s="58">
        <f>IFERROR(__xludf.DUMMYFUNCTION("""COMPUTED_VALUE"""),0.0)</f>
        <v>0</v>
      </c>
      <c r="J26" s="59">
        <f>IFERROR(__xludf.DUMMYFUNCTION("""COMPUTED_VALUE"""),6.0)</f>
        <v>6</v>
      </c>
      <c r="K26" s="51"/>
      <c r="L26" s="61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55">
        <f>IFERROR(__xludf.DUMMYFUNCTION("""COMPUTED_VALUE"""),6.8)</f>
        <v>6.8</v>
      </c>
      <c r="F27" s="55">
        <f>IFERROR(__xludf.DUMMYFUNCTION("""COMPUTED_VALUE"""),2.0)</f>
        <v>2</v>
      </c>
      <c r="G27" s="56">
        <f>IFERROR(__xludf.DUMMYFUNCTION("""COMPUTED_VALUE"""),1.0)</f>
        <v>1</v>
      </c>
      <c r="H27" s="57">
        <f>IFERROR(__xludf.DUMMYFUNCTION("""COMPUTED_VALUE"""),9.8)</f>
        <v>9.8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55">
        <f>IFERROR(__xludf.DUMMYFUNCTION("""COMPUTED_VALUE"""),7.0)</f>
        <v>7</v>
      </c>
      <c r="F28" s="55">
        <f>IFERROR(__xludf.DUMMYFUNCTION("""COMPUTED_VALUE"""),2.0)</f>
        <v>2</v>
      </c>
      <c r="G28" s="56"/>
      <c r="H28" s="57">
        <f>IFERROR(__xludf.DUMMYFUNCTION("""COMPUTED_VALUE"""),9.0)</f>
        <v>9</v>
      </c>
      <c r="I28" s="58">
        <f>IFERROR(__xludf.DUMMYFUNCTION("""COMPUTED_VALUE"""),0.0)</f>
        <v>0</v>
      </c>
      <c r="J28" s="59">
        <f>IFERROR(__xludf.DUMMYFUNCTION("""COMPUTED_VALUE"""),9.0)</f>
        <v>9</v>
      </c>
      <c r="K28" s="51"/>
      <c r="L28" s="61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55">
        <f>IFERROR(__xludf.DUMMYFUNCTION("""COMPUTED_VALUE"""),7.3)</f>
        <v>7.3</v>
      </c>
      <c r="F29" s="55">
        <f>IFERROR(__xludf.DUMMYFUNCTION("""COMPUTED_VALUE"""),2.0)</f>
        <v>2</v>
      </c>
      <c r="G29" s="56"/>
      <c r="H29" s="57">
        <f>IFERROR(__xludf.DUMMYFUNCTION("""COMPUTED_VALUE"""),9.3)</f>
        <v>9.3</v>
      </c>
      <c r="I29" s="58">
        <f>IFERROR(__xludf.DUMMYFUNCTION("""COMPUTED_VALUE"""),0.0)</f>
        <v>0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56">
        <f>IFERROR(__xludf.DUMMYFUNCTION("""COMPUTED_VALUE"""),7.6)</f>
        <v>7.6</v>
      </c>
      <c r="F30" s="55">
        <f>IFERROR(__xludf.DUMMYFUNCTION("""COMPUTED_VALUE"""),2.0)</f>
        <v>2</v>
      </c>
      <c r="G30" s="56"/>
      <c r="H30" s="57">
        <f>IFERROR(__xludf.DUMMYFUNCTION("""COMPUTED_VALUE"""),9.6)</f>
        <v>9.6</v>
      </c>
      <c r="I30" s="58">
        <f>IFERROR(__xludf.DUMMYFUNCTION("""COMPUTED_VALUE"""),0.0)</f>
        <v>0</v>
      </c>
      <c r="J30" s="59">
        <f>IFERROR(__xludf.DUMMYFUNCTION("""COMPUTED_VALUE"""),10.0)</f>
        <v>10</v>
      </c>
      <c r="K30" s="51"/>
      <c r="L30" s="61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56">
        <f>IFERROR(__xludf.DUMMYFUNCTION("""COMPUTED_VALUE"""),6.3)</f>
        <v>6.3</v>
      </c>
      <c r="F31" s="55">
        <f>IFERROR(__xludf.DUMMYFUNCTION("""COMPUTED_VALUE"""),2.0)</f>
        <v>2</v>
      </c>
      <c r="G31" s="56"/>
      <c r="H31" s="57">
        <f>IFERROR(__xludf.DUMMYFUNCTION("""COMPUTED_VALUE"""),8.3)</f>
        <v>8.3</v>
      </c>
      <c r="I31" s="58">
        <f>IFERROR(__xludf.DUMMYFUNCTION("""COMPUTED_VALUE"""),0.0)</f>
        <v>0</v>
      </c>
      <c r="J31" s="59">
        <f>IFERROR(__xludf.DUMMYFUNCTION("""COMPUTED_VALUE"""),8.0)</f>
        <v>8</v>
      </c>
      <c r="K31" s="51"/>
      <c r="L31" s="61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55">
        <f>IFERROR(__xludf.DUMMYFUNCTION("""COMPUTED_VALUE"""),7.5)</f>
        <v>7.5</v>
      </c>
      <c r="F32" s="55">
        <f>IFERROR(__xludf.DUMMYFUNCTION("""COMPUTED_VALUE"""),2.0)</f>
        <v>2</v>
      </c>
      <c r="G32" s="56">
        <f>IFERROR(__xludf.DUMMYFUNCTION("""COMPUTED_VALUE"""),1.0)</f>
        <v>1</v>
      </c>
      <c r="H32" s="57">
        <f>IFERROR(__xludf.DUMMYFUNCTION("""COMPUTED_VALUE"""),10.5)</f>
        <v>10.5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IFERROR(__xludf.DUMMYFUNCTION("""COMPUTED_VALUE"""),11.0)</f>
        <v>11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55">
        <f>IFERROR(__xludf.DUMMYFUNCTION("""COMPUTED_VALUE"""),5.7)</f>
        <v>5.7</v>
      </c>
      <c r="F33" s="55">
        <f>IFERROR(__xludf.DUMMYFUNCTION("""COMPUTED_VALUE"""),2.0)</f>
        <v>2</v>
      </c>
      <c r="G33" s="56"/>
      <c r="H33" s="57">
        <f>IFERROR(__xludf.DUMMYFUNCTION("""COMPUTED_VALUE"""),7.7)</f>
        <v>7.7</v>
      </c>
      <c r="I33" s="58">
        <f>IFERROR(__xludf.DUMMYFUNCTION("""COMPUTED_VALUE"""),0.0)</f>
        <v>0</v>
      </c>
      <c r="J33" s="59">
        <f>IFERROR(__xludf.DUMMYFUNCTION("""COMPUTED_VALUE"""),8.0)</f>
        <v>8</v>
      </c>
      <c r="K33" s="51"/>
      <c r="L33" s="61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56">
        <f>IFERROR(__xludf.DUMMYFUNCTION("""COMPUTED_VALUE"""),7.8)</f>
        <v>7.8</v>
      </c>
      <c r="F34" s="55">
        <f>IFERROR(__xludf.DUMMYFUNCTION("""COMPUTED_VALUE"""),2.0)</f>
        <v>2</v>
      </c>
      <c r="G34" s="56">
        <f>IFERROR(__xludf.DUMMYFUNCTION("""COMPUTED_VALUE"""),1.0)</f>
        <v>1</v>
      </c>
      <c r="H34" s="57">
        <f>IFERROR(__xludf.DUMMYFUNCTION("""COMPUTED_VALUE"""),10.8)</f>
        <v>10.8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IFERROR(__xludf.DUMMYFUNCTION("""COMPUTED_VALUE"""),11.0)</f>
        <v>11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55">
        <f>IFERROR(__xludf.DUMMYFUNCTION("""COMPUTED_VALUE"""),7.7)</f>
        <v>7.7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IFERROR(__xludf.DUMMYFUNCTION("""COMPUTED_VALUE"""),10.7)</f>
        <v>10.7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IFERROR(__xludf.DUMMYFUNCTION("""COMPUTED_VALUE"""),11.0)</f>
        <v>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55">
        <f>IFERROR(__xludf.DUMMYFUNCTION("""COMPUTED_VALUE"""),7.9)</f>
        <v>7.9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IFERROR(__xludf.DUMMYFUNCTION("""COMPUTED_VALUE"""),10.9)</f>
        <v>10.9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56">
        <f>IFERROR(__xludf.DUMMYFUNCTION("""COMPUTED_VALUE"""),1.7)</f>
        <v>1.7</v>
      </c>
      <c r="F37" s="55">
        <f>IFERROR(__xludf.DUMMYFUNCTION("""COMPUTED_VALUE"""),0.7)</f>
        <v>0.7</v>
      </c>
      <c r="G37" s="56"/>
      <c r="H37" s="57">
        <f>IFERROR(__xludf.DUMMYFUNCTION("""COMPUTED_VALUE"""),2.4)</f>
        <v>2.4</v>
      </c>
      <c r="I37" s="58">
        <f>IFERROR(__xludf.DUMMYFUNCTION("""COMPUTED_VALUE"""),0.0)</f>
        <v>0</v>
      </c>
      <c r="J37" s="59">
        <f>IFERROR(__xludf.DUMMYFUNCTION("""COMPUTED_VALUE"""),5.0)</f>
        <v>5</v>
      </c>
      <c r="K37" s="51"/>
      <c r="L37" s="61">
        <f>IFERROR(__xludf.DUMMYFUNCTION("""COMPUTED_VALUE"""),2.0)</f>
        <v>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55">
        <f>IFERROR(__xludf.DUMMYFUNCTION("""COMPUTED_VALUE"""),7.3)</f>
        <v>7.3</v>
      </c>
      <c r="F38" s="55">
        <f>IFERROR(__xludf.DUMMYFUNCTION("""COMPUTED_VALUE"""),2.0)</f>
        <v>2</v>
      </c>
      <c r="G38" s="56">
        <f>IFERROR(__xludf.DUMMYFUNCTION("""COMPUTED_VALUE"""),1.0)</f>
        <v>1</v>
      </c>
      <c r="H38" s="57">
        <f>IFERROR(__xludf.DUMMYFUNCTION("""COMPUTED_VALUE"""),10.3)</f>
        <v>10.3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55">
        <f>IFERROR(__xludf.DUMMYFUNCTION("""COMPUTED_VALUE"""),7.8)</f>
        <v>7.8</v>
      </c>
      <c r="F39" s="55">
        <f>IFERROR(__xludf.DUMMYFUNCTION("""COMPUTED_VALUE"""),2.0)</f>
        <v>2</v>
      </c>
      <c r="G39" s="56"/>
      <c r="H39" s="57">
        <f>IFERROR(__xludf.DUMMYFUNCTION("""COMPUTED_VALUE"""),9.8)</f>
        <v>9.8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55">
        <f>IFERROR(__xludf.DUMMYFUNCTION("""COMPUTED_VALUE"""),7.6)</f>
        <v>7.6</v>
      </c>
      <c r="F40" s="55">
        <f>IFERROR(__xludf.DUMMYFUNCTION("""COMPUTED_VALUE"""),2.0)</f>
        <v>2</v>
      </c>
      <c r="G40" s="56">
        <f>IFERROR(__xludf.DUMMYFUNCTION("""COMPUTED_VALUE"""),1.0)</f>
        <v>1</v>
      </c>
      <c r="H40" s="57">
        <f>IFERROR(__xludf.DUMMYFUNCTION("""COMPUTED_VALUE"""),10.6)</f>
        <v>10.6</v>
      </c>
      <c r="I40" s="58">
        <f>IFERROR(__xludf.DUMMYFUNCTION("""COMPUTED_VALUE"""),0.0)</f>
        <v>0</v>
      </c>
      <c r="J40" s="59">
        <f>IFERROR(__xludf.DUMMYFUNCTION("""COMPUTED_VALUE"""),10.0)</f>
        <v>10</v>
      </c>
      <c r="K40" s="51"/>
      <c r="L40" s="61">
        <f>IFERROR(__xludf.DUMMYFUNCTION("""COMPUTED_VALUE"""),11.0)</f>
        <v>11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55">
        <f>IFERROR(__xludf.DUMMYFUNCTION("""COMPUTED_VALUE"""),4.1)</f>
        <v>4.1</v>
      </c>
      <c r="F41" s="55">
        <f>IFERROR(__xludf.DUMMYFUNCTION("""COMPUTED_VALUE"""),2.0)</f>
        <v>2</v>
      </c>
      <c r="G41" s="56">
        <f>IFERROR(__xludf.DUMMYFUNCTION("""COMPUTED_VALUE"""),1.0)</f>
        <v>1</v>
      </c>
      <c r="H41" s="57">
        <f>IFERROR(__xludf.DUMMYFUNCTION("""COMPUTED_VALUE"""),7.1)</f>
        <v>7.1</v>
      </c>
      <c r="I41" s="58">
        <f>IFERROR(__xludf.DUMMYFUNCTION("""COMPUTED_VALUE"""),0.0)</f>
        <v>0</v>
      </c>
      <c r="J41" s="59">
        <f>IFERROR(__xludf.DUMMYFUNCTION("""COMPUTED_VALUE"""),7.0)</f>
        <v>7</v>
      </c>
      <c r="K41" s="51"/>
      <c r="L41" s="61">
        <f>IFERROR(__xludf.DUMMYFUNCTION("""COMPUTED_VALUE"""),7.0)</f>
        <v>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55">
        <f>IFERROR(__xludf.DUMMYFUNCTION("""COMPUTED_VALUE"""),7.7)</f>
        <v>7.7</v>
      </c>
      <c r="F42" s="55">
        <f>IFERROR(__xludf.DUMMYFUNCTION("""COMPUTED_VALUE"""),2.0)</f>
        <v>2</v>
      </c>
      <c r="G42" s="56">
        <f>IFERROR(__xludf.DUMMYFUNCTION("""COMPUTED_VALUE"""),1.0)</f>
        <v>1</v>
      </c>
      <c r="H42" s="57">
        <f>IFERROR(__xludf.DUMMYFUNCTION("""COMPUTED_VALUE"""),10.7)</f>
        <v>10.7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IFERROR(__xludf.DUMMYFUNCTION("""COMPUTED_VALUE"""),11.0)</f>
        <v>11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55">
        <f>IFERROR(__xludf.DUMMYFUNCTION("""COMPUTED_VALUE"""),6.5)</f>
        <v>6.5</v>
      </c>
      <c r="F43" s="55">
        <f>IFERROR(__xludf.DUMMYFUNCTION("""COMPUTED_VALUE"""),2.0)</f>
        <v>2</v>
      </c>
      <c r="G43" s="56">
        <f>IFERROR(__xludf.DUMMYFUNCTION("""COMPUTED_VALUE"""),1.0)</f>
        <v>1</v>
      </c>
      <c r="H43" s="57">
        <f>IFERROR(__xludf.DUMMYFUNCTION("""COMPUTED_VALUE"""),9.5)</f>
        <v>9.5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55">
        <f>IFERROR(__xludf.DUMMYFUNCTION("""COMPUTED_VALUE"""),7.1)</f>
        <v>7.1</v>
      </c>
      <c r="F44" s="55">
        <f>IFERROR(__xludf.DUMMYFUNCTION("""COMPUTED_VALUE"""),2.0)</f>
        <v>2</v>
      </c>
      <c r="G44" s="56">
        <f>IFERROR(__xludf.DUMMYFUNCTION("""COMPUTED_VALUE"""),1.0)</f>
        <v>1</v>
      </c>
      <c r="H44" s="57">
        <f>IFERROR(__xludf.DUMMYFUNCTION("""COMPUTED_VALUE"""),10.1)</f>
        <v>10.1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55">
        <f>IFERROR(__xludf.DUMMYFUNCTION("""COMPUTED_VALUE"""),7.1)</f>
        <v>7.1</v>
      </c>
      <c r="F45" s="55">
        <f>IFERROR(__xludf.DUMMYFUNCTION("""COMPUTED_VALUE"""),2.0)</f>
        <v>2</v>
      </c>
      <c r="G45" s="56"/>
      <c r="H45" s="57">
        <f>IFERROR(__xludf.DUMMYFUNCTION("""COMPUTED_VALUE"""),9.1)</f>
        <v>9.1</v>
      </c>
      <c r="I45" s="58">
        <f>IFERROR(__xludf.DUMMYFUNCTION("""COMPUTED_VALUE"""),0.0)</f>
        <v>0</v>
      </c>
      <c r="J45" s="59">
        <f>IFERROR(__xludf.DUMMYFUNCTION("""COMPUTED_VALUE"""),9.0)</f>
        <v>9</v>
      </c>
      <c r="K45" s="51"/>
      <c r="L45" s="61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55">
        <f>IFERROR(__xludf.DUMMYFUNCTION("""COMPUTED_VALUE"""),7.6)</f>
        <v>7.6</v>
      </c>
      <c r="F46" s="55">
        <f>IFERROR(__xludf.DUMMYFUNCTION("""COMPUTED_VALUE"""),2.0)</f>
        <v>2</v>
      </c>
      <c r="G46" s="56">
        <f>IFERROR(__xludf.DUMMYFUNCTION("""COMPUTED_VALUE"""),1.0)</f>
        <v>1</v>
      </c>
      <c r="H46" s="57">
        <f>IFERROR(__xludf.DUMMYFUNCTION("""COMPUTED_VALUE"""),10.6)</f>
        <v>10.6</v>
      </c>
      <c r="I46" s="58">
        <f>IFERROR(__xludf.DUMMYFUNCTION("""COMPUTED_VALUE"""),0.0)</f>
        <v>0</v>
      </c>
      <c r="J46" s="59">
        <f>IFERROR(__xludf.DUMMYFUNCTION("""COMPUTED_VALUE"""),10.0)</f>
        <v>10</v>
      </c>
      <c r="K46" s="51"/>
      <c r="L46" s="61">
        <f>IFERROR(__xludf.DUMMYFUNCTION("""COMPUTED_VALUE"""),11.0)</f>
        <v>11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55">
        <f>IFERROR(__xludf.DUMMYFUNCTION("""COMPUTED_VALUE"""),1.5)</f>
        <v>1.5</v>
      </c>
      <c r="F47" s="55">
        <f>IFERROR(__xludf.DUMMYFUNCTION("""COMPUTED_VALUE"""),0.7)</f>
        <v>0.7</v>
      </c>
      <c r="G47" s="56"/>
      <c r="H47" s="57">
        <f>IFERROR(__xludf.DUMMYFUNCTION("""COMPUTED_VALUE"""),2.2)</f>
        <v>2.2</v>
      </c>
      <c r="I47" s="58">
        <f>IFERROR(__xludf.DUMMYFUNCTION("""COMPUTED_VALUE"""),0.0)</f>
        <v>0</v>
      </c>
      <c r="J47" s="59">
        <f>IFERROR(__xludf.DUMMYFUNCTION("""COMPUTED_VALUE"""),5.0)</f>
        <v>5</v>
      </c>
      <c r="K47" s="51"/>
      <c r="L47" s="61">
        <f>IFERROR(__xludf.DUMMYFUNCTION("""COMPUTED_VALUE"""),2.0)</f>
        <v>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55">
        <f>IFERROR(__xludf.DUMMYFUNCTION("""COMPUTED_VALUE"""),7.7)</f>
        <v>7.7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IFERROR(__xludf.DUMMYFUNCTION("""COMPUTED_VALUE"""),10.7)</f>
        <v>10.7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IFERROR(__xludf.DUMMYFUNCTION("""COMPUTED_VALUE"""),11.0)</f>
        <v>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55">
        <f>IFERROR(__xludf.DUMMYFUNCTION("""COMPUTED_VALUE"""),6.1)</f>
        <v>6.1</v>
      </c>
      <c r="F49" s="55">
        <f>IFERROR(__xludf.DUMMYFUNCTION("""COMPUTED_VALUE"""),0.7)</f>
        <v>0.7</v>
      </c>
      <c r="G49" s="56">
        <f>IFERROR(__xludf.DUMMYFUNCTION("""COMPUTED_VALUE"""),1.0)</f>
        <v>1</v>
      </c>
      <c r="H49" s="57">
        <f>IFERROR(__xludf.DUMMYFUNCTION("""COMPUTED_VALUE"""),7.8)</f>
        <v>7.8</v>
      </c>
      <c r="I49" s="58">
        <f>IFERROR(__xludf.DUMMYFUNCTION("""COMPUTED_VALUE"""),0.0)</f>
        <v>0</v>
      </c>
      <c r="J49" s="59">
        <f>IFERROR(__xludf.DUMMYFUNCTION("""COMPUTED_VALUE"""),8.0)</f>
        <v>8</v>
      </c>
      <c r="K49" s="51"/>
      <c r="L49" s="61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55">
        <f>IFERROR(__xludf.DUMMYFUNCTION("""COMPUTED_VALUE"""),7.7)</f>
        <v>7.7</v>
      </c>
      <c r="F50" s="55">
        <f>IFERROR(__xludf.DUMMYFUNCTION("""COMPUTED_VALUE"""),2.0)</f>
        <v>2</v>
      </c>
      <c r="G50" s="56">
        <f>IFERROR(__xludf.DUMMYFUNCTION("""COMPUTED_VALUE"""),1.0)</f>
        <v>1</v>
      </c>
      <c r="H50" s="57">
        <f>IFERROR(__xludf.DUMMYFUNCTION("""COMPUTED_VALUE"""),10.7)</f>
        <v>10.7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IFERROR(__xludf.DUMMYFUNCTION("""COMPUTED_VALUE"""),11.0)</f>
        <v>11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55">
        <f>IFERROR(__xludf.DUMMYFUNCTION("""COMPUTED_VALUE"""),4.0)</f>
        <v>4</v>
      </c>
      <c r="F51" s="55">
        <f>IFERROR(__xludf.DUMMYFUNCTION("""COMPUTED_VALUE"""),2.0)</f>
        <v>2</v>
      </c>
      <c r="G51" s="56">
        <f>IFERROR(__xludf.DUMMYFUNCTION("""COMPUTED_VALUE"""),1.0)</f>
        <v>1</v>
      </c>
      <c r="H51" s="57">
        <f>IFERROR(__xludf.DUMMYFUNCTION("""COMPUTED_VALUE"""),7.0)</f>
        <v>7</v>
      </c>
      <c r="I51" s="58">
        <f>IFERROR(__xludf.DUMMYFUNCTION("""COMPUTED_VALUE"""),0.0)</f>
        <v>0</v>
      </c>
      <c r="J51" s="59">
        <f>IFERROR(__xludf.DUMMYFUNCTION("""COMPUTED_VALUE"""),7.0)</f>
        <v>7</v>
      </c>
      <c r="K51" s="51"/>
      <c r="L51" s="61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55">
        <f>IFERROR(__xludf.DUMMYFUNCTION("""COMPUTED_VALUE"""),7.7)</f>
        <v>7.7</v>
      </c>
      <c r="F52" s="55">
        <f>IFERROR(__xludf.DUMMYFUNCTION("""COMPUTED_VALUE"""),2.0)</f>
        <v>2</v>
      </c>
      <c r="G52" s="56"/>
      <c r="H52" s="57">
        <f>IFERROR(__xludf.DUMMYFUNCTION("""COMPUTED_VALUE"""),9.7)</f>
        <v>9.7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55">
        <f>IFERROR(__xludf.DUMMYFUNCTION("""COMPUTED_VALUE"""),6.7)</f>
        <v>6.7</v>
      </c>
      <c r="F53" s="55">
        <f>IFERROR(__xludf.DUMMYFUNCTION("""COMPUTED_VALUE"""),2.0)</f>
        <v>2</v>
      </c>
      <c r="G53" s="56"/>
      <c r="H53" s="57">
        <f>IFERROR(__xludf.DUMMYFUNCTION("""COMPUTED_VALUE"""),8.7)</f>
        <v>8.7</v>
      </c>
      <c r="I53" s="58">
        <f>IFERROR(__xludf.DUMMYFUNCTION("""COMPUTED_VALUE"""),0.0)</f>
        <v>0</v>
      </c>
      <c r="J53" s="59">
        <f>IFERROR(__xludf.DUMMYFUNCTION("""COMPUTED_VALUE"""),9.0)</f>
        <v>9</v>
      </c>
      <c r="K53" s="51"/>
      <c r="L53" s="60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55">
        <f>IFERROR(__xludf.DUMMYFUNCTION("""COMPUTED_VALUE"""),7.4)</f>
        <v>7.4</v>
      </c>
      <c r="F54" s="55">
        <f>IFERROR(__xludf.DUMMYFUNCTION("""COMPUTED_VALUE"""),2.0)</f>
        <v>2</v>
      </c>
      <c r="G54" s="56"/>
      <c r="H54" s="57">
        <f>IFERROR(__xludf.DUMMYFUNCTION("""COMPUTED_VALUE"""),9.4)</f>
        <v>9.4</v>
      </c>
      <c r="I54" s="58">
        <f>IFERROR(__xludf.DUMMYFUNCTION("""COMPUTED_VALUE"""),0.0)</f>
        <v>0</v>
      </c>
      <c r="J54" s="59">
        <f>IFERROR(__xludf.DUMMYFUNCTION("""COMPUTED_VALUE"""),9.0)</f>
        <v>9</v>
      </c>
      <c r="K54" s="51"/>
      <c r="L54" s="60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55">
        <f>IFERROR(__xludf.DUMMYFUNCTION("""COMPUTED_VALUE"""),5.3)</f>
        <v>5.3</v>
      </c>
      <c r="F55" s="55">
        <f>IFERROR(__xludf.DUMMYFUNCTION("""COMPUTED_VALUE"""),0.7)</f>
        <v>0.7</v>
      </c>
      <c r="G55" s="56"/>
      <c r="H55" s="57">
        <f>IFERROR(__xludf.DUMMYFUNCTION("""COMPUTED_VALUE"""),6.0)</f>
        <v>6</v>
      </c>
      <c r="I55" s="65">
        <f>IFERROR(__xludf.DUMMYFUNCTION("""COMPUTED_VALUE"""),0.0)</f>
        <v>0</v>
      </c>
      <c r="J55" s="59">
        <f>IFERROR(__xludf.DUMMYFUNCTION("""COMPUTED_VALUE"""),6.0)</f>
        <v>6</v>
      </c>
      <c r="K55" s="51"/>
      <c r="L55" s="60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55">
        <f>IFERROR(__xludf.DUMMYFUNCTION("""COMPUTED_VALUE"""),6.9)</f>
        <v>6.9</v>
      </c>
      <c r="F56" s="55">
        <f>IFERROR(__xludf.DUMMYFUNCTION("""COMPUTED_VALUE"""),2.0)</f>
        <v>2</v>
      </c>
      <c r="G56" s="56"/>
      <c r="H56" s="57">
        <f>IFERROR(__xludf.DUMMYFUNCTION("""COMPUTED_VALUE"""),8.9)</f>
        <v>8.9</v>
      </c>
      <c r="I56" s="65">
        <f>IFERROR(__xludf.DUMMYFUNCTION("""COMPUTED_VALUE"""),0.0)</f>
        <v>0</v>
      </c>
      <c r="J56" s="59">
        <f>IFERROR(__xludf.DUMMYFUNCTION("""COMPUTED_VALUE"""),9.0)</f>
        <v>9</v>
      </c>
      <c r="K56" s="51"/>
      <c r="L56" s="60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55">
        <f>IFERROR(__xludf.DUMMYFUNCTION("""COMPUTED_VALUE"""),7.4)</f>
        <v>7.4</v>
      </c>
      <c r="F57" s="55">
        <f>IFERROR(__xludf.DUMMYFUNCTION("""COMPUTED_VALUE"""),2.0)</f>
        <v>2</v>
      </c>
      <c r="G57" s="56">
        <f>IFERROR(__xludf.DUMMYFUNCTION("""COMPUTED_VALUE"""),1.0)</f>
        <v>1</v>
      </c>
      <c r="H57" s="57">
        <f>IFERROR(__xludf.DUMMYFUNCTION("""COMPUTED_VALUE"""),10.4)</f>
        <v>10.4</v>
      </c>
      <c r="I57" s="65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55">
        <f>IFERROR(__xludf.DUMMYFUNCTION("""COMPUTED_VALUE"""),7.1)</f>
        <v>7.1</v>
      </c>
      <c r="F58" s="55">
        <f>IFERROR(__xludf.DUMMYFUNCTION("""COMPUTED_VALUE"""),2.0)</f>
        <v>2</v>
      </c>
      <c r="G58" s="56"/>
      <c r="H58" s="57">
        <f>IFERROR(__xludf.DUMMYFUNCTION("""COMPUTED_VALUE"""),9.1)</f>
        <v>9.1</v>
      </c>
      <c r="I58" s="65">
        <f>IFERROR(__xludf.DUMMYFUNCTION("""COMPUTED_VALUE"""),0.0)</f>
        <v>0</v>
      </c>
      <c r="J58" s="59">
        <f>IFERROR(__xludf.DUMMYFUNCTION("""COMPUTED_VALUE"""),9.0)</f>
        <v>9</v>
      </c>
      <c r="K58" s="51"/>
      <c r="L58" s="60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55">
        <f>IFERROR(__xludf.DUMMYFUNCTION("""COMPUTED_VALUE"""),7.4)</f>
        <v>7.4</v>
      </c>
      <c r="F59" s="55">
        <f>IFERROR(__xludf.DUMMYFUNCTION("""COMPUTED_VALUE"""),2.0)</f>
        <v>2</v>
      </c>
      <c r="G59" s="56"/>
      <c r="H59" s="57">
        <f>IFERROR(__xludf.DUMMYFUNCTION("""COMPUTED_VALUE"""),9.4)</f>
        <v>9.4</v>
      </c>
      <c r="I59" s="65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55">
        <f>IFERROR(__xludf.DUMMYFUNCTION("""COMPUTED_VALUE"""),7.3)</f>
        <v>7.3</v>
      </c>
      <c r="F60" s="55">
        <f>IFERROR(__xludf.DUMMYFUNCTION("""COMPUTED_VALUE"""),2.0)</f>
        <v>2</v>
      </c>
      <c r="G60" s="56">
        <f>IFERROR(__xludf.DUMMYFUNCTION("""COMPUTED_VALUE"""),1.0)</f>
        <v>1</v>
      </c>
      <c r="H60" s="57">
        <f>IFERROR(__xludf.DUMMYFUNCTION("""COMPUTED_VALUE"""),10.3)</f>
        <v>10.3</v>
      </c>
      <c r="I60" s="65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55">
        <f>IFERROR(__xludf.DUMMYFUNCTION("""COMPUTED_VALUE"""),7.7)</f>
        <v>7.7</v>
      </c>
      <c r="F61" s="55">
        <f>IFERROR(__xludf.DUMMYFUNCTION("""COMPUTED_VALUE"""),2.0)</f>
        <v>2</v>
      </c>
      <c r="G61" s="56"/>
      <c r="H61" s="57">
        <f>IFERROR(__xludf.DUMMYFUNCTION("""COMPUTED_VALUE"""),9.7)</f>
        <v>9.7</v>
      </c>
      <c r="I61" s="65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55">
        <f>IFERROR(__xludf.DUMMYFUNCTION("""COMPUTED_VALUE"""),7.2)</f>
        <v>7.2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IFERROR(__xludf.DUMMYFUNCTION("""COMPUTED_VALUE"""),10.2)</f>
        <v>10.2</v>
      </c>
      <c r="I62" s="65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55">
        <f>IFERROR(__xludf.DUMMYFUNCTION("""COMPUTED_VALUE"""),6.9)</f>
        <v>6.9</v>
      </c>
      <c r="F63" s="55">
        <f>IFERROR(__xludf.DUMMYFUNCTION("""COMPUTED_VALUE"""),2.0)</f>
        <v>2</v>
      </c>
      <c r="G63" s="56">
        <f>IFERROR(__xludf.DUMMYFUNCTION("""COMPUTED_VALUE"""),1.0)</f>
        <v>1</v>
      </c>
      <c r="H63" s="57">
        <f>IFERROR(__xludf.DUMMYFUNCTION("""COMPUTED_VALUE"""),9.9)</f>
        <v>9.9</v>
      </c>
      <c r="I63" s="65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1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55">
        <f>IFERROR(__xludf.DUMMYFUNCTION("""COMPUTED_VALUE"""),8.0)</f>
        <v>8</v>
      </c>
      <c r="F64" s="55">
        <f>IFERROR(__xludf.DUMMYFUNCTION("""COMPUTED_VALUE"""),2.0)</f>
        <v>2</v>
      </c>
      <c r="G64" s="56">
        <f>IFERROR(__xludf.DUMMYFUNCTION("""COMPUTED_VALUE"""),1.0)</f>
        <v>1</v>
      </c>
      <c r="H64" s="57">
        <f>IFERROR(__xludf.DUMMYFUNCTION("""COMPUTED_VALUE"""),11.0)</f>
        <v>11</v>
      </c>
      <c r="I64" s="65">
        <f>IFERROR(__xludf.DUMMYFUNCTION("""COMPUTED_VALUE"""),0.0)</f>
        <v>0</v>
      </c>
      <c r="J64" s="59">
        <f>IFERROR(__xludf.DUMMYFUNCTION("""COMPUTED_VALUE"""),10.0)</f>
        <v>10</v>
      </c>
      <c r="K64" s="51"/>
      <c r="L64" s="60">
        <f>IFERROR(__xludf.DUMMYFUNCTION("""COMPUTED_VALUE"""),11.0)</f>
        <v>11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51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55">
        <f>IFERROR(__xludf.DUMMYFUNCTION("""COMPUTED_VALUE"""),0.8)</f>
        <v>0.8</v>
      </c>
      <c r="F65" s="55">
        <f>IFERROR(__xludf.DUMMYFUNCTION("""COMPUTED_VALUE"""),0.7)</f>
        <v>0.7</v>
      </c>
      <c r="G65" s="56"/>
      <c r="H65" s="57">
        <f>IFERROR(__xludf.DUMMYFUNCTION("""COMPUTED_VALUE"""),1.5)</f>
        <v>1.5</v>
      </c>
      <c r="I65" s="65">
        <f>IFERROR(__xludf.DUMMYFUNCTION("""COMPUTED_VALUE"""),0.0)</f>
        <v>0</v>
      </c>
      <c r="J65" s="59">
        <f>IFERROR(__xludf.DUMMYFUNCTION("""COMPUTED_VALUE"""),5.0)</f>
        <v>5</v>
      </c>
      <c r="K65" s="51"/>
      <c r="L65" s="60">
        <f>IFERROR(__xludf.DUMMYFUNCTION("""COMPUTED_VALUE"""),1.0)</f>
        <v>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69"/>
      <c r="C66" s="69"/>
      <c r="D66" s="69"/>
      <c r="E66" s="70"/>
      <c r="F66" s="69"/>
      <c r="G66" s="69"/>
      <c r="H66" s="69"/>
      <c r="I66" s="69"/>
      <c r="J66" s="1"/>
      <c r="K66" s="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1"/>
      <c r="B67" s="72" t="str">
        <f>IFERROR(__xludf.DUMMYFUNCTION("""COMPUTED_VALUE"""),"No. DE ALUMNOS INSCRITOS")</f>
        <v>No. DE ALUMNOS INSCRITOS</v>
      </c>
      <c r="C67" s="73"/>
      <c r="D67" s="74">
        <f>IFERROR(__xludf.DUMMYFUNCTION("""COMPUTED_VALUE"""),49.0)</f>
        <v>49</v>
      </c>
      <c r="E67" s="69"/>
      <c r="F67" s="75" t="str">
        <f>IFERROR(__xludf.DUMMYFUNCTION("""COMPUTED_VALUE"""),"FIRMA DEL PROFESOR")</f>
        <v>FIRMA DEL PROFESOR</v>
      </c>
      <c r="G67" s="76"/>
      <c r="H67" s="75" t="str">
        <f>IFERROR(__xludf.DUMMYFUNCTION("""COMPUTED_VALUE"""),"FIRMA DEL ORIENTADOR")</f>
        <v>FIRMA DEL ORIENTADOR</v>
      </c>
      <c r="J67" s="77" t="str">
        <f>IFERROR(__xludf.DUMMYFUNCTION("""COMPUTED_VALUE"""),"Vo. Bo. SUBDIRECCIÓN ESCOLAR")</f>
        <v>Vo. Bo. SUBDIRECCIÓN ESCOLAR</v>
      </c>
      <c r="K67" s="78" t="str">
        <f>IFERROR(__xludf.DUMMYFUNCTION("""COMPUTED_VALUE"""),"REVISADO POR SECRETARIA ESCOLAR ")</f>
        <v>REVISADO POR SECRETARIA ESCOLAR 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1"/>
      <c r="B68" s="79" t="str">
        <f>IFERROR(__xludf.DUMMYFUNCTION("""COMPUTED_VALUE"""),"BAJAS DURANTE EL SEMESTRE")</f>
        <v>BAJAS DURANTE EL SEMESTRE</v>
      </c>
      <c r="C68" s="80"/>
      <c r="D68" s="81">
        <f>IFERROR(__xludf.DUMMYFUNCTION("""COMPUTED_VALUE"""),0.0)</f>
        <v>0</v>
      </c>
      <c r="E68" s="69"/>
      <c r="G68" s="76"/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1"/>
      <c r="B69" s="79" t="str">
        <f>IFERROR(__xludf.DUMMYFUNCTION("""COMPUTED_VALUE"""),"EXISTENCIA")</f>
        <v>EXISTENCIA</v>
      </c>
      <c r="C69" s="80"/>
      <c r="D69" s="82">
        <f>IFERROR(__xludf.DUMMYFUNCTION("""COMPUTED_VALUE"""),49.0)</f>
        <v>49</v>
      </c>
      <c r="E69" s="69"/>
      <c r="F69" s="83"/>
      <c r="G69" s="84"/>
      <c r="H69" s="83"/>
      <c r="I69" s="83"/>
      <c r="J69" s="85"/>
      <c r="K69" s="8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71"/>
      <c r="B70" s="79" t="str">
        <f>IFERROR(__xludf.DUMMYFUNCTION("""COMPUTED_VALUE"""),"No. DE ALUMNOS APROBADOS")</f>
        <v>No. DE ALUMNOS APROBADOS</v>
      </c>
      <c r="C70" s="80"/>
      <c r="D70" s="87">
        <f>IFERROR(__xludf.DUMMYFUNCTION("""COMPUTED_VALUE"""),46.0)</f>
        <v>46</v>
      </c>
      <c r="E70" s="69"/>
      <c r="F70" s="83"/>
      <c r="G70" s="84"/>
      <c r="H70" s="83"/>
      <c r="I70" s="83"/>
      <c r="J70" s="85"/>
      <c r="K70" s="8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1"/>
      <c r="B71" s="79" t="str">
        <f>IFERROR(__xludf.DUMMYFUNCTION("""COMPUTED_VALUE"""),"No. DE ALUMNOS REPROBADOS")</f>
        <v>No. DE ALUMNOS REPROBADOS</v>
      </c>
      <c r="C71" s="80"/>
      <c r="D71" s="87">
        <f>IFERROR(__xludf.DUMMYFUNCTION("""COMPUTED_VALUE"""),3.0)</f>
        <v>3</v>
      </c>
      <c r="E71" s="69"/>
      <c r="F71" s="88"/>
      <c r="G71" s="84"/>
      <c r="H71" s="88"/>
      <c r="I71" s="88"/>
      <c r="J71" s="89"/>
      <c r="K71" s="9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71"/>
      <c r="B72" s="91" t="str">
        <f>IFERROR(__xludf.DUMMYFUNCTION("""COMPUTED_VALUE"""),"% DE APROBADOS")</f>
        <v>% DE APROBADOS</v>
      </c>
      <c r="C72" s="80"/>
      <c r="D72" s="82">
        <f>IFERROR(__xludf.DUMMYFUNCTION("""COMPUTED_VALUE"""),93.87755102040816)</f>
        <v>93.87755102</v>
      </c>
      <c r="E72" s="69"/>
      <c r="F72" s="92" t="str">
        <f>IFERROR(__xludf.DUMMYFUNCTION("""COMPUTED_VALUE"""),"PROFR. JOSÉ MARTÍN MONROY MARTÍNEZ")</f>
        <v>PROFR. JOSÉ MARTÍN MONROY MARTÍNEZ</v>
      </c>
      <c r="G72" s="93"/>
      <c r="H72" s="120" t="str">
        <f>IFERROR(__xludf.DUMMYFUNCTION("""COMPUTED_VALUE"""),"PROFRA. ANA ISABEL CORREA SALGADO")</f>
        <v>PROFRA. ANA ISABEL CORREA SALGADO</v>
      </c>
      <c r="J72" s="95" t="str">
        <f>IFERROR(__xludf.DUMMYFUNCTION("""COMPUTED_VALUE"""),"PROFR. OCTAVIO VÁZQUEZ BARRETO")</f>
        <v>PROFR. OCTAVIO VÁZQUEZ BARRETO</v>
      </c>
      <c r="K72" s="96" t="str">
        <f>IFERROR(__xludf.DUMMYFUNCTION("""COMPUTED_VALUE"""),"PROFR. ROBERTO PALOMARES MEJÍA ")</f>
        <v>PROFR. ROBERTO PALOMARES MEJÍA </v>
      </c>
      <c r="L72" s="9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71"/>
      <c r="B73" s="98" t="str">
        <f>IFERROR(__xludf.DUMMYFUNCTION("""COMPUTED_VALUE"""),"PROMEDIO")</f>
        <v>PROMEDIO</v>
      </c>
      <c r="C73" s="99"/>
      <c r="D73" s="100">
        <f>IFERROR(__xludf.DUMMYFUNCTION("""COMPUTED_VALUE"""),9.0)</f>
        <v>9</v>
      </c>
      <c r="E73" s="69"/>
      <c r="G73" s="93"/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6"/>
      <c r="B74" s="1"/>
      <c r="C74" s="1"/>
      <c r="D74" s="1"/>
      <c r="E74" s="1"/>
      <c r="F74" s="1"/>
      <c r="G74" s="1"/>
      <c r="H74" s="1"/>
      <c r="I74" s="1"/>
      <c r="J74" s="1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3"/>
      <c r="D75" s="103"/>
      <c r="E75" s="69"/>
      <c r="G75" s="7"/>
      <c r="H75" s="7"/>
      <c r="I75" s="7"/>
      <c r="J75" s="7"/>
      <c r="K75" s="104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69"/>
      <c r="C76" s="69"/>
      <c r="D76" s="69"/>
      <c r="E76" s="7"/>
      <c r="F76" s="1"/>
      <c r="G76" s="1"/>
      <c r="H76" s="1"/>
      <c r="I76" s="1"/>
      <c r="J76" s="1"/>
      <c r="K76" s="8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06"/>
      <c r="B77" s="69"/>
      <c r="C77" s="69"/>
      <c r="D77" s="69"/>
      <c r="E77" s="7"/>
      <c r="F77" s="1"/>
      <c r="G77" s="1"/>
      <c r="H77" s="1"/>
      <c r="I77" s="1"/>
      <c r="J77" s="1"/>
      <c r="K77" s="8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08"/>
      <c r="B78" s="109"/>
      <c r="C78" s="109"/>
      <c r="D78" s="109"/>
      <c r="E78" s="110"/>
      <c r="F78" s="111"/>
      <c r="G78" s="111"/>
      <c r="H78" s="111"/>
      <c r="I78" s="111"/>
      <c r="J78" s="111"/>
      <c r="K78" s="112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3"/>
      <c r="C79" s="113"/>
      <c r="D79" s="113"/>
      <c r="E79" s="113"/>
      <c r="F79" s="1"/>
      <c r="G79" s="1"/>
      <c r="H79" s="1"/>
      <c r="I79" s="1"/>
      <c r="J79" s="114"/>
      <c r="K79" s="114"/>
      <c r="L79" s="1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3"/>
      <c r="C80" s="113"/>
      <c r="D80" s="113"/>
      <c r="E80" s="113"/>
      <c r="F80" s="1"/>
      <c r="G80" s="1"/>
      <c r="H80" s="1"/>
      <c r="I80" s="1"/>
      <c r="J80" s="114"/>
      <c r="K80" s="114"/>
      <c r="L80" s="1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3"/>
      <c r="C81" s="113"/>
      <c r="D81" s="113"/>
      <c r="E81" s="113"/>
      <c r="F81" s="1"/>
      <c r="G81" s="1"/>
      <c r="H81" s="1"/>
      <c r="I81" s="1"/>
      <c r="J81" s="114"/>
      <c r="K81" s="114"/>
      <c r="L81" s="1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3"/>
      <c r="C82" s="113"/>
      <c r="D82" s="113"/>
      <c r="E82" s="113"/>
      <c r="F82" s="1"/>
      <c r="G82" s="1"/>
      <c r="H82" s="1"/>
      <c r="I82" s="1"/>
      <c r="J82" s="114"/>
      <c r="K82" s="114"/>
      <c r="L82" s="1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3"/>
      <c r="C83" s="113"/>
      <c r="D83" s="113"/>
      <c r="E83" s="11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3"/>
      <c r="C84" s="113"/>
      <c r="D84" s="113"/>
      <c r="E84" s="113"/>
      <c r="F84" s="1"/>
      <c r="G84" s="1"/>
      <c r="H84" s="1"/>
      <c r="I84" s="1"/>
      <c r="J84" s="1"/>
      <c r="K84" s="11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3"/>
      <c r="C85" s="113"/>
      <c r="D85" s="113"/>
      <c r="E85" s="1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3"/>
      <c r="C86" s="113"/>
      <c r="D86" s="113"/>
      <c r="E86" s="11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3"/>
      <c r="C87" s="113"/>
      <c r="D87" s="113"/>
      <c r="E87" s="11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3"/>
      <c r="C88" s="113"/>
      <c r="D88" s="113"/>
      <c r="E88" s="11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13"/>
      <c r="C89" s="113"/>
      <c r="D89" s="113"/>
      <c r="E89" s="11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3"/>
      <c r="C90" s="113"/>
      <c r="D90" s="113"/>
      <c r="E90" s="1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IFERROR(__xludf.DUMMYFUNCTION("IMPORTRANGE(""https://docs.google.com/spreadsheets/d/1gWm5grlICJTE9yzh0EdKexQ0PnWg6cx3Djpo_7ER3Ig/edit?gid=757265680#gid=757265680"",""2-2 ciencias sociales iii!a1:q86"")"),"")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IFERROR(__xludf.DUMMYFUNCTION("""COMPUTED_VALUE"""),"MA. GUADALUPE GRANADOS DE LOERA")</f>
        <v>MA. GUADALUPE GRANADOS DE LOERA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IFERROR(__xludf.DUMMYFUNCTION("""COMPUTED_VALUE"""),"CIENCIAS SOCIALES III")</f>
        <v>CIENCIAS SOCIALES III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4">
        <f>IFERROR(__xludf.DUMMYFUNCTION("""COMPUTED_VALUE"""),2.0)</f>
        <v>2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154">
        <f>IFERROR(__xludf.DUMMYFUNCTION("""COMPUTED_VALUE"""),8.0)</f>
        <v>8</v>
      </c>
      <c r="F17" s="154">
        <f>IFERROR(__xludf.DUMMYFUNCTION("""COMPUTED_VALUE"""),2.0)</f>
        <v>2</v>
      </c>
      <c r="G17" s="154"/>
      <c r="H17" s="155">
        <f>IFERROR(__xludf.DUMMYFUNCTION("""COMPUTED_VALUE"""),10.0)</f>
        <v>10</v>
      </c>
      <c r="I17" s="156">
        <f>IFERROR(__xludf.DUMMYFUNCTION("""COMPUTED_VALUE"""),0.0)</f>
        <v>0</v>
      </c>
      <c r="J17" s="157">
        <f>IFERROR(__xludf.DUMMYFUNCTION("""COMPUTED_VALUE"""),10.0)</f>
        <v>10</v>
      </c>
      <c r="K17" s="158"/>
      <c r="L17" s="159">
        <f>IFERROR(__xludf.DUMMYFUNCTION("""COMPUTED_VALUE"""),10.0)</f>
        <v>10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154">
        <f>IFERROR(__xludf.DUMMYFUNCTION("""COMPUTED_VALUE"""),8.0)</f>
        <v>8</v>
      </c>
      <c r="F18" s="154">
        <f>IFERROR(__xludf.DUMMYFUNCTION("""COMPUTED_VALUE"""),2.0)</f>
        <v>2</v>
      </c>
      <c r="G18" s="154"/>
      <c r="H18" s="155">
        <f>IFERROR(__xludf.DUMMYFUNCTION("""COMPUTED_VALUE"""),10.0)</f>
        <v>10</v>
      </c>
      <c r="I18" s="156">
        <f>IFERROR(__xludf.DUMMYFUNCTION("""COMPUTED_VALUE"""),0.0)</f>
        <v>0</v>
      </c>
      <c r="J18" s="157">
        <f>IFERROR(__xludf.DUMMYFUNCTION("""COMPUTED_VALUE"""),10.0)</f>
        <v>10</v>
      </c>
      <c r="K18" s="156"/>
      <c r="L18" s="159">
        <f>IFERROR(__xludf.DUMMYFUNCTION("""COMPUTED_VALUE"""),10.0)</f>
        <v>10</v>
      </c>
      <c r="M18" s="121" t="str">
        <f>IFERROR(__xludf.DUMMYFUNCTION("""COMPUTED_VALUE"""),"Febrero")</f>
        <v>Febrero</v>
      </c>
      <c r="N18" s="121">
        <f>IFERROR(__xludf.DUMMYFUNCTION("""COMPUTED_VALUE"""),6.0)</f>
        <v>6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154">
        <f>IFERROR(__xludf.DUMMYFUNCTION("""COMPUTED_VALUE"""),8.0)</f>
        <v>8</v>
      </c>
      <c r="F19" s="154">
        <f>IFERROR(__xludf.DUMMYFUNCTION("""COMPUTED_VALUE"""),2.0)</f>
        <v>2</v>
      </c>
      <c r="G19" s="154"/>
      <c r="H19" s="155">
        <f>IFERROR(__xludf.DUMMYFUNCTION("""COMPUTED_VALUE"""),10.0)</f>
        <v>10</v>
      </c>
      <c r="I19" s="156">
        <f>IFERROR(__xludf.DUMMYFUNCTION("""COMPUTED_VALUE"""),0.0)</f>
        <v>0</v>
      </c>
      <c r="J19" s="157">
        <f>IFERROR(__xludf.DUMMYFUNCTION("""COMPUTED_VALUE"""),10.0)</f>
        <v>10</v>
      </c>
      <c r="K19" s="156"/>
      <c r="L19" s="159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IFERROR(__xludf.DUMMYFUNCTION("""COMPUTED_VALUE"""),10.0)</f>
        <v>10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154">
        <f>IFERROR(__xludf.DUMMYFUNCTION("""COMPUTED_VALUE"""),4.0)</f>
        <v>4</v>
      </c>
      <c r="F20" s="154">
        <f>IFERROR(__xludf.DUMMYFUNCTION("""COMPUTED_VALUE"""),2.0)</f>
        <v>2</v>
      </c>
      <c r="G20" s="154"/>
      <c r="H20" s="155">
        <f>IFERROR(__xludf.DUMMYFUNCTION("""COMPUTED_VALUE"""),6.0)</f>
        <v>6</v>
      </c>
      <c r="I20" s="156">
        <f>IFERROR(__xludf.DUMMYFUNCTION("""COMPUTED_VALUE"""),2.0)</f>
        <v>2</v>
      </c>
      <c r="J20" s="157">
        <f>IFERROR(__xludf.DUMMYFUNCTION("""COMPUTED_VALUE"""),6.0)</f>
        <v>6</v>
      </c>
      <c r="K20" s="156"/>
      <c r="L20" s="159">
        <f>IFERROR(__xludf.DUMMYFUNCTION("""COMPUTED_VALUE"""),6.0)</f>
        <v>6</v>
      </c>
      <c r="M20" s="121" t="str">
        <f>IFERROR(__xludf.DUMMYFUNCTION("""COMPUTED_VALUE"""),"Abril")</f>
        <v>Abril</v>
      </c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154">
        <f>IFERROR(__xludf.DUMMYFUNCTION("""COMPUTED_VALUE"""),8.0)</f>
        <v>8</v>
      </c>
      <c r="F21" s="154">
        <f>IFERROR(__xludf.DUMMYFUNCTION("""COMPUTED_VALUE"""),2.0)</f>
        <v>2</v>
      </c>
      <c r="G21" s="154"/>
      <c r="H21" s="155">
        <f>IFERROR(__xludf.DUMMYFUNCTION("""COMPUTED_VALUE"""),10.0)</f>
        <v>10</v>
      </c>
      <c r="I21" s="156">
        <f>IFERROR(__xludf.DUMMYFUNCTION("""COMPUTED_VALUE"""),0.0)</f>
        <v>0</v>
      </c>
      <c r="J21" s="157">
        <f>IFERROR(__xludf.DUMMYFUNCTION("""COMPUTED_VALUE"""),10.0)</f>
        <v>10</v>
      </c>
      <c r="K21" s="156"/>
      <c r="L21" s="159">
        <f>IFERROR(__xludf.DUMMYFUNCTION("""COMPUTED_VALUE"""),10.0)</f>
        <v>10</v>
      </c>
      <c r="M21" s="121" t="str">
        <f>IFERROR(__xludf.DUMMYFUNCTION("""COMPUTED_VALUE"""),"Mayo")</f>
        <v>Mayo</v>
      </c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154">
        <f>IFERROR(__xludf.DUMMYFUNCTION("""COMPUTED_VALUE"""),8.0)</f>
        <v>8</v>
      </c>
      <c r="F22" s="154">
        <f>IFERROR(__xludf.DUMMYFUNCTION("""COMPUTED_VALUE"""),0.0)</f>
        <v>0</v>
      </c>
      <c r="G22" s="154"/>
      <c r="H22" s="155">
        <f>IFERROR(__xludf.DUMMYFUNCTION("""COMPUTED_VALUE"""),8.0)</f>
        <v>8</v>
      </c>
      <c r="I22" s="156">
        <f>IFERROR(__xludf.DUMMYFUNCTION("""COMPUTED_VALUE"""),0.0)</f>
        <v>0</v>
      </c>
      <c r="J22" s="157">
        <f>IFERROR(__xludf.DUMMYFUNCTION("""COMPUTED_VALUE"""),8.0)</f>
        <v>8</v>
      </c>
      <c r="K22" s="156"/>
      <c r="L22" s="159">
        <f>IFERROR(__xludf.DUMMYFUNCTION("""COMPUTED_VALUE"""),8.0)</f>
        <v>8</v>
      </c>
      <c r="M22" s="121" t="str">
        <f>IFERROR(__xludf.DUMMYFUNCTION("""COMPUTED_VALUE"""),"Junio")</f>
        <v>Junio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154">
        <f>IFERROR(__xludf.DUMMYFUNCTION("""COMPUTED_VALUE"""),8.0)</f>
        <v>8</v>
      </c>
      <c r="F23" s="154">
        <f>IFERROR(__xludf.DUMMYFUNCTION("""COMPUTED_VALUE"""),2.0)</f>
        <v>2</v>
      </c>
      <c r="G23" s="154">
        <f>IFERROR(__xludf.DUMMYFUNCTION("""COMPUTED_VALUE"""),1.0)</f>
        <v>1</v>
      </c>
      <c r="H23" s="155">
        <f>IFERROR(__xludf.DUMMYFUNCTION("""COMPUTED_VALUE"""),11.0)</f>
        <v>11</v>
      </c>
      <c r="I23" s="156">
        <f>IFERROR(__xludf.DUMMYFUNCTION("""COMPUTED_VALUE"""),0.0)</f>
        <v>0</v>
      </c>
      <c r="J23" s="157">
        <f>IFERROR(__xludf.DUMMYFUNCTION("""COMPUTED_VALUE"""),10.0)</f>
        <v>10</v>
      </c>
      <c r="K23" s="156"/>
      <c r="L23" s="159">
        <f>IFERROR(__xludf.DUMMYFUNCTION("""COMPUTED_VALUE"""),11.0)</f>
        <v>11</v>
      </c>
      <c r="M23" s="121" t="str">
        <f>IFERROR(__xludf.DUMMYFUNCTION("""COMPUTED_VALUE"""),"Julio")</f>
        <v>Julio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154">
        <f>IFERROR(__xludf.DUMMYFUNCTION("""COMPUTED_VALUE"""),4.0)</f>
        <v>4</v>
      </c>
      <c r="F24" s="154">
        <f>IFERROR(__xludf.DUMMYFUNCTION("""COMPUTED_VALUE"""),4.0)</f>
        <v>4</v>
      </c>
      <c r="G24" s="154"/>
      <c r="H24" s="155">
        <f>IFERROR(__xludf.DUMMYFUNCTION("""COMPUTED_VALUE"""),8.0)</f>
        <v>8</v>
      </c>
      <c r="I24" s="156">
        <f>IFERROR(__xludf.DUMMYFUNCTION("""COMPUTED_VALUE"""),2.0)</f>
        <v>2</v>
      </c>
      <c r="J24" s="157">
        <f>IFERROR(__xludf.DUMMYFUNCTION("""COMPUTED_VALUE"""),8.0)</f>
        <v>8</v>
      </c>
      <c r="K24" s="156"/>
      <c r="L24" s="159">
        <f>IFERROR(__xludf.DUMMYFUNCTION("""COMPUTED_VALUE"""),8.0)</f>
        <v>8</v>
      </c>
      <c r="M24" s="121" t="str">
        <f>IFERROR(__xludf.DUMMYFUNCTION("""COMPUTED_VALUE"""),"TOTAL")</f>
        <v>TOTAL</v>
      </c>
      <c r="N24" s="121">
        <f>IFERROR(__xludf.DUMMYFUNCTION("""COMPUTED_VALUE"""),16.0)</f>
        <v>16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154">
        <f>IFERROR(__xludf.DUMMYFUNCTION("""COMPUTED_VALUE"""),8.0)</f>
        <v>8</v>
      </c>
      <c r="F25" s="154">
        <f>IFERROR(__xludf.DUMMYFUNCTION("""COMPUTED_VALUE"""),2.0)</f>
        <v>2</v>
      </c>
      <c r="G25" s="154">
        <f>IFERROR(__xludf.DUMMYFUNCTION("""COMPUTED_VALUE"""),1.0)</f>
        <v>1</v>
      </c>
      <c r="H25" s="155">
        <f>IFERROR(__xludf.DUMMYFUNCTION("""COMPUTED_VALUE"""),11.0)</f>
        <v>11</v>
      </c>
      <c r="I25" s="156">
        <f>IFERROR(__xludf.DUMMYFUNCTION("""COMPUTED_VALUE"""),2.0)</f>
        <v>2</v>
      </c>
      <c r="J25" s="157">
        <f>IFERROR(__xludf.DUMMYFUNCTION("""COMPUTED_VALUE"""),10.0)</f>
        <v>10</v>
      </c>
      <c r="K25" s="156"/>
      <c r="L25" s="159">
        <f>IFERROR(__xludf.DUMMYFUNCTION("""COMPUTED_VALUE"""),11.0)</f>
        <v>11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154">
        <f>IFERROR(__xludf.DUMMYFUNCTION("""COMPUTED_VALUE"""),7.0)</f>
        <v>7</v>
      </c>
      <c r="F26" s="154">
        <f>IFERROR(__xludf.DUMMYFUNCTION("""COMPUTED_VALUE"""),2.0)</f>
        <v>2</v>
      </c>
      <c r="G26" s="154"/>
      <c r="H26" s="155">
        <f>IFERROR(__xludf.DUMMYFUNCTION("""COMPUTED_VALUE"""),9.0)</f>
        <v>9</v>
      </c>
      <c r="I26" s="156">
        <f>IFERROR(__xludf.DUMMYFUNCTION("""COMPUTED_VALUE"""),0.0)</f>
        <v>0</v>
      </c>
      <c r="J26" s="157">
        <f>IFERROR(__xludf.DUMMYFUNCTION("""COMPUTED_VALUE"""),7.0)</f>
        <v>7</v>
      </c>
      <c r="K26" s="156"/>
      <c r="L26" s="159">
        <f>IFERROR(__xludf.DUMMYFUNCTION("""COMPUTED_VALUE"""),9.0)</f>
        <v>9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154">
        <f>IFERROR(__xludf.DUMMYFUNCTION("""COMPUTED_VALUE"""),8.0)</f>
        <v>8</v>
      </c>
      <c r="F27" s="154">
        <f>IFERROR(__xludf.DUMMYFUNCTION("""COMPUTED_VALUE"""),2.0)</f>
        <v>2</v>
      </c>
      <c r="G27" s="154"/>
      <c r="H27" s="155">
        <f>IFERROR(__xludf.DUMMYFUNCTION("""COMPUTED_VALUE"""),10.0)</f>
        <v>10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154">
        <f>IFERROR(__xludf.DUMMYFUNCTION("""COMPUTED_VALUE"""),8.0)</f>
        <v>8</v>
      </c>
      <c r="F28" s="154">
        <f>IFERROR(__xludf.DUMMYFUNCTION("""COMPUTED_VALUE"""),2.0)</f>
        <v>2</v>
      </c>
      <c r="G28" s="154"/>
      <c r="H28" s="155">
        <f>IFERROR(__xludf.DUMMYFUNCTION("""COMPUTED_VALUE"""),10.0)</f>
        <v>10</v>
      </c>
      <c r="I28" s="156">
        <f>IFERROR(__xludf.DUMMYFUNCTION("""COMPUTED_VALUE"""),0.0)</f>
        <v>0</v>
      </c>
      <c r="J28" s="157">
        <f>IFERROR(__xludf.DUMMYFUNCTION("""COMPUTED_VALUE"""),10.0)</f>
        <v>10</v>
      </c>
      <c r="K28" s="156"/>
      <c r="L28" s="159">
        <f>IFERROR(__xludf.DUMMYFUNCTION("""COMPUTED_VALUE"""),10.0)</f>
        <v>10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154">
        <f>IFERROR(__xludf.DUMMYFUNCTION("""COMPUTED_VALUE"""),8.0)</f>
        <v>8</v>
      </c>
      <c r="F29" s="154">
        <f>IFERROR(__xludf.DUMMYFUNCTION("""COMPUTED_VALUE"""),2.0)</f>
        <v>2</v>
      </c>
      <c r="G29" s="154"/>
      <c r="H29" s="155">
        <f>IFERROR(__xludf.DUMMYFUNCTION("""COMPUTED_VALUE"""),10.0)</f>
        <v>10</v>
      </c>
      <c r="I29" s="156">
        <f>IFERROR(__xludf.DUMMYFUNCTION("""COMPUTED_VALUE"""),0.0)</f>
        <v>0</v>
      </c>
      <c r="J29" s="157">
        <f>IFERROR(__xludf.DUMMYFUNCTION("""COMPUTED_VALUE"""),10.0)</f>
        <v>10</v>
      </c>
      <c r="K29" s="156"/>
      <c r="L29" s="159">
        <f>IFERROR(__xludf.DUMMYFUNCTION("""COMPUTED_VALUE"""),10.0)</f>
        <v>10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/>
      <c r="H30" s="155">
        <f>IFERROR(__xludf.DUMMYFUNCTION("""COMPUTED_VALUE"""),10.0)</f>
        <v>10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IFERROR(__xludf.DUMMYFUNCTION("""COMPUTED_VALUE"""),10.0)</f>
        <v>10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154">
        <f>IFERROR(__xludf.DUMMYFUNCTION("""COMPUTED_VALUE"""),8.0)</f>
        <v>8</v>
      </c>
      <c r="F31" s="154">
        <f>IFERROR(__xludf.DUMMYFUNCTION("""COMPUTED_VALUE"""),2.0)</f>
        <v>2</v>
      </c>
      <c r="G31" s="154"/>
      <c r="H31" s="155">
        <f>IFERROR(__xludf.DUMMYFUNCTION("""COMPUTED_VALUE"""),10.0)</f>
        <v>10</v>
      </c>
      <c r="I31" s="156">
        <f>IFERROR(__xludf.DUMMYFUNCTION("""COMPUTED_VALUE"""),0.0)</f>
        <v>0</v>
      </c>
      <c r="J31" s="157">
        <f>IFERROR(__xludf.DUMMYFUNCTION("""COMPUTED_VALUE"""),10.0)</f>
        <v>10</v>
      </c>
      <c r="K31" s="156"/>
      <c r="L31" s="159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154">
        <f>IFERROR(__xludf.DUMMYFUNCTION("""COMPUTED_VALUE"""),8.0)</f>
        <v>8</v>
      </c>
      <c r="F32" s="154">
        <f>IFERROR(__xludf.DUMMYFUNCTION("""COMPUTED_VALUE"""),2.0)</f>
        <v>2</v>
      </c>
      <c r="G32" s="154"/>
      <c r="H32" s="155">
        <f>IFERROR(__xludf.DUMMYFUNCTION("""COMPUTED_VALUE"""),10.0)</f>
        <v>10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154">
        <f>IFERROR(__xludf.DUMMYFUNCTION("""COMPUTED_VALUE"""),8.0)</f>
        <v>8</v>
      </c>
      <c r="F33" s="154">
        <f>IFERROR(__xludf.DUMMYFUNCTION("""COMPUTED_VALUE"""),2.0)</f>
        <v>2</v>
      </c>
      <c r="G33" s="154"/>
      <c r="H33" s="155">
        <f>IFERROR(__xludf.DUMMYFUNCTION("""COMPUTED_VALUE"""),10.0)</f>
        <v>10</v>
      </c>
      <c r="I33" s="156">
        <f>IFERROR(__xludf.DUMMYFUNCTION("""COMPUTED_VALUE"""),0.0)</f>
        <v>0</v>
      </c>
      <c r="J33" s="157">
        <f>IFERROR(__xludf.DUMMYFUNCTION("""COMPUTED_VALUE"""),10.0)</f>
        <v>10</v>
      </c>
      <c r="K33" s="156"/>
      <c r="L33" s="159">
        <f>IFERROR(__xludf.DUMMYFUNCTION("""COMPUTED_VALUE"""),10.0)</f>
        <v>10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154">
        <f>IFERROR(__xludf.DUMMYFUNCTION("""COMPUTED_VALUE"""),8.0)</f>
        <v>8</v>
      </c>
      <c r="F34" s="154">
        <f>IFERROR(__xludf.DUMMYFUNCTION("""COMPUTED_VALUE"""),2.0)</f>
        <v>2</v>
      </c>
      <c r="G34" s="154"/>
      <c r="H34" s="155">
        <f>IFERROR(__xludf.DUMMYFUNCTION("""COMPUTED_VALUE"""),10.0)</f>
        <v>10</v>
      </c>
      <c r="I34" s="156">
        <f>IFERROR(__xludf.DUMMYFUNCTION("""COMPUTED_VALUE"""),0.0)</f>
        <v>0</v>
      </c>
      <c r="J34" s="157">
        <f>IFERROR(__xludf.DUMMYFUNCTION("""COMPUTED_VALUE"""),10.0)</f>
        <v>10</v>
      </c>
      <c r="K34" s="156"/>
      <c r="L34" s="159">
        <f>IFERROR(__xludf.DUMMYFUNCTION("""COMPUTED_VALUE"""),10.0)</f>
        <v>10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154">
        <f>IFERROR(__xludf.DUMMYFUNCTION("""COMPUTED_VALUE"""),8.0)</f>
        <v>8</v>
      </c>
      <c r="F35" s="154">
        <f>IFERROR(__xludf.DUMMYFUNCTION("""COMPUTED_VALUE"""),2.0)</f>
        <v>2</v>
      </c>
      <c r="G35" s="154"/>
      <c r="H35" s="155">
        <f>IFERROR(__xludf.DUMMYFUNCTION("""COMPUTED_VALUE"""),10.0)</f>
        <v>10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IFERROR(__xludf.DUMMYFUNCTION("""COMPUTED_VALUE"""),10.0)</f>
        <v>10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154">
        <f>IFERROR(__xludf.DUMMYFUNCTION("""COMPUTED_VALUE"""),8.0)</f>
        <v>8</v>
      </c>
      <c r="F36" s="154">
        <f>IFERROR(__xludf.DUMMYFUNCTION("""COMPUTED_VALUE"""),2.0)</f>
        <v>2</v>
      </c>
      <c r="G36" s="154"/>
      <c r="H36" s="155">
        <f>IFERROR(__xludf.DUMMYFUNCTION("""COMPUTED_VALUE"""),10.0)</f>
        <v>10</v>
      </c>
      <c r="I36" s="156">
        <f>IFERROR(__xludf.DUMMYFUNCTION("""COMPUTED_VALUE"""),0.0)</f>
        <v>0</v>
      </c>
      <c r="J36" s="157">
        <f>IFERROR(__xludf.DUMMYFUNCTION("""COMPUTED_VALUE"""),10.0)</f>
        <v>10</v>
      </c>
      <c r="K36" s="156"/>
      <c r="L36" s="159">
        <f>IFERROR(__xludf.DUMMYFUNCTION("""COMPUTED_VALUE"""),10.0)</f>
        <v>10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154">
        <f>IFERROR(__xludf.DUMMYFUNCTION("""COMPUTED_VALUE"""),7.0)</f>
        <v>7</v>
      </c>
      <c r="F37" s="154">
        <f>IFERROR(__xludf.DUMMYFUNCTION("""COMPUTED_VALUE"""),2.0)</f>
        <v>2</v>
      </c>
      <c r="G37" s="154"/>
      <c r="H37" s="155">
        <f>IFERROR(__xludf.DUMMYFUNCTION("""COMPUTED_VALUE"""),9.0)</f>
        <v>9</v>
      </c>
      <c r="I37" s="156">
        <f>IFERROR(__xludf.DUMMYFUNCTION("""COMPUTED_VALUE"""),2.0)</f>
        <v>2</v>
      </c>
      <c r="J37" s="157">
        <f>IFERROR(__xludf.DUMMYFUNCTION("""COMPUTED_VALUE"""),7.0)</f>
        <v>7</v>
      </c>
      <c r="K37" s="156"/>
      <c r="L37" s="159">
        <f>IFERROR(__xludf.DUMMYFUNCTION("""COMPUTED_VALUE"""),9.0)</f>
        <v>9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154">
        <f>IFERROR(__xludf.DUMMYFUNCTION("""COMPUTED_VALUE"""),8.0)</f>
        <v>8</v>
      </c>
      <c r="F38" s="154">
        <f>IFERROR(__xludf.DUMMYFUNCTION("""COMPUTED_VALUE"""),2.0)</f>
        <v>2</v>
      </c>
      <c r="G38" s="154"/>
      <c r="H38" s="155">
        <f>IFERROR(__xludf.DUMMYFUNCTION("""COMPUTED_VALUE"""),10.0)</f>
        <v>10</v>
      </c>
      <c r="I38" s="156">
        <f>IFERROR(__xludf.DUMMYFUNCTION("""COMPUTED_VALUE"""),0.0)</f>
        <v>0</v>
      </c>
      <c r="J38" s="157">
        <f>IFERROR(__xludf.DUMMYFUNCTION("""COMPUTED_VALUE"""),10.0)</f>
        <v>10</v>
      </c>
      <c r="K38" s="156"/>
      <c r="L38" s="159">
        <f>IFERROR(__xludf.DUMMYFUNCTION("""COMPUTED_VALUE"""),10.0)</f>
        <v>10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154">
        <f>IFERROR(__xludf.DUMMYFUNCTION("""COMPUTED_VALUE"""),8.0)</f>
        <v>8</v>
      </c>
      <c r="F39" s="154">
        <f>IFERROR(__xludf.DUMMYFUNCTION("""COMPUTED_VALUE"""),2.0)</f>
        <v>2</v>
      </c>
      <c r="G39" s="154"/>
      <c r="H39" s="155">
        <f>IFERROR(__xludf.DUMMYFUNCTION("""COMPUTED_VALUE"""),10.0)</f>
        <v>10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154">
        <f>IFERROR(__xludf.DUMMYFUNCTION("""COMPUTED_VALUE"""),8.0)</f>
        <v>8</v>
      </c>
      <c r="F40" s="154">
        <f>IFERROR(__xludf.DUMMYFUNCTION("""COMPUTED_VALUE"""),2.0)</f>
        <v>2</v>
      </c>
      <c r="G40" s="154"/>
      <c r="H40" s="155">
        <f>IFERROR(__xludf.DUMMYFUNCTION("""COMPUTED_VALUE"""),10.0)</f>
        <v>10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IFERROR(__xludf.DUMMYFUNCTION("""COMPUTED_VALUE"""),10.0)</f>
        <v>10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154">
        <f>IFERROR(__xludf.DUMMYFUNCTION("""COMPUTED_VALUE"""),8.0)</f>
        <v>8</v>
      </c>
      <c r="F41" s="154">
        <f>IFERROR(__xludf.DUMMYFUNCTION("""COMPUTED_VALUE"""),2.0)</f>
        <v>2</v>
      </c>
      <c r="G41" s="154"/>
      <c r="H41" s="155">
        <f>IFERROR(__xludf.DUMMYFUNCTION("""COMPUTED_VALUE"""),10.0)</f>
        <v>10</v>
      </c>
      <c r="I41" s="156">
        <f>IFERROR(__xludf.DUMMYFUNCTION("""COMPUTED_VALUE"""),0.0)</f>
        <v>0</v>
      </c>
      <c r="J41" s="157">
        <f>IFERROR(__xludf.DUMMYFUNCTION("""COMPUTED_VALUE"""),10.0)</f>
        <v>10</v>
      </c>
      <c r="K41" s="156"/>
      <c r="L41" s="159">
        <f>IFERROR(__xludf.DUMMYFUNCTION("""COMPUTED_VALUE"""),10.0)</f>
        <v>10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154">
        <f>IFERROR(__xludf.DUMMYFUNCTION("""COMPUTED_VALUE"""),8.0)</f>
        <v>8</v>
      </c>
      <c r="F42" s="154">
        <f>IFERROR(__xludf.DUMMYFUNCTION("""COMPUTED_VALUE"""),2.0)</f>
        <v>2</v>
      </c>
      <c r="G42" s="154"/>
      <c r="H42" s="155">
        <f>IFERROR(__xludf.DUMMYFUNCTION("""COMPUTED_VALUE"""),10.0)</f>
        <v>10</v>
      </c>
      <c r="I42" s="156">
        <f>IFERROR(__xludf.DUMMYFUNCTION("""COMPUTED_VALUE"""),0.0)</f>
        <v>0</v>
      </c>
      <c r="J42" s="157">
        <f>IFERROR(__xludf.DUMMYFUNCTION("""COMPUTED_VALUE"""),10.0)</f>
        <v>10</v>
      </c>
      <c r="K42" s="156"/>
      <c r="L42" s="159">
        <f>IFERROR(__xludf.DUMMYFUNCTION("""COMPUTED_VALUE"""),10.0)</f>
        <v>10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154">
        <f>IFERROR(__xludf.DUMMYFUNCTION("""COMPUTED_VALUE"""),8.0)</f>
        <v>8</v>
      </c>
      <c r="F43" s="154">
        <f>IFERROR(__xludf.DUMMYFUNCTION("""COMPUTED_VALUE"""),2.0)</f>
        <v>2</v>
      </c>
      <c r="G43" s="154"/>
      <c r="H43" s="155">
        <f>IFERROR(__xludf.DUMMYFUNCTION("""COMPUTED_VALUE"""),10.0)</f>
        <v>10</v>
      </c>
      <c r="I43" s="156">
        <f>IFERROR(__xludf.DUMMYFUNCTION("""COMPUTED_VALUE"""),0.0)</f>
        <v>0</v>
      </c>
      <c r="J43" s="157">
        <f>IFERROR(__xludf.DUMMYFUNCTION("""COMPUTED_VALUE"""),10.0)</f>
        <v>10</v>
      </c>
      <c r="K43" s="156"/>
      <c r="L43" s="159">
        <f>IFERROR(__xludf.DUMMYFUNCTION("""COMPUTED_VALUE"""),10.0)</f>
        <v>10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154">
        <f>IFERROR(__xludf.DUMMYFUNCTION("""COMPUTED_VALUE"""),8.0)</f>
        <v>8</v>
      </c>
      <c r="F44" s="154">
        <f>IFERROR(__xludf.DUMMYFUNCTION("""COMPUTED_VALUE"""),2.0)</f>
        <v>2</v>
      </c>
      <c r="G44" s="154"/>
      <c r="H44" s="155">
        <f>IFERROR(__xludf.DUMMYFUNCTION("""COMPUTED_VALUE"""),10.0)</f>
        <v>10</v>
      </c>
      <c r="I44" s="156">
        <f>IFERROR(__xludf.DUMMYFUNCTION("""COMPUTED_VALUE"""),0.0)</f>
        <v>0</v>
      </c>
      <c r="J44" s="157">
        <f>IFERROR(__xludf.DUMMYFUNCTION("""COMPUTED_VALUE"""),10.0)</f>
        <v>10</v>
      </c>
      <c r="K44" s="156"/>
      <c r="L44" s="159">
        <f>IFERROR(__xludf.DUMMYFUNCTION("""COMPUTED_VALUE"""),10.0)</f>
        <v>10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154">
        <f>IFERROR(__xludf.DUMMYFUNCTION("""COMPUTED_VALUE"""),8.0)</f>
        <v>8</v>
      </c>
      <c r="F45" s="154">
        <f>IFERROR(__xludf.DUMMYFUNCTION("""COMPUTED_VALUE"""),2.0)</f>
        <v>2</v>
      </c>
      <c r="G45" s="154"/>
      <c r="H45" s="155">
        <f>IFERROR(__xludf.DUMMYFUNCTION("""COMPUTED_VALUE"""),10.0)</f>
        <v>10</v>
      </c>
      <c r="I45" s="156">
        <f>IFERROR(__xludf.DUMMYFUNCTION("""COMPUTED_VALUE"""),0.0)</f>
        <v>0</v>
      </c>
      <c r="J45" s="157">
        <f>IFERROR(__xludf.DUMMYFUNCTION("""COMPUTED_VALUE"""),10.0)</f>
        <v>10</v>
      </c>
      <c r="K45" s="156"/>
      <c r="L45" s="159">
        <f>IFERROR(__xludf.DUMMYFUNCTION("""COMPUTED_VALUE"""),10.0)</f>
        <v>10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154">
        <f>IFERROR(__xludf.DUMMYFUNCTION("""COMPUTED_VALUE"""),8.0)</f>
        <v>8</v>
      </c>
      <c r="F46" s="154">
        <f>IFERROR(__xludf.DUMMYFUNCTION("""COMPUTED_VALUE"""),2.0)</f>
        <v>2</v>
      </c>
      <c r="G46" s="154"/>
      <c r="H46" s="155">
        <f>IFERROR(__xludf.DUMMYFUNCTION("""COMPUTED_VALUE"""),10.0)</f>
        <v>10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IFERROR(__xludf.DUMMYFUNCTION("""COMPUTED_VALUE"""),10.0)</f>
        <v>10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154">
        <f>IFERROR(__xludf.DUMMYFUNCTION("""COMPUTED_VALUE"""),4.0)</f>
        <v>4</v>
      </c>
      <c r="F47" s="154">
        <f>IFERROR(__xludf.DUMMYFUNCTION("""COMPUTED_VALUE"""),2.0)</f>
        <v>2</v>
      </c>
      <c r="G47" s="154"/>
      <c r="H47" s="155">
        <f>IFERROR(__xludf.DUMMYFUNCTION("""COMPUTED_VALUE"""),6.0)</f>
        <v>6</v>
      </c>
      <c r="I47" s="156"/>
      <c r="J47" s="157">
        <f>IFERROR(__xludf.DUMMYFUNCTION("""COMPUTED_VALUE"""),6.0)</f>
        <v>6</v>
      </c>
      <c r="K47" s="156"/>
      <c r="L47" s="159">
        <f>IFERROR(__xludf.DUMMYFUNCTION("""COMPUTED_VALUE"""),6.0)</f>
        <v>6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154">
        <f>IFERROR(__xludf.DUMMYFUNCTION("""COMPUTED_VALUE"""),8.0)</f>
        <v>8</v>
      </c>
      <c r="F48" s="154">
        <f>IFERROR(__xludf.DUMMYFUNCTION("""COMPUTED_VALUE"""),2.0)</f>
        <v>2</v>
      </c>
      <c r="G48" s="154"/>
      <c r="H48" s="155">
        <f>IFERROR(__xludf.DUMMYFUNCTION("""COMPUTED_VALUE"""),10.0)</f>
        <v>10</v>
      </c>
      <c r="I48" s="156"/>
      <c r="J48" s="157">
        <f>IFERROR(__xludf.DUMMYFUNCTION("""COMPUTED_VALUE"""),10.0)</f>
        <v>10</v>
      </c>
      <c r="K48" s="156"/>
      <c r="L48" s="159">
        <f>IFERROR(__xludf.DUMMYFUNCTION("""COMPUTED_VALUE"""),10.0)</f>
        <v>10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154">
        <f>IFERROR(__xludf.DUMMYFUNCTION("""COMPUTED_VALUE"""),4.0)</f>
        <v>4</v>
      </c>
      <c r="F49" s="154">
        <f>IFERROR(__xludf.DUMMYFUNCTION("""COMPUTED_VALUE"""),2.0)</f>
        <v>2</v>
      </c>
      <c r="G49" s="154">
        <f>IFERROR(__xludf.DUMMYFUNCTION("""COMPUTED_VALUE"""),1.0)</f>
        <v>1</v>
      </c>
      <c r="H49" s="155">
        <f>IFERROR(__xludf.DUMMYFUNCTION("""COMPUTED_VALUE"""),7.0)</f>
        <v>7</v>
      </c>
      <c r="I49" s="156">
        <f>IFERROR(__xludf.DUMMYFUNCTION("""COMPUTED_VALUE"""),0.0)</f>
        <v>0</v>
      </c>
      <c r="J49" s="157">
        <f>IFERROR(__xludf.DUMMYFUNCTION("""COMPUTED_VALUE"""),7.0)</f>
        <v>7</v>
      </c>
      <c r="K49" s="156"/>
      <c r="L49" s="159">
        <f>IFERROR(__xludf.DUMMYFUNCTION("""COMPUTED_VALUE"""),7.0)</f>
        <v>7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154">
        <f>IFERROR(__xludf.DUMMYFUNCTION("""COMPUTED_VALUE"""),8.0)</f>
        <v>8</v>
      </c>
      <c r="F50" s="154">
        <f>IFERROR(__xludf.DUMMYFUNCTION("""COMPUTED_VALUE"""),2.0)</f>
        <v>2</v>
      </c>
      <c r="G50" s="154"/>
      <c r="H50" s="155">
        <f>IFERROR(__xludf.DUMMYFUNCTION("""COMPUTED_VALUE"""),10.0)</f>
        <v>10</v>
      </c>
      <c r="I50" s="156">
        <f>IFERROR(__xludf.DUMMYFUNCTION("""COMPUTED_VALUE"""),0.0)</f>
        <v>0</v>
      </c>
      <c r="J50" s="157">
        <f>IFERROR(__xludf.DUMMYFUNCTION("""COMPUTED_VALUE"""),10.0)</f>
        <v>10</v>
      </c>
      <c r="K50" s="156"/>
      <c r="L50" s="159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154">
        <f>IFERROR(__xludf.DUMMYFUNCTION("""COMPUTED_VALUE"""),8.0)</f>
        <v>8</v>
      </c>
      <c r="F51" s="154">
        <f>IFERROR(__xludf.DUMMYFUNCTION("""COMPUTED_VALUE"""),2.0)</f>
        <v>2</v>
      </c>
      <c r="G51" s="154"/>
      <c r="H51" s="155">
        <f>IFERROR(__xludf.DUMMYFUNCTION("""COMPUTED_VALUE"""),10.0)</f>
        <v>10</v>
      </c>
      <c r="I51" s="156">
        <f>IFERROR(__xludf.DUMMYFUNCTION("""COMPUTED_VALUE"""),2.0)</f>
        <v>2</v>
      </c>
      <c r="J51" s="157">
        <f>IFERROR(__xludf.DUMMYFUNCTION("""COMPUTED_VALUE"""),10.0)</f>
        <v>10</v>
      </c>
      <c r="K51" s="156"/>
      <c r="L51" s="159">
        <f>IFERROR(__xludf.DUMMYFUNCTION("""COMPUTED_VALUE"""),10.0)</f>
        <v>10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154">
        <f>IFERROR(__xludf.DUMMYFUNCTION("""COMPUTED_VALUE"""),8.0)</f>
        <v>8</v>
      </c>
      <c r="F52" s="154">
        <f>IFERROR(__xludf.DUMMYFUNCTION("""COMPUTED_VALUE"""),2.0)</f>
        <v>2</v>
      </c>
      <c r="G52" s="154"/>
      <c r="H52" s="155">
        <f>IFERROR(__xludf.DUMMYFUNCTION("""COMPUTED_VALUE"""),10.0)</f>
        <v>10</v>
      </c>
      <c r="I52" s="156">
        <f>IFERROR(__xludf.DUMMYFUNCTION("""COMPUTED_VALUE"""),0.0)</f>
        <v>0</v>
      </c>
      <c r="J52" s="157">
        <f>IFERROR(__xludf.DUMMYFUNCTION("""COMPUTED_VALUE"""),10.0)</f>
        <v>10</v>
      </c>
      <c r="K52" s="156"/>
      <c r="L52" s="160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154">
        <f>IFERROR(__xludf.DUMMYFUNCTION("""COMPUTED_VALUE"""),8.0)</f>
        <v>8</v>
      </c>
      <c r="F53" s="154">
        <f>IFERROR(__xludf.DUMMYFUNCTION("""COMPUTED_VALUE"""),2.0)</f>
        <v>2</v>
      </c>
      <c r="G53" s="154"/>
      <c r="H53" s="155">
        <f>IFERROR(__xludf.DUMMYFUNCTION("""COMPUTED_VALUE"""),10.0)</f>
        <v>10</v>
      </c>
      <c r="I53" s="156">
        <f>IFERROR(__xludf.DUMMYFUNCTION("""COMPUTED_VALUE"""),0.0)</f>
        <v>0</v>
      </c>
      <c r="J53" s="157">
        <f>IFERROR(__xludf.DUMMYFUNCTION("""COMPUTED_VALUE"""),10.0)</f>
        <v>10</v>
      </c>
      <c r="K53" s="156"/>
      <c r="L53" s="160">
        <f>IFERROR(__xludf.DUMMYFUNCTION("""COMPUTED_VALUE"""),10.0)</f>
        <v>10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154">
        <f>IFERROR(__xludf.DUMMYFUNCTION("""COMPUTED_VALUE"""),8.0)</f>
        <v>8</v>
      </c>
      <c r="F54" s="154">
        <f>IFERROR(__xludf.DUMMYFUNCTION("""COMPUTED_VALUE"""),2.0)</f>
        <v>2</v>
      </c>
      <c r="G54" s="154"/>
      <c r="H54" s="155">
        <f>IFERROR(__xludf.DUMMYFUNCTION("""COMPUTED_VALUE"""),10.0)</f>
        <v>10</v>
      </c>
      <c r="I54" s="156">
        <f>IFERROR(__xludf.DUMMYFUNCTION("""COMPUTED_VALUE"""),0.0)</f>
        <v>0</v>
      </c>
      <c r="J54" s="157">
        <f>IFERROR(__xludf.DUMMYFUNCTION("""COMPUTED_VALUE"""),10.0)</f>
        <v>10</v>
      </c>
      <c r="K54" s="156"/>
      <c r="L54" s="160">
        <f>IFERROR(__xludf.DUMMYFUNCTION("""COMPUTED_VALUE"""),10.0)</f>
        <v>10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154">
        <f>IFERROR(__xludf.DUMMYFUNCTION("""COMPUTED_VALUE"""),8.0)</f>
        <v>8</v>
      </c>
      <c r="F55" s="154">
        <f>IFERROR(__xludf.DUMMYFUNCTION("""COMPUTED_VALUE"""),2.0)</f>
        <v>2</v>
      </c>
      <c r="G55" s="154"/>
      <c r="H55" s="155">
        <f>IFERROR(__xludf.DUMMYFUNCTION("""COMPUTED_VALUE"""),10.0)</f>
        <v>10</v>
      </c>
      <c r="I55" s="161">
        <f>IFERROR(__xludf.DUMMYFUNCTION("""COMPUTED_VALUE"""),2.0)</f>
        <v>2</v>
      </c>
      <c r="J55" s="157">
        <f>IFERROR(__xludf.DUMMYFUNCTION("""COMPUTED_VALUE"""),10.0)</f>
        <v>10</v>
      </c>
      <c r="K55" s="156"/>
      <c r="L55" s="160">
        <f>IFERROR(__xludf.DUMMYFUNCTION("""COMPUTED_VALUE"""),10.0)</f>
        <v>10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154">
        <f>IFERROR(__xludf.DUMMYFUNCTION("""COMPUTED_VALUE"""),8.0)</f>
        <v>8</v>
      </c>
      <c r="F56" s="154">
        <f>IFERROR(__xludf.DUMMYFUNCTION("""COMPUTED_VALUE"""),2.0)</f>
        <v>2</v>
      </c>
      <c r="G56" s="154"/>
      <c r="H56" s="155">
        <f>IFERROR(__xludf.DUMMYFUNCTION("""COMPUTED_VALUE"""),10.0)</f>
        <v>10</v>
      </c>
      <c r="I56" s="161">
        <f>IFERROR(__xludf.DUMMYFUNCTION("""COMPUTED_VALUE"""),0.0)</f>
        <v>0</v>
      </c>
      <c r="J56" s="157">
        <f>IFERROR(__xludf.DUMMYFUNCTION("""COMPUTED_VALUE"""),10.0)</f>
        <v>10</v>
      </c>
      <c r="K56" s="156"/>
      <c r="L56" s="160">
        <f>IFERROR(__xludf.DUMMYFUNCTION("""COMPUTED_VALUE"""),10.0)</f>
        <v>10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154">
        <f>IFERROR(__xludf.DUMMYFUNCTION("""COMPUTED_VALUE"""),8.0)</f>
        <v>8</v>
      </c>
      <c r="F57" s="154">
        <f>IFERROR(__xludf.DUMMYFUNCTION("""COMPUTED_VALUE"""),2.0)</f>
        <v>2</v>
      </c>
      <c r="G57" s="154"/>
      <c r="H57" s="155">
        <f>IFERROR(__xludf.DUMMYFUNCTION("""COMPUTED_VALUE"""),10.0)</f>
        <v>10</v>
      </c>
      <c r="I57" s="161">
        <f>IFERROR(__xludf.DUMMYFUNCTION("""COMPUTED_VALUE"""),2.0)</f>
        <v>2</v>
      </c>
      <c r="J57" s="157">
        <f>IFERROR(__xludf.DUMMYFUNCTION("""COMPUTED_VALUE"""),10.0)</f>
        <v>10</v>
      </c>
      <c r="K57" s="156"/>
      <c r="L57" s="160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154">
        <f>IFERROR(__xludf.DUMMYFUNCTION("""COMPUTED_VALUE"""),8.0)</f>
        <v>8</v>
      </c>
      <c r="F58" s="154">
        <f>IFERROR(__xludf.DUMMYFUNCTION("""COMPUTED_VALUE"""),2.0)</f>
        <v>2</v>
      </c>
      <c r="G58" s="154"/>
      <c r="H58" s="155">
        <f>IFERROR(__xludf.DUMMYFUNCTION("""COMPUTED_VALUE"""),10.0)</f>
        <v>10</v>
      </c>
      <c r="I58" s="161">
        <f>IFERROR(__xludf.DUMMYFUNCTION("""COMPUTED_VALUE"""),0.0)</f>
        <v>0</v>
      </c>
      <c r="J58" s="157">
        <f>IFERROR(__xludf.DUMMYFUNCTION("""COMPUTED_VALUE"""),10.0)</f>
        <v>10</v>
      </c>
      <c r="K58" s="156"/>
      <c r="L58" s="160">
        <f>IFERROR(__xludf.DUMMYFUNCTION("""COMPUTED_VALUE"""),10.0)</f>
        <v>10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154">
        <f>IFERROR(__xludf.DUMMYFUNCTION("""COMPUTED_VALUE"""),8.0)</f>
        <v>8</v>
      </c>
      <c r="F59" s="154">
        <f>IFERROR(__xludf.DUMMYFUNCTION("""COMPUTED_VALUE"""),2.0)</f>
        <v>2</v>
      </c>
      <c r="G59" s="154"/>
      <c r="H59" s="155">
        <f>IFERROR(__xludf.DUMMYFUNCTION("""COMPUTED_VALUE"""),10.0)</f>
        <v>10</v>
      </c>
      <c r="I59" s="161">
        <f>IFERROR(__xludf.DUMMYFUNCTION("""COMPUTED_VALUE"""),0.0)</f>
        <v>0</v>
      </c>
      <c r="J59" s="157">
        <f>IFERROR(__xludf.DUMMYFUNCTION("""COMPUTED_VALUE"""),10.0)</f>
        <v>10</v>
      </c>
      <c r="K59" s="156"/>
      <c r="L59" s="160">
        <f>IFERROR(__xludf.DUMMYFUNCTION("""COMPUTED_VALUE"""),10.0)</f>
        <v>10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154">
        <f>IFERROR(__xludf.DUMMYFUNCTION("""COMPUTED_VALUE"""),8.0)</f>
        <v>8</v>
      </c>
      <c r="F60" s="154">
        <f>IFERROR(__xludf.DUMMYFUNCTION("""COMPUTED_VALUE"""),2.0)</f>
        <v>2</v>
      </c>
      <c r="G60" s="154"/>
      <c r="H60" s="155">
        <f>IFERROR(__xludf.DUMMYFUNCTION("""COMPUTED_VALUE"""),10.0)</f>
        <v>10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IFERROR(__xludf.DUMMYFUNCTION("""COMPUTED_VALUE"""),10.0)</f>
        <v>10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154">
        <f>IFERROR(__xludf.DUMMYFUNCTION("""COMPUTED_VALUE"""),8.0)</f>
        <v>8</v>
      </c>
      <c r="F61" s="154">
        <f>IFERROR(__xludf.DUMMYFUNCTION("""COMPUTED_VALUE"""),2.0)</f>
        <v>2</v>
      </c>
      <c r="G61" s="154"/>
      <c r="H61" s="155">
        <f>IFERROR(__xludf.DUMMYFUNCTION("""COMPUTED_VALUE"""),10.0)</f>
        <v>10</v>
      </c>
      <c r="I61" s="161">
        <f>IFERROR(__xludf.DUMMYFUNCTION("""COMPUTED_VALUE"""),2.0)</f>
        <v>2</v>
      </c>
      <c r="J61" s="157">
        <f>IFERROR(__xludf.DUMMYFUNCTION("""COMPUTED_VALUE"""),10.0)</f>
        <v>10</v>
      </c>
      <c r="K61" s="156"/>
      <c r="L61" s="160">
        <f>IFERROR(__xludf.DUMMYFUNCTION("""COMPUTED_VALUE"""),10.0)</f>
        <v>10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154">
        <f>IFERROR(__xludf.DUMMYFUNCTION("""COMPUTED_VALUE"""),8.0)</f>
        <v>8</v>
      </c>
      <c r="F62" s="154">
        <f>IFERROR(__xludf.DUMMYFUNCTION("""COMPUTED_VALUE"""),2.0)</f>
        <v>2</v>
      </c>
      <c r="G62" s="154"/>
      <c r="H62" s="155">
        <f>IFERROR(__xludf.DUMMYFUNCTION("""COMPUTED_VALUE"""),10.0)</f>
        <v>10</v>
      </c>
      <c r="I62" s="161">
        <f>IFERROR(__xludf.DUMMYFUNCTION("""COMPUTED_VALUE"""),0.0)</f>
        <v>0</v>
      </c>
      <c r="J62" s="157">
        <f>IFERROR(__xludf.DUMMYFUNCTION("""COMPUTED_VALUE"""),10.0)</f>
        <v>10</v>
      </c>
      <c r="K62" s="156"/>
      <c r="L62" s="160">
        <f>IFERROR(__xludf.DUMMYFUNCTION("""COMPUTED_VALUE"""),10.0)</f>
        <v>10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154">
        <f>IFERROR(__xludf.DUMMYFUNCTION("""COMPUTED_VALUE"""),8.0)</f>
        <v>8</v>
      </c>
      <c r="F63" s="154">
        <f>IFERROR(__xludf.DUMMYFUNCTION("""COMPUTED_VALUE"""),2.0)</f>
        <v>2</v>
      </c>
      <c r="G63" s="154"/>
      <c r="H63" s="155">
        <f>IFERROR(__xludf.DUMMYFUNCTION("""COMPUTED_VALUE"""),10.0)</f>
        <v>10</v>
      </c>
      <c r="I63" s="161">
        <f>IFERROR(__xludf.DUMMYFUNCTION("""COMPUTED_VALUE"""),0.0)</f>
        <v>0</v>
      </c>
      <c r="J63" s="157">
        <f>IFERROR(__xludf.DUMMYFUNCTION("""COMPUTED_VALUE"""),10.0)</f>
        <v>10</v>
      </c>
      <c r="K63" s="156"/>
      <c r="L63" s="160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154">
        <f>IFERROR(__xludf.DUMMYFUNCTION("""COMPUTED_VALUE"""),8.0)</f>
        <v>8</v>
      </c>
      <c r="F64" s="154">
        <f>IFERROR(__xludf.DUMMYFUNCTION("""COMPUTED_VALUE"""),2.0)</f>
        <v>2</v>
      </c>
      <c r="G64" s="154"/>
      <c r="H64" s="155">
        <f>IFERROR(__xludf.DUMMYFUNCTION("""COMPUTED_VALUE"""),10.0)</f>
        <v>10</v>
      </c>
      <c r="I64" s="161">
        <f>IFERROR(__xludf.DUMMYFUNCTION("""COMPUTED_VALUE"""),0.0)</f>
        <v>0</v>
      </c>
      <c r="J64" s="157">
        <f>IFERROR(__xludf.DUMMYFUNCTION("""COMPUTED_VALUE"""),10.0)</f>
        <v>10</v>
      </c>
      <c r="K64" s="156"/>
      <c r="L64" s="160">
        <f>IFERROR(__xludf.DUMMYFUNCTION("""COMPUTED_VALUE"""),10.0)</f>
        <v>10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154">
        <f>IFERROR(__xludf.DUMMYFUNCTION("""COMPUTED_VALUE"""),8.0)</f>
        <v>8</v>
      </c>
      <c r="F65" s="154">
        <f>IFERROR(__xludf.DUMMYFUNCTION("""COMPUTED_VALUE"""),2.0)</f>
        <v>2</v>
      </c>
      <c r="G65" s="154"/>
      <c r="H65" s="155">
        <f>IFERROR(__xludf.DUMMYFUNCTION("""COMPUTED_VALUE"""),10.0)</f>
        <v>10</v>
      </c>
      <c r="I65" s="161">
        <f>IFERROR(__xludf.DUMMYFUNCTION("""COMPUTED_VALUE"""),0.0)</f>
        <v>0</v>
      </c>
      <c r="J65" s="157">
        <f>IFERROR(__xludf.DUMMYFUNCTION("""COMPUTED_VALUE"""),8.0)</f>
        <v>8</v>
      </c>
      <c r="K65" s="156"/>
      <c r="L65" s="160">
        <f>IFERROR(__xludf.DUMMYFUNCTION("""COMPUTED_VALUE"""),10.0)</f>
        <v>10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6"/>
      <c r="B66" s="162"/>
      <c r="C66" s="162"/>
      <c r="D66" s="127"/>
      <c r="E66" s="163"/>
      <c r="F66" s="163"/>
      <c r="G66" s="163"/>
      <c r="H66" s="163"/>
      <c r="I66" s="132"/>
      <c r="J66" s="164"/>
      <c r="K66" s="128"/>
      <c r="L66" s="164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65" t="str">
        <f>IFERROR(__xludf.DUMMYFUNCTION("""COMPUTED_VALUE"""),"No. DE ALUMNOS INSCRITOS")</f>
        <v>No. DE ALUMNOS INSCRITOS</v>
      </c>
      <c r="C67" s="73"/>
      <c r="D67" s="166">
        <f>IFERROR(__xludf.DUMMYFUNCTION("""COMPUTED_VALUE"""),49.0)</f>
        <v>49</v>
      </c>
      <c r="E67" s="163"/>
      <c r="F67" s="167" t="str">
        <f>IFERROR(__xludf.DUMMYFUNCTION("""COMPUTED_VALUE"""),"FIRMA DEL PROFESOR")</f>
        <v>FIRMA DEL PROFESOR</v>
      </c>
      <c r="G67" s="163"/>
      <c r="H67" s="167" t="str">
        <f>IFERROR(__xludf.DUMMYFUNCTION("""COMPUTED_VALUE"""),"FIRMA DEL ORIENTADOR")</f>
        <v>FIRMA DEL ORIENTADOR</v>
      </c>
      <c r="J67" s="168" t="str">
        <f>IFERROR(__xludf.DUMMYFUNCTION("""COMPUTED_VALUE"""),"Vo. Bo. SUBDIRECCIÓN ESCOLAR")</f>
        <v>Vo. Bo. SUBDIRECCIÓN ESCOLAR</v>
      </c>
      <c r="K67" s="169" t="str">
        <f>IFERROR(__xludf.DUMMYFUNCTION("""COMPUTED_VALUE"""),"REVISADO POR SECRETARIA ESCOLAR ")</f>
        <v>REVISADO POR SECRETARIA ESCOLAR </v>
      </c>
      <c r="L67" s="164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0" t="str">
        <f>IFERROR(__xludf.DUMMYFUNCTION("""COMPUTED_VALUE"""),"BAJAS DURANTE EL SEMESTRE")</f>
        <v>BAJAS DURANTE EL SEMESTRE</v>
      </c>
      <c r="C68" s="80"/>
      <c r="D68" s="171">
        <f>IFERROR(__xludf.DUMMYFUNCTION("""COMPUTED_VALUE"""),0.0)</f>
        <v>0</v>
      </c>
      <c r="E68" s="163"/>
      <c r="G68" s="163"/>
      <c r="K68" s="10"/>
      <c r="L68" s="164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21"/>
      <c r="B69" s="170" t="str">
        <f>IFERROR(__xludf.DUMMYFUNCTION("""COMPUTED_VALUE"""),"EXISTENCIA")</f>
        <v>EXISTENCIA</v>
      </c>
      <c r="C69" s="80"/>
      <c r="D69" s="172">
        <f>IFERROR(__xludf.DUMMYFUNCTION("""COMPUTED_VALUE"""),49.0)</f>
        <v>49</v>
      </c>
      <c r="E69" s="163"/>
      <c r="F69" s="163"/>
      <c r="G69" s="163"/>
      <c r="H69" s="163"/>
      <c r="I69" s="132"/>
      <c r="J69" s="164"/>
      <c r="K69" s="128"/>
      <c r="L69" s="164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21"/>
      <c r="B70" s="170" t="str">
        <f>IFERROR(__xludf.DUMMYFUNCTION("""COMPUTED_VALUE"""),"No. DE ALUMNOS APROBADOS")</f>
        <v>No. DE ALUMNOS APROBADOS</v>
      </c>
      <c r="C70" s="80"/>
      <c r="D70" s="172">
        <f>IFERROR(__xludf.DUMMYFUNCTION("""COMPUTED_VALUE"""),49.0)</f>
        <v>49</v>
      </c>
      <c r="E70" s="163"/>
      <c r="F70" s="163"/>
      <c r="G70" s="163"/>
      <c r="H70" s="163"/>
      <c r="I70" s="132"/>
      <c r="J70" s="164"/>
      <c r="K70" s="128"/>
      <c r="L70" s="164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13.5" customHeight="1">
      <c r="A71" s="121"/>
      <c r="B71" s="170" t="str">
        <f>IFERROR(__xludf.DUMMYFUNCTION("""COMPUTED_VALUE"""),"No. DE ALUMNOS REPROBADOS")</f>
        <v>No. DE ALUMNOS REPROBADOS</v>
      </c>
      <c r="C71" s="80"/>
      <c r="D71" s="172">
        <f>IFERROR(__xludf.DUMMYFUNCTION("""COMPUTED_VALUE"""),0.0)</f>
        <v>0</v>
      </c>
      <c r="E71" s="132"/>
      <c r="F71" s="173"/>
      <c r="G71" s="127"/>
      <c r="H71" s="173"/>
      <c r="I71" s="173"/>
      <c r="J71" s="174"/>
      <c r="K71" s="175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76"/>
      <c r="B72" s="177" t="str">
        <f>IFERROR(__xludf.DUMMYFUNCTION("""COMPUTED_VALUE"""),"% DE APROBADOS")</f>
        <v>% DE APROBADOS</v>
      </c>
      <c r="C72" s="80"/>
      <c r="D72" s="178">
        <f>IFERROR(__xludf.DUMMYFUNCTION("""COMPUTED_VALUE"""),100.0)</f>
        <v>100</v>
      </c>
      <c r="E72" s="127"/>
      <c r="F72" s="179" t="str">
        <f>IFERROR(__xludf.DUMMYFUNCTION("""COMPUTED_VALUE"""),"PROFR. ")</f>
        <v>PROFR. </v>
      </c>
      <c r="G72" s="130"/>
      <c r="H72" s="120" t="str">
        <f>IFERROR(__xludf.DUMMYFUNCTION("""COMPUTED_VALUE"""),"PROFRA. ANA ISABEL CORREA SALGADO")</f>
        <v>PROFRA. ANA ISABEL CORREA SALGADO</v>
      </c>
      <c r="J72" s="180" t="str">
        <f>IFERROR(__xludf.DUMMYFUNCTION("""COMPUTED_VALUE"""),"PROFR. OCTAVIO VÁZQUEZ BARRETO")</f>
        <v>PROFR. OCTAVIO VÁZQUEZ BARRETO</v>
      </c>
      <c r="K72" s="181" t="str">
        <f>IFERROR(__xludf.DUMMYFUNCTION("""COMPUTED_VALUE"""),"PROFR. ROBERTO PALOMARES MEJÍA ")</f>
        <v>PROFR. ROBERTO PALOMARES MEJÍA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76"/>
      <c r="B73" s="182" t="str">
        <f>IFERROR(__xludf.DUMMYFUNCTION("""COMPUTED_VALUE"""),"PROMEDIO")</f>
        <v>PROMEDIO</v>
      </c>
      <c r="C73" s="99"/>
      <c r="D73" s="183">
        <f>IFERROR(__xludf.DUMMYFUNCTION("""COMPUTED_VALUE"""),9.53061224489796)</f>
        <v>9.530612245</v>
      </c>
      <c r="E73" s="127"/>
      <c r="G73" s="130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84"/>
      <c r="B74" s="121"/>
      <c r="C74" s="121"/>
      <c r="D74" s="121"/>
      <c r="E74" s="121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85"/>
      <c r="B75" s="186"/>
      <c r="C75" s="187"/>
      <c r="D75" s="188"/>
      <c r="E75" s="127"/>
      <c r="G75" s="127"/>
      <c r="H75" s="127"/>
      <c r="I75" s="127"/>
      <c r="J75" s="127"/>
      <c r="K75" s="189"/>
      <c r="L75" s="127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0"/>
      <c r="B76" s="127"/>
      <c r="C76" s="127"/>
      <c r="D76" s="162"/>
      <c r="E76" s="127"/>
      <c r="F76" s="121"/>
      <c r="G76" s="121"/>
      <c r="H76" s="121"/>
      <c r="I76" s="121"/>
      <c r="J76" s="121"/>
      <c r="K76" s="128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7.75" customHeight="1">
      <c r="A77" s="190"/>
      <c r="B77" s="127"/>
      <c r="C77" s="127"/>
      <c r="D77" s="191"/>
      <c r="E77" s="127"/>
      <c r="F77" s="192"/>
      <c r="G77" s="121"/>
      <c r="H77" s="192"/>
      <c r="I77" s="192"/>
      <c r="J77" s="192"/>
      <c r="K77" s="193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21.75" customHeight="1">
      <c r="A78" s="194"/>
      <c r="B78" s="195"/>
      <c r="C78" s="195"/>
      <c r="D78" s="196"/>
      <c r="E78" s="197"/>
      <c r="F78" s="198"/>
      <c r="G78" s="199"/>
      <c r="H78" s="198"/>
      <c r="I78" s="198"/>
      <c r="J78" s="198"/>
      <c r="K78" s="20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30"/>
      <c r="K81" s="130"/>
      <c r="L81" s="130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30"/>
      <c r="K82" s="130"/>
      <c r="L82" s="130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3.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6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6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4.2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</row>
    <row r="278" ht="13.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>
      <c r="A1010" s="176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ht="15.75" customHeight="1">
      <c r="A1011" s="176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IFERROR(__xludf.DUMMYFUNCTION("IMPORTRANGE(""https://docs.google.com/spreadsheets/d/13yF9rv4JzECuz3TZ8bN1VgKLDIWGc_plW5kJR6Wxdlk/edit?gid=263284219#gid=263284219"",""2-2 comunidades virtuales!a1:q86"")"),"")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IFERROR(__xludf.DUMMYFUNCTION("""COMPUTED_VALUE"""),"SAUL CAMACHO CASTELLANOS")</f>
        <v>SAUL CAMACHO CASTELLANOS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IFERROR(__xludf.DUMMYFUNCTION("""COMPUTED_VALUE"""),"COMUNIDADES VIRTUALES")</f>
        <v>COMUNIDADES VIRTUALES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4">
        <f>IFERROR(__xludf.DUMMYFUNCTION("""COMPUTED_VALUE"""),2.0)</f>
        <v>2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154">
        <f>IFERROR(__xludf.DUMMYFUNCTION("""COMPUTED_VALUE"""),8.0)</f>
        <v>8</v>
      </c>
      <c r="F17" s="154">
        <f>IFERROR(__xludf.DUMMYFUNCTION("""COMPUTED_VALUE"""),2.0)</f>
        <v>2</v>
      </c>
      <c r="G17" s="154">
        <f>IFERROR(__xludf.DUMMYFUNCTION("""COMPUTED_VALUE"""),1.0)</f>
        <v>1</v>
      </c>
      <c r="H17" s="155">
        <f>IFERROR(__xludf.DUMMYFUNCTION("""COMPUTED_VALUE"""),11.0)</f>
        <v>11</v>
      </c>
      <c r="I17" s="156">
        <f>IFERROR(__xludf.DUMMYFUNCTION("""COMPUTED_VALUE"""),0.0)</f>
        <v>0</v>
      </c>
      <c r="J17" s="157">
        <f>IFERROR(__xludf.DUMMYFUNCTION("""COMPUTED_VALUE"""),10.0)</f>
        <v>10</v>
      </c>
      <c r="K17" s="158"/>
      <c r="L17" s="159">
        <f>IFERROR(__xludf.DUMMYFUNCTION("""COMPUTED_VALUE"""),11.0)</f>
        <v>11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154">
        <f>IFERROR(__xludf.DUMMYFUNCTION("""COMPUTED_VALUE"""),7.3)</f>
        <v>7.3</v>
      </c>
      <c r="F18" s="154">
        <f>IFERROR(__xludf.DUMMYFUNCTION("""COMPUTED_VALUE"""),1.8)</f>
        <v>1.8</v>
      </c>
      <c r="G18" s="154">
        <f>IFERROR(__xludf.DUMMYFUNCTION("""COMPUTED_VALUE"""),1.0)</f>
        <v>1</v>
      </c>
      <c r="H18" s="155">
        <f>IFERROR(__xludf.DUMMYFUNCTION("""COMPUTED_VALUE"""),10.1)</f>
        <v>10.1</v>
      </c>
      <c r="I18" s="156">
        <f>IFERROR(__xludf.DUMMYFUNCTION("""COMPUTED_VALUE"""),0.0)</f>
        <v>0</v>
      </c>
      <c r="J18" s="157">
        <f>IFERROR(__xludf.DUMMYFUNCTION("""COMPUTED_VALUE"""),10.0)</f>
        <v>10</v>
      </c>
      <c r="K18" s="156"/>
      <c r="L18" s="159">
        <f>IFERROR(__xludf.DUMMYFUNCTION("""COMPUTED_VALUE"""),10.0)</f>
        <v>10</v>
      </c>
      <c r="M18" s="121" t="str">
        <f>IFERROR(__xludf.DUMMYFUNCTION("""COMPUTED_VALUE"""),"Febrero")</f>
        <v>Febrero</v>
      </c>
      <c r="N18" s="121">
        <f>IFERROR(__xludf.DUMMYFUNCTION("""COMPUTED_VALUE"""),7.0)</f>
        <v>7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154">
        <f>IFERROR(__xludf.DUMMYFUNCTION("""COMPUTED_VALUE"""),7.8)</f>
        <v>7.8</v>
      </c>
      <c r="F19" s="154">
        <f>IFERROR(__xludf.DUMMYFUNCTION("""COMPUTED_VALUE"""),2.0)</f>
        <v>2</v>
      </c>
      <c r="G19" s="154">
        <f>IFERROR(__xludf.DUMMYFUNCTION("""COMPUTED_VALUE"""),0.0)</f>
        <v>0</v>
      </c>
      <c r="H19" s="155">
        <f>IFERROR(__xludf.DUMMYFUNCTION("""COMPUTED_VALUE"""),9.8)</f>
        <v>9.8</v>
      </c>
      <c r="I19" s="156">
        <f>IFERROR(__xludf.DUMMYFUNCTION("""COMPUTED_VALUE"""),0.0)</f>
        <v>0</v>
      </c>
      <c r="J19" s="157">
        <f>IFERROR(__xludf.DUMMYFUNCTION("""COMPUTED_VALUE"""),10.0)</f>
        <v>10</v>
      </c>
      <c r="K19" s="156"/>
      <c r="L19" s="159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IFERROR(__xludf.DUMMYFUNCTION("""COMPUTED_VALUE"""),11.0)</f>
        <v>11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154">
        <f>IFERROR(__xludf.DUMMYFUNCTION("""COMPUTED_VALUE"""),7.0)</f>
        <v>7</v>
      </c>
      <c r="F20" s="154">
        <f>IFERROR(__xludf.DUMMYFUNCTION("""COMPUTED_VALUE"""),2.0)</f>
        <v>2</v>
      </c>
      <c r="G20" s="154">
        <f>IFERROR(__xludf.DUMMYFUNCTION("""COMPUTED_VALUE"""),0.0)</f>
        <v>0</v>
      </c>
      <c r="H20" s="155">
        <f>IFERROR(__xludf.DUMMYFUNCTION("""COMPUTED_VALUE"""),9.0)</f>
        <v>9</v>
      </c>
      <c r="I20" s="156">
        <f>IFERROR(__xludf.DUMMYFUNCTION("""COMPUTED_VALUE"""),0.0)</f>
        <v>0</v>
      </c>
      <c r="J20" s="157">
        <f>IFERROR(__xludf.DUMMYFUNCTION("""COMPUTED_VALUE"""),9.0)</f>
        <v>9</v>
      </c>
      <c r="K20" s="156"/>
      <c r="L20" s="159">
        <f>IFERROR(__xludf.DUMMYFUNCTION("""COMPUTED_VALUE"""),9.0)</f>
        <v>9</v>
      </c>
      <c r="M20" s="121" t="str">
        <f>IFERROR(__xludf.DUMMYFUNCTION("""COMPUTED_VALUE"""),"Abril")</f>
        <v>Abril</v>
      </c>
      <c r="N20" s="121">
        <f>IFERROR(__xludf.DUMMYFUNCTION("""COMPUTED_VALUE"""),9.0)</f>
        <v>9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154">
        <f>IFERROR(__xludf.DUMMYFUNCTION("""COMPUTED_VALUE"""),7.3)</f>
        <v>7.3</v>
      </c>
      <c r="F21" s="154">
        <f>IFERROR(__xludf.DUMMYFUNCTION("""COMPUTED_VALUE"""),2.0)</f>
        <v>2</v>
      </c>
      <c r="G21" s="154">
        <f>IFERROR(__xludf.DUMMYFUNCTION("""COMPUTED_VALUE"""),0.0)</f>
        <v>0</v>
      </c>
      <c r="H21" s="155">
        <f>IFERROR(__xludf.DUMMYFUNCTION("""COMPUTED_VALUE"""),9.3)</f>
        <v>9.3</v>
      </c>
      <c r="I21" s="156">
        <f>IFERROR(__xludf.DUMMYFUNCTION("""COMPUTED_VALUE"""),0.0)</f>
        <v>0</v>
      </c>
      <c r="J21" s="157">
        <f>IFERROR(__xludf.DUMMYFUNCTION("""COMPUTED_VALUE"""),9.0)</f>
        <v>9</v>
      </c>
      <c r="K21" s="156"/>
      <c r="L21" s="159">
        <f>IFERROR(__xludf.DUMMYFUNCTION("""COMPUTED_VALUE"""),9.0)</f>
        <v>9</v>
      </c>
      <c r="M21" s="121" t="str">
        <f>IFERROR(__xludf.DUMMYFUNCTION("""COMPUTED_VALUE"""),"Mayo")</f>
        <v>Mayo</v>
      </c>
      <c r="N21" s="121">
        <f>IFERROR(__xludf.DUMMYFUNCTION("""COMPUTED_VALUE"""),10.0)</f>
        <v>10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154">
        <f>IFERROR(__xludf.DUMMYFUNCTION("""COMPUTED_VALUE"""),7.5)</f>
        <v>7.5</v>
      </c>
      <c r="F22" s="154">
        <f>IFERROR(__xludf.DUMMYFUNCTION("""COMPUTED_VALUE"""),2.0)</f>
        <v>2</v>
      </c>
      <c r="G22" s="154">
        <f>IFERROR(__xludf.DUMMYFUNCTION("""COMPUTED_VALUE"""),0.0)</f>
        <v>0</v>
      </c>
      <c r="H22" s="155">
        <f>IFERROR(__xludf.DUMMYFUNCTION("""COMPUTED_VALUE"""),9.5)</f>
        <v>9.5</v>
      </c>
      <c r="I22" s="156">
        <f>IFERROR(__xludf.DUMMYFUNCTION("""COMPUTED_VALUE"""),0.0)</f>
        <v>0</v>
      </c>
      <c r="J22" s="157">
        <f>IFERROR(__xludf.DUMMYFUNCTION("""COMPUTED_VALUE"""),10.0)</f>
        <v>10</v>
      </c>
      <c r="K22" s="156"/>
      <c r="L22" s="159">
        <f>IFERROR(__xludf.DUMMYFUNCTION("""COMPUTED_VALUE"""),10.0)</f>
        <v>10</v>
      </c>
      <c r="M22" s="121" t="str">
        <f>IFERROR(__xludf.DUMMYFUNCTION("""COMPUTED_VALUE"""),"Junio")</f>
        <v>Junio</v>
      </c>
      <c r="N22" s="121">
        <f>IFERROR(__xludf.DUMMYFUNCTION("""COMPUTED_VALUE"""),12.0)</f>
        <v>12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154">
        <f>IFERROR(__xludf.DUMMYFUNCTION("""COMPUTED_VALUE"""),8.0)</f>
        <v>8</v>
      </c>
      <c r="F23" s="154">
        <f>IFERROR(__xludf.DUMMYFUNCTION("""COMPUTED_VALUE"""),2.0)</f>
        <v>2</v>
      </c>
      <c r="G23" s="154">
        <f>IFERROR(__xludf.DUMMYFUNCTION("""COMPUTED_VALUE"""),1.0)</f>
        <v>1</v>
      </c>
      <c r="H23" s="155">
        <f>IFERROR(__xludf.DUMMYFUNCTION("""COMPUTED_VALUE"""),11.0)</f>
        <v>11</v>
      </c>
      <c r="I23" s="156">
        <f>IFERROR(__xludf.DUMMYFUNCTION("""COMPUTED_VALUE"""),0.0)</f>
        <v>0</v>
      </c>
      <c r="J23" s="157">
        <f>IFERROR(__xludf.DUMMYFUNCTION("""COMPUTED_VALUE"""),10.0)</f>
        <v>10</v>
      </c>
      <c r="K23" s="156"/>
      <c r="L23" s="159">
        <f>IFERROR(__xludf.DUMMYFUNCTION("""COMPUTED_VALUE"""),11.0)</f>
        <v>11</v>
      </c>
      <c r="M23" s="121" t="str">
        <f>IFERROR(__xludf.DUMMYFUNCTION("""COMPUTED_VALUE"""),"Julio")</f>
        <v>Julio</v>
      </c>
      <c r="N23" s="121">
        <f>IFERROR(__xludf.DUMMYFUNCTION("""COMPUTED_VALUE"""),6.0)</f>
        <v>6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154">
        <f>IFERROR(__xludf.DUMMYFUNCTION("""COMPUTED_VALUE"""),8.0)</f>
        <v>8</v>
      </c>
      <c r="F24" s="154">
        <f>IFERROR(__xludf.DUMMYFUNCTION("""COMPUTED_VALUE"""),2.0)</f>
        <v>2</v>
      </c>
      <c r="G24" s="154">
        <f>IFERROR(__xludf.DUMMYFUNCTION("""COMPUTED_VALUE"""),0.0)</f>
        <v>0</v>
      </c>
      <c r="H24" s="155">
        <f>IFERROR(__xludf.DUMMYFUNCTION("""COMPUTED_VALUE"""),10.0)</f>
        <v>10</v>
      </c>
      <c r="I24" s="156">
        <f>IFERROR(__xludf.DUMMYFUNCTION("""COMPUTED_VALUE"""),0.0)</f>
        <v>0</v>
      </c>
      <c r="J24" s="157">
        <f>IFERROR(__xludf.DUMMYFUNCTION("""COMPUTED_VALUE"""),10.0)</f>
        <v>10</v>
      </c>
      <c r="K24" s="156"/>
      <c r="L24" s="159">
        <f>IFERROR(__xludf.DUMMYFUNCTION("""COMPUTED_VALUE"""),10.0)</f>
        <v>10</v>
      </c>
      <c r="M24" s="121" t="str">
        <f>IFERROR(__xludf.DUMMYFUNCTION("""COMPUTED_VALUE"""),"TOTAL")</f>
        <v>TOTAL</v>
      </c>
      <c r="N24" s="121">
        <f>IFERROR(__xludf.DUMMYFUNCTION("""COMPUTED_VALUE"""),55.0)</f>
        <v>55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154">
        <f>IFERROR(__xludf.DUMMYFUNCTION("""COMPUTED_VALUE"""),4.8)</f>
        <v>4.8</v>
      </c>
      <c r="F25" s="154">
        <f>IFERROR(__xludf.DUMMYFUNCTION("""COMPUTED_VALUE"""),1.8)</f>
        <v>1.8</v>
      </c>
      <c r="G25" s="154">
        <f>IFERROR(__xludf.DUMMYFUNCTION("""COMPUTED_VALUE"""),1.0)</f>
        <v>1</v>
      </c>
      <c r="H25" s="155">
        <f>IFERROR(__xludf.DUMMYFUNCTION("""COMPUTED_VALUE"""),7.6)</f>
        <v>7.6</v>
      </c>
      <c r="I25" s="156">
        <f>IFERROR(__xludf.DUMMYFUNCTION("""COMPUTED_VALUE"""),0.0)</f>
        <v>0</v>
      </c>
      <c r="J25" s="157">
        <f>IFERROR(__xludf.DUMMYFUNCTION("""COMPUTED_VALUE"""),8.0)</f>
        <v>8</v>
      </c>
      <c r="K25" s="156"/>
      <c r="L25" s="159">
        <f>IFERROR(__xludf.DUMMYFUNCTION("""COMPUTED_VALUE"""),8.0)</f>
        <v>8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154">
        <f>IFERROR(__xludf.DUMMYFUNCTION("""COMPUTED_VALUE"""),6.3)</f>
        <v>6.3</v>
      </c>
      <c r="F26" s="154">
        <f>IFERROR(__xludf.DUMMYFUNCTION("""COMPUTED_VALUE"""),1.8)</f>
        <v>1.8</v>
      </c>
      <c r="G26" s="154">
        <f>IFERROR(__xludf.DUMMYFUNCTION("""COMPUTED_VALUE"""),0.0)</f>
        <v>0</v>
      </c>
      <c r="H26" s="155">
        <f>IFERROR(__xludf.DUMMYFUNCTION("""COMPUTED_VALUE"""),8.1)</f>
        <v>8.1</v>
      </c>
      <c r="I26" s="156">
        <f>IFERROR(__xludf.DUMMYFUNCTION("""COMPUTED_VALUE"""),0.0)</f>
        <v>0</v>
      </c>
      <c r="J26" s="157">
        <f>IFERROR(__xludf.DUMMYFUNCTION("""COMPUTED_VALUE"""),8.0)</f>
        <v>8</v>
      </c>
      <c r="K26" s="156"/>
      <c r="L26" s="159">
        <f>IFERROR(__xludf.DUMMYFUNCTION("""COMPUTED_VALUE"""),8.0)</f>
        <v>8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154">
        <f>IFERROR(__xludf.DUMMYFUNCTION("""COMPUTED_VALUE"""),8.0)</f>
        <v>8</v>
      </c>
      <c r="F27" s="154">
        <f>IFERROR(__xludf.DUMMYFUNCTION("""COMPUTED_VALUE"""),2.0)</f>
        <v>2</v>
      </c>
      <c r="G27" s="154">
        <f>IFERROR(__xludf.DUMMYFUNCTION("""COMPUTED_VALUE"""),1.0)</f>
        <v>1</v>
      </c>
      <c r="H27" s="155">
        <f>IFERROR(__xludf.DUMMYFUNCTION("""COMPUTED_VALUE"""),11.0)</f>
        <v>11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IFERROR(__xludf.DUMMYFUNCTION("""COMPUTED_VALUE"""),11.0)</f>
        <v>11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154">
        <f>IFERROR(__xludf.DUMMYFUNCTION("""COMPUTED_VALUE"""),7.7)</f>
        <v>7.7</v>
      </c>
      <c r="F28" s="154">
        <f>IFERROR(__xludf.DUMMYFUNCTION("""COMPUTED_VALUE"""),2.0)</f>
        <v>2</v>
      </c>
      <c r="G28" s="154">
        <f>IFERROR(__xludf.DUMMYFUNCTION("""COMPUTED_VALUE"""),0.0)</f>
        <v>0</v>
      </c>
      <c r="H28" s="155">
        <f>IFERROR(__xludf.DUMMYFUNCTION("""COMPUTED_VALUE"""),9.7)</f>
        <v>9.7</v>
      </c>
      <c r="I28" s="156">
        <f>IFERROR(__xludf.DUMMYFUNCTION("""COMPUTED_VALUE"""),0.0)</f>
        <v>0</v>
      </c>
      <c r="J28" s="157">
        <f>IFERROR(__xludf.DUMMYFUNCTION("""COMPUTED_VALUE"""),10.0)</f>
        <v>10</v>
      </c>
      <c r="K28" s="156"/>
      <c r="L28" s="159">
        <f>IFERROR(__xludf.DUMMYFUNCTION("""COMPUTED_VALUE"""),10.0)</f>
        <v>10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154">
        <f>IFERROR(__xludf.DUMMYFUNCTION("""COMPUTED_VALUE"""),7.9)</f>
        <v>7.9</v>
      </c>
      <c r="F29" s="154">
        <f>IFERROR(__xludf.DUMMYFUNCTION("""COMPUTED_VALUE"""),2.0)</f>
        <v>2</v>
      </c>
      <c r="G29" s="154">
        <f>IFERROR(__xludf.DUMMYFUNCTION("""COMPUTED_VALUE"""),0.0)</f>
        <v>0</v>
      </c>
      <c r="H29" s="155">
        <f>IFERROR(__xludf.DUMMYFUNCTION("""COMPUTED_VALUE"""),9.9)</f>
        <v>9.9</v>
      </c>
      <c r="I29" s="156">
        <f>IFERROR(__xludf.DUMMYFUNCTION("""COMPUTED_VALUE"""),0.0)</f>
        <v>0</v>
      </c>
      <c r="J29" s="157">
        <f>IFERROR(__xludf.DUMMYFUNCTION("""COMPUTED_VALUE"""),10.0)</f>
        <v>10</v>
      </c>
      <c r="K29" s="156"/>
      <c r="L29" s="159">
        <f>IFERROR(__xludf.DUMMYFUNCTION("""COMPUTED_VALUE"""),10.0)</f>
        <v>10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>
        <f>IFERROR(__xludf.DUMMYFUNCTION("""COMPUTED_VALUE"""),0.0)</f>
        <v>0</v>
      </c>
      <c r="H30" s="155">
        <f>IFERROR(__xludf.DUMMYFUNCTION("""COMPUTED_VALUE"""),10.0)</f>
        <v>10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IFERROR(__xludf.DUMMYFUNCTION("""COMPUTED_VALUE"""),10.0)</f>
        <v>10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154">
        <f>IFERROR(__xludf.DUMMYFUNCTION("""COMPUTED_VALUE"""),8.0)</f>
        <v>8</v>
      </c>
      <c r="F31" s="154">
        <f>IFERROR(__xludf.DUMMYFUNCTION("""COMPUTED_VALUE"""),1.9)</f>
        <v>1.9</v>
      </c>
      <c r="G31" s="154">
        <f>IFERROR(__xludf.DUMMYFUNCTION("""COMPUTED_VALUE"""),0.0)</f>
        <v>0</v>
      </c>
      <c r="H31" s="155">
        <f>IFERROR(__xludf.DUMMYFUNCTION("""COMPUTED_VALUE"""),9.9)</f>
        <v>9.9</v>
      </c>
      <c r="I31" s="156">
        <f>IFERROR(__xludf.DUMMYFUNCTION("""COMPUTED_VALUE"""),0.0)</f>
        <v>0</v>
      </c>
      <c r="J31" s="157">
        <f>IFERROR(__xludf.DUMMYFUNCTION("""COMPUTED_VALUE"""),10.0)</f>
        <v>10</v>
      </c>
      <c r="K31" s="156"/>
      <c r="L31" s="159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154">
        <f>IFERROR(__xludf.DUMMYFUNCTION("""COMPUTED_VALUE"""),8.0)</f>
        <v>8</v>
      </c>
      <c r="F32" s="154">
        <f>IFERROR(__xludf.DUMMYFUNCTION("""COMPUTED_VALUE"""),2.0)</f>
        <v>2</v>
      </c>
      <c r="G32" s="154">
        <f>IFERROR(__xludf.DUMMYFUNCTION("""COMPUTED_VALUE"""),1.0)</f>
        <v>1</v>
      </c>
      <c r="H32" s="155">
        <f>IFERROR(__xludf.DUMMYFUNCTION("""COMPUTED_VALUE"""),11.0)</f>
        <v>11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IFERROR(__xludf.DUMMYFUNCTION("""COMPUTED_VALUE"""),11.0)</f>
        <v>11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154">
        <f>IFERROR(__xludf.DUMMYFUNCTION("""COMPUTED_VALUE"""),7.5)</f>
        <v>7.5</v>
      </c>
      <c r="F33" s="154">
        <f>IFERROR(__xludf.DUMMYFUNCTION("""COMPUTED_VALUE"""),2.0)</f>
        <v>2</v>
      </c>
      <c r="G33" s="154">
        <f>IFERROR(__xludf.DUMMYFUNCTION("""COMPUTED_VALUE"""),0.0)</f>
        <v>0</v>
      </c>
      <c r="H33" s="155">
        <f>IFERROR(__xludf.DUMMYFUNCTION("""COMPUTED_VALUE"""),9.5)</f>
        <v>9.5</v>
      </c>
      <c r="I33" s="156">
        <f>IFERROR(__xludf.DUMMYFUNCTION("""COMPUTED_VALUE"""),0.0)</f>
        <v>0</v>
      </c>
      <c r="J33" s="157">
        <f>IFERROR(__xludf.DUMMYFUNCTION("""COMPUTED_VALUE"""),10.0)</f>
        <v>10</v>
      </c>
      <c r="K33" s="156"/>
      <c r="L33" s="159">
        <f>IFERROR(__xludf.DUMMYFUNCTION("""COMPUTED_VALUE"""),10.0)</f>
        <v>10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154">
        <f>IFERROR(__xludf.DUMMYFUNCTION("""COMPUTED_VALUE"""),6.2)</f>
        <v>6.2</v>
      </c>
      <c r="F34" s="154">
        <f>IFERROR(__xludf.DUMMYFUNCTION("""COMPUTED_VALUE"""),2.0)</f>
        <v>2</v>
      </c>
      <c r="G34" s="154">
        <f>IFERROR(__xludf.DUMMYFUNCTION("""COMPUTED_VALUE"""),1.0)</f>
        <v>1</v>
      </c>
      <c r="H34" s="155">
        <f>IFERROR(__xludf.DUMMYFUNCTION("""COMPUTED_VALUE"""),9.2)</f>
        <v>9.2</v>
      </c>
      <c r="I34" s="156">
        <f>IFERROR(__xludf.DUMMYFUNCTION("""COMPUTED_VALUE"""),0.0)</f>
        <v>0</v>
      </c>
      <c r="J34" s="157">
        <f>IFERROR(__xludf.DUMMYFUNCTION("""COMPUTED_VALUE"""),9.0)</f>
        <v>9</v>
      </c>
      <c r="K34" s="156"/>
      <c r="L34" s="159">
        <f>IFERROR(__xludf.DUMMYFUNCTION("""COMPUTED_VALUE"""),9.0)</f>
        <v>9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154">
        <f>IFERROR(__xludf.DUMMYFUNCTION("""COMPUTED_VALUE"""),8.0)</f>
        <v>8</v>
      </c>
      <c r="F35" s="154">
        <f>IFERROR(__xludf.DUMMYFUNCTION("""COMPUTED_VALUE"""),2.0)</f>
        <v>2</v>
      </c>
      <c r="G35" s="154">
        <f>IFERROR(__xludf.DUMMYFUNCTION("""COMPUTED_VALUE"""),1.0)</f>
        <v>1</v>
      </c>
      <c r="H35" s="155">
        <f>IFERROR(__xludf.DUMMYFUNCTION("""COMPUTED_VALUE"""),11.0)</f>
        <v>11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IFERROR(__xludf.DUMMYFUNCTION("""COMPUTED_VALUE"""),11.0)</f>
        <v>11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154">
        <f>IFERROR(__xludf.DUMMYFUNCTION("""COMPUTED_VALUE"""),7.7)</f>
        <v>7.7</v>
      </c>
      <c r="F36" s="154">
        <f>IFERROR(__xludf.DUMMYFUNCTION("""COMPUTED_VALUE"""),2.0)</f>
        <v>2</v>
      </c>
      <c r="G36" s="154">
        <f>IFERROR(__xludf.DUMMYFUNCTION("""COMPUTED_VALUE"""),1.0)</f>
        <v>1</v>
      </c>
      <c r="H36" s="155">
        <f>IFERROR(__xludf.DUMMYFUNCTION("""COMPUTED_VALUE"""),10.7)</f>
        <v>10.7</v>
      </c>
      <c r="I36" s="156">
        <f>IFERROR(__xludf.DUMMYFUNCTION("""COMPUTED_VALUE"""),0.0)</f>
        <v>0</v>
      </c>
      <c r="J36" s="157">
        <f>IFERROR(__xludf.DUMMYFUNCTION("""COMPUTED_VALUE"""),10.0)</f>
        <v>10</v>
      </c>
      <c r="K36" s="156"/>
      <c r="L36" s="159">
        <f>IFERROR(__xludf.DUMMYFUNCTION("""COMPUTED_VALUE"""),11.0)</f>
        <v>11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154">
        <f>IFERROR(__xludf.DUMMYFUNCTION("""COMPUTED_VALUE"""),3.0)</f>
        <v>3</v>
      </c>
      <c r="F37" s="154">
        <f>IFERROR(__xludf.DUMMYFUNCTION("""COMPUTED_VALUE"""),1.8)</f>
        <v>1.8</v>
      </c>
      <c r="G37" s="154">
        <f>IFERROR(__xludf.DUMMYFUNCTION("""COMPUTED_VALUE"""),0.0)</f>
        <v>0</v>
      </c>
      <c r="H37" s="155">
        <f>IFERROR(__xludf.DUMMYFUNCTION("""COMPUTED_VALUE"""),4.8)</f>
        <v>4.8</v>
      </c>
      <c r="I37" s="156">
        <f>IFERROR(__xludf.DUMMYFUNCTION("""COMPUTED_VALUE"""),1.0)</f>
        <v>1</v>
      </c>
      <c r="J37" s="157">
        <f>IFERROR(__xludf.DUMMYFUNCTION("""COMPUTED_VALUE"""),5.0)</f>
        <v>5</v>
      </c>
      <c r="K37" s="156"/>
      <c r="L37" s="159">
        <f>IFERROR(__xludf.DUMMYFUNCTION("""COMPUTED_VALUE"""),4.0)</f>
        <v>4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154">
        <f>IFERROR(__xludf.DUMMYFUNCTION("""COMPUTED_VALUE"""),8.0)</f>
        <v>8</v>
      </c>
      <c r="F38" s="154">
        <f>IFERROR(__xludf.DUMMYFUNCTION("""COMPUTED_VALUE"""),2.0)</f>
        <v>2</v>
      </c>
      <c r="G38" s="154">
        <f>IFERROR(__xludf.DUMMYFUNCTION("""COMPUTED_VALUE"""),1.0)</f>
        <v>1</v>
      </c>
      <c r="H38" s="155">
        <f>IFERROR(__xludf.DUMMYFUNCTION("""COMPUTED_VALUE"""),11.0)</f>
        <v>11</v>
      </c>
      <c r="I38" s="156">
        <f>IFERROR(__xludf.DUMMYFUNCTION("""COMPUTED_VALUE"""),0.0)</f>
        <v>0</v>
      </c>
      <c r="J38" s="157">
        <f>IFERROR(__xludf.DUMMYFUNCTION("""COMPUTED_VALUE"""),10.0)</f>
        <v>10</v>
      </c>
      <c r="K38" s="156"/>
      <c r="L38" s="159">
        <f>IFERROR(__xludf.DUMMYFUNCTION("""COMPUTED_VALUE"""),11.0)</f>
        <v>11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154">
        <f>IFERROR(__xludf.DUMMYFUNCTION("""COMPUTED_VALUE"""),8.0)</f>
        <v>8</v>
      </c>
      <c r="F39" s="154">
        <f>IFERROR(__xludf.DUMMYFUNCTION("""COMPUTED_VALUE"""),2.0)</f>
        <v>2</v>
      </c>
      <c r="G39" s="154">
        <f>IFERROR(__xludf.DUMMYFUNCTION("""COMPUTED_VALUE"""),0.0)</f>
        <v>0</v>
      </c>
      <c r="H39" s="155">
        <f>IFERROR(__xludf.DUMMYFUNCTION("""COMPUTED_VALUE"""),10.0)</f>
        <v>10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154">
        <f>IFERROR(__xludf.DUMMYFUNCTION("""COMPUTED_VALUE"""),8.0)</f>
        <v>8</v>
      </c>
      <c r="F40" s="154">
        <f>IFERROR(__xludf.DUMMYFUNCTION("""COMPUTED_VALUE"""),2.0)</f>
        <v>2</v>
      </c>
      <c r="G40" s="154">
        <f>IFERROR(__xludf.DUMMYFUNCTION("""COMPUTED_VALUE"""),1.0)</f>
        <v>1</v>
      </c>
      <c r="H40" s="155">
        <f>IFERROR(__xludf.DUMMYFUNCTION("""COMPUTED_VALUE"""),11.0)</f>
        <v>11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IFERROR(__xludf.DUMMYFUNCTION("""COMPUTED_VALUE"""),11.0)</f>
        <v>11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154">
        <f>IFERROR(__xludf.DUMMYFUNCTION("""COMPUTED_VALUE"""),7.8)</f>
        <v>7.8</v>
      </c>
      <c r="F41" s="154">
        <f>IFERROR(__xludf.DUMMYFUNCTION("""COMPUTED_VALUE"""),2.0)</f>
        <v>2</v>
      </c>
      <c r="G41" s="154">
        <f>IFERROR(__xludf.DUMMYFUNCTION("""COMPUTED_VALUE"""),1.0)</f>
        <v>1</v>
      </c>
      <c r="H41" s="155">
        <f>IFERROR(__xludf.DUMMYFUNCTION("""COMPUTED_VALUE"""),10.8)</f>
        <v>10.8</v>
      </c>
      <c r="I41" s="156">
        <f>IFERROR(__xludf.DUMMYFUNCTION("""COMPUTED_VALUE"""),0.0)</f>
        <v>0</v>
      </c>
      <c r="J41" s="157">
        <f>IFERROR(__xludf.DUMMYFUNCTION("""COMPUTED_VALUE"""),10.0)</f>
        <v>10</v>
      </c>
      <c r="K41" s="156"/>
      <c r="L41" s="159">
        <f>IFERROR(__xludf.DUMMYFUNCTION("""COMPUTED_VALUE"""),11.0)</f>
        <v>11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154">
        <f>IFERROR(__xludf.DUMMYFUNCTION("""COMPUTED_VALUE"""),8.0)</f>
        <v>8</v>
      </c>
      <c r="F42" s="154">
        <f>IFERROR(__xludf.DUMMYFUNCTION("""COMPUTED_VALUE"""),2.0)</f>
        <v>2</v>
      </c>
      <c r="G42" s="154">
        <f>IFERROR(__xludf.DUMMYFUNCTION("""COMPUTED_VALUE"""),1.0)</f>
        <v>1</v>
      </c>
      <c r="H42" s="155">
        <f>IFERROR(__xludf.DUMMYFUNCTION("""COMPUTED_VALUE"""),11.0)</f>
        <v>11</v>
      </c>
      <c r="I42" s="156">
        <f>IFERROR(__xludf.DUMMYFUNCTION("""COMPUTED_VALUE"""),0.0)</f>
        <v>0</v>
      </c>
      <c r="J42" s="157">
        <f>IFERROR(__xludf.DUMMYFUNCTION("""COMPUTED_VALUE"""),10.0)</f>
        <v>10</v>
      </c>
      <c r="K42" s="156"/>
      <c r="L42" s="159">
        <f>IFERROR(__xludf.DUMMYFUNCTION("""COMPUTED_VALUE"""),11.0)</f>
        <v>11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154">
        <f>IFERROR(__xludf.DUMMYFUNCTION("""COMPUTED_VALUE"""),7.6)</f>
        <v>7.6</v>
      </c>
      <c r="F43" s="154">
        <f>IFERROR(__xludf.DUMMYFUNCTION("""COMPUTED_VALUE"""),2.0)</f>
        <v>2</v>
      </c>
      <c r="G43" s="154">
        <f>IFERROR(__xludf.DUMMYFUNCTION("""COMPUTED_VALUE"""),1.0)</f>
        <v>1</v>
      </c>
      <c r="H43" s="155">
        <f>IFERROR(__xludf.DUMMYFUNCTION("""COMPUTED_VALUE"""),10.6)</f>
        <v>10.6</v>
      </c>
      <c r="I43" s="156">
        <f>IFERROR(__xludf.DUMMYFUNCTION("""COMPUTED_VALUE"""),0.0)</f>
        <v>0</v>
      </c>
      <c r="J43" s="157">
        <f>IFERROR(__xludf.DUMMYFUNCTION("""COMPUTED_VALUE"""),10.0)</f>
        <v>10</v>
      </c>
      <c r="K43" s="156"/>
      <c r="L43" s="159">
        <f>IFERROR(__xludf.DUMMYFUNCTION("""COMPUTED_VALUE"""),11.0)</f>
        <v>11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154">
        <f>IFERROR(__xludf.DUMMYFUNCTION("""COMPUTED_VALUE"""),7.9)</f>
        <v>7.9</v>
      </c>
      <c r="F44" s="154">
        <f>IFERROR(__xludf.DUMMYFUNCTION("""COMPUTED_VALUE"""),1.8)</f>
        <v>1.8</v>
      </c>
      <c r="G44" s="154">
        <f>IFERROR(__xludf.DUMMYFUNCTION("""COMPUTED_VALUE"""),1.0)</f>
        <v>1</v>
      </c>
      <c r="H44" s="155">
        <f>IFERROR(__xludf.DUMMYFUNCTION("""COMPUTED_VALUE"""),10.700000000000001)</f>
        <v>10.7</v>
      </c>
      <c r="I44" s="156">
        <f>IFERROR(__xludf.DUMMYFUNCTION("""COMPUTED_VALUE"""),0.0)</f>
        <v>0</v>
      </c>
      <c r="J44" s="157">
        <f>IFERROR(__xludf.DUMMYFUNCTION("""COMPUTED_VALUE"""),10.0)</f>
        <v>10</v>
      </c>
      <c r="K44" s="156"/>
      <c r="L44" s="159">
        <f>IFERROR(__xludf.DUMMYFUNCTION("""COMPUTED_VALUE"""),11.0)</f>
        <v>11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154">
        <f>IFERROR(__xludf.DUMMYFUNCTION("""COMPUTED_VALUE"""),7.8)</f>
        <v>7.8</v>
      </c>
      <c r="F45" s="154">
        <f>IFERROR(__xludf.DUMMYFUNCTION("""COMPUTED_VALUE"""),2.0)</f>
        <v>2</v>
      </c>
      <c r="G45" s="154">
        <f>IFERROR(__xludf.DUMMYFUNCTION("""COMPUTED_VALUE"""),0.0)</f>
        <v>0</v>
      </c>
      <c r="H45" s="155">
        <f>IFERROR(__xludf.DUMMYFUNCTION("""COMPUTED_VALUE"""),9.8)</f>
        <v>9.8</v>
      </c>
      <c r="I45" s="156">
        <f>IFERROR(__xludf.DUMMYFUNCTION("""COMPUTED_VALUE"""),0.0)</f>
        <v>0</v>
      </c>
      <c r="J45" s="157">
        <f>IFERROR(__xludf.DUMMYFUNCTION("""COMPUTED_VALUE"""),10.0)</f>
        <v>10</v>
      </c>
      <c r="K45" s="156"/>
      <c r="L45" s="159">
        <f>IFERROR(__xludf.DUMMYFUNCTION("""COMPUTED_VALUE"""),10.0)</f>
        <v>10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154">
        <f>IFERROR(__xludf.DUMMYFUNCTION("""COMPUTED_VALUE"""),8.0)</f>
        <v>8</v>
      </c>
      <c r="F46" s="154">
        <f>IFERROR(__xludf.DUMMYFUNCTION("""COMPUTED_VALUE"""),1.8)</f>
        <v>1.8</v>
      </c>
      <c r="G46" s="154">
        <f>IFERROR(__xludf.DUMMYFUNCTION("""COMPUTED_VALUE"""),1.0)</f>
        <v>1</v>
      </c>
      <c r="H46" s="155">
        <f>IFERROR(__xludf.DUMMYFUNCTION("""COMPUTED_VALUE"""),10.8)</f>
        <v>10.8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IFERROR(__xludf.DUMMYFUNCTION("""COMPUTED_VALUE"""),11.0)</f>
        <v>11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154">
        <f>IFERROR(__xludf.DUMMYFUNCTION("""COMPUTED_VALUE"""),4.1)</f>
        <v>4.1</v>
      </c>
      <c r="F47" s="154">
        <f>IFERROR(__xludf.DUMMYFUNCTION("""COMPUTED_VALUE"""),1.9)</f>
        <v>1.9</v>
      </c>
      <c r="G47" s="154">
        <f>IFERROR(__xludf.DUMMYFUNCTION("""COMPUTED_VALUE"""),0.0)</f>
        <v>0</v>
      </c>
      <c r="H47" s="155">
        <f>IFERROR(__xludf.DUMMYFUNCTION("""COMPUTED_VALUE"""),6.0)</f>
        <v>6</v>
      </c>
      <c r="I47" s="156">
        <f>IFERROR(__xludf.DUMMYFUNCTION("""COMPUTED_VALUE"""),2.0)</f>
        <v>2</v>
      </c>
      <c r="J47" s="157">
        <f>IFERROR(__xludf.DUMMYFUNCTION("""COMPUTED_VALUE"""),6.0)</f>
        <v>6</v>
      </c>
      <c r="K47" s="156"/>
      <c r="L47" s="159">
        <f>IFERROR(__xludf.DUMMYFUNCTION("""COMPUTED_VALUE"""),6.0)</f>
        <v>6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154">
        <f>IFERROR(__xludf.DUMMYFUNCTION("""COMPUTED_VALUE"""),7.8)</f>
        <v>7.8</v>
      </c>
      <c r="F48" s="154">
        <f>IFERROR(__xludf.DUMMYFUNCTION("""COMPUTED_VALUE"""),0.0)</f>
        <v>0</v>
      </c>
      <c r="G48" s="154">
        <f>IFERROR(__xludf.DUMMYFUNCTION("""COMPUTED_VALUE"""),1.0)</f>
        <v>1</v>
      </c>
      <c r="H48" s="155">
        <f>IFERROR(__xludf.DUMMYFUNCTION("""COMPUTED_VALUE"""),8.8)</f>
        <v>8.8</v>
      </c>
      <c r="I48" s="156">
        <f>IFERROR(__xludf.DUMMYFUNCTION("""COMPUTED_VALUE"""),2.0)</f>
        <v>2</v>
      </c>
      <c r="J48" s="157">
        <f>IFERROR(__xludf.DUMMYFUNCTION("""COMPUTED_VALUE"""),9.0)</f>
        <v>9</v>
      </c>
      <c r="K48" s="156"/>
      <c r="L48" s="159">
        <f>IFERROR(__xludf.DUMMYFUNCTION("""COMPUTED_VALUE"""),9.0)</f>
        <v>9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154">
        <f>IFERROR(__xludf.DUMMYFUNCTION("""COMPUTED_VALUE"""),7.6)</f>
        <v>7.6</v>
      </c>
      <c r="F49" s="154">
        <f>IFERROR(__xludf.DUMMYFUNCTION("""COMPUTED_VALUE"""),1.9)</f>
        <v>1.9</v>
      </c>
      <c r="G49" s="154">
        <f>IFERROR(__xludf.DUMMYFUNCTION("""COMPUTED_VALUE"""),1.0)</f>
        <v>1</v>
      </c>
      <c r="H49" s="155">
        <f>IFERROR(__xludf.DUMMYFUNCTION("""COMPUTED_VALUE"""),10.5)</f>
        <v>10.5</v>
      </c>
      <c r="I49" s="156">
        <f>IFERROR(__xludf.DUMMYFUNCTION("""COMPUTED_VALUE"""),0.0)</f>
        <v>0</v>
      </c>
      <c r="J49" s="157">
        <f>IFERROR(__xludf.DUMMYFUNCTION("""COMPUTED_VALUE"""),10.0)</f>
        <v>10</v>
      </c>
      <c r="K49" s="156"/>
      <c r="L49" s="159">
        <f>IFERROR(__xludf.DUMMYFUNCTION("""COMPUTED_VALUE"""),11.0)</f>
        <v>11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154">
        <f>IFERROR(__xludf.DUMMYFUNCTION("""COMPUTED_VALUE"""),8.0)</f>
        <v>8</v>
      </c>
      <c r="F50" s="154">
        <f>IFERROR(__xludf.DUMMYFUNCTION("""COMPUTED_VALUE"""),2.0)</f>
        <v>2</v>
      </c>
      <c r="G50" s="154">
        <f>IFERROR(__xludf.DUMMYFUNCTION("""COMPUTED_VALUE"""),1.0)</f>
        <v>1</v>
      </c>
      <c r="H50" s="155">
        <f>IFERROR(__xludf.DUMMYFUNCTION("""COMPUTED_VALUE"""),11.0)</f>
        <v>11</v>
      </c>
      <c r="I50" s="156">
        <f>IFERROR(__xludf.DUMMYFUNCTION("""COMPUTED_VALUE"""),0.0)</f>
        <v>0</v>
      </c>
      <c r="J50" s="157">
        <f>IFERROR(__xludf.DUMMYFUNCTION("""COMPUTED_VALUE"""),10.0)</f>
        <v>10</v>
      </c>
      <c r="K50" s="156"/>
      <c r="L50" s="159">
        <f>IFERROR(__xludf.DUMMYFUNCTION("""COMPUTED_VALUE"""),11.0)</f>
        <v>11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154">
        <f>IFERROR(__xludf.DUMMYFUNCTION("""COMPUTED_VALUE"""),7.3)</f>
        <v>7.3</v>
      </c>
      <c r="F51" s="154">
        <f>IFERROR(__xludf.DUMMYFUNCTION("""COMPUTED_VALUE"""),1.9)</f>
        <v>1.9</v>
      </c>
      <c r="G51" s="154">
        <f>IFERROR(__xludf.DUMMYFUNCTION("""COMPUTED_VALUE"""),1.0)</f>
        <v>1</v>
      </c>
      <c r="H51" s="155">
        <f>IFERROR(__xludf.DUMMYFUNCTION("""COMPUTED_VALUE"""),10.2)</f>
        <v>10.2</v>
      </c>
      <c r="I51" s="156">
        <f>IFERROR(__xludf.DUMMYFUNCTION("""COMPUTED_VALUE"""),0.0)</f>
        <v>0</v>
      </c>
      <c r="J51" s="157">
        <f>IFERROR(__xludf.DUMMYFUNCTION("""COMPUTED_VALUE"""),10.0)</f>
        <v>10</v>
      </c>
      <c r="K51" s="156"/>
      <c r="L51" s="159">
        <f>IFERROR(__xludf.DUMMYFUNCTION("""COMPUTED_VALUE"""),10.0)</f>
        <v>10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154">
        <f>IFERROR(__xludf.DUMMYFUNCTION("""COMPUTED_VALUE"""),8.0)</f>
        <v>8</v>
      </c>
      <c r="F52" s="154">
        <f>IFERROR(__xludf.DUMMYFUNCTION("""COMPUTED_VALUE"""),2.0)</f>
        <v>2</v>
      </c>
      <c r="G52" s="154">
        <f>IFERROR(__xludf.DUMMYFUNCTION("""COMPUTED_VALUE"""),0.0)</f>
        <v>0</v>
      </c>
      <c r="H52" s="155">
        <f>IFERROR(__xludf.DUMMYFUNCTION("""COMPUTED_VALUE"""),10.0)</f>
        <v>10</v>
      </c>
      <c r="I52" s="156">
        <f>IFERROR(__xludf.DUMMYFUNCTION("""COMPUTED_VALUE"""),0.0)</f>
        <v>0</v>
      </c>
      <c r="J52" s="157">
        <f>IFERROR(__xludf.DUMMYFUNCTION("""COMPUTED_VALUE"""),10.0)</f>
        <v>10</v>
      </c>
      <c r="K52" s="156"/>
      <c r="L52" s="160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154">
        <f>IFERROR(__xludf.DUMMYFUNCTION("""COMPUTED_VALUE"""),8.0)</f>
        <v>8</v>
      </c>
      <c r="F53" s="154">
        <f>IFERROR(__xludf.DUMMYFUNCTION("""COMPUTED_VALUE"""),2.0)</f>
        <v>2</v>
      </c>
      <c r="G53" s="154">
        <f>IFERROR(__xludf.DUMMYFUNCTION("""COMPUTED_VALUE"""),0.0)</f>
        <v>0</v>
      </c>
      <c r="H53" s="155">
        <f>IFERROR(__xludf.DUMMYFUNCTION("""COMPUTED_VALUE"""),10.0)</f>
        <v>10</v>
      </c>
      <c r="I53" s="156">
        <f>IFERROR(__xludf.DUMMYFUNCTION("""COMPUTED_VALUE"""),0.0)</f>
        <v>0</v>
      </c>
      <c r="J53" s="157">
        <f>IFERROR(__xludf.DUMMYFUNCTION("""COMPUTED_VALUE"""),10.0)</f>
        <v>10</v>
      </c>
      <c r="K53" s="156"/>
      <c r="L53" s="160">
        <f>IFERROR(__xludf.DUMMYFUNCTION("""COMPUTED_VALUE"""),10.0)</f>
        <v>10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154">
        <f>IFERROR(__xludf.DUMMYFUNCTION("""COMPUTED_VALUE"""),8.0)</f>
        <v>8</v>
      </c>
      <c r="F54" s="154">
        <f>IFERROR(__xludf.DUMMYFUNCTION("""COMPUTED_VALUE"""),2.0)</f>
        <v>2</v>
      </c>
      <c r="G54" s="154">
        <f>IFERROR(__xludf.DUMMYFUNCTION("""COMPUTED_VALUE"""),0.0)</f>
        <v>0</v>
      </c>
      <c r="H54" s="155">
        <f>IFERROR(__xludf.DUMMYFUNCTION("""COMPUTED_VALUE"""),10.0)</f>
        <v>10</v>
      </c>
      <c r="I54" s="156">
        <f>IFERROR(__xludf.DUMMYFUNCTION("""COMPUTED_VALUE"""),0.0)</f>
        <v>0</v>
      </c>
      <c r="J54" s="157">
        <f>IFERROR(__xludf.DUMMYFUNCTION("""COMPUTED_VALUE"""),10.0)</f>
        <v>10</v>
      </c>
      <c r="K54" s="156"/>
      <c r="L54" s="160">
        <f>IFERROR(__xludf.DUMMYFUNCTION("""COMPUTED_VALUE"""),10.0)</f>
        <v>10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154">
        <f>IFERROR(__xludf.DUMMYFUNCTION("""COMPUTED_VALUE"""),5.4)</f>
        <v>5.4</v>
      </c>
      <c r="F55" s="154">
        <f>IFERROR(__xludf.DUMMYFUNCTION("""COMPUTED_VALUE"""),2.1)</f>
        <v>2.1</v>
      </c>
      <c r="G55" s="154">
        <f>IFERROR(__xludf.DUMMYFUNCTION("""COMPUTED_VALUE"""),0.0)</f>
        <v>0</v>
      </c>
      <c r="H55" s="155">
        <f>IFERROR(__xludf.DUMMYFUNCTION("""COMPUTED_VALUE"""),7.5)</f>
        <v>7.5</v>
      </c>
      <c r="I55" s="161">
        <f>IFERROR(__xludf.DUMMYFUNCTION("""COMPUTED_VALUE"""),0.0)</f>
        <v>0</v>
      </c>
      <c r="J55" s="157">
        <f>IFERROR(__xludf.DUMMYFUNCTION("""COMPUTED_VALUE"""),8.0)</f>
        <v>8</v>
      </c>
      <c r="K55" s="156"/>
      <c r="L55" s="160">
        <f>IFERROR(__xludf.DUMMYFUNCTION("""COMPUTED_VALUE"""),8.0)</f>
        <v>8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154">
        <f>IFERROR(__xludf.DUMMYFUNCTION("""COMPUTED_VALUE"""),8.0)</f>
        <v>8</v>
      </c>
      <c r="F56" s="154">
        <f>IFERROR(__xludf.DUMMYFUNCTION("""COMPUTED_VALUE"""),2.0)</f>
        <v>2</v>
      </c>
      <c r="G56" s="154">
        <f>IFERROR(__xludf.DUMMYFUNCTION("""COMPUTED_VALUE"""),0.0)</f>
        <v>0</v>
      </c>
      <c r="H56" s="155">
        <f>IFERROR(__xludf.DUMMYFUNCTION("""COMPUTED_VALUE"""),10.0)</f>
        <v>10</v>
      </c>
      <c r="I56" s="161">
        <f>IFERROR(__xludf.DUMMYFUNCTION("""COMPUTED_VALUE"""),0.0)</f>
        <v>0</v>
      </c>
      <c r="J56" s="157">
        <f>IFERROR(__xludf.DUMMYFUNCTION("""COMPUTED_VALUE"""),10.0)</f>
        <v>10</v>
      </c>
      <c r="K56" s="156"/>
      <c r="L56" s="160">
        <f>IFERROR(__xludf.DUMMYFUNCTION("""COMPUTED_VALUE"""),10.0)</f>
        <v>10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154">
        <f>IFERROR(__xludf.DUMMYFUNCTION("""COMPUTED_VALUE"""),7.9)</f>
        <v>7.9</v>
      </c>
      <c r="F57" s="154">
        <f>IFERROR(__xludf.DUMMYFUNCTION("""COMPUTED_VALUE"""),2.0)</f>
        <v>2</v>
      </c>
      <c r="G57" s="154">
        <f>IFERROR(__xludf.DUMMYFUNCTION("""COMPUTED_VALUE"""),1.0)</f>
        <v>1</v>
      </c>
      <c r="H57" s="155">
        <f>IFERROR(__xludf.DUMMYFUNCTION("""COMPUTED_VALUE"""),10.9)</f>
        <v>10.9</v>
      </c>
      <c r="I57" s="161">
        <f>IFERROR(__xludf.DUMMYFUNCTION("""COMPUTED_VALUE"""),0.0)</f>
        <v>0</v>
      </c>
      <c r="J57" s="157">
        <f>IFERROR(__xludf.DUMMYFUNCTION("""COMPUTED_VALUE"""),10.0)</f>
        <v>10</v>
      </c>
      <c r="K57" s="156"/>
      <c r="L57" s="160">
        <f>IFERROR(__xludf.DUMMYFUNCTION("""COMPUTED_VALUE"""),11.0)</f>
        <v>11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154">
        <f>IFERROR(__xludf.DUMMYFUNCTION("""COMPUTED_VALUE"""),6.3)</f>
        <v>6.3</v>
      </c>
      <c r="F58" s="154">
        <f>IFERROR(__xludf.DUMMYFUNCTION("""COMPUTED_VALUE"""),1.7)</f>
        <v>1.7</v>
      </c>
      <c r="G58" s="154">
        <f>IFERROR(__xludf.DUMMYFUNCTION("""COMPUTED_VALUE"""),0.0)</f>
        <v>0</v>
      </c>
      <c r="H58" s="155">
        <f>IFERROR(__xludf.DUMMYFUNCTION("""COMPUTED_VALUE"""),8.0)</f>
        <v>8</v>
      </c>
      <c r="I58" s="161">
        <f>IFERROR(__xludf.DUMMYFUNCTION("""COMPUTED_VALUE"""),0.0)</f>
        <v>0</v>
      </c>
      <c r="J58" s="157">
        <f>IFERROR(__xludf.DUMMYFUNCTION("""COMPUTED_VALUE"""),8.0)</f>
        <v>8</v>
      </c>
      <c r="K58" s="156"/>
      <c r="L58" s="160">
        <f>IFERROR(__xludf.DUMMYFUNCTION("""COMPUTED_VALUE"""),8.0)</f>
        <v>8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154">
        <f>IFERROR(__xludf.DUMMYFUNCTION("""COMPUTED_VALUE"""),7.7)</f>
        <v>7.7</v>
      </c>
      <c r="F59" s="154">
        <f>IFERROR(__xludf.DUMMYFUNCTION("""COMPUTED_VALUE"""),1.9)</f>
        <v>1.9</v>
      </c>
      <c r="G59" s="154">
        <f>IFERROR(__xludf.DUMMYFUNCTION("""COMPUTED_VALUE"""),0.0)</f>
        <v>0</v>
      </c>
      <c r="H59" s="155">
        <f>IFERROR(__xludf.DUMMYFUNCTION("""COMPUTED_VALUE"""),9.6)</f>
        <v>9.6</v>
      </c>
      <c r="I59" s="161">
        <f>IFERROR(__xludf.DUMMYFUNCTION("""COMPUTED_VALUE"""),0.0)</f>
        <v>0</v>
      </c>
      <c r="J59" s="157">
        <f>IFERROR(__xludf.DUMMYFUNCTION("""COMPUTED_VALUE"""),10.0)</f>
        <v>10</v>
      </c>
      <c r="K59" s="156"/>
      <c r="L59" s="160">
        <f>IFERROR(__xludf.DUMMYFUNCTION("""COMPUTED_VALUE"""),10.0)</f>
        <v>10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154">
        <f>IFERROR(__xludf.DUMMYFUNCTION("""COMPUTED_VALUE"""),8.0)</f>
        <v>8</v>
      </c>
      <c r="F60" s="154">
        <f>IFERROR(__xludf.DUMMYFUNCTION("""COMPUTED_VALUE"""),2.0)</f>
        <v>2</v>
      </c>
      <c r="G60" s="154">
        <f>IFERROR(__xludf.DUMMYFUNCTION("""COMPUTED_VALUE"""),1.0)</f>
        <v>1</v>
      </c>
      <c r="H60" s="155">
        <f>IFERROR(__xludf.DUMMYFUNCTION("""COMPUTED_VALUE"""),11.0)</f>
        <v>11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IFERROR(__xludf.DUMMYFUNCTION("""COMPUTED_VALUE"""),11.0)</f>
        <v>11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154">
        <f>IFERROR(__xludf.DUMMYFUNCTION("""COMPUTED_VALUE"""),7.8)</f>
        <v>7.8</v>
      </c>
      <c r="F61" s="154">
        <f>IFERROR(__xludf.DUMMYFUNCTION("""COMPUTED_VALUE"""),2.0)</f>
        <v>2</v>
      </c>
      <c r="G61" s="154">
        <f>IFERROR(__xludf.DUMMYFUNCTION("""COMPUTED_VALUE"""),0.0)</f>
        <v>0</v>
      </c>
      <c r="H61" s="155">
        <f>IFERROR(__xludf.DUMMYFUNCTION("""COMPUTED_VALUE"""),9.8)</f>
        <v>9.8</v>
      </c>
      <c r="I61" s="161">
        <f>IFERROR(__xludf.DUMMYFUNCTION("""COMPUTED_VALUE"""),1.0)</f>
        <v>1</v>
      </c>
      <c r="J61" s="157">
        <f>IFERROR(__xludf.DUMMYFUNCTION("""COMPUTED_VALUE"""),10.0)</f>
        <v>10</v>
      </c>
      <c r="K61" s="156"/>
      <c r="L61" s="160">
        <f>IFERROR(__xludf.DUMMYFUNCTION("""COMPUTED_VALUE"""),10.0)</f>
        <v>10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154">
        <f>IFERROR(__xludf.DUMMYFUNCTION("""COMPUTED_VALUE"""),7.7)</f>
        <v>7.7</v>
      </c>
      <c r="F62" s="154">
        <f>IFERROR(__xludf.DUMMYFUNCTION("""COMPUTED_VALUE"""),2.0)</f>
        <v>2</v>
      </c>
      <c r="G62" s="154">
        <f>IFERROR(__xludf.DUMMYFUNCTION("""COMPUTED_VALUE"""),1.0)</f>
        <v>1</v>
      </c>
      <c r="H62" s="155">
        <f>IFERROR(__xludf.DUMMYFUNCTION("""COMPUTED_VALUE"""),10.7)</f>
        <v>10.7</v>
      </c>
      <c r="I62" s="161">
        <f>IFERROR(__xludf.DUMMYFUNCTION("""COMPUTED_VALUE"""),0.0)</f>
        <v>0</v>
      </c>
      <c r="J62" s="157">
        <f>IFERROR(__xludf.DUMMYFUNCTION("""COMPUTED_VALUE"""),10.0)</f>
        <v>10</v>
      </c>
      <c r="K62" s="156"/>
      <c r="L62" s="160">
        <f>IFERROR(__xludf.DUMMYFUNCTION("""COMPUTED_VALUE"""),11.0)</f>
        <v>11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154">
        <f>IFERROR(__xludf.DUMMYFUNCTION("""COMPUTED_VALUE"""),8.0)</f>
        <v>8</v>
      </c>
      <c r="F63" s="154">
        <f>IFERROR(__xludf.DUMMYFUNCTION("""COMPUTED_VALUE"""),2.0)</f>
        <v>2</v>
      </c>
      <c r="G63" s="154">
        <f>IFERROR(__xludf.DUMMYFUNCTION("""COMPUTED_VALUE"""),1.0)</f>
        <v>1</v>
      </c>
      <c r="H63" s="155">
        <f>IFERROR(__xludf.DUMMYFUNCTION("""COMPUTED_VALUE"""),11.0)</f>
        <v>11</v>
      </c>
      <c r="I63" s="161">
        <f>IFERROR(__xludf.DUMMYFUNCTION("""COMPUTED_VALUE"""),0.0)</f>
        <v>0</v>
      </c>
      <c r="J63" s="157">
        <f>IFERROR(__xludf.DUMMYFUNCTION("""COMPUTED_VALUE"""),10.0)</f>
        <v>10</v>
      </c>
      <c r="K63" s="156"/>
      <c r="L63" s="160">
        <f>IFERROR(__xludf.DUMMYFUNCTION("""COMPUTED_VALUE"""),11.0)</f>
        <v>11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154">
        <f>IFERROR(__xludf.DUMMYFUNCTION("""COMPUTED_VALUE"""),8.0)</f>
        <v>8</v>
      </c>
      <c r="F64" s="154">
        <f>IFERROR(__xludf.DUMMYFUNCTION("""COMPUTED_VALUE"""),1.9)</f>
        <v>1.9</v>
      </c>
      <c r="G64" s="154">
        <f>IFERROR(__xludf.DUMMYFUNCTION("""COMPUTED_VALUE"""),1.0)</f>
        <v>1</v>
      </c>
      <c r="H64" s="155">
        <f>IFERROR(__xludf.DUMMYFUNCTION("""COMPUTED_VALUE"""),10.9)</f>
        <v>10.9</v>
      </c>
      <c r="I64" s="161">
        <f>IFERROR(__xludf.DUMMYFUNCTION("""COMPUTED_VALUE"""),0.0)</f>
        <v>0</v>
      </c>
      <c r="J64" s="157">
        <f>IFERROR(__xludf.DUMMYFUNCTION("""COMPUTED_VALUE"""),10.0)</f>
        <v>10</v>
      </c>
      <c r="K64" s="156"/>
      <c r="L64" s="160">
        <f>IFERROR(__xludf.DUMMYFUNCTION("""COMPUTED_VALUE"""),11.0)</f>
        <v>11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154">
        <f>IFERROR(__xludf.DUMMYFUNCTION("""COMPUTED_VALUE"""),4.1)</f>
        <v>4.1</v>
      </c>
      <c r="F65" s="154">
        <f>IFERROR(__xludf.DUMMYFUNCTION("""COMPUTED_VALUE"""),1.9)</f>
        <v>1.9</v>
      </c>
      <c r="G65" s="154">
        <f>IFERROR(__xludf.DUMMYFUNCTION("""COMPUTED_VALUE"""),0.0)</f>
        <v>0</v>
      </c>
      <c r="H65" s="155">
        <f>IFERROR(__xludf.DUMMYFUNCTION("""COMPUTED_VALUE"""),6.0)</f>
        <v>6</v>
      </c>
      <c r="I65" s="161">
        <f>IFERROR(__xludf.DUMMYFUNCTION("""COMPUTED_VALUE"""),2.0)</f>
        <v>2</v>
      </c>
      <c r="J65" s="157">
        <f>IFERROR(__xludf.DUMMYFUNCTION("""COMPUTED_VALUE"""),6.0)</f>
        <v>6</v>
      </c>
      <c r="K65" s="156"/>
      <c r="L65" s="160">
        <f>IFERROR(__xludf.DUMMYFUNCTION("""COMPUTED_VALUE"""),6.0)</f>
        <v>6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6"/>
      <c r="B66" s="162"/>
      <c r="C66" s="162"/>
      <c r="D66" s="127"/>
      <c r="E66" s="163"/>
      <c r="F66" s="163"/>
      <c r="G66" s="163"/>
      <c r="H66" s="163"/>
      <c r="I66" s="132"/>
      <c r="J66" s="164"/>
      <c r="K66" s="128"/>
      <c r="L66" s="164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65" t="str">
        <f>IFERROR(__xludf.DUMMYFUNCTION("""COMPUTED_VALUE"""),"No. DE ALUMNOS INSCRITOS")</f>
        <v>No. DE ALUMNOS INSCRITOS</v>
      </c>
      <c r="C67" s="73"/>
      <c r="D67" s="201">
        <f>IFERROR(__xludf.DUMMYFUNCTION("""COMPUTED_VALUE"""),49.0)</f>
        <v>49</v>
      </c>
      <c r="E67" s="163"/>
      <c r="F67" s="167" t="str">
        <f>IFERROR(__xludf.DUMMYFUNCTION("""COMPUTED_VALUE"""),"FIRMA DEL PROFESOR")</f>
        <v>FIRMA DEL PROFESOR</v>
      </c>
      <c r="G67" s="163"/>
      <c r="H67" s="167" t="str">
        <f>IFERROR(__xludf.DUMMYFUNCTION("""COMPUTED_VALUE"""),"FIRMA DEL ORIENTADOR")</f>
        <v>FIRMA DEL ORIENTADOR</v>
      </c>
      <c r="J67" s="168" t="str">
        <f>IFERROR(__xludf.DUMMYFUNCTION("""COMPUTED_VALUE"""),"Vo. Bo. SUBDIRECCIÓN ESCOLAR")</f>
        <v>Vo. Bo. SUBDIRECCIÓN ESCOLAR</v>
      </c>
      <c r="K67" s="169" t="str">
        <f>IFERROR(__xludf.DUMMYFUNCTION("""COMPUTED_VALUE"""),"REVISADO POR SECRETARIA ESCOLAR ")</f>
        <v>REVISADO POR SECRETARIA ESCOLAR </v>
      </c>
      <c r="L67" s="164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0" t="str">
        <f>IFERROR(__xludf.DUMMYFUNCTION("""COMPUTED_VALUE"""),"BAJAS DURANTE EL SEMESTRE")</f>
        <v>BAJAS DURANTE EL SEMESTRE</v>
      </c>
      <c r="C68" s="80"/>
      <c r="D68" s="202">
        <f>IFERROR(__xludf.DUMMYFUNCTION("""COMPUTED_VALUE"""),0.0)</f>
        <v>0</v>
      </c>
      <c r="E68" s="163"/>
      <c r="G68" s="163"/>
      <c r="K68" s="10"/>
      <c r="L68" s="164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21"/>
      <c r="B69" s="170" t="str">
        <f>IFERROR(__xludf.DUMMYFUNCTION("""COMPUTED_VALUE"""),"EXISTENCIA")</f>
        <v>EXISTENCIA</v>
      </c>
      <c r="C69" s="80"/>
      <c r="D69" s="172">
        <f>IFERROR(__xludf.DUMMYFUNCTION("""COMPUTED_VALUE"""),49.0)</f>
        <v>49</v>
      </c>
      <c r="E69" s="163"/>
      <c r="F69" s="163"/>
      <c r="G69" s="163"/>
      <c r="H69" s="163"/>
      <c r="I69" s="132"/>
      <c r="J69" s="164"/>
      <c r="K69" s="128"/>
      <c r="L69" s="164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21"/>
      <c r="B70" s="170" t="str">
        <f>IFERROR(__xludf.DUMMYFUNCTION("""COMPUTED_VALUE"""),"No. DE ALUMNOS APROBADOS")</f>
        <v>No. DE ALUMNOS APROBADOS</v>
      </c>
      <c r="C70" s="80"/>
      <c r="D70" s="172">
        <f>IFERROR(__xludf.DUMMYFUNCTION("""COMPUTED_VALUE"""),48.0)</f>
        <v>48</v>
      </c>
      <c r="E70" s="163"/>
      <c r="F70" s="163"/>
      <c r="G70" s="163"/>
      <c r="H70" s="163"/>
      <c r="I70" s="132"/>
      <c r="J70" s="164"/>
      <c r="K70" s="128"/>
      <c r="L70" s="164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13.5" customHeight="1">
      <c r="A71" s="121"/>
      <c r="B71" s="170" t="str">
        <f>IFERROR(__xludf.DUMMYFUNCTION("""COMPUTED_VALUE"""),"No. DE ALUMNOS REPROBADOS")</f>
        <v>No. DE ALUMNOS REPROBADOS</v>
      </c>
      <c r="C71" s="80"/>
      <c r="D71" s="172">
        <f>IFERROR(__xludf.DUMMYFUNCTION("""COMPUTED_VALUE"""),1.0)</f>
        <v>1</v>
      </c>
      <c r="E71" s="132"/>
      <c r="F71" s="173"/>
      <c r="G71" s="127"/>
      <c r="H71" s="173"/>
      <c r="I71" s="173"/>
      <c r="J71" s="174"/>
      <c r="K71" s="175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76"/>
      <c r="B72" s="177" t="str">
        <f>IFERROR(__xludf.DUMMYFUNCTION("""COMPUTED_VALUE"""),"% DE APROBADOS")</f>
        <v>% DE APROBADOS</v>
      </c>
      <c r="C72" s="80"/>
      <c r="D72" s="178">
        <f>IFERROR(__xludf.DUMMYFUNCTION("""COMPUTED_VALUE"""),97.95918367346938)</f>
        <v>97.95918367</v>
      </c>
      <c r="E72" s="127"/>
      <c r="F72" s="179" t="str">
        <f>IFERROR(__xludf.DUMMYFUNCTION("""COMPUTED_VALUE"""),"PROFR. ")</f>
        <v>PROFR. </v>
      </c>
      <c r="G72" s="130"/>
      <c r="H72" s="120" t="str">
        <f>IFERROR(__xludf.DUMMYFUNCTION("""COMPUTED_VALUE"""),"PROFRA. ANA ISABEL CORREA SALGADO")</f>
        <v>PROFRA. ANA ISABEL CORREA SALGADO</v>
      </c>
      <c r="J72" s="180" t="str">
        <f>IFERROR(__xludf.DUMMYFUNCTION("""COMPUTED_VALUE"""),"PROFR. OCTAVIO VÁZQUEZ BARRETO")</f>
        <v>PROFR. OCTAVIO VÁZQUEZ BARRETO</v>
      </c>
      <c r="K72" s="181" t="str">
        <f>IFERROR(__xludf.DUMMYFUNCTION("""COMPUTED_VALUE"""),"PROFR. ROBERTO PALOMARES MEJÍA ")</f>
        <v>PROFR. ROBERTO PALOMARES MEJÍA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76"/>
      <c r="B73" s="182" t="str">
        <f>IFERROR(__xludf.DUMMYFUNCTION("""COMPUTED_VALUE"""),"PROMEDIO")</f>
        <v>PROMEDIO</v>
      </c>
      <c r="C73" s="99"/>
      <c r="D73" s="183">
        <f>IFERROR(__xludf.DUMMYFUNCTION("""COMPUTED_VALUE"""),9.489795918367347)</f>
        <v>9.489795918</v>
      </c>
      <c r="E73" s="127"/>
      <c r="G73" s="130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84"/>
      <c r="B74" s="121"/>
      <c r="C74" s="121"/>
      <c r="D74" s="121"/>
      <c r="E74" s="121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85"/>
      <c r="B75" s="186"/>
      <c r="C75" s="187"/>
      <c r="D75" s="188"/>
      <c r="E75" s="127"/>
      <c r="G75" s="127"/>
      <c r="H75" s="127"/>
      <c r="I75" s="127"/>
      <c r="J75" s="127"/>
      <c r="K75" s="189"/>
      <c r="L75" s="127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0"/>
      <c r="B76" s="127"/>
      <c r="C76" s="127"/>
      <c r="D76" s="162"/>
      <c r="E76" s="127"/>
      <c r="F76" s="121"/>
      <c r="G76" s="121"/>
      <c r="H76" s="121"/>
      <c r="I76" s="121"/>
      <c r="J76" s="121"/>
      <c r="K76" s="128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7.75" customHeight="1">
      <c r="A77" s="190"/>
      <c r="B77" s="127"/>
      <c r="C77" s="127"/>
      <c r="D77" s="191"/>
      <c r="E77" s="127"/>
      <c r="F77" s="192"/>
      <c r="G77" s="121"/>
      <c r="H77" s="192"/>
      <c r="I77" s="192"/>
      <c r="J77" s="192"/>
      <c r="K77" s="193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21.75" customHeight="1">
      <c r="A78" s="194"/>
      <c r="B78" s="195"/>
      <c r="C78" s="195"/>
      <c r="D78" s="196"/>
      <c r="E78" s="197"/>
      <c r="F78" s="198"/>
      <c r="G78" s="199"/>
      <c r="H78" s="198"/>
      <c r="I78" s="198"/>
      <c r="J78" s="198"/>
      <c r="K78" s="20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30"/>
      <c r="K81" s="130"/>
      <c r="L81" s="130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30"/>
      <c r="K82" s="130"/>
      <c r="L82" s="130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3.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6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6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4.2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</row>
    <row r="278" ht="13.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>
      <c r="A1010" s="176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ht="15.75" customHeight="1">
      <c r="A1011" s="176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70 K17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IFERROR(__xludf.DUMMYFUNCTION("IMPORTRANGE(""https://docs.google.com/spreadsheets/d/1oczZkBB4J1AhkTffmv-aGacdvcTpVfBb7fURSv7sJlk/edit?gid=1870609860#gid=1870609860"",""2-2 mantenimiento de redes de computo!a1:q86"")"),"")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IFERROR(__xludf.DUMMYFUNCTION("""COMPUTED_VALUE"""),"MIGUEL ANGEL SERRANO ESTRADA")</f>
        <v>MIGUEL ANGEL SERRANO ESTRADA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IFERROR(__xludf.DUMMYFUNCTION("""COMPUTED_VALUE"""),"MANTENIMIENTO DE REDES DE CÓMPUTO")</f>
        <v>MANTENIMIENTO DE REDES DE CÓMPUTO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4">
        <f>IFERROR(__xludf.DUMMYFUNCTION("""COMPUTED_VALUE"""),2.0)</f>
        <v>2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203">
        <f>IFERROR(__xludf.DUMMYFUNCTION("""COMPUTED_VALUE"""),7.0)</f>
        <v>7</v>
      </c>
      <c r="F17" s="154">
        <f>IFERROR(__xludf.DUMMYFUNCTION("""COMPUTED_VALUE"""),2.0)</f>
        <v>2</v>
      </c>
      <c r="G17" s="154">
        <f>IFERROR(__xludf.DUMMYFUNCTION("""COMPUTED_VALUE"""),1.0)</f>
        <v>1</v>
      </c>
      <c r="H17" s="155">
        <f>IFERROR(__xludf.DUMMYFUNCTION("""COMPUTED_VALUE"""),10.0)</f>
        <v>10</v>
      </c>
      <c r="I17" s="156">
        <f>IFERROR(__xludf.DUMMYFUNCTION("""COMPUTED_VALUE"""),0.0)</f>
        <v>0</v>
      </c>
      <c r="J17" s="157">
        <f>IFERROR(__xludf.DUMMYFUNCTION("""COMPUTED_VALUE"""),10.0)</f>
        <v>10</v>
      </c>
      <c r="K17" s="158"/>
      <c r="L17" s="159">
        <f>IFERROR(__xludf.DUMMYFUNCTION("""COMPUTED_VALUE"""),10.0)</f>
        <v>10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154">
        <f>IFERROR(__xludf.DUMMYFUNCTION("""COMPUTED_VALUE"""),7.0)</f>
        <v>7</v>
      </c>
      <c r="F18" s="154">
        <f>IFERROR(__xludf.DUMMYFUNCTION("""COMPUTED_VALUE"""),2.0)</f>
        <v>2</v>
      </c>
      <c r="G18" s="154">
        <f>IFERROR(__xludf.DUMMYFUNCTION("""COMPUTED_VALUE"""),1.0)</f>
        <v>1</v>
      </c>
      <c r="H18" s="155">
        <f>IFERROR(__xludf.DUMMYFUNCTION("""COMPUTED_VALUE"""),10.0)</f>
        <v>10</v>
      </c>
      <c r="I18" s="156">
        <f>IFERROR(__xludf.DUMMYFUNCTION("""COMPUTED_VALUE"""),0.0)</f>
        <v>0</v>
      </c>
      <c r="J18" s="157">
        <f>IFERROR(__xludf.DUMMYFUNCTION("""COMPUTED_VALUE"""),10.0)</f>
        <v>10</v>
      </c>
      <c r="K18" s="156"/>
      <c r="L18" s="159">
        <f>IFERROR(__xludf.DUMMYFUNCTION("""COMPUTED_VALUE"""),10.0)</f>
        <v>10</v>
      </c>
      <c r="M18" s="121" t="str">
        <f>IFERROR(__xludf.DUMMYFUNCTION("""COMPUTED_VALUE"""),"Febrero")</f>
        <v>Febrero</v>
      </c>
      <c r="N18" s="121">
        <f>IFERROR(__xludf.DUMMYFUNCTION("""COMPUTED_VALUE"""),10.0)</f>
        <v>10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154">
        <f>IFERROR(__xludf.DUMMYFUNCTION("""COMPUTED_VALUE"""),8.0)</f>
        <v>8</v>
      </c>
      <c r="F19" s="154">
        <f>IFERROR(__xludf.DUMMYFUNCTION("""COMPUTED_VALUE"""),2.0)</f>
        <v>2</v>
      </c>
      <c r="G19" s="154"/>
      <c r="H19" s="155">
        <f>IFERROR(__xludf.DUMMYFUNCTION("""COMPUTED_VALUE"""),10.0)</f>
        <v>10</v>
      </c>
      <c r="I19" s="156">
        <f>IFERROR(__xludf.DUMMYFUNCTION("""COMPUTED_VALUE"""),0.0)</f>
        <v>0</v>
      </c>
      <c r="J19" s="157">
        <f>IFERROR(__xludf.DUMMYFUNCTION("""COMPUTED_VALUE"""),10.0)</f>
        <v>10</v>
      </c>
      <c r="K19" s="156"/>
      <c r="L19" s="159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IFERROR(__xludf.DUMMYFUNCTION("""COMPUTED_VALUE"""),16.0)</f>
        <v>16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154">
        <f>IFERROR(__xludf.DUMMYFUNCTION("""COMPUTED_VALUE"""),7.0)</f>
        <v>7</v>
      </c>
      <c r="F20" s="154">
        <f>IFERROR(__xludf.DUMMYFUNCTION("""COMPUTED_VALUE"""),2.0)</f>
        <v>2</v>
      </c>
      <c r="G20" s="154"/>
      <c r="H20" s="155">
        <f>IFERROR(__xludf.DUMMYFUNCTION("""COMPUTED_VALUE"""),9.0)</f>
        <v>9</v>
      </c>
      <c r="I20" s="156">
        <f>IFERROR(__xludf.DUMMYFUNCTION("""COMPUTED_VALUE"""),0.0)</f>
        <v>0</v>
      </c>
      <c r="J20" s="157">
        <f>IFERROR(__xludf.DUMMYFUNCTION("""COMPUTED_VALUE"""),9.0)</f>
        <v>9</v>
      </c>
      <c r="K20" s="156"/>
      <c r="L20" s="159">
        <f>IFERROR(__xludf.DUMMYFUNCTION("""COMPUTED_VALUE"""),9.0)</f>
        <v>9</v>
      </c>
      <c r="M20" s="121" t="str">
        <f>IFERROR(__xludf.DUMMYFUNCTION("""COMPUTED_VALUE"""),"Abril")</f>
        <v>Abril</v>
      </c>
      <c r="N20" s="121">
        <f>IFERROR(__xludf.DUMMYFUNCTION("""COMPUTED_VALUE"""),10.0)</f>
        <v>10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154">
        <f>IFERROR(__xludf.DUMMYFUNCTION("""COMPUTED_VALUE"""),7.0)</f>
        <v>7</v>
      </c>
      <c r="F21" s="154">
        <f>IFERROR(__xludf.DUMMYFUNCTION("""COMPUTED_VALUE"""),2.0)</f>
        <v>2</v>
      </c>
      <c r="G21" s="154"/>
      <c r="H21" s="155">
        <f>IFERROR(__xludf.DUMMYFUNCTION("""COMPUTED_VALUE"""),9.0)</f>
        <v>9</v>
      </c>
      <c r="I21" s="156">
        <f>IFERROR(__xludf.DUMMYFUNCTION("""COMPUTED_VALUE"""),0.0)</f>
        <v>0</v>
      </c>
      <c r="J21" s="157">
        <f>IFERROR(__xludf.DUMMYFUNCTION("""COMPUTED_VALUE"""),9.0)</f>
        <v>9</v>
      </c>
      <c r="K21" s="156"/>
      <c r="L21" s="159">
        <f>IFERROR(__xludf.DUMMYFUNCTION("""COMPUTED_VALUE"""),9.0)</f>
        <v>9</v>
      </c>
      <c r="M21" s="121" t="str">
        <f>IFERROR(__xludf.DUMMYFUNCTION("""COMPUTED_VALUE"""),"Mayo")</f>
        <v>Mayo</v>
      </c>
      <c r="N21" s="121">
        <f>IFERROR(__xludf.DUMMYFUNCTION("""COMPUTED_VALUE"""),14.0)</f>
        <v>14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154">
        <f>IFERROR(__xludf.DUMMYFUNCTION("""COMPUTED_VALUE"""),8.0)</f>
        <v>8</v>
      </c>
      <c r="F22" s="154">
        <f>IFERROR(__xludf.DUMMYFUNCTION("""COMPUTED_VALUE"""),2.0)</f>
        <v>2</v>
      </c>
      <c r="G22" s="154"/>
      <c r="H22" s="155">
        <f>IFERROR(__xludf.DUMMYFUNCTION("""COMPUTED_VALUE"""),10.0)</f>
        <v>10</v>
      </c>
      <c r="I22" s="156">
        <f>IFERROR(__xludf.DUMMYFUNCTION("""COMPUTED_VALUE"""),1.0)</f>
        <v>1</v>
      </c>
      <c r="J22" s="157">
        <f>IFERROR(__xludf.DUMMYFUNCTION("""COMPUTED_VALUE"""),10.0)</f>
        <v>10</v>
      </c>
      <c r="K22" s="156"/>
      <c r="L22" s="159">
        <f>IFERROR(__xludf.DUMMYFUNCTION("""COMPUTED_VALUE"""),10.0)</f>
        <v>10</v>
      </c>
      <c r="M22" s="121" t="str">
        <f>IFERROR(__xludf.DUMMYFUNCTION("""COMPUTED_VALUE"""),"Junio")</f>
        <v>Junio</v>
      </c>
      <c r="N22" s="121">
        <f>IFERROR(__xludf.DUMMYFUNCTION("""COMPUTED_VALUE"""),16.0)</f>
        <v>16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154">
        <f>IFERROR(__xludf.DUMMYFUNCTION("""COMPUTED_VALUE"""),7.0)</f>
        <v>7</v>
      </c>
      <c r="F23" s="154">
        <f>IFERROR(__xludf.DUMMYFUNCTION("""COMPUTED_VALUE"""),2.0)</f>
        <v>2</v>
      </c>
      <c r="G23" s="154">
        <f>IFERROR(__xludf.DUMMYFUNCTION("""COMPUTED_VALUE"""),1.0)</f>
        <v>1</v>
      </c>
      <c r="H23" s="155">
        <f>IFERROR(__xludf.DUMMYFUNCTION("""COMPUTED_VALUE"""),10.0)</f>
        <v>10</v>
      </c>
      <c r="I23" s="156">
        <f>IFERROR(__xludf.DUMMYFUNCTION("""COMPUTED_VALUE"""),0.0)</f>
        <v>0</v>
      </c>
      <c r="J23" s="157">
        <f>IFERROR(__xludf.DUMMYFUNCTION("""COMPUTED_VALUE"""),10.0)</f>
        <v>10</v>
      </c>
      <c r="K23" s="156"/>
      <c r="L23" s="159">
        <f>IFERROR(__xludf.DUMMYFUNCTION("""COMPUTED_VALUE"""),10.0)</f>
        <v>10</v>
      </c>
      <c r="M23" s="121" t="str">
        <f>IFERROR(__xludf.DUMMYFUNCTION("""COMPUTED_VALUE"""),"Julio")</f>
        <v>Julio</v>
      </c>
      <c r="N23" s="121">
        <f>IFERROR(__xludf.DUMMYFUNCTION("""COMPUTED_VALUE"""),8.0)</f>
        <v>8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154">
        <f>IFERROR(__xludf.DUMMYFUNCTION("""COMPUTED_VALUE"""),8.0)</f>
        <v>8</v>
      </c>
      <c r="F24" s="154">
        <f>IFERROR(__xludf.DUMMYFUNCTION("""COMPUTED_VALUE"""),2.0)</f>
        <v>2</v>
      </c>
      <c r="G24" s="154"/>
      <c r="H24" s="155">
        <f>IFERROR(__xludf.DUMMYFUNCTION("""COMPUTED_VALUE"""),10.0)</f>
        <v>10</v>
      </c>
      <c r="I24" s="156">
        <f>IFERROR(__xludf.DUMMYFUNCTION("""COMPUTED_VALUE"""),0.0)</f>
        <v>0</v>
      </c>
      <c r="J24" s="157">
        <f>IFERROR(__xludf.DUMMYFUNCTION("""COMPUTED_VALUE"""),10.0)</f>
        <v>10</v>
      </c>
      <c r="K24" s="156"/>
      <c r="L24" s="159">
        <f>IFERROR(__xludf.DUMMYFUNCTION("""COMPUTED_VALUE"""),10.0)</f>
        <v>10</v>
      </c>
      <c r="M24" s="121" t="str">
        <f>IFERROR(__xludf.DUMMYFUNCTION("""COMPUTED_VALUE"""),"TOTAL")</f>
        <v>TOTAL</v>
      </c>
      <c r="N24" s="121">
        <f>IFERROR(__xludf.DUMMYFUNCTION("""COMPUTED_VALUE"""),74.0)</f>
        <v>74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154">
        <f>IFERROR(__xludf.DUMMYFUNCTION("""COMPUTED_VALUE"""),4.0)</f>
        <v>4</v>
      </c>
      <c r="F25" s="154">
        <f>IFERROR(__xludf.DUMMYFUNCTION("""COMPUTED_VALUE"""),1.0)</f>
        <v>1</v>
      </c>
      <c r="G25" s="154">
        <f>IFERROR(__xludf.DUMMYFUNCTION("""COMPUTED_VALUE"""),1.0)</f>
        <v>1</v>
      </c>
      <c r="H25" s="155">
        <f>IFERROR(__xludf.DUMMYFUNCTION("""COMPUTED_VALUE"""),6.0)</f>
        <v>6</v>
      </c>
      <c r="I25" s="156">
        <f>IFERROR(__xludf.DUMMYFUNCTION("""COMPUTED_VALUE"""),1.0)</f>
        <v>1</v>
      </c>
      <c r="J25" s="157">
        <f>IFERROR(__xludf.DUMMYFUNCTION("""COMPUTED_VALUE"""),6.0)</f>
        <v>6</v>
      </c>
      <c r="K25" s="156"/>
      <c r="L25" s="159">
        <f>IFERROR(__xludf.DUMMYFUNCTION("""COMPUTED_VALUE"""),6.0)</f>
        <v>6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154">
        <f>IFERROR(__xludf.DUMMYFUNCTION("""COMPUTED_VALUE"""),4.0)</f>
        <v>4</v>
      </c>
      <c r="F26" s="154">
        <f>IFERROR(__xludf.DUMMYFUNCTION("""COMPUTED_VALUE"""),2.0)</f>
        <v>2</v>
      </c>
      <c r="G26" s="154"/>
      <c r="H26" s="155">
        <f>IFERROR(__xludf.DUMMYFUNCTION("""COMPUTED_VALUE"""),6.0)</f>
        <v>6</v>
      </c>
      <c r="I26" s="156">
        <f>IFERROR(__xludf.DUMMYFUNCTION("""COMPUTED_VALUE"""),2.0)</f>
        <v>2</v>
      </c>
      <c r="J26" s="157">
        <f>IFERROR(__xludf.DUMMYFUNCTION("""COMPUTED_VALUE"""),6.0)</f>
        <v>6</v>
      </c>
      <c r="K26" s="156"/>
      <c r="L26" s="159">
        <f>IFERROR(__xludf.DUMMYFUNCTION("""COMPUTED_VALUE"""),6.0)</f>
        <v>6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154">
        <f>IFERROR(__xludf.DUMMYFUNCTION("""COMPUTED_VALUE"""),7.0)</f>
        <v>7</v>
      </c>
      <c r="F27" s="154">
        <f>IFERROR(__xludf.DUMMYFUNCTION("""COMPUTED_VALUE"""),2.0)</f>
        <v>2</v>
      </c>
      <c r="G27" s="154">
        <f>IFERROR(__xludf.DUMMYFUNCTION("""COMPUTED_VALUE"""),1.0)</f>
        <v>1</v>
      </c>
      <c r="H27" s="155">
        <f>IFERROR(__xludf.DUMMYFUNCTION("""COMPUTED_VALUE"""),10.0)</f>
        <v>10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154">
        <f>IFERROR(__xludf.DUMMYFUNCTION("""COMPUTED_VALUE"""),4.0)</f>
        <v>4</v>
      </c>
      <c r="F28" s="154">
        <f>IFERROR(__xludf.DUMMYFUNCTION("""COMPUTED_VALUE"""),2.0)</f>
        <v>2</v>
      </c>
      <c r="G28" s="154"/>
      <c r="H28" s="155">
        <f>IFERROR(__xludf.DUMMYFUNCTION("""COMPUTED_VALUE"""),6.0)</f>
        <v>6</v>
      </c>
      <c r="I28" s="156">
        <f>IFERROR(__xludf.DUMMYFUNCTION("""COMPUTED_VALUE"""),2.0)</f>
        <v>2</v>
      </c>
      <c r="J28" s="157">
        <f>IFERROR(__xludf.DUMMYFUNCTION("""COMPUTED_VALUE"""),6.0)</f>
        <v>6</v>
      </c>
      <c r="K28" s="156"/>
      <c r="L28" s="159">
        <f>IFERROR(__xludf.DUMMYFUNCTION("""COMPUTED_VALUE"""),6.0)</f>
        <v>6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154">
        <f>IFERROR(__xludf.DUMMYFUNCTION("""COMPUTED_VALUE"""),8.0)</f>
        <v>8</v>
      </c>
      <c r="F29" s="154">
        <f>IFERROR(__xludf.DUMMYFUNCTION("""COMPUTED_VALUE"""),2.0)</f>
        <v>2</v>
      </c>
      <c r="G29" s="154"/>
      <c r="H29" s="155">
        <f>IFERROR(__xludf.DUMMYFUNCTION("""COMPUTED_VALUE"""),10.0)</f>
        <v>10</v>
      </c>
      <c r="I29" s="156">
        <f>IFERROR(__xludf.DUMMYFUNCTION("""COMPUTED_VALUE"""),0.0)</f>
        <v>0</v>
      </c>
      <c r="J29" s="157">
        <f>IFERROR(__xludf.DUMMYFUNCTION("""COMPUTED_VALUE"""),10.0)</f>
        <v>10</v>
      </c>
      <c r="K29" s="156"/>
      <c r="L29" s="159">
        <f>IFERROR(__xludf.DUMMYFUNCTION("""COMPUTED_VALUE"""),10.0)</f>
        <v>10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/>
      <c r="H30" s="155">
        <f>IFERROR(__xludf.DUMMYFUNCTION("""COMPUTED_VALUE"""),10.0)</f>
        <v>10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IFERROR(__xludf.DUMMYFUNCTION("""COMPUTED_VALUE"""),10.0)</f>
        <v>10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154">
        <f>IFERROR(__xludf.DUMMYFUNCTION("""COMPUTED_VALUE"""),6.6)</f>
        <v>6.6</v>
      </c>
      <c r="F31" s="154">
        <f>IFERROR(__xludf.DUMMYFUNCTION("""COMPUTED_VALUE"""),1.4)</f>
        <v>1.4</v>
      </c>
      <c r="G31" s="154"/>
      <c r="H31" s="155">
        <f>IFERROR(__xludf.DUMMYFUNCTION("""COMPUTED_VALUE"""),8.0)</f>
        <v>8</v>
      </c>
      <c r="I31" s="156">
        <f>IFERROR(__xludf.DUMMYFUNCTION("""COMPUTED_VALUE"""),0.0)</f>
        <v>0</v>
      </c>
      <c r="J31" s="157">
        <f>IFERROR(__xludf.DUMMYFUNCTION("""COMPUTED_VALUE"""),8.0)</f>
        <v>8</v>
      </c>
      <c r="K31" s="156"/>
      <c r="L31" s="159">
        <f>IFERROR(__xludf.DUMMYFUNCTION("""COMPUTED_VALUE"""),8.0)</f>
        <v>8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154">
        <f>IFERROR(__xludf.DUMMYFUNCTION("""COMPUTED_VALUE"""),7.0)</f>
        <v>7</v>
      </c>
      <c r="F32" s="154">
        <f>IFERROR(__xludf.DUMMYFUNCTION("""COMPUTED_VALUE"""),2.0)</f>
        <v>2</v>
      </c>
      <c r="G32" s="154">
        <f>IFERROR(__xludf.DUMMYFUNCTION("""COMPUTED_VALUE"""),1.0)</f>
        <v>1</v>
      </c>
      <c r="H32" s="155">
        <f>IFERROR(__xludf.DUMMYFUNCTION("""COMPUTED_VALUE"""),10.0)</f>
        <v>10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154">
        <f>IFERROR(__xludf.DUMMYFUNCTION("""COMPUTED_VALUE"""),8.0)</f>
        <v>8</v>
      </c>
      <c r="F33" s="154">
        <f>IFERROR(__xludf.DUMMYFUNCTION("""COMPUTED_VALUE"""),2.0)</f>
        <v>2</v>
      </c>
      <c r="G33" s="154"/>
      <c r="H33" s="155">
        <f>IFERROR(__xludf.DUMMYFUNCTION("""COMPUTED_VALUE"""),10.0)</f>
        <v>10</v>
      </c>
      <c r="I33" s="156">
        <f>IFERROR(__xludf.DUMMYFUNCTION("""COMPUTED_VALUE"""),0.0)</f>
        <v>0</v>
      </c>
      <c r="J33" s="157">
        <f>IFERROR(__xludf.DUMMYFUNCTION("""COMPUTED_VALUE"""),10.0)</f>
        <v>10</v>
      </c>
      <c r="K33" s="156"/>
      <c r="L33" s="159">
        <f>IFERROR(__xludf.DUMMYFUNCTION("""COMPUTED_VALUE"""),10.0)</f>
        <v>10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154">
        <f>IFERROR(__xludf.DUMMYFUNCTION("""COMPUTED_VALUE"""),7.0)</f>
        <v>7</v>
      </c>
      <c r="F34" s="154">
        <f>IFERROR(__xludf.DUMMYFUNCTION("""COMPUTED_VALUE"""),2.0)</f>
        <v>2</v>
      </c>
      <c r="G34" s="154">
        <f>IFERROR(__xludf.DUMMYFUNCTION("""COMPUTED_VALUE"""),1.0)</f>
        <v>1</v>
      </c>
      <c r="H34" s="155">
        <f>IFERROR(__xludf.DUMMYFUNCTION("""COMPUTED_VALUE"""),10.0)</f>
        <v>10</v>
      </c>
      <c r="I34" s="156">
        <f>IFERROR(__xludf.DUMMYFUNCTION("""COMPUTED_VALUE"""),0.0)</f>
        <v>0</v>
      </c>
      <c r="J34" s="157">
        <f>IFERROR(__xludf.DUMMYFUNCTION("""COMPUTED_VALUE"""),10.0)</f>
        <v>10</v>
      </c>
      <c r="K34" s="156"/>
      <c r="L34" s="159">
        <f>IFERROR(__xludf.DUMMYFUNCTION("""COMPUTED_VALUE"""),10.0)</f>
        <v>10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154">
        <f>IFERROR(__xludf.DUMMYFUNCTION("""COMPUTED_VALUE"""),7.0)</f>
        <v>7</v>
      </c>
      <c r="F35" s="154">
        <f>IFERROR(__xludf.DUMMYFUNCTION("""COMPUTED_VALUE"""),2.0)</f>
        <v>2</v>
      </c>
      <c r="G35" s="154">
        <f>IFERROR(__xludf.DUMMYFUNCTION("""COMPUTED_VALUE"""),1.0)</f>
        <v>1</v>
      </c>
      <c r="H35" s="155">
        <f>IFERROR(__xludf.DUMMYFUNCTION("""COMPUTED_VALUE"""),10.0)</f>
        <v>10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IFERROR(__xludf.DUMMYFUNCTION("""COMPUTED_VALUE"""),10.0)</f>
        <v>10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154">
        <f>IFERROR(__xludf.DUMMYFUNCTION("""COMPUTED_VALUE"""),7.0)</f>
        <v>7</v>
      </c>
      <c r="F36" s="154">
        <f>IFERROR(__xludf.DUMMYFUNCTION("""COMPUTED_VALUE"""),2.0)</f>
        <v>2</v>
      </c>
      <c r="G36" s="154">
        <f>IFERROR(__xludf.DUMMYFUNCTION("""COMPUTED_VALUE"""),1.0)</f>
        <v>1</v>
      </c>
      <c r="H36" s="155">
        <f>IFERROR(__xludf.DUMMYFUNCTION("""COMPUTED_VALUE"""),10.0)</f>
        <v>10</v>
      </c>
      <c r="I36" s="156">
        <f>IFERROR(__xludf.DUMMYFUNCTION("""COMPUTED_VALUE"""),0.0)</f>
        <v>0</v>
      </c>
      <c r="J36" s="157">
        <f>IFERROR(__xludf.DUMMYFUNCTION("""COMPUTED_VALUE"""),10.0)</f>
        <v>10</v>
      </c>
      <c r="K36" s="156"/>
      <c r="L36" s="159">
        <f>IFERROR(__xludf.DUMMYFUNCTION("""COMPUTED_VALUE"""),10.0)</f>
        <v>10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154">
        <f>IFERROR(__xludf.DUMMYFUNCTION("""COMPUTED_VALUE"""),0.0)</f>
        <v>0</v>
      </c>
      <c r="F37" s="154">
        <f>IFERROR(__xludf.DUMMYFUNCTION("""COMPUTED_VALUE"""),0.0)</f>
        <v>0</v>
      </c>
      <c r="G37" s="154"/>
      <c r="H37" s="155">
        <f>IFERROR(__xludf.DUMMYFUNCTION("""COMPUTED_VALUE"""),0.0)</f>
        <v>0</v>
      </c>
      <c r="I37" s="156">
        <f>IFERROR(__xludf.DUMMYFUNCTION("""COMPUTED_VALUE"""),2.0)</f>
        <v>2</v>
      </c>
      <c r="J37" s="157">
        <f>IFERROR(__xludf.DUMMYFUNCTION("""COMPUTED_VALUE"""),5.0)</f>
        <v>5</v>
      </c>
      <c r="K37" s="156"/>
      <c r="L37" s="159">
        <f>IFERROR(__xludf.DUMMYFUNCTION("""COMPUTED_VALUE"""),0.0)</f>
        <v>0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154">
        <f>IFERROR(__xludf.DUMMYFUNCTION("""COMPUTED_VALUE"""),7.0)</f>
        <v>7</v>
      </c>
      <c r="F38" s="154">
        <f>IFERROR(__xludf.DUMMYFUNCTION("""COMPUTED_VALUE"""),2.0)</f>
        <v>2</v>
      </c>
      <c r="G38" s="154">
        <f>IFERROR(__xludf.DUMMYFUNCTION("""COMPUTED_VALUE"""),1.0)</f>
        <v>1</v>
      </c>
      <c r="H38" s="155">
        <f>IFERROR(__xludf.DUMMYFUNCTION("""COMPUTED_VALUE"""),10.0)</f>
        <v>10</v>
      </c>
      <c r="I38" s="156">
        <f>IFERROR(__xludf.DUMMYFUNCTION("""COMPUTED_VALUE"""),0.0)</f>
        <v>0</v>
      </c>
      <c r="J38" s="157">
        <f>IFERROR(__xludf.DUMMYFUNCTION("""COMPUTED_VALUE"""),10.0)</f>
        <v>10</v>
      </c>
      <c r="K38" s="156"/>
      <c r="L38" s="159">
        <f>IFERROR(__xludf.DUMMYFUNCTION("""COMPUTED_VALUE"""),10.0)</f>
        <v>10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154">
        <f>IFERROR(__xludf.DUMMYFUNCTION("""COMPUTED_VALUE"""),8.0)</f>
        <v>8</v>
      </c>
      <c r="F39" s="154">
        <f>IFERROR(__xludf.DUMMYFUNCTION("""COMPUTED_VALUE"""),2.0)</f>
        <v>2</v>
      </c>
      <c r="G39" s="154"/>
      <c r="H39" s="155">
        <f>IFERROR(__xludf.DUMMYFUNCTION("""COMPUTED_VALUE"""),10.0)</f>
        <v>10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154">
        <f>IFERROR(__xludf.DUMMYFUNCTION("""COMPUTED_VALUE"""),7.0)</f>
        <v>7</v>
      </c>
      <c r="F40" s="154">
        <f>IFERROR(__xludf.DUMMYFUNCTION("""COMPUTED_VALUE"""),2.0)</f>
        <v>2</v>
      </c>
      <c r="G40" s="154">
        <f>IFERROR(__xludf.DUMMYFUNCTION("""COMPUTED_VALUE"""),1.0)</f>
        <v>1</v>
      </c>
      <c r="H40" s="155">
        <f>IFERROR(__xludf.DUMMYFUNCTION("""COMPUTED_VALUE"""),10.0)</f>
        <v>10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IFERROR(__xludf.DUMMYFUNCTION("""COMPUTED_VALUE"""),10.0)</f>
        <v>10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154">
        <f>IFERROR(__xludf.DUMMYFUNCTION("""COMPUTED_VALUE"""),5.0)</f>
        <v>5</v>
      </c>
      <c r="F41" s="154">
        <f>IFERROR(__xludf.DUMMYFUNCTION("""COMPUTED_VALUE"""),2.0)</f>
        <v>2</v>
      </c>
      <c r="G41" s="154">
        <f>IFERROR(__xludf.DUMMYFUNCTION("""COMPUTED_VALUE"""),1.0)</f>
        <v>1</v>
      </c>
      <c r="H41" s="155">
        <f>IFERROR(__xludf.DUMMYFUNCTION("""COMPUTED_VALUE"""),8.0)</f>
        <v>8</v>
      </c>
      <c r="I41" s="156">
        <f>IFERROR(__xludf.DUMMYFUNCTION("""COMPUTED_VALUE"""),1.0)</f>
        <v>1</v>
      </c>
      <c r="J41" s="157">
        <f>IFERROR(__xludf.DUMMYFUNCTION("""COMPUTED_VALUE"""),8.0)</f>
        <v>8</v>
      </c>
      <c r="K41" s="156"/>
      <c r="L41" s="159">
        <f>IFERROR(__xludf.DUMMYFUNCTION("""COMPUTED_VALUE"""),8.0)</f>
        <v>8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154">
        <f>IFERROR(__xludf.DUMMYFUNCTION("""COMPUTED_VALUE"""),7.0)</f>
        <v>7</v>
      </c>
      <c r="F42" s="154">
        <f>IFERROR(__xludf.DUMMYFUNCTION("""COMPUTED_VALUE"""),2.0)</f>
        <v>2</v>
      </c>
      <c r="G42" s="154">
        <f>IFERROR(__xludf.DUMMYFUNCTION("""COMPUTED_VALUE"""),1.0)</f>
        <v>1</v>
      </c>
      <c r="H42" s="155">
        <f>IFERROR(__xludf.DUMMYFUNCTION("""COMPUTED_VALUE"""),10.0)</f>
        <v>10</v>
      </c>
      <c r="I42" s="156">
        <f>IFERROR(__xludf.DUMMYFUNCTION("""COMPUTED_VALUE"""),0.0)</f>
        <v>0</v>
      </c>
      <c r="J42" s="157">
        <f>IFERROR(__xludf.DUMMYFUNCTION("""COMPUTED_VALUE"""),10.0)</f>
        <v>10</v>
      </c>
      <c r="K42" s="156"/>
      <c r="L42" s="159">
        <f>IFERROR(__xludf.DUMMYFUNCTION("""COMPUTED_VALUE"""),10.0)</f>
        <v>10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154">
        <f>IFERROR(__xludf.DUMMYFUNCTION("""COMPUTED_VALUE"""),7.0)</f>
        <v>7</v>
      </c>
      <c r="F43" s="154">
        <f>IFERROR(__xludf.DUMMYFUNCTION("""COMPUTED_VALUE"""),2.0)</f>
        <v>2</v>
      </c>
      <c r="G43" s="154">
        <f>IFERROR(__xludf.DUMMYFUNCTION("""COMPUTED_VALUE"""),1.0)</f>
        <v>1</v>
      </c>
      <c r="H43" s="155">
        <f>IFERROR(__xludf.DUMMYFUNCTION("""COMPUTED_VALUE"""),10.0)</f>
        <v>10</v>
      </c>
      <c r="I43" s="156">
        <f>IFERROR(__xludf.DUMMYFUNCTION("""COMPUTED_VALUE"""),0.0)</f>
        <v>0</v>
      </c>
      <c r="J43" s="157">
        <f>IFERROR(__xludf.DUMMYFUNCTION("""COMPUTED_VALUE"""),10.0)</f>
        <v>10</v>
      </c>
      <c r="K43" s="156"/>
      <c r="L43" s="159">
        <f>IFERROR(__xludf.DUMMYFUNCTION("""COMPUTED_VALUE"""),10.0)</f>
        <v>10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154">
        <f>IFERROR(__xludf.DUMMYFUNCTION("""COMPUTED_VALUE"""),7.0)</f>
        <v>7</v>
      </c>
      <c r="F44" s="154">
        <f>IFERROR(__xludf.DUMMYFUNCTION("""COMPUTED_VALUE"""),2.0)</f>
        <v>2</v>
      </c>
      <c r="G44" s="154">
        <f>IFERROR(__xludf.DUMMYFUNCTION("""COMPUTED_VALUE"""),1.0)</f>
        <v>1</v>
      </c>
      <c r="H44" s="155">
        <f>IFERROR(__xludf.DUMMYFUNCTION("""COMPUTED_VALUE"""),10.0)</f>
        <v>10</v>
      </c>
      <c r="I44" s="156">
        <f>IFERROR(__xludf.DUMMYFUNCTION("""COMPUTED_VALUE"""),0.0)</f>
        <v>0</v>
      </c>
      <c r="J44" s="157">
        <f>IFERROR(__xludf.DUMMYFUNCTION("""COMPUTED_VALUE"""),10.0)</f>
        <v>10</v>
      </c>
      <c r="K44" s="156"/>
      <c r="L44" s="159">
        <f>IFERROR(__xludf.DUMMYFUNCTION("""COMPUTED_VALUE"""),10.0)</f>
        <v>10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154">
        <f>IFERROR(__xludf.DUMMYFUNCTION("""COMPUTED_VALUE"""),8.0)</f>
        <v>8</v>
      </c>
      <c r="F45" s="154">
        <f>IFERROR(__xludf.DUMMYFUNCTION("""COMPUTED_VALUE"""),2.0)</f>
        <v>2</v>
      </c>
      <c r="G45" s="154"/>
      <c r="H45" s="155">
        <f>IFERROR(__xludf.DUMMYFUNCTION("""COMPUTED_VALUE"""),10.0)</f>
        <v>10</v>
      </c>
      <c r="I45" s="156">
        <f>IFERROR(__xludf.DUMMYFUNCTION("""COMPUTED_VALUE"""),0.0)</f>
        <v>0</v>
      </c>
      <c r="J45" s="157">
        <f>IFERROR(__xludf.DUMMYFUNCTION("""COMPUTED_VALUE"""),10.0)</f>
        <v>10</v>
      </c>
      <c r="K45" s="156"/>
      <c r="L45" s="159">
        <f>IFERROR(__xludf.DUMMYFUNCTION("""COMPUTED_VALUE"""),10.0)</f>
        <v>10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154">
        <f>IFERROR(__xludf.DUMMYFUNCTION("""COMPUTED_VALUE"""),7.0)</f>
        <v>7</v>
      </c>
      <c r="F46" s="154">
        <f>IFERROR(__xludf.DUMMYFUNCTION("""COMPUTED_VALUE"""),2.0)</f>
        <v>2</v>
      </c>
      <c r="G46" s="154">
        <f>IFERROR(__xludf.DUMMYFUNCTION("""COMPUTED_VALUE"""),1.0)</f>
        <v>1</v>
      </c>
      <c r="H46" s="155">
        <f>IFERROR(__xludf.DUMMYFUNCTION("""COMPUTED_VALUE"""),10.0)</f>
        <v>10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IFERROR(__xludf.DUMMYFUNCTION("""COMPUTED_VALUE"""),10.0)</f>
        <v>10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154">
        <f>IFERROR(__xludf.DUMMYFUNCTION("""COMPUTED_VALUE"""),5.0)</f>
        <v>5</v>
      </c>
      <c r="F47" s="154">
        <f>IFERROR(__xludf.DUMMYFUNCTION("""COMPUTED_VALUE"""),1.0)</f>
        <v>1</v>
      </c>
      <c r="G47" s="154"/>
      <c r="H47" s="155">
        <f>IFERROR(__xludf.DUMMYFUNCTION("""COMPUTED_VALUE"""),6.0)</f>
        <v>6</v>
      </c>
      <c r="I47" s="156">
        <f>IFERROR(__xludf.DUMMYFUNCTION("""COMPUTED_VALUE"""),0.0)</f>
        <v>0</v>
      </c>
      <c r="J47" s="157">
        <f>IFERROR(__xludf.DUMMYFUNCTION("""COMPUTED_VALUE"""),6.0)</f>
        <v>6</v>
      </c>
      <c r="K47" s="156"/>
      <c r="L47" s="159">
        <f>IFERROR(__xludf.DUMMYFUNCTION("""COMPUTED_VALUE"""),6.0)</f>
        <v>6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154">
        <f>IFERROR(__xludf.DUMMYFUNCTION("""COMPUTED_VALUE"""),7.0)</f>
        <v>7</v>
      </c>
      <c r="F48" s="154">
        <f>IFERROR(__xludf.DUMMYFUNCTION("""COMPUTED_VALUE"""),2.0)</f>
        <v>2</v>
      </c>
      <c r="G48" s="154">
        <f>IFERROR(__xludf.DUMMYFUNCTION("""COMPUTED_VALUE"""),1.0)</f>
        <v>1</v>
      </c>
      <c r="H48" s="155">
        <f>IFERROR(__xludf.DUMMYFUNCTION("""COMPUTED_VALUE"""),10.0)</f>
        <v>10</v>
      </c>
      <c r="I48" s="156">
        <f>IFERROR(__xludf.DUMMYFUNCTION("""COMPUTED_VALUE"""),1.0)</f>
        <v>1</v>
      </c>
      <c r="J48" s="157">
        <f>IFERROR(__xludf.DUMMYFUNCTION("""COMPUTED_VALUE"""),10.0)</f>
        <v>10</v>
      </c>
      <c r="K48" s="156"/>
      <c r="L48" s="159">
        <f>IFERROR(__xludf.DUMMYFUNCTION("""COMPUTED_VALUE"""),10.0)</f>
        <v>10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154">
        <f>IFERROR(__xludf.DUMMYFUNCTION("""COMPUTED_VALUE"""),4.0)</f>
        <v>4</v>
      </c>
      <c r="F49" s="154">
        <f>IFERROR(__xludf.DUMMYFUNCTION("""COMPUTED_VALUE"""),1.0)</f>
        <v>1</v>
      </c>
      <c r="G49" s="154">
        <f>IFERROR(__xludf.DUMMYFUNCTION("""COMPUTED_VALUE"""),1.0)</f>
        <v>1</v>
      </c>
      <c r="H49" s="155">
        <f>IFERROR(__xludf.DUMMYFUNCTION("""COMPUTED_VALUE"""),6.0)</f>
        <v>6</v>
      </c>
      <c r="I49" s="156">
        <f>IFERROR(__xludf.DUMMYFUNCTION("""COMPUTED_VALUE"""),1.0)</f>
        <v>1</v>
      </c>
      <c r="J49" s="157">
        <f>IFERROR(__xludf.DUMMYFUNCTION("""COMPUTED_VALUE"""),6.0)</f>
        <v>6</v>
      </c>
      <c r="K49" s="156"/>
      <c r="L49" s="159">
        <f>IFERROR(__xludf.DUMMYFUNCTION("""COMPUTED_VALUE"""),6.0)</f>
        <v>6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154">
        <f>IFERROR(__xludf.DUMMYFUNCTION("""COMPUTED_VALUE"""),7.0)</f>
        <v>7</v>
      </c>
      <c r="F50" s="154">
        <f>IFERROR(__xludf.DUMMYFUNCTION("""COMPUTED_VALUE"""),2.0)</f>
        <v>2</v>
      </c>
      <c r="G50" s="154">
        <f>IFERROR(__xludf.DUMMYFUNCTION("""COMPUTED_VALUE"""),1.0)</f>
        <v>1</v>
      </c>
      <c r="H50" s="155">
        <f>IFERROR(__xludf.DUMMYFUNCTION("""COMPUTED_VALUE"""),10.0)</f>
        <v>10</v>
      </c>
      <c r="I50" s="156">
        <f>IFERROR(__xludf.DUMMYFUNCTION("""COMPUTED_VALUE"""),0.0)</f>
        <v>0</v>
      </c>
      <c r="J50" s="157">
        <f>IFERROR(__xludf.DUMMYFUNCTION("""COMPUTED_VALUE"""),10.0)</f>
        <v>10</v>
      </c>
      <c r="K50" s="156"/>
      <c r="L50" s="159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154">
        <f>IFERROR(__xludf.DUMMYFUNCTION("""COMPUTED_VALUE"""),4.0)</f>
        <v>4</v>
      </c>
      <c r="F51" s="154">
        <f>IFERROR(__xludf.DUMMYFUNCTION("""COMPUTED_VALUE"""),2.0)</f>
        <v>2</v>
      </c>
      <c r="G51" s="154">
        <f>IFERROR(__xludf.DUMMYFUNCTION("""COMPUTED_VALUE"""),1.0)</f>
        <v>1</v>
      </c>
      <c r="H51" s="155">
        <f>IFERROR(__xludf.DUMMYFUNCTION("""COMPUTED_VALUE"""),7.0)</f>
        <v>7</v>
      </c>
      <c r="I51" s="156">
        <f>IFERROR(__xludf.DUMMYFUNCTION("""COMPUTED_VALUE"""),0.0)</f>
        <v>0</v>
      </c>
      <c r="J51" s="157">
        <f>IFERROR(__xludf.DUMMYFUNCTION("""COMPUTED_VALUE"""),7.0)</f>
        <v>7</v>
      </c>
      <c r="K51" s="156"/>
      <c r="L51" s="159">
        <f>IFERROR(__xludf.DUMMYFUNCTION("""COMPUTED_VALUE"""),7.0)</f>
        <v>7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154">
        <f>IFERROR(__xludf.DUMMYFUNCTION("""COMPUTED_VALUE"""),8.0)</f>
        <v>8</v>
      </c>
      <c r="F52" s="154">
        <f>IFERROR(__xludf.DUMMYFUNCTION("""COMPUTED_VALUE"""),2.0)</f>
        <v>2</v>
      </c>
      <c r="G52" s="154"/>
      <c r="H52" s="155">
        <f>IFERROR(__xludf.DUMMYFUNCTION("""COMPUTED_VALUE"""),10.0)</f>
        <v>10</v>
      </c>
      <c r="I52" s="156">
        <f>IFERROR(__xludf.DUMMYFUNCTION("""COMPUTED_VALUE"""),1.0)</f>
        <v>1</v>
      </c>
      <c r="J52" s="157">
        <f>IFERROR(__xludf.DUMMYFUNCTION("""COMPUTED_VALUE"""),10.0)</f>
        <v>10</v>
      </c>
      <c r="K52" s="156"/>
      <c r="L52" s="160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154">
        <f>IFERROR(__xludf.DUMMYFUNCTION("""COMPUTED_VALUE"""),8.0)</f>
        <v>8</v>
      </c>
      <c r="F53" s="154">
        <f>IFERROR(__xludf.DUMMYFUNCTION("""COMPUTED_VALUE"""),2.0)</f>
        <v>2</v>
      </c>
      <c r="G53" s="154"/>
      <c r="H53" s="155">
        <f>IFERROR(__xludf.DUMMYFUNCTION("""COMPUTED_VALUE"""),10.0)</f>
        <v>10</v>
      </c>
      <c r="I53" s="156">
        <f>IFERROR(__xludf.DUMMYFUNCTION("""COMPUTED_VALUE"""),1.0)</f>
        <v>1</v>
      </c>
      <c r="J53" s="157">
        <f>IFERROR(__xludf.DUMMYFUNCTION("""COMPUTED_VALUE"""),10.0)</f>
        <v>10</v>
      </c>
      <c r="K53" s="156"/>
      <c r="L53" s="160">
        <f>IFERROR(__xludf.DUMMYFUNCTION("""COMPUTED_VALUE"""),10.0)</f>
        <v>10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154">
        <f>IFERROR(__xludf.DUMMYFUNCTION("""COMPUTED_VALUE"""),8.0)</f>
        <v>8</v>
      </c>
      <c r="F54" s="154">
        <f>IFERROR(__xludf.DUMMYFUNCTION("""COMPUTED_VALUE"""),2.0)</f>
        <v>2</v>
      </c>
      <c r="G54" s="154"/>
      <c r="H54" s="155">
        <f>IFERROR(__xludf.DUMMYFUNCTION("""COMPUTED_VALUE"""),10.0)</f>
        <v>10</v>
      </c>
      <c r="I54" s="156">
        <f>IFERROR(__xludf.DUMMYFUNCTION("""COMPUTED_VALUE"""),0.0)</f>
        <v>0</v>
      </c>
      <c r="J54" s="157">
        <f>IFERROR(__xludf.DUMMYFUNCTION("""COMPUTED_VALUE"""),10.0)</f>
        <v>10</v>
      </c>
      <c r="K54" s="156"/>
      <c r="L54" s="160">
        <f>IFERROR(__xludf.DUMMYFUNCTION("""COMPUTED_VALUE"""),10.0)</f>
        <v>10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154">
        <f>IFERROR(__xludf.DUMMYFUNCTION("""COMPUTED_VALUE"""),7.0)</f>
        <v>7</v>
      </c>
      <c r="F55" s="154">
        <f>IFERROR(__xludf.DUMMYFUNCTION("""COMPUTED_VALUE"""),2.0)</f>
        <v>2</v>
      </c>
      <c r="G55" s="154"/>
      <c r="H55" s="155">
        <f>IFERROR(__xludf.DUMMYFUNCTION("""COMPUTED_VALUE"""),9.0)</f>
        <v>9</v>
      </c>
      <c r="I55" s="161">
        <f>IFERROR(__xludf.DUMMYFUNCTION("""COMPUTED_VALUE"""),3.0)</f>
        <v>3</v>
      </c>
      <c r="J55" s="157">
        <f>IFERROR(__xludf.DUMMYFUNCTION("""COMPUTED_VALUE"""),9.0)</f>
        <v>9</v>
      </c>
      <c r="K55" s="156"/>
      <c r="L55" s="160">
        <f>IFERROR(__xludf.DUMMYFUNCTION("""COMPUTED_VALUE"""),9.0)</f>
        <v>9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154">
        <f>IFERROR(__xludf.DUMMYFUNCTION("""COMPUTED_VALUE"""),8.0)</f>
        <v>8</v>
      </c>
      <c r="F56" s="154">
        <f>IFERROR(__xludf.DUMMYFUNCTION("""COMPUTED_VALUE"""),2.0)</f>
        <v>2</v>
      </c>
      <c r="G56" s="154"/>
      <c r="H56" s="155">
        <f>IFERROR(__xludf.DUMMYFUNCTION("""COMPUTED_VALUE"""),10.0)</f>
        <v>10</v>
      </c>
      <c r="I56" s="161">
        <f>IFERROR(__xludf.DUMMYFUNCTION("""COMPUTED_VALUE"""),0.0)</f>
        <v>0</v>
      </c>
      <c r="J56" s="157">
        <f>IFERROR(__xludf.DUMMYFUNCTION("""COMPUTED_VALUE"""),10.0)</f>
        <v>10</v>
      </c>
      <c r="K56" s="156"/>
      <c r="L56" s="160">
        <f>IFERROR(__xludf.DUMMYFUNCTION("""COMPUTED_VALUE"""),10.0)</f>
        <v>10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154">
        <f>IFERROR(__xludf.DUMMYFUNCTION("""COMPUTED_VALUE"""),7.0)</f>
        <v>7</v>
      </c>
      <c r="F57" s="154">
        <f>IFERROR(__xludf.DUMMYFUNCTION("""COMPUTED_VALUE"""),2.0)</f>
        <v>2</v>
      </c>
      <c r="G57" s="154">
        <f>IFERROR(__xludf.DUMMYFUNCTION("""COMPUTED_VALUE"""),1.0)</f>
        <v>1</v>
      </c>
      <c r="H57" s="155">
        <f>IFERROR(__xludf.DUMMYFUNCTION("""COMPUTED_VALUE"""),10.0)</f>
        <v>10</v>
      </c>
      <c r="I57" s="161">
        <f>IFERROR(__xludf.DUMMYFUNCTION("""COMPUTED_VALUE"""),0.0)</f>
        <v>0</v>
      </c>
      <c r="J57" s="157">
        <f>IFERROR(__xludf.DUMMYFUNCTION("""COMPUTED_VALUE"""),10.0)</f>
        <v>10</v>
      </c>
      <c r="K57" s="156"/>
      <c r="L57" s="160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154">
        <f>IFERROR(__xludf.DUMMYFUNCTION("""COMPUTED_VALUE"""),7.0)</f>
        <v>7</v>
      </c>
      <c r="F58" s="154">
        <f>IFERROR(__xludf.DUMMYFUNCTION("""COMPUTED_VALUE"""),2.0)</f>
        <v>2</v>
      </c>
      <c r="G58" s="154"/>
      <c r="H58" s="155">
        <f>IFERROR(__xludf.DUMMYFUNCTION("""COMPUTED_VALUE"""),9.0)</f>
        <v>9</v>
      </c>
      <c r="I58" s="161">
        <f>IFERROR(__xludf.DUMMYFUNCTION("""COMPUTED_VALUE"""),1.0)</f>
        <v>1</v>
      </c>
      <c r="J58" s="157">
        <f>IFERROR(__xludf.DUMMYFUNCTION("""COMPUTED_VALUE"""),9.0)</f>
        <v>9</v>
      </c>
      <c r="K58" s="156"/>
      <c r="L58" s="160">
        <f>IFERROR(__xludf.DUMMYFUNCTION("""COMPUTED_VALUE"""),9.0)</f>
        <v>9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154">
        <f>IFERROR(__xludf.DUMMYFUNCTION("""COMPUTED_VALUE"""),7.0)</f>
        <v>7</v>
      </c>
      <c r="F59" s="154">
        <f>IFERROR(__xludf.DUMMYFUNCTION("""COMPUTED_VALUE"""),2.0)</f>
        <v>2</v>
      </c>
      <c r="G59" s="154"/>
      <c r="H59" s="155">
        <f>IFERROR(__xludf.DUMMYFUNCTION("""COMPUTED_VALUE"""),9.0)</f>
        <v>9</v>
      </c>
      <c r="I59" s="161">
        <f>IFERROR(__xludf.DUMMYFUNCTION("""COMPUTED_VALUE"""),0.0)</f>
        <v>0</v>
      </c>
      <c r="J59" s="157">
        <f>IFERROR(__xludf.DUMMYFUNCTION("""COMPUTED_VALUE"""),9.0)</f>
        <v>9</v>
      </c>
      <c r="K59" s="156"/>
      <c r="L59" s="160">
        <f>IFERROR(__xludf.DUMMYFUNCTION("""COMPUTED_VALUE"""),9.0)</f>
        <v>9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154">
        <f>IFERROR(__xludf.DUMMYFUNCTION("""COMPUTED_VALUE"""),7.0)</f>
        <v>7</v>
      </c>
      <c r="F60" s="154">
        <f>IFERROR(__xludf.DUMMYFUNCTION("""COMPUTED_VALUE"""),2.0)</f>
        <v>2</v>
      </c>
      <c r="G60" s="154">
        <f>IFERROR(__xludf.DUMMYFUNCTION("""COMPUTED_VALUE"""),1.0)</f>
        <v>1</v>
      </c>
      <c r="H60" s="155">
        <f>IFERROR(__xludf.DUMMYFUNCTION("""COMPUTED_VALUE"""),10.0)</f>
        <v>10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IFERROR(__xludf.DUMMYFUNCTION("""COMPUTED_VALUE"""),10.0)</f>
        <v>10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154">
        <f>IFERROR(__xludf.DUMMYFUNCTION("""COMPUTED_VALUE"""),8.0)</f>
        <v>8</v>
      </c>
      <c r="F61" s="154">
        <f>IFERROR(__xludf.DUMMYFUNCTION("""COMPUTED_VALUE"""),2.0)</f>
        <v>2</v>
      </c>
      <c r="G61" s="154"/>
      <c r="H61" s="155">
        <f>IFERROR(__xludf.DUMMYFUNCTION("""COMPUTED_VALUE"""),10.0)</f>
        <v>10</v>
      </c>
      <c r="I61" s="161">
        <f>IFERROR(__xludf.DUMMYFUNCTION("""COMPUTED_VALUE"""),3.0)</f>
        <v>3</v>
      </c>
      <c r="J61" s="157">
        <f>IFERROR(__xludf.DUMMYFUNCTION("""COMPUTED_VALUE"""),10.0)</f>
        <v>10</v>
      </c>
      <c r="K61" s="156"/>
      <c r="L61" s="160">
        <f>IFERROR(__xludf.DUMMYFUNCTION("""COMPUTED_VALUE"""),10.0)</f>
        <v>10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154">
        <f>IFERROR(__xludf.DUMMYFUNCTION("""COMPUTED_VALUE"""),7.0)</f>
        <v>7</v>
      </c>
      <c r="F62" s="154">
        <f>IFERROR(__xludf.DUMMYFUNCTION("""COMPUTED_VALUE"""),2.0)</f>
        <v>2</v>
      </c>
      <c r="G62" s="154">
        <f>IFERROR(__xludf.DUMMYFUNCTION("""COMPUTED_VALUE"""),1.0)</f>
        <v>1</v>
      </c>
      <c r="H62" s="155">
        <f>IFERROR(__xludf.DUMMYFUNCTION("""COMPUTED_VALUE"""),10.0)</f>
        <v>10</v>
      </c>
      <c r="I62" s="161">
        <f>IFERROR(__xludf.DUMMYFUNCTION("""COMPUTED_VALUE"""),1.0)</f>
        <v>1</v>
      </c>
      <c r="J62" s="157">
        <f>IFERROR(__xludf.DUMMYFUNCTION("""COMPUTED_VALUE"""),10.0)</f>
        <v>10</v>
      </c>
      <c r="K62" s="156"/>
      <c r="L62" s="160">
        <f>IFERROR(__xludf.DUMMYFUNCTION("""COMPUTED_VALUE"""),10.0)</f>
        <v>10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154">
        <f>IFERROR(__xludf.DUMMYFUNCTION("""COMPUTED_VALUE"""),7.0)</f>
        <v>7</v>
      </c>
      <c r="F63" s="154">
        <f>IFERROR(__xludf.DUMMYFUNCTION("""COMPUTED_VALUE"""),2.0)</f>
        <v>2</v>
      </c>
      <c r="G63" s="154">
        <f>IFERROR(__xludf.DUMMYFUNCTION("""COMPUTED_VALUE"""),1.0)</f>
        <v>1</v>
      </c>
      <c r="H63" s="155">
        <f>IFERROR(__xludf.DUMMYFUNCTION("""COMPUTED_VALUE"""),10.0)</f>
        <v>10</v>
      </c>
      <c r="I63" s="154">
        <f>IFERROR(__xludf.DUMMYFUNCTION("""COMPUTED_VALUE"""),1.0)</f>
        <v>1</v>
      </c>
      <c r="J63" s="157">
        <f>IFERROR(__xludf.DUMMYFUNCTION("""COMPUTED_VALUE"""),10.0)</f>
        <v>10</v>
      </c>
      <c r="K63" s="156"/>
      <c r="L63" s="160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154">
        <f>IFERROR(__xludf.DUMMYFUNCTION("""COMPUTED_VALUE"""),6.0)</f>
        <v>6</v>
      </c>
      <c r="F64" s="154">
        <f>IFERROR(__xludf.DUMMYFUNCTION("""COMPUTED_VALUE"""),2.0)</f>
        <v>2</v>
      </c>
      <c r="G64" s="154">
        <f>IFERROR(__xludf.DUMMYFUNCTION("""COMPUTED_VALUE"""),1.0)</f>
        <v>1</v>
      </c>
      <c r="H64" s="155">
        <f>IFERROR(__xludf.DUMMYFUNCTION("""COMPUTED_VALUE"""),9.0)</f>
        <v>9</v>
      </c>
      <c r="I64" s="154">
        <f>IFERROR(__xludf.DUMMYFUNCTION("""COMPUTED_VALUE"""),2.0)</f>
        <v>2</v>
      </c>
      <c r="J64" s="157">
        <f>IFERROR(__xludf.DUMMYFUNCTION("""COMPUTED_VALUE"""),10.0)</f>
        <v>10</v>
      </c>
      <c r="K64" s="156"/>
      <c r="L64" s="160">
        <f>IFERROR(__xludf.DUMMYFUNCTION("""COMPUTED_VALUE"""),9.0)</f>
        <v>9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154">
        <f>IFERROR(__xludf.DUMMYFUNCTION("""COMPUTED_VALUE"""),0.0)</f>
        <v>0</v>
      </c>
      <c r="F65" s="154">
        <f>IFERROR(__xludf.DUMMYFUNCTION("""COMPUTED_VALUE"""),0.0)</f>
        <v>0</v>
      </c>
      <c r="G65" s="154"/>
      <c r="H65" s="155">
        <f>IFERROR(__xludf.DUMMYFUNCTION("""COMPUTED_VALUE"""),0.0)</f>
        <v>0</v>
      </c>
      <c r="I65" s="161">
        <f>IFERROR(__xludf.DUMMYFUNCTION("""COMPUTED_VALUE"""),4.0)</f>
        <v>4</v>
      </c>
      <c r="J65" s="157">
        <f>IFERROR(__xludf.DUMMYFUNCTION("""COMPUTED_VALUE"""),5.0)</f>
        <v>5</v>
      </c>
      <c r="K65" s="156"/>
      <c r="L65" s="160">
        <f>IFERROR(__xludf.DUMMYFUNCTION("""COMPUTED_VALUE"""),0.0)</f>
        <v>0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6"/>
      <c r="B66" s="162"/>
      <c r="C66" s="162"/>
      <c r="D66" s="127"/>
      <c r="E66" s="163"/>
      <c r="F66" s="163"/>
      <c r="G66" s="163"/>
      <c r="H66" s="163"/>
      <c r="I66" s="132"/>
      <c r="J66" s="164"/>
      <c r="K66" s="128"/>
      <c r="L66" s="164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65" t="str">
        <f>IFERROR(__xludf.DUMMYFUNCTION("""COMPUTED_VALUE"""),"No. DE ALUMNOS INSCRITOS")</f>
        <v>No. DE ALUMNOS INSCRITOS</v>
      </c>
      <c r="C67" s="73"/>
      <c r="D67" s="201">
        <f>IFERROR(__xludf.DUMMYFUNCTION("""COMPUTED_VALUE"""),49.0)</f>
        <v>49</v>
      </c>
      <c r="E67" s="163"/>
      <c r="F67" s="167" t="str">
        <f>IFERROR(__xludf.DUMMYFUNCTION("""COMPUTED_VALUE"""),"FIRMA DEL PROFESOR")</f>
        <v>FIRMA DEL PROFESOR</v>
      </c>
      <c r="G67" s="163"/>
      <c r="H67" s="167" t="str">
        <f>IFERROR(__xludf.DUMMYFUNCTION("""COMPUTED_VALUE"""),"FIRMA DEL ORIENTADOR")</f>
        <v>FIRMA DEL ORIENTADOR</v>
      </c>
      <c r="J67" s="168" t="str">
        <f>IFERROR(__xludf.DUMMYFUNCTION("""COMPUTED_VALUE"""),"Vo. Bo. SUBDIRECCIÓN ESCOLAR")</f>
        <v>Vo. Bo. SUBDIRECCIÓN ESCOLAR</v>
      </c>
      <c r="K67" s="169" t="str">
        <f>IFERROR(__xludf.DUMMYFUNCTION("""COMPUTED_VALUE"""),"REVISADO POR SECRETARIA ESCOLAR ")</f>
        <v>REVISADO POR SECRETARIA ESCOLAR </v>
      </c>
      <c r="L67" s="164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0" t="str">
        <f>IFERROR(__xludf.DUMMYFUNCTION("""COMPUTED_VALUE"""),"BAJAS DURANTE EL SEMESTRE")</f>
        <v>BAJAS DURANTE EL SEMESTRE</v>
      </c>
      <c r="C68" s="80"/>
      <c r="D68" s="204">
        <f>IFERROR(__xludf.DUMMYFUNCTION("""COMPUTED_VALUE"""),0.0)</f>
        <v>0</v>
      </c>
      <c r="E68" s="163"/>
      <c r="G68" s="163"/>
      <c r="K68" s="10"/>
      <c r="L68" s="164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21"/>
      <c r="B69" s="170" t="str">
        <f>IFERROR(__xludf.DUMMYFUNCTION("""COMPUTED_VALUE"""),"EXISTENCIA")</f>
        <v>EXISTENCIA</v>
      </c>
      <c r="C69" s="80"/>
      <c r="D69" s="172">
        <f>IFERROR(__xludf.DUMMYFUNCTION("""COMPUTED_VALUE"""),49.0)</f>
        <v>49</v>
      </c>
      <c r="E69" s="163"/>
      <c r="F69" s="163"/>
      <c r="G69" s="163"/>
      <c r="H69" s="163"/>
      <c r="I69" s="132"/>
      <c r="J69" s="164"/>
      <c r="K69" s="128"/>
      <c r="L69" s="164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21"/>
      <c r="B70" s="170" t="str">
        <f>IFERROR(__xludf.DUMMYFUNCTION("""COMPUTED_VALUE"""),"No. DE ALUMNOS APROBADOS")</f>
        <v>No. DE ALUMNOS APROBADOS</v>
      </c>
      <c r="C70" s="80"/>
      <c r="D70" s="172">
        <f>IFERROR(__xludf.DUMMYFUNCTION("""COMPUTED_VALUE"""),47.0)</f>
        <v>47</v>
      </c>
      <c r="E70" s="163"/>
      <c r="F70" s="163"/>
      <c r="G70" s="163"/>
      <c r="H70" s="163"/>
      <c r="I70" s="132"/>
      <c r="J70" s="164"/>
      <c r="K70" s="128"/>
      <c r="L70" s="164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13.5" customHeight="1">
      <c r="A71" s="121"/>
      <c r="B71" s="170" t="str">
        <f>IFERROR(__xludf.DUMMYFUNCTION("""COMPUTED_VALUE"""),"No. DE ALUMNOS REPROBADOS")</f>
        <v>No. DE ALUMNOS REPROBADOS</v>
      </c>
      <c r="C71" s="80"/>
      <c r="D71" s="172">
        <f>IFERROR(__xludf.DUMMYFUNCTION("""COMPUTED_VALUE"""),2.0)</f>
        <v>2</v>
      </c>
      <c r="E71" s="132"/>
      <c r="F71" s="173"/>
      <c r="G71" s="127"/>
      <c r="H71" s="173"/>
      <c r="I71" s="173"/>
      <c r="J71" s="174"/>
      <c r="K71" s="175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76"/>
      <c r="B72" s="177" t="str">
        <f>IFERROR(__xludf.DUMMYFUNCTION("""COMPUTED_VALUE"""),"% DE APROBADOS")</f>
        <v>% DE APROBADOS</v>
      </c>
      <c r="C72" s="80"/>
      <c r="D72" s="178">
        <f>IFERROR(__xludf.DUMMYFUNCTION("""COMPUTED_VALUE"""),95.91836734693878)</f>
        <v>95.91836735</v>
      </c>
      <c r="E72" s="127"/>
      <c r="F72" s="179" t="str">
        <f>IFERROR(__xludf.DUMMYFUNCTION("""COMPUTED_VALUE"""),"PROFR. ")</f>
        <v>PROFR. </v>
      </c>
      <c r="G72" s="130"/>
      <c r="H72" s="120" t="str">
        <f>IFERROR(__xludf.DUMMYFUNCTION("""COMPUTED_VALUE"""),"PROFRA. ANA ISABEL CORREA SALGADO")</f>
        <v>PROFRA. ANA ISABEL CORREA SALGADO</v>
      </c>
      <c r="J72" s="180" t="str">
        <f>IFERROR(__xludf.DUMMYFUNCTION("""COMPUTED_VALUE"""),"PROFR. OCTAVIO VÁZQUEZ BARRETO")</f>
        <v>PROFR. OCTAVIO VÁZQUEZ BARRETO</v>
      </c>
      <c r="K72" s="181" t="str">
        <f>IFERROR(__xludf.DUMMYFUNCTION("""COMPUTED_VALUE"""),"PROFR. ROBERTO PALOMARES MEJÍA ")</f>
        <v>PROFR. ROBERTO PALOMARES MEJÍA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76"/>
      <c r="B73" s="182" t="str">
        <f>IFERROR(__xludf.DUMMYFUNCTION("""COMPUTED_VALUE"""),"PROMEDIO")</f>
        <v>PROMEDIO</v>
      </c>
      <c r="C73" s="99"/>
      <c r="D73" s="183">
        <f>IFERROR(__xludf.DUMMYFUNCTION("""COMPUTED_VALUE"""),9.142857142857142)</f>
        <v>9.142857143</v>
      </c>
      <c r="E73" s="127"/>
      <c r="G73" s="130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84"/>
      <c r="B74" s="121"/>
      <c r="C74" s="121"/>
      <c r="D74" s="121"/>
      <c r="E74" s="121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85"/>
      <c r="B75" s="186"/>
      <c r="C75" s="187"/>
      <c r="D75" s="188"/>
      <c r="E75" s="127"/>
      <c r="G75" s="127"/>
      <c r="H75" s="127"/>
      <c r="I75" s="127"/>
      <c r="J75" s="127"/>
      <c r="K75" s="189"/>
      <c r="L75" s="127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0"/>
      <c r="B76" s="127"/>
      <c r="C76" s="127"/>
      <c r="D76" s="162"/>
      <c r="E76" s="127"/>
      <c r="F76" s="121"/>
      <c r="G76" s="121"/>
      <c r="H76" s="121"/>
      <c r="I76" s="121"/>
      <c r="J76" s="121"/>
      <c r="K76" s="128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7.75" customHeight="1">
      <c r="A77" s="190"/>
      <c r="B77" s="127"/>
      <c r="C77" s="127"/>
      <c r="D77" s="191"/>
      <c r="E77" s="127"/>
      <c r="F77" s="192"/>
      <c r="G77" s="121"/>
      <c r="H77" s="192"/>
      <c r="I77" s="192"/>
      <c r="J77" s="192"/>
      <c r="K77" s="193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21.75" customHeight="1">
      <c r="A78" s="194"/>
      <c r="B78" s="195"/>
      <c r="C78" s="195"/>
      <c r="D78" s="196"/>
      <c r="E78" s="197"/>
      <c r="F78" s="198"/>
      <c r="G78" s="199"/>
      <c r="H78" s="198"/>
      <c r="I78" s="198"/>
      <c r="J78" s="198"/>
      <c r="K78" s="20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30"/>
      <c r="K81" s="130"/>
      <c r="L81" s="130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30"/>
      <c r="K82" s="130"/>
      <c r="L82" s="130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3.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6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6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4.2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"/>
    </row>
    <row r="278" ht="13.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>
      <c r="A1010" s="176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ht="15.75" customHeight="1">
      <c r="A1011" s="176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0 K18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IFERROR(__xludf.DUMMYFUNCTION("IMPORTRANGE(""https://docs.google.com/spreadsheets/d/1G21Rae1HEvKyziJfdvU9KNUk-9v3MIQn0XxsBZDk7Uk/edit?gid=433642652#gid=433642652"",""2-2 actividades artisticas y culturales i 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IFERROR(__xludf.DUMMYFUNCTION("""COMPUTED_VALUE"""),"Claudia Ivone Torres Moreno")</f>
        <v>Claudia Ivone Torres Moreno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IFERROR(__xludf.DUMMYFUNCTION("""COMPUTED_VALUE"""),"ACTIVIDADES ARTÍSTICAS Y CULTURALES I")</f>
        <v>ACTIVIDADES ARTÍSTICAS Y CULTURALES 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4">
        <f>IFERROR(__xludf.DUMMYFUNCTION("""COMPUTED_VALUE"""),2.0)</f>
        <v>2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154">
        <f>IFERROR(__xludf.DUMMYFUNCTION("""COMPUTED_VALUE"""),8.0)</f>
        <v>8</v>
      </c>
      <c r="F17" s="154">
        <f>IFERROR(__xludf.DUMMYFUNCTION("""COMPUTED_VALUE"""),2.0)</f>
        <v>2</v>
      </c>
      <c r="G17" s="154"/>
      <c r="H17" s="155">
        <f>IFERROR(__xludf.DUMMYFUNCTION("""COMPUTED_VALUE"""),10.0)</f>
        <v>10</v>
      </c>
      <c r="I17" s="156">
        <f>IFERROR(__xludf.DUMMYFUNCTION("""COMPUTED_VALUE"""),0.0)</f>
        <v>0</v>
      </c>
      <c r="J17" s="157">
        <f>IFERROR(__xludf.DUMMYFUNCTION("""COMPUTED_VALUE"""),10.0)</f>
        <v>10</v>
      </c>
      <c r="K17" s="158"/>
      <c r="L17" s="159">
        <f>IFERROR(__xludf.DUMMYFUNCTION("""COMPUTED_VALUE"""),10.0)</f>
        <v>10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154">
        <f>IFERROR(__xludf.DUMMYFUNCTION("""COMPUTED_VALUE"""),8.0)</f>
        <v>8</v>
      </c>
      <c r="F18" s="154">
        <f>IFERROR(__xludf.DUMMYFUNCTION("""COMPUTED_VALUE"""),1.8)</f>
        <v>1.8</v>
      </c>
      <c r="G18" s="154"/>
      <c r="H18" s="155">
        <f>IFERROR(__xludf.DUMMYFUNCTION("""COMPUTED_VALUE"""),9.8)</f>
        <v>9.8</v>
      </c>
      <c r="I18" s="156">
        <f>IFERROR(__xludf.DUMMYFUNCTION("""COMPUTED_VALUE"""),0.0)</f>
        <v>0</v>
      </c>
      <c r="J18" s="157">
        <f>IFERROR(__xludf.DUMMYFUNCTION("""COMPUTED_VALUE"""),10.0)</f>
        <v>10</v>
      </c>
      <c r="K18" s="156"/>
      <c r="L18" s="159">
        <f>IFERROR(__xludf.DUMMYFUNCTION("""COMPUTED_VALUE"""),10.0)</f>
        <v>10</v>
      </c>
      <c r="M18" s="121" t="str">
        <f>IFERROR(__xludf.DUMMYFUNCTION("""COMPUTED_VALUE"""),"Febrero")</f>
        <v>Febrero</v>
      </c>
      <c r="N18" s="121">
        <f>IFERROR(__xludf.DUMMYFUNCTION("""COMPUTED_VALUE"""),6.0)</f>
        <v>6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154">
        <f>IFERROR(__xludf.DUMMYFUNCTION("""COMPUTED_VALUE"""),8.0)</f>
        <v>8</v>
      </c>
      <c r="F19" s="154">
        <f>IFERROR(__xludf.DUMMYFUNCTION("""COMPUTED_VALUE"""),2.0)</f>
        <v>2</v>
      </c>
      <c r="G19" s="154"/>
      <c r="H19" s="155">
        <f>IFERROR(__xludf.DUMMYFUNCTION("""COMPUTED_VALUE"""),10.0)</f>
        <v>10</v>
      </c>
      <c r="I19" s="156">
        <f>IFERROR(__xludf.DUMMYFUNCTION("""COMPUTED_VALUE"""),0.0)</f>
        <v>0</v>
      </c>
      <c r="J19" s="157">
        <f>IFERROR(__xludf.DUMMYFUNCTION("""COMPUTED_VALUE"""),10.0)</f>
        <v>10</v>
      </c>
      <c r="K19" s="156"/>
      <c r="L19" s="159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IFERROR(__xludf.DUMMYFUNCTION("""COMPUTED_VALUE"""),6.0)</f>
        <v>6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154">
        <f>IFERROR(__xludf.DUMMYFUNCTION("""COMPUTED_VALUE"""),6.4)</f>
        <v>6.4</v>
      </c>
      <c r="F20" s="154">
        <f>IFERROR(__xludf.DUMMYFUNCTION("""COMPUTED_VALUE"""),2.0)</f>
        <v>2</v>
      </c>
      <c r="G20" s="154"/>
      <c r="H20" s="155">
        <f>IFERROR(__xludf.DUMMYFUNCTION("""COMPUTED_VALUE"""),8.4)</f>
        <v>8.4</v>
      </c>
      <c r="I20" s="156">
        <f>IFERROR(__xludf.DUMMYFUNCTION("""COMPUTED_VALUE"""),0.0)</f>
        <v>0</v>
      </c>
      <c r="J20" s="157">
        <f>IFERROR(__xludf.DUMMYFUNCTION("""COMPUTED_VALUE"""),8.0)</f>
        <v>8</v>
      </c>
      <c r="K20" s="156"/>
      <c r="L20" s="159">
        <f>IFERROR(__xludf.DUMMYFUNCTION("""COMPUTED_VALUE"""),8.0)</f>
        <v>8</v>
      </c>
      <c r="M20" s="121" t="str">
        <f>IFERROR(__xludf.DUMMYFUNCTION("""COMPUTED_VALUE"""),"Abril")</f>
        <v>Abril</v>
      </c>
      <c r="N20" s="121">
        <f>IFERROR(__xludf.DUMMYFUNCTION("""COMPUTED_VALUE"""),4.0)</f>
        <v>4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154">
        <f>IFERROR(__xludf.DUMMYFUNCTION("""COMPUTED_VALUE"""),7.5)</f>
        <v>7.5</v>
      </c>
      <c r="F21" s="154">
        <f>IFERROR(__xludf.DUMMYFUNCTION("""COMPUTED_VALUE"""),2.0)</f>
        <v>2</v>
      </c>
      <c r="G21" s="154"/>
      <c r="H21" s="155">
        <f>IFERROR(__xludf.DUMMYFUNCTION("""COMPUTED_VALUE"""),9.5)</f>
        <v>9.5</v>
      </c>
      <c r="I21" s="156">
        <f>IFERROR(__xludf.DUMMYFUNCTION("""COMPUTED_VALUE"""),0.0)</f>
        <v>0</v>
      </c>
      <c r="J21" s="157">
        <f>IFERROR(__xludf.DUMMYFUNCTION("""COMPUTED_VALUE"""),10.0)</f>
        <v>10</v>
      </c>
      <c r="K21" s="156"/>
      <c r="L21" s="159">
        <f>IFERROR(__xludf.DUMMYFUNCTION("""COMPUTED_VALUE"""),10.0)</f>
        <v>10</v>
      </c>
      <c r="M21" s="121" t="str">
        <f>IFERROR(__xludf.DUMMYFUNCTION("""COMPUTED_VALUE"""),"Mayo")</f>
        <v>Mayo</v>
      </c>
      <c r="N21" s="121">
        <f>IFERROR(__xludf.DUMMYFUNCTION("""COMPUTED_VALUE"""),8.0)</f>
        <v>8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154">
        <f>IFERROR(__xludf.DUMMYFUNCTION("""COMPUTED_VALUE"""),7.7)</f>
        <v>7.7</v>
      </c>
      <c r="F22" s="154">
        <f>IFERROR(__xludf.DUMMYFUNCTION("""COMPUTED_VALUE"""),2.0)</f>
        <v>2</v>
      </c>
      <c r="G22" s="154"/>
      <c r="H22" s="155">
        <f>IFERROR(__xludf.DUMMYFUNCTION("""COMPUTED_VALUE"""),9.7)</f>
        <v>9.7</v>
      </c>
      <c r="I22" s="156">
        <f>IFERROR(__xludf.DUMMYFUNCTION("""COMPUTED_VALUE"""),2.0)</f>
        <v>2</v>
      </c>
      <c r="J22" s="157">
        <f>IFERROR(__xludf.DUMMYFUNCTION("""COMPUTED_VALUE"""),10.0)</f>
        <v>10</v>
      </c>
      <c r="K22" s="156"/>
      <c r="L22" s="159">
        <f>IFERROR(__xludf.DUMMYFUNCTION("""COMPUTED_VALUE"""),10.0)</f>
        <v>10</v>
      </c>
      <c r="M22" s="121" t="str">
        <f>IFERROR(__xludf.DUMMYFUNCTION("""COMPUTED_VALUE"""),"Junio")</f>
        <v>Junio</v>
      </c>
      <c r="N22" s="121">
        <f>IFERROR(__xludf.DUMMYFUNCTION("""COMPUTED_VALUE"""),8.0)</f>
        <v>8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154">
        <f>IFERROR(__xludf.DUMMYFUNCTION("""COMPUTED_VALUE"""),8.0)</f>
        <v>8</v>
      </c>
      <c r="F23" s="154">
        <f>IFERROR(__xludf.DUMMYFUNCTION("""COMPUTED_VALUE"""),2.0)</f>
        <v>2</v>
      </c>
      <c r="G23" s="154"/>
      <c r="H23" s="155">
        <f>IFERROR(__xludf.DUMMYFUNCTION("""COMPUTED_VALUE"""),10.0)</f>
        <v>10</v>
      </c>
      <c r="I23" s="156">
        <f>IFERROR(__xludf.DUMMYFUNCTION("""COMPUTED_VALUE"""),0.0)</f>
        <v>0</v>
      </c>
      <c r="J23" s="157">
        <f>IFERROR(__xludf.DUMMYFUNCTION("""COMPUTED_VALUE"""),10.0)</f>
        <v>10</v>
      </c>
      <c r="K23" s="156"/>
      <c r="L23" s="159">
        <f>IFERROR(__xludf.DUMMYFUNCTION("""COMPUTED_VALUE"""),10.0)</f>
        <v>10</v>
      </c>
      <c r="M23" s="121" t="str">
        <f>IFERROR(__xludf.DUMMYFUNCTION("""COMPUTED_VALUE"""),"Julio")</f>
        <v>Julio</v>
      </c>
      <c r="N23" s="121">
        <f>IFERROR(__xludf.DUMMYFUNCTION("""COMPUTED_VALUE"""),4.0)</f>
        <v>4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154">
        <f>IFERROR(__xludf.DUMMYFUNCTION("""COMPUTED_VALUE"""),6.0)</f>
        <v>6</v>
      </c>
      <c r="F24" s="154">
        <f>IFERROR(__xludf.DUMMYFUNCTION("""COMPUTED_VALUE"""),2.0)</f>
        <v>2</v>
      </c>
      <c r="G24" s="154"/>
      <c r="H24" s="155">
        <f>IFERROR(__xludf.DUMMYFUNCTION("""COMPUTED_VALUE"""),8.0)</f>
        <v>8</v>
      </c>
      <c r="I24" s="156">
        <f>IFERROR(__xludf.DUMMYFUNCTION("""COMPUTED_VALUE"""),0.0)</f>
        <v>0</v>
      </c>
      <c r="J24" s="157">
        <f>IFERROR(__xludf.DUMMYFUNCTION("""COMPUTED_VALUE"""),8.0)</f>
        <v>8</v>
      </c>
      <c r="K24" s="156"/>
      <c r="L24" s="159">
        <f>IFERROR(__xludf.DUMMYFUNCTION("""COMPUTED_VALUE"""),8.0)</f>
        <v>8</v>
      </c>
      <c r="M24" s="121" t="str">
        <f>IFERROR(__xludf.DUMMYFUNCTION("""COMPUTED_VALUE"""),"TOTAL")</f>
        <v>TOTAL</v>
      </c>
      <c r="N24" s="121">
        <f>IFERROR(__xludf.DUMMYFUNCTION("""COMPUTED_VALUE"""),36.0)</f>
        <v>36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154">
        <f>IFERROR(__xludf.DUMMYFUNCTION("""COMPUTED_VALUE"""),5.0)</f>
        <v>5</v>
      </c>
      <c r="F25" s="154">
        <f>IFERROR(__xludf.DUMMYFUNCTION("""COMPUTED_VALUE"""),1.4)</f>
        <v>1.4</v>
      </c>
      <c r="G25" s="154"/>
      <c r="H25" s="155">
        <f>IFERROR(__xludf.DUMMYFUNCTION("""COMPUTED_VALUE"""),6.4)</f>
        <v>6.4</v>
      </c>
      <c r="I25" s="156">
        <f>IFERROR(__xludf.DUMMYFUNCTION("""COMPUTED_VALUE"""),0.0)</f>
        <v>0</v>
      </c>
      <c r="J25" s="157">
        <f>IFERROR(__xludf.DUMMYFUNCTION("""COMPUTED_VALUE"""),6.0)</f>
        <v>6</v>
      </c>
      <c r="K25" s="156"/>
      <c r="L25" s="159">
        <f>IFERROR(__xludf.DUMMYFUNCTION("""COMPUTED_VALUE"""),6.0)</f>
        <v>6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154">
        <f>IFERROR(__xludf.DUMMYFUNCTION("""COMPUTED_VALUE"""),4.8)</f>
        <v>4.8</v>
      </c>
      <c r="F26" s="154">
        <f>IFERROR(__xludf.DUMMYFUNCTION("""COMPUTED_VALUE"""),1.2)</f>
        <v>1.2</v>
      </c>
      <c r="G26" s="154"/>
      <c r="H26" s="155">
        <f>IFERROR(__xludf.DUMMYFUNCTION("""COMPUTED_VALUE"""),6.0)</f>
        <v>6</v>
      </c>
      <c r="I26" s="156">
        <f>IFERROR(__xludf.DUMMYFUNCTION("""COMPUTED_VALUE"""),0.0)</f>
        <v>0</v>
      </c>
      <c r="J26" s="157">
        <f>IFERROR(__xludf.DUMMYFUNCTION("""COMPUTED_VALUE"""),6.0)</f>
        <v>6</v>
      </c>
      <c r="K26" s="156"/>
      <c r="L26" s="159">
        <f>IFERROR(__xludf.DUMMYFUNCTION("""COMPUTED_VALUE"""),6.0)</f>
        <v>6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154">
        <f>IFERROR(__xludf.DUMMYFUNCTION("""COMPUTED_VALUE"""),8.0)</f>
        <v>8</v>
      </c>
      <c r="F27" s="154">
        <f>IFERROR(__xludf.DUMMYFUNCTION("""COMPUTED_VALUE"""),1.7)</f>
        <v>1.7</v>
      </c>
      <c r="G27" s="154"/>
      <c r="H27" s="155">
        <f>IFERROR(__xludf.DUMMYFUNCTION("""COMPUTED_VALUE"""),9.7)</f>
        <v>9.7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154">
        <f>IFERROR(__xludf.DUMMYFUNCTION("""COMPUTED_VALUE"""),5.2)</f>
        <v>5.2</v>
      </c>
      <c r="F28" s="154">
        <f>IFERROR(__xludf.DUMMYFUNCTION("""COMPUTED_VALUE"""),1.8)</f>
        <v>1.8</v>
      </c>
      <c r="G28" s="154"/>
      <c r="H28" s="155">
        <f>IFERROR(__xludf.DUMMYFUNCTION("""COMPUTED_VALUE"""),7.0)</f>
        <v>7</v>
      </c>
      <c r="I28" s="156">
        <f>IFERROR(__xludf.DUMMYFUNCTION("""COMPUTED_VALUE"""),0.0)</f>
        <v>0</v>
      </c>
      <c r="J28" s="157">
        <f>IFERROR(__xludf.DUMMYFUNCTION("""COMPUTED_VALUE"""),7.0)</f>
        <v>7</v>
      </c>
      <c r="K28" s="156"/>
      <c r="L28" s="159">
        <f>IFERROR(__xludf.DUMMYFUNCTION("""COMPUTED_VALUE"""),7.0)</f>
        <v>7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154">
        <f>IFERROR(__xludf.DUMMYFUNCTION("""COMPUTED_VALUE"""),7.0)</f>
        <v>7</v>
      </c>
      <c r="F29" s="154">
        <f>IFERROR(__xludf.DUMMYFUNCTION("""COMPUTED_VALUE"""),1.2)</f>
        <v>1.2</v>
      </c>
      <c r="G29" s="154"/>
      <c r="H29" s="155">
        <f>IFERROR(__xludf.DUMMYFUNCTION("""COMPUTED_VALUE"""),8.2)</f>
        <v>8.2</v>
      </c>
      <c r="I29" s="156">
        <f>IFERROR(__xludf.DUMMYFUNCTION("""COMPUTED_VALUE"""),0.0)</f>
        <v>0</v>
      </c>
      <c r="J29" s="157">
        <f>IFERROR(__xludf.DUMMYFUNCTION("""COMPUTED_VALUE"""),8.0)</f>
        <v>8</v>
      </c>
      <c r="K29" s="156"/>
      <c r="L29" s="159">
        <f>IFERROR(__xludf.DUMMYFUNCTION("""COMPUTED_VALUE"""),8.0)</f>
        <v>8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/>
      <c r="H30" s="155">
        <f>IFERROR(__xludf.DUMMYFUNCTION("""COMPUTED_VALUE"""),10.0)</f>
        <v>10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IFERROR(__xludf.DUMMYFUNCTION("""COMPUTED_VALUE"""),10.0)</f>
        <v>10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154">
        <f>IFERROR(__xludf.DUMMYFUNCTION("""COMPUTED_VALUE"""),7.7)</f>
        <v>7.7</v>
      </c>
      <c r="F31" s="154">
        <f>IFERROR(__xludf.DUMMYFUNCTION("""COMPUTED_VALUE"""),2.0)</f>
        <v>2</v>
      </c>
      <c r="G31" s="154"/>
      <c r="H31" s="155">
        <f>IFERROR(__xludf.DUMMYFUNCTION("""COMPUTED_VALUE"""),9.7)</f>
        <v>9.7</v>
      </c>
      <c r="I31" s="156">
        <f>IFERROR(__xludf.DUMMYFUNCTION("""COMPUTED_VALUE"""),0.0)</f>
        <v>0</v>
      </c>
      <c r="J31" s="157">
        <f>IFERROR(__xludf.DUMMYFUNCTION("""COMPUTED_VALUE"""),10.0)</f>
        <v>10</v>
      </c>
      <c r="K31" s="156"/>
      <c r="L31" s="159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154">
        <f>IFERROR(__xludf.DUMMYFUNCTION("""COMPUTED_VALUE"""),8.0)</f>
        <v>8</v>
      </c>
      <c r="F32" s="154">
        <f>IFERROR(__xludf.DUMMYFUNCTION("""COMPUTED_VALUE"""),2.0)</f>
        <v>2</v>
      </c>
      <c r="G32" s="154"/>
      <c r="H32" s="155">
        <f>IFERROR(__xludf.DUMMYFUNCTION("""COMPUTED_VALUE"""),10.0)</f>
        <v>10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154">
        <f>IFERROR(__xludf.DUMMYFUNCTION("""COMPUTED_VALUE"""),7.4)</f>
        <v>7.4</v>
      </c>
      <c r="F33" s="154">
        <f>IFERROR(__xludf.DUMMYFUNCTION("""COMPUTED_VALUE"""),1.4)</f>
        <v>1.4</v>
      </c>
      <c r="G33" s="154"/>
      <c r="H33" s="155">
        <f>IFERROR(__xludf.DUMMYFUNCTION("""COMPUTED_VALUE"""),8.8)</f>
        <v>8.8</v>
      </c>
      <c r="I33" s="156">
        <f>IFERROR(__xludf.DUMMYFUNCTION("""COMPUTED_VALUE"""),2.0)</f>
        <v>2</v>
      </c>
      <c r="J33" s="157">
        <f>IFERROR(__xludf.DUMMYFUNCTION("""COMPUTED_VALUE"""),9.0)</f>
        <v>9</v>
      </c>
      <c r="K33" s="156"/>
      <c r="L33" s="159">
        <f>IFERROR(__xludf.DUMMYFUNCTION("""COMPUTED_VALUE"""),9.0)</f>
        <v>9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154">
        <f>IFERROR(__xludf.DUMMYFUNCTION("""COMPUTED_VALUE"""),6.0)</f>
        <v>6</v>
      </c>
      <c r="F34" s="154">
        <f>IFERROR(__xludf.DUMMYFUNCTION("""COMPUTED_VALUE"""),2.0)</f>
        <v>2</v>
      </c>
      <c r="G34" s="154"/>
      <c r="H34" s="155">
        <f>IFERROR(__xludf.DUMMYFUNCTION("""COMPUTED_VALUE"""),8.0)</f>
        <v>8</v>
      </c>
      <c r="I34" s="156">
        <f>IFERROR(__xludf.DUMMYFUNCTION("""COMPUTED_VALUE"""),0.0)</f>
        <v>0</v>
      </c>
      <c r="J34" s="157">
        <f>IFERROR(__xludf.DUMMYFUNCTION("""COMPUTED_VALUE"""),8.0)</f>
        <v>8</v>
      </c>
      <c r="K34" s="156"/>
      <c r="L34" s="159">
        <f>IFERROR(__xludf.DUMMYFUNCTION("""COMPUTED_VALUE"""),8.0)</f>
        <v>8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154">
        <f>IFERROR(__xludf.DUMMYFUNCTION("""COMPUTED_VALUE"""),8.0)</f>
        <v>8</v>
      </c>
      <c r="F35" s="154">
        <f>IFERROR(__xludf.DUMMYFUNCTION("""COMPUTED_VALUE"""),2.0)</f>
        <v>2</v>
      </c>
      <c r="G35" s="154"/>
      <c r="H35" s="155">
        <f>IFERROR(__xludf.DUMMYFUNCTION("""COMPUTED_VALUE"""),10.0)</f>
        <v>10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IFERROR(__xludf.DUMMYFUNCTION("""COMPUTED_VALUE"""),10.0)</f>
        <v>10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154">
        <f>IFERROR(__xludf.DUMMYFUNCTION("""COMPUTED_VALUE"""),8.0)</f>
        <v>8</v>
      </c>
      <c r="F36" s="154">
        <f>IFERROR(__xludf.DUMMYFUNCTION("""COMPUTED_VALUE"""),1.5)</f>
        <v>1.5</v>
      </c>
      <c r="G36" s="154"/>
      <c r="H36" s="155">
        <f>IFERROR(__xludf.DUMMYFUNCTION("""COMPUTED_VALUE"""),9.5)</f>
        <v>9.5</v>
      </c>
      <c r="I36" s="156">
        <f>IFERROR(__xludf.DUMMYFUNCTION("""COMPUTED_VALUE"""),0.0)</f>
        <v>0</v>
      </c>
      <c r="J36" s="157">
        <f>IFERROR(__xludf.DUMMYFUNCTION("""COMPUTED_VALUE"""),10.0)</f>
        <v>10</v>
      </c>
      <c r="K36" s="156"/>
      <c r="L36" s="159">
        <f>IFERROR(__xludf.DUMMYFUNCTION("""COMPUTED_VALUE"""),10.0)</f>
        <v>10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154">
        <f>IFERROR(__xludf.DUMMYFUNCTION("""COMPUTED_VALUE"""),3.0)</f>
        <v>3</v>
      </c>
      <c r="F37" s="154">
        <f>IFERROR(__xludf.DUMMYFUNCTION("""COMPUTED_VALUE"""),1.4)</f>
        <v>1.4</v>
      </c>
      <c r="G37" s="154"/>
      <c r="H37" s="155">
        <f>IFERROR(__xludf.DUMMYFUNCTION("""COMPUTED_VALUE"""),4.4)</f>
        <v>4.4</v>
      </c>
      <c r="I37" s="156">
        <f>IFERROR(__xludf.DUMMYFUNCTION("""COMPUTED_VALUE"""),2.0)</f>
        <v>2</v>
      </c>
      <c r="J37" s="157">
        <f>IFERROR(__xludf.DUMMYFUNCTION("""COMPUTED_VALUE"""),5.0)</f>
        <v>5</v>
      </c>
      <c r="K37" s="156"/>
      <c r="L37" s="159">
        <f>IFERROR(__xludf.DUMMYFUNCTION("""COMPUTED_VALUE"""),4.0)</f>
        <v>4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154">
        <f>IFERROR(__xludf.DUMMYFUNCTION("""COMPUTED_VALUE"""),8.0)</f>
        <v>8</v>
      </c>
      <c r="F38" s="154">
        <f>IFERROR(__xludf.DUMMYFUNCTION("""COMPUTED_VALUE"""),2.0)</f>
        <v>2</v>
      </c>
      <c r="G38" s="154"/>
      <c r="H38" s="155">
        <f>IFERROR(__xludf.DUMMYFUNCTION("""COMPUTED_VALUE"""),10.0)</f>
        <v>10</v>
      </c>
      <c r="I38" s="156">
        <f>IFERROR(__xludf.DUMMYFUNCTION("""COMPUTED_VALUE"""),0.0)</f>
        <v>0</v>
      </c>
      <c r="J38" s="157">
        <f>IFERROR(__xludf.DUMMYFUNCTION("""COMPUTED_VALUE"""),10.0)</f>
        <v>10</v>
      </c>
      <c r="K38" s="156"/>
      <c r="L38" s="159">
        <f>IFERROR(__xludf.DUMMYFUNCTION("""COMPUTED_VALUE"""),10.0)</f>
        <v>10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154">
        <f>IFERROR(__xludf.DUMMYFUNCTION("""COMPUTED_VALUE"""),8.0)</f>
        <v>8</v>
      </c>
      <c r="F39" s="154">
        <f>IFERROR(__xludf.DUMMYFUNCTION("""COMPUTED_VALUE"""),1.7)</f>
        <v>1.7</v>
      </c>
      <c r="G39" s="154"/>
      <c r="H39" s="155">
        <f>IFERROR(__xludf.DUMMYFUNCTION("""COMPUTED_VALUE"""),9.7)</f>
        <v>9.7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154">
        <f>IFERROR(__xludf.DUMMYFUNCTION("""COMPUTED_VALUE"""),8.0)</f>
        <v>8</v>
      </c>
      <c r="F40" s="154">
        <f>IFERROR(__xludf.DUMMYFUNCTION("""COMPUTED_VALUE"""),2.0)</f>
        <v>2</v>
      </c>
      <c r="G40" s="154"/>
      <c r="H40" s="155">
        <f>IFERROR(__xludf.DUMMYFUNCTION("""COMPUTED_VALUE"""),10.0)</f>
        <v>10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IFERROR(__xludf.DUMMYFUNCTION("""COMPUTED_VALUE"""),10.0)</f>
        <v>10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154">
        <f>IFERROR(__xludf.DUMMYFUNCTION("""COMPUTED_VALUE"""),6.6)</f>
        <v>6.6</v>
      </c>
      <c r="F41" s="154">
        <f>IFERROR(__xludf.DUMMYFUNCTION("""COMPUTED_VALUE"""),1.0)</f>
        <v>1</v>
      </c>
      <c r="G41" s="154"/>
      <c r="H41" s="155">
        <f>IFERROR(__xludf.DUMMYFUNCTION("""COMPUTED_VALUE"""),7.6)</f>
        <v>7.6</v>
      </c>
      <c r="I41" s="156">
        <f>IFERROR(__xludf.DUMMYFUNCTION("""COMPUTED_VALUE"""),0.0)</f>
        <v>0</v>
      </c>
      <c r="J41" s="157">
        <f>IFERROR(__xludf.DUMMYFUNCTION("""COMPUTED_VALUE"""),8.0)</f>
        <v>8</v>
      </c>
      <c r="K41" s="156"/>
      <c r="L41" s="159">
        <f>IFERROR(__xludf.DUMMYFUNCTION("""COMPUTED_VALUE"""),8.0)</f>
        <v>8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154">
        <f>IFERROR(__xludf.DUMMYFUNCTION("""COMPUTED_VALUE"""),6.8)</f>
        <v>6.8</v>
      </c>
      <c r="F42" s="154">
        <f>IFERROR(__xludf.DUMMYFUNCTION("""COMPUTED_VALUE"""),2.0)</f>
        <v>2</v>
      </c>
      <c r="G42" s="154">
        <f>IFERROR(__xludf.DUMMYFUNCTION("""COMPUTED_VALUE"""),0.3)</f>
        <v>0.3</v>
      </c>
      <c r="H42" s="155">
        <f>IFERROR(__xludf.DUMMYFUNCTION("""COMPUTED_VALUE"""),9.100000000000001)</f>
        <v>9.1</v>
      </c>
      <c r="I42" s="156">
        <f>IFERROR(__xludf.DUMMYFUNCTION("""COMPUTED_VALUE"""),0.0)</f>
        <v>0</v>
      </c>
      <c r="J42" s="157">
        <f>IFERROR(__xludf.DUMMYFUNCTION("""COMPUTED_VALUE"""),9.0)</f>
        <v>9</v>
      </c>
      <c r="K42" s="156"/>
      <c r="L42" s="159">
        <f>IFERROR(__xludf.DUMMYFUNCTION("""COMPUTED_VALUE"""),9.0)</f>
        <v>9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154">
        <f>IFERROR(__xludf.DUMMYFUNCTION("""COMPUTED_VALUE"""),6.5)</f>
        <v>6.5</v>
      </c>
      <c r="F43" s="154">
        <f>IFERROR(__xludf.DUMMYFUNCTION("""COMPUTED_VALUE"""),2.0)</f>
        <v>2</v>
      </c>
      <c r="G43" s="154"/>
      <c r="H43" s="155">
        <f>IFERROR(__xludf.DUMMYFUNCTION("""COMPUTED_VALUE"""),8.5)</f>
        <v>8.5</v>
      </c>
      <c r="I43" s="156">
        <f>IFERROR(__xludf.DUMMYFUNCTION("""COMPUTED_VALUE"""),0.0)</f>
        <v>0</v>
      </c>
      <c r="J43" s="157">
        <f>IFERROR(__xludf.DUMMYFUNCTION("""COMPUTED_VALUE"""),9.0)</f>
        <v>9</v>
      </c>
      <c r="K43" s="156"/>
      <c r="L43" s="159">
        <f>IFERROR(__xludf.DUMMYFUNCTION("""COMPUTED_VALUE"""),9.0)</f>
        <v>9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154">
        <f>IFERROR(__xludf.DUMMYFUNCTION("""COMPUTED_VALUE"""),8.0)</f>
        <v>8</v>
      </c>
      <c r="F44" s="154">
        <f>IFERROR(__xludf.DUMMYFUNCTION("""COMPUTED_VALUE"""),1.8)</f>
        <v>1.8</v>
      </c>
      <c r="G44" s="154"/>
      <c r="H44" s="155">
        <f>IFERROR(__xludf.DUMMYFUNCTION("""COMPUTED_VALUE"""),9.8)</f>
        <v>9.8</v>
      </c>
      <c r="I44" s="156">
        <f>IFERROR(__xludf.DUMMYFUNCTION("""COMPUTED_VALUE"""),0.0)</f>
        <v>0</v>
      </c>
      <c r="J44" s="157">
        <f>IFERROR(__xludf.DUMMYFUNCTION("""COMPUTED_VALUE"""),10.0)</f>
        <v>10</v>
      </c>
      <c r="K44" s="156"/>
      <c r="L44" s="159">
        <f>IFERROR(__xludf.DUMMYFUNCTION("""COMPUTED_VALUE"""),10.0)</f>
        <v>10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154">
        <f>IFERROR(__xludf.DUMMYFUNCTION("""COMPUTED_VALUE"""),8.0)</f>
        <v>8</v>
      </c>
      <c r="F45" s="154">
        <f>IFERROR(__xludf.DUMMYFUNCTION("""COMPUTED_VALUE"""),2.0)</f>
        <v>2</v>
      </c>
      <c r="G45" s="154"/>
      <c r="H45" s="155">
        <f>IFERROR(__xludf.DUMMYFUNCTION("""COMPUTED_VALUE"""),10.0)</f>
        <v>10</v>
      </c>
      <c r="I45" s="156">
        <f>IFERROR(__xludf.DUMMYFUNCTION("""COMPUTED_VALUE"""),0.0)</f>
        <v>0</v>
      </c>
      <c r="J45" s="157">
        <f>IFERROR(__xludf.DUMMYFUNCTION("""COMPUTED_VALUE"""),10.0)</f>
        <v>10</v>
      </c>
      <c r="K45" s="156"/>
      <c r="L45" s="159">
        <f>IFERROR(__xludf.DUMMYFUNCTION("""COMPUTED_VALUE"""),10.0)</f>
        <v>10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154">
        <f>IFERROR(__xludf.DUMMYFUNCTION("""COMPUTED_VALUE"""),8.0)</f>
        <v>8</v>
      </c>
      <c r="F46" s="154">
        <f>IFERROR(__xludf.DUMMYFUNCTION("""COMPUTED_VALUE"""),2.0)</f>
        <v>2</v>
      </c>
      <c r="G46" s="154"/>
      <c r="H46" s="155">
        <f>IFERROR(__xludf.DUMMYFUNCTION("""COMPUTED_VALUE"""),10.0)</f>
        <v>10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IFERROR(__xludf.DUMMYFUNCTION("""COMPUTED_VALUE"""),10.0)</f>
        <v>10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154">
        <f>IFERROR(__xludf.DUMMYFUNCTION("""COMPUTED_VALUE"""),6.4)</f>
        <v>6.4</v>
      </c>
      <c r="F47" s="154">
        <f>IFERROR(__xludf.DUMMYFUNCTION("""COMPUTED_VALUE"""),0.0)</f>
        <v>0</v>
      </c>
      <c r="G47" s="154"/>
      <c r="H47" s="155">
        <f>IFERROR(__xludf.DUMMYFUNCTION("""COMPUTED_VALUE"""),6.4)</f>
        <v>6.4</v>
      </c>
      <c r="I47" s="156">
        <f>IFERROR(__xludf.DUMMYFUNCTION("""COMPUTED_VALUE"""),0.0)</f>
        <v>0</v>
      </c>
      <c r="J47" s="157">
        <f>IFERROR(__xludf.DUMMYFUNCTION("""COMPUTED_VALUE"""),6.0)</f>
        <v>6</v>
      </c>
      <c r="K47" s="156"/>
      <c r="L47" s="159">
        <f>IFERROR(__xludf.DUMMYFUNCTION("""COMPUTED_VALUE"""),6.0)</f>
        <v>6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154">
        <f>IFERROR(__xludf.DUMMYFUNCTION("""COMPUTED_VALUE"""),8.0)</f>
        <v>8</v>
      </c>
      <c r="F48" s="154">
        <f>IFERROR(__xludf.DUMMYFUNCTION("""COMPUTED_VALUE"""),2.0)</f>
        <v>2</v>
      </c>
      <c r="G48" s="154"/>
      <c r="H48" s="155">
        <f>IFERROR(__xludf.DUMMYFUNCTION("""COMPUTED_VALUE"""),10.0)</f>
        <v>10</v>
      </c>
      <c r="I48" s="156">
        <f>IFERROR(__xludf.DUMMYFUNCTION("""COMPUTED_VALUE"""),0.0)</f>
        <v>0</v>
      </c>
      <c r="J48" s="157">
        <f>IFERROR(__xludf.DUMMYFUNCTION("""COMPUTED_VALUE"""),10.0)</f>
        <v>10</v>
      </c>
      <c r="K48" s="156"/>
      <c r="L48" s="159">
        <f>IFERROR(__xludf.DUMMYFUNCTION("""COMPUTED_VALUE"""),10.0)</f>
        <v>10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154">
        <f>IFERROR(__xludf.DUMMYFUNCTION("""COMPUTED_VALUE"""),7.5)</f>
        <v>7.5</v>
      </c>
      <c r="F49" s="154">
        <f>IFERROR(__xludf.DUMMYFUNCTION("""COMPUTED_VALUE"""),1.2)</f>
        <v>1.2</v>
      </c>
      <c r="G49" s="154"/>
      <c r="H49" s="155">
        <f>IFERROR(__xludf.DUMMYFUNCTION("""COMPUTED_VALUE"""),8.7)</f>
        <v>8.7</v>
      </c>
      <c r="I49" s="156">
        <f>IFERROR(__xludf.DUMMYFUNCTION("""COMPUTED_VALUE"""),0.0)</f>
        <v>0</v>
      </c>
      <c r="J49" s="157">
        <f>IFERROR(__xludf.DUMMYFUNCTION("""COMPUTED_VALUE"""),9.0)</f>
        <v>9</v>
      </c>
      <c r="K49" s="156"/>
      <c r="L49" s="159">
        <f>IFERROR(__xludf.DUMMYFUNCTION("""COMPUTED_VALUE"""),9.0)</f>
        <v>9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154">
        <f>IFERROR(__xludf.DUMMYFUNCTION("""COMPUTED_VALUE"""),7.4)</f>
        <v>7.4</v>
      </c>
      <c r="F50" s="154">
        <f>IFERROR(__xludf.DUMMYFUNCTION("""COMPUTED_VALUE"""),2.0)</f>
        <v>2</v>
      </c>
      <c r="G50" s="154"/>
      <c r="H50" s="155">
        <f>IFERROR(__xludf.DUMMYFUNCTION("""COMPUTED_VALUE"""),9.4)</f>
        <v>9.4</v>
      </c>
      <c r="I50" s="156">
        <f>IFERROR(__xludf.DUMMYFUNCTION("""COMPUTED_VALUE"""),0.0)</f>
        <v>0</v>
      </c>
      <c r="J50" s="157">
        <f>IFERROR(__xludf.DUMMYFUNCTION("""COMPUTED_VALUE"""),9.0)</f>
        <v>9</v>
      </c>
      <c r="K50" s="156"/>
      <c r="L50" s="159">
        <f>IFERROR(__xludf.DUMMYFUNCTION("""COMPUTED_VALUE"""),9.0)</f>
        <v>9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154">
        <f>IFERROR(__xludf.DUMMYFUNCTION("""COMPUTED_VALUE"""),7.5)</f>
        <v>7.5</v>
      </c>
      <c r="F51" s="154">
        <f>IFERROR(__xludf.DUMMYFUNCTION("""COMPUTED_VALUE"""),2.0)</f>
        <v>2</v>
      </c>
      <c r="G51" s="154"/>
      <c r="H51" s="155">
        <f>IFERROR(__xludf.DUMMYFUNCTION("""COMPUTED_VALUE"""),9.5)</f>
        <v>9.5</v>
      </c>
      <c r="I51" s="156">
        <f>IFERROR(__xludf.DUMMYFUNCTION("""COMPUTED_VALUE"""),0.0)</f>
        <v>0</v>
      </c>
      <c r="J51" s="157">
        <f>IFERROR(__xludf.DUMMYFUNCTION("""COMPUTED_VALUE"""),10.0)</f>
        <v>10</v>
      </c>
      <c r="K51" s="156"/>
      <c r="L51" s="159">
        <f>IFERROR(__xludf.DUMMYFUNCTION("""COMPUTED_VALUE"""),10.0)</f>
        <v>10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154">
        <f>IFERROR(__xludf.DUMMYFUNCTION("""COMPUTED_VALUE"""),7.8)</f>
        <v>7.8</v>
      </c>
      <c r="F52" s="154">
        <f>IFERROR(__xludf.DUMMYFUNCTION("""COMPUTED_VALUE"""),1.8)</f>
        <v>1.8</v>
      </c>
      <c r="G52" s="154"/>
      <c r="H52" s="155">
        <f>IFERROR(__xludf.DUMMYFUNCTION("""COMPUTED_VALUE"""),9.6)</f>
        <v>9.6</v>
      </c>
      <c r="I52" s="156">
        <f>IFERROR(__xludf.DUMMYFUNCTION("""COMPUTED_VALUE"""),0.0)</f>
        <v>0</v>
      </c>
      <c r="J52" s="157">
        <f>IFERROR(__xludf.DUMMYFUNCTION("""COMPUTED_VALUE"""),10.0)</f>
        <v>10</v>
      </c>
      <c r="K52" s="156"/>
      <c r="L52" s="160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154">
        <f>IFERROR(__xludf.DUMMYFUNCTION("""COMPUTED_VALUE"""),7.6)</f>
        <v>7.6</v>
      </c>
      <c r="F53" s="154">
        <f>IFERROR(__xludf.DUMMYFUNCTION("""COMPUTED_VALUE"""),2.0)</f>
        <v>2</v>
      </c>
      <c r="G53" s="154"/>
      <c r="H53" s="155">
        <f>IFERROR(__xludf.DUMMYFUNCTION("""COMPUTED_VALUE"""),9.6)</f>
        <v>9.6</v>
      </c>
      <c r="I53" s="156">
        <f>IFERROR(__xludf.DUMMYFUNCTION("""COMPUTED_VALUE"""),0.0)</f>
        <v>0</v>
      </c>
      <c r="J53" s="157">
        <f>IFERROR(__xludf.DUMMYFUNCTION("""COMPUTED_VALUE"""),10.0)</f>
        <v>10</v>
      </c>
      <c r="K53" s="156"/>
      <c r="L53" s="160">
        <f>IFERROR(__xludf.DUMMYFUNCTION("""COMPUTED_VALUE"""),10.0)</f>
        <v>10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154">
        <f>IFERROR(__xludf.DUMMYFUNCTION("""COMPUTED_VALUE"""),8.0)</f>
        <v>8</v>
      </c>
      <c r="F54" s="154">
        <f>IFERROR(__xludf.DUMMYFUNCTION("""COMPUTED_VALUE"""),2.0)</f>
        <v>2</v>
      </c>
      <c r="G54" s="154"/>
      <c r="H54" s="155">
        <f>IFERROR(__xludf.DUMMYFUNCTION("""COMPUTED_VALUE"""),10.0)</f>
        <v>10</v>
      </c>
      <c r="I54" s="156">
        <f>IFERROR(__xludf.DUMMYFUNCTION("""COMPUTED_VALUE"""),0.0)</f>
        <v>0</v>
      </c>
      <c r="J54" s="157">
        <f>IFERROR(__xludf.DUMMYFUNCTION("""COMPUTED_VALUE"""),10.0)</f>
        <v>10</v>
      </c>
      <c r="K54" s="156"/>
      <c r="L54" s="160">
        <f>IFERROR(__xludf.DUMMYFUNCTION("""COMPUTED_VALUE"""),10.0)</f>
        <v>10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154">
        <f>IFERROR(__xludf.DUMMYFUNCTION("""COMPUTED_VALUE"""),5.0)</f>
        <v>5</v>
      </c>
      <c r="F55" s="154">
        <f>IFERROR(__xludf.DUMMYFUNCTION("""COMPUTED_VALUE"""),1.8)</f>
        <v>1.8</v>
      </c>
      <c r="G55" s="154"/>
      <c r="H55" s="155">
        <f>IFERROR(__xludf.DUMMYFUNCTION("""COMPUTED_VALUE"""),6.8)</f>
        <v>6.8</v>
      </c>
      <c r="I55" s="161">
        <f>IFERROR(__xludf.DUMMYFUNCTION("""COMPUTED_VALUE"""),0.0)</f>
        <v>0</v>
      </c>
      <c r="J55" s="157">
        <f>IFERROR(__xludf.DUMMYFUNCTION("""COMPUTED_VALUE"""),7.0)</f>
        <v>7</v>
      </c>
      <c r="K55" s="156"/>
      <c r="L55" s="160">
        <f>IFERROR(__xludf.DUMMYFUNCTION("""COMPUTED_VALUE"""),7.0)</f>
        <v>7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154">
        <f>IFERROR(__xludf.DUMMYFUNCTION("""COMPUTED_VALUE"""),8.0)</f>
        <v>8</v>
      </c>
      <c r="F56" s="154">
        <f>IFERROR(__xludf.DUMMYFUNCTION("""COMPUTED_VALUE"""),2.0)</f>
        <v>2</v>
      </c>
      <c r="G56" s="154"/>
      <c r="H56" s="155">
        <f>IFERROR(__xludf.DUMMYFUNCTION("""COMPUTED_VALUE"""),10.0)</f>
        <v>10</v>
      </c>
      <c r="I56" s="161">
        <f>IFERROR(__xludf.DUMMYFUNCTION("""COMPUTED_VALUE"""),0.0)</f>
        <v>0</v>
      </c>
      <c r="J56" s="157">
        <f>IFERROR(__xludf.DUMMYFUNCTION("""COMPUTED_VALUE"""),10.0)</f>
        <v>10</v>
      </c>
      <c r="K56" s="156"/>
      <c r="L56" s="160">
        <f>IFERROR(__xludf.DUMMYFUNCTION("""COMPUTED_VALUE"""),10.0)</f>
        <v>10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154">
        <f>IFERROR(__xludf.DUMMYFUNCTION("""COMPUTED_VALUE"""),8.0)</f>
        <v>8</v>
      </c>
      <c r="F57" s="154">
        <f>IFERROR(__xludf.DUMMYFUNCTION("""COMPUTED_VALUE"""),2.0)</f>
        <v>2</v>
      </c>
      <c r="G57" s="154"/>
      <c r="H57" s="155">
        <f>IFERROR(__xludf.DUMMYFUNCTION("""COMPUTED_VALUE"""),10.0)</f>
        <v>10</v>
      </c>
      <c r="I57" s="161">
        <f>IFERROR(__xludf.DUMMYFUNCTION("""COMPUTED_VALUE"""),0.0)</f>
        <v>0</v>
      </c>
      <c r="J57" s="157">
        <f>IFERROR(__xludf.DUMMYFUNCTION("""COMPUTED_VALUE"""),10.0)</f>
        <v>10</v>
      </c>
      <c r="K57" s="156"/>
      <c r="L57" s="160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154">
        <f>IFERROR(__xludf.DUMMYFUNCTION("""COMPUTED_VALUE"""),6.4)</f>
        <v>6.4</v>
      </c>
      <c r="F58" s="154">
        <f>IFERROR(__xludf.DUMMYFUNCTION("""COMPUTED_VALUE"""),2.0)</f>
        <v>2</v>
      </c>
      <c r="G58" s="154"/>
      <c r="H58" s="155">
        <f>IFERROR(__xludf.DUMMYFUNCTION("""COMPUTED_VALUE"""),8.4)</f>
        <v>8.4</v>
      </c>
      <c r="I58" s="161">
        <f>IFERROR(__xludf.DUMMYFUNCTION("""COMPUTED_VALUE"""),0.0)</f>
        <v>0</v>
      </c>
      <c r="J58" s="157">
        <f>IFERROR(__xludf.DUMMYFUNCTION("""COMPUTED_VALUE"""),8.0)</f>
        <v>8</v>
      </c>
      <c r="K58" s="156"/>
      <c r="L58" s="160">
        <f>IFERROR(__xludf.DUMMYFUNCTION("""COMPUTED_VALUE"""),8.0)</f>
        <v>8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154">
        <f>IFERROR(__xludf.DUMMYFUNCTION("""COMPUTED_VALUE"""),4.0)</f>
        <v>4</v>
      </c>
      <c r="F59" s="154">
        <f>IFERROR(__xludf.DUMMYFUNCTION("""COMPUTED_VALUE"""),2.0)</f>
        <v>2</v>
      </c>
      <c r="G59" s="154"/>
      <c r="H59" s="155">
        <f>IFERROR(__xludf.DUMMYFUNCTION("""COMPUTED_VALUE"""),6.0)</f>
        <v>6</v>
      </c>
      <c r="I59" s="161">
        <f>IFERROR(__xludf.DUMMYFUNCTION("""COMPUTED_VALUE"""),0.0)</f>
        <v>0</v>
      </c>
      <c r="J59" s="157">
        <f>IFERROR(__xludf.DUMMYFUNCTION("""COMPUTED_VALUE"""),6.0)</f>
        <v>6</v>
      </c>
      <c r="K59" s="156"/>
      <c r="L59" s="160">
        <f>IFERROR(__xludf.DUMMYFUNCTION("""COMPUTED_VALUE"""),6.0)</f>
        <v>6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154">
        <f>IFERROR(__xludf.DUMMYFUNCTION("""COMPUTED_VALUE"""),8.0)</f>
        <v>8</v>
      </c>
      <c r="F60" s="154">
        <f>IFERROR(__xludf.DUMMYFUNCTION("""COMPUTED_VALUE"""),2.0)</f>
        <v>2</v>
      </c>
      <c r="G60" s="154"/>
      <c r="H60" s="155">
        <f>IFERROR(__xludf.DUMMYFUNCTION("""COMPUTED_VALUE"""),10.0)</f>
        <v>10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IFERROR(__xludf.DUMMYFUNCTION("""COMPUTED_VALUE"""),10.0)</f>
        <v>10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154">
        <f>IFERROR(__xludf.DUMMYFUNCTION("""COMPUTED_VALUE"""),5.0)</f>
        <v>5</v>
      </c>
      <c r="F61" s="154">
        <f>IFERROR(__xludf.DUMMYFUNCTION("""COMPUTED_VALUE"""),2.0)</f>
        <v>2</v>
      </c>
      <c r="G61" s="154"/>
      <c r="H61" s="155">
        <f>IFERROR(__xludf.DUMMYFUNCTION("""COMPUTED_VALUE"""),7.0)</f>
        <v>7</v>
      </c>
      <c r="I61" s="161">
        <f>IFERROR(__xludf.DUMMYFUNCTION("""COMPUTED_VALUE"""),0.0)</f>
        <v>0</v>
      </c>
      <c r="J61" s="157">
        <f>IFERROR(__xludf.DUMMYFUNCTION("""COMPUTED_VALUE"""),7.0)</f>
        <v>7</v>
      </c>
      <c r="K61" s="156"/>
      <c r="L61" s="160">
        <f>IFERROR(__xludf.DUMMYFUNCTION("""COMPUTED_VALUE"""),7.0)</f>
        <v>7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154">
        <f>IFERROR(__xludf.DUMMYFUNCTION("""COMPUTED_VALUE"""),6.0)</f>
        <v>6</v>
      </c>
      <c r="F62" s="154">
        <f>IFERROR(__xludf.DUMMYFUNCTION("""COMPUTED_VALUE"""),2.0)</f>
        <v>2</v>
      </c>
      <c r="G62" s="154"/>
      <c r="H62" s="155">
        <f>IFERROR(__xludf.DUMMYFUNCTION("""COMPUTED_VALUE"""),8.0)</f>
        <v>8</v>
      </c>
      <c r="I62" s="161">
        <f>IFERROR(__xludf.DUMMYFUNCTION("""COMPUTED_VALUE"""),0.0)</f>
        <v>0</v>
      </c>
      <c r="J62" s="157">
        <f>IFERROR(__xludf.DUMMYFUNCTION("""COMPUTED_VALUE"""),8.0)</f>
        <v>8</v>
      </c>
      <c r="K62" s="156"/>
      <c r="L62" s="160">
        <f>IFERROR(__xludf.DUMMYFUNCTION("""COMPUTED_VALUE"""),8.0)</f>
        <v>8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154">
        <f>IFERROR(__xludf.DUMMYFUNCTION("""COMPUTED_VALUE"""),7.7)</f>
        <v>7.7</v>
      </c>
      <c r="F63" s="154">
        <f>IFERROR(__xludf.DUMMYFUNCTION("""COMPUTED_VALUE"""),1.8)</f>
        <v>1.8</v>
      </c>
      <c r="G63" s="154"/>
      <c r="H63" s="155">
        <f>IFERROR(__xludf.DUMMYFUNCTION("""COMPUTED_VALUE"""),9.5)</f>
        <v>9.5</v>
      </c>
      <c r="I63" s="161">
        <f>IFERROR(__xludf.DUMMYFUNCTION("""COMPUTED_VALUE"""),0.0)</f>
        <v>0</v>
      </c>
      <c r="J63" s="157">
        <f>IFERROR(__xludf.DUMMYFUNCTION("""COMPUTED_VALUE"""),10.0)</f>
        <v>10</v>
      </c>
      <c r="K63" s="156"/>
      <c r="L63" s="160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154">
        <f>IFERROR(__xludf.DUMMYFUNCTION("""COMPUTED_VALUE"""),7.7)</f>
        <v>7.7</v>
      </c>
      <c r="F64" s="154">
        <f>IFERROR(__xludf.DUMMYFUNCTION("""COMPUTED_VALUE"""),2.0)</f>
        <v>2</v>
      </c>
      <c r="G64" s="154"/>
      <c r="H64" s="155">
        <f>IFERROR(__xludf.DUMMYFUNCTION("""COMPUTED_VALUE"""),9.7)</f>
        <v>9.7</v>
      </c>
      <c r="I64" s="161">
        <f>IFERROR(__xludf.DUMMYFUNCTION("""COMPUTED_VALUE"""),0.0)</f>
        <v>0</v>
      </c>
      <c r="J64" s="157">
        <f>IFERROR(__xludf.DUMMYFUNCTION("""COMPUTED_VALUE"""),10.0)</f>
        <v>10</v>
      </c>
      <c r="K64" s="156"/>
      <c r="L64" s="160">
        <f>IFERROR(__xludf.DUMMYFUNCTION("""COMPUTED_VALUE"""),10.0)</f>
        <v>10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154">
        <f>IFERROR(__xludf.DUMMYFUNCTION("""COMPUTED_VALUE"""),4.4)</f>
        <v>4.4</v>
      </c>
      <c r="F65" s="154">
        <f>IFERROR(__xludf.DUMMYFUNCTION("""COMPUTED_VALUE"""),1.6)</f>
        <v>1.6</v>
      </c>
      <c r="G65" s="154"/>
      <c r="H65" s="155">
        <f>IFERROR(__xludf.DUMMYFUNCTION("""COMPUTED_VALUE"""),6.0)</f>
        <v>6</v>
      </c>
      <c r="I65" s="161">
        <f>IFERROR(__xludf.DUMMYFUNCTION("""COMPUTED_VALUE"""),0.0)</f>
        <v>0</v>
      </c>
      <c r="J65" s="157">
        <f>IFERROR(__xludf.DUMMYFUNCTION("""COMPUTED_VALUE"""),6.0)</f>
        <v>6</v>
      </c>
      <c r="K65" s="156"/>
      <c r="L65" s="160">
        <f>IFERROR(__xludf.DUMMYFUNCTION("""COMPUTED_VALUE"""),6.0)</f>
        <v>6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6"/>
      <c r="B66" s="162"/>
      <c r="C66" s="162"/>
      <c r="D66" s="127"/>
      <c r="E66" s="163"/>
      <c r="F66" s="163"/>
      <c r="G66" s="163"/>
      <c r="H66" s="163"/>
      <c r="I66" s="132"/>
      <c r="J66" s="164"/>
      <c r="K66" s="128"/>
      <c r="L66" s="164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65" t="str">
        <f>IFERROR(__xludf.DUMMYFUNCTION("""COMPUTED_VALUE"""),"No. DE ALUMNOS INSCRITOS")</f>
        <v>No. DE ALUMNOS INSCRITOS</v>
      </c>
      <c r="C67" s="73"/>
      <c r="D67" s="166">
        <f>IFERROR(__xludf.DUMMYFUNCTION("""COMPUTED_VALUE"""),49.0)</f>
        <v>49</v>
      </c>
      <c r="E67" s="163"/>
      <c r="F67" s="167" t="str">
        <f>IFERROR(__xludf.DUMMYFUNCTION("""COMPUTED_VALUE"""),"FIRMA DEL PROFESOR")</f>
        <v>FIRMA DEL PROFESOR</v>
      </c>
      <c r="G67" s="163"/>
      <c r="H67" s="167" t="str">
        <f>IFERROR(__xludf.DUMMYFUNCTION("""COMPUTED_VALUE"""),"FIRMA DEL ORIENTADOR")</f>
        <v>FIRMA DEL ORIENTADOR</v>
      </c>
      <c r="J67" s="168" t="str">
        <f>IFERROR(__xludf.DUMMYFUNCTION("""COMPUTED_VALUE"""),"Vo. Bo. SUBDIRECCIÓN ESCOLAR")</f>
        <v>Vo. Bo. SUBDIRECCIÓN ESCOLAR</v>
      </c>
      <c r="K67" s="169" t="str">
        <f>IFERROR(__xludf.DUMMYFUNCTION("""COMPUTED_VALUE"""),"REVISADO POR SECRETARIA ESCOLAR ")</f>
        <v>REVISADO POR SECRETARIA ESCOLAR </v>
      </c>
      <c r="L67" s="164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0" t="str">
        <f>IFERROR(__xludf.DUMMYFUNCTION("""COMPUTED_VALUE"""),"BAJAS DURANTE EL SEMESTRE")</f>
        <v>BAJAS DURANTE EL SEMESTRE</v>
      </c>
      <c r="C68" s="80"/>
      <c r="D68" s="171">
        <f>IFERROR(__xludf.DUMMYFUNCTION("""COMPUTED_VALUE"""),0.0)</f>
        <v>0</v>
      </c>
      <c r="E68" s="163"/>
      <c r="G68" s="163"/>
      <c r="K68" s="10"/>
      <c r="L68" s="164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21"/>
      <c r="B69" s="170" t="str">
        <f>IFERROR(__xludf.DUMMYFUNCTION("""COMPUTED_VALUE"""),"EXISTENCIA")</f>
        <v>EXISTENCIA</v>
      </c>
      <c r="C69" s="80"/>
      <c r="D69" s="172">
        <f>IFERROR(__xludf.DUMMYFUNCTION("""COMPUTED_VALUE"""),49.0)</f>
        <v>49</v>
      </c>
      <c r="E69" s="163"/>
      <c r="F69" s="163"/>
      <c r="G69" s="163"/>
      <c r="H69" s="163"/>
      <c r="I69" s="132"/>
      <c r="J69" s="164"/>
      <c r="K69" s="128"/>
      <c r="L69" s="164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21"/>
      <c r="B70" s="170" t="str">
        <f>IFERROR(__xludf.DUMMYFUNCTION("""COMPUTED_VALUE"""),"No. DE ALUMNOS APROBADOS")</f>
        <v>No. DE ALUMNOS APROBADOS</v>
      </c>
      <c r="C70" s="80"/>
      <c r="D70" s="172">
        <f>IFERROR(__xludf.DUMMYFUNCTION("""COMPUTED_VALUE"""),48.0)</f>
        <v>48</v>
      </c>
      <c r="E70" s="163"/>
      <c r="F70" s="163"/>
      <c r="G70" s="163"/>
      <c r="H70" s="163"/>
      <c r="I70" s="132"/>
      <c r="J70" s="164"/>
      <c r="K70" s="128"/>
      <c r="L70" s="164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13.5" customHeight="1">
      <c r="A71" s="121"/>
      <c r="B71" s="170" t="str">
        <f>IFERROR(__xludf.DUMMYFUNCTION("""COMPUTED_VALUE"""),"No. DE ALUMNOS REPROBADOS")</f>
        <v>No. DE ALUMNOS REPROBADOS</v>
      </c>
      <c r="C71" s="80"/>
      <c r="D71" s="172">
        <f>IFERROR(__xludf.DUMMYFUNCTION("""COMPUTED_VALUE"""),1.0)</f>
        <v>1</v>
      </c>
      <c r="E71" s="132"/>
      <c r="F71" s="173"/>
      <c r="G71" s="127"/>
      <c r="H71" s="173"/>
      <c r="I71" s="173"/>
      <c r="J71" s="174"/>
      <c r="K71" s="175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76"/>
      <c r="B72" s="177" t="str">
        <f>IFERROR(__xludf.DUMMYFUNCTION("""COMPUTED_VALUE"""),"% DE APROBADOS")</f>
        <v>% DE APROBADOS</v>
      </c>
      <c r="C72" s="80"/>
      <c r="D72" s="178">
        <f>IFERROR(__xludf.DUMMYFUNCTION("""COMPUTED_VALUE"""),97.95918367346938)</f>
        <v>97.95918367</v>
      </c>
      <c r="E72" s="127"/>
      <c r="F72" s="179" t="str">
        <f>IFERROR(__xludf.DUMMYFUNCTION("""COMPUTED_VALUE"""),"PROFR. ")</f>
        <v>PROFR. </v>
      </c>
      <c r="G72" s="130"/>
      <c r="H72" s="120" t="str">
        <f>IFERROR(__xludf.DUMMYFUNCTION("""COMPUTED_VALUE"""),"PROFRA. ANA ISABEL CORREA SALGADO")</f>
        <v>PROFRA. ANA ISABEL CORREA SALGADO</v>
      </c>
      <c r="J72" s="180" t="str">
        <f>IFERROR(__xludf.DUMMYFUNCTION("""COMPUTED_VALUE"""),"PROFR. OCTAVIO VÁZQUEZ BARRETO")</f>
        <v>PROFR. OCTAVIO VÁZQUEZ BARRETO</v>
      </c>
      <c r="K72" s="181" t="str">
        <f>IFERROR(__xludf.DUMMYFUNCTION("""COMPUTED_VALUE"""),"PROFR. ROBERTO PALOMARES MEJÍA ")</f>
        <v>PROFR. ROBERTO PALOMARES MEJÍA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76"/>
      <c r="B73" s="182" t="str">
        <f>IFERROR(__xludf.DUMMYFUNCTION("""COMPUTED_VALUE"""),"PROMEDIO")</f>
        <v>PROMEDIO</v>
      </c>
      <c r="C73" s="99"/>
      <c r="D73" s="183">
        <f>IFERROR(__xludf.DUMMYFUNCTION("""COMPUTED_VALUE"""),8.918367346938776)</f>
        <v>8.918367347</v>
      </c>
      <c r="E73" s="127"/>
      <c r="G73" s="130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84"/>
      <c r="B74" s="121"/>
      <c r="C74" s="121"/>
      <c r="D74" s="121"/>
      <c r="E74" s="121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85"/>
      <c r="B75" s="186"/>
      <c r="C75" s="187"/>
      <c r="D75" s="188"/>
      <c r="E75" s="127"/>
      <c r="G75" s="127"/>
      <c r="H75" s="127"/>
      <c r="I75" s="127"/>
      <c r="J75" s="127"/>
      <c r="K75" s="189"/>
      <c r="L75" s="127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0"/>
      <c r="B76" s="127"/>
      <c r="C76" s="127"/>
      <c r="D76" s="162"/>
      <c r="E76" s="127"/>
      <c r="F76" s="121"/>
      <c r="G76" s="121"/>
      <c r="H76" s="121"/>
      <c r="I76" s="121"/>
      <c r="J76" s="121"/>
      <c r="K76" s="128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7.75" customHeight="1">
      <c r="A77" s="190"/>
      <c r="B77" s="127"/>
      <c r="C77" s="127"/>
      <c r="D77" s="191"/>
      <c r="E77" s="127"/>
      <c r="F77" s="192"/>
      <c r="G77" s="121"/>
      <c r="H77" s="192"/>
      <c r="I77" s="192"/>
      <c r="J77" s="192"/>
      <c r="K77" s="193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21.75" customHeight="1">
      <c r="A78" s="194"/>
      <c r="B78" s="195"/>
      <c r="C78" s="195"/>
      <c r="D78" s="196"/>
      <c r="E78" s="197"/>
      <c r="F78" s="198"/>
      <c r="G78" s="199"/>
      <c r="H78" s="198"/>
      <c r="I78" s="198"/>
      <c r="J78" s="198"/>
      <c r="K78" s="20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30"/>
      <c r="K81" s="130"/>
      <c r="L81" s="130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30"/>
      <c r="K82" s="130"/>
      <c r="L82" s="130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3.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6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6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4.2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"/>
    </row>
    <row r="278" ht="13.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>
      <c r="A1010" s="176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ht="15.75" customHeight="1">
      <c r="A1011" s="176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5">
    <cfRule type="cellIs" dxfId="2" priority="7" operator="lessThan">
      <formula>6</formula>
    </cfRule>
  </conditionalFormatting>
  <conditionalFormatting sqref="J17:J65">
    <cfRule type="cellIs" dxfId="3" priority="8" operator="greaterThanOrEqual">
      <formula>6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IFERROR(__xludf.DUMMYFUNCTION("IMPORTRANGE(""https://docs.google.com/spreadsheets/d/1EP_hswqwZqMe09uobhGUJsTmBwIfoRYMNR6T0jrWUAo/edit?gid=868681460#gid=868681460"",""2-2 educacion integral en sexualidad y genero ii 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IFERROR(__xludf.DUMMYFUNCTION("""COMPUTED_VALUE"""),"ROSARIO CALZADA GASPAR ")</f>
        <v>ROSARIO CALZADA GASPAR 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IFERROR(__xludf.DUMMYFUNCTION("""COMPUTED_VALUE"""),"EDUCACIÓN INTEGRAL EN SEXUALIDAD Y GÉNERO II")</f>
        <v>EDUCACIÓN INTEGRAL EN SEXUALIDAD Y GÉNERO II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4">
        <f>IFERROR(__xludf.DUMMYFUNCTION("""COMPUTED_VALUE"""),2.0)</f>
        <v>2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154">
        <f>IFERROR(__xludf.DUMMYFUNCTION("""COMPUTED_VALUE"""),8.0)</f>
        <v>8</v>
      </c>
      <c r="F17" s="154">
        <f>IFERROR(__xludf.DUMMYFUNCTION("""COMPUTED_VALUE"""),2.0)</f>
        <v>2</v>
      </c>
      <c r="G17" s="154"/>
      <c r="H17" s="155">
        <f>IFERROR(__xludf.DUMMYFUNCTION("""COMPUTED_VALUE"""),10.0)</f>
        <v>10</v>
      </c>
      <c r="I17" s="156">
        <f>IFERROR(__xludf.DUMMYFUNCTION("""COMPUTED_VALUE"""),0.0)</f>
        <v>0</v>
      </c>
      <c r="J17" s="157">
        <f>IFERROR(__xludf.DUMMYFUNCTION("""COMPUTED_VALUE"""),10.0)</f>
        <v>10</v>
      </c>
      <c r="K17" s="158"/>
      <c r="L17" s="159">
        <f>IFERROR(__xludf.DUMMYFUNCTION("""COMPUTED_VALUE"""),10.0)</f>
        <v>10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154">
        <f>IFERROR(__xludf.DUMMYFUNCTION("""COMPUTED_VALUE"""),5.0)</f>
        <v>5</v>
      </c>
      <c r="F18" s="154">
        <f>IFERROR(__xludf.DUMMYFUNCTION("""COMPUTED_VALUE"""),2.0)</f>
        <v>2</v>
      </c>
      <c r="G18" s="154"/>
      <c r="H18" s="155">
        <f>IFERROR(__xludf.DUMMYFUNCTION("""COMPUTED_VALUE"""),7.0)</f>
        <v>7</v>
      </c>
      <c r="I18" s="156">
        <f>IFERROR(__xludf.DUMMYFUNCTION("""COMPUTED_VALUE"""),0.0)</f>
        <v>0</v>
      </c>
      <c r="J18" s="157">
        <f>IFERROR(__xludf.DUMMYFUNCTION("""COMPUTED_VALUE"""),7.0)</f>
        <v>7</v>
      </c>
      <c r="K18" s="156"/>
      <c r="L18" s="159">
        <f>IFERROR(__xludf.DUMMYFUNCTION("""COMPUTED_VALUE"""),7.0)</f>
        <v>7</v>
      </c>
      <c r="M18" s="121" t="str">
        <f>IFERROR(__xludf.DUMMYFUNCTION("""COMPUTED_VALUE"""),"Febrero")</f>
        <v>Febrero</v>
      </c>
      <c r="N18" s="121">
        <f>IFERROR(__xludf.DUMMYFUNCTION("""COMPUTED_VALUE"""),3.0)</f>
        <v>3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154">
        <f>IFERROR(__xludf.DUMMYFUNCTION("""COMPUTED_VALUE"""),8.0)</f>
        <v>8</v>
      </c>
      <c r="F19" s="154">
        <f>IFERROR(__xludf.DUMMYFUNCTION("""COMPUTED_VALUE"""),2.0)</f>
        <v>2</v>
      </c>
      <c r="G19" s="154"/>
      <c r="H19" s="155">
        <f>IFERROR(__xludf.DUMMYFUNCTION("""COMPUTED_VALUE"""),10.0)</f>
        <v>10</v>
      </c>
      <c r="I19" s="156">
        <f>IFERROR(__xludf.DUMMYFUNCTION("""COMPUTED_VALUE"""),0.0)</f>
        <v>0</v>
      </c>
      <c r="J19" s="157">
        <f>IFERROR(__xludf.DUMMYFUNCTION("""COMPUTED_VALUE"""),10.0)</f>
        <v>10</v>
      </c>
      <c r="K19" s="156"/>
      <c r="L19" s="159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IFERROR(__xludf.DUMMYFUNCTION("""COMPUTED_VALUE"""),3.0)</f>
        <v>3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154">
        <f>IFERROR(__xludf.DUMMYFUNCTION("""COMPUTED_VALUE"""),8.0)</f>
        <v>8</v>
      </c>
      <c r="F20" s="154">
        <f>IFERROR(__xludf.DUMMYFUNCTION("""COMPUTED_VALUE"""),2.0)</f>
        <v>2</v>
      </c>
      <c r="G20" s="154"/>
      <c r="H20" s="155">
        <f>IFERROR(__xludf.DUMMYFUNCTION("""COMPUTED_VALUE"""),10.0)</f>
        <v>10</v>
      </c>
      <c r="I20" s="156">
        <f>IFERROR(__xludf.DUMMYFUNCTION("""COMPUTED_VALUE"""),0.0)</f>
        <v>0</v>
      </c>
      <c r="J20" s="157">
        <f>IFERROR(__xludf.DUMMYFUNCTION("""COMPUTED_VALUE"""),10.0)</f>
        <v>10</v>
      </c>
      <c r="K20" s="156"/>
      <c r="L20" s="159">
        <f>IFERROR(__xludf.DUMMYFUNCTION("""COMPUTED_VALUE"""),10.0)</f>
        <v>10</v>
      </c>
      <c r="M20" s="121" t="str">
        <f>IFERROR(__xludf.DUMMYFUNCTION("""COMPUTED_VALUE"""),"Abril")</f>
        <v>Abril</v>
      </c>
      <c r="N20" s="121">
        <f>IFERROR(__xludf.DUMMYFUNCTION("""COMPUTED_VALUE"""),3.0)</f>
        <v>3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154">
        <f>IFERROR(__xludf.DUMMYFUNCTION("""COMPUTED_VALUE"""),8.0)</f>
        <v>8</v>
      </c>
      <c r="F21" s="154">
        <f>IFERROR(__xludf.DUMMYFUNCTION("""COMPUTED_VALUE"""),2.0)</f>
        <v>2</v>
      </c>
      <c r="G21" s="154"/>
      <c r="H21" s="155">
        <f>IFERROR(__xludf.DUMMYFUNCTION("""COMPUTED_VALUE"""),10.0)</f>
        <v>10</v>
      </c>
      <c r="I21" s="156">
        <f>IFERROR(__xludf.DUMMYFUNCTION("""COMPUTED_VALUE"""),0.0)</f>
        <v>0</v>
      </c>
      <c r="J21" s="157">
        <f>IFERROR(__xludf.DUMMYFUNCTION("""COMPUTED_VALUE"""),10.0)</f>
        <v>10</v>
      </c>
      <c r="K21" s="156"/>
      <c r="L21" s="159">
        <f>IFERROR(__xludf.DUMMYFUNCTION("""COMPUTED_VALUE"""),10.0)</f>
        <v>10</v>
      </c>
      <c r="M21" s="121" t="str">
        <f>IFERROR(__xludf.DUMMYFUNCTION("""COMPUTED_VALUE"""),"Mayo")</f>
        <v>Mayo</v>
      </c>
      <c r="N21" s="121">
        <f>IFERROR(__xludf.DUMMYFUNCTION("""COMPUTED_VALUE"""),4.0)</f>
        <v>4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154">
        <f>IFERROR(__xludf.DUMMYFUNCTION("""COMPUTED_VALUE"""),5.0)</f>
        <v>5</v>
      </c>
      <c r="F22" s="154">
        <f>IFERROR(__xludf.DUMMYFUNCTION("""COMPUTED_VALUE"""),2.0)</f>
        <v>2</v>
      </c>
      <c r="G22" s="154"/>
      <c r="H22" s="155">
        <f>IFERROR(__xludf.DUMMYFUNCTION("""COMPUTED_VALUE"""),7.0)</f>
        <v>7</v>
      </c>
      <c r="I22" s="156">
        <f>IFERROR(__xludf.DUMMYFUNCTION("""COMPUTED_VALUE"""),0.0)</f>
        <v>0</v>
      </c>
      <c r="J22" s="157">
        <f>IFERROR(__xludf.DUMMYFUNCTION("""COMPUTED_VALUE"""),7.0)</f>
        <v>7</v>
      </c>
      <c r="K22" s="156"/>
      <c r="L22" s="159">
        <f>IFERROR(__xludf.DUMMYFUNCTION("""COMPUTED_VALUE"""),7.0)</f>
        <v>7</v>
      </c>
      <c r="M22" s="121" t="str">
        <f>IFERROR(__xludf.DUMMYFUNCTION("""COMPUTED_VALUE"""),"Junio")</f>
        <v>Junio</v>
      </c>
      <c r="N22" s="121">
        <f>IFERROR(__xludf.DUMMYFUNCTION("""COMPUTED_VALUE"""),4.0)</f>
        <v>4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154">
        <f>IFERROR(__xludf.DUMMYFUNCTION("""COMPUTED_VALUE"""),8.0)</f>
        <v>8</v>
      </c>
      <c r="F23" s="154">
        <f>IFERROR(__xludf.DUMMYFUNCTION("""COMPUTED_VALUE"""),2.0)</f>
        <v>2</v>
      </c>
      <c r="G23" s="154"/>
      <c r="H23" s="155">
        <f>IFERROR(__xludf.DUMMYFUNCTION("""COMPUTED_VALUE"""),10.0)</f>
        <v>10</v>
      </c>
      <c r="I23" s="156">
        <f>IFERROR(__xludf.DUMMYFUNCTION("""COMPUTED_VALUE"""),0.0)</f>
        <v>0</v>
      </c>
      <c r="J23" s="157">
        <f>IFERROR(__xludf.DUMMYFUNCTION("""COMPUTED_VALUE"""),10.0)</f>
        <v>10</v>
      </c>
      <c r="K23" s="156"/>
      <c r="L23" s="159">
        <f>IFERROR(__xludf.DUMMYFUNCTION("""COMPUTED_VALUE"""),10.0)</f>
        <v>10</v>
      </c>
      <c r="M23" s="121" t="str">
        <f>IFERROR(__xludf.DUMMYFUNCTION("""COMPUTED_VALUE"""),"Julio")</f>
        <v>Julio</v>
      </c>
      <c r="N23" s="121">
        <f>IFERROR(__xludf.DUMMYFUNCTION("""COMPUTED_VALUE"""),2.0)</f>
        <v>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154">
        <f>IFERROR(__xludf.DUMMYFUNCTION("""COMPUTED_VALUE"""),8.0)</f>
        <v>8</v>
      </c>
      <c r="F24" s="154">
        <f>IFERROR(__xludf.DUMMYFUNCTION("""COMPUTED_VALUE"""),2.0)</f>
        <v>2</v>
      </c>
      <c r="G24" s="154"/>
      <c r="H24" s="155">
        <f>IFERROR(__xludf.DUMMYFUNCTION("""COMPUTED_VALUE"""),10.0)</f>
        <v>10</v>
      </c>
      <c r="I24" s="156">
        <f>IFERROR(__xludf.DUMMYFUNCTION("""COMPUTED_VALUE"""),0.0)</f>
        <v>0</v>
      </c>
      <c r="J24" s="157">
        <f>IFERROR(__xludf.DUMMYFUNCTION("""COMPUTED_VALUE"""),10.0)</f>
        <v>10</v>
      </c>
      <c r="K24" s="156"/>
      <c r="L24" s="159">
        <f>IFERROR(__xludf.DUMMYFUNCTION("""COMPUTED_VALUE"""),10.0)</f>
        <v>10</v>
      </c>
      <c r="M24" s="121" t="str">
        <f>IFERROR(__xludf.DUMMYFUNCTION("""COMPUTED_VALUE"""),"TOTAL")</f>
        <v>TOTAL</v>
      </c>
      <c r="N24" s="121">
        <f>IFERROR(__xludf.DUMMYFUNCTION("""COMPUTED_VALUE"""),19.0)</f>
        <v>19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154">
        <f>IFERROR(__xludf.DUMMYFUNCTION("""COMPUTED_VALUE"""),5.0)</f>
        <v>5</v>
      </c>
      <c r="F25" s="154">
        <f>IFERROR(__xludf.DUMMYFUNCTION("""COMPUTED_VALUE"""),2.0)</f>
        <v>2</v>
      </c>
      <c r="G25" s="154"/>
      <c r="H25" s="155">
        <f>IFERROR(__xludf.DUMMYFUNCTION("""COMPUTED_VALUE"""),7.0)</f>
        <v>7</v>
      </c>
      <c r="I25" s="156">
        <f>IFERROR(__xludf.DUMMYFUNCTION("""COMPUTED_VALUE"""),0.0)</f>
        <v>0</v>
      </c>
      <c r="J25" s="157">
        <f>IFERROR(__xludf.DUMMYFUNCTION("""COMPUTED_VALUE"""),7.0)</f>
        <v>7</v>
      </c>
      <c r="K25" s="156"/>
      <c r="L25" s="159">
        <f>IFERROR(__xludf.DUMMYFUNCTION("""COMPUTED_VALUE"""),7.0)</f>
        <v>7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154">
        <f>IFERROR(__xludf.DUMMYFUNCTION("""COMPUTED_VALUE"""),6.0)</f>
        <v>6</v>
      </c>
      <c r="F26" s="154">
        <f>IFERROR(__xludf.DUMMYFUNCTION("""COMPUTED_VALUE"""),2.0)</f>
        <v>2</v>
      </c>
      <c r="G26" s="154"/>
      <c r="H26" s="155">
        <f>IFERROR(__xludf.DUMMYFUNCTION("""COMPUTED_VALUE"""),8.0)</f>
        <v>8</v>
      </c>
      <c r="I26" s="156">
        <f>IFERROR(__xludf.DUMMYFUNCTION("""COMPUTED_VALUE"""),0.0)</f>
        <v>0</v>
      </c>
      <c r="J26" s="157">
        <f>IFERROR(__xludf.DUMMYFUNCTION("""COMPUTED_VALUE"""),8.0)</f>
        <v>8</v>
      </c>
      <c r="K26" s="156"/>
      <c r="L26" s="159">
        <f>IFERROR(__xludf.DUMMYFUNCTION("""COMPUTED_VALUE"""),8.0)</f>
        <v>8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154">
        <f>IFERROR(__xludf.DUMMYFUNCTION("""COMPUTED_VALUE"""),8.0)</f>
        <v>8</v>
      </c>
      <c r="F27" s="154">
        <f>IFERROR(__xludf.DUMMYFUNCTION("""COMPUTED_VALUE"""),2.0)</f>
        <v>2</v>
      </c>
      <c r="G27" s="154"/>
      <c r="H27" s="155">
        <f>IFERROR(__xludf.DUMMYFUNCTION("""COMPUTED_VALUE"""),10.0)</f>
        <v>10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154">
        <f>IFERROR(__xludf.DUMMYFUNCTION("""COMPUTED_VALUE"""),5.0)</f>
        <v>5</v>
      </c>
      <c r="F28" s="154">
        <f>IFERROR(__xludf.DUMMYFUNCTION("""COMPUTED_VALUE"""),2.0)</f>
        <v>2</v>
      </c>
      <c r="G28" s="154"/>
      <c r="H28" s="155">
        <f>IFERROR(__xludf.DUMMYFUNCTION("""COMPUTED_VALUE"""),7.0)</f>
        <v>7</v>
      </c>
      <c r="I28" s="156">
        <f>IFERROR(__xludf.DUMMYFUNCTION("""COMPUTED_VALUE"""),0.0)</f>
        <v>0</v>
      </c>
      <c r="J28" s="157">
        <f>IFERROR(__xludf.DUMMYFUNCTION("""COMPUTED_VALUE"""),7.0)</f>
        <v>7</v>
      </c>
      <c r="K28" s="156"/>
      <c r="L28" s="159">
        <f>IFERROR(__xludf.DUMMYFUNCTION("""COMPUTED_VALUE"""),7.0)</f>
        <v>7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154">
        <f>IFERROR(__xludf.DUMMYFUNCTION("""COMPUTED_VALUE"""),7.0)</f>
        <v>7</v>
      </c>
      <c r="F29" s="154">
        <f>IFERROR(__xludf.DUMMYFUNCTION("""COMPUTED_VALUE"""),2.0)</f>
        <v>2</v>
      </c>
      <c r="G29" s="154"/>
      <c r="H29" s="155">
        <f>IFERROR(__xludf.DUMMYFUNCTION("""COMPUTED_VALUE"""),9.0)</f>
        <v>9</v>
      </c>
      <c r="I29" s="156">
        <f>IFERROR(__xludf.DUMMYFUNCTION("""COMPUTED_VALUE"""),0.0)</f>
        <v>0</v>
      </c>
      <c r="J29" s="157">
        <f>IFERROR(__xludf.DUMMYFUNCTION("""COMPUTED_VALUE"""),9.0)</f>
        <v>9</v>
      </c>
      <c r="K29" s="156"/>
      <c r="L29" s="159">
        <f>IFERROR(__xludf.DUMMYFUNCTION("""COMPUTED_VALUE"""),9.0)</f>
        <v>9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/>
      <c r="H30" s="155">
        <f>IFERROR(__xludf.DUMMYFUNCTION("""COMPUTED_VALUE"""),10.0)</f>
        <v>10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IFERROR(__xludf.DUMMYFUNCTION("""COMPUTED_VALUE"""),10.0)</f>
        <v>10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154">
        <f>IFERROR(__xludf.DUMMYFUNCTION("""COMPUTED_VALUE"""),6.0)</f>
        <v>6</v>
      </c>
      <c r="F31" s="154">
        <f>IFERROR(__xludf.DUMMYFUNCTION("""COMPUTED_VALUE"""),2.0)</f>
        <v>2</v>
      </c>
      <c r="G31" s="154"/>
      <c r="H31" s="155">
        <f>IFERROR(__xludf.DUMMYFUNCTION("""COMPUTED_VALUE"""),8.0)</f>
        <v>8</v>
      </c>
      <c r="I31" s="156">
        <f>IFERROR(__xludf.DUMMYFUNCTION("""COMPUTED_VALUE"""),0.0)</f>
        <v>0</v>
      </c>
      <c r="J31" s="157">
        <f>IFERROR(__xludf.DUMMYFUNCTION("""COMPUTED_VALUE"""),8.0)</f>
        <v>8</v>
      </c>
      <c r="K31" s="156"/>
      <c r="L31" s="159">
        <f>IFERROR(__xludf.DUMMYFUNCTION("""COMPUTED_VALUE"""),8.0)</f>
        <v>8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154">
        <f>IFERROR(__xludf.DUMMYFUNCTION("""COMPUTED_VALUE"""),8.0)</f>
        <v>8</v>
      </c>
      <c r="F32" s="154">
        <f>IFERROR(__xludf.DUMMYFUNCTION("""COMPUTED_VALUE"""),2.0)</f>
        <v>2</v>
      </c>
      <c r="G32" s="154"/>
      <c r="H32" s="155">
        <f>IFERROR(__xludf.DUMMYFUNCTION("""COMPUTED_VALUE"""),10.0)</f>
        <v>10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154">
        <f>IFERROR(__xludf.DUMMYFUNCTION("""COMPUTED_VALUE"""),5.0)</f>
        <v>5</v>
      </c>
      <c r="F33" s="154">
        <f>IFERROR(__xludf.DUMMYFUNCTION("""COMPUTED_VALUE"""),2.0)</f>
        <v>2</v>
      </c>
      <c r="G33" s="154"/>
      <c r="H33" s="155">
        <f>IFERROR(__xludf.DUMMYFUNCTION("""COMPUTED_VALUE"""),7.0)</f>
        <v>7</v>
      </c>
      <c r="I33" s="156">
        <f>IFERROR(__xludf.DUMMYFUNCTION("""COMPUTED_VALUE"""),0.0)</f>
        <v>0</v>
      </c>
      <c r="J33" s="157">
        <f>IFERROR(__xludf.DUMMYFUNCTION("""COMPUTED_VALUE"""),7.0)</f>
        <v>7</v>
      </c>
      <c r="K33" s="156"/>
      <c r="L33" s="159">
        <f>IFERROR(__xludf.DUMMYFUNCTION("""COMPUTED_VALUE"""),7.0)</f>
        <v>7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154">
        <f>IFERROR(__xludf.DUMMYFUNCTION("""COMPUTED_VALUE"""),7.0)</f>
        <v>7</v>
      </c>
      <c r="F34" s="154">
        <f>IFERROR(__xludf.DUMMYFUNCTION("""COMPUTED_VALUE"""),2.0)</f>
        <v>2</v>
      </c>
      <c r="G34" s="154"/>
      <c r="H34" s="155">
        <f>IFERROR(__xludf.DUMMYFUNCTION("""COMPUTED_VALUE"""),9.0)</f>
        <v>9</v>
      </c>
      <c r="I34" s="156">
        <f>IFERROR(__xludf.DUMMYFUNCTION("""COMPUTED_VALUE"""),0.0)</f>
        <v>0</v>
      </c>
      <c r="J34" s="157">
        <f>IFERROR(__xludf.DUMMYFUNCTION("""COMPUTED_VALUE"""),9.0)</f>
        <v>9</v>
      </c>
      <c r="K34" s="156"/>
      <c r="L34" s="159">
        <f>IFERROR(__xludf.DUMMYFUNCTION("""COMPUTED_VALUE"""),9.0)</f>
        <v>9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154">
        <f>IFERROR(__xludf.DUMMYFUNCTION("""COMPUTED_VALUE"""),8.0)</f>
        <v>8</v>
      </c>
      <c r="F35" s="154">
        <f>IFERROR(__xludf.DUMMYFUNCTION("""COMPUTED_VALUE"""),2.0)</f>
        <v>2</v>
      </c>
      <c r="G35" s="154"/>
      <c r="H35" s="155">
        <f>IFERROR(__xludf.DUMMYFUNCTION("""COMPUTED_VALUE"""),10.0)</f>
        <v>10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IFERROR(__xludf.DUMMYFUNCTION("""COMPUTED_VALUE"""),10.0)</f>
        <v>10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154">
        <f>IFERROR(__xludf.DUMMYFUNCTION("""COMPUTED_VALUE"""),8.0)</f>
        <v>8</v>
      </c>
      <c r="F36" s="154">
        <f>IFERROR(__xludf.DUMMYFUNCTION("""COMPUTED_VALUE"""),2.0)</f>
        <v>2</v>
      </c>
      <c r="G36" s="154"/>
      <c r="H36" s="155">
        <f>IFERROR(__xludf.DUMMYFUNCTION("""COMPUTED_VALUE"""),10.0)</f>
        <v>10</v>
      </c>
      <c r="I36" s="156">
        <f>IFERROR(__xludf.DUMMYFUNCTION("""COMPUTED_VALUE"""),0.0)</f>
        <v>0</v>
      </c>
      <c r="J36" s="157">
        <f>IFERROR(__xludf.DUMMYFUNCTION("""COMPUTED_VALUE"""),10.0)</f>
        <v>10</v>
      </c>
      <c r="K36" s="156"/>
      <c r="L36" s="159">
        <f>IFERROR(__xludf.DUMMYFUNCTION("""COMPUTED_VALUE"""),10.0)</f>
        <v>10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154">
        <f>IFERROR(__xludf.DUMMYFUNCTION("""COMPUTED_VALUE"""),5.0)</f>
        <v>5</v>
      </c>
      <c r="F37" s="154">
        <f>IFERROR(__xludf.DUMMYFUNCTION("""COMPUTED_VALUE"""),2.0)</f>
        <v>2</v>
      </c>
      <c r="G37" s="154"/>
      <c r="H37" s="155">
        <f>IFERROR(__xludf.DUMMYFUNCTION("""COMPUTED_VALUE"""),7.0)</f>
        <v>7</v>
      </c>
      <c r="I37" s="156">
        <f>IFERROR(__xludf.DUMMYFUNCTION("""COMPUTED_VALUE"""),0.0)</f>
        <v>0</v>
      </c>
      <c r="J37" s="157">
        <f>IFERROR(__xludf.DUMMYFUNCTION("""COMPUTED_VALUE"""),7.0)</f>
        <v>7</v>
      </c>
      <c r="K37" s="156"/>
      <c r="L37" s="159">
        <f>IFERROR(__xludf.DUMMYFUNCTION("""COMPUTED_VALUE"""),7.0)</f>
        <v>7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154">
        <f>IFERROR(__xludf.DUMMYFUNCTION("""COMPUTED_VALUE"""),8.0)</f>
        <v>8</v>
      </c>
      <c r="F38" s="154">
        <f>IFERROR(__xludf.DUMMYFUNCTION("""COMPUTED_VALUE"""),2.0)</f>
        <v>2</v>
      </c>
      <c r="G38" s="154"/>
      <c r="H38" s="155">
        <f>IFERROR(__xludf.DUMMYFUNCTION("""COMPUTED_VALUE"""),10.0)</f>
        <v>10</v>
      </c>
      <c r="I38" s="156">
        <f>IFERROR(__xludf.DUMMYFUNCTION("""COMPUTED_VALUE"""),0.0)</f>
        <v>0</v>
      </c>
      <c r="J38" s="157">
        <f>IFERROR(__xludf.DUMMYFUNCTION("""COMPUTED_VALUE"""),10.0)</f>
        <v>10</v>
      </c>
      <c r="K38" s="156"/>
      <c r="L38" s="159">
        <f>IFERROR(__xludf.DUMMYFUNCTION("""COMPUTED_VALUE"""),10.0)</f>
        <v>10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154">
        <f>IFERROR(__xludf.DUMMYFUNCTION("""COMPUTED_VALUE"""),8.0)</f>
        <v>8</v>
      </c>
      <c r="F39" s="154">
        <f>IFERROR(__xludf.DUMMYFUNCTION("""COMPUTED_VALUE"""),2.0)</f>
        <v>2</v>
      </c>
      <c r="G39" s="154"/>
      <c r="H39" s="155">
        <f>IFERROR(__xludf.DUMMYFUNCTION("""COMPUTED_VALUE"""),10.0)</f>
        <v>10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154">
        <f>IFERROR(__xludf.DUMMYFUNCTION("""COMPUTED_VALUE"""),8.0)</f>
        <v>8</v>
      </c>
      <c r="F40" s="154">
        <f>IFERROR(__xludf.DUMMYFUNCTION("""COMPUTED_VALUE"""),2.0)</f>
        <v>2</v>
      </c>
      <c r="G40" s="154"/>
      <c r="H40" s="155">
        <f>IFERROR(__xludf.DUMMYFUNCTION("""COMPUTED_VALUE"""),10.0)</f>
        <v>10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IFERROR(__xludf.DUMMYFUNCTION("""COMPUTED_VALUE"""),10.0)</f>
        <v>10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154">
        <f>IFERROR(__xludf.DUMMYFUNCTION("""COMPUTED_VALUE"""),7.0)</f>
        <v>7</v>
      </c>
      <c r="F41" s="154">
        <f>IFERROR(__xludf.DUMMYFUNCTION("""COMPUTED_VALUE"""),2.0)</f>
        <v>2</v>
      </c>
      <c r="G41" s="154"/>
      <c r="H41" s="155">
        <f>IFERROR(__xludf.DUMMYFUNCTION("""COMPUTED_VALUE"""),9.0)</f>
        <v>9</v>
      </c>
      <c r="I41" s="156">
        <f>IFERROR(__xludf.DUMMYFUNCTION("""COMPUTED_VALUE"""),0.0)</f>
        <v>0</v>
      </c>
      <c r="J41" s="157">
        <f>IFERROR(__xludf.DUMMYFUNCTION("""COMPUTED_VALUE"""),9.0)</f>
        <v>9</v>
      </c>
      <c r="K41" s="156"/>
      <c r="L41" s="159">
        <f>IFERROR(__xludf.DUMMYFUNCTION("""COMPUTED_VALUE"""),9.0)</f>
        <v>9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154">
        <f>IFERROR(__xludf.DUMMYFUNCTION("""COMPUTED_VALUE"""),8.0)</f>
        <v>8</v>
      </c>
      <c r="F42" s="154">
        <f>IFERROR(__xludf.DUMMYFUNCTION("""COMPUTED_VALUE"""),2.0)</f>
        <v>2</v>
      </c>
      <c r="G42" s="154"/>
      <c r="H42" s="155">
        <f>IFERROR(__xludf.DUMMYFUNCTION("""COMPUTED_VALUE"""),10.0)</f>
        <v>10</v>
      </c>
      <c r="I42" s="156">
        <f>IFERROR(__xludf.DUMMYFUNCTION("""COMPUTED_VALUE"""),1.0)</f>
        <v>1</v>
      </c>
      <c r="J42" s="157">
        <f>IFERROR(__xludf.DUMMYFUNCTION("""COMPUTED_VALUE"""),10.0)</f>
        <v>10</v>
      </c>
      <c r="K42" s="156"/>
      <c r="L42" s="159">
        <f>IFERROR(__xludf.DUMMYFUNCTION("""COMPUTED_VALUE"""),10.0)</f>
        <v>10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154">
        <f>IFERROR(__xludf.DUMMYFUNCTION("""COMPUTED_VALUE"""),8.0)</f>
        <v>8</v>
      </c>
      <c r="F43" s="154">
        <f>IFERROR(__xludf.DUMMYFUNCTION("""COMPUTED_VALUE"""),2.0)</f>
        <v>2</v>
      </c>
      <c r="G43" s="154"/>
      <c r="H43" s="155">
        <f>IFERROR(__xludf.DUMMYFUNCTION("""COMPUTED_VALUE"""),10.0)</f>
        <v>10</v>
      </c>
      <c r="I43" s="156">
        <f>IFERROR(__xludf.DUMMYFUNCTION("""COMPUTED_VALUE"""),0.0)</f>
        <v>0</v>
      </c>
      <c r="J43" s="157">
        <f>IFERROR(__xludf.DUMMYFUNCTION("""COMPUTED_VALUE"""),10.0)</f>
        <v>10</v>
      </c>
      <c r="K43" s="156"/>
      <c r="L43" s="159">
        <f>IFERROR(__xludf.DUMMYFUNCTION("""COMPUTED_VALUE"""),10.0)</f>
        <v>10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154">
        <f>IFERROR(__xludf.DUMMYFUNCTION("""COMPUTED_VALUE"""),7.0)</f>
        <v>7</v>
      </c>
      <c r="F44" s="154">
        <f>IFERROR(__xludf.DUMMYFUNCTION("""COMPUTED_VALUE"""),2.0)</f>
        <v>2</v>
      </c>
      <c r="G44" s="154"/>
      <c r="H44" s="155">
        <f>IFERROR(__xludf.DUMMYFUNCTION("""COMPUTED_VALUE"""),9.0)</f>
        <v>9</v>
      </c>
      <c r="I44" s="156">
        <f>IFERROR(__xludf.DUMMYFUNCTION("""COMPUTED_VALUE"""),0.0)</f>
        <v>0</v>
      </c>
      <c r="J44" s="157">
        <f>IFERROR(__xludf.DUMMYFUNCTION("""COMPUTED_VALUE"""),9.0)</f>
        <v>9</v>
      </c>
      <c r="K44" s="156"/>
      <c r="L44" s="159">
        <f>IFERROR(__xludf.DUMMYFUNCTION("""COMPUTED_VALUE"""),9.0)</f>
        <v>9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154">
        <f>IFERROR(__xludf.DUMMYFUNCTION("""COMPUTED_VALUE"""),7.0)</f>
        <v>7</v>
      </c>
      <c r="F45" s="154">
        <f>IFERROR(__xludf.DUMMYFUNCTION("""COMPUTED_VALUE"""),2.0)</f>
        <v>2</v>
      </c>
      <c r="G45" s="154"/>
      <c r="H45" s="155">
        <f>IFERROR(__xludf.DUMMYFUNCTION("""COMPUTED_VALUE"""),9.0)</f>
        <v>9</v>
      </c>
      <c r="I45" s="156">
        <f>IFERROR(__xludf.DUMMYFUNCTION("""COMPUTED_VALUE"""),0.0)</f>
        <v>0</v>
      </c>
      <c r="J45" s="157">
        <f>IFERROR(__xludf.DUMMYFUNCTION("""COMPUTED_VALUE"""),9.0)</f>
        <v>9</v>
      </c>
      <c r="K45" s="156"/>
      <c r="L45" s="159">
        <f>IFERROR(__xludf.DUMMYFUNCTION("""COMPUTED_VALUE"""),9.0)</f>
        <v>9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154">
        <f>IFERROR(__xludf.DUMMYFUNCTION("""COMPUTED_VALUE"""),8.0)</f>
        <v>8</v>
      </c>
      <c r="F46" s="154">
        <f>IFERROR(__xludf.DUMMYFUNCTION("""COMPUTED_VALUE"""),2.0)</f>
        <v>2</v>
      </c>
      <c r="G46" s="154"/>
      <c r="H46" s="155">
        <f>IFERROR(__xludf.DUMMYFUNCTION("""COMPUTED_VALUE"""),10.0)</f>
        <v>10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IFERROR(__xludf.DUMMYFUNCTION("""COMPUTED_VALUE"""),10.0)</f>
        <v>10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154">
        <f>IFERROR(__xludf.DUMMYFUNCTION("""COMPUTED_VALUE"""),4.0)</f>
        <v>4</v>
      </c>
      <c r="F47" s="154">
        <f>IFERROR(__xludf.DUMMYFUNCTION("""COMPUTED_VALUE"""),2.0)</f>
        <v>2</v>
      </c>
      <c r="G47" s="154"/>
      <c r="H47" s="155">
        <f>IFERROR(__xludf.DUMMYFUNCTION("""COMPUTED_VALUE"""),6.0)</f>
        <v>6</v>
      </c>
      <c r="I47" s="156">
        <f>IFERROR(__xludf.DUMMYFUNCTION("""COMPUTED_VALUE"""),0.0)</f>
        <v>0</v>
      </c>
      <c r="J47" s="157">
        <f>IFERROR(__xludf.DUMMYFUNCTION("""COMPUTED_VALUE"""),6.0)</f>
        <v>6</v>
      </c>
      <c r="K47" s="156"/>
      <c r="L47" s="159">
        <f>IFERROR(__xludf.DUMMYFUNCTION("""COMPUTED_VALUE"""),6.0)</f>
        <v>6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154">
        <f>IFERROR(__xludf.DUMMYFUNCTION("""COMPUTED_VALUE"""),7.0)</f>
        <v>7</v>
      </c>
      <c r="F48" s="154">
        <f>IFERROR(__xludf.DUMMYFUNCTION("""COMPUTED_VALUE"""),1.0)</f>
        <v>1</v>
      </c>
      <c r="G48" s="154"/>
      <c r="H48" s="155">
        <f>IFERROR(__xludf.DUMMYFUNCTION("""COMPUTED_VALUE"""),8.0)</f>
        <v>8</v>
      </c>
      <c r="I48" s="156">
        <f>IFERROR(__xludf.DUMMYFUNCTION("""COMPUTED_VALUE"""),0.0)</f>
        <v>0</v>
      </c>
      <c r="J48" s="157">
        <f>IFERROR(__xludf.DUMMYFUNCTION("""COMPUTED_VALUE"""),8.0)</f>
        <v>8</v>
      </c>
      <c r="K48" s="156"/>
      <c r="L48" s="159">
        <f>IFERROR(__xludf.DUMMYFUNCTION("""COMPUTED_VALUE"""),8.0)</f>
        <v>8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154">
        <f>IFERROR(__xludf.DUMMYFUNCTION("""COMPUTED_VALUE"""),6.0)</f>
        <v>6</v>
      </c>
      <c r="F49" s="154">
        <f>IFERROR(__xludf.DUMMYFUNCTION("""COMPUTED_VALUE"""),2.0)</f>
        <v>2</v>
      </c>
      <c r="G49" s="154"/>
      <c r="H49" s="155">
        <f>IFERROR(__xludf.DUMMYFUNCTION("""COMPUTED_VALUE"""),8.0)</f>
        <v>8</v>
      </c>
      <c r="I49" s="156">
        <f>IFERROR(__xludf.DUMMYFUNCTION("""COMPUTED_VALUE"""),0.0)</f>
        <v>0</v>
      </c>
      <c r="J49" s="157">
        <f>IFERROR(__xludf.DUMMYFUNCTION("""COMPUTED_VALUE"""),8.0)</f>
        <v>8</v>
      </c>
      <c r="K49" s="156"/>
      <c r="L49" s="159">
        <f>IFERROR(__xludf.DUMMYFUNCTION("""COMPUTED_VALUE"""),8.0)</f>
        <v>8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154">
        <f>IFERROR(__xludf.DUMMYFUNCTION("""COMPUTED_VALUE"""),8.0)</f>
        <v>8</v>
      </c>
      <c r="F50" s="154">
        <f>IFERROR(__xludf.DUMMYFUNCTION("""COMPUTED_VALUE"""),2.0)</f>
        <v>2</v>
      </c>
      <c r="G50" s="154"/>
      <c r="H50" s="155">
        <f>IFERROR(__xludf.DUMMYFUNCTION("""COMPUTED_VALUE"""),10.0)</f>
        <v>10</v>
      </c>
      <c r="I50" s="156">
        <f>IFERROR(__xludf.DUMMYFUNCTION("""COMPUTED_VALUE"""),0.0)</f>
        <v>0</v>
      </c>
      <c r="J50" s="157">
        <f>IFERROR(__xludf.DUMMYFUNCTION("""COMPUTED_VALUE"""),10.0)</f>
        <v>10</v>
      </c>
      <c r="K50" s="156"/>
      <c r="L50" s="159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154">
        <f>IFERROR(__xludf.DUMMYFUNCTION("""COMPUTED_VALUE"""),8.0)</f>
        <v>8</v>
      </c>
      <c r="F51" s="154">
        <f>IFERROR(__xludf.DUMMYFUNCTION("""COMPUTED_VALUE"""),2.0)</f>
        <v>2</v>
      </c>
      <c r="G51" s="154"/>
      <c r="H51" s="155">
        <f>IFERROR(__xludf.DUMMYFUNCTION("""COMPUTED_VALUE"""),10.0)</f>
        <v>10</v>
      </c>
      <c r="I51" s="156">
        <f>IFERROR(__xludf.DUMMYFUNCTION("""COMPUTED_VALUE"""),0.0)</f>
        <v>0</v>
      </c>
      <c r="J51" s="157">
        <f>IFERROR(__xludf.DUMMYFUNCTION("""COMPUTED_VALUE"""),10.0)</f>
        <v>10</v>
      </c>
      <c r="K51" s="156"/>
      <c r="L51" s="159">
        <f>IFERROR(__xludf.DUMMYFUNCTION("""COMPUTED_VALUE"""),10.0)</f>
        <v>10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154">
        <f>IFERROR(__xludf.DUMMYFUNCTION("""COMPUTED_VALUE"""),8.0)</f>
        <v>8</v>
      </c>
      <c r="F52" s="154">
        <f>IFERROR(__xludf.DUMMYFUNCTION("""COMPUTED_VALUE"""),2.0)</f>
        <v>2</v>
      </c>
      <c r="G52" s="154"/>
      <c r="H52" s="155">
        <f>IFERROR(__xludf.DUMMYFUNCTION("""COMPUTED_VALUE"""),10.0)</f>
        <v>10</v>
      </c>
      <c r="I52" s="156">
        <f>IFERROR(__xludf.DUMMYFUNCTION("""COMPUTED_VALUE"""),0.0)</f>
        <v>0</v>
      </c>
      <c r="J52" s="157">
        <f>IFERROR(__xludf.DUMMYFUNCTION("""COMPUTED_VALUE"""),10.0)</f>
        <v>10</v>
      </c>
      <c r="K52" s="156"/>
      <c r="L52" s="160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154">
        <f>IFERROR(__xludf.DUMMYFUNCTION("""COMPUTED_VALUE"""),6.0)</f>
        <v>6</v>
      </c>
      <c r="F53" s="154">
        <f>IFERROR(__xludf.DUMMYFUNCTION("""COMPUTED_VALUE"""),2.0)</f>
        <v>2</v>
      </c>
      <c r="G53" s="154"/>
      <c r="H53" s="155">
        <f>IFERROR(__xludf.DUMMYFUNCTION("""COMPUTED_VALUE"""),8.0)</f>
        <v>8</v>
      </c>
      <c r="I53" s="156">
        <f>IFERROR(__xludf.DUMMYFUNCTION("""COMPUTED_VALUE"""),0.0)</f>
        <v>0</v>
      </c>
      <c r="J53" s="157">
        <f>IFERROR(__xludf.DUMMYFUNCTION("""COMPUTED_VALUE"""),8.0)</f>
        <v>8</v>
      </c>
      <c r="K53" s="156"/>
      <c r="L53" s="160">
        <f>IFERROR(__xludf.DUMMYFUNCTION("""COMPUTED_VALUE"""),8.0)</f>
        <v>8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154">
        <f>IFERROR(__xludf.DUMMYFUNCTION("""COMPUTED_VALUE"""),8.0)</f>
        <v>8</v>
      </c>
      <c r="F54" s="154">
        <f>IFERROR(__xludf.DUMMYFUNCTION("""COMPUTED_VALUE"""),2.0)</f>
        <v>2</v>
      </c>
      <c r="G54" s="154"/>
      <c r="H54" s="155">
        <f>IFERROR(__xludf.DUMMYFUNCTION("""COMPUTED_VALUE"""),10.0)</f>
        <v>10</v>
      </c>
      <c r="I54" s="156">
        <f>IFERROR(__xludf.DUMMYFUNCTION("""COMPUTED_VALUE"""),0.0)</f>
        <v>0</v>
      </c>
      <c r="J54" s="157">
        <f>IFERROR(__xludf.DUMMYFUNCTION("""COMPUTED_VALUE"""),10.0)</f>
        <v>10</v>
      </c>
      <c r="K54" s="156"/>
      <c r="L54" s="160">
        <f>IFERROR(__xludf.DUMMYFUNCTION("""COMPUTED_VALUE"""),10.0)</f>
        <v>10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154">
        <f>IFERROR(__xludf.DUMMYFUNCTION("""COMPUTED_VALUE"""),7.0)</f>
        <v>7</v>
      </c>
      <c r="F55" s="154">
        <f>IFERROR(__xludf.DUMMYFUNCTION("""COMPUTED_VALUE"""),2.0)</f>
        <v>2</v>
      </c>
      <c r="G55" s="154"/>
      <c r="H55" s="155">
        <f>IFERROR(__xludf.DUMMYFUNCTION("""COMPUTED_VALUE"""),9.0)</f>
        <v>9</v>
      </c>
      <c r="I55" s="161">
        <f>IFERROR(__xludf.DUMMYFUNCTION("""COMPUTED_VALUE"""),0.0)</f>
        <v>0</v>
      </c>
      <c r="J55" s="157">
        <f>IFERROR(__xludf.DUMMYFUNCTION("""COMPUTED_VALUE"""),9.0)</f>
        <v>9</v>
      </c>
      <c r="K55" s="156"/>
      <c r="L55" s="160">
        <f>IFERROR(__xludf.DUMMYFUNCTION("""COMPUTED_VALUE"""),9.0)</f>
        <v>9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154">
        <f>IFERROR(__xludf.DUMMYFUNCTION("""COMPUTED_VALUE"""),7.0)</f>
        <v>7</v>
      </c>
      <c r="F56" s="154">
        <f>IFERROR(__xludf.DUMMYFUNCTION("""COMPUTED_VALUE"""),2.0)</f>
        <v>2</v>
      </c>
      <c r="G56" s="154"/>
      <c r="H56" s="155">
        <f>IFERROR(__xludf.DUMMYFUNCTION("""COMPUTED_VALUE"""),9.0)</f>
        <v>9</v>
      </c>
      <c r="I56" s="161">
        <f>IFERROR(__xludf.DUMMYFUNCTION("""COMPUTED_VALUE"""),0.0)</f>
        <v>0</v>
      </c>
      <c r="J56" s="157">
        <f>IFERROR(__xludf.DUMMYFUNCTION("""COMPUTED_VALUE"""),9.0)</f>
        <v>9</v>
      </c>
      <c r="K56" s="156"/>
      <c r="L56" s="160">
        <f>IFERROR(__xludf.DUMMYFUNCTION("""COMPUTED_VALUE"""),9.0)</f>
        <v>9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154">
        <f>IFERROR(__xludf.DUMMYFUNCTION("""COMPUTED_VALUE"""),8.0)</f>
        <v>8</v>
      </c>
      <c r="F57" s="154">
        <f>IFERROR(__xludf.DUMMYFUNCTION("""COMPUTED_VALUE"""),2.0)</f>
        <v>2</v>
      </c>
      <c r="G57" s="154"/>
      <c r="H57" s="155">
        <f>IFERROR(__xludf.DUMMYFUNCTION("""COMPUTED_VALUE"""),10.0)</f>
        <v>10</v>
      </c>
      <c r="I57" s="161">
        <f>IFERROR(__xludf.DUMMYFUNCTION("""COMPUTED_VALUE"""),0.0)</f>
        <v>0</v>
      </c>
      <c r="J57" s="157">
        <f>IFERROR(__xludf.DUMMYFUNCTION("""COMPUTED_VALUE"""),10.0)</f>
        <v>10</v>
      </c>
      <c r="K57" s="156"/>
      <c r="L57" s="160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154">
        <f>IFERROR(__xludf.DUMMYFUNCTION("""COMPUTED_VALUE"""),7.0)</f>
        <v>7</v>
      </c>
      <c r="F58" s="154">
        <f>IFERROR(__xludf.DUMMYFUNCTION("""COMPUTED_VALUE"""),2.0)</f>
        <v>2</v>
      </c>
      <c r="G58" s="154"/>
      <c r="H58" s="155">
        <f>IFERROR(__xludf.DUMMYFUNCTION("""COMPUTED_VALUE"""),9.0)</f>
        <v>9</v>
      </c>
      <c r="I58" s="161">
        <f>IFERROR(__xludf.DUMMYFUNCTION("""COMPUTED_VALUE"""),1.0)</f>
        <v>1</v>
      </c>
      <c r="J58" s="157">
        <f>IFERROR(__xludf.DUMMYFUNCTION("""COMPUTED_VALUE"""),9.0)</f>
        <v>9</v>
      </c>
      <c r="K58" s="156"/>
      <c r="L58" s="160">
        <f>IFERROR(__xludf.DUMMYFUNCTION("""COMPUTED_VALUE"""),9.0)</f>
        <v>9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154">
        <f>IFERROR(__xludf.DUMMYFUNCTION("""COMPUTED_VALUE"""),5.0)</f>
        <v>5</v>
      </c>
      <c r="F59" s="154">
        <f>IFERROR(__xludf.DUMMYFUNCTION("""COMPUTED_VALUE"""),2.0)</f>
        <v>2</v>
      </c>
      <c r="G59" s="154"/>
      <c r="H59" s="155">
        <f>IFERROR(__xludf.DUMMYFUNCTION("""COMPUTED_VALUE"""),7.0)</f>
        <v>7</v>
      </c>
      <c r="I59" s="161">
        <f>IFERROR(__xludf.DUMMYFUNCTION("""COMPUTED_VALUE"""),0.0)</f>
        <v>0</v>
      </c>
      <c r="J59" s="157">
        <f>IFERROR(__xludf.DUMMYFUNCTION("""COMPUTED_VALUE"""),7.0)</f>
        <v>7</v>
      </c>
      <c r="K59" s="156"/>
      <c r="L59" s="160">
        <f>IFERROR(__xludf.DUMMYFUNCTION("""COMPUTED_VALUE"""),7.0)</f>
        <v>7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154">
        <f>IFERROR(__xludf.DUMMYFUNCTION("""COMPUTED_VALUE"""),8.0)</f>
        <v>8</v>
      </c>
      <c r="F60" s="154">
        <f>IFERROR(__xludf.DUMMYFUNCTION("""COMPUTED_VALUE"""),2.0)</f>
        <v>2</v>
      </c>
      <c r="G60" s="154"/>
      <c r="H60" s="155">
        <f>IFERROR(__xludf.DUMMYFUNCTION("""COMPUTED_VALUE"""),10.0)</f>
        <v>10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IFERROR(__xludf.DUMMYFUNCTION("""COMPUTED_VALUE"""),10.0)</f>
        <v>10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154">
        <f>IFERROR(__xludf.DUMMYFUNCTION("""COMPUTED_VALUE"""),7.0)</f>
        <v>7</v>
      </c>
      <c r="F61" s="154">
        <f>IFERROR(__xludf.DUMMYFUNCTION("""COMPUTED_VALUE"""),2.0)</f>
        <v>2</v>
      </c>
      <c r="G61" s="154"/>
      <c r="H61" s="155">
        <f>IFERROR(__xludf.DUMMYFUNCTION("""COMPUTED_VALUE"""),9.0)</f>
        <v>9</v>
      </c>
      <c r="I61" s="161">
        <f>IFERROR(__xludf.DUMMYFUNCTION("""COMPUTED_VALUE"""),0.0)</f>
        <v>0</v>
      </c>
      <c r="J61" s="157">
        <f>IFERROR(__xludf.DUMMYFUNCTION("""COMPUTED_VALUE"""),9.0)</f>
        <v>9</v>
      </c>
      <c r="K61" s="156"/>
      <c r="L61" s="160">
        <f>IFERROR(__xludf.DUMMYFUNCTION("""COMPUTED_VALUE"""),9.0)</f>
        <v>9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154">
        <f>IFERROR(__xludf.DUMMYFUNCTION("""COMPUTED_VALUE"""),7.0)</f>
        <v>7</v>
      </c>
      <c r="F62" s="154">
        <f>IFERROR(__xludf.DUMMYFUNCTION("""COMPUTED_VALUE"""),2.0)</f>
        <v>2</v>
      </c>
      <c r="G62" s="154"/>
      <c r="H62" s="155">
        <f>IFERROR(__xludf.DUMMYFUNCTION("""COMPUTED_VALUE"""),9.0)</f>
        <v>9</v>
      </c>
      <c r="I62" s="161">
        <f>IFERROR(__xludf.DUMMYFUNCTION("""COMPUTED_VALUE"""),0.0)</f>
        <v>0</v>
      </c>
      <c r="J62" s="157">
        <f>IFERROR(__xludf.DUMMYFUNCTION("""COMPUTED_VALUE"""),9.0)</f>
        <v>9</v>
      </c>
      <c r="K62" s="156"/>
      <c r="L62" s="160">
        <f>IFERROR(__xludf.DUMMYFUNCTION("""COMPUTED_VALUE"""),9.0)</f>
        <v>9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154">
        <f>IFERROR(__xludf.DUMMYFUNCTION("""COMPUTED_VALUE"""),8.0)</f>
        <v>8</v>
      </c>
      <c r="F63" s="154">
        <f>IFERROR(__xludf.DUMMYFUNCTION("""COMPUTED_VALUE"""),2.0)</f>
        <v>2</v>
      </c>
      <c r="G63" s="154"/>
      <c r="H63" s="155">
        <f>IFERROR(__xludf.DUMMYFUNCTION("""COMPUTED_VALUE"""),10.0)</f>
        <v>10</v>
      </c>
      <c r="I63" s="154">
        <f>IFERROR(__xludf.DUMMYFUNCTION("""COMPUTED_VALUE"""),0.0)</f>
        <v>0</v>
      </c>
      <c r="J63" s="157">
        <f>IFERROR(__xludf.DUMMYFUNCTION("""COMPUTED_VALUE"""),10.0)</f>
        <v>10</v>
      </c>
      <c r="K63" s="156"/>
      <c r="L63" s="160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154">
        <f>IFERROR(__xludf.DUMMYFUNCTION("""COMPUTED_VALUE"""),8.0)</f>
        <v>8</v>
      </c>
      <c r="F64" s="154">
        <f>IFERROR(__xludf.DUMMYFUNCTION("""COMPUTED_VALUE"""),2.0)</f>
        <v>2</v>
      </c>
      <c r="G64" s="154"/>
      <c r="H64" s="155">
        <f>IFERROR(__xludf.DUMMYFUNCTION("""COMPUTED_VALUE"""),10.0)</f>
        <v>10</v>
      </c>
      <c r="I64" s="154">
        <f>IFERROR(__xludf.DUMMYFUNCTION("""COMPUTED_VALUE"""),0.0)</f>
        <v>0</v>
      </c>
      <c r="J64" s="157">
        <f>IFERROR(__xludf.DUMMYFUNCTION("""COMPUTED_VALUE"""),10.0)</f>
        <v>10</v>
      </c>
      <c r="K64" s="156"/>
      <c r="L64" s="160">
        <f>IFERROR(__xludf.DUMMYFUNCTION("""COMPUTED_VALUE"""),10.0)</f>
        <v>10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154">
        <f>IFERROR(__xludf.DUMMYFUNCTION("""COMPUTED_VALUE"""),7.0)</f>
        <v>7</v>
      </c>
      <c r="F65" s="154">
        <f>IFERROR(__xludf.DUMMYFUNCTION("""COMPUTED_VALUE"""),2.0)</f>
        <v>2</v>
      </c>
      <c r="G65" s="154"/>
      <c r="H65" s="155">
        <f>IFERROR(__xludf.DUMMYFUNCTION("""COMPUTED_VALUE"""),9.0)</f>
        <v>9</v>
      </c>
      <c r="I65" s="161">
        <f>IFERROR(__xludf.DUMMYFUNCTION("""COMPUTED_VALUE"""),0.0)</f>
        <v>0</v>
      </c>
      <c r="J65" s="157">
        <f>IFERROR(__xludf.DUMMYFUNCTION("""COMPUTED_VALUE"""),9.0)</f>
        <v>9</v>
      </c>
      <c r="K65" s="156"/>
      <c r="L65" s="160">
        <f>IFERROR(__xludf.DUMMYFUNCTION("""COMPUTED_VALUE"""),9.0)</f>
        <v>9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6"/>
      <c r="B66" s="162"/>
      <c r="C66" s="162"/>
      <c r="D66" s="127"/>
      <c r="E66" s="163"/>
      <c r="F66" s="163"/>
      <c r="G66" s="163"/>
      <c r="H66" s="163"/>
      <c r="I66" s="132"/>
      <c r="J66" s="164"/>
      <c r="K66" s="128"/>
      <c r="L66" s="164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65" t="str">
        <f>IFERROR(__xludf.DUMMYFUNCTION("""COMPUTED_VALUE"""),"No. DE ALUMNOS INSCRITOS")</f>
        <v>No. DE ALUMNOS INSCRITOS</v>
      </c>
      <c r="C67" s="73"/>
      <c r="D67" s="201">
        <f>IFERROR(__xludf.DUMMYFUNCTION("""COMPUTED_VALUE"""),49.0)</f>
        <v>49</v>
      </c>
      <c r="E67" s="163"/>
      <c r="F67" s="167" t="str">
        <f>IFERROR(__xludf.DUMMYFUNCTION("""COMPUTED_VALUE"""),"FIRMA DEL PROFESOR")</f>
        <v>FIRMA DEL PROFESOR</v>
      </c>
      <c r="G67" s="163"/>
      <c r="H67" s="167" t="str">
        <f>IFERROR(__xludf.DUMMYFUNCTION("""COMPUTED_VALUE"""),"FIRMA DEL ORIENTADOR")</f>
        <v>FIRMA DEL ORIENTADOR</v>
      </c>
      <c r="J67" s="168" t="str">
        <f>IFERROR(__xludf.DUMMYFUNCTION("""COMPUTED_VALUE"""),"Vo. Bo. SUBDIRECCIÓN ESCOLAR")</f>
        <v>Vo. Bo. SUBDIRECCIÓN ESCOLAR</v>
      </c>
      <c r="K67" s="169" t="str">
        <f>IFERROR(__xludf.DUMMYFUNCTION("""COMPUTED_VALUE"""),"REVISADO POR SECRETARIA ESCOLAR ")</f>
        <v>REVISADO POR SECRETARIA ESCOLAR </v>
      </c>
      <c r="L67" s="164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0" t="str">
        <f>IFERROR(__xludf.DUMMYFUNCTION("""COMPUTED_VALUE"""),"BAJAS DURANTE EL SEMESTRE")</f>
        <v>BAJAS DURANTE EL SEMESTRE</v>
      </c>
      <c r="C68" s="80"/>
      <c r="D68" s="204">
        <f>IFERROR(__xludf.DUMMYFUNCTION("""COMPUTED_VALUE"""),0.0)</f>
        <v>0</v>
      </c>
      <c r="E68" s="163"/>
      <c r="G68" s="163"/>
      <c r="K68" s="10"/>
      <c r="L68" s="164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21"/>
      <c r="B69" s="170" t="str">
        <f>IFERROR(__xludf.DUMMYFUNCTION("""COMPUTED_VALUE"""),"EXISTENCIA")</f>
        <v>EXISTENCIA</v>
      </c>
      <c r="C69" s="80"/>
      <c r="D69" s="172">
        <f>IFERROR(__xludf.DUMMYFUNCTION("""COMPUTED_VALUE"""),49.0)</f>
        <v>49</v>
      </c>
      <c r="E69" s="163"/>
      <c r="F69" s="163"/>
      <c r="G69" s="163"/>
      <c r="H69" s="163"/>
      <c r="I69" s="132"/>
      <c r="J69" s="164"/>
      <c r="K69" s="128"/>
      <c r="L69" s="164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21"/>
      <c r="B70" s="170" t="str">
        <f>IFERROR(__xludf.DUMMYFUNCTION("""COMPUTED_VALUE"""),"No. DE ALUMNOS APROBADOS")</f>
        <v>No. DE ALUMNOS APROBADOS</v>
      </c>
      <c r="C70" s="80"/>
      <c r="D70" s="172">
        <f>IFERROR(__xludf.DUMMYFUNCTION("""COMPUTED_VALUE"""),49.0)</f>
        <v>49</v>
      </c>
      <c r="E70" s="163"/>
      <c r="F70" s="163"/>
      <c r="G70" s="163"/>
      <c r="H70" s="163"/>
      <c r="I70" s="132"/>
      <c r="J70" s="164"/>
      <c r="K70" s="128"/>
      <c r="L70" s="164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13.5" customHeight="1">
      <c r="A71" s="121"/>
      <c r="B71" s="170" t="str">
        <f>IFERROR(__xludf.DUMMYFUNCTION("""COMPUTED_VALUE"""),"No. DE ALUMNOS REPROBADOS")</f>
        <v>No. DE ALUMNOS REPROBADOS</v>
      </c>
      <c r="C71" s="80"/>
      <c r="D71" s="172">
        <f>IFERROR(__xludf.DUMMYFUNCTION("""COMPUTED_VALUE"""),0.0)</f>
        <v>0</v>
      </c>
      <c r="E71" s="132"/>
      <c r="F71" s="173"/>
      <c r="G71" s="127"/>
      <c r="H71" s="173"/>
      <c r="I71" s="173"/>
      <c r="J71" s="174"/>
      <c r="K71" s="175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76"/>
      <c r="B72" s="177" t="str">
        <f>IFERROR(__xludf.DUMMYFUNCTION("""COMPUTED_VALUE"""),"% DE APROBADOS")</f>
        <v>% DE APROBADOS</v>
      </c>
      <c r="C72" s="80"/>
      <c r="D72" s="178">
        <f>IFERROR(__xludf.DUMMYFUNCTION("""COMPUTED_VALUE"""),100.0)</f>
        <v>100</v>
      </c>
      <c r="E72" s="127"/>
      <c r="F72" s="179" t="str">
        <f>IFERROR(__xludf.DUMMYFUNCTION("""COMPUTED_VALUE"""),"PROFRA. ROSARIO CALZADA GASPAR")</f>
        <v>PROFRA. ROSARIO CALZADA GASPAR</v>
      </c>
      <c r="G72" s="130"/>
      <c r="H72" s="120" t="str">
        <f>IFERROR(__xludf.DUMMYFUNCTION("""COMPUTED_VALUE"""),"PROFRA. ANA ISABEL CORREA SALGADO")</f>
        <v>PROFRA. ANA ISABEL CORREA SALGADO</v>
      </c>
      <c r="J72" s="180" t="str">
        <f>IFERROR(__xludf.DUMMYFUNCTION("""COMPUTED_VALUE"""),"PROFR. OCTAVIO VÁZQUEZ BARRETO")</f>
        <v>PROFR. OCTAVIO VÁZQUEZ BARRETO</v>
      </c>
      <c r="K72" s="181" t="str">
        <f>IFERROR(__xludf.DUMMYFUNCTION("""COMPUTED_VALUE"""),"PROFR. ROBERTO PALOMARES MEJÍA ")</f>
        <v>PROFR. ROBERTO PALOMARES MEJÍA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76"/>
      <c r="B73" s="182" t="str">
        <f>IFERROR(__xludf.DUMMYFUNCTION("""COMPUTED_VALUE"""),"PROMEDIO")</f>
        <v>PROMEDIO</v>
      </c>
      <c r="C73" s="99"/>
      <c r="D73" s="183">
        <f>IFERROR(__xludf.DUMMYFUNCTION("""COMPUTED_VALUE"""),9.061224489795919)</f>
        <v>9.06122449</v>
      </c>
      <c r="E73" s="127"/>
      <c r="G73" s="130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84"/>
      <c r="B74" s="121"/>
      <c r="C74" s="121"/>
      <c r="D74" s="121"/>
      <c r="E74" s="121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85"/>
      <c r="B75" s="186"/>
      <c r="C75" s="187"/>
      <c r="D75" s="188"/>
      <c r="E75" s="127"/>
      <c r="G75" s="127"/>
      <c r="H75" s="127"/>
      <c r="I75" s="127"/>
      <c r="J75" s="127"/>
      <c r="K75" s="189"/>
      <c r="L75" s="127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0"/>
      <c r="B76" s="127"/>
      <c r="C76" s="127"/>
      <c r="D76" s="162"/>
      <c r="E76" s="127"/>
      <c r="F76" s="121"/>
      <c r="G76" s="121"/>
      <c r="H76" s="121"/>
      <c r="I76" s="121"/>
      <c r="J76" s="121"/>
      <c r="K76" s="128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7.75" customHeight="1">
      <c r="A77" s="190"/>
      <c r="B77" s="127"/>
      <c r="C77" s="127"/>
      <c r="D77" s="191"/>
      <c r="E77" s="127"/>
      <c r="F77" s="192"/>
      <c r="G77" s="121"/>
      <c r="H77" s="192"/>
      <c r="I77" s="192"/>
      <c r="J77" s="192"/>
      <c r="K77" s="193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21.75" customHeight="1">
      <c r="A78" s="194"/>
      <c r="B78" s="195"/>
      <c r="C78" s="195"/>
      <c r="D78" s="196"/>
      <c r="E78" s="197"/>
      <c r="F78" s="198"/>
      <c r="G78" s="199"/>
      <c r="H78" s="198"/>
      <c r="I78" s="198"/>
      <c r="J78" s="198"/>
      <c r="K78" s="20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30"/>
      <c r="K81" s="130"/>
      <c r="L81" s="130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30"/>
      <c r="K82" s="130"/>
      <c r="L82" s="130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3.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6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6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4.2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"/>
    </row>
    <row r="278" ht="13.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>
      <c r="A1010" s="176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ht="15.75" customHeight="1">
      <c r="A1011" s="176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0 K18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IFERROR(__xludf.DUMMYFUNCTION("IMPORTRANGE(""https://docs.google.com/spreadsheets/d/19tMSH2UXNSY1VoWpC5BT8xRWr5RVfNGLLZNe6BC1dj4/edit?gid=986135274#gid=986135274"",""2-2 temas selectos de igualdad y derechos humanos 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IFERROR(__xludf.DUMMYFUNCTION("""COMPUTED_VALUE"""),"ALEJANDRA GONZÁLEZ CORTÉS")</f>
        <v>ALEJANDRA GONZÁLEZ CORTÉS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IFERROR(__xludf.DUMMYFUNCTION("""COMPUTED_VALUE"""),"TEMAS SELECTOS DE IGUALDAD Y DERECHOS HUMANOS IV")</f>
        <v>TEMAS SELECTOS DE IGUALDAD Y DERECHOS HUMANOS IV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4">
        <f>IFERROR(__xludf.DUMMYFUNCTION("""COMPUTED_VALUE"""),2.0)</f>
        <v>2</v>
      </c>
      <c r="E15" s="32"/>
      <c r="F15" s="32"/>
      <c r="G15" s="39"/>
      <c r="H15" s="145"/>
      <c r="I15" s="146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7" t="str">
        <f>IFERROR(__xludf.DUMMYFUNCTION("""COMPUTED_VALUE"""),"No.")</f>
        <v>No.</v>
      </c>
      <c r="B16" s="148" t="str">
        <f>IFERROR(__xludf.DUMMYFUNCTION("""COMPUTED_VALUE"""),"NOMBRE DEL ALUMNO")</f>
        <v>NOMBRE DEL ALUMNO</v>
      </c>
      <c r="C16" s="27"/>
      <c r="D16" s="28"/>
      <c r="E16" s="46"/>
      <c r="F16" s="46"/>
      <c r="G16" s="149"/>
      <c r="H16" s="150" t="str">
        <f>IFERROR(__xludf.DUMMYFUNCTION("""COMPUTED_VALUE"""),"Suma")</f>
        <v>Suma</v>
      </c>
      <c r="I16" s="151" t="str">
        <f>IFERROR(__xludf.DUMMYFUNCTION("""COMPUTED_VALUE"""),"Faltas")</f>
        <v>Faltas</v>
      </c>
      <c r="J16" s="151" t="str">
        <f>IFERROR(__xludf.DUMMYFUNCTION("""COMPUTED_VALUE"""),"Calificación Definitiva")</f>
        <v>Calificación Definitiva</v>
      </c>
      <c r="K16" s="152" t="str">
        <f>IFERROR(__xludf.DUMMYFUNCTION("""COMPUTED_VALUE"""),"FIRMA")</f>
        <v>FIRMA</v>
      </c>
      <c r="L16" s="151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3">
        <f>IFERROR(__xludf.DUMMYFUNCTION("""COMPUTED_VALUE"""),1.0)</f>
        <v>1</v>
      </c>
      <c r="B17" s="52" t="str">
        <f>IFERROR(__xludf.DUMMYFUNCTION("""COMPUTED_VALUE"""),"ALDANA")</f>
        <v>ALDANA</v>
      </c>
      <c r="C17" s="53" t="str">
        <f>IFERROR(__xludf.DUMMYFUNCTION("""COMPUTED_VALUE"""),"CASTILLO")</f>
        <v>CASTILLO</v>
      </c>
      <c r="D17" s="54" t="str">
        <f>IFERROR(__xludf.DUMMYFUNCTION("""COMPUTED_VALUE"""),"AMANDA")</f>
        <v>AMANDA</v>
      </c>
      <c r="E17" s="154">
        <f>IFERROR(__xludf.DUMMYFUNCTION("""COMPUTED_VALUE"""),8.0)</f>
        <v>8</v>
      </c>
      <c r="F17" s="154">
        <f>IFERROR(__xludf.DUMMYFUNCTION("""COMPUTED_VALUE"""),2.0)</f>
        <v>2</v>
      </c>
      <c r="G17" s="154"/>
      <c r="H17" s="155">
        <f>IFERROR(__xludf.DUMMYFUNCTION("""COMPUTED_VALUE"""),10.0)</f>
        <v>10</v>
      </c>
      <c r="I17" s="156">
        <f>IFERROR(__xludf.DUMMYFUNCTION("""COMPUTED_VALUE"""),0.0)</f>
        <v>0</v>
      </c>
      <c r="J17" s="157">
        <f>IFERROR(__xludf.DUMMYFUNCTION("""COMPUTED_VALUE"""),10.0)</f>
        <v>10</v>
      </c>
      <c r="K17" s="158"/>
      <c r="L17" s="159">
        <f>IFERROR(__xludf.DUMMYFUNCTION("""COMPUTED_VALUE"""),10.0)</f>
        <v>10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3">
        <f>IFERROR(__xludf.DUMMYFUNCTION("""COMPUTED_VALUE"""),2.0)</f>
        <v>2</v>
      </c>
      <c r="B18" s="62" t="str">
        <f>IFERROR(__xludf.DUMMYFUNCTION("""COMPUTED_VALUE"""),"ALTAMIRANO")</f>
        <v>ALTAMIRANO</v>
      </c>
      <c r="C18" s="53" t="str">
        <f>IFERROR(__xludf.DUMMYFUNCTION("""COMPUTED_VALUE"""),"PACHECO")</f>
        <v>PACHECO</v>
      </c>
      <c r="D18" s="54" t="str">
        <f>IFERROR(__xludf.DUMMYFUNCTION("""COMPUTED_VALUE"""),"JONATHAN JESUS")</f>
        <v>JONATHAN JESUS</v>
      </c>
      <c r="E18" s="154">
        <f>IFERROR(__xludf.DUMMYFUNCTION("""COMPUTED_VALUE"""),8.0)</f>
        <v>8</v>
      </c>
      <c r="F18" s="154">
        <f>IFERROR(__xludf.DUMMYFUNCTION("""COMPUTED_VALUE"""),2.0)</f>
        <v>2</v>
      </c>
      <c r="G18" s="154"/>
      <c r="H18" s="155">
        <f>IFERROR(__xludf.DUMMYFUNCTION("""COMPUTED_VALUE"""),10.0)</f>
        <v>10</v>
      </c>
      <c r="I18" s="156">
        <f>IFERROR(__xludf.DUMMYFUNCTION("""COMPUTED_VALUE"""),0.0)</f>
        <v>0</v>
      </c>
      <c r="J18" s="157">
        <f>IFERROR(__xludf.DUMMYFUNCTION("""COMPUTED_VALUE"""),10.0)</f>
        <v>10</v>
      </c>
      <c r="K18" s="156"/>
      <c r="L18" s="159">
        <f>IFERROR(__xludf.DUMMYFUNCTION("""COMPUTED_VALUE"""),10.0)</f>
        <v>10</v>
      </c>
      <c r="M18" s="121" t="str">
        <f>IFERROR(__xludf.DUMMYFUNCTION("""COMPUTED_VALUE"""),"Febrero")</f>
        <v>Febrero</v>
      </c>
      <c r="N18" s="121">
        <f>IFERROR(__xludf.DUMMYFUNCTION("""COMPUTED_VALUE"""),2.0)</f>
        <v>2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3">
        <f>IFERROR(__xludf.DUMMYFUNCTION("""COMPUTED_VALUE"""),3.0)</f>
        <v>3</v>
      </c>
      <c r="B19" s="52" t="str">
        <f>IFERROR(__xludf.DUMMYFUNCTION("""COMPUTED_VALUE"""),"ARREOLA")</f>
        <v>ARREOLA</v>
      </c>
      <c r="C19" s="63" t="str">
        <f>IFERROR(__xludf.DUMMYFUNCTION("""COMPUTED_VALUE"""),"CORONADO")</f>
        <v>CORONADO</v>
      </c>
      <c r="D19" s="54" t="str">
        <f>IFERROR(__xludf.DUMMYFUNCTION("""COMPUTED_VALUE"""),"EMILIANO")</f>
        <v>EMILIANO</v>
      </c>
      <c r="E19" s="154">
        <f>IFERROR(__xludf.DUMMYFUNCTION("""COMPUTED_VALUE"""),8.0)</f>
        <v>8</v>
      </c>
      <c r="F19" s="154">
        <f>IFERROR(__xludf.DUMMYFUNCTION("""COMPUTED_VALUE"""),2.0)</f>
        <v>2</v>
      </c>
      <c r="G19" s="154"/>
      <c r="H19" s="155">
        <f>IFERROR(__xludf.DUMMYFUNCTION("""COMPUTED_VALUE"""),10.0)</f>
        <v>10</v>
      </c>
      <c r="I19" s="156">
        <f>IFERROR(__xludf.DUMMYFUNCTION("""COMPUTED_VALUE"""),0.0)</f>
        <v>0</v>
      </c>
      <c r="J19" s="157">
        <f>IFERROR(__xludf.DUMMYFUNCTION("""COMPUTED_VALUE"""),10.0)</f>
        <v>10</v>
      </c>
      <c r="K19" s="156"/>
      <c r="L19" s="159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IFERROR(__xludf.DUMMYFUNCTION("""COMPUTED_VALUE"""),3.0)</f>
        <v>3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3">
        <f>IFERROR(__xludf.DUMMYFUNCTION("""COMPUTED_VALUE"""),4.0)</f>
        <v>4</v>
      </c>
      <c r="B20" s="52" t="str">
        <f>IFERROR(__xludf.DUMMYFUNCTION("""COMPUTED_VALUE"""),"BARCENAS")</f>
        <v>BARCENAS</v>
      </c>
      <c r="C20" s="53" t="str">
        <f>IFERROR(__xludf.DUMMYFUNCTION("""COMPUTED_VALUE"""),"GONZALEZ")</f>
        <v>GONZALEZ</v>
      </c>
      <c r="D20" s="54" t="str">
        <f>IFERROR(__xludf.DUMMYFUNCTION("""COMPUTED_VALUE"""),"ERICK SANTIAGO")</f>
        <v>ERICK SANTIAGO</v>
      </c>
      <c r="E20" s="154">
        <f>IFERROR(__xludf.DUMMYFUNCTION("""COMPUTED_VALUE"""),7.2)</f>
        <v>7.2</v>
      </c>
      <c r="F20" s="154">
        <f>IFERROR(__xludf.DUMMYFUNCTION("""COMPUTED_VALUE"""),2.0)</f>
        <v>2</v>
      </c>
      <c r="G20" s="154"/>
      <c r="H20" s="155">
        <f>IFERROR(__xludf.DUMMYFUNCTION("""COMPUTED_VALUE"""),9.2)</f>
        <v>9.2</v>
      </c>
      <c r="I20" s="156">
        <f>IFERROR(__xludf.DUMMYFUNCTION("""COMPUTED_VALUE"""),0.0)</f>
        <v>0</v>
      </c>
      <c r="J20" s="157">
        <f>IFERROR(__xludf.DUMMYFUNCTION("""COMPUTED_VALUE"""),9.0)</f>
        <v>9</v>
      </c>
      <c r="K20" s="156"/>
      <c r="L20" s="159">
        <f>IFERROR(__xludf.DUMMYFUNCTION("""COMPUTED_VALUE"""),9.0)</f>
        <v>9</v>
      </c>
      <c r="M20" s="121" t="str">
        <f>IFERROR(__xludf.DUMMYFUNCTION("""COMPUTED_VALUE"""),"Abril")</f>
        <v>Abril</v>
      </c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3">
        <f>IFERROR(__xludf.DUMMYFUNCTION("""COMPUTED_VALUE"""),5.0)</f>
        <v>5</v>
      </c>
      <c r="B21" s="52" t="str">
        <f>IFERROR(__xludf.DUMMYFUNCTION("""COMPUTED_VALUE"""),"BERNABE")</f>
        <v>BERNABE</v>
      </c>
      <c r="C21" s="53" t="str">
        <f>IFERROR(__xludf.DUMMYFUNCTION("""COMPUTED_VALUE"""),"ORTIZ")</f>
        <v>ORTIZ</v>
      </c>
      <c r="D21" s="54" t="str">
        <f>IFERROR(__xludf.DUMMYFUNCTION("""COMPUTED_VALUE"""),"GABRIEL")</f>
        <v>GABRIEL</v>
      </c>
      <c r="E21" s="154">
        <f>IFERROR(__xludf.DUMMYFUNCTION("""COMPUTED_VALUE"""),8.0)</f>
        <v>8</v>
      </c>
      <c r="F21" s="154">
        <f>IFERROR(__xludf.DUMMYFUNCTION("""COMPUTED_VALUE"""),2.0)</f>
        <v>2</v>
      </c>
      <c r="G21" s="154"/>
      <c r="H21" s="155">
        <f>IFERROR(__xludf.DUMMYFUNCTION("""COMPUTED_VALUE"""),10.0)</f>
        <v>10</v>
      </c>
      <c r="I21" s="156">
        <f>IFERROR(__xludf.DUMMYFUNCTION("""COMPUTED_VALUE"""),0.0)</f>
        <v>0</v>
      </c>
      <c r="J21" s="157">
        <f>IFERROR(__xludf.DUMMYFUNCTION("""COMPUTED_VALUE"""),10.0)</f>
        <v>10</v>
      </c>
      <c r="K21" s="156"/>
      <c r="L21" s="159">
        <f>IFERROR(__xludf.DUMMYFUNCTION("""COMPUTED_VALUE"""),10.0)</f>
        <v>10</v>
      </c>
      <c r="M21" s="121" t="str">
        <f>IFERROR(__xludf.DUMMYFUNCTION("""COMPUTED_VALUE"""),"Mayo")</f>
        <v>Mayo</v>
      </c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3">
        <f>IFERROR(__xludf.DUMMYFUNCTION("""COMPUTED_VALUE"""),6.0)</f>
        <v>6</v>
      </c>
      <c r="B22" s="52" t="str">
        <f>IFERROR(__xludf.DUMMYFUNCTION("""COMPUTED_VALUE"""),"CAMACHO")</f>
        <v>CAMACHO</v>
      </c>
      <c r="C22" s="53" t="str">
        <f>IFERROR(__xludf.DUMMYFUNCTION("""COMPUTED_VALUE"""),"GAMEZ")</f>
        <v>GAMEZ</v>
      </c>
      <c r="D22" s="54" t="str">
        <f>IFERROR(__xludf.DUMMYFUNCTION("""COMPUTED_VALUE"""),"VANIA ELI")</f>
        <v>VANIA ELI</v>
      </c>
      <c r="E22" s="154">
        <f>IFERROR(__xludf.DUMMYFUNCTION("""COMPUTED_VALUE"""),6.4)</f>
        <v>6.4</v>
      </c>
      <c r="F22" s="154">
        <f>IFERROR(__xludf.DUMMYFUNCTION("""COMPUTED_VALUE"""),0.0)</f>
        <v>0</v>
      </c>
      <c r="G22" s="154"/>
      <c r="H22" s="155">
        <f>IFERROR(__xludf.DUMMYFUNCTION("""COMPUTED_VALUE"""),6.4)</f>
        <v>6.4</v>
      </c>
      <c r="I22" s="156">
        <f>IFERROR(__xludf.DUMMYFUNCTION("""COMPUTED_VALUE"""),0.0)</f>
        <v>0</v>
      </c>
      <c r="J22" s="157">
        <f>IFERROR(__xludf.DUMMYFUNCTION("""COMPUTED_VALUE"""),6.0)</f>
        <v>6</v>
      </c>
      <c r="K22" s="156"/>
      <c r="L22" s="159">
        <f>IFERROR(__xludf.DUMMYFUNCTION("""COMPUTED_VALUE"""),6.0)</f>
        <v>6</v>
      </c>
      <c r="M22" s="121" t="str">
        <f>IFERROR(__xludf.DUMMYFUNCTION("""COMPUTED_VALUE"""),"Junio")</f>
        <v>Junio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3">
        <f>IFERROR(__xludf.DUMMYFUNCTION("""COMPUTED_VALUE"""),7.0)</f>
        <v>7</v>
      </c>
      <c r="B23" s="52" t="str">
        <f>IFERROR(__xludf.DUMMYFUNCTION("""COMPUTED_VALUE"""),"CARMONA")</f>
        <v>CARMONA</v>
      </c>
      <c r="C23" s="53" t="str">
        <f>IFERROR(__xludf.DUMMYFUNCTION("""COMPUTED_VALUE"""),"MARTINEZ")</f>
        <v>MARTINEZ</v>
      </c>
      <c r="D23" s="64" t="str">
        <f>IFERROR(__xludf.DUMMYFUNCTION("""COMPUTED_VALUE"""),"PAOLA MONTSERRAT")</f>
        <v>PAOLA MONTSERRAT</v>
      </c>
      <c r="E23" s="154">
        <f>IFERROR(__xludf.DUMMYFUNCTION("""COMPUTED_VALUE"""),8.0)</f>
        <v>8</v>
      </c>
      <c r="F23" s="154">
        <f>IFERROR(__xludf.DUMMYFUNCTION("""COMPUTED_VALUE"""),2.0)</f>
        <v>2</v>
      </c>
      <c r="G23" s="154"/>
      <c r="H23" s="155">
        <f>IFERROR(__xludf.DUMMYFUNCTION("""COMPUTED_VALUE"""),10.0)</f>
        <v>10</v>
      </c>
      <c r="I23" s="156">
        <f>IFERROR(__xludf.DUMMYFUNCTION("""COMPUTED_VALUE"""),0.0)</f>
        <v>0</v>
      </c>
      <c r="J23" s="157">
        <f>IFERROR(__xludf.DUMMYFUNCTION("""COMPUTED_VALUE"""),10.0)</f>
        <v>10</v>
      </c>
      <c r="K23" s="156"/>
      <c r="L23" s="159">
        <f>IFERROR(__xludf.DUMMYFUNCTION("""COMPUTED_VALUE"""),10.0)</f>
        <v>10</v>
      </c>
      <c r="M23" s="121" t="str">
        <f>IFERROR(__xludf.DUMMYFUNCTION("""COMPUTED_VALUE"""),"Julio")</f>
        <v>Julio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3">
        <f>IFERROR(__xludf.DUMMYFUNCTION("""COMPUTED_VALUE"""),8.0)</f>
        <v>8</v>
      </c>
      <c r="B24" s="62" t="str">
        <f>IFERROR(__xludf.DUMMYFUNCTION("""COMPUTED_VALUE"""),"CASTAÑEDA")</f>
        <v>CASTAÑEDA</v>
      </c>
      <c r="C24" s="53" t="str">
        <f>IFERROR(__xludf.DUMMYFUNCTION("""COMPUTED_VALUE"""),"HERNANDEZ")</f>
        <v>HERNANDEZ</v>
      </c>
      <c r="D24" s="54" t="str">
        <f>IFERROR(__xludf.DUMMYFUNCTION("""COMPUTED_VALUE"""),"SELENE AGUSTINA")</f>
        <v>SELENE AGUSTINA</v>
      </c>
      <c r="E24" s="154">
        <f>IFERROR(__xludf.DUMMYFUNCTION("""COMPUTED_VALUE"""),7.2)</f>
        <v>7.2</v>
      </c>
      <c r="F24" s="154">
        <f>IFERROR(__xludf.DUMMYFUNCTION("""COMPUTED_VALUE"""),2.0)</f>
        <v>2</v>
      </c>
      <c r="G24" s="154"/>
      <c r="H24" s="155">
        <f>IFERROR(__xludf.DUMMYFUNCTION("""COMPUTED_VALUE"""),9.2)</f>
        <v>9.2</v>
      </c>
      <c r="I24" s="156">
        <f>IFERROR(__xludf.DUMMYFUNCTION("""COMPUTED_VALUE"""),0.0)</f>
        <v>0</v>
      </c>
      <c r="J24" s="157">
        <f>IFERROR(__xludf.DUMMYFUNCTION("""COMPUTED_VALUE"""),9.0)</f>
        <v>9</v>
      </c>
      <c r="K24" s="156"/>
      <c r="L24" s="159">
        <f>IFERROR(__xludf.DUMMYFUNCTION("""COMPUTED_VALUE"""),9.0)</f>
        <v>9</v>
      </c>
      <c r="M24" s="121" t="str">
        <f>IFERROR(__xludf.DUMMYFUNCTION("""COMPUTED_VALUE"""),"TOTAL")</f>
        <v>TOTAL</v>
      </c>
      <c r="N24" s="121">
        <f>IFERROR(__xludf.DUMMYFUNCTION("""COMPUTED_VALUE"""),5.0)</f>
        <v>5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3">
        <f>IFERROR(__xludf.DUMMYFUNCTION("""COMPUTED_VALUE"""),9.0)</f>
        <v>9</v>
      </c>
      <c r="B25" s="52" t="str">
        <f>IFERROR(__xludf.DUMMYFUNCTION("""COMPUTED_VALUE"""),"CHAVEZ")</f>
        <v>CHAVEZ</v>
      </c>
      <c r="C25" s="53" t="str">
        <f>IFERROR(__xludf.DUMMYFUNCTION("""COMPUTED_VALUE"""),"GONZALEZ")</f>
        <v>GONZALEZ</v>
      </c>
      <c r="D25" s="54" t="str">
        <f>IFERROR(__xludf.DUMMYFUNCTION("""COMPUTED_VALUE"""),"YOHAN ZAID")</f>
        <v>YOHAN ZAID</v>
      </c>
      <c r="E25" s="154">
        <f>IFERROR(__xludf.DUMMYFUNCTION("""COMPUTED_VALUE"""),0.0)</f>
        <v>0</v>
      </c>
      <c r="F25" s="154">
        <f>IFERROR(__xludf.DUMMYFUNCTION("""COMPUTED_VALUE"""),0.0)</f>
        <v>0</v>
      </c>
      <c r="G25" s="154"/>
      <c r="H25" s="155">
        <f>IFERROR(__xludf.DUMMYFUNCTION("""COMPUTED_VALUE"""),0.0)</f>
        <v>0</v>
      </c>
      <c r="I25" s="156">
        <f>IFERROR(__xludf.DUMMYFUNCTION("""COMPUTED_VALUE"""),0.0)</f>
        <v>0</v>
      </c>
      <c r="J25" s="157">
        <f>IFERROR(__xludf.DUMMYFUNCTION("""COMPUTED_VALUE"""),5.0)</f>
        <v>5</v>
      </c>
      <c r="K25" s="156"/>
      <c r="L25" s="159">
        <f>IFERROR(__xludf.DUMMYFUNCTION("""COMPUTED_VALUE"""),0.0)</f>
        <v>0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3">
        <f>IFERROR(__xludf.DUMMYFUNCTION("""COMPUTED_VALUE"""),10.0)</f>
        <v>10</v>
      </c>
      <c r="B26" s="52" t="str">
        <f>IFERROR(__xludf.DUMMYFUNCTION("""COMPUTED_VALUE"""),"DE HOYOS")</f>
        <v>DE HOYOS</v>
      </c>
      <c r="C26" s="53" t="str">
        <f>IFERROR(__xludf.DUMMYFUNCTION("""COMPUTED_VALUE"""),"MANCILLA")</f>
        <v>MANCILLA</v>
      </c>
      <c r="D26" s="54" t="str">
        <f>IFERROR(__xludf.DUMMYFUNCTION("""COMPUTED_VALUE"""),"JESUS EMILIANO")</f>
        <v>JESUS EMILIANO</v>
      </c>
      <c r="E26" s="154">
        <f>IFERROR(__xludf.DUMMYFUNCTION("""COMPUTED_VALUE"""),8.0)</f>
        <v>8</v>
      </c>
      <c r="F26" s="154">
        <f>IFERROR(__xludf.DUMMYFUNCTION("""COMPUTED_VALUE"""),0.0)</f>
        <v>0</v>
      </c>
      <c r="G26" s="154"/>
      <c r="H26" s="155">
        <f>IFERROR(__xludf.DUMMYFUNCTION("""COMPUTED_VALUE"""),8.0)</f>
        <v>8</v>
      </c>
      <c r="I26" s="156">
        <f>IFERROR(__xludf.DUMMYFUNCTION("""COMPUTED_VALUE"""),0.0)</f>
        <v>0</v>
      </c>
      <c r="J26" s="157">
        <f>IFERROR(__xludf.DUMMYFUNCTION("""COMPUTED_VALUE"""),8.0)</f>
        <v>8</v>
      </c>
      <c r="K26" s="156"/>
      <c r="L26" s="159">
        <f>IFERROR(__xludf.DUMMYFUNCTION("""COMPUTED_VALUE"""),8.0)</f>
        <v>8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3">
        <f>IFERROR(__xludf.DUMMYFUNCTION("""COMPUTED_VALUE"""),11.0)</f>
        <v>11</v>
      </c>
      <c r="B27" s="62" t="str">
        <f>IFERROR(__xludf.DUMMYFUNCTION("""COMPUTED_VALUE"""),"DE SANTIAGO")</f>
        <v>DE SANTIAGO</v>
      </c>
      <c r="C27" s="53" t="str">
        <f>IFERROR(__xludf.DUMMYFUNCTION("""COMPUTED_VALUE"""),"SANCHEZ")</f>
        <v>SANCHEZ</v>
      </c>
      <c r="D27" s="52" t="str">
        <f>IFERROR(__xludf.DUMMYFUNCTION("""COMPUTED_VALUE"""),"OMAR")</f>
        <v>OMAR</v>
      </c>
      <c r="E27" s="154">
        <f>IFERROR(__xludf.DUMMYFUNCTION("""COMPUTED_VALUE"""),8.0)</f>
        <v>8</v>
      </c>
      <c r="F27" s="154">
        <f>IFERROR(__xludf.DUMMYFUNCTION("""COMPUTED_VALUE"""),2.0)</f>
        <v>2</v>
      </c>
      <c r="G27" s="154"/>
      <c r="H27" s="155">
        <f>IFERROR(__xludf.DUMMYFUNCTION("""COMPUTED_VALUE"""),10.0)</f>
        <v>10</v>
      </c>
      <c r="I27" s="156">
        <f>IFERROR(__xludf.DUMMYFUNCTION("""COMPUTED_VALUE"""),0.0)</f>
        <v>0</v>
      </c>
      <c r="J27" s="157">
        <f>IFERROR(__xludf.DUMMYFUNCTION("""COMPUTED_VALUE"""),10.0)</f>
        <v>10</v>
      </c>
      <c r="K27" s="156"/>
      <c r="L27" s="159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3">
        <f>IFERROR(__xludf.DUMMYFUNCTION("""COMPUTED_VALUE"""),12.0)</f>
        <v>12</v>
      </c>
      <c r="B28" s="52" t="str">
        <f>IFERROR(__xludf.DUMMYFUNCTION("""COMPUTED_VALUE"""),"DEL OLMO")</f>
        <v>DEL OLMO</v>
      </c>
      <c r="C28" s="53" t="str">
        <f>IFERROR(__xludf.DUMMYFUNCTION("""COMPUTED_VALUE"""),"LARA")</f>
        <v>LARA</v>
      </c>
      <c r="D28" s="54" t="str">
        <f>IFERROR(__xludf.DUMMYFUNCTION("""COMPUTED_VALUE"""),"ISAAC URIEL")</f>
        <v>ISAAC URIEL</v>
      </c>
      <c r="E28" s="154">
        <f>IFERROR(__xludf.DUMMYFUNCTION("""COMPUTED_VALUE"""),8.0)</f>
        <v>8</v>
      </c>
      <c r="F28" s="154">
        <f>IFERROR(__xludf.DUMMYFUNCTION("""COMPUTED_VALUE"""),0.0)</f>
        <v>0</v>
      </c>
      <c r="G28" s="154"/>
      <c r="H28" s="155">
        <f>IFERROR(__xludf.DUMMYFUNCTION("""COMPUTED_VALUE"""),8.0)</f>
        <v>8</v>
      </c>
      <c r="I28" s="156">
        <f>IFERROR(__xludf.DUMMYFUNCTION("""COMPUTED_VALUE"""),0.0)</f>
        <v>0</v>
      </c>
      <c r="J28" s="157">
        <f>IFERROR(__xludf.DUMMYFUNCTION("""COMPUTED_VALUE"""),8.0)</f>
        <v>8</v>
      </c>
      <c r="K28" s="156"/>
      <c r="L28" s="159">
        <f>IFERROR(__xludf.DUMMYFUNCTION("""COMPUTED_VALUE"""),8.0)</f>
        <v>8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3">
        <f>IFERROR(__xludf.DUMMYFUNCTION("""COMPUTED_VALUE"""),13.0)</f>
        <v>13</v>
      </c>
      <c r="B29" s="52" t="str">
        <f>IFERROR(__xludf.DUMMYFUNCTION("""COMPUTED_VALUE"""),"FUENTES")</f>
        <v>FUENTES</v>
      </c>
      <c r="C29" s="53" t="str">
        <f>IFERROR(__xludf.DUMMYFUNCTION("""COMPUTED_VALUE"""),"GARCIA")</f>
        <v>GARCIA</v>
      </c>
      <c r="D29" s="64" t="str">
        <f>IFERROR(__xludf.DUMMYFUNCTION("""COMPUTED_VALUE"""),"JOHANN DONOVAN")</f>
        <v>JOHANN DONOVAN</v>
      </c>
      <c r="E29" s="154">
        <f>IFERROR(__xludf.DUMMYFUNCTION("""COMPUTED_VALUE"""),6.4)</f>
        <v>6.4</v>
      </c>
      <c r="F29" s="154">
        <f>IFERROR(__xludf.DUMMYFUNCTION("""COMPUTED_VALUE"""),2.0)</f>
        <v>2</v>
      </c>
      <c r="G29" s="154"/>
      <c r="H29" s="155">
        <f>IFERROR(__xludf.DUMMYFUNCTION("""COMPUTED_VALUE"""),8.4)</f>
        <v>8.4</v>
      </c>
      <c r="I29" s="156">
        <f>IFERROR(__xludf.DUMMYFUNCTION("""COMPUTED_VALUE"""),0.0)</f>
        <v>0</v>
      </c>
      <c r="J29" s="157">
        <f>IFERROR(__xludf.DUMMYFUNCTION("""COMPUTED_VALUE"""),8.0)</f>
        <v>8</v>
      </c>
      <c r="K29" s="156"/>
      <c r="L29" s="159">
        <f>IFERROR(__xludf.DUMMYFUNCTION("""COMPUTED_VALUE"""),8.0)</f>
        <v>8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3">
        <f>IFERROR(__xludf.DUMMYFUNCTION("""COMPUTED_VALUE"""),14.0)</f>
        <v>14</v>
      </c>
      <c r="B30" s="52" t="str">
        <f>IFERROR(__xludf.DUMMYFUNCTION("""COMPUTED_VALUE"""),"GALICIA")</f>
        <v>GALICIA</v>
      </c>
      <c r="C30" s="53" t="str">
        <f>IFERROR(__xludf.DUMMYFUNCTION("""COMPUTED_VALUE"""),"ARREOLA")</f>
        <v>ARREOLA</v>
      </c>
      <c r="D30" s="54" t="str">
        <f>IFERROR(__xludf.DUMMYFUNCTION("""COMPUTED_VALUE"""),"IRMA JOSELINE")</f>
        <v>IRMA JOSELINE</v>
      </c>
      <c r="E30" s="154">
        <f>IFERROR(__xludf.DUMMYFUNCTION("""COMPUTED_VALUE"""),8.0)</f>
        <v>8</v>
      </c>
      <c r="F30" s="154">
        <f>IFERROR(__xludf.DUMMYFUNCTION("""COMPUTED_VALUE"""),2.0)</f>
        <v>2</v>
      </c>
      <c r="G30" s="154"/>
      <c r="H30" s="155">
        <f>IFERROR(__xludf.DUMMYFUNCTION("""COMPUTED_VALUE"""),10.0)</f>
        <v>10</v>
      </c>
      <c r="I30" s="156">
        <f>IFERROR(__xludf.DUMMYFUNCTION("""COMPUTED_VALUE"""),0.0)</f>
        <v>0</v>
      </c>
      <c r="J30" s="157">
        <f>IFERROR(__xludf.DUMMYFUNCTION("""COMPUTED_VALUE"""),10.0)</f>
        <v>10</v>
      </c>
      <c r="K30" s="156"/>
      <c r="L30" s="159">
        <f>IFERROR(__xludf.DUMMYFUNCTION("""COMPUTED_VALUE"""),10.0)</f>
        <v>10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3">
        <f>IFERROR(__xludf.DUMMYFUNCTION("""COMPUTED_VALUE"""),15.0)</f>
        <v>15</v>
      </c>
      <c r="B31" s="52" t="str">
        <f>IFERROR(__xludf.DUMMYFUNCTION("""COMPUTED_VALUE"""),"GALINDO")</f>
        <v>GALINDO</v>
      </c>
      <c r="C31" s="53" t="str">
        <f>IFERROR(__xludf.DUMMYFUNCTION("""COMPUTED_VALUE"""),"REYES")</f>
        <v>REYES</v>
      </c>
      <c r="D31" s="54" t="str">
        <f>IFERROR(__xludf.DUMMYFUNCTION("""COMPUTED_VALUE"""),"DIEGO ARAM")</f>
        <v>DIEGO ARAM</v>
      </c>
      <c r="E31" s="154">
        <f>IFERROR(__xludf.DUMMYFUNCTION("""COMPUTED_VALUE"""),8.0)</f>
        <v>8</v>
      </c>
      <c r="F31" s="154">
        <f>IFERROR(__xludf.DUMMYFUNCTION("""COMPUTED_VALUE"""),2.0)</f>
        <v>2</v>
      </c>
      <c r="G31" s="154"/>
      <c r="H31" s="155">
        <f>IFERROR(__xludf.DUMMYFUNCTION("""COMPUTED_VALUE"""),10.0)</f>
        <v>10</v>
      </c>
      <c r="I31" s="156">
        <f>IFERROR(__xludf.DUMMYFUNCTION("""COMPUTED_VALUE"""),0.0)</f>
        <v>0</v>
      </c>
      <c r="J31" s="157">
        <f>IFERROR(__xludf.DUMMYFUNCTION("""COMPUTED_VALUE"""),10.0)</f>
        <v>10</v>
      </c>
      <c r="K31" s="156"/>
      <c r="L31" s="159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3">
        <f>IFERROR(__xludf.DUMMYFUNCTION("""COMPUTED_VALUE"""),16.0)</f>
        <v>16</v>
      </c>
      <c r="B32" s="52" t="str">
        <f>IFERROR(__xludf.DUMMYFUNCTION("""COMPUTED_VALUE"""),"GOMEZ")</f>
        <v>GOMEZ</v>
      </c>
      <c r="C32" s="53" t="str">
        <f>IFERROR(__xludf.DUMMYFUNCTION("""COMPUTED_VALUE"""),"LIZCANO")</f>
        <v>LIZCANO</v>
      </c>
      <c r="D32" s="54" t="str">
        <f>IFERROR(__xludf.DUMMYFUNCTION("""COMPUTED_VALUE"""),"SARA VALENTINA")</f>
        <v>SARA VALENTINA</v>
      </c>
      <c r="E32" s="154">
        <f>IFERROR(__xludf.DUMMYFUNCTION("""COMPUTED_VALUE"""),8.0)</f>
        <v>8</v>
      </c>
      <c r="F32" s="154">
        <f>IFERROR(__xludf.DUMMYFUNCTION("""COMPUTED_VALUE"""),2.0)</f>
        <v>2</v>
      </c>
      <c r="G32" s="154"/>
      <c r="H32" s="155">
        <f>IFERROR(__xludf.DUMMYFUNCTION("""COMPUTED_VALUE"""),10.0)</f>
        <v>10</v>
      </c>
      <c r="I32" s="156">
        <f>IFERROR(__xludf.DUMMYFUNCTION("""COMPUTED_VALUE"""),0.0)</f>
        <v>0</v>
      </c>
      <c r="J32" s="157">
        <f>IFERROR(__xludf.DUMMYFUNCTION("""COMPUTED_VALUE"""),10.0)</f>
        <v>10</v>
      </c>
      <c r="K32" s="156"/>
      <c r="L32" s="159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3">
        <f>IFERROR(__xludf.DUMMYFUNCTION("""COMPUTED_VALUE"""),17.0)</f>
        <v>17</v>
      </c>
      <c r="B33" s="52" t="str">
        <f>IFERROR(__xludf.DUMMYFUNCTION("""COMPUTED_VALUE"""),"GONZALEZ")</f>
        <v>GONZALEZ</v>
      </c>
      <c r="C33" s="53" t="str">
        <f>IFERROR(__xludf.DUMMYFUNCTION("""COMPUTED_VALUE"""),"RUIZ")</f>
        <v>RUIZ</v>
      </c>
      <c r="D33" s="54" t="str">
        <f>IFERROR(__xludf.DUMMYFUNCTION("""COMPUTED_VALUE"""),"SERGIO")</f>
        <v>SERGIO</v>
      </c>
      <c r="E33" s="154">
        <f>IFERROR(__xludf.DUMMYFUNCTION("""COMPUTED_VALUE"""),7.2)</f>
        <v>7.2</v>
      </c>
      <c r="F33" s="154">
        <f>IFERROR(__xludf.DUMMYFUNCTION("""COMPUTED_VALUE"""),2.0)</f>
        <v>2</v>
      </c>
      <c r="G33" s="154"/>
      <c r="H33" s="155">
        <f>IFERROR(__xludf.DUMMYFUNCTION("""COMPUTED_VALUE"""),9.2)</f>
        <v>9.2</v>
      </c>
      <c r="I33" s="156">
        <f>IFERROR(__xludf.DUMMYFUNCTION("""COMPUTED_VALUE"""),0.0)</f>
        <v>0</v>
      </c>
      <c r="J33" s="157">
        <f>IFERROR(__xludf.DUMMYFUNCTION("""COMPUTED_VALUE"""),9.0)</f>
        <v>9</v>
      </c>
      <c r="K33" s="156"/>
      <c r="L33" s="159">
        <f>IFERROR(__xludf.DUMMYFUNCTION("""COMPUTED_VALUE"""),9.0)</f>
        <v>9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3">
        <f>IFERROR(__xludf.DUMMYFUNCTION("""COMPUTED_VALUE"""),18.0)</f>
        <v>18</v>
      </c>
      <c r="B34" s="52" t="str">
        <f>IFERROR(__xludf.DUMMYFUNCTION("""COMPUTED_VALUE"""),"GUTIERREZ")</f>
        <v>GUTIERREZ</v>
      </c>
      <c r="C34" s="53" t="str">
        <f>IFERROR(__xludf.DUMMYFUNCTION("""COMPUTED_VALUE"""),"BASURTO")</f>
        <v>BASURTO</v>
      </c>
      <c r="D34" s="54" t="str">
        <f>IFERROR(__xludf.DUMMYFUNCTION("""COMPUTED_VALUE"""),"ANGEL IVAN")</f>
        <v>ANGEL IVAN</v>
      </c>
      <c r="E34" s="154">
        <f>IFERROR(__xludf.DUMMYFUNCTION("""COMPUTED_VALUE"""),0.0)</f>
        <v>0</v>
      </c>
      <c r="F34" s="154">
        <f>IFERROR(__xludf.DUMMYFUNCTION("""COMPUTED_VALUE"""),0.0)</f>
        <v>0</v>
      </c>
      <c r="G34" s="154"/>
      <c r="H34" s="155">
        <f>IFERROR(__xludf.DUMMYFUNCTION("""COMPUTED_VALUE"""),0.0)</f>
        <v>0</v>
      </c>
      <c r="I34" s="156">
        <f>IFERROR(__xludf.DUMMYFUNCTION("""COMPUTED_VALUE"""),0.0)</f>
        <v>0</v>
      </c>
      <c r="J34" s="157">
        <f>IFERROR(__xludf.DUMMYFUNCTION("""COMPUTED_VALUE"""),5.0)</f>
        <v>5</v>
      </c>
      <c r="K34" s="156"/>
      <c r="L34" s="159">
        <f>IFERROR(__xludf.DUMMYFUNCTION("""COMPUTED_VALUE"""),0.0)</f>
        <v>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3">
        <f>IFERROR(__xludf.DUMMYFUNCTION("""COMPUTED_VALUE"""),19.0)</f>
        <v>19</v>
      </c>
      <c r="B35" s="52" t="str">
        <f>IFERROR(__xludf.DUMMYFUNCTION("""COMPUTED_VALUE"""),"GUTIERREZ")</f>
        <v>GUTIERREZ</v>
      </c>
      <c r="C35" s="53" t="str">
        <f>IFERROR(__xludf.DUMMYFUNCTION("""COMPUTED_VALUE"""),"RIVERA")</f>
        <v>RIVERA</v>
      </c>
      <c r="D35" s="54" t="str">
        <f>IFERROR(__xludf.DUMMYFUNCTION("""COMPUTED_VALUE"""),"PAULINA ZOE")</f>
        <v>PAULINA ZOE</v>
      </c>
      <c r="E35" s="154">
        <f>IFERROR(__xludf.DUMMYFUNCTION("""COMPUTED_VALUE"""),8.0)</f>
        <v>8</v>
      </c>
      <c r="F35" s="154">
        <f>IFERROR(__xludf.DUMMYFUNCTION("""COMPUTED_VALUE"""),2.0)</f>
        <v>2</v>
      </c>
      <c r="G35" s="154"/>
      <c r="H35" s="155">
        <f>IFERROR(__xludf.DUMMYFUNCTION("""COMPUTED_VALUE"""),10.0)</f>
        <v>10</v>
      </c>
      <c r="I35" s="156">
        <f>IFERROR(__xludf.DUMMYFUNCTION("""COMPUTED_VALUE"""),0.0)</f>
        <v>0</v>
      </c>
      <c r="J35" s="157">
        <f>IFERROR(__xludf.DUMMYFUNCTION("""COMPUTED_VALUE"""),10.0)</f>
        <v>10</v>
      </c>
      <c r="K35" s="156"/>
      <c r="L35" s="159">
        <f>IFERROR(__xludf.DUMMYFUNCTION("""COMPUTED_VALUE"""),10.0)</f>
        <v>10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3">
        <f>IFERROR(__xludf.DUMMYFUNCTION("""COMPUTED_VALUE"""),20.0)</f>
        <v>20</v>
      </c>
      <c r="B36" s="52" t="str">
        <f>IFERROR(__xludf.DUMMYFUNCTION("""COMPUTED_VALUE"""),"HERNANDEZ")</f>
        <v>HERNANDEZ</v>
      </c>
      <c r="C36" s="53" t="str">
        <f>IFERROR(__xludf.DUMMYFUNCTION("""COMPUTED_VALUE"""),"ZAVALA")</f>
        <v>ZAVALA</v>
      </c>
      <c r="D36" s="54" t="str">
        <f>IFERROR(__xludf.DUMMYFUNCTION("""COMPUTED_VALUE"""),"ERICK DANIEL")</f>
        <v>ERICK DANIEL</v>
      </c>
      <c r="E36" s="154">
        <f>IFERROR(__xludf.DUMMYFUNCTION("""COMPUTED_VALUE"""),8.0)</f>
        <v>8</v>
      </c>
      <c r="F36" s="154">
        <f>IFERROR(__xludf.DUMMYFUNCTION("""COMPUTED_VALUE"""),2.0)</f>
        <v>2</v>
      </c>
      <c r="G36" s="154"/>
      <c r="H36" s="155">
        <f>IFERROR(__xludf.DUMMYFUNCTION("""COMPUTED_VALUE"""),10.0)</f>
        <v>10</v>
      </c>
      <c r="I36" s="156">
        <f>IFERROR(__xludf.DUMMYFUNCTION("""COMPUTED_VALUE"""),0.0)</f>
        <v>0</v>
      </c>
      <c r="J36" s="157">
        <f>IFERROR(__xludf.DUMMYFUNCTION("""COMPUTED_VALUE"""),10.0)</f>
        <v>10</v>
      </c>
      <c r="K36" s="156"/>
      <c r="L36" s="159">
        <f>IFERROR(__xludf.DUMMYFUNCTION("""COMPUTED_VALUE"""),10.0)</f>
        <v>10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3">
        <f>IFERROR(__xludf.DUMMYFUNCTION("""COMPUTED_VALUE"""),21.0)</f>
        <v>21</v>
      </c>
      <c r="B37" s="52" t="str">
        <f>IFERROR(__xludf.DUMMYFUNCTION("""COMPUTED_VALUE"""),"JIMENEZ")</f>
        <v>JIMENEZ</v>
      </c>
      <c r="C37" s="53" t="str">
        <f>IFERROR(__xludf.DUMMYFUNCTION("""COMPUTED_VALUE"""),"LOPEZ")</f>
        <v>LOPEZ</v>
      </c>
      <c r="D37" s="54" t="str">
        <f>IFERROR(__xludf.DUMMYFUNCTION("""COMPUTED_VALUE"""),"HUGO CALEB")</f>
        <v>HUGO CALEB</v>
      </c>
      <c r="E37" s="154">
        <f>IFERROR(__xludf.DUMMYFUNCTION("""COMPUTED_VALUE"""),7.2)</f>
        <v>7.2</v>
      </c>
      <c r="F37" s="154">
        <f>IFERROR(__xludf.DUMMYFUNCTION("""COMPUTED_VALUE"""),0.0)</f>
        <v>0</v>
      </c>
      <c r="G37" s="154"/>
      <c r="H37" s="155">
        <f>IFERROR(__xludf.DUMMYFUNCTION("""COMPUTED_VALUE"""),7.2)</f>
        <v>7.2</v>
      </c>
      <c r="I37" s="156">
        <f>IFERROR(__xludf.DUMMYFUNCTION("""COMPUTED_VALUE"""),0.0)</f>
        <v>0</v>
      </c>
      <c r="J37" s="157">
        <f>IFERROR(__xludf.DUMMYFUNCTION("""COMPUTED_VALUE"""),7.0)</f>
        <v>7</v>
      </c>
      <c r="K37" s="156"/>
      <c r="L37" s="159">
        <f>IFERROR(__xludf.DUMMYFUNCTION("""COMPUTED_VALUE"""),7.0)</f>
        <v>7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3">
        <f>IFERROR(__xludf.DUMMYFUNCTION("""COMPUTED_VALUE"""),22.0)</f>
        <v>22</v>
      </c>
      <c r="B38" s="52" t="str">
        <f>IFERROR(__xludf.DUMMYFUNCTION("""COMPUTED_VALUE"""),"LOPEZ")</f>
        <v>LOPEZ</v>
      </c>
      <c r="C38" s="53" t="str">
        <f>IFERROR(__xludf.DUMMYFUNCTION("""COMPUTED_VALUE"""),"CORIA")</f>
        <v>CORIA</v>
      </c>
      <c r="D38" s="54" t="str">
        <f>IFERROR(__xludf.DUMMYFUNCTION("""COMPUTED_VALUE"""),"LILY EDITH")</f>
        <v>LILY EDITH</v>
      </c>
      <c r="E38" s="154">
        <f>IFERROR(__xludf.DUMMYFUNCTION("""COMPUTED_VALUE"""),8.0)</f>
        <v>8</v>
      </c>
      <c r="F38" s="154">
        <f>IFERROR(__xludf.DUMMYFUNCTION("""COMPUTED_VALUE"""),2.0)</f>
        <v>2</v>
      </c>
      <c r="G38" s="154"/>
      <c r="H38" s="155">
        <f>IFERROR(__xludf.DUMMYFUNCTION("""COMPUTED_VALUE"""),10.0)</f>
        <v>10</v>
      </c>
      <c r="I38" s="156">
        <f>IFERROR(__xludf.DUMMYFUNCTION("""COMPUTED_VALUE"""),0.0)</f>
        <v>0</v>
      </c>
      <c r="J38" s="157">
        <f>IFERROR(__xludf.DUMMYFUNCTION("""COMPUTED_VALUE"""),10.0)</f>
        <v>10</v>
      </c>
      <c r="K38" s="156"/>
      <c r="L38" s="159">
        <f>IFERROR(__xludf.DUMMYFUNCTION("""COMPUTED_VALUE"""),10.0)</f>
        <v>10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3">
        <f>IFERROR(__xludf.DUMMYFUNCTION("""COMPUTED_VALUE"""),23.0)</f>
        <v>23</v>
      </c>
      <c r="B39" s="52" t="str">
        <f>IFERROR(__xludf.DUMMYFUNCTION("""COMPUTED_VALUE"""),"LOPEZ")</f>
        <v>LOPEZ</v>
      </c>
      <c r="C39" s="53" t="str">
        <f>IFERROR(__xludf.DUMMYFUNCTION("""COMPUTED_VALUE"""),"GONZALEZ")</f>
        <v>GONZALEZ</v>
      </c>
      <c r="D39" s="54" t="str">
        <f>IFERROR(__xludf.DUMMYFUNCTION("""COMPUTED_VALUE"""),"MIGUEL ANGEL")</f>
        <v>MIGUEL ANGEL</v>
      </c>
      <c r="E39" s="154">
        <f>IFERROR(__xludf.DUMMYFUNCTION("""COMPUTED_VALUE"""),8.0)</f>
        <v>8</v>
      </c>
      <c r="F39" s="154">
        <f>IFERROR(__xludf.DUMMYFUNCTION("""COMPUTED_VALUE"""),2.0)</f>
        <v>2</v>
      </c>
      <c r="G39" s="154"/>
      <c r="H39" s="155">
        <f>IFERROR(__xludf.DUMMYFUNCTION("""COMPUTED_VALUE"""),10.0)</f>
        <v>10</v>
      </c>
      <c r="I39" s="156">
        <f>IFERROR(__xludf.DUMMYFUNCTION("""COMPUTED_VALUE"""),0.0)</f>
        <v>0</v>
      </c>
      <c r="J39" s="157">
        <f>IFERROR(__xludf.DUMMYFUNCTION("""COMPUTED_VALUE"""),10.0)</f>
        <v>10</v>
      </c>
      <c r="K39" s="156"/>
      <c r="L39" s="159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3">
        <f>IFERROR(__xludf.DUMMYFUNCTION("""COMPUTED_VALUE"""),24.0)</f>
        <v>24</v>
      </c>
      <c r="B40" s="52" t="str">
        <f>IFERROR(__xludf.DUMMYFUNCTION("""COMPUTED_VALUE"""),"MARQUEZ")</f>
        <v>MARQUEZ</v>
      </c>
      <c r="C40" s="53" t="str">
        <f>IFERROR(__xludf.DUMMYFUNCTION("""COMPUTED_VALUE"""),"ARRATIA")</f>
        <v>ARRATIA</v>
      </c>
      <c r="D40" s="54" t="str">
        <f>IFERROR(__xludf.DUMMYFUNCTION("""COMPUTED_VALUE"""),"MARIEL AMERICA")</f>
        <v>MARIEL AMERICA</v>
      </c>
      <c r="E40" s="154">
        <f>IFERROR(__xludf.DUMMYFUNCTION("""COMPUTED_VALUE"""),8.0)</f>
        <v>8</v>
      </c>
      <c r="F40" s="154">
        <f>IFERROR(__xludf.DUMMYFUNCTION("""COMPUTED_VALUE"""),2.0)</f>
        <v>2</v>
      </c>
      <c r="G40" s="154"/>
      <c r="H40" s="155">
        <f>IFERROR(__xludf.DUMMYFUNCTION("""COMPUTED_VALUE"""),10.0)</f>
        <v>10</v>
      </c>
      <c r="I40" s="156">
        <f>IFERROR(__xludf.DUMMYFUNCTION("""COMPUTED_VALUE"""),0.0)</f>
        <v>0</v>
      </c>
      <c r="J40" s="157">
        <f>IFERROR(__xludf.DUMMYFUNCTION("""COMPUTED_VALUE"""),10.0)</f>
        <v>10</v>
      </c>
      <c r="K40" s="156"/>
      <c r="L40" s="159">
        <f>IFERROR(__xludf.DUMMYFUNCTION("""COMPUTED_VALUE"""),10.0)</f>
        <v>10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3">
        <f>IFERROR(__xludf.DUMMYFUNCTION("""COMPUTED_VALUE"""),25.0)</f>
        <v>25</v>
      </c>
      <c r="B41" s="52" t="str">
        <f>IFERROR(__xludf.DUMMYFUNCTION("""COMPUTED_VALUE"""),"MARTINEZ")</f>
        <v>MARTINEZ</v>
      </c>
      <c r="C41" s="53" t="str">
        <f>IFERROR(__xludf.DUMMYFUNCTION("""COMPUTED_VALUE"""),"JIMENEZ")</f>
        <v>JIMENEZ</v>
      </c>
      <c r="D41" s="54" t="str">
        <f>IFERROR(__xludf.DUMMYFUNCTION("""COMPUTED_VALUE"""),"BRUNO")</f>
        <v>BRUNO</v>
      </c>
      <c r="E41" s="154">
        <f>IFERROR(__xludf.DUMMYFUNCTION("""COMPUTED_VALUE"""),8.0)</f>
        <v>8</v>
      </c>
      <c r="F41" s="154">
        <f>IFERROR(__xludf.DUMMYFUNCTION("""COMPUTED_VALUE"""),0.0)</f>
        <v>0</v>
      </c>
      <c r="G41" s="154"/>
      <c r="H41" s="155">
        <f>IFERROR(__xludf.DUMMYFUNCTION("""COMPUTED_VALUE"""),8.0)</f>
        <v>8</v>
      </c>
      <c r="I41" s="156">
        <f>IFERROR(__xludf.DUMMYFUNCTION("""COMPUTED_VALUE"""),0.0)</f>
        <v>0</v>
      </c>
      <c r="J41" s="157">
        <f>IFERROR(__xludf.DUMMYFUNCTION("""COMPUTED_VALUE"""),8.0)</f>
        <v>8</v>
      </c>
      <c r="K41" s="156"/>
      <c r="L41" s="159">
        <f>IFERROR(__xludf.DUMMYFUNCTION("""COMPUTED_VALUE"""),8.0)</f>
        <v>8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3">
        <f>IFERROR(__xludf.DUMMYFUNCTION("""COMPUTED_VALUE"""),26.0)</f>
        <v>26</v>
      </c>
      <c r="B42" s="52" t="str">
        <f>IFERROR(__xludf.DUMMYFUNCTION("""COMPUTED_VALUE"""),"MAXIMO")</f>
        <v>MAXIMO</v>
      </c>
      <c r="C42" s="53" t="str">
        <f>IFERROR(__xludf.DUMMYFUNCTION("""COMPUTED_VALUE"""),"HERNANDEZ")</f>
        <v>HERNANDEZ</v>
      </c>
      <c r="D42" s="54" t="str">
        <f>IFERROR(__xludf.DUMMYFUNCTION("""COMPUTED_VALUE"""),"SOFIA NAOMY")</f>
        <v>SOFIA NAOMY</v>
      </c>
      <c r="E42" s="154">
        <f>IFERROR(__xludf.DUMMYFUNCTION("""COMPUTED_VALUE"""),8.0)</f>
        <v>8</v>
      </c>
      <c r="F42" s="154">
        <f>IFERROR(__xludf.DUMMYFUNCTION("""COMPUTED_VALUE"""),2.0)</f>
        <v>2</v>
      </c>
      <c r="G42" s="154"/>
      <c r="H42" s="155">
        <f>IFERROR(__xludf.DUMMYFUNCTION("""COMPUTED_VALUE"""),10.0)</f>
        <v>10</v>
      </c>
      <c r="I42" s="156">
        <f>IFERROR(__xludf.DUMMYFUNCTION("""COMPUTED_VALUE"""),0.0)</f>
        <v>0</v>
      </c>
      <c r="J42" s="157">
        <f>IFERROR(__xludf.DUMMYFUNCTION("""COMPUTED_VALUE"""),10.0)</f>
        <v>10</v>
      </c>
      <c r="K42" s="156"/>
      <c r="L42" s="159">
        <f>IFERROR(__xludf.DUMMYFUNCTION("""COMPUTED_VALUE"""),10.0)</f>
        <v>10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3">
        <f>IFERROR(__xludf.DUMMYFUNCTION("""COMPUTED_VALUE"""),27.0)</f>
        <v>27</v>
      </c>
      <c r="B43" s="52" t="str">
        <f>IFERROR(__xludf.DUMMYFUNCTION("""COMPUTED_VALUE"""),"MEDINA")</f>
        <v>MEDINA</v>
      </c>
      <c r="C43" s="53" t="str">
        <f>IFERROR(__xludf.DUMMYFUNCTION("""COMPUTED_VALUE"""),"PEREZ")</f>
        <v>PEREZ</v>
      </c>
      <c r="D43" s="54" t="str">
        <f>IFERROR(__xludf.DUMMYFUNCTION("""COMPUTED_VALUE"""),"PAMELA FERNANDA")</f>
        <v>PAMELA FERNANDA</v>
      </c>
      <c r="E43" s="154">
        <f>IFERROR(__xludf.DUMMYFUNCTION("""COMPUTED_VALUE"""),8.0)</f>
        <v>8</v>
      </c>
      <c r="F43" s="154">
        <f>IFERROR(__xludf.DUMMYFUNCTION("""COMPUTED_VALUE"""),2.0)</f>
        <v>2</v>
      </c>
      <c r="G43" s="154"/>
      <c r="H43" s="155">
        <f>IFERROR(__xludf.DUMMYFUNCTION("""COMPUTED_VALUE"""),10.0)</f>
        <v>10</v>
      </c>
      <c r="I43" s="156">
        <f>IFERROR(__xludf.DUMMYFUNCTION("""COMPUTED_VALUE"""),0.0)</f>
        <v>0</v>
      </c>
      <c r="J43" s="157">
        <f>IFERROR(__xludf.DUMMYFUNCTION("""COMPUTED_VALUE"""),10.0)</f>
        <v>10</v>
      </c>
      <c r="K43" s="156"/>
      <c r="L43" s="159">
        <f>IFERROR(__xludf.DUMMYFUNCTION("""COMPUTED_VALUE"""),10.0)</f>
        <v>10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3">
        <f>IFERROR(__xludf.DUMMYFUNCTION("""COMPUTED_VALUE"""),28.0)</f>
        <v>28</v>
      </c>
      <c r="B44" s="52" t="str">
        <f>IFERROR(__xludf.DUMMYFUNCTION("""COMPUTED_VALUE"""),"MORALES")</f>
        <v>MORALES</v>
      </c>
      <c r="C44" s="53" t="str">
        <f>IFERROR(__xludf.DUMMYFUNCTION("""COMPUTED_VALUE"""),"BACA")</f>
        <v>BACA</v>
      </c>
      <c r="D44" s="54" t="str">
        <f>IFERROR(__xludf.DUMMYFUNCTION("""COMPUTED_VALUE"""),"JUANA DULEYN")</f>
        <v>JUANA DULEYN</v>
      </c>
      <c r="E44" s="154">
        <f>IFERROR(__xludf.DUMMYFUNCTION("""COMPUTED_VALUE"""),8.0)</f>
        <v>8</v>
      </c>
      <c r="F44" s="154">
        <f>IFERROR(__xludf.DUMMYFUNCTION("""COMPUTED_VALUE"""),2.0)</f>
        <v>2</v>
      </c>
      <c r="G44" s="154"/>
      <c r="H44" s="155">
        <f>IFERROR(__xludf.DUMMYFUNCTION("""COMPUTED_VALUE"""),10.0)</f>
        <v>10</v>
      </c>
      <c r="I44" s="156">
        <f>IFERROR(__xludf.DUMMYFUNCTION("""COMPUTED_VALUE"""),0.0)</f>
        <v>0</v>
      </c>
      <c r="J44" s="157">
        <f>IFERROR(__xludf.DUMMYFUNCTION("""COMPUTED_VALUE"""),10.0)</f>
        <v>10</v>
      </c>
      <c r="K44" s="156"/>
      <c r="L44" s="159">
        <f>IFERROR(__xludf.DUMMYFUNCTION("""COMPUTED_VALUE"""),10.0)</f>
        <v>10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3">
        <f>IFERROR(__xludf.DUMMYFUNCTION("""COMPUTED_VALUE"""),29.0)</f>
        <v>29</v>
      </c>
      <c r="B45" s="52" t="str">
        <f>IFERROR(__xludf.DUMMYFUNCTION("""COMPUTED_VALUE"""),"MORENO")</f>
        <v>MORENO</v>
      </c>
      <c r="C45" s="53" t="str">
        <f>IFERROR(__xludf.DUMMYFUNCTION("""COMPUTED_VALUE"""),"NAVARRO")</f>
        <v>NAVARRO</v>
      </c>
      <c r="D45" s="54" t="str">
        <f>IFERROR(__xludf.DUMMYFUNCTION("""COMPUTED_VALUE"""),"KAREN")</f>
        <v>KAREN</v>
      </c>
      <c r="E45" s="154">
        <f>IFERROR(__xludf.DUMMYFUNCTION("""COMPUTED_VALUE"""),6.4)</f>
        <v>6.4</v>
      </c>
      <c r="F45" s="154">
        <f>IFERROR(__xludf.DUMMYFUNCTION("""COMPUTED_VALUE"""),2.0)</f>
        <v>2</v>
      </c>
      <c r="G45" s="154"/>
      <c r="H45" s="155">
        <f>IFERROR(__xludf.DUMMYFUNCTION("""COMPUTED_VALUE"""),8.4)</f>
        <v>8.4</v>
      </c>
      <c r="I45" s="156">
        <f>IFERROR(__xludf.DUMMYFUNCTION("""COMPUTED_VALUE"""),0.0)</f>
        <v>0</v>
      </c>
      <c r="J45" s="157">
        <f>IFERROR(__xludf.DUMMYFUNCTION("""COMPUTED_VALUE"""),8.0)</f>
        <v>8</v>
      </c>
      <c r="K45" s="156"/>
      <c r="L45" s="159">
        <f>IFERROR(__xludf.DUMMYFUNCTION("""COMPUTED_VALUE"""),8.0)</f>
        <v>8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3">
        <f>IFERROR(__xludf.DUMMYFUNCTION("""COMPUTED_VALUE"""),30.0)</f>
        <v>30</v>
      </c>
      <c r="B46" s="52" t="str">
        <f>IFERROR(__xludf.DUMMYFUNCTION("""COMPUTED_VALUE"""),"NICOLETTI")</f>
        <v>NICOLETTI</v>
      </c>
      <c r="C46" s="53" t="str">
        <f>IFERROR(__xludf.DUMMYFUNCTION("""COMPUTED_VALUE"""),"SANCHEZ")</f>
        <v>SANCHEZ</v>
      </c>
      <c r="D46" s="54" t="str">
        <f>IFERROR(__xludf.DUMMYFUNCTION("""COMPUTED_VALUE"""),"VANESSA YADIRA")</f>
        <v>VANESSA YADIRA</v>
      </c>
      <c r="E46" s="154">
        <f>IFERROR(__xludf.DUMMYFUNCTION("""COMPUTED_VALUE"""),8.0)</f>
        <v>8</v>
      </c>
      <c r="F46" s="154">
        <f>IFERROR(__xludf.DUMMYFUNCTION("""COMPUTED_VALUE"""),2.0)</f>
        <v>2</v>
      </c>
      <c r="G46" s="154"/>
      <c r="H46" s="155">
        <f>IFERROR(__xludf.DUMMYFUNCTION("""COMPUTED_VALUE"""),10.0)</f>
        <v>10</v>
      </c>
      <c r="I46" s="156">
        <f>IFERROR(__xludf.DUMMYFUNCTION("""COMPUTED_VALUE"""),0.0)</f>
        <v>0</v>
      </c>
      <c r="J46" s="157">
        <f>IFERROR(__xludf.DUMMYFUNCTION("""COMPUTED_VALUE"""),10.0)</f>
        <v>10</v>
      </c>
      <c r="K46" s="156"/>
      <c r="L46" s="159">
        <f>IFERROR(__xludf.DUMMYFUNCTION("""COMPUTED_VALUE"""),10.0)</f>
        <v>10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3">
        <f>IFERROR(__xludf.DUMMYFUNCTION("""COMPUTED_VALUE"""),31.0)</f>
        <v>31</v>
      </c>
      <c r="B47" s="52" t="str">
        <f>IFERROR(__xludf.DUMMYFUNCTION("""COMPUTED_VALUE"""),"OROZCO")</f>
        <v>OROZCO</v>
      </c>
      <c r="C47" s="53" t="str">
        <f>IFERROR(__xludf.DUMMYFUNCTION("""COMPUTED_VALUE"""),"GUTIERREZ")</f>
        <v>GUTIERREZ</v>
      </c>
      <c r="D47" s="54" t="str">
        <f>IFERROR(__xludf.DUMMYFUNCTION("""COMPUTED_VALUE"""),"JUAN DIEGO")</f>
        <v>JUAN DIEGO</v>
      </c>
      <c r="E47" s="154">
        <f>IFERROR(__xludf.DUMMYFUNCTION("""COMPUTED_VALUE"""),0.0)</f>
        <v>0</v>
      </c>
      <c r="F47" s="154">
        <f>IFERROR(__xludf.DUMMYFUNCTION("""COMPUTED_VALUE"""),0.0)</f>
        <v>0</v>
      </c>
      <c r="G47" s="154"/>
      <c r="H47" s="155">
        <f>IFERROR(__xludf.DUMMYFUNCTION("""COMPUTED_VALUE"""),0.0)</f>
        <v>0</v>
      </c>
      <c r="I47" s="156">
        <f>IFERROR(__xludf.DUMMYFUNCTION("""COMPUTED_VALUE"""),0.0)</f>
        <v>0</v>
      </c>
      <c r="J47" s="157">
        <f>IFERROR(__xludf.DUMMYFUNCTION("""COMPUTED_VALUE"""),5.0)</f>
        <v>5</v>
      </c>
      <c r="K47" s="156"/>
      <c r="L47" s="159">
        <f>IFERROR(__xludf.DUMMYFUNCTION("""COMPUTED_VALUE"""),0.0)</f>
        <v>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3">
        <f>IFERROR(__xludf.DUMMYFUNCTION("""COMPUTED_VALUE"""),32.0)</f>
        <v>32</v>
      </c>
      <c r="B48" s="52" t="str">
        <f>IFERROR(__xludf.DUMMYFUNCTION("""COMPUTED_VALUE"""),"PEREZ")</f>
        <v>PEREZ</v>
      </c>
      <c r="C48" s="53" t="str">
        <f>IFERROR(__xludf.DUMMYFUNCTION("""COMPUTED_VALUE"""),"ARMIJO")</f>
        <v>ARMIJO</v>
      </c>
      <c r="D48" s="54" t="str">
        <f>IFERROR(__xludf.DUMMYFUNCTION("""COMPUTED_VALUE"""),"AARON")</f>
        <v>AARON</v>
      </c>
      <c r="E48" s="154">
        <f>IFERROR(__xludf.DUMMYFUNCTION("""COMPUTED_VALUE"""),8.0)</f>
        <v>8</v>
      </c>
      <c r="F48" s="154">
        <f>IFERROR(__xludf.DUMMYFUNCTION("""COMPUTED_VALUE"""),2.0)</f>
        <v>2</v>
      </c>
      <c r="G48" s="154"/>
      <c r="H48" s="155">
        <f>IFERROR(__xludf.DUMMYFUNCTION("""COMPUTED_VALUE"""),10.0)</f>
        <v>10</v>
      </c>
      <c r="I48" s="156">
        <f>IFERROR(__xludf.DUMMYFUNCTION("""COMPUTED_VALUE"""),0.0)</f>
        <v>0</v>
      </c>
      <c r="J48" s="157">
        <f>IFERROR(__xludf.DUMMYFUNCTION("""COMPUTED_VALUE"""),10.0)</f>
        <v>10</v>
      </c>
      <c r="K48" s="156"/>
      <c r="L48" s="159">
        <f>IFERROR(__xludf.DUMMYFUNCTION("""COMPUTED_VALUE"""),10.0)</f>
        <v>10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3">
        <f>IFERROR(__xludf.DUMMYFUNCTION("""COMPUTED_VALUE"""),33.0)</f>
        <v>33</v>
      </c>
      <c r="B49" s="52" t="str">
        <f>IFERROR(__xludf.DUMMYFUNCTION("""COMPUTED_VALUE"""),"RAMIREZ")</f>
        <v>RAMIREZ</v>
      </c>
      <c r="C49" s="53" t="str">
        <f>IFERROR(__xludf.DUMMYFUNCTION("""COMPUTED_VALUE"""),"MARIN")</f>
        <v>MARIN</v>
      </c>
      <c r="D49" s="54" t="str">
        <f>IFERROR(__xludf.DUMMYFUNCTION("""COMPUTED_VALUE"""),"XAVIER FAHRID")</f>
        <v>XAVIER FAHRID</v>
      </c>
      <c r="E49" s="154">
        <f>IFERROR(__xludf.DUMMYFUNCTION("""COMPUTED_VALUE"""),8.0)</f>
        <v>8</v>
      </c>
      <c r="F49" s="154">
        <f>IFERROR(__xludf.DUMMYFUNCTION("""COMPUTED_VALUE"""),0.0)</f>
        <v>0</v>
      </c>
      <c r="G49" s="154"/>
      <c r="H49" s="155">
        <f>IFERROR(__xludf.DUMMYFUNCTION("""COMPUTED_VALUE"""),8.0)</f>
        <v>8</v>
      </c>
      <c r="I49" s="156">
        <f>IFERROR(__xludf.DUMMYFUNCTION("""COMPUTED_VALUE"""),0.0)</f>
        <v>0</v>
      </c>
      <c r="J49" s="157">
        <f>IFERROR(__xludf.DUMMYFUNCTION("""COMPUTED_VALUE"""),8.0)</f>
        <v>8</v>
      </c>
      <c r="K49" s="156"/>
      <c r="L49" s="159">
        <f>IFERROR(__xludf.DUMMYFUNCTION("""COMPUTED_VALUE"""),8.0)</f>
        <v>8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3">
        <f>IFERROR(__xludf.DUMMYFUNCTION("""COMPUTED_VALUE"""),34.0)</f>
        <v>34</v>
      </c>
      <c r="B50" s="52" t="str">
        <f>IFERROR(__xludf.DUMMYFUNCTION("""COMPUTED_VALUE"""),"RAMOS")</f>
        <v>RAMOS</v>
      </c>
      <c r="C50" s="53" t="str">
        <f>IFERROR(__xludf.DUMMYFUNCTION("""COMPUTED_VALUE"""),"CERVANTES")</f>
        <v>CERVANTES</v>
      </c>
      <c r="D50" s="54" t="str">
        <f>IFERROR(__xludf.DUMMYFUNCTION("""COMPUTED_VALUE"""),"ERENDY ISABELLA")</f>
        <v>ERENDY ISABELLA</v>
      </c>
      <c r="E50" s="154">
        <f>IFERROR(__xludf.DUMMYFUNCTION("""COMPUTED_VALUE"""),8.0)</f>
        <v>8</v>
      </c>
      <c r="F50" s="154">
        <f>IFERROR(__xludf.DUMMYFUNCTION("""COMPUTED_VALUE"""),2.0)</f>
        <v>2</v>
      </c>
      <c r="G50" s="154"/>
      <c r="H50" s="155">
        <f>IFERROR(__xludf.DUMMYFUNCTION("""COMPUTED_VALUE"""),10.0)</f>
        <v>10</v>
      </c>
      <c r="I50" s="156">
        <f>IFERROR(__xludf.DUMMYFUNCTION("""COMPUTED_VALUE"""),0.0)</f>
        <v>0</v>
      </c>
      <c r="J50" s="157">
        <f>IFERROR(__xludf.DUMMYFUNCTION("""COMPUTED_VALUE"""),10.0)</f>
        <v>10</v>
      </c>
      <c r="K50" s="156"/>
      <c r="L50" s="159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3">
        <f>IFERROR(__xludf.DUMMYFUNCTION("""COMPUTED_VALUE"""),35.0)</f>
        <v>35</v>
      </c>
      <c r="B51" s="52" t="str">
        <f>IFERROR(__xludf.DUMMYFUNCTION("""COMPUTED_VALUE"""),"REYES")</f>
        <v>REYES</v>
      </c>
      <c r="C51" s="53" t="str">
        <f>IFERROR(__xludf.DUMMYFUNCTION("""COMPUTED_VALUE"""),"PALACIOS")</f>
        <v>PALACIOS</v>
      </c>
      <c r="D51" s="54" t="str">
        <f>IFERROR(__xludf.DUMMYFUNCTION("""COMPUTED_VALUE"""),"HAZAEL EMILIANO")</f>
        <v>HAZAEL EMILIANO</v>
      </c>
      <c r="E51" s="154">
        <f>IFERROR(__xludf.DUMMYFUNCTION("""COMPUTED_VALUE"""),6.4)</f>
        <v>6.4</v>
      </c>
      <c r="F51" s="154">
        <f>IFERROR(__xludf.DUMMYFUNCTION("""COMPUTED_VALUE"""),0.0)</f>
        <v>0</v>
      </c>
      <c r="G51" s="154"/>
      <c r="H51" s="155">
        <f>IFERROR(__xludf.DUMMYFUNCTION("""COMPUTED_VALUE"""),6.4)</f>
        <v>6.4</v>
      </c>
      <c r="I51" s="156">
        <f>IFERROR(__xludf.DUMMYFUNCTION("""COMPUTED_VALUE"""),0.0)</f>
        <v>0</v>
      </c>
      <c r="J51" s="157">
        <f>IFERROR(__xludf.DUMMYFUNCTION("""COMPUTED_VALUE"""),6.0)</f>
        <v>6</v>
      </c>
      <c r="K51" s="156"/>
      <c r="L51" s="159">
        <f>IFERROR(__xludf.DUMMYFUNCTION("""COMPUTED_VALUE"""),6.0)</f>
        <v>6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3">
        <f>IFERROR(__xludf.DUMMYFUNCTION("""COMPUTED_VALUE"""),36.0)</f>
        <v>36</v>
      </c>
      <c r="B52" s="52" t="str">
        <f>IFERROR(__xludf.DUMMYFUNCTION("""COMPUTED_VALUE"""),"RODRIGUEZ")</f>
        <v>RODRIGUEZ</v>
      </c>
      <c r="C52" s="53" t="str">
        <f>IFERROR(__xludf.DUMMYFUNCTION("""COMPUTED_VALUE"""),"ADONA")</f>
        <v>ADONA</v>
      </c>
      <c r="D52" s="54" t="str">
        <f>IFERROR(__xludf.DUMMYFUNCTION("""COMPUTED_VALUE"""),"HANNA ZOE")</f>
        <v>HANNA ZOE</v>
      </c>
      <c r="E52" s="154">
        <f>IFERROR(__xludf.DUMMYFUNCTION("""COMPUTED_VALUE"""),8.0)</f>
        <v>8</v>
      </c>
      <c r="F52" s="154">
        <f>IFERROR(__xludf.DUMMYFUNCTION("""COMPUTED_VALUE"""),2.0)</f>
        <v>2</v>
      </c>
      <c r="G52" s="154"/>
      <c r="H52" s="155">
        <f>IFERROR(__xludf.DUMMYFUNCTION("""COMPUTED_VALUE"""),10.0)</f>
        <v>10</v>
      </c>
      <c r="I52" s="156">
        <f>IFERROR(__xludf.DUMMYFUNCTION("""COMPUTED_VALUE"""),0.0)</f>
        <v>0</v>
      </c>
      <c r="J52" s="157">
        <f>IFERROR(__xludf.DUMMYFUNCTION("""COMPUTED_VALUE"""),10.0)</f>
        <v>10</v>
      </c>
      <c r="K52" s="156"/>
      <c r="L52" s="160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3">
        <f>IFERROR(__xludf.DUMMYFUNCTION("""COMPUTED_VALUE"""),37.0)</f>
        <v>37</v>
      </c>
      <c r="B53" s="52" t="str">
        <f>IFERROR(__xludf.DUMMYFUNCTION("""COMPUTED_VALUE"""),"RODRIGUEZ")</f>
        <v>RODRIGUEZ</v>
      </c>
      <c r="C53" s="53" t="str">
        <f>IFERROR(__xludf.DUMMYFUNCTION("""COMPUTED_VALUE"""),"ALFONSO")</f>
        <v>ALFONSO</v>
      </c>
      <c r="D53" s="54" t="str">
        <f>IFERROR(__xludf.DUMMYFUNCTION("""COMPUTED_VALUE"""),"STEPHANIE")</f>
        <v>STEPHANIE</v>
      </c>
      <c r="E53" s="154">
        <f>IFERROR(__xludf.DUMMYFUNCTION("""COMPUTED_VALUE"""),8.0)</f>
        <v>8</v>
      </c>
      <c r="F53" s="154">
        <f>IFERROR(__xludf.DUMMYFUNCTION("""COMPUTED_VALUE"""),2.0)</f>
        <v>2</v>
      </c>
      <c r="G53" s="154"/>
      <c r="H53" s="155">
        <f>IFERROR(__xludf.DUMMYFUNCTION("""COMPUTED_VALUE"""),10.0)</f>
        <v>10</v>
      </c>
      <c r="I53" s="156">
        <f>IFERROR(__xludf.DUMMYFUNCTION("""COMPUTED_VALUE"""),0.0)</f>
        <v>0</v>
      </c>
      <c r="J53" s="157">
        <f>IFERROR(__xludf.DUMMYFUNCTION("""COMPUTED_VALUE"""),10.0)</f>
        <v>10</v>
      </c>
      <c r="K53" s="156"/>
      <c r="L53" s="160">
        <f>IFERROR(__xludf.DUMMYFUNCTION("""COMPUTED_VALUE"""),10.0)</f>
        <v>10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3">
        <f>IFERROR(__xludf.DUMMYFUNCTION("""COMPUTED_VALUE"""),38.0)</f>
        <v>38</v>
      </c>
      <c r="B54" s="52" t="str">
        <f>IFERROR(__xludf.DUMMYFUNCTION("""COMPUTED_VALUE"""),"RODRIGUEZ")</f>
        <v>RODRIGUEZ</v>
      </c>
      <c r="C54" s="53" t="str">
        <f>IFERROR(__xludf.DUMMYFUNCTION("""COMPUTED_VALUE"""),"JIMENEZ")</f>
        <v>JIMENEZ</v>
      </c>
      <c r="D54" s="54" t="str">
        <f>IFERROR(__xludf.DUMMYFUNCTION("""COMPUTED_VALUE"""),"NAHOMI")</f>
        <v>NAHOMI</v>
      </c>
      <c r="E54" s="154">
        <f>IFERROR(__xludf.DUMMYFUNCTION("""COMPUTED_VALUE"""),8.0)</f>
        <v>8</v>
      </c>
      <c r="F54" s="154">
        <f>IFERROR(__xludf.DUMMYFUNCTION("""COMPUTED_VALUE"""),2.0)</f>
        <v>2</v>
      </c>
      <c r="G54" s="154"/>
      <c r="H54" s="155">
        <f>IFERROR(__xludf.DUMMYFUNCTION("""COMPUTED_VALUE"""),10.0)</f>
        <v>10</v>
      </c>
      <c r="I54" s="156">
        <f>IFERROR(__xludf.DUMMYFUNCTION("""COMPUTED_VALUE"""),0.0)</f>
        <v>0</v>
      </c>
      <c r="J54" s="157">
        <f>IFERROR(__xludf.DUMMYFUNCTION("""COMPUTED_VALUE"""),10.0)</f>
        <v>10</v>
      </c>
      <c r="K54" s="156"/>
      <c r="L54" s="160">
        <f>IFERROR(__xludf.DUMMYFUNCTION("""COMPUTED_VALUE"""),10.0)</f>
        <v>10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3">
        <f>IFERROR(__xludf.DUMMYFUNCTION("""COMPUTED_VALUE"""),39.0)</f>
        <v>39</v>
      </c>
      <c r="B55" s="52" t="str">
        <f>IFERROR(__xludf.DUMMYFUNCTION("""COMPUTED_VALUE"""),"ROJAS")</f>
        <v>ROJAS</v>
      </c>
      <c r="C55" s="63" t="str">
        <f>IFERROR(__xludf.DUMMYFUNCTION("""COMPUTED_VALUE"""),"ALCANTARA")</f>
        <v>ALCANTARA</v>
      </c>
      <c r="D55" s="54" t="str">
        <f>IFERROR(__xludf.DUMMYFUNCTION("""COMPUTED_VALUE"""),"DANIEL EMILIANO")</f>
        <v>DANIEL EMILIANO</v>
      </c>
      <c r="E55" s="154">
        <f>IFERROR(__xludf.DUMMYFUNCTION("""COMPUTED_VALUE"""),6.4)</f>
        <v>6.4</v>
      </c>
      <c r="F55" s="154">
        <f>IFERROR(__xludf.DUMMYFUNCTION("""COMPUTED_VALUE"""),2.0)</f>
        <v>2</v>
      </c>
      <c r="G55" s="154"/>
      <c r="H55" s="155">
        <f>IFERROR(__xludf.DUMMYFUNCTION("""COMPUTED_VALUE"""),8.4)</f>
        <v>8.4</v>
      </c>
      <c r="I55" s="161">
        <f>IFERROR(__xludf.DUMMYFUNCTION("""COMPUTED_VALUE"""),0.0)</f>
        <v>0</v>
      </c>
      <c r="J55" s="157">
        <f>IFERROR(__xludf.DUMMYFUNCTION("""COMPUTED_VALUE"""),8.0)</f>
        <v>8</v>
      </c>
      <c r="K55" s="156"/>
      <c r="L55" s="160">
        <f>IFERROR(__xludf.DUMMYFUNCTION("""COMPUTED_VALUE"""),8.0)</f>
        <v>8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3">
        <f>IFERROR(__xludf.DUMMYFUNCTION("""COMPUTED_VALUE"""),40.0)</f>
        <v>40</v>
      </c>
      <c r="B56" s="52" t="str">
        <f>IFERROR(__xludf.DUMMYFUNCTION("""COMPUTED_VALUE"""),"ROMERO")</f>
        <v>ROMERO</v>
      </c>
      <c r="C56" s="53" t="str">
        <f>IFERROR(__xludf.DUMMYFUNCTION("""COMPUTED_VALUE"""),"BANDIN")</f>
        <v>BANDIN</v>
      </c>
      <c r="D56" s="54" t="str">
        <f>IFERROR(__xludf.DUMMYFUNCTION("""COMPUTED_VALUE"""),"TABATHA MICHELLE")</f>
        <v>TABATHA MICHELLE</v>
      </c>
      <c r="E56" s="154">
        <f>IFERROR(__xludf.DUMMYFUNCTION("""COMPUTED_VALUE"""),8.0)</f>
        <v>8</v>
      </c>
      <c r="F56" s="154">
        <f>IFERROR(__xludf.DUMMYFUNCTION("""COMPUTED_VALUE"""),0.0)</f>
        <v>0</v>
      </c>
      <c r="G56" s="154"/>
      <c r="H56" s="155">
        <f>IFERROR(__xludf.DUMMYFUNCTION("""COMPUTED_VALUE"""),8.0)</f>
        <v>8</v>
      </c>
      <c r="I56" s="161">
        <f>IFERROR(__xludf.DUMMYFUNCTION("""COMPUTED_VALUE"""),0.0)</f>
        <v>0</v>
      </c>
      <c r="J56" s="157">
        <f>IFERROR(__xludf.DUMMYFUNCTION("""COMPUTED_VALUE"""),8.0)</f>
        <v>8</v>
      </c>
      <c r="K56" s="156"/>
      <c r="L56" s="160">
        <f>IFERROR(__xludf.DUMMYFUNCTION("""COMPUTED_VALUE"""),8.0)</f>
        <v>8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3">
        <f>IFERROR(__xludf.DUMMYFUNCTION("""COMPUTED_VALUE"""),41.0)</f>
        <v>41</v>
      </c>
      <c r="B57" s="52" t="str">
        <f>IFERROR(__xludf.DUMMYFUNCTION("""COMPUTED_VALUE"""),"ROSAS")</f>
        <v>ROSAS</v>
      </c>
      <c r="C57" s="53" t="str">
        <f>IFERROR(__xludf.DUMMYFUNCTION("""COMPUTED_VALUE"""),"MONTOYA")</f>
        <v>MONTOYA</v>
      </c>
      <c r="D57" s="54" t="str">
        <f>IFERROR(__xludf.DUMMYFUNCTION("""COMPUTED_VALUE"""),"MISAEL ALEXANDER")</f>
        <v>MISAEL ALEXANDER</v>
      </c>
      <c r="E57" s="154">
        <f>IFERROR(__xludf.DUMMYFUNCTION("""COMPUTED_VALUE"""),7.2)</f>
        <v>7.2</v>
      </c>
      <c r="F57" s="154">
        <f>IFERROR(__xludf.DUMMYFUNCTION("""COMPUTED_VALUE"""),2.0)</f>
        <v>2</v>
      </c>
      <c r="G57" s="154"/>
      <c r="H57" s="155">
        <f>IFERROR(__xludf.DUMMYFUNCTION("""COMPUTED_VALUE"""),9.2)</f>
        <v>9.2</v>
      </c>
      <c r="I57" s="161">
        <f>IFERROR(__xludf.DUMMYFUNCTION("""COMPUTED_VALUE"""),0.0)</f>
        <v>0</v>
      </c>
      <c r="J57" s="157">
        <f>IFERROR(__xludf.DUMMYFUNCTION("""COMPUTED_VALUE"""),9.0)</f>
        <v>9</v>
      </c>
      <c r="K57" s="156"/>
      <c r="L57" s="160">
        <f>IFERROR(__xludf.DUMMYFUNCTION("""COMPUTED_VALUE"""),9.0)</f>
        <v>9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3">
        <f>IFERROR(__xludf.DUMMYFUNCTION("""COMPUTED_VALUE"""),42.0)</f>
        <v>42</v>
      </c>
      <c r="B58" s="52" t="str">
        <f>IFERROR(__xludf.DUMMYFUNCTION("""COMPUTED_VALUE"""),"SANCHEZ")</f>
        <v>SANCHEZ</v>
      </c>
      <c r="C58" s="53" t="str">
        <f>IFERROR(__xludf.DUMMYFUNCTION("""COMPUTED_VALUE"""),"CARRASCO")</f>
        <v>CARRASCO</v>
      </c>
      <c r="D58" s="66" t="str">
        <f>IFERROR(__xludf.DUMMYFUNCTION("""COMPUTED_VALUE"""),"CHRISTOPHER OMSARE")</f>
        <v>CHRISTOPHER OMSARE</v>
      </c>
      <c r="E58" s="154">
        <f>IFERROR(__xludf.DUMMYFUNCTION("""COMPUTED_VALUE"""),6.4)</f>
        <v>6.4</v>
      </c>
      <c r="F58" s="154">
        <f>IFERROR(__xludf.DUMMYFUNCTION("""COMPUTED_VALUE"""),2.0)</f>
        <v>2</v>
      </c>
      <c r="G58" s="154"/>
      <c r="H58" s="155">
        <f>IFERROR(__xludf.DUMMYFUNCTION("""COMPUTED_VALUE"""),8.4)</f>
        <v>8.4</v>
      </c>
      <c r="I58" s="161">
        <f>IFERROR(__xludf.DUMMYFUNCTION("""COMPUTED_VALUE"""),0.0)</f>
        <v>0</v>
      </c>
      <c r="J58" s="157">
        <f>IFERROR(__xludf.DUMMYFUNCTION("""COMPUTED_VALUE"""),8.0)</f>
        <v>8</v>
      </c>
      <c r="K58" s="156"/>
      <c r="L58" s="160">
        <f>IFERROR(__xludf.DUMMYFUNCTION("""COMPUTED_VALUE"""),8.0)</f>
        <v>8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3">
        <f>IFERROR(__xludf.DUMMYFUNCTION("""COMPUTED_VALUE"""),43.0)</f>
        <v>43</v>
      </c>
      <c r="B59" s="52" t="str">
        <f>IFERROR(__xludf.DUMMYFUNCTION("""COMPUTED_VALUE"""),"SANCHEZ")</f>
        <v>SANCHEZ</v>
      </c>
      <c r="C59" s="53" t="str">
        <f>IFERROR(__xludf.DUMMYFUNCTION("""COMPUTED_VALUE"""),"CARREÑO")</f>
        <v>CARREÑO</v>
      </c>
      <c r="D59" s="64" t="str">
        <f>IFERROR(__xludf.DUMMYFUNCTION("""COMPUTED_VALUE"""),"DANIELA TONANTZIN")</f>
        <v>DANIELA TONANTZIN</v>
      </c>
      <c r="E59" s="154">
        <f>IFERROR(__xludf.DUMMYFUNCTION("""COMPUTED_VALUE"""),7.2)</f>
        <v>7.2</v>
      </c>
      <c r="F59" s="154">
        <f>IFERROR(__xludf.DUMMYFUNCTION("""COMPUTED_VALUE"""),2.0)</f>
        <v>2</v>
      </c>
      <c r="G59" s="154"/>
      <c r="H59" s="155">
        <f>IFERROR(__xludf.DUMMYFUNCTION("""COMPUTED_VALUE"""),9.2)</f>
        <v>9.2</v>
      </c>
      <c r="I59" s="161">
        <f>IFERROR(__xludf.DUMMYFUNCTION("""COMPUTED_VALUE"""),0.0)</f>
        <v>0</v>
      </c>
      <c r="J59" s="157">
        <f>IFERROR(__xludf.DUMMYFUNCTION("""COMPUTED_VALUE"""),9.0)</f>
        <v>9</v>
      </c>
      <c r="K59" s="156"/>
      <c r="L59" s="160">
        <f>IFERROR(__xludf.DUMMYFUNCTION("""COMPUTED_VALUE"""),9.0)</f>
        <v>9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3">
        <f>IFERROR(__xludf.DUMMYFUNCTION("""COMPUTED_VALUE"""),44.0)</f>
        <v>44</v>
      </c>
      <c r="B60" s="52" t="str">
        <f>IFERROR(__xludf.DUMMYFUNCTION("""COMPUTED_VALUE"""),"TREJO")</f>
        <v>TREJO</v>
      </c>
      <c r="C60" s="53" t="str">
        <f>IFERROR(__xludf.DUMMYFUNCTION("""COMPUTED_VALUE"""),"LAZARO")</f>
        <v>LAZARO</v>
      </c>
      <c r="D60" s="54" t="str">
        <f>IFERROR(__xludf.DUMMYFUNCTION("""COMPUTED_VALUE"""),"VALERIA ALEXA")</f>
        <v>VALERIA ALEXA</v>
      </c>
      <c r="E60" s="154">
        <f>IFERROR(__xludf.DUMMYFUNCTION("""COMPUTED_VALUE"""),8.0)</f>
        <v>8</v>
      </c>
      <c r="F60" s="154">
        <f>IFERROR(__xludf.DUMMYFUNCTION("""COMPUTED_VALUE"""),2.0)</f>
        <v>2</v>
      </c>
      <c r="G60" s="154"/>
      <c r="H60" s="155">
        <f>IFERROR(__xludf.DUMMYFUNCTION("""COMPUTED_VALUE"""),10.0)</f>
        <v>10</v>
      </c>
      <c r="I60" s="161">
        <f>IFERROR(__xludf.DUMMYFUNCTION("""COMPUTED_VALUE"""),0.0)</f>
        <v>0</v>
      </c>
      <c r="J60" s="157">
        <f>IFERROR(__xludf.DUMMYFUNCTION("""COMPUTED_VALUE"""),10.0)</f>
        <v>10</v>
      </c>
      <c r="K60" s="156"/>
      <c r="L60" s="160">
        <f>IFERROR(__xludf.DUMMYFUNCTION("""COMPUTED_VALUE"""),10.0)</f>
        <v>10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3">
        <f>IFERROR(__xludf.DUMMYFUNCTION("""COMPUTED_VALUE"""),45.0)</f>
        <v>45</v>
      </c>
      <c r="B61" s="52" t="str">
        <f>IFERROR(__xludf.DUMMYFUNCTION("""COMPUTED_VALUE"""),"TREJO")</f>
        <v>TREJO</v>
      </c>
      <c r="C61" s="53" t="str">
        <f>IFERROR(__xludf.DUMMYFUNCTION("""COMPUTED_VALUE"""),"PADILLA")</f>
        <v>PADILLA</v>
      </c>
      <c r="D61" s="54" t="str">
        <f>IFERROR(__xludf.DUMMYFUNCTION("""COMPUTED_VALUE"""),"DANIELA")</f>
        <v>DANIELA</v>
      </c>
      <c r="E61" s="154">
        <f>IFERROR(__xludf.DUMMYFUNCTION("""COMPUTED_VALUE"""),8.0)</f>
        <v>8</v>
      </c>
      <c r="F61" s="154">
        <f>IFERROR(__xludf.DUMMYFUNCTION("""COMPUTED_VALUE"""),2.0)</f>
        <v>2</v>
      </c>
      <c r="G61" s="154"/>
      <c r="H61" s="155">
        <f>IFERROR(__xludf.DUMMYFUNCTION("""COMPUTED_VALUE"""),10.0)</f>
        <v>10</v>
      </c>
      <c r="I61" s="161">
        <f>IFERROR(__xludf.DUMMYFUNCTION("""COMPUTED_VALUE"""),0.0)</f>
        <v>0</v>
      </c>
      <c r="J61" s="157">
        <f>IFERROR(__xludf.DUMMYFUNCTION("""COMPUTED_VALUE"""),10.0)</f>
        <v>10</v>
      </c>
      <c r="K61" s="156"/>
      <c r="L61" s="160">
        <f>IFERROR(__xludf.DUMMYFUNCTION("""COMPUTED_VALUE"""),10.0)</f>
        <v>10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3">
        <f>IFERROR(__xludf.DUMMYFUNCTION("""COMPUTED_VALUE"""),46.0)</f>
        <v>46</v>
      </c>
      <c r="B62" s="52" t="str">
        <f>IFERROR(__xludf.DUMMYFUNCTION("""COMPUTED_VALUE"""),"VALDEZ")</f>
        <v>VALDEZ</v>
      </c>
      <c r="C62" s="53" t="str">
        <f>IFERROR(__xludf.DUMMYFUNCTION("""COMPUTED_VALUE"""),"NAVARRETE")</f>
        <v>NAVARRETE</v>
      </c>
      <c r="D62" s="54" t="str">
        <f>IFERROR(__xludf.DUMMYFUNCTION("""COMPUTED_VALUE"""),"PAOLA QUETZAL")</f>
        <v>PAOLA QUETZAL</v>
      </c>
      <c r="E62" s="154">
        <f>IFERROR(__xludf.DUMMYFUNCTION("""COMPUTED_VALUE"""),8.0)</f>
        <v>8</v>
      </c>
      <c r="F62" s="154">
        <f>IFERROR(__xludf.DUMMYFUNCTION("""COMPUTED_VALUE"""),2.0)</f>
        <v>2</v>
      </c>
      <c r="G62" s="154"/>
      <c r="H62" s="155">
        <f>IFERROR(__xludf.DUMMYFUNCTION("""COMPUTED_VALUE"""),10.0)</f>
        <v>10</v>
      </c>
      <c r="I62" s="161">
        <f>IFERROR(__xludf.DUMMYFUNCTION("""COMPUTED_VALUE"""),0.0)</f>
        <v>0</v>
      </c>
      <c r="J62" s="157">
        <f>IFERROR(__xludf.DUMMYFUNCTION("""COMPUTED_VALUE"""),10.0)</f>
        <v>10</v>
      </c>
      <c r="K62" s="156"/>
      <c r="L62" s="160">
        <f>IFERROR(__xludf.DUMMYFUNCTION("""COMPUTED_VALUE"""),10.0)</f>
        <v>10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3">
        <f>IFERROR(__xludf.DUMMYFUNCTION("""COMPUTED_VALUE"""),47.0)</f>
        <v>47</v>
      </c>
      <c r="B63" s="52" t="str">
        <f>IFERROR(__xludf.DUMMYFUNCTION("""COMPUTED_VALUE"""),"VALENCIA")</f>
        <v>VALENCIA</v>
      </c>
      <c r="C63" s="53" t="str">
        <f>IFERROR(__xludf.DUMMYFUNCTION("""COMPUTED_VALUE"""),"TRINIDAD")</f>
        <v>TRINIDAD</v>
      </c>
      <c r="D63" s="54" t="str">
        <f>IFERROR(__xludf.DUMMYFUNCTION("""COMPUTED_VALUE"""),"CINTHYA XIMENA")</f>
        <v>CINTHYA XIMENA</v>
      </c>
      <c r="E63" s="154">
        <f>IFERROR(__xludf.DUMMYFUNCTION("""COMPUTED_VALUE"""),8.0)</f>
        <v>8</v>
      </c>
      <c r="F63" s="154">
        <f>IFERROR(__xludf.DUMMYFUNCTION("""COMPUTED_VALUE"""),2.0)</f>
        <v>2</v>
      </c>
      <c r="G63" s="154"/>
      <c r="H63" s="155">
        <f>IFERROR(__xludf.DUMMYFUNCTION("""COMPUTED_VALUE"""),10.0)</f>
        <v>10</v>
      </c>
      <c r="I63" s="161">
        <f>IFERROR(__xludf.DUMMYFUNCTION("""COMPUTED_VALUE"""),0.0)</f>
        <v>0</v>
      </c>
      <c r="J63" s="157">
        <f>IFERROR(__xludf.DUMMYFUNCTION("""COMPUTED_VALUE"""),10.0)</f>
        <v>10</v>
      </c>
      <c r="K63" s="156"/>
      <c r="L63" s="160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53">
        <f>IFERROR(__xludf.DUMMYFUNCTION("""COMPUTED_VALUE"""),48.0)</f>
        <v>48</v>
      </c>
      <c r="B64" s="52" t="str">
        <f>IFERROR(__xludf.DUMMYFUNCTION("""COMPUTED_VALUE"""),"VARGAS")</f>
        <v>VARGAS</v>
      </c>
      <c r="C64" s="68" t="str">
        <f>IFERROR(__xludf.DUMMYFUNCTION("""COMPUTED_VALUE"""),"MANZANARES")</f>
        <v>MANZANARES</v>
      </c>
      <c r="D64" s="54" t="str">
        <f>IFERROR(__xludf.DUMMYFUNCTION("""COMPUTED_VALUE"""),"DANIEL")</f>
        <v>DANIEL</v>
      </c>
      <c r="E64" s="154">
        <f>IFERROR(__xludf.DUMMYFUNCTION("""COMPUTED_VALUE"""),8.0)</f>
        <v>8</v>
      </c>
      <c r="F64" s="154">
        <f>IFERROR(__xludf.DUMMYFUNCTION("""COMPUTED_VALUE"""),2.0)</f>
        <v>2</v>
      </c>
      <c r="G64" s="154"/>
      <c r="H64" s="155">
        <f>IFERROR(__xludf.DUMMYFUNCTION("""COMPUTED_VALUE"""),10.0)</f>
        <v>10</v>
      </c>
      <c r="I64" s="161">
        <f>IFERROR(__xludf.DUMMYFUNCTION("""COMPUTED_VALUE"""),0.0)</f>
        <v>0</v>
      </c>
      <c r="J64" s="157">
        <f>IFERROR(__xludf.DUMMYFUNCTION("""COMPUTED_VALUE"""),10.0)</f>
        <v>10</v>
      </c>
      <c r="K64" s="156"/>
      <c r="L64" s="160">
        <f>IFERROR(__xludf.DUMMYFUNCTION("""COMPUTED_VALUE"""),10.0)</f>
        <v>10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53">
        <f>IFERROR(__xludf.DUMMYFUNCTION("""COMPUTED_VALUE"""),49.0)</f>
        <v>49</v>
      </c>
      <c r="B65" s="52" t="str">
        <f>IFERROR(__xludf.DUMMYFUNCTION("""COMPUTED_VALUE"""),"VARGAS")</f>
        <v>VARGAS</v>
      </c>
      <c r="C65" s="53" t="str">
        <f>IFERROR(__xludf.DUMMYFUNCTION("""COMPUTED_VALUE"""),"TOLEDO")</f>
        <v>TOLEDO</v>
      </c>
      <c r="D65" s="54" t="str">
        <f>IFERROR(__xludf.DUMMYFUNCTION("""COMPUTED_VALUE"""),"YOAV EMMANUEL")</f>
        <v>YOAV EMMANUEL</v>
      </c>
      <c r="E65" s="154">
        <f>IFERROR(__xludf.DUMMYFUNCTION("""COMPUTED_VALUE"""),6.4)</f>
        <v>6.4</v>
      </c>
      <c r="F65" s="154">
        <f>IFERROR(__xludf.DUMMYFUNCTION("""COMPUTED_VALUE"""),0.0)</f>
        <v>0</v>
      </c>
      <c r="G65" s="154"/>
      <c r="H65" s="155">
        <f>IFERROR(__xludf.DUMMYFUNCTION("""COMPUTED_VALUE"""),6.4)</f>
        <v>6.4</v>
      </c>
      <c r="I65" s="161">
        <f>IFERROR(__xludf.DUMMYFUNCTION("""COMPUTED_VALUE"""),0.0)</f>
        <v>0</v>
      </c>
      <c r="J65" s="157">
        <f>IFERROR(__xludf.DUMMYFUNCTION("""COMPUTED_VALUE"""),6.0)</f>
        <v>6</v>
      </c>
      <c r="K65" s="156"/>
      <c r="L65" s="160">
        <f>IFERROR(__xludf.DUMMYFUNCTION("""COMPUTED_VALUE"""),6.0)</f>
        <v>6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6"/>
      <c r="B66" s="162"/>
      <c r="C66" s="162"/>
      <c r="D66" s="127"/>
      <c r="E66" s="163"/>
      <c r="F66" s="163"/>
      <c r="G66" s="163"/>
      <c r="H66" s="163"/>
      <c r="I66" s="132"/>
      <c r="J66" s="164"/>
      <c r="K66" s="128"/>
      <c r="L66" s="164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65" t="str">
        <f>IFERROR(__xludf.DUMMYFUNCTION("""COMPUTED_VALUE"""),"No. DE ALUMNOS INSCRITOS")</f>
        <v>No. DE ALUMNOS INSCRITOS</v>
      </c>
      <c r="C67" s="73"/>
      <c r="D67" s="166">
        <f>IFERROR(__xludf.DUMMYFUNCTION("""COMPUTED_VALUE"""),49.0)</f>
        <v>49</v>
      </c>
      <c r="E67" s="163"/>
      <c r="F67" s="167" t="str">
        <f>IFERROR(__xludf.DUMMYFUNCTION("""COMPUTED_VALUE"""),"FIRMA DEL PROFESOR")</f>
        <v>FIRMA DEL PROFESOR</v>
      </c>
      <c r="G67" s="163"/>
      <c r="H67" s="167" t="str">
        <f>IFERROR(__xludf.DUMMYFUNCTION("""COMPUTED_VALUE"""),"FIRMA DEL ORIENTADOR")</f>
        <v>FIRMA DEL ORIENTADOR</v>
      </c>
      <c r="J67" s="168" t="str">
        <f>IFERROR(__xludf.DUMMYFUNCTION("""COMPUTED_VALUE"""),"Vo. Bo. SUBDIRECCIÓN ESCOLAR")</f>
        <v>Vo. Bo. SUBDIRECCIÓN ESCOLAR</v>
      </c>
      <c r="K67" s="169" t="str">
        <f>IFERROR(__xludf.DUMMYFUNCTION("""COMPUTED_VALUE"""),"REVISADO POR SECRETARIA ESCOLAR ")</f>
        <v>REVISADO POR SECRETARIA ESCOLAR </v>
      </c>
      <c r="L67" s="164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0" t="str">
        <f>IFERROR(__xludf.DUMMYFUNCTION("""COMPUTED_VALUE"""),"BAJAS DURANTE EL SEMESTRE")</f>
        <v>BAJAS DURANTE EL SEMESTRE</v>
      </c>
      <c r="C68" s="80"/>
      <c r="D68" s="171">
        <f>IFERROR(__xludf.DUMMYFUNCTION("""COMPUTED_VALUE"""),0.0)</f>
        <v>0</v>
      </c>
      <c r="E68" s="163"/>
      <c r="G68" s="163"/>
      <c r="K68" s="10"/>
      <c r="L68" s="164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24.75" customHeight="1">
      <c r="A69" s="121"/>
      <c r="B69" s="170" t="str">
        <f>IFERROR(__xludf.DUMMYFUNCTION("""COMPUTED_VALUE"""),"EXISTENCIA")</f>
        <v>EXISTENCIA</v>
      </c>
      <c r="C69" s="80"/>
      <c r="D69" s="172">
        <f>IFERROR(__xludf.DUMMYFUNCTION("""COMPUTED_VALUE"""),49.0)</f>
        <v>49</v>
      </c>
      <c r="E69" s="163"/>
      <c r="F69" s="163"/>
      <c r="G69" s="163"/>
      <c r="H69" s="163"/>
      <c r="I69" s="132"/>
      <c r="J69" s="164"/>
      <c r="K69" s="128"/>
      <c r="L69" s="164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4.75" customHeight="1">
      <c r="A70" s="121"/>
      <c r="B70" s="170" t="str">
        <f>IFERROR(__xludf.DUMMYFUNCTION("""COMPUTED_VALUE"""),"No. DE ALUMNOS APROBADOS")</f>
        <v>No. DE ALUMNOS APROBADOS</v>
      </c>
      <c r="C70" s="80"/>
      <c r="D70" s="172">
        <f>IFERROR(__xludf.DUMMYFUNCTION("""COMPUTED_VALUE"""),46.0)</f>
        <v>46</v>
      </c>
      <c r="E70" s="163"/>
      <c r="F70" s="163"/>
      <c r="G70" s="163"/>
      <c r="H70" s="163"/>
      <c r="I70" s="132"/>
      <c r="J70" s="164"/>
      <c r="K70" s="128"/>
      <c r="L70" s="164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13.5" customHeight="1">
      <c r="A71" s="121"/>
      <c r="B71" s="170" t="str">
        <f>IFERROR(__xludf.DUMMYFUNCTION("""COMPUTED_VALUE"""),"No. DE ALUMNOS REPROBADOS")</f>
        <v>No. DE ALUMNOS REPROBADOS</v>
      </c>
      <c r="C71" s="80"/>
      <c r="D71" s="172">
        <f>IFERROR(__xludf.DUMMYFUNCTION("""COMPUTED_VALUE"""),3.0)</f>
        <v>3</v>
      </c>
      <c r="E71" s="132"/>
      <c r="F71" s="173"/>
      <c r="G71" s="127"/>
      <c r="H71" s="173"/>
      <c r="I71" s="173"/>
      <c r="J71" s="174"/>
      <c r="K71" s="175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76"/>
      <c r="B72" s="177" t="str">
        <f>IFERROR(__xludf.DUMMYFUNCTION("""COMPUTED_VALUE"""),"% DE APROBADOS")</f>
        <v>% DE APROBADOS</v>
      </c>
      <c r="C72" s="80"/>
      <c r="D72" s="178">
        <f>IFERROR(__xludf.DUMMYFUNCTION("""COMPUTED_VALUE"""),93.87755102040816)</f>
        <v>93.87755102</v>
      </c>
      <c r="E72" s="127"/>
      <c r="F72" s="179" t="str">
        <f>IFERROR(__xludf.DUMMYFUNCTION("""COMPUTED_VALUE"""),"PROFR. ")</f>
        <v>PROFR. </v>
      </c>
      <c r="G72" s="130"/>
      <c r="H72" s="120" t="str">
        <f>IFERROR(__xludf.DUMMYFUNCTION("""COMPUTED_VALUE"""),"PROFRA. ANA ISABEL CORREA SALGADO")</f>
        <v>PROFRA. ANA ISABEL CORREA SALGADO</v>
      </c>
      <c r="J72" s="180" t="str">
        <f>IFERROR(__xludf.DUMMYFUNCTION("""COMPUTED_VALUE"""),"PROFR. OCTAVIO VÁZQUEZ BARRETO")</f>
        <v>PROFR. OCTAVIO VÁZQUEZ BARRETO</v>
      </c>
      <c r="K72" s="181" t="str">
        <f>IFERROR(__xludf.DUMMYFUNCTION("""COMPUTED_VALUE"""),"PROFR. ROBERTO PALOMARES MEJÍA ")</f>
        <v>PROFR. ROBERTO PALOMARES MEJÍA 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76"/>
      <c r="B73" s="182" t="str">
        <f>IFERROR(__xludf.DUMMYFUNCTION("""COMPUTED_VALUE"""),"PROMEDIO")</f>
        <v>PROMEDIO</v>
      </c>
      <c r="C73" s="99"/>
      <c r="D73" s="183">
        <f>IFERROR(__xludf.DUMMYFUNCTION("""COMPUTED_VALUE"""),8.918367346938776)</f>
        <v>8.918367347</v>
      </c>
      <c r="E73" s="127"/>
      <c r="G73" s="130"/>
      <c r="K73" s="10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84"/>
      <c r="B74" s="121"/>
      <c r="C74" s="121"/>
      <c r="D74" s="121"/>
      <c r="E74" s="121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1.75" customHeight="1">
      <c r="A75" s="185"/>
      <c r="B75" s="186"/>
      <c r="C75" s="187"/>
      <c r="D75" s="188"/>
      <c r="E75" s="127"/>
      <c r="G75" s="127"/>
      <c r="H75" s="127"/>
      <c r="I75" s="127"/>
      <c r="J75" s="127"/>
      <c r="K75" s="189"/>
      <c r="L75" s="127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0"/>
      <c r="B76" s="127"/>
      <c r="C76" s="127"/>
      <c r="D76" s="162"/>
      <c r="E76" s="127"/>
      <c r="F76" s="121"/>
      <c r="G76" s="121"/>
      <c r="H76" s="121"/>
      <c r="I76" s="121"/>
      <c r="J76" s="121"/>
      <c r="K76" s="128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27.75" customHeight="1">
      <c r="A77" s="190"/>
      <c r="B77" s="127"/>
      <c r="C77" s="127"/>
      <c r="D77" s="191"/>
      <c r="E77" s="127"/>
      <c r="F77" s="192"/>
      <c r="G77" s="121"/>
      <c r="H77" s="192"/>
      <c r="I77" s="192"/>
      <c r="J77" s="192"/>
      <c r="K77" s="193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21.75" customHeight="1">
      <c r="A78" s="194"/>
      <c r="B78" s="195"/>
      <c r="C78" s="195"/>
      <c r="D78" s="196"/>
      <c r="E78" s="197"/>
      <c r="F78" s="198"/>
      <c r="G78" s="199"/>
      <c r="H78" s="198"/>
      <c r="I78" s="198"/>
      <c r="J78" s="198"/>
      <c r="K78" s="200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30"/>
      <c r="K81" s="130"/>
      <c r="L81" s="130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3.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30"/>
      <c r="K82" s="130"/>
      <c r="L82" s="130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3.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64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7"/>
      <c r="C89" s="127"/>
      <c r="D89" s="127"/>
      <c r="E89" s="127"/>
      <c r="F89" s="121"/>
      <c r="G89" s="121"/>
      <c r="H89" s="121"/>
      <c r="I89" s="121"/>
      <c r="J89" s="121"/>
      <c r="K89" s="164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7"/>
      <c r="C90" s="127"/>
      <c r="D90" s="127"/>
      <c r="E90" s="127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4.2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4.2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"/>
    </row>
    <row r="277" ht="13.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"/>
    </row>
    <row r="278" ht="13.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>
      <c r="A1010" s="176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ht="15.75" customHeight="1">
      <c r="A1011" s="176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ht="15.75" customHeight="1"/>
    <row r="1013" ht="15.75" customHeight="1"/>
    <row r="1014" ht="15.75" customHeight="1"/>
    <row r="1015" ht="15.75" customHeight="1"/>
    <row r="1016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70 K18:K6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