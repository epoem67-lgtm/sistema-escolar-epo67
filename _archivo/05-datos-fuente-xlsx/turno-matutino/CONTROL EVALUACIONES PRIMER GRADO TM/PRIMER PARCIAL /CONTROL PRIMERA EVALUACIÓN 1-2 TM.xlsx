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 lengua y comunicacion ii" sheetId="1" r:id="rId5"/>
    <sheet state="visible" name="1-2 ingles ii" sheetId="2" r:id="rId6"/>
    <sheet state="visible" name="1-2 pensamiento matematico ii" sheetId="3" r:id="rId7"/>
    <sheet state="visible" name="1-2 cultura digital ii" sheetId="4" r:id="rId8"/>
    <sheet state="visible" name="1-2 ciencias naturales experime" sheetId="5" r:id="rId9"/>
    <sheet state="visible" name="1-2 pensamiento filosofico y hu" sheetId="6" r:id="rId10"/>
    <sheet state="visible" name="1-2 ciencias sociales ii" sheetId="7" r:id="rId11"/>
    <sheet state="visible" name="1-2 taller de ciencias i" sheetId="8" r:id="rId12"/>
    <sheet state="visible" name="1-2 actividades fisicas y depor" sheetId="9" r:id="rId13"/>
    <sheet state="visible" name="1-2 educacion para la salud ii" sheetId="10" r:id="rId14"/>
    <sheet state="visible" name="1-2 temas selectos de igualdad " sheetId="11" r:id="rId1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6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sz val="10.0"/>
      <color theme="1"/>
      <name val="&quot;Century Gothic&quot;"/>
    </font>
    <font>
      <sz val="11.0"/>
      <color theme="1"/>
      <name val="Arial"/>
    </font>
    <font>
      <b/>
      <sz val="12.0"/>
      <color theme="1"/>
      <name val="Gotham Book"/>
    </font>
    <font>
      <color theme="1"/>
      <name val="Calibri"/>
      <scheme val="minor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  <font>
      <sz val="6.0"/>
      <color theme="1"/>
      <name val="Gotham Book"/>
    </font>
    <font>
      <color theme="1"/>
      <name val="Century Gothic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readingOrder="0" shrinkToFit="0" vertical="center" wrapText="1"/>
    </xf>
    <xf borderId="14" fillId="2" fontId="5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readingOrder="0" shrinkToFit="0" vertical="center" wrapText="1"/>
    </xf>
    <xf borderId="16" fillId="2" fontId="7" numFmtId="0" xfId="0" applyAlignment="1" applyBorder="1" applyFont="1">
      <alignment readingOrder="0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readingOrder="0" vertical="center"/>
    </xf>
    <xf borderId="23" fillId="2" fontId="5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2" numFmtId="1" xfId="0" applyAlignment="1" applyBorder="1" applyFill="1" applyFont="1" applyNumberFormat="1">
      <alignment readingOrder="0" shrinkToFit="0" vertical="bottom" wrapText="0"/>
    </xf>
    <xf borderId="23" fillId="0" fontId="12" numFmtId="1" xfId="0" applyAlignment="1" applyBorder="1" applyFont="1" applyNumberFormat="1">
      <alignment readingOrder="0" shrinkToFit="0" vertical="bottom" wrapText="0"/>
    </xf>
    <xf borderId="23" fillId="3" fontId="12" numFmtId="0" xfId="0" applyAlignment="1" applyBorder="1" applyFont="1">
      <alignment readingOrder="0" shrinkToFit="0" vertical="bottom" wrapText="0"/>
    </xf>
    <xf borderId="23" fillId="0" fontId="13" numFmtId="164" xfId="0" applyAlignment="1" applyBorder="1" applyFont="1" applyNumberFormat="1">
      <alignment horizontal="center" readingOrder="0" vertical="center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3" fillId="0" fontId="12" numFmtId="1" xfId="0" applyAlignment="1" applyBorder="1" applyFont="1" applyNumberFormat="1">
      <alignment horizontal="left" readingOrder="0" shrinkToFit="0" wrapText="0"/>
    </xf>
    <xf borderId="23" fillId="3" fontId="12" numFmtId="0" xfId="0" applyAlignment="1" applyBorder="1" applyFont="1">
      <alignment horizontal="left" readingOrder="0" shrinkToFit="0" vertical="bottom" wrapText="0"/>
    </xf>
    <xf borderId="23" fillId="0" fontId="13" numFmtId="0" xfId="0" applyAlignment="1" applyBorder="1" applyFont="1">
      <alignment horizontal="center" readingOrder="0" vertical="center"/>
    </xf>
    <xf borderId="23" fillId="0" fontId="12" numFmtId="1" xfId="0" applyAlignment="1" applyBorder="1" applyFont="1" applyNumberFormat="1">
      <alignment horizontal="left" readingOrder="0" shrinkToFit="0" vertical="bottom" wrapText="0"/>
    </xf>
    <xf borderId="23" fillId="3" fontId="12" numFmtId="1" xfId="0" applyAlignment="1" applyBorder="1" applyFont="1" applyNumberFormat="1">
      <alignment horizontal="left" readingOrder="0" shrinkToFit="0" vertical="bottom" wrapText="0"/>
    </xf>
    <xf borderId="23" fillId="3" fontId="12" numFmtId="2" xfId="0" applyAlignment="1" applyBorder="1" applyFont="1" applyNumberFormat="1">
      <alignment horizontal="left" readingOrder="0" shrinkToFit="0" vertical="bottom" wrapText="0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15" numFmtId="0" xfId="0" applyFont="1"/>
    <xf borderId="29" fillId="0" fontId="16" numFmtId="0" xfId="0" applyAlignment="1" applyBorder="1" applyFont="1">
      <alignment horizontal="right" readingOrder="0" shrinkToFit="1" vertical="center" wrapText="0"/>
    </xf>
    <xf borderId="30" fillId="0" fontId="3" numFmtId="0" xfId="0" applyBorder="1" applyFont="1"/>
    <xf borderId="31" fillId="0" fontId="17" numFmtId="0" xfId="0" applyAlignment="1" applyBorder="1" applyFont="1">
      <alignment shrinkToFit="1" vertical="center" wrapText="0"/>
    </xf>
    <xf borderId="0" fillId="0" fontId="18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32" fillId="0" fontId="20" numFmtId="0" xfId="0" applyAlignment="1" applyBorder="1" applyFont="1">
      <alignment horizontal="right" shrinkToFit="1" vertical="center" wrapText="0"/>
    </xf>
    <xf borderId="33" fillId="0" fontId="3" numFmtId="0" xfId="0" applyBorder="1" applyFont="1"/>
    <xf borderId="34" fillId="0" fontId="17" numFmtId="0" xfId="0" applyAlignment="1" applyBorder="1" applyFont="1">
      <alignment shrinkToFit="1" vertical="center" wrapText="0"/>
    </xf>
    <xf borderId="35" fillId="0" fontId="17" numFmtId="1" xfId="0" applyAlignment="1" applyBorder="1" applyFont="1" applyNumberFormat="1">
      <alignment shrinkToFit="1" vertical="center" wrapText="0"/>
    </xf>
    <xf borderId="0" fillId="0" fontId="20" numFmtId="0" xfId="0" applyAlignment="1" applyFont="1">
      <alignment shrinkToFit="1" vertical="center" wrapText="0"/>
    </xf>
    <xf borderId="0" fillId="0" fontId="20" numFmtId="0" xfId="0" applyAlignment="1" applyFont="1">
      <alignment horizontal="center" vertical="center"/>
    </xf>
    <xf borderId="0" fillId="0" fontId="20" numFmtId="0" xfId="0" applyFont="1"/>
    <xf borderId="5" fillId="0" fontId="20" numFmtId="0" xfId="0" applyBorder="1" applyFont="1"/>
    <xf borderId="20" fillId="0" fontId="20" numFmtId="0" xfId="0" applyAlignment="1" applyBorder="1" applyFont="1">
      <alignment shrinkToFit="1" vertical="center" wrapText="0"/>
    </xf>
    <xf borderId="20" fillId="0" fontId="20" numFmtId="0" xfId="0" applyBorder="1" applyFont="1"/>
    <xf borderId="21" fillId="0" fontId="20" numFmtId="0" xfId="0" applyBorder="1" applyFont="1"/>
    <xf borderId="35" fillId="0" fontId="17" numFmtId="2" xfId="0" applyAlignment="1" applyBorder="1" applyFont="1" applyNumberFormat="1">
      <alignment shrinkToFit="1" vertical="center" wrapText="0"/>
    </xf>
    <xf borderId="36" fillId="0" fontId="5" numFmtId="0" xfId="0" applyAlignment="1" applyBorder="1" applyFont="1">
      <alignment horizontal="center" readingOrder="0" shrinkToFit="0" vertical="top" wrapText="1"/>
    </xf>
    <xf borderId="0" fillId="0" fontId="20" numFmtId="0" xfId="0" applyAlignment="1" applyFont="1">
      <alignment horizontal="center" vertical="top"/>
    </xf>
    <xf borderId="0" fillId="0" fontId="5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5" fillId="0" fontId="7" numFmtId="0" xfId="0" applyAlignment="1" applyBorder="1" applyFont="1">
      <alignment horizontal="center" readingOrder="0" shrinkToFit="0" vertical="top" wrapText="1"/>
    </xf>
    <xf borderId="0" fillId="0" fontId="18" numFmtId="0" xfId="0" applyFont="1"/>
    <xf borderId="37" fillId="0" fontId="16" numFmtId="0" xfId="0" applyAlignment="1" applyBorder="1" applyFont="1">
      <alignment horizontal="right" readingOrder="0" shrinkToFit="1" vertical="center" wrapText="0"/>
    </xf>
    <xf borderId="38" fillId="0" fontId="3" numFmtId="0" xfId="0" applyBorder="1" applyFont="1"/>
    <xf borderId="39" fillId="0" fontId="14" numFmtId="2" xfId="0" applyAlignment="1" applyBorder="1" applyFont="1" applyNumberFormat="1">
      <alignment vertical="center"/>
    </xf>
    <xf borderId="40" fillId="4" fontId="1" numFmtId="0" xfId="0" applyAlignment="1" applyBorder="1" applyFill="1" applyFont="1">
      <alignment vertical="center"/>
    </xf>
    <xf borderId="41" fillId="4" fontId="1" numFmtId="0" xfId="0" applyAlignment="1" applyBorder="1" applyFont="1">
      <alignment vertical="center"/>
    </xf>
    <xf borderId="0" fillId="4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2" numFmtId="0" xfId="0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vertical="center"/>
    </xf>
    <xf borderId="43" fillId="0" fontId="1" numFmtId="0" xfId="0" applyBorder="1" applyFont="1"/>
    <xf borderId="44" fillId="0" fontId="1" numFmtId="0" xfId="0" applyBorder="1" applyFont="1"/>
    <xf borderId="0" fillId="0" fontId="23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34" fillId="0" fontId="17" numFmtId="1" xfId="0" applyAlignment="1" applyBorder="1" applyFont="1" applyNumberFormat="1">
      <alignment shrinkToFit="1" vertical="center" wrapText="0"/>
    </xf>
    <xf borderId="31" fillId="0" fontId="17" numFmtId="2" xfId="0" applyAlignment="1" applyBorder="1" applyFont="1" applyNumberFormat="1">
      <alignment shrinkToFit="1" vertical="center" wrapText="0"/>
    </xf>
    <xf borderId="0" fillId="0" fontId="18" numFmtId="164" xfId="0" applyAlignment="1" applyFont="1" applyNumberFormat="1">
      <alignment horizontal="center" shrinkToFit="0" vertical="center" wrapText="1"/>
    </xf>
    <xf borderId="0" fillId="0" fontId="19" numFmtId="1" xfId="0" applyAlignment="1" applyFont="1" applyNumberFormat="1">
      <alignment horizontal="center" shrinkToFit="0" vertical="center" wrapText="1"/>
    </xf>
    <xf borderId="20" fillId="0" fontId="24" numFmtId="0" xfId="0" applyAlignment="1" applyBorder="1" applyFont="1">
      <alignment shrinkToFit="1" vertical="center" wrapText="0"/>
    </xf>
    <xf borderId="23" fillId="3" fontId="25" numFmtId="1" xfId="0" applyAlignment="1" applyBorder="1" applyFont="1" applyNumberFormat="1">
      <alignment vertical="bottom"/>
    </xf>
    <xf borderId="23" fillId="0" fontId="25" numFmtId="1" xfId="0" applyAlignment="1" applyBorder="1" applyFont="1" applyNumberFormat="1">
      <alignment vertical="bottom"/>
    </xf>
    <xf borderId="23" fillId="3" fontId="25" numFmtId="0" xfId="0" applyAlignment="1" applyBorder="1" applyFont="1">
      <alignment vertical="bottom"/>
    </xf>
    <xf borderId="23" fillId="3" fontId="25" numFmtId="2" xfId="0" applyAlignment="1" applyBorder="1" applyFont="1" applyNumberForma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590550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79</xdr:row>
      <xdr:rowOff>171450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78</xdr:row>
      <xdr:rowOff>104775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609600</xdr:colOff>
      <xdr:row>1</xdr:row>
      <xdr:rowOff>133350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80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 11,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78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590550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80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78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590550</xdr:colOff>
      <xdr:row>1</xdr:row>
      <xdr:rowOff>180975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79</xdr:row>
      <xdr:rowOff>171450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78</xdr:row>
      <xdr:rowOff>104775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80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78</xdr:row>
      <xdr:rowOff>114300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80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78</xdr:row>
      <xdr:rowOff>114300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1</xdr:row>
      <xdr:rowOff>190500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371475</xdr:colOff>
      <xdr:row>81</xdr:row>
      <xdr:rowOff>47625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79</xdr:row>
      <xdr:rowOff>95250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600075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80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78</xdr:row>
      <xdr:rowOff>114300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142875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79</xdr:row>
      <xdr:rowOff>123825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78</xdr:row>
      <xdr:rowOff>57150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600075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257175</xdr:colOff>
      <xdr:row>79</xdr:row>
      <xdr:rowOff>104775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78</xdr:row>
      <xdr:rowOff>85725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628650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371475</xdr:colOff>
      <xdr:row>79</xdr:row>
      <xdr:rowOff>123825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78</xdr:row>
      <xdr:rowOff>57150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IFERROR(__xludf.DUMMYFUNCTION("IMPORTRANGE(""https://docs.google.com/spreadsheets/d/15bT4tGt_SY5EX9TmAFufOHHJJzVU7wpgSlESt_nFSzQ/edit?gid=868681460#gid=868681460"",""1-2 lengua y comunicacion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IFERROR(__xludf.DUMMYFUNCTION("""COMPUTED_VALUE"""),"BERENICE PALACIOS ")</f>
        <v>BERENICE PALACIOS 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IFERROR(__xludf.DUMMYFUNCTION("""COMPUTED_VALUE"""),"LENGUA Y COMUNICACIÓN II")</f>
        <v>LENGUA Y COMUNICACIÓN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IFERROR(__xludf.DUMMYFUNCTION("""COMPUTED_VALUE"""),"AMBROSIO")</f>
        <v>AMBROSIO</v>
      </c>
      <c r="C17" s="53" t="str">
        <f>IFERROR(__xludf.DUMMYFUNCTION("""COMPUTED_VALUE"""),"RAMIREZ")</f>
        <v>RAMIREZ</v>
      </c>
      <c r="D17" s="54" t="str">
        <f>IFERROR(__xludf.DUMMYFUNCTION("""COMPUTED_VALUE"""),"ALEXANDRA")</f>
        <v>ALEXANDRA</v>
      </c>
      <c r="E17" s="55">
        <f>IFERROR(__xludf.DUMMYFUNCTION("""COMPUTED_VALUE"""),6.5)</f>
        <v>6.5</v>
      </c>
      <c r="F17" s="55">
        <f>IFERROR(__xludf.DUMMYFUNCTION("""COMPUTED_VALUE"""),2.0)</f>
        <v>2</v>
      </c>
      <c r="G17" s="56"/>
      <c r="H17" s="57">
        <f>IFERROR(__xludf.DUMMYFUNCTION("""COMPUTED_VALUE"""),8.5)</f>
        <v>8.5</v>
      </c>
      <c r="I17" s="58">
        <f>IFERROR(__xludf.DUMMYFUNCTION("""COMPUTED_VALUE"""),3.0)</f>
        <v>3</v>
      </c>
      <c r="J17" s="59">
        <f>IFERROR(__xludf.DUMMYFUNCTION("""COMPUTED_VALUE"""),9.0)</f>
        <v>9</v>
      </c>
      <c r="K17" s="60"/>
      <c r="L17" s="61">
        <f>IFERROR(__xludf.DUMMYFUNCTION("""COMPUTED_VALUE"""),9.0)</f>
        <v>9</v>
      </c>
      <c r="M17" s="1" t="str">
        <f>IFERROR(__xludf.DUMMYFUNCTION("""COMPUTED_VALUE"""),"Febrero")</f>
        <v>Febrero</v>
      </c>
      <c r="N17" s="1">
        <f>IFERROR(__xludf.DUMMYFUNCTION("""COMPUTED_VALUE"""),8.0)</f>
        <v>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IFERROR(__xludf.DUMMYFUNCTION("""COMPUTED_VALUE"""),"AVILA")</f>
        <v>AVILA</v>
      </c>
      <c r="C18" s="52" t="str">
        <f>IFERROR(__xludf.DUMMYFUNCTION("""COMPUTED_VALUE"""),"MORALES")</f>
        <v>MORALES</v>
      </c>
      <c r="D18" s="54" t="str">
        <f>IFERROR(__xludf.DUMMYFUNCTION("""COMPUTED_VALUE"""),"EDWIN ADAHIR")</f>
        <v>EDWIN ADAHIR</v>
      </c>
      <c r="E18" s="55">
        <f>IFERROR(__xludf.DUMMYFUNCTION("""COMPUTED_VALUE"""),4.0)</f>
        <v>4</v>
      </c>
      <c r="F18" s="55">
        <f>IFERROR(__xludf.DUMMYFUNCTION("""COMPUTED_VALUE"""),2.0)</f>
        <v>2</v>
      </c>
      <c r="G18" s="56"/>
      <c r="H18" s="57">
        <f>IFERROR(__xludf.DUMMYFUNCTION("""COMPUTED_VALUE"""),6.0)</f>
        <v>6</v>
      </c>
      <c r="I18" s="58">
        <f>IFERROR(__xludf.DUMMYFUNCTION("""COMPUTED_VALUE"""),1.0)</f>
        <v>1</v>
      </c>
      <c r="J18" s="59">
        <f>IFERROR(__xludf.DUMMYFUNCTION("""COMPUTED_VALUE"""),6.0)</f>
        <v>6</v>
      </c>
      <c r="K18" s="51"/>
      <c r="L18" s="61">
        <f>IFERROR(__xludf.DUMMYFUNCTION("""COMPUTED_VALUE"""),6.0)</f>
        <v>6</v>
      </c>
      <c r="M18" s="1" t="str">
        <f>IFERROR(__xludf.DUMMYFUNCTION("""COMPUTED_VALUE"""),"Marzo")</f>
        <v>Marzo</v>
      </c>
      <c r="N18" s="1">
        <f>IFERROR(__xludf.DUMMYFUNCTION("""COMPUTED_VALUE"""),15.0)</f>
        <v>15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IFERROR(__xludf.DUMMYFUNCTION("""COMPUTED_VALUE"""),"AVILA")</f>
        <v>AVILA</v>
      </c>
      <c r="C19" s="52" t="str">
        <f>IFERROR(__xludf.DUMMYFUNCTION("""COMPUTED_VALUE"""),"RAMIREZ")</f>
        <v>RAMIREZ</v>
      </c>
      <c r="D19" s="54" t="str">
        <f>IFERROR(__xludf.DUMMYFUNCTION("""COMPUTED_VALUE"""),"SANTIAGO")</f>
        <v>SANTIAGO</v>
      </c>
      <c r="E19" s="56">
        <f>IFERROR(__xludf.DUMMYFUNCTION("""COMPUTED_VALUE"""),7.0)</f>
        <v>7</v>
      </c>
      <c r="F19" s="55">
        <f>IFERROR(__xludf.DUMMYFUNCTION("""COMPUTED_VALUE"""),2.0)</f>
        <v>2</v>
      </c>
      <c r="G19" s="56"/>
      <c r="H19" s="57">
        <f>IFERROR(__xludf.DUMMYFUNCTION("""COMPUTED_VALUE"""),9.0)</f>
        <v>9</v>
      </c>
      <c r="I19" s="58">
        <f>IFERROR(__xludf.DUMMYFUNCTION("""COMPUTED_VALUE"""),2.0)</f>
        <v>2</v>
      </c>
      <c r="J19" s="59">
        <f>IFERROR(__xludf.DUMMYFUNCTION("""COMPUTED_VALUE"""),9.0)</f>
        <v>9</v>
      </c>
      <c r="K19" s="51"/>
      <c r="L19" s="61">
        <f>IFERROR(__xludf.DUMMYFUNCTION("""COMPUTED_VALUE"""),9.0)</f>
        <v>9</v>
      </c>
      <c r="M19" s="1" t="str">
        <f>IFERROR(__xludf.DUMMYFUNCTION("""COMPUTED_VALUE"""),"Abril")</f>
        <v>Abril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IFERROR(__xludf.DUMMYFUNCTION("""COMPUTED_VALUE"""),"BARRAZA")</f>
        <v>BARRAZA</v>
      </c>
      <c r="C20" s="52" t="str">
        <f>IFERROR(__xludf.DUMMYFUNCTION("""COMPUTED_VALUE"""),"MONTELONGO")</f>
        <v>MONTELONGO</v>
      </c>
      <c r="D20" s="54" t="str">
        <f>IFERROR(__xludf.DUMMYFUNCTION("""COMPUTED_VALUE"""),"STEFANY YANELI")</f>
        <v>STEFANY YANELI</v>
      </c>
      <c r="E20" s="55">
        <f>IFERROR(__xludf.DUMMYFUNCTION("""COMPUTED_VALUE"""),7.5)</f>
        <v>7.5</v>
      </c>
      <c r="F20" s="55">
        <f>IFERROR(__xludf.DUMMYFUNCTION("""COMPUTED_VALUE"""),2.0)</f>
        <v>2</v>
      </c>
      <c r="G20" s="56">
        <f>IFERROR(__xludf.DUMMYFUNCTION("""COMPUTED_VALUE"""),1.0)</f>
        <v>1</v>
      </c>
      <c r="H20" s="57">
        <f>IFERROR(__xludf.DUMMYFUNCTION("""COMPUTED_VALUE"""),10.5)</f>
        <v>10.5</v>
      </c>
      <c r="I20" s="58">
        <f>IFERROR(__xludf.DUMMYFUNCTION("""COMPUTED_VALUE"""),1.0)</f>
        <v>1</v>
      </c>
      <c r="J20" s="59">
        <f>IFERROR(__xludf.DUMMYFUNCTION("""COMPUTED_VALUE"""),10.0)</f>
        <v>10</v>
      </c>
      <c r="K20" s="51"/>
      <c r="L20" s="61">
        <f>IFERROR(__xludf.DUMMYFUNCTION("""COMPUTED_VALUE"""),11.0)</f>
        <v>11</v>
      </c>
      <c r="M20" s="1" t="str">
        <f>IFERROR(__xludf.DUMMYFUNCTION("""COMPUTED_VALUE"""),"Mayo")</f>
        <v>Mayo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IFERROR(__xludf.DUMMYFUNCTION("""COMPUTED_VALUE"""),"BECERRA")</f>
        <v>BECERRA</v>
      </c>
      <c r="C21" s="52" t="str">
        <f>IFERROR(__xludf.DUMMYFUNCTION("""COMPUTED_VALUE"""),"FLORES")</f>
        <v>FLORES</v>
      </c>
      <c r="D21" s="54" t="str">
        <f>IFERROR(__xludf.DUMMYFUNCTION("""COMPUTED_VALUE"""),"HADE JETZABEL")</f>
        <v>HADE JETZABEL</v>
      </c>
      <c r="E21" s="55">
        <f>IFERROR(__xludf.DUMMYFUNCTION("""COMPUTED_VALUE"""),7.0)</f>
        <v>7</v>
      </c>
      <c r="F21" s="55">
        <f>IFERROR(__xludf.DUMMYFUNCTION("""COMPUTED_VALUE"""),0.0)</f>
        <v>0</v>
      </c>
      <c r="G21" s="56">
        <f>IFERROR(__xludf.DUMMYFUNCTION("""COMPUTED_VALUE"""),1.0)</f>
        <v>1</v>
      </c>
      <c r="H21" s="57">
        <f>IFERROR(__xludf.DUMMYFUNCTION("""COMPUTED_VALUE"""),8.0)</f>
        <v>8</v>
      </c>
      <c r="I21" s="58">
        <f>IFERROR(__xludf.DUMMYFUNCTION("""COMPUTED_VALUE"""),1.0)</f>
        <v>1</v>
      </c>
      <c r="J21" s="59">
        <f>IFERROR(__xludf.DUMMYFUNCTION("""COMPUTED_VALUE"""),8.0)</f>
        <v>8</v>
      </c>
      <c r="K21" s="51"/>
      <c r="L21" s="61">
        <f>IFERROR(__xludf.DUMMYFUNCTION("""COMPUTED_VALUE"""),8.0)</f>
        <v>8</v>
      </c>
      <c r="M21" s="1" t="str">
        <f>IFERROR(__xludf.DUMMYFUNCTION("""COMPUTED_VALUE"""),"Junio")</f>
        <v>Junio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IFERROR(__xludf.DUMMYFUNCTION("""COMPUTED_VALUE"""),"BELLO")</f>
        <v>BELLO</v>
      </c>
      <c r="C22" s="52" t="str">
        <f>IFERROR(__xludf.DUMMYFUNCTION("""COMPUTED_VALUE"""),"CHAVEZ")</f>
        <v>CHAVEZ</v>
      </c>
      <c r="D22" s="54" t="str">
        <f>IFERROR(__xludf.DUMMYFUNCTION("""COMPUTED_VALUE"""),"EMILIO SEBASTIAN")</f>
        <v>EMILIO SEBASTIAN</v>
      </c>
      <c r="E22" s="55">
        <f>IFERROR(__xludf.DUMMYFUNCTION("""COMPUTED_VALUE"""),7.0)</f>
        <v>7</v>
      </c>
      <c r="F22" s="55">
        <f>IFERROR(__xludf.DUMMYFUNCTION("""COMPUTED_VALUE"""),1.0)</f>
        <v>1</v>
      </c>
      <c r="G22" s="56"/>
      <c r="H22" s="57">
        <f>IFERROR(__xludf.DUMMYFUNCTION("""COMPUTED_VALUE"""),8.0)</f>
        <v>8</v>
      </c>
      <c r="I22" s="58">
        <f>IFERROR(__xludf.DUMMYFUNCTION("""COMPUTED_VALUE"""),2.0)</f>
        <v>2</v>
      </c>
      <c r="J22" s="59">
        <f>IFERROR(__xludf.DUMMYFUNCTION("""COMPUTED_VALUE"""),8.0)</f>
        <v>8</v>
      </c>
      <c r="K22" s="51"/>
      <c r="L22" s="61">
        <f>IFERROR(__xludf.DUMMYFUNCTION("""COMPUTED_VALUE"""),8.0)</f>
        <v>8</v>
      </c>
      <c r="M22" s="1" t="str">
        <f>IFERROR(__xludf.DUMMYFUNCTION("""COMPUTED_VALUE"""),"Julio")</f>
        <v>Julio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IFERROR(__xludf.DUMMYFUNCTION("""COMPUTED_VALUE"""),"CASAS")</f>
        <v>CASAS</v>
      </c>
      <c r="C23" s="52" t="str">
        <f>IFERROR(__xludf.DUMMYFUNCTION("""COMPUTED_VALUE"""),"GARCIA")</f>
        <v>GARCIA</v>
      </c>
      <c r="D23" s="54" t="str">
        <f>IFERROR(__xludf.DUMMYFUNCTION("""COMPUTED_VALUE"""),"ZEUS ANTHUAN")</f>
        <v>ZEUS ANTHUAN</v>
      </c>
      <c r="E23" s="55">
        <f>IFERROR(__xludf.DUMMYFUNCTION("""COMPUTED_VALUE"""),7.5)</f>
        <v>7.5</v>
      </c>
      <c r="F23" s="55">
        <f>IFERROR(__xludf.DUMMYFUNCTION("""COMPUTED_VALUE"""),1.2)</f>
        <v>1.2</v>
      </c>
      <c r="G23" s="56"/>
      <c r="H23" s="57">
        <f>IFERROR(__xludf.DUMMYFUNCTION("""COMPUTED_VALUE"""),8.7)</f>
        <v>8.7</v>
      </c>
      <c r="I23" s="58">
        <f>IFERROR(__xludf.DUMMYFUNCTION("""COMPUTED_VALUE"""),2.0)</f>
        <v>2</v>
      </c>
      <c r="J23" s="59">
        <f>IFERROR(__xludf.DUMMYFUNCTION("""COMPUTED_VALUE"""),9.0)</f>
        <v>9</v>
      </c>
      <c r="K23" s="51"/>
      <c r="L23" s="61">
        <f>IFERROR(__xludf.DUMMYFUNCTION("""COMPUTED_VALUE"""),9.0)</f>
        <v>9</v>
      </c>
      <c r="M23" s="1" t="str">
        <f>IFERROR(__xludf.DUMMYFUNCTION("""COMPUTED_VALUE"""),"TOTAL")</f>
        <v>TOTAL</v>
      </c>
      <c r="N23" s="1">
        <f>IFERROR(__xludf.DUMMYFUNCTION("""COMPUTED_VALUE"""),23.0)</f>
        <v>23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IFERROR(__xludf.DUMMYFUNCTION("""COMPUTED_VALUE"""),"CHICO")</f>
        <v>CHICO</v>
      </c>
      <c r="C24" s="52" t="str">
        <f>IFERROR(__xludf.DUMMYFUNCTION("""COMPUTED_VALUE"""),"ORTIZ")</f>
        <v>ORTIZ</v>
      </c>
      <c r="D24" s="54" t="str">
        <f>IFERROR(__xludf.DUMMYFUNCTION("""COMPUTED_VALUE"""),"ALAN")</f>
        <v>ALAN</v>
      </c>
      <c r="E24" s="56">
        <f>IFERROR(__xludf.DUMMYFUNCTION("""COMPUTED_VALUE"""),7.0)</f>
        <v>7</v>
      </c>
      <c r="F24" s="55">
        <f>IFERROR(__xludf.DUMMYFUNCTION("""COMPUTED_VALUE"""),2.0)</f>
        <v>2</v>
      </c>
      <c r="G24" s="56"/>
      <c r="H24" s="57">
        <f>IFERROR(__xludf.DUMMYFUNCTION("""COMPUTED_VALUE"""),9.0)</f>
        <v>9</v>
      </c>
      <c r="I24" s="58">
        <f>IFERROR(__xludf.DUMMYFUNCTION("""COMPUTED_VALUE"""),2.0)</f>
        <v>2</v>
      </c>
      <c r="J24" s="59">
        <f>IFERROR(__xludf.DUMMYFUNCTION("""COMPUTED_VALUE"""),9.0)</f>
        <v>9</v>
      </c>
      <c r="K24" s="51"/>
      <c r="L24" s="61">
        <f>IFERROR(__xludf.DUMMYFUNCTION("""COMPUTED_VALUE"""),9.0)</f>
        <v>9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IFERROR(__xludf.DUMMYFUNCTION("""COMPUTED_VALUE"""),"COLIN")</f>
        <v>COLIN</v>
      </c>
      <c r="C25" s="52" t="str">
        <f>IFERROR(__xludf.DUMMYFUNCTION("""COMPUTED_VALUE"""),"GARCIA")</f>
        <v>GARCIA</v>
      </c>
      <c r="D25" s="54" t="str">
        <f>IFERROR(__xludf.DUMMYFUNCTION("""COMPUTED_VALUE"""),"DONOBAN RODRIGO")</f>
        <v>DONOBAN RODRIGO</v>
      </c>
      <c r="E25" s="55">
        <f>IFERROR(__xludf.DUMMYFUNCTION("""COMPUTED_VALUE"""),4.0)</f>
        <v>4</v>
      </c>
      <c r="F25" s="55">
        <f>IFERROR(__xludf.DUMMYFUNCTION("""COMPUTED_VALUE"""),2.0)</f>
        <v>2</v>
      </c>
      <c r="G25" s="56">
        <f>IFERROR(__xludf.DUMMYFUNCTION("""COMPUTED_VALUE"""),1.0)</f>
        <v>1</v>
      </c>
      <c r="H25" s="57">
        <f>IFERROR(__xludf.DUMMYFUNCTION("""COMPUTED_VALUE"""),7.0)</f>
        <v>7</v>
      </c>
      <c r="I25" s="58">
        <f>IFERROR(__xludf.DUMMYFUNCTION("""COMPUTED_VALUE"""),0.0)</f>
        <v>0</v>
      </c>
      <c r="J25" s="59">
        <f>IFERROR(__xludf.DUMMYFUNCTION("""COMPUTED_VALUE"""),7.0)</f>
        <v>7</v>
      </c>
      <c r="K25" s="51"/>
      <c r="L25" s="61">
        <f>IFERROR(__xludf.DUMMYFUNCTION("""COMPUTED_VALUE"""),7.0)</f>
        <v>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IFERROR(__xludf.DUMMYFUNCTION("""COMPUTED_VALUE"""),"CONTRERAS")</f>
        <v>CONTRERAS</v>
      </c>
      <c r="C26" s="52" t="str">
        <f>IFERROR(__xludf.DUMMYFUNCTION("""COMPUTED_VALUE"""),"QUIJADA")</f>
        <v>QUIJADA</v>
      </c>
      <c r="D26" s="52" t="str">
        <f>IFERROR(__xludf.DUMMYFUNCTION("""COMPUTED_VALUE"""),"LEONARDO")</f>
        <v>LEONARDO</v>
      </c>
      <c r="E26" s="56">
        <f>IFERROR(__xludf.DUMMYFUNCTION("""COMPUTED_VALUE"""),2.0)</f>
        <v>2</v>
      </c>
      <c r="F26" s="55">
        <f>IFERROR(__xludf.DUMMYFUNCTION("""COMPUTED_VALUE"""),1.2)</f>
        <v>1.2</v>
      </c>
      <c r="G26" s="56"/>
      <c r="H26" s="57">
        <f>IFERROR(__xludf.DUMMYFUNCTION("""COMPUTED_VALUE"""),3.2)</f>
        <v>3.2</v>
      </c>
      <c r="I26" s="58">
        <f>IFERROR(__xludf.DUMMYFUNCTION("""COMPUTED_VALUE"""),2.0)</f>
        <v>2</v>
      </c>
      <c r="J26" s="59">
        <f>IFERROR(__xludf.DUMMYFUNCTION("""COMPUTED_VALUE"""),5.0)</f>
        <v>5</v>
      </c>
      <c r="K26" s="51"/>
      <c r="L26" s="61">
        <f>IFERROR(__xludf.DUMMYFUNCTION("""COMPUTED_VALUE"""),3.0)</f>
        <v>3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IFERROR(__xludf.DUMMYFUNCTION("""COMPUTED_VALUE"""),"COVARRUBIAS")</f>
        <v>COVARRUBIAS</v>
      </c>
      <c r="C27" s="52" t="str">
        <f>IFERROR(__xludf.DUMMYFUNCTION("""COMPUTED_VALUE"""),"ACOSTA")</f>
        <v>ACOSTA</v>
      </c>
      <c r="D27" s="54" t="str">
        <f>IFERROR(__xludf.DUMMYFUNCTION("""COMPUTED_VALUE"""),"SAMANTHA ANGELINE")</f>
        <v>SAMANTHA ANGELINE</v>
      </c>
      <c r="E27" s="55">
        <f>IFERROR(__xludf.DUMMYFUNCTION("""COMPUTED_VALUE"""),8.0)</f>
        <v>8</v>
      </c>
      <c r="F27" s="55">
        <f>IFERROR(__xludf.DUMMYFUNCTION("""COMPUTED_VALUE"""),1.6)</f>
        <v>1.6</v>
      </c>
      <c r="G27" s="56"/>
      <c r="H27" s="57">
        <f>IFERROR(__xludf.DUMMYFUNCTION("""COMPUTED_VALUE"""),9.6)</f>
        <v>9.6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IFERROR(__xludf.DUMMYFUNCTION("""COMPUTED_VALUE"""),"GALVEZ")</f>
        <v>GALVEZ</v>
      </c>
      <c r="D28" s="54" t="str">
        <f>IFERROR(__xludf.DUMMYFUNCTION("""COMPUTED_VALUE"""),"PARIS EMILIANO")</f>
        <v>PARIS EMILIANO</v>
      </c>
      <c r="E28" s="55">
        <f>IFERROR(__xludf.DUMMYFUNCTION("""COMPUTED_VALUE"""),8.0)</f>
        <v>8</v>
      </c>
      <c r="F28" s="55">
        <f>IFERROR(__xludf.DUMMYFUNCTION("""COMPUTED_VALUE"""),2.0)</f>
        <v>2</v>
      </c>
      <c r="G28" s="56"/>
      <c r="H28" s="57">
        <f>IFERROR(__xludf.DUMMYFUNCTION("""COMPUTED_VALUE"""),10.0)</f>
        <v>10</v>
      </c>
      <c r="I28" s="58">
        <f>IFERROR(__xludf.DUMMYFUNCTION("""COMPUTED_VALUE"""),1.0)</f>
        <v>1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IFERROR(__xludf.DUMMYFUNCTION("""COMPUTED_VALUE"""),"OROPEZA")</f>
        <v>OROPEZA</v>
      </c>
      <c r="D29" s="54" t="str">
        <f>IFERROR(__xludf.DUMMYFUNCTION("""COMPUTED_VALUE"""),"REBECA JANELLE")</f>
        <v>REBECA JANELLE</v>
      </c>
      <c r="E29" s="55">
        <f>IFERROR(__xludf.DUMMYFUNCTION("""COMPUTED_VALUE"""),7.5)</f>
        <v>7.5</v>
      </c>
      <c r="F29" s="55">
        <f>IFERROR(__xludf.DUMMYFUNCTION("""COMPUTED_VALUE"""),0.0)</f>
        <v>0</v>
      </c>
      <c r="G29" s="56"/>
      <c r="H29" s="57">
        <f>IFERROR(__xludf.DUMMYFUNCTION("""COMPUTED_VALUE"""),7.5)</f>
        <v>7.5</v>
      </c>
      <c r="I29" s="58">
        <f>IFERROR(__xludf.DUMMYFUNCTION("""COMPUTED_VALUE"""),0.0)</f>
        <v>0</v>
      </c>
      <c r="J29" s="59">
        <f>IFERROR(__xludf.DUMMYFUNCTION("""COMPUTED_VALUE"""),8.0)</f>
        <v>8</v>
      </c>
      <c r="K29" s="51"/>
      <c r="L29" s="61">
        <f>IFERROR(__xludf.DUMMYFUNCTION("""COMPUTED_VALUE"""),8.0)</f>
        <v>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IFERROR(__xludf.DUMMYFUNCTION("""COMPUTED_VALUE"""),"ELIZALDE")</f>
        <v>ELIZALDE</v>
      </c>
      <c r="C30" s="52" t="str">
        <f>IFERROR(__xludf.DUMMYFUNCTION("""COMPUTED_VALUE"""),"MOLINA")</f>
        <v>MOLINA</v>
      </c>
      <c r="D30" s="54" t="str">
        <f>IFERROR(__xludf.DUMMYFUNCTION("""COMPUTED_VALUE"""),"BARBARA SOFIA")</f>
        <v>BARBARA SOFIA</v>
      </c>
      <c r="E30" s="56">
        <f>IFERROR(__xludf.DUMMYFUNCTION("""COMPUTED_VALUE"""),8.0)</f>
        <v>8</v>
      </c>
      <c r="F30" s="55">
        <f>IFERROR(__xludf.DUMMYFUNCTION("""COMPUTED_VALUE"""),1.6)</f>
        <v>1.6</v>
      </c>
      <c r="G30" s="56">
        <f>IFERROR(__xludf.DUMMYFUNCTION("""COMPUTED_VALUE"""),1.0)</f>
        <v>1</v>
      </c>
      <c r="H30" s="57">
        <f>IFERROR(__xludf.DUMMYFUNCTION("""COMPUTED_VALUE"""),10.6)</f>
        <v>10.6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IFERROR(__xludf.DUMMYFUNCTION("""COMPUTED_VALUE"""),11.0)</f>
        <v>11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IFERROR(__xludf.DUMMYFUNCTION("""COMPUTED_VALUE"""),"ENCINAS")</f>
        <v>ENCINAS</v>
      </c>
      <c r="C31" s="52" t="str">
        <f>IFERROR(__xludf.DUMMYFUNCTION("""COMPUTED_VALUE"""),"RODRIGUEZ")</f>
        <v>RODRIGUEZ</v>
      </c>
      <c r="D31" s="54" t="str">
        <f>IFERROR(__xludf.DUMMYFUNCTION("""COMPUTED_VALUE"""),"CESAR ROBERTO")</f>
        <v>CESAR ROBERTO</v>
      </c>
      <c r="E31" s="56">
        <f>IFERROR(__xludf.DUMMYFUNCTION("""COMPUTED_VALUE"""),8.0)</f>
        <v>8</v>
      </c>
      <c r="F31" s="55">
        <f>IFERROR(__xludf.DUMMYFUNCTION("""COMPUTED_VALUE"""),1.4)</f>
        <v>1.4</v>
      </c>
      <c r="G31" s="56"/>
      <c r="H31" s="57">
        <f>IFERROR(__xludf.DUMMYFUNCTION("""COMPUTED_VALUE"""),9.4)</f>
        <v>9.4</v>
      </c>
      <c r="I31" s="58">
        <f>IFERROR(__xludf.DUMMYFUNCTION("""COMPUTED_VALUE"""),1.0)</f>
        <v>1</v>
      </c>
      <c r="J31" s="59">
        <f>IFERROR(__xludf.DUMMYFUNCTION("""COMPUTED_VALUE"""),9.0)</f>
        <v>9</v>
      </c>
      <c r="K31" s="51"/>
      <c r="L31" s="61">
        <f>IFERROR(__xludf.DUMMYFUNCTION("""COMPUTED_VALUE"""),9.0)</f>
        <v>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IFERROR(__xludf.DUMMYFUNCTION("""COMPUTED_VALUE"""),"VARGAS")</f>
        <v>VARGAS</v>
      </c>
      <c r="D32" s="54" t="str">
        <f>IFERROR(__xludf.DUMMYFUNCTION("""COMPUTED_VALUE"""),"JESUS SANTIAGO")</f>
        <v>JESUS SANTIAGO</v>
      </c>
      <c r="E32" s="55">
        <f>IFERROR(__xludf.DUMMYFUNCTION("""COMPUTED_VALUE"""),6.8)</f>
        <v>6.8</v>
      </c>
      <c r="F32" s="55">
        <f>IFERROR(__xludf.DUMMYFUNCTION("""COMPUTED_VALUE"""),1.0)</f>
        <v>1</v>
      </c>
      <c r="G32" s="56"/>
      <c r="H32" s="57">
        <f>IFERROR(__xludf.DUMMYFUNCTION("""COMPUTED_VALUE"""),7.8)</f>
        <v>7.8</v>
      </c>
      <c r="I32" s="58">
        <f>IFERROR(__xludf.DUMMYFUNCTION("""COMPUTED_VALUE"""),1.0)</f>
        <v>1</v>
      </c>
      <c r="J32" s="59">
        <f>IFERROR(__xludf.DUMMYFUNCTION("""COMPUTED_VALUE"""),8.0)</f>
        <v>8</v>
      </c>
      <c r="K32" s="51"/>
      <c r="L32" s="61">
        <f>IFERROR(__xludf.DUMMYFUNCTION("""COMPUTED_VALUE"""),8.0)</f>
        <v>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IFERROR(__xludf.DUMMYFUNCTION("""COMPUTED_VALUE"""),"FINKENTHAL")</f>
        <v>FINKENTHAL</v>
      </c>
      <c r="C33" s="52" t="str">
        <f>IFERROR(__xludf.DUMMYFUNCTION("""COMPUTED_VALUE"""),"RAMIREZ")</f>
        <v>RAMIREZ</v>
      </c>
      <c r="D33" s="54" t="str">
        <f>IFERROR(__xludf.DUMMYFUNCTION("""COMPUTED_VALUE"""),"ALENKA")</f>
        <v>ALENKA</v>
      </c>
      <c r="E33" s="55">
        <f>IFERROR(__xludf.DUMMYFUNCTION("""COMPUTED_VALUE"""),8.0)</f>
        <v>8</v>
      </c>
      <c r="F33" s="55">
        <f>IFERROR(__xludf.DUMMYFUNCTION("""COMPUTED_VALUE"""),2.0)</f>
        <v>2</v>
      </c>
      <c r="G33" s="56">
        <f>IFERROR(__xludf.DUMMYFUNCTION("""COMPUTED_VALUE"""),1.0)</f>
        <v>1</v>
      </c>
      <c r="H33" s="57">
        <f>IFERROR(__xludf.DUMMYFUNCTION("""COMPUTED_VALUE"""),11.0)</f>
        <v>11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IFERROR(__xludf.DUMMYFUNCTION("""COMPUTED_VALUE"""),11.0)</f>
        <v>11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IFERROR(__xludf.DUMMYFUNCTION("""COMPUTED_VALUE"""),"FLORES")</f>
        <v>FLORES</v>
      </c>
      <c r="C34" s="52" t="str">
        <f>IFERROR(__xludf.DUMMYFUNCTION("""COMPUTED_VALUE"""),"PEREZ")</f>
        <v>PEREZ</v>
      </c>
      <c r="D34" s="54" t="str">
        <f>IFERROR(__xludf.DUMMYFUNCTION("""COMPUTED_VALUE"""),"ROBERTO")</f>
        <v>ROBERTO</v>
      </c>
      <c r="E34" s="56">
        <f>IFERROR(__xludf.DUMMYFUNCTION("""COMPUTED_VALUE"""),3.0)</f>
        <v>3</v>
      </c>
      <c r="F34" s="55">
        <f>IFERROR(__xludf.DUMMYFUNCTION("""COMPUTED_VALUE"""),1.4)</f>
        <v>1.4</v>
      </c>
      <c r="G34" s="56"/>
      <c r="H34" s="57">
        <f>IFERROR(__xludf.DUMMYFUNCTION("""COMPUTED_VALUE"""),4.4)</f>
        <v>4.4</v>
      </c>
      <c r="I34" s="58">
        <f>IFERROR(__xludf.DUMMYFUNCTION("""COMPUTED_VALUE"""),2.0)</f>
        <v>2</v>
      </c>
      <c r="J34" s="59">
        <f>IFERROR(__xludf.DUMMYFUNCTION("""COMPUTED_VALUE"""),5.0)</f>
        <v>5</v>
      </c>
      <c r="K34" s="51"/>
      <c r="L34" s="61">
        <f>IFERROR(__xludf.DUMMYFUNCTION("""COMPUTED_VALUE"""),4.0)</f>
        <v>4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IFERROR(__xludf.DUMMYFUNCTION("""COMPUTED_VALUE"""),"FLORES")</f>
        <v>FLORES</v>
      </c>
      <c r="C35" s="52" t="str">
        <f>IFERROR(__xludf.DUMMYFUNCTION("""COMPUTED_VALUE"""),"RODRIGUEZ")</f>
        <v>RODRIGUEZ</v>
      </c>
      <c r="D35" s="54" t="str">
        <f>IFERROR(__xludf.DUMMYFUNCTION("""COMPUTED_VALUE"""),"FRANCISCO ISAAC")</f>
        <v>FRANCISCO ISAAC</v>
      </c>
      <c r="E35" s="55">
        <f>IFERROR(__xludf.DUMMYFUNCTION("""COMPUTED_VALUE"""),58.0)</f>
        <v>58</v>
      </c>
      <c r="F35" s="55">
        <f>IFERROR(__xludf.DUMMYFUNCTION("""COMPUTED_VALUE"""),20.0)</f>
        <v>20</v>
      </c>
      <c r="G35" s="56">
        <f>IFERROR(__xludf.DUMMYFUNCTION("""COMPUTED_VALUE"""),1.0)</f>
        <v>1</v>
      </c>
      <c r="H35" s="57">
        <f>IFERROR(__xludf.DUMMYFUNCTION("""COMPUTED_VALUE"""),79.0)</f>
        <v>79</v>
      </c>
      <c r="I35" s="58">
        <f>IFERROR(__xludf.DUMMYFUNCTION("""COMPUTED_VALUE"""),1.0)</f>
        <v>1</v>
      </c>
      <c r="J35" s="59">
        <f>IFERROR(__xludf.DUMMYFUNCTION("""COMPUTED_VALUE"""),10.0)</f>
        <v>10</v>
      </c>
      <c r="K35" s="51"/>
      <c r="L35" s="61">
        <f>IFERROR(__xludf.DUMMYFUNCTION("""COMPUTED_VALUE"""),79.0)</f>
        <v>79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IFERROR(__xludf.DUMMYFUNCTION("""COMPUTED_VALUE"""),"GONZALEZ")</f>
        <v>GONZALEZ</v>
      </c>
      <c r="C36" s="52" t="str">
        <f>IFERROR(__xludf.DUMMYFUNCTION("""COMPUTED_VALUE"""),"GONZALEZ")</f>
        <v>GONZALEZ</v>
      </c>
      <c r="D36" s="54" t="str">
        <f>IFERROR(__xludf.DUMMYFUNCTION("""COMPUTED_VALUE"""),"ANGELA PAULINA")</f>
        <v>ANGELA PAULINA</v>
      </c>
      <c r="E36" s="55">
        <f>IFERROR(__xludf.DUMMYFUNCTION("""COMPUTED_VALUE"""),8.0)</f>
        <v>8</v>
      </c>
      <c r="F36" s="55">
        <f>IFERROR(__xludf.DUMMYFUNCTION("""COMPUTED_VALUE"""),2.0)</f>
        <v>2</v>
      </c>
      <c r="G36" s="56">
        <f>IFERROR(__xludf.DUMMYFUNCTION("""COMPUTED_VALUE"""),1.0)</f>
        <v>1</v>
      </c>
      <c r="H36" s="57">
        <f>IFERROR(__xludf.DUMMYFUNCTION("""COMPUTED_VALUE"""),11.0)</f>
        <v>11</v>
      </c>
      <c r="I36" s="58">
        <f>IFERROR(__xludf.DUMMYFUNCTION("""COMPUTED_VALUE"""),1.0)</f>
        <v>1</v>
      </c>
      <c r="J36" s="59">
        <f>IFERROR(__xludf.DUMMYFUNCTION("""COMPUTED_VALUE"""),10.0)</f>
        <v>10</v>
      </c>
      <c r="K36" s="51"/>
      <c r="L36" s="61">
        <f>IFERROR(__xludf.DUMMYFUNCTION("""COMPUTED_VALUE"""),11.0)</f>
        <v>11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IFERROR(__xludf.DUMMYFUNCTION("""COMPUTED_VALUE"""),"GONZALEZ")</f>
        <v>GONZALEZ</v>
      </c>
      <c r="C37" s="52" t="str">
        <f>IFERROR(__xludf.DUMMYFUNCTION("""COMPUTED_VALUE"""),"TREJO")</f>
        <v>TREJO</v>
      </c>
      <c r="D37" s="54" t="str">
        <f>IFERROR(__xludf.DUMMYFUNCTION("""COMPUTED_VALUE"""),"LESLIE XIMENA")</f>
        <v>LESLIE XIMENA</v>
      </c>
      <c r="E37" s="56">
        <f>IFERROR(__xludf.DUMMYFUNCTION("""COMPUTED_VALUE"""),7.0)</f>
        <v>7</v>
      </c>
      <c r="F37" s="55">
        <f>IFERROR(__xludf.DUMMYFUNCTION("""COMPUTED_VALUE"""),2.0)</f>
        <v>2</v>
      </c>
      <c r="G37" s="56">
        <f>IFERROR(__xludf.DUMMYFUNCTION("""COMPUTED_VALUE"""),1.0)</f>
        <v>1</v>
      </c>
      <c r="H37" s="57">
        <f>IFERROR(__xludf.DUMMYFUNCTION("""COMPUTED_VALUE"""),10.0)</f>
        <v>10</v>
      </c>
      <c r="I37" s="58">
        <f>IFERROR(__xludf.DUMMYFUNCTION("""COMPUTED_VALUE"""),2.0)</f>
        <v>2</v>
      </c>
      <c r="J37" s="59">
        <f>IFERROR(__xludf.DUMMYFUNCTION("""COMPUTED_VALUE"""),10.0)</f>
        <v>10</v>
      </c>
      <c r="K37" s="51"/>
      <c r="L37" s="61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IFERROR(__xludf.DUMMYFUNCTION("""COMPUTED_VALUE"""),"HERNANDEZ")</f>
        <v>HERNANDEZ</v>
      </c>
      <c r="C38" s="52" t="str">
        <f>IFERROR(__xludf.DUMMYFUNCTION("""COMPUTED_VALUE"""),"GARCIA")</f>
        <v>GARCIA</v>
      </c>
      <c r="D38" s="54" t="str">
        <f>IFERROR(__xludf.DUMMYFUNCTION("""COMPUTED_VALUE"""),"EMILY")</f>
        <v>EMILY</v>
      </c>
      <c r="E38" s="55">
        <f>IFERROR(__xludf.DUMMYFUNCTION("""COMPUTED_VALUE"""),7.5)</f>
        <v>7.5</v>
      </c>
      <c r="F38" s="55">
        <f>IFERROR(__xludf.DUMMYFUNCTION("""COMPUTED_VALUE"""),1.8)</f>
        <v>1.8</v>
      </c>
      <c r="G38" s="56"/>
      <c r="H38" s="57">
        <f>IFERROR(__xludf.DUMMYFUNCTION("""COMPUTED_VALUE"""),9.3)</f>
        <v>9.3</v>
      </c>
      <c r="I38" s="58">
        <f>IFERROR(__xludf.DUMMYFUNCTION("""COMPUTED_VALUE"""),1.0)</f>
        <v>1</v>
      </c>
      <c r="J38" s="59">
        <f>IFERROR(__xludf.DUMMYFUNCTION("""COMPUTED_VALUE"""),9.0)</f>
        <v>9</v>
      </c>
      <c r="K38" s="51"/>
      <c r="L38" s="61">
        <f>IFERROR(__xludf.DUMMYFUNCTION("""COMPUTED_VALUE"""),9.0)</f>
        <v>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IFERROR(__xludf.DUMMYFUNCTION("""COMPUTED_VALUE"""),"HERNANDEZ")</f>
        <v>HERNANDEZ</v>
      </c>
      <c r="C39" s="52" t="str">
        <f>IFERROR(__xludf.DUMMYFUNCTION("""COMPUTED_VALUE"""),"GARCIA")</f>
        <v>GARCIA</v>
      </c>
      <c r="D39" s="54" t="str">
        <f>IFERROR(__xludf.DUMMYFUNCTION("""COMPUTED_VALUE"""),"SAMANTA")</f>
        <v>SAMANTA</v>
      </c>
      <c r="E39" s="55">
        <f>IFERROR(__xludf.DUMMYFUNCTION("""COMPUTED_VALUE"""),3.0)</f>
        <v>3</v>
      </c>
      <c r="F39" s="55">
        <f>IFERROR(__xludf.DUMMYFUNCTION("""COMPUTED_VALUE"""),1.8)</f>
        <v>1.8</v>
      </c>
      <c r="G39" s="56"/>
      <c r="H39" s="57">
        <f>IFERROR(__xludf.DUMMYFUNCTION("""COMPUTED_VALUE"""),4.8)</f>
        <v>4.8</v>
      </c>
      <c r="I39" s="58">
        <f>IFERROR(__xludf.DUMMYFUNCTION("""COMPUTED_VALUE"""),5.0)</f>
        <v>5</v>
      </c>
      <c r="J39" s="59">
        <f>IFERROR(__xludf.DUMMYFUNCTION("""COMPUTED_VALUE"""),5.0)</f>
        <v>5</v>
      </c>
      <c r="K39" s="51"/>
      <c r="L39" s="61">
        <f>IFERROR(__xludf.DUMMYFUNCTION("""COMPUTED_VALUE"""),4.0)</f>
        <v>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IFERROR(__xludf.DUMMYFUNCTION("""COMPUTED_VALUE"""),"HERRERA")</f>
        <v>HERRERA</v>
      </c>
      <c r="C40" s="52" t="str">
        <f>IFERROR(__xludf.DUMMYFUNCTION("""COMPUTED_VALUE"""),"JIMENEZ")</f>
        <v>JIMENEZ</v>
      </c>
      <c r="D40" s="54" t="str">
        <f>IFERROR(__xludf.DUMMYFUNCTION("""COMPUTED_VALUE"""),"JOSUE ABISAI")</f>
        <v>JOSUE ABISAI</v>
      </c>
      <c r="E40" s="55">
        <f>IFERROR(__xludf.DUMMYFUNCTION("""COMPUTED_VALUE"""),7.0)</f>
        <v>7</v>
      </c>
      <c r="F40" s="55">
        <f>IFERROR(__xludf.DUMMYFUNCTION("""COMPUTED_VALUE"""),1.0)</f>
        <v>1</v>
      </c>
      <c r="G40" s="56"/>
      <c r="H40" s="57">
        <f>IFERROR(__xludf.DUMMYFUNCTION("""COMPUTED_VALUE"""),8.0)</f>
        <v>8</v>
      </c>
      <c r="I40" s="58">
        <f>IFERROR(__xludf.DUMMYFUNCTION("""COMPUTED_VALUE"""),2.0)</f>
        <v>2</v>
      </c>
      <c r="J40" s="59">
        <f>IFERROR(__xludf.DUMMYFUNCTION("""COMPUTED_VALUE"""),8.0)</f>
        <v>8</v>
      </c>
      <c r="K40" s="51"/>
      <c r="L40" s="61">
        <f>IFERROR(__xludf.DUMMYFUNCTION("""COMPUTED_VALUE"""),8.0)</f>
        <v>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IFERROR(__xludf.DUMMYFUNCTION("""COMPUTED_VALUE"""),"HERNANDEZ")</f>
        <v>HERNANDEZ</v>
      </c>
      <c r="C41" s="52" t="str">
        <f>IFERROR(__xludf.DUMMYFUNCTION("""COMPUTED_VALUE"""),"PALLARES")</f>
        <v>PALLARES</v>
      </c>
      <c r="D41" s="54" t="str">
        <f>IFERROR(__xludf.DUMMYFUNCTION("""COMPUTED_VALUE"""),"IVAN")</f>
        <v>IVAN</v>
      </c>
      <c r="E41" s="55">
        <f>IFERROR(__xludf.DUMMYFUNCTION("""COMPUTED_VALUE"""),6.2)</f>
        <v>6.2</v>
      </c>
      <c r="F41" s="55">
        <f>IFERROR(__xludf.DUMMYFUNCTION("""COMPUTED_VALUE"""),2.0)</f>
        <v>2</v>
      </c>
      <c r="G41" s="56"/>
      <c r="H41" s="57">
        <f>IFERROR(__xludf.DUMMYFUNCTION("""COMPUTED_VALUE"""),8.2)</f>
        <v>8.2</v>
      </c>
      <c r="I41" s="58">
        <f>IFERROR(__xludf.DUMMYFUNCTION("""COMPUTED_VALUE"""),1.0)</f>
        <v>1</v>
      </c>
      <c r="J41" s="59">
        <f>IFERROR(__xludf.DUMMYFUNCTION("""COMPUTED_VALUE"""),8.0)</f>
        <v>8</v>
      </c>
      <c r="K41" s="51"/>
      <c r="L41" s="61">
        <f>IFERROR(__xludf.DUMMYFUNCTION("""COMPUTED_VALUE"""),8.0)</f>
        <v>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IFERROR(__xludf.DUMMYFUNCTION("""COMPUTED_VALUE"""),"JIMENEZ")</f>
        <v>JIMENEZ</v>
      </c>
      <c r="C42" s="52" t="str">
        <f>IFERROR(__xludf.DUMMYFUNCTION("""COMPUTED_VALUE"""),"PACHUCA")</f>
        <v>PACHUCA</v>
      </c>
      <c r="D42" s="54" t="str">
        <f>IFERROR(__xludf.DUMMYFUNCTION("""COMPUTED_VALUE"""),"LUIS ANTONIO")</f>
        <v>LUIS ANTONIO</v>
      </c>
      <c r="E42" s="55">
        <f>IFERROR(__xludf.DUMMYFUNCTION("""COMPUTED_VALUE"""),7.5)</f>
        <v>7.5</v>
      </c>
      <c r="F42" s="55">
        <f>IFERROR(__xludf.DUMMYFUNCTION("""COMPUTED_VALUE"""),1.8)</f>
        <v>1.8</v>
      </c>
      <c r="G42" s="56"/>
      <c r="H42" s="57">
        <f>IFERROR(__xludf.DUMMYFUNCTION("""COMPUTED_VALUE"""),9.3)</f>
        <v>9.3</v>
      </c>
      <c r="I42" s="58">
        <f>IFERROR(__xludf.DUMMYFUNCTION("""COMPUTED_VALUE"""),0.0)</f>
        <v>0</v>
      </c>
      <c r="J42" s="59">
        <f>IFERROR(__xludf.DUMMYFUNCTION("""COMPUTED_VALUE"""),9.0)</f>
        <v>9</v>
      </c>
      <c r="K42" s="51"/>
      <c r="L42" s="61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IFERROR(__xludf.DUMMYFUNCTION("""COMPUTED_VALUE"""),"LEGORRETA")</f>
        <v>LEGORRETA</v>
      </c>
      <c r="C43" s="52" t="str">
        <f>IFERROR(__xludf.DUMMYFUNCTION("""COMPUTED_VALUE"""),"HERNANDEZ")</f>
        <v>HERNANDEZ</v>
      </c>
      <c r="D43" s="54" t="str">
        <f>IFERROR(__xludf.DUMMYFUNCTION("""COMPUTED_VALUE"""),"LILIANA")</f>
        <v>LILIANA</v>
      </c>
      <c r="E43" s="55">
        <f>IFERROR(__xludf.DUMMYFUNCTION("""COMPUTED_VALUE"""),5.0)</f>
        <v>5</v>
      </c>
      <c r="F43" s="55">
        <f>IFERROR(__xludf.DUMMYFUNCTION("""COMPUTED_VALUE"""),1.6)</f>
        <v>1.6</v>
      </c>
      <c r="G43" s="56">
        <f>IFERROR(__xludf.DUMMYFUNCTION("""COMPUTED_VALUE"""),1.0)</f>
        <v>1</v>
      </c>
      <c r="H43" s="57">
        <f>IFERROR(__xludf.DUMMYFUNCTION("""COMPUTED_VALUE"""),7.6)</f>
        <v>7.6</v>
      </c>
      <c r="I43" s="58">
        <f>IFERROR(__xludf.DUMMYFUNCTION("""COMPUTED_VALUE"""),1.0)</f>
        <v>1</v>
      </c>
      <c r="J43" s="59">
        <f>IFERROR(__xludf.DUMMYFUNCTION("""COMPUTED_VALUE"""),8.0)</f>
        <v>8</v>
      </c>
      <c r="K43" s="51"/>
      <c r="L43" s="61">
        <f>IFERROR(__xludf.DUMMYFUNCTION("""COMPUTED_VALUE"""),8.0)</f>
        <v>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IFERROR(__xludf.DUMMYFUNCTION("""COMPUTED_VALUE"""),"LOPEZ")</f>
        <v>LOPEZ</v>
      </c>
      <c r="C44" s="52" t="str">
        <f>IFERROR(__xludf.DUMMYFUNCTION("""COMPUTED_VALUE"""),"HERNANDEZ")</f>
        <v>HERNANDEZ</v>
      </c>
      <c r="D44" s="54" t="str">
        <f>IFERROR(__xludf.DUMMYFUNCTION("""COMPUTED_VALUE"""),"KARINA")</f>
        <v>KARINA</v>
      </c>
      <c r="E44" s="55">
        <f>IFERROR(__xludf.DUMMYFUNCTION("""COMPUTED_VALUE"""),6.5)</f>
        <v>6.5</v>
      </c>
      <c r="F44" s="55">
        <f>IFERROR(__xludf.DUMMYFUNCTION("""COMPUTED_VALUE"""),0.0)</f>
        <v>0</v>
      </c>
      <c r="G44" s="56"/>
      <c r="H44" s="57">
        <f>IFERROR(__xludf.DUMMYFUNCTION("""COMPUTED_VALUE"""),6.5)</f>
        <v>6.5</v>
      </c>
      <c r="I44" s="58">
        <f>IFERROR(__xludf.DUMMYFUNCTION("""COMPUTED_VALUE"""),1.0)</f>
        <v>1</v>
      </c>
      <c r="J44" s="59">
        <f>IFERROR(__xludf.DUMMYFUNCTION("""COMPUTED_VALUE"""),7.0)</f>
        <v>7</v>
      </c>
      <c r="K44" s="51"/>
      <c r="L44" s="61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IFERROR(__xludf.DUMMYFUNCTION("""COMPUTED_VALUE"""),"LUGO")</f>
        <v>LUGO</v>
      </c>
      <c r="C45" s="52" t="str">
        <f>IFERROR(__xludf.DUMMYFUNCTION("""COMPUTED_VALUE"""),"SOLARES")</f>
        <v>SOLARES</v>
      </c>
      <c r="D45" s="54" t="str">
        <f>IFERROR(__xludf.DUMMYFUNCTION("""COMPUTED_VALUE"""),"YAIR EMILIANO")</f>
        <v>YAIR EMILIANO</v>
      </c>
      <c r="E45" s="55">
        <f>IFERROR(__xludf.DUMMYFUNCTION("""COMPUTED_VALUE"""),8.0)</f>
        <v>8</v>
      </c>
      <c r="F45" s="55">
        <f>IFERROR(__xludf.DUMMYFUNCTION("""COMPUTED_VALUE"""),1.0)</f>
        <v>1</v>
      </c>
      <c r="G45" s="56"/>
      <c r="H45" s="57">
        <f>IFERROR(__xludf.DUMMYFUNCTION("""COMPUTED_VALUE"""),9.0)</f>
        <v>9</v>
      </c>
      <c r="I45" s="58">
        <f>IFERROR(__xludf.DUMMYFUNCTION("""COMPUTED_VALUE"""),1.0)</f>
        <v>1</v>
      </c>
      <c r="J45" s="59">
        <f>IFERROR(__xludf.DUMMYFUNCTION("""COMPUTED_VALUE"""),9.0)</f>
        <v>9</v>
      </c>
      <c r="K45" s="51"/>
      <c r="L45" s="61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IFERROR(__xludf.DUMMYFUNCTION("""COMPUTED_VALUE"""),"LUNA")</f>
        <v>LUNA</v>
      </c>
      <c r="C46" s="52" t="str">
        <f>IFERROR(__xludf.DUMMYFUNCTION("""COMPUTED_VALUE"""),"FRANCISCO")</f>
        <v>FRANCISCO</v>
      </c>
      <c r="D46" s="54" t="str">
        <f>IFERROR(__xludf.DUMMYFUNCTION("""COMPUTED_VALUE"""),"SAMANTHA ITZEL")</f>
        <v>SAMANTHA ITZEL</v>
      </c>
      <c r="E46" s="55">
        <f>IFERROR(__xludf.DUMMYFUNCTION("""COMPUTED_VALUE"""),6.0)</f>
        <v>6</v>
      </c>
      <c r="F46" s="55">
        <f>IFERROR(__xludf.DUMMYFUNCTION("""COMPUTED_VALUE"""),0.0)</f>
        <v>0</v>
      </c>
      <c r="G46" s="56"/>
      <c r="H46" s="57">
        <f>IFERROR(__xludf.DUMMYFUNCTION("""COMPUTED_VALUE"""),6.0)</f>
        <v>6</v>
      </c>
      <c r="I46" s="58">
        <f>IFERROR(__xludf.DUMMYFUNCTION("""COMPUTED_VALUE"""),3.0)</f>
        <v>3</v>
      </c>
      <c r="J46" s="59">
        <f>IFERROR(__xludf.DUMMYFUNCTION("""COMPUTED_VALUE"""),6.0)</f>
        <v>6</v>
      </c>
      <c r="K46" s="51"/>
      <c r="L46" s="61">
        <f>IFERROR(__xludf.DUMMYFUNCTION("""COMPUTED_VALUE"""),6.0)</f>
        <v>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IFERROR(__xludf.DUMMYFUNCTION("""COMPUTED_VALUE"""),"MARENTES")</f>
        <v>MARENTES</v>
      </c>
      <c r="C47" s="62" t="str">
        <f>IFERROR(__xludf.DUMMYFUNCTION("""COMPUTED_VALUE"""),"ROBLES")</f>
        <v>ROBLES</v>
      </c>
      <c r="D47" s="63" t="str">
        <f>IFERROR(__xludf.DUMMYFUNCTION("""COMPUTED_VALUE"""),"LUZ NATALIA")</f>
        <v>LUZ NATALIA</v>
      </c>
      <c r="E47" s="55">
        <f>IFERROR(__xludf.DUMMYFUNCTION("""COMPUTED_VALUE"""),7.5)</f>
        <v>7.5</v>
      </c>
      <c r="F47" s="55">
        <f>IFERROR(__xludf.DUMMYFUNCTION("""COMPUTED_VALUE"""),2.0)</f>
        <v>2</v>
      </c>
      <c r="G47" s="56"/>
      <c r="H47" s="57">
        <f>IFERROR(__xludf.DUMMYFUNCTION("""COMPUTED_VALUE"""),9.5)</f>
        <v>9.5</v>
      </c>
      <c r="I47" s="58">
        <f>IFERROR(__xludf.DUMMYFUNCTION("""COMPUTED_VALUE"""),3.0)</f>
        <v>3</v>
      </c>
      <c r="J47" s="59">
        <f>IFERROR(__xludf.DUMMYFUNCTION("""COMPUTED_VALUE"""),10.0)</f>
        <v>10</v>
      </c>
      <c r="K47" s="51"/>
      <c r="L47" s="61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IFERROR(__xludf.DUMMYFUNCTION("""COMPUTED_VALUE"""),"MARTINEZ")</f>
        <v>MARTINEZ</v>
      </c>
      <c r="C48" s="52" t="str">
        <f>IFERROR(__xludf.DUMMYFUNCTION("""COMPUTED_VALUE"""),"IBARRA")</f>
        <v>IBARRA</v>
      </c>
      <c r="D48" s="54" t="str">
        <f>IFERROR(__xludf.DUMMYFUNCTION("""COMPUTED_VALUE"""),"JOHAN ISAI")</f>
        <v>JOHAN ISAI</v>
      </c>
      <c r="E48" s="55">
        <f>IFERROR(__xludf.DUMMYFUNCTION("""COMPUTED_VALUE"""),8.0)</f>
        <v>8</v>
      </c>
      <c r="F48" s="55">
        <f>IFERROR(__xludf.DUMMYFUNCTION("""COMPUTED_VALUE"""),1.6)</f>
        <v>1.6</v>
      </c>
      <c r="G48" s="56"/>
      <c r="H48" s="57">
        <f>IFERROR(__xludf.DUMMYFUNCTION("""COMPUTED_VALUE"""),9.6)</f>
        <v>9.6</v>
      </c>
      <c r="I48" s="58">
        <f>IFERROR(__xludf.DUMMYFUNCTION("""COMPUTED_VALUE"""),2.0)</f>
        <v>2</v>
      </c>
      <c r="J48" s="59">
        <f>IFERROR(__xludf.DUMMYFUNCTION("""COMPUTED_VALUE"""),10.0)</f>
        <v>10</v>
      </c>
      <c r="K48" s="51"/>
      <c r="L48" s="61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IFERROR(__xludf.DUMMYFUNCTION("""COMPUTED_VALUE"""),"MARTINEZ")</f>
        <v>MARTINEZ</v>
      </c>
      <c r="C49" s="52" t="str">
        <f>IFERROR(__xludf.DUMMYFUNCTION("""COMPUTED_VALUE"""),"MANCILLA")</f>
        <v>MANCILLA</v>
      </c>
      <c r="D49" s="54" t="str">
        <f>IFERROR(__xludf.DUMMYFUNCTION("""COMPUTED_VALUE"""),"ZIT ZURIEL")</f>
        <v>ZIT ZURIEL</v>
      </c>
      <c r="E49" s="55">
        <f>IFERROR(__xludf.DUMMYFUNCTION("""COMPUTED_VALUE"""),6.0)</f>
        <v>6</v>
      </c>
      <c r="F49" s="55"/>
      <c r="G49" s="56"/>
      <c r="H49" s="57">
        <f>IFERROR(__xludf.DUMMYFUNCTION("""COMPUTED_VALUE"""),6.0)</f>
        <v>6</v>
      </c>
      <c r="I49" s="58">
        <f>IFERROR(__xludf.DUMMYFUNCTION("""COMPUTED_VALUE"""),1.0)</f>
        <v>1</v>
      </c>
      <c r="J49" s="59">
        <f>IFERROR(__xludf.DUMMYFUNCTION("""COMPUTED_VALUE"""),6.0)</f>
        <v>6</v>
      </c>
      <c r="K49" s="51"/>
      <c r="L49" s="61">
        <f>IFERROR(__xludf.DUMMYFUNCTION("""COMPUTED_VALUE"""),6.0)</f>
        <v>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IFERROR(__xludf.DUMMYFUNCTION("""COMPUTED_VALUE"""),"MORALES")</f>
        <v>MORALES</v>
      </c>
      <c r="C50" s="52" t="str">
        <f>IFERROR(__xludf.DUMMYFUNCTION("""COMPUTED_VALUE"""),"LORANCA")</f>
        <v>LORANCA</v>
      </c>
      <c r="D50" s="54" t="str">
        <f>IFERROR(__xludf.DUMMYFUNCTION("""COMPUTED_VALUE"""),"MATIAS DANIEL")</f>
        <v>MATIAS DANIEL</v>
      </c>
      <c r="E50" s="55">
        <f>IFERROR(__xludf.DUMMYFUNCTION("""COMPUTED_VALUE"""),5.0)</f>
        <v>5</v>
      </c>
      <c r="F50" s="55">
        <f>IFERROR(__xludf.DUMMYFUNCTION("""COMPUTED_VALUE"""),1.0)</f>
        <v>1</v>
      </c>
      <c r="G50" s="56"/>
      <c r="H50" s="57">
        <f>IFERROR(__xludf.DUMMYFUNCTION("""COMPUTED_VALUE"""),6.0)</f>
        <v>6</v>
      </c>
      <c r="I50" s="58">
        <f>IFERROR(__xludf.DUMMYFUNCTION("""COMPUTED_VALUE"""),1.0)</f>
        <v>1</v>
      </c>
      <c r="J50" s="59">
        <f>IFERROR(__xludf.DUMMYFUNCTION("""COMPUTED_VALUE"""),6.0)</f>
        <v>6</v>
      </c>
      <c r="K50" s="51"/>
      <c r="L50" s="61">
        <f>IFERROR(__xludf.DUMMYFUNCTION("""COMPUTED_VALUE"""),6.0)</f>
        <v>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IFERROR(__xludf.DUMMYFUNCTION("""COMPUTED_VALUE"""),"MORALES")</f>
        <v>MORALES</v>
      </c>
      <c r="C51" s="52" t="str">
        <f>IFERROR(__xludf.DUMMYFUNCTION("""COMPUTED_VALUE"""),"PIÑON")</f>
        <v>PIÑON</v>
      </c>
      <c r="D51" s="54" t="str">
        <f>IFERROR(__xludf.DUMMYFUNCTION("""COMPUTED_VALUE"""),"NATALIA ABRIL")</f>
        <v>NATALIA ABRIL</v>
      </c>
      <c r="E51" s="55">
        <f>IFERROR(__xludf.DUMMYFUNCTION("""COMPUTED_VALUE"""),8.0)</f>
        <v>8</v>
      </c>
      <c r="F51" s="55">
        <f>IFERROR(__xludf.DUMMYFUNCTION("""COMPUTED_VALUE"""),2.0)</f>
        <v>2</v>
      </c>
      <c r="G51" s="56"/>
      <c r="H51" s="57">
        <f>IFERROR(__xludf.DUMMYFUNCTION("""COMPUTED_VALUE"""),10.0)</f>
        <v>10</v>
      </c>
      <c r="I51" s="58">
        <f>IFERROR(__xludf.DUMMYFUNCTION("""COMPUTED_VALUE"""),1.0)</f>
        <v>1</v>
      </c>
      <c r="J51" s="59">
        <f>IFERROR(__xludf.DUMMYFUNCTION("""COMPUTED_VALUE"""),10.0)</f>
        <v>10</v>
      </c>
      <c r="K51" s="51"/>
      <c r="L51" s="61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IFERROR(__xludf.DUMMYFUNCTION("""COMPUTED_VALUE"""),"NAVARRO")</f>
        <v>NAVARRO</v>
      </c>
      <c r="C52" s="52" t="str">
        <f>IFERROR(__xludf.DUMMYFUNCTION("""COMPUTED_VALUE"""),"ROMO")</f>
        <v>ROMO</v>
      </c>
      <c r="D52" s="54" t="str">
        <f>IFERROR(__xludf.DUMMYFUNCTION("""COMPUTED_VALUE"""),"MARCO ARIEL")</f>
        <v>MARCO ARIEL</v>
      </c>
      <c r="E52" s="55">
        <f>IFERROR(__xludf.DUMMYFUNCTION("""COMPUTED_VALUE"""),6.5)</f>
        <v>6.5</v>
      </c>
      <c r="F52" s="55"/>
      <c r="G52" s="56"/>
      <c r="H52" s="57">
        <f>IFERROR(__xludf.DUMMYFUNCTION("""COMPUTED_VALUE"""),6.5)</f>
        <v>6.5</v>
      </c>
      <c r="I52" s="58">
        <f>IFERROR(__xludf.DUMMYFUNCTION("""COMPUTED_VALUE"""),1.0)</f>
        <v>1</v>
      </c>
      <c r="J52" s="59">
        <f>IFERROR(__xludf.DUMMYFUNCTION("""COMPUTED_VALUE"""),7.0)</f>
        <v>7</v>
      </c>
      <c r="K52" s="51"/>
      <c r="L52" s="60">
        <f>IFERROR(__xludf.DUMMYFUNCTION("""COMPUTED_VALUE"""),7.0)</f>
        <v>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IFERROR(__xludf.DUMMYFUNCTION("""COMPUTED_VALUE"""),"OLVERA")</f>
        <v>OLVERA</v>
      </c>
      <c r="C53" s="52" t="str">
        <f>IFERROR(__xludf.DUMMYFUNCTION("""COMPUTED_VALUE"""),"VALLE")</f>
        <v>VALLE</v>
      </c>
      <c r="D53" s="54" t="str">
        <f>IFERROR(__xludf.DUMMYFUNCTION("""COMPUTED_VALUE"""),"LAILA MELISA")</f>
        <v>LAILA MELISA</v>
      </c>
      <c r="E53" s="55">
        <f>IFERROR(__xludf.DUMMYFUNCTION("""COMPUTED_VALUE"""),7.0)</f>
        <v>7</v>
      </c>
      <c r="F53" s="55"/>
      <c r="G53" s="56">
        <f>IFERROR(__xludf.DUMMYFUNCTION("""COMPUTED_VALUE"""),1.0)</f>
        <v>1</v>
      </c>
      <c r="H53" s="57">
        <f>IFERROR(__xludf.DUMMYFUNCTION("""COMPUTED_VALUE"""),8.0)</f>
        <v>8</v>
      </c>
      <c r="I53" s="58">
        <f>IFERROR(__xludf.DUMMYFUNCTION("""COMPUTED_VALUE"""),1.0)</f>
        <v>1</v>
      </c>
      <c r="J53" s="59">
        <f>IFERROR(__xludf.DUMMYFUNCTION("""COMPUTED_VALUE"""),8.0)</f>
        <v>8</v>
      </c>
      <c r="K53" s="51"/>
      <c r="L53" s="60">
        <f>IFERROR(__xludf.DUMMYFUNCTION("""COMPUTED_VALUE"""),8.0)</f>
        <v>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IFERROR(__xludf.DUMMYFUNCTION("""COMPUTED_VALUE"""),"ORTIZ")</f>
        <v>ORTIZ</v>
      </c>
      <c r="C54" s="52" t="str">
        <f>IFERROR(__xludf.DUMMYFUNCTION("""COMPUTED_VALUE"""),"CARRILLO")</f>
        <v>CARRILLO</v>
      </c>
      <c r="D54" s="54" t="str">
        <f>IFERROR(__xludf.DUMMYFUNCTION("""COMPUTED_VALUE"""),"DORIAN ELIAS")</f>
        <v>DORIAN ELIAS</v>
      </c>
      <c r="E54" s="55">
        <f>IFERROR(__xludf.DUMMYFUNCTION("""COMPUTED_VALUE"""),8.0)</f>
        <v>8</v>
      </c>
      <c r="F54" s="55">
        <f>IFERROR(__xludf.DUMMYFUNCTION("""COMPUTED_VALUE"""),2.0)</f>
        <v>2</v>
      </c>
      <c r="G54" s="56"/>
      <c r="H54" s="57">
        <f>IFERROR(__xludf.DUMMYFUNCTION("""COMPUTED_VALUE"""),10.0)</f>
        <v>10</v>
      </c>
      <c r="I54" s="58">
        <f>IFERROR(__xludf.DUMMYFUNCTION("""COMPUTED_VALUE"""),1.0)</f>
        <v>1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IFERROR(__xludf.DUMMYFUNCTION("""COMPUTED_VALUE"""),"PEREA")</f>
        <v>PEREA</v>
      </c>
      <c r="C55" s="52" t="str">
        <f>IFERROR(__xludf.DUMMYFUNCTION("""COMPUTED_VALUE"""),"SALDAÑA")</f>
        <v>SALDAÑA</v>
      </c>
      <c r="D55" s="54" t="str">
        <f>IFERROR(__xludf.DUMMYFUNCTION("""COMPUTED_VALUE"""),"ASTRA TAMARA")</f>
        <v>ASTRA TAMARA</v>
      </c>
      <c r="E55" s="55">
        <f>IFERROR(__xludf.DUMMYFUNCTION("""COMPUTED_VALUE"""),8.0)</f>
        <v>8</v>
      </c>
      <c r="F55" s="55">
        <f>IFERROR(__xludf.DUMMYFUNCTION("""COMPUTED_VALUE"""),2.0)</f>
        <v>2</v>
      </c>
      <c r="G55" s="56"/>
      <c r="H55" s="57">
        <f>IFERROR(__xludf.DUMMYFUNCTION("""COMPUTED_VALUE"""),10.0)</f>
        <v>10</v>
      </c>
      <c r="I55" s="64">
        <f>IFERROR(__xludf.DUMMYFUNCTION("""COMPUTED_VALUE"""),2.0)</f>
        <v>2</v>
      </c>
      <c r="J55" s="59">
        <f>IFERROR(__xludf.DUMMYFUNCTION("""COMPUTED_VALUE"""),10.0)</f>
        <v>10</v>
      </c>
      <c r="K55" s="51"/>
      <c r="L55" s="60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IFERROR(__xludf.DUMMYFUNCTION("""COMPUTED_VALUE"""),"PEREZ")</f>
        <v>PEREZ</v>
      </c>
      <c r="C56" s="52" t="str">
        <f>IFERROR(__xludf.DUMMYFUNCTION("""COMPUTED_VALUE"""),"HERNANDEZ")</f>
        <v>HERNANDEZ</v>
      </c>
      <c r="D56" s="54" t="str">
        <f>IFERROR(__xludf.DUMMYFUNCTION("""COMPUTED_VALUE"""),"EDGAR ALEJANDRO")</f>
        <v>EDGAR ALEJANDRO</v>
      </c>
      <c r="E56" s="55">
        <f>IFERROR(__xludf.DUMMYFUNCTION("""COMPUTED_VALUE"""),8.0)</f>
        <v>8</v>
      </c>
      <c r="F56" s="55">
        <f>IFERROR(__xludf.DUMMYFUNCTION("""COMPUTED_VALUE"""),1.6)</f>
        <v>1.6</v>
      </c>
      <c r="G56" s="56"/>
      <c r="H56" s="57">
        <f>IFERROR(__xludf.DUMMYFUNCTION("""COMPUTED_VALUE"""),9.6)</f>
        <v>9.6</v>
      </c>
      <c r="I56" s="64">
        <f>IFERROR(__xludf.DUMMYFUNCTION("""COMPUTED_VALUE"""),1.0)</f>
        <v>1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IFERROR(__xludf.DUMMYFUNCTION("""COMPUTED_VALUE"""),"PLAZA")</f>
        <v>PLAZA</v>
      </c>
      <c r="C57" s="62" t="str">
        <f>IFERROR(__xludf.DUMMYFUNCTION("""COMPUTED_VALUE"""),"LARA")</f>
        <v>LARA</v>
      </c>
      <c r="D57" s="63" t="str">
        <f>IFERROR(__xludf.DUMMYFUNCTION("""COMPUTED_VALUE"""),"IAN ALDAIR")</f>
        <v>IAN ALDAIR</v>
      </c>
      <c r="E57" s="55">
        <f>IFERROR(__xludf.DUMMYFUNCTION("""COMPUTED_VALUE"""),4.5)</f>
        <v>4.5</v>
      </c>
      <c r="F57" s="55"/>
      <c r="G57" s="56"/>
      <c r="H57" s="57">
        <f>IFERROR(__xludf.DUMMYFUNCTION("""COMPUTED_VALUE"""),4.5)</f>
        <v>4.5</v>
      </c>
      <c r="I57" s="64">
        <f>IFERROR(__xludf.DUMMYFUNCTION("""COMPUTED_VALUE"""),2.0)</f>
        <v>2</v>
      </c>
      <c r="J57" s="59">
        <f>IFERROR(__xludf.DUMMYFUNCTION("""COMPUTED_VALUE"""),5.0)</f>
        <v>5</v>
      </c>
      <c r="K57" s="51"/>
      <c r="L57" s="60">
        <f>IFERROR(__xludf.DUMMYFUNCTION("""COMPUTED_VALUE"""),4.0)</f>
        <v>4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IFERROR(__xludf.DUMMYFUNCTION("""COMPUTED_VALUE"""),"RAMIREZ")</f>
        <v>RAMIREZ</v>
      </c>
      <c r="C58" s="52" t="str">
        <f>IFERROR(__xludf.DUMMYFUNCTION("""COMPUTED_VALUE"""),"DIAZ")</f>
        <v>DIAZ</v>
      </c>
      <c r="D58" s="54" t="str">
        <f>IFERROR(__xludf.DUMMYFUNCTION("""COMPUTED_VALUE"""),"OMEGA VALENTINA")</f>
        <v>OMEGA VALENTINA</v>
      </c>
      <c r="E58" s="55">
        <f>IFERROR(__xludf.DUMMYFUNCTION("""COMPUTED_VALUE"""),8.0)</f>
        <v>8</v>
      </c>
      <c r="F58" s="55">
        <f>IFERROR(__xludf.DUMMYFUNCTION("""COMPUTED_VALUE"""),2.0)</f>
        <v>2</v>
      </c>
      <c r="G58" s="56">
        <f>IFERROR(__xludf.DUMMYFUNCTION("""COMPUTED_VALUE"""),1.0)</f>
        <v>1</v>
      </c>
      <c r="H58" s="57">
        <f>IFERROR(__xludf.DUMMYFUNCTION("""COMPUTED_VALUE"""),11.0)</f>
        <v>11</v>
      </c>
      <c r="I58" s="64">
        <f>IFERROR(__xludf.DUMMYFUNCTION("""COMPUTED_VALUE"""),1.0)</f>
        <v>1</v>
      </c>
      <c r="J58" s="59">
        <f>IFERROR(__xludf.DUMMYFUNCTION("""COMPUTED_VALUE"""),10.0)</f>
        <v>10</v>
      </c>
      <c r="K58" s="51"/>
      <c r="L58" s="60">
        <f>IFERROR(__xludf.DUMMYFUNCTION("""COMPUTED_VALUE"""),11.0)</f>
        <v>11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IFERROR(__xludf.DUMMYFUNCTION("""COMPUTED_VALUE"""),"RAMIREZ")</f>
        <v>RAMIREZ</v>
      </c>
      <c r="C59" s="62" t="str">
        <f>IFERROR(__xludf.DUMMYFUNCTION("""COMPUTED_VALUE"""),"TORRES")</f>
        <v>TORRES</v>
      </c>
      <c r="D59" s="63" t="str">
        <f>IFERROR(__xludf.DUMMYFUNCTION("""COMPUTED_VALUE"""),"PERCIVAL GABRIEL")</f>
        <v>PERCIVAL GABRIEL</v>
      </c>
      <c r="E59" s="55">
        <f>IFERROR(__xludf.DUMMYFUNCTION("""COMPUTED_VALUE"""),6.5)</f>
        <v>6.5</v>
      </c>
      <c r="F59" s="55">
        <f>IFERROR(__xludf.DUMMYFUNCTION("""COMPUTED_VALUE"""),1.2)</f>
        <v>1.2</v>
      </c>
      <c r="G59" s="56"/>
      <c r="H59" s="57">
        <f>IFERROR(__xludf.DUMMYFUNCTION("""COMPUTED_VALUE"""),7.7)</f>
        <v>7.7</v>
      </c>
      <c r="I59" s="64">
        <f>IFERROR(__xludf.DUMMYFUNCTION("""COMPUTED_VALUE"""),3.0)</f>
        <v>3</v>
      </c>
      <c r="J59" s="59">
        <f>IFERROR(__xludf.DUMMYFUNCTION("""COMPUTED_VALUE"""),8.0)</f>
        <v>8</v>
      </c>
      <c r="K59" s="51"/>
      <c r="L59" s="60">
        <f>IFERROR(__xludf.DUMMYFUNCTION("""COMPUTED_VALUE"""),8.0)</f>
        <v>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IFERROR(__xludf.DUMMYFUNCTION("""COMPUTED_VALUE"""),"RANGEL")</f>
        <v>RANGEL</v>
      </c>
      <c r="C60" s="62" t="str">
        <f>IFERROR(__xludf.DUMMYFUNCTION("""COMPUTED_VALUE"""),"JIMENEZ")</f>
        <v>JIMENEZ</v>
      </c>
      <c r="D60" s="63" t="str">
        <f>IFERROR(__xludf.DUMMYFUNCTION("""COMPUTED_VALUE"""),"PAOLA ALEJANDRA")</f>
        <v>PAOLA ALEJANDRA</v>
      </c>
      <c r="E60" s="55">
        <f>IFERROR(__xludf.DUMMYFUNCTION("""COMPUTED_VALUE"""),6.8)</f>
        <v>6.8</v>
      </c>
      <c r="F60" s="55">
        <f>IFERROR(__xludf.DUMMYFUNCTION("""COMPUTED_VALUE"""),2.0)</f>
        <v>2</v>
      </c>
      <c r="G60" s="56">
        <f>IFERROR(__xludf.DUMMYFUNCTION("""COMPUTED_VALUE"""),1.0)</f>
        <v>1</v>
      </c>
      <c r="H60" s="57">
        <f>IFERROR(__xludf.DUMMYFUNCTION("""COMPUTED_VALUE"""),9.8)</f>
        <v>9.8</v>
      </c>
      <c r="I60" s="64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IFERROR(__xludf.DUMMYFUNCTION("""COMPUTED_VALUE"""),"RIVERA")</f>
        <v>RIVERA</v>
      </c>
      <c r="C61" s="62" t="str">
        <f>IFERROR(__xludf.DUMMYFUNCTION("""COMPUTED_VALUE"""),"GARCIA")</f>
        <v>GARCIA</v>
      </c>
      <c r="D61" s="63" t="str">
        <f>IFERROR(__xludf.DUMMYFUNCTION("""COMPUTED_VALUE"""),"ASTRID MICHELLE")</f>
        <v>ASTRID MICHELLE</v>
      </c>
      <c r="E61" s="55">
        <f>IFERROR(__xludf.DUMMYFUNCTION("""COMPUTED_VALUE"""),6.5)</f>
        <v>6.5</v>
      </c>
      <c r="F61" s="55"/>
      <c r="G61" s="56"/>
      <c r="H61" s="57">
        <f>IFERROR(__xludf.DUMMYFUNCTION("""COMPUTED_VALUE"""),6.5)</f>
        <v>6.5</v>
      </c>
      <c r="I61" s="64">
        <f>IFERROR(__xludf.DUMMYFUNCTION("""COMPUTED_VALUE"""),3.0)</f>
        <v>3</v>
      </c>
      <c r="J61" s="59">
        <f>IFERROR(__xludf.DUMMYFUNCTION("""COMPUTED_VALUE"""),7.0)</f>
        <v>7</v>
      </c>
      <c r="K61" s="51"/>
      <c r="L61" s="60">
        <f>IFERROR(__xludf.DUMMYFUNCTION("""COMPUTED_VALUE"""),7.0)</f>
        <v>7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IFERROR(__xludf.DUMMYFUNCTION("""COMPUTED_VALUE"""),"RODRIGUEZ")</f>
        <v>RODRIGUEZ</v>
      </c>
      <c r="C62" s="62" t="str">
        <f>IFERROR(__xludf.DUMMYFUNCTION("""COMPUTED_VALUE"""),"CAMACHO")</f>
        <v>CAMACHO</v>
      </c>
      <c r="D62" s="63" t="str">
        <f>IFERROR(__xludf.DUMMYFUNCTION("""COMPUTED_VALUE"""),"ENRIQUE SALVADOR")</f>
        <v>ENRIQUE SALVADOR</v>
      </c>
      <c r="E62" s="55">
        <f>IFERROR(__xludf.DUMMYFUNCTION("""COMPUTED_VALUE"""),6.0)</f>
        <v>6</v>
      </c>
      <c r="F62" s="55">
        <f>IFERROR(__xludf.DUMMYFUNCTION("""COMPUTED_VALUE"""),2.0)</f>
        <v>2</v>
      </c>
      <c r="G62" s="56"/>
      <c r="H62" s="57">
        <f>IFERROR(__xludf.DUMMYFUNCTION("""COMPUTED_VALUE"""),8.0)</f>
        <v>8</v>
      </c>
      <c r="I62" s="64">
        <f>IFERROR(__xludf.DUMMYFUNCTION("""COMPUTED_VALUE"""),4.0)</f>
        <v>4</v>
      </c>
      <c r="J62" s="59">
        <f>IFERROR(__xludf.DUMMYFUNCTION("""COMPUTED_VALUE"""),8.0)</f>
        <v>8</v>
      </c>
      <c r="K62" s="51"/>
      <c r="L62" s="60">
        <f>IFERROR(__xludf.DUMMYFUNCTION("""COMPUTED_VALUE"""),8.0)</f>
        <v>8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IFERROR(__xludf.DUMMYFUNCTION("""COMPUTED_VALUE"""),"RODRIGUEZ")</f>
        <v>RODRIGUEZ</v>
      </c>
      <c r="C63" s="62" t="str">
        <f>IFERROR(__xludf.DUMMYFUNCTION("""COMPUTED_VALUE"""),"ROSAS")</f>
        <v>ROSAS</v>
      </c>
      <c r="D63" s="63" t="str">
        <f>IFERROR(__xludf.DUMMYFUNCTION("""COMPUTED_VALUE"""),"QUETZALI")</f>
        <v>QUETZALI</v>
      </c>
      <c r="E63" s="55">
        <f>IFERROR(__xludf.DUMMYFUNCTION("""COMPUTED_VALUE"""),8.0)</f>
        <v>8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IFERROR(__xludf.DUMMYFUNCTION("""COMPUTED_VALUE"""),11.0)</f>
        <v>11</v>
      </c>
      <c r="I63" s="64">
        <f>IFERROR(__xludf.DUMMYFUNCTION("""COMPUTED_VALUE"""),1.0)</f>
        <v>1</v>
      </c>
      <c r="J63" s="59">
        <f>IFERROR(__xludf.DUMMYFUNCTION("""COMPUTED_VALUE"""),10.0)</f>
        <v>10</v>
      </c>
      <c r="K63" s="51"/>
      <c r="L63" s="60">
        <f>IFERROR(__xludf.DUMMYFUNCTION("""COMPUTED_VALUE"""),11.0)</f>
        <v>11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IFERROR(__xludf.DUMMYFUNCTION("""COMPUTED_VALUE"""),"SANCHEZ")</f>
        <v>SANCHEZ</v>
      </c>
      <c r="C64" s="62" t="str">
        <f>IFERROR(__xludf.DUMMYFUNCTION("""COMPUTED_VALUE"""),"BERMUDEZ")</f>
        <v>BERMUDEZ</v>
      </c>
      <c r="D64" s="63" t="str">
        <f>IFERROR(__xludf.DUMMYFUNCTION("""COMPUTED_VALUE"""),"JORGE")</f>
        <v>JORGE</v>
      </c>
      <c r="E64" s="55">
        <f>IFERROR(__xludf.DUMMYFUNCTION("""COMPUTED_VALUE"""),7.0)</f>
        <v>7</v>
      </c>
      <c r="F64" s="55">
        <f>IFERROR(__xludf.DUMMYFUNCTION("""COMPUTED_VALUE"""),1.4)</f>
        <v>1.4</v>
      </c>
      <c r="G64" s="56"/>
      <c r="H64" s="57">
        <f>IFERROR(__xludf.DUMMYFUNCTION("""COMPUTED_VALUE"""),8.4)</f>
        <v>8.4</v>
      </c>
      <c r="I64" s="64">
        <f>IFERROR(__xludf.DUMMYFUNCTION("""COMPUTED_VALUE"""),1.0)</f>
        <v>1</v>
      </c>
      <c r="J64" s="59">
        <f>IFERROR(__xludf.DUMMYFUNCTION("""COMPUTED_VALUE"""),8.0)</f>
        <v>8</v>
      </c>
      <c r="K64" s="51"/>
      <c r="L64" s="60">
        <f>IFERROR(__xludf.DUMMYFUNCTION("""COMPUTED_VALUE"""),8.0)</f>
        <v>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IFERROR(__xludf.DUMMYFUNCTION("""COMPUTED_VALUE"""),"VELAZQUEZ")</f>
        <v>VELAZQUEZ</v>
      </c>
      <c r="D65" s="63" t="str">
        <f>IFERROR(__xludf.DUMMYFUNCTION("""COMPUTED_VALUE"""),"RENATA VICTORIA")</f>
        <v>RENATA VICTORIA</v>
      </c>
      <c r="E65" s="55">
        <f>IFERROR(__xludf.DUMMYFUNCTION("""COMPUTED_VALUE"""),8.0)</f>
        <v>8</v>
      </c>
      <c r="F65" s="55">
        <f>IFERROR(__xludf.DUMMYFUNCTION("""COMPUTED_VALUE"""),1.1)</f>
        <v>1.1</v>
      </c>
      <c r="G65" s="56"/>
      <c r="H65" s="57">
        <f>IFERROR(__xludf.DUMMYFUNCTION("""COMPUTED_VALUE"""),9.1)</f>
        <v>9.1</v>
      </c>
      <c r="I65" s="64">
        <f>IFERROR(__xludf.DUMMYFUNCTION("""COMPUTED_VALUE"""),1.0)</f>
        <v>1</v>
      </c>
      <c r="J65" s="59">
        <f>IFERROR(__xludf.DUMMYFUNCTION("""COMPUTED_VALUE"""),9.0)</f>
        <v>9</v>
      </c>
      <c r="K65" s="51"/>
      <c r="L65" s="60">
        <f>IFERROR(__xludf.DUMMYFUNCTION("""COMPUTED_VALUE"""),9.0)</f>
        <v>9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IFERROR(__xludf.DUMMYFUNCTION("""COMPUTED_VALUE"""),"TREJO")</f>
        <v>TREJO</v>
      </c>
      <c r="C66" s="62" t="str">
        <f>IFERROR(__xludf.DUMMYFUNCTION("""COMPUTED_VALUE"""),"PERAL")</f>
        <v>PERAL</v>
      </c>
      <c r="D66" s="63" t="str">
        <f>IFERROR(__xludf.DUMMYFUNCTION("""COMPUTED_VALUE"""),"AIKO REGINA")</f>
        <v>AIKO REGINA</v>
      </c>
      <c r="E66" s="55">
        <f>IFERROR(__xludf.DUMMYFUNCTION("""COMPUTED_VALUE"""),7.0)</f>
        <v>7</v>
      </c>
      <c r="F66" s="55">
        <f>IFERROR(__xludf.DUMMYFUNCTION("""COMPUTED_VALUE"""),2.0)</f>
        <v>2</v>
      </c>
      <c r="G66" s="56"/>
      <c r="H66" s="57">
        <f>IFERROR(__xludf.DUMMYFUNCTION("""COMPUTED_VALUE"""),9.0)</f>
        <v>9</v>
      </c>
      <c r="I66" s="64">
        <f>IFERROR(__xludf.DUMMYFUNCTION("""COMPUTED_VALUE"""),1.0)</f>
        <v>1</v>
      </c>
      <c r="J66" s="59">
        <f>IFERROR(__xludf.DUMMYFUNCTION("""COMPUTED_VALUE"""),9.0)</f>
        <v>9</v>
      </c>
      <c r="K66" s="51"/>
      <c r="L66" s="60">
        <f>IFERROR(__xludf.DUMMYFUNCTION("""COMPUTED_VALUE"""),9.0)</f>
        <v>9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IFERROR(__xludf.DUMMYFUNCTION("""COMPUTED_VALUE"""),"TREJO")</f>
        <v>TREJO</v>
      </c>
      <c r="C67" s="62" t="str">
        <f>IFERROR(__xludf.DUMMYFUNCTION("""COMPUTED_VALUE"""),"PEREZ")</f>
        <v>PEREZ</v>
      </c>
      <c r="D67" s="63" t="str">
        <f>IFERROR(__xludf.DUMMYFUNCTION("""COMPUTED_VALUE"""),"ANGEL SANTIAGO")</f>
        <v>ANGEL SANTIAGO</v>
      </c>
      <c r="E67" s="55">
        <f>IFERROR(__xludf.DUMMYFUNCTION("""COMPUTED_VALUE"""),7.0)</f>
        <v>7</v>
      </c>
      <c r="F67" s="55">
        <f>IFERROR(__xludf.DUMMYFUNCTION("""COMPUTED_VALUE"""),2.0)</f>
        <v>2</v>
      </c>
      <c r="G67" s="56">
        <f>IFERROR(__xludf.DUMMYFUNCTION("""COMPUTED_VALUE"""),1.0)</f>
        <v>1</v>
      </c>
      <c r="H67" s="57">
        <f>IFERROR(__xludf.DUMMYFUNCTION("""COMPUTED_VALUE"""),10.0)</f>
        <v>10</v>
      </c>
      <c r="I67" s="64">
        <f>IFERROR(__xludf.DUMMYFUNCTION("""COMPUTED_VALUE"""),2.0)</f>
        <v>2</v>
      </c>
      <c r="J67" s="59">
        <f>IFERROR(__xludf.DUMMYFUNCTION("""COMPUTED_VALUE"""),10.0)</f>
        <v>10</v>
      </c>
      <c r="K67" s="51"/>
      <c r="L67" s="60">
        <f>IFERROR(__xludf.DUMMYFUNCTION("""COMPUTED_VALUE"""),10.0)</f>
        <v>10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IFERROR(__xludf.DUMMYFUNCTION("""COMPUTED_VALUE"""),"VAZQUEZ")</f>
        <v>VAZQUEZ</v>
      </c>
      <c r="C68" s="62" t="str">
        <f>IFERROR(__xludf.DUMMYFUNCTION("""COMPUTED_VALUE"""),"FABILA")</f>
        <v>FABILA</v>
      </c>
      <c r="D68" s="66" t="str">
        <f>IFERROR(__xludf.DUMMYFUNCTION("""COMPUTED_VALUE"""),"LUZ MARIANA")</f>
        <v>LUZ MARIANA</v>
      </c>
      <c r="E68" s="55">
        <f>IFERROR(__xludf.DUMMYFUNCTION("""COMPUTED_VALUE"""),7.0)</f>
        <v>7</v>
      </c>
      <c r="F68" s="55">
        <f>IFERROR(__xludf.DUMMYFUNCTION("""COMPUTED_VALUE"""),1.4)</f>
        <v>1.4</v>
      </c>
      <c r="G68" s="56"/>
      <c r="H68" s="57">
        <f>IFERROR(__xludf.DUMMYFUNCTION("""COMPUTED_VALUE"""),8.4)</f>
        <v>8.4</v>
      </c>
      <c r="I68" s="64">
        <f>IFERROR(__xludf.DUMMYFUNCTION("""COMPUTED_VALUE"""),3.0)</f>
        <v>3</v>
      </c>
      <c r="J68" s="59">
        <f>IFERROR(__xludf.DUMMYFUNCTION("""COMPUTED_VALUE"""),8.0)</f>
        <v>8</v>
      </c>
      <c r="K68" s="51"/>
      <c r="L68" s="60">
        <f>IFERROR(__xludf.DUMMYFUNCTION("""COMPUTED_VALUE"""),8.0)</f>
        <v>8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IFERROR(__xludf.DUMMYFUNCTION("""COMPUTED_VALUE"""),"VILLEGAS")</f>
        <v>VILLEGAS</v>
      </c>
      <c r="C69" s="62" t="str">
        <f>IFERROR(__xludf.DUMMYFUNCTION("""COMPUTED_VALUE"""),"SANCHEZ")</f>
        <v>SANCHEZ</v>
      </c>
      <c r="D69" s="66" t="str">
        <f>IFERROR(__xludf.DUMMYFUNCTION("""COMPUTED_VALUE"""),"FATIMA ANAHI")</f>
        <v>FATIMA ANAHI</v>
      </c>
      <c r="E69" s="55">
        <f>IFERROR(__xludf.DUMMYFUNCTION("""COMPUTED_VALUE"""),8.0)</f>
        <v>8</v>
      </c>
      <c r="F69" s="55">
        <f>IFERROR(__xludf.DUMMYFUNCTION("""COMPUTED_VALUE"""),1.6)</f>
        <v>1.6</v>
      </c>
      <c r="G69" s="56"/>
      <c r="H69" s="57">
        <f>IFERROR(__xludf.DUMMYFUNCTION("""COMPUTED_VALUE"""),9.6)</f>
        <v>9.6</v>
      </c>
      <c r="I69" s="64">
        <f>IFERROR(__xludf.DUMMYFUNCTION("""COMPUTED_VALUE"""),0.0)</f>
        <v>0</v>
      </c>
      <c r="J69" s="59">
        <f>IFERROR(__xludf.DUMMYFUNCTION("""COMPUTED_VALUE"""),10.0)</f>
        <v>10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IFERROR(__xludf.DUMMYFUNCTION("""COMPUTED_VALUE"""),"ZAMORA")</f>
        <v>ZAMORA</v>
      </c>
      <c r="C70" s="62" t="str">
        <f>IFERROR(__xludf.DUMMYFUNCTION("""COMPUTED_VALUE"""),"REYES")</f>
        <v>REYES</v>
      </c>
      <c r="D70" s="67" t="str">
        <f>IFERROR(__xludf.DUMMYFUNCTION("""COMPUTED_VALUE"""),"SANTIAGO")</f>
        <v>SANTIAGO</v>
      </c>
      <c r="E70" s="55">
        <f>IFERROR(__xludf.DUMMYFUNCTION("""COMPUTED_VALUE"""),2.0)</f>
        <v>2</v>
      </c>
      <c r="F70" s="55"/>
      <c r="G70" s="56"/>
      <c r="H70" s="57">
        <f>IFERROR(__xludf.DUMMYFUNCTION("""COMPUTED_VALUE"""),2.0)</f>
        <v>2</v>
      </c>
      <c r="I70" s="64">
        <f>IFERROR(__xludf.DUMMYFUNCTION("""COMPUTED_VALUE"""),0.0)</f>
        <v>0</v>
      </c>
      <c r="J70" s="59">
        <f>IFERROR(__xludf.DUMMYFUNCTION("""COMPUTED_VALUE"""),5.0)</f>
        <v>5</v>
      </c>
      <c r="K70" s="51"/>
      <c r="L70" s="6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6"/>
      <c r="B71" s="69"/>
      <c r="C71" s="69"/>
      <c r="D71" s="69"/>
      <c r="E71" s="70"/>
      <c r="F71" s="69"/>
      <c r="G71" s="69"/>
      <c r="H71" s="69"/>
      <c r="I71" s="69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71"/>
      <c r="B72" s="72" t="str">
        <f>IFERROR(__xludf.DUMMYFUNCTION("""COMPUTED_VALUE"""),"No. DE ALUMNOS INSCRITOS")</f>
        <v>No. DE ALUMNOS INSCRITOS</v>
      </c>
      <c r="C72" s="73"/>
      <c r="D72" s="74">
        <f>IFERROR(__xludf.DUMMYFUNCTION("""COMPUTED_VALUE"""),54.0)</f>
        <v>54</v>
      </c>
      <c r="E72" s="69"/>
      <c r="F72" s="75" t="str">
        <f>IFERROR(__xludf.DUMMYFUNCTION("""COMPUTED_VALUE"""),"FIRMA DEL PROFESOR")</f>
        <v>FIRMA DEL PROFESOR</v>
      </c>
      <c r="G72" s="75"/>
      <c r="H72" s="75" t="str">
        <f>IFERROR(__xludf.DUMMYFUNCTION("""COMPUTED_VALUE"""),"FIRMA DEL ORIENTADOR")</f>
        <v>FIRMA DEL ORIENTADOR</v>
      </c>
      <c r="J72" s="76" t="str">
        <f>IFERROR(__xludf.DUMMYFUNCTION("""COMPUTED_VALUE"""),"Vo. Bo. SUBDIRECCIÓN ESCOLAR")</f>
        <v>Vo. Bo. SUBDIRECCIÓN ESCOLAR</v>
      </c>
      <c r="K72" s="77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78" t="str">
        <f>IFERROR(__xludf.DUMMYFUNCTION("""COMPUTED_VALUE"""),"BAJAS DURANTE EL SEMESTRE")</f>
        <v>BAJAS DURANTE EL SEMESTRE</v>
      </c>
      <c r="C73" s="79"/>
      <c r="D73" s="80">
        <f>IFERROR(__xludf.DUMMYFUNCTION("""COMPUTED_VALUE"""),0.0)</f>
        <v>0</v>
      </c>
      <c r="E73" s="69"/>
      <c r="G73" s="75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1"/>
      <c r="B74" s="78" t="str">
        <f>IFERROR(__xludf.DUMMYFUNCTION("""COMPUTED_VALUE"""),"EXISTENCIA")</f>
        <v>EXISTENCIA</v>
      </c>
      <c r="C74" s="79"/>
      <c r="D74" s="81">
        <f>IFERROR(__xludf.DUMMYFUNCTION("""COMPUTED_VALUE"""),54.0)</f>
        <v>54</v>
      </c>
      <c r="E74" s="69"/>
      <c r="F74" s="82"/>
      <c r="G74" s="83"/>
      <c r="H74" s="82"/>
      <c r="I74" s="82"/>
      <c r="J74" s="84"/>
      <c r="K74" s="8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1"/>
      <c r="B75" s="78" t="str">
        <f>IFERROR(__xludf.DUMMYFUNCTION("""COMPUTED_VALUE"""),"No. DE ALUMNOS APROBADOS")</f>
        <v>No. DE ALUMNOS APROBADOS</v>
      </c>
      <c r="C75" s="79"/>
      <c r="D75" s="81">
        <f>IFERROR(__xludf.DUMMYFUNCTION("""COMPUTED_VALUE"""),49.0)</f>
        <v>49</v>
      </c>
      <c r="E75" s="69"/>
      <c r="F75" s="82"/>
      <c r="G75" s="83"/>
      <c r="H75" s="82"/>
      <c r="I75" s="82"/>
      <c r="J75" s="84"/>
      <c r="K75" s="8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1"/>
      <c r="B76" s="78" t="str">
        <f>IFERROR(__xludf.DUMMYFUNCTION("""COMPUTED_VALUE"""),"No. DE ALUMNOS REPROBADOS")</f>
        <v>No. DE ALUMNOS REPROBADOS</v>
      </c>
      <c r="C76" s="79"/>
      <c r="D76" s="81">
        <f>IFERROR(__xludf.DUMMYFUNCTION("""COMPUTED_VALUE"""),5.0)</f>
        <v>5</v>
      </c>
      <c r="E76" s="69"/>
      <c r="F76" s="86"/>
      <c r="G76" s="83"/>
      <c r="H76" s="86"/>
      <c r="I76" s="86"/>
      <c r="J76" s="87"/>
      <c r="K76" s="8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1"/>
      <c r="B77" s="78" t="str">
        <f>IFERROR(__xludf.DUMMYFUNCTION("""COMPUTED_VALUE"""),"% DE APROBADOS")</f>
        <v>% DE APROBADOS</v>
      </c>
      <c r="C77" s="79"/>
      <c r="D77" s="89">
        <f>IFERROR(__xludf.DUMMYFUNCTION("""COMPUTED_VALUE"""),90.74074074074075)</f>
        <v>90.74074074</v>
      </c>
      <c r="E77" s="69"/>
      <c r="F77" s="90" t="str">
        <f>IFERROR(__xludf.DUMMYFUNCTION("""COMPUTED_VALUE"""),"PROFR. ")</f>
        <v>PROFR. </v>
      </c>
      <c r="G77" s="91"/>
      <c r="H77" s="92" t="str">
        <f>IFERROR(__xludf.DUMMYFUNCTION("""COMPUTED_VALUE"""),"PROFR. JOSÉ EDGAR SALAZAR ZÚÑIGA")</f>
        <v>PROFR. JOSÉ EDGAR SALAZAR ZÚÑIGA</v>
      </c>
      <c r="J77" s="93" t="str">
        <f>IFERROR(__xludf.DUMMYFUNCTION("""COMPUTED_VALUE"""),"PROFR. OCTAVIO VÁZQUEZ BARRETO")</f>
        <v>PROFR. OCTAVIO VÁZQUEZ BARRETO</v>
      </c>
      <c r="K77" s="94" t="str">
        <f>IFERROR(__xludf.DUMMYFUNCTION("""COMPUTED_VALUE"""),"PROFR. ROBERTO PALOMARES MEJÍA ")</f>
        <v>PROFR. ROBERTO PALOMARES MEJÍA </v>
      </c>
      <c r="L77" s="9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71"/>
      <c r="B78" s="96" t="str">
        <f>IFERROR(__xludf.DUMMYFUNCTION("""COMPUTED_VALUE"""),"PROMEDIO")</f>
        <v>PROMEDIO</v>
      </c>
      <c r="C78" s="97"/>
      <c r="D78" s="98">
        <f>IFERROR(__xludf.DUMMYFUNCTION("""COMPUTED_VALUE"""),8.38888888888889)</f>
        <v>8.388888889</v>
      </c>
      <c r="E78" s="69"/>
      <c r="G78" s="91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99"/>
      <c r="B80" s="100"/>
      <c r="C80" s="101"/>
      <c r="D80" s="101"/>
      <c r="E80" s="69"/>
      <c r="G80" s="7"/>
      <c r="H80" s="7"/>
      <c r="I80" s="7"/>
      <c r="J80" s="7"/>
      <c r="K80" s="102"/>
      <c r="L80" s="10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4"/>
      <c r="B81" s="69"/>
      <c r="C81" s="69"/>
      <c r="D81" s="69"/>
      <c r="E81" s="7"/>
      <c r="F81" s="1"/>
      <c r="G81" s="1"/>
      <c r="H81" s="1"/>
      <c r="I81" s="1"/>
      <c r="J81" s="1"/>
      <c r="K81" s="8"/>
      <c r="L81" s="10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4"/>
      <c r="B82" s="69"/>
      <c r="C82" s="69"/>
      <c r="D82" s="69"/>
      <c r="E82" s="7"/>
      <c r="F82" s="1"/>
      <c r="G82" s="1"/>
      <c r="H82" s="1"/>
      <c r="I82" s="1"/>
      <c r="J82" s="1"/>
      <c r="K82" s="8"/>
      <c r="L82" s="10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6"/>
      <c r="B83" s="107"/>
      <c r="C83" s="107"/>
      <c r="D83" s="107"/>
      <c r="E83" s="108"/>
      <c r="F83" s="109"/>
      <c r="G83" s="109"/>
      <c r="H83" s="109"/>
      <c r="I83" s="109"/>
      <c r="J83" s="109"/>
      <c r="K83" s="110"/>
      <c r="L83" s="10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12"/>
      <c r="K84" s="112"/>
      <c r="L84" s="11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12"/>
      <c r="K85" s="112"/>
      <c r="L85" s="11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12"/>
      <c r="K86" s="112"/>
      <c r="L86" s="11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12"/>
      <c r="K87" s="112"/>
      <c r="L87" s="11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1"/>
      <c r="C89" s="111"/>
      <c r="D89" s="111"/>
      <c r="E89" s="111"/>
      <c r="F89" s="1"/>
      <c r="G89" s="1"/>
      <c r="H89" s="1"/>
      <c r="I89" s="1"/>
      <c r="J89" s="1"/>
      <c r="K89" s="11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1"/>
      <c r="C90" s="111"/>
      <c r="D90" s="111"/>
      <c r="E90" s="11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1"/>
      <c r="C91" s="111"/>
      <c r="D91" s="111"/>
      <c r="E91" s="11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1"/>
      <c r="C92" s="111"/>
      <c r="D92" s="111"/>
      <c r="E92" s="11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1"/>
      <c r="C93" s="111"/>
      <c r="D93" s="111"/>
      <c r="E93" s="11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1"/>
      <c r="C94" s="111"/>
      <c r="D94" s="111"/>
      <c r="E94" s="11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1"/>
      <c r="C95" s="111"/>
      <c r="D95" s="111"/>
      <c r="E95" s="11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IFERROR(__xludf.DUMMYFUNCTION("IMPORTRANGE(""https://docs.google.com/spreadsheets/d/1R_LufODGbikLoD-Jd0WTt-eYlX8m1ngqZM93CoT4u5M/edit?gid=1640108596#gid=1640108596"",""1-2 ingles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IFERROR(__xludf.DUMMYFUNCTION("""COMPUTED_VALUE"""),"Christian Medrano Valdez")</f>
        <v>Christian Medrano Valdez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IFERROR(__xludf.DUMMYFUNCTION("""COMPUTED_VALUE"""),"INGLÉS II")</f>
        <v>INGLÉS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IFERROR(__xludf.DUMMYFUNCTION("""COMPUTED_VALUE"""),"AMBROSIO")</f>
        <v>AMBROSIO</v>
      </c>
      <c r="C17" s="53" t="str">
        <f>IFERROR(__xludf.DUMMYFUNCTION("""COMPUTED_VALUE"""),"RAMIREZ")</f>
        <v>RAMIREZ</v>
      </c>
      <c r="D17" s="54" t="str">
        <f>IFERROR(__xludf.DUMMYFUNCTION("""COMPUTED_VALUE"""),"ALEXANDRA")</f>
        <v>ALEXANDRA</v>
      </c>
      <c r="E17" s="55">
        <f>IFERROR(__xludf.DUMMYFUNCTION("""COMPUTED_VALUE"""),8.0)</f>
        <v>8</v>
      </c>
      <c r="F17" s="55">
        <f>IFERROR(__xludf.DUMMYFUNCTION("""COMPUTED_VALUE"""),2.0)</f>
        <v>2</v>
      </c>
      <c r="G17" s="56">
        <f>IFERROR(__xludf.DUMMYFUNCTION("""COMPUTED_VALUE"""),0.0)</f>
        <v>0</v>
      </c>
      <c r="H17" s="57">
        <f>IFERROR(__xludf.DUMMYFUNCTION("""COMPUTED_VALUE"""),10.0)</f>
        <v>10</v>
      </c>
      <c r="I17" s="56">
        <f>IFERROR(__xludf.DUMMYFUNCTION("""COMPUTED_VALUE"""),0.0)</f>
        <v>0</v>
      </c>
      <c r="J17" s="59">
        <f>IFERROR(__xludf.DUMMYFUNCTION("""COMPUTED_VALUE"""),10.0)</f>
        <v>10</v>
      </c>
      <c r="K17" s="60"/>
      <c r="L17" s="61">
        <f>IFERROR(__xludf.DUMMYFUNCTION("""COMPUTED_VALUE"""),10.0)</f>
        <v>10</v>
      </c>
      <c r="M17" s="1" t="str">
        <f>IFERROR(__xludf.DUMMYFUNCTION("""COMPUTED_VALUE"""),"Febrero")</f>
        <v>Febrero</v>
      </c>
      <c r="N17" s="1">
        <f>IFERROR(__xludf.DUMMYFUNCTION("""COMPUTED_VALUE"""),7.0)</f>
        <v>7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IFERROR(__xludf.DUMMYFUNCTION("""COMPUTED_VALUE"""),"AVILA")</f>
        <v>AVILA</v>
      </c>
      <c r="C18" s="52" t="str">
        <f>IFERROR(__xludf.DUMMYFUNCTION("""COMPUTED_VALUE"""),"MORALES")</f>
        <v>MORALES</v>
      </c>
      <c r="D18" s="54" t="str">
        <f>IFERROR(__xludf.DUMMYFUNCTION("""COMPUTED_VALUE"""),"EDWIN ADAHIR")</f>
        <v>EDWIN ADAHIR</v>
      </c>
      <c r="E18" s="55">
        <f>IFERROR(__xludf.DUMMYFUNCTION("""COMPUTED_VALUE"""),8.0)</f>
        <v>8</v>
      </c>
      <c r="F18" s="55">
        <f>IFERROR(__xludf.DUMMYFUNCTION("""COMPUTED_VALUE"""),0.0)</f>
        <v>0</v>
      </c>
      <c r="G18" s="56">
        <f>IFERROR(__xludf.DUMMYFUNCTION("""COMPUTED_VALUE"""),0.0)</f>
        <v>0</v>
      </c>
      <c r="H18" s="57">
        <f>IFERROR(__xludf.DUMMYFUNCTION("""COMPUTED_VALUE"""),8.0)</f>
        <v>8</v>
      </c>
      <c r="I18" s="56">
        <f>IFERROR(__xludf.DUMMYFUNCTION("""COMPUTED_VALUE"""),2.0)</f>
        <v>2</v>
      </c>
      <c r="J18" s="59">
        <f>IFERROR(__xludf.DUMMYFUNCTION("""COMPUTED_VALUE"""),8.0)</f>
        <v>8</v>
      </c>
      <c r="K18" s="51"/>
      <c r="L18" s="61">
        <f>IFERROR(__xludf.DUMMYFUNCTION("""COMPUTED_VALUE"""),8.0)</f>
        <v>8</v>
      </c>
      <c r="M18" s="1" t="str">
        <f>IFERROR(__xludf.DUMMYFUNCTION("""COMPUTED_VALUE"""),"Marzo")</f>
        <v>Marzo</v>
      </c>
      <c r="N18" s="1">
        <f>IFERROR(__xludf.DUMMYFUNCTION("""COMPUTED_VALUE"""),11.0)</f>
        <v>11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IFERROR(__xludf.DUMMYFUNCTION("""COMPUTED_VALUE"""),"AVILA")</f>
        <v>AVILA</v>
      </c>
      <c r="C19" s="52" t="str">
        <f>IFERROR(__xludf.DUMMYFUNCTION("""COMPUTED_VALUE"""),"RAMIREZ")</f>
        <v>RAMIREZ</v>
      </c>
      <c r="D19" s="54" t="str">
        <f>IFERROR(__xludf.DUMMYFUNCTION("""COMPUTED_VALUE"""),"SANTIAGO")</f>
        <v>SANTIAGO</v>
      </c>
      <c r="E19" s="56">
        <f>IFERROR(__xludf.DUMMYFUNCTION("""COMPUTED_VALUE"""),8.0)</f>
        <v>8</v>
      </c>
      <c r="F19" s="55">
        <f>IFERROR(__xludf.DUMMYFUNCTION("""COMPUTED_VALUE"""),2.0)</f>
        <v>2</v>
      </c>
      <c r="G19" s="56">
        <f>IFERROR(__xludf.DUMMYFUNCTION("""COMPUTED_VALUE"""),0.0)</f>
        <v>0</v>
      </c>
      <c r="H19" s="57">
        <f>IFERROR(__xludf.DUMMYFUNCTION("""COMPUTED_VALUE"""),10.0)</f>
        <v>10</v>
      </c>
      <c r="I19" s="56">
        <f>IFERROR(__xludf.DUMMYFUNCTION("""COMPUTED_VALUE"""),1.0)</f>
        <v>1</v>
      </c>
      <c r="J19" s="59">
        <f>IFERROR(__xludf.DUMMYFUNCTION("""COMPUTED_VALUE"""),10.0)</f>
        <v>10</v>
      </c>
      <c r="K19" s="51"/>
      <c r="L19" s="61">
        <f>IFERROR(__xludf.DUMMYFUNCTION("""COMPUTED_VALUE"""),10.0)</f>
        <v>10</v>
      </c>
      <c r="M19" s="1" t="str">
        <f>IFERROR(__xludf.DUMMYFUNCTION("""COMPUTED_VALUE"""),"Abril")</f>
        <v>Abril</v>
      </c>
      <c r="N19" s="1">
        <f>IFERROR(__xludf.DUMMYFUNCTION("""COMPUTED_VALUE"""),9.0)</f>
        <v>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IFERROR(__xludf.DUMMYFUNCTION("""COMPUTED_VALUE"""),"BARRAZA")</f>
        <v>BARRAZA</v>
      </c>
      <c r="C20" s="52" t="str">
        <f>IFERROR(__xludf.DUMMYFUNCTION("""COMPUTED_VALUE"""),"MONTELONGO")</f>
        <v>MONTELONGO</v>
      </c>
      <c r="D20" s="54" t="str">
        <f>IFERROR(__xludf.DUMMYFUNCTION("""COMPUTED_VALUE"""),"STEFANY YANELI")</f>
        <v>STEFANY YANELI</v>
      </c>
      <c r="E20" s="55">
        <f>IFERROR(__xludf.DUMMYFUNCTION("""COMPUTED_VALUE"""),8.0)</f>
        <v>8</v>
      </c>
      <c r="F20" s="55">
        <f>IFERROR(__xludf.DUMMYFUNCTION("""COMPUTED_VALUE"""),2.0)</f>
        <v>2</v>
      </c>
      <c r="G20" s="56">
        <f>IFERROR(__xludf.DUMMYFUNCTION("""COMPUTED_VALUE"""),1.0)</f>
        <v>1</v>
      </c>
      <c r="H20" s="57">
        <f>IFERROR(__xludf.DUMMYFUNCTION("""COMPUTED_VALUE"""),11.0)</f>
        <v>11</v>
      </c>
      <c r="I20" s="56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IFERROR(__xludf.DUMMYFUNCTION("""COMPUTED_VALUE"""),11.0)</f>
        <v>11</v>
      </c>
      <c r="M20" s="1" t="str">
        <f>IFERROR(__xludf.DUMMYFUNCTION("""COMPUTED_VALUE"""),"Mayo")</f>
        <v>Mayo</v>
      </c>
      <c r="N20" s="1">
        <f>IFERROR(__xludf.DUMMYFUNCTION("""COMPUTED_VALUE"""),10.0)</f>
        <v>10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IFERROR(__xludf.DUMMYFUNCTION("""COMPUTED_VALUE"""),"BECERRA")</f>
        <v>BECERRA</v>
      </c>
      <c r="C21" s="52" t="str">
        <f>IFERROR(__xludf.DUMMYFUNCTION("""COMPUTED_VALUE"""),"FLORES")</f>
        <v>FLORES</v>
      </c>
      <c r="D21" s="54" t="str">
        <f>IFERROR(__xludf.DUMMYFUNCTION("""COMPUTED_VALUE"""),"HADE JETZABEL")</f>
        <v>HADE JETZABEL</v>
      </c>
      <c r="E21" s="55">
        <f>IFERROR(__xludf.DUMMYFUNCTION("""COMPUTED_VALUE"""),8.0)</f>
        <v>8</v>
      </c>
      <c r="F21" s="55">
        <f>IFERROR(__xludf.DUMMYFUNCTION("""COMPUTED_VALUE"""),2.0)</f>
        <v>2</v>
      </c>
      <c r="G21" s="56">
        <f>IFERROR(__xludf.DUMMYFUNCTION("""COMPUTED_VALUE"""),1.0)</f>
        <v>1</v>
      </c>
      <c r="H21" s="57">
        <f>IFERROR(__xludf.DUMMYFUNCTION("""COMPUTED_VALUE"""),11.0)</f>
        <v>11</v>
      </c>
      <c r="I21" s="56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IFERROR(__xludf.DUMMYFUNCTION("""COMPUTED_VALUE"""),11.0)</f>
        <v>11</v>
      </c>
      <c r="M21" s="1" t="str">
        <f>IFERROR(__xludf.DUMMYFUNCTION("""COMPUTED_VALUE"""),"Junio")</f>
        <v>Junio</v>
      </c>
      <c r="N21" s="1">
        <f>IFERROR(__xludf.DUMMYFUNCTION("""COMPUTED_VALUE"""),13.0)</f>
        <v>13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IFERROR(__xludf.DUMMYFUNCTION("""COMPUTED_VALUE"""),"BELLO")</f>
        <v>BELLO</v>
      </c>
      <c r="C22" s="52" t="str">
        <f>IFERROR(__xludf.DUMMYFUNCTION("""COMPUTED_VALUE"""),"CHAVEZ")</f>
        <v>CHAVEZ</v>
      </c>
      <c r="D22" s="54" t="str">
        <f>IFERROR(__xludf.DUMMYFUNCTION("""COMPUTED_VALUE"""),"EMILIO SEBASTIAN")</f>
        <v>EMILIO SEBASTIAN</v>
      </c>
      <c r="E22" s="55">
        <f>IFERROR(__xludf.DUMMYFUNCTION("""COMPUTED_VALUE"""),5.0)</f>
        <v>5</v>
      </c>
      <c r="F22" s="55">
        <f>IFERROR(__xludf.DUMMYFUNCTION("""COMPUTED_VALUE"""),2.0)</f>
        <v>2</v>
      </c>
      <c r="G22" s="56">
        <f>IFERROR(__xludf.DUMMYFUNCTION("""COMPUTED_VALUE"""),0.0)</f>
        <v>0</v>
      </c>
      <c r="H22" s="57">
        <f>IFERROR(__xludf.DUMMYFUNCTION("""COMPUTED_VALUE"""),7.0)</f>
        <v>7</v>
      </c>
      <c r="I22" s="56">
        <f>IFERROR(__xludf.DUMMYFUNCTION("""COMPUTED_VALUE"""),1.0)</f>
        <v>1</v>
      </c>
      <c r="J22" s="59">
        <f>IFERROR(__xludf.DUMMYFUNCTION("""COMPUTED_VALUE"""),7.0)</f>
        <v>7</v>
      </c>
      <c r="K22" s="51"/>
      <c r="L22" s="61">
        <f>IFERROR(__xludf.DUMMYFUNCTION("""COMPUTED_VALUE"""),7.0)</f>
        <v>7</v>
      </c>
      <c r="M22" s="1" t="str">
        <f>IFERROR(__xludf.DUMMYFUNCTION("""COMPUTED_VALUE"""),"Julio")</f>
        <v>Julio</v>
      </c>
      <c r="N22" s="1">
        <f>IFERROR(__xludf.DUMMYFUNCTION("""COMPUTED_VALUE"""),6.0)</f>
        <v>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IFERROR(__xludf.DUMMYFUNCTION("""COMPUTED_VALUE"""),"CASAS")</f>
        <v>CASAS</v>
      </c>
      <c r="C23" s="52" t="str">
        <f>IFERROR(__xludf.DUMMYFUNCTION("""COMPUTED_VALUE"""),"GARCIA")</f>
        <v>GARCIA</v>
      </c>
      <c r="D23" s="54" t="str">
        <f>IFERROR(__xludf.DUMMYFUNCTION("""COMPUTED_VALUE"""),"ZEUS ANTHUAN")</f>
        <v>ZEUS ANTHUAN</v>
      </c>
      <c r="E23" s="55">
        <f>IFERROR(__xludf.DUMMYFUNCTION("""COMPUTED_VALUE"""),7.0)</f>
        <v>7</v>
      </c>
      <c r="F23" s="55">
        <f>IFERROR(__xludf.DUMMYFUNCTION("""COMPUTED_VALUE"""),2.0)</f>
        <v>2</v>
      </c>
      <c r="G23" s="56">
        <f>IFERROR(__xludf.DUMMYFUNCTION("""COMPUTED_VALUE"""),0.0)</f>
        <v>0</v>
      </c>
      <c r="H23" s="57">
        <f>IFERROR(__xludf.DUMMYFUNCTION("""COMPUTED_VALUE"""),9.0)</f>
        <v>9</v>
      </c>
      <c r="I23" s="56">
        <f>IFERROR(__xludf.DUMMYFUNCTION("""COMPUTED_VALUE"""),1.0)</f>
        <v>1</v>
      </c>
      <c r="J23" s="59">
        <f>IFERROR(__xludf.DUMMYFUNCTION("""COMPUTED_VALUE"""),9.0)</f>
        <v>9</v>
      </c>
      <c r="K23" s="51"/>
      <c r="L23" s="61">
        <f>IFERROR(__xludf.DUMMYFUNCTION("""COMPUTED_VALUE"""),9.0)</f>
        <v>9</v>
      </c>
      <c r="M23" s="1" t="str">
        <f>IFERROR(__xludf.DUMMYFUNCTION("""COMPUTED_VALUE"""),"TOTAL")</f>
        <v>TOTAL</v>
      </c>
      <c r="N23" s="1">
        <f>IFERROR(__xludf.DUMMYFUNCTION("""COMPUTED_VALUE"""),56.0)</f>
        <v>56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IFERROR(__xludf.DUMMYFUNCTION("""COMPUTED_VALUE"""),"CHICO")</f>
        <v>CHICO</v>
      </c>
      <c r="C24" s="52" t="str">
        <f>IFERROR(__xludf.DUMMYFUNCTION("""COMPUTED_VALUE"""),"ORTIZ")</f>
        <v>ORTIZ</v>
      </c>
      <c r="D24" s="54" t="str">
        <f>IFERROR(__xludf.DUMMYFUNCTION("""COMPUTED_VALUE"""),"ALAN")</f>
        <v>ALAN</v>
      </c>
      <c r="E24" s="56">
        <f>IFERROR(__xludf.DUMMYFUNCTION("""COMPUTED_VALUE"""),7.0)</f>
        <v>7</v>
      </c>
      <c r="F24" s="55">
        <f>IFERROR(__xludf.DUMMYFUNCTION("""COMPUTED_VALUE"""),2.0)</f>
        <v>2</v>
      </c>
      <c r="G24" s="56">
        <f>IFERROR(__xludf.DUMMYFUNCTION("""COMPUTED_VALUE"""),0.0)</f>
        <v>0</v>
      </c>
      <c r="H24" s="57">
        <f>IFERROR(__xludf.DUMMYFUNCTION("""COMPUTED_VALUE"""),9.0)</f>
        <v>9</v>
      </c>
      <c r="I24" s="56">
        <f>IFERROR(__xludf.DUMMYFUNCTION("""COMPUTED_VALUE"""),1.0)</f>
        <v>1</v>
      </c>
      <c r="J24" s="59">
        <f>IFERROR(__xludf.DUMMYFUNCTION("""COMPUTED_VALUE"""),9.0)</f>
        <v>9</v>
      </c>
      <c r="K24" s="51"/>
      <c r="L24" s="61">
        <f>IFERROR(__xludf.DUMMYFUNCTION("""COMPUTED_VALUE"""),9.0)</f>
        <v>9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IFERROR(__xludf.DUMMYFUNCTION("""COMPUTED_VALUE"""),"COLIN")</f>
        <v>COLIN</v>
      </c>
      <c r="C25" s="52" t="str">
        <f>IFERROR(__xludf.DUMMYFUNCTION("""COMPUTED_VALUE"""),"GARCIA")</f>
        <v>GARCIA</v>
      </c>
      <c r="D25" s="54" t="str">
        <f>IFERROR(__xludf.DUMMYFUNCTION("""COMPUTED_VALUE"""),"DONOBAN RODRIGO")</f>
        <v>DONOBAN RODRIGO</v>
      </c>
      <c r="E25" s="55">
        <f>IFERROR(__xludf.DUMMYFUNCTION("""COMPUTED_VALUE"""),4.0)</f>
        <v>4</v>
      </c>
      <c r="F25" s="55">
        <f>IFERROR(__xludf.DUMMYFUNCTION("""COMPUTED_VALUE"""),2.0)</f>
        <v>2</v>
      </c>
      <c r="G25" s="56">
        <f>IFERROR(__xludf.DUMMYFUNCTION("""COMPUTED_VALUE"""),1.0)</f>
        <v>1</v>
      </c>
      <c r="H25" s="57">
        <f>IFERROR(__xludf.DUMMYFUNCTION("""COMPUTED_VALUE"""),7.0)</f>
        <v>7</v>
      </c>
      <c r="I25" s="56">
        <f>IFERROR(__xludf.DUMMYFUNCTION("""COMPUTED_VALUE"""),0.0)</f>
        <v>0</v>
      </c>
      <c r="J25" s="59">
        <f>IFERROR(__xludf.DUMMYFUNCTION("""COMPUTED_VALUE"""),7.0)</f>
        <v>7</v>
      </c>
      <c r="K25" s="51"/>
      <c r="L25" s="61">
        <f>IFERROR(__xludf.DUMMYFUNCTION("""COMPUTED_VALUE"""),7.0)</f>
        <v>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IFERROR(__xludf.DUMMYFUNCTION("""COMPUTED_VALUE"""),"CONTRERAS")</f>
        <v>CONTRERAS</v>
      </c>
      <c r="C26" s="52" t="str">
        <f>IFERROR(__xludf.DUMMYFUNCTION("""COMPUTED_VALUE"""),"QUIJADA")</f>
        <v>QUIJADA</v>
      </c>
      <c r="D26" s="52" t="str">
        <f>IFERROR(__xludf.DUMMYFUNCTION("""COMPUTED_VALUE"""),"LEONARDO")</f>
        <v>LEONARDO</v>
      </c>
      <c r="E26" s="56">
        <f>IFERROR(__xludf.DUMMYFUNCTION("""COMPUTED_VALUE"""),8.0)</f>
        <v>8</v>
      </c>
      <c r="F26" s="55">
        <f>IFERROR(__xludf.DUMMYFUNCTION("""COMPUTED_VALUE"""),2.0)</f>
        <v>2</v>
      </c>
      <c r="G26" s="56">
        <f>IFERROR(__xludf.DUMMYFUNCTION("""COMPUTED_VALUE"""),0.0)</f>
        <v>0</v>
      </c>
      <c r="H26" s="57">
        <f>IFERROR(__xludf.DUMMYFUNCTION("""COMPUTED_VALUE"""),10.0)</f>
        <v>10</v>
      </c>
      <c r="I26" s="56">
        <f>IFERROR(__xludf.DUMMYFUNCTION("""COMPUTED_VALUE"""),1.0)</f>
        <v>1</v>
      </c>
      <c r="J26" s="59">
        <f>IFERROR(__xludf.DUMMYFUNCTION("""COMPUTED_VALUE"""),10.0)</f>
        <v>10</v>
      </c>
      <c r="K26" s="51"/>
      <c r="L26" s="61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IFERROR(__xludf.DUMMYFUNCTION("""COMPUTED_VALUE"""),"COVARRUBIAS")</f>
        <v>COVARRUBIAS</v>
      </c>
      <c r="C27" s="52" t="str">
        <f>IFERROR(__xludf.DUMMYFUNCTION("""COMPUTED_VALUE"""),"ACOSTA")</f>
        <v>ACOSTA</v>
      </c>
      <c r="D27" s="54" t="str">
        <f>IFERROR(__xludf.DUMMYFUNCTION("""COMPUTED_VALUE"""),"SAMANTHA ANGELINE")</f>
        <v>SAMANTHA ANGELINE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>
        <f>IFERROR(__xludf.DUMMYFUNCTION("""COMPUTED_VALUE"""),0.0)</f>
        <v>0</v>
      </c>
      <c r="H27" s="57">
        <f>IFERROR(__xludf.DUMMYFUNCTION("""COMPUTED_VALUE"""),10.0)</f>
        <v>10</v>
      </c>
      <c r="I27" s="56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IFERROR(__xludf.DUMMYFUNCTION("""COMPUTED_VALUE"""),"GALVEZ")</f>
        <v>GALVEZ</v>
      </c>
      <c r="D28" s="54" t="str">
        <f>IFERROR(__xludf.DUMMYFUNCTION("""COMPUTED_VALUE"""),"PARIS EMILIANO")</f>
        <v>PARIS EMILIANO</v>
      </c>
      <c r="E28" s="55">
        <f>IFERROR(__xludf.DUMMYFUNCTION("""COMPUTED_VALUE"""),8.0)</f>
        <v>8</v>
      </c>
      <c r="F28" s="55">
        <f>IFERROR(__xludf.DUMMYFUNCTION("""COMPUTED_VALUE"""),2.0)</f>
        <v>2</v>
      </c>
      <c r="G28" s="56">
        <f>IFERROR(__xludf.DUMMYFUNCTION("""COMPUTED_VALUE"""),0.0)</f>
        <v>0</v>
      </c>
      <c r="H28" s="57">
        <f>IFERROR(__xludf.DUMMYFUNCTION("""COMPUTED_VALUE"""),10.0)</f>
        <v>10</v>
      </c>
      <c r="I28" s="56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IFERROR(__xludf.DUMMYFUNCTION("""COMPUTED_VALUE"""),"OROPEZA")</f>
        <v>OROPEZA</v>
      </c>
      <c r="D29" s="54" t="str">
        <f>IFERROR(__xludf.DUMMYFUNCTION("""COMPUTED_VALUE"""),"REBECA JANELLE")</f>
        <v>REBECA JANELLE</v>
      </c>
      <c r="E29" s="55">
        <f>IFERROR(__xludf.DUMMYFUNCTION("""COMPUTED_VALUE"""),7.0)</f>
        <v>7</v>
      </c>
      <c r="F29" s="55">
        <f>IFERROR(__xludf.DUMMYFUNCTION("""COMPUTED_VALUE"""),2.0)</f>
        <v>2</v>
      </c>
      <c r="G29" s="56">
        <f>IFERROR(__xludf.DUMMYFUNCTION("""COMPUTED_VALUE"""),0.0)</f>
        <v>0</v>
      </c>
      <c r="H29" s="57">
        <f>IFERROR(__xludf.DUMMYFUNCTION("""COMPUTED_VALUE"""),9.0)</f>
        <v>9</v>
      </c>
      <c r="I29" s="56">
        <f>IFERROR(__xludf.DUMMYFUNCTION("""COMPUTED_VALUE"""),0.0)</f>
        <v>0</v>
      </c>
      <c r="J29" s="59">
        <f>IFERROR(__xludf.DUMMYFUNCTION("""COMPUTED_VALUE"""),9.0)</f>
        <v>9</v>
      </c>
      <c r="K29" s="51"/>
      <c r="L29" s="61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IFERROR(__xludf.DUMMYFUNCTION("""COMPUTED_VALUE"""),"ELIZALDE")</f>
        <v>ELIZALDE</v>
      </c>
      <c r="C30" s="52" t="str">
        <f>IFERROR(__xludf.DUMMYFUNCTION("""COMPUTED_VALUE"""),"MOLINA")</f>
        <v>MOLINA</v>
      </c>
      <c r="D30" s="54" t="str">
        <f>IFERROR(__xludf.DUMMYFUNCTION("""COMPUTED_VALUE"""),"BARBARA SOFIA")</f>
        <v>BARBARA SOFIA</v>
      </c>
      <c r="E30" s="56">
        <f>IFERROR(__xludf.DUMMYFUNCTION("""COMPUTED_VALUE"""),8.0)</f>
        <v>8</v>
      </c>
      <c r="F30" s="55">
        <f>IFERROR(__xludf.DUMMYFUNCTION("""COMPUTED_VALUE"""),2.0)</f>
        <v>2</v>
      </c>
      <c r="G30" s="56">
        <f>IFERROR(__xludf.DUMMYFUNCTION("""COMPUTED_VALUE"""),1.0)</f>
        <v>1</v>
      </c>
      <c r="H30" s="57">
        <f>IFERROR(__xludf.DUMMYFUNCTION("""COMPUTED_VALUE"""),11.0)</f>
        <v>11</v>
      </c>
      <c r="I30" s="56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IFERROR(__xludf.DUMMYFUNCTION("""COMPUTED_VALUE"""),11.0)</f>
        <v>11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IFERROR(__xludf.DUMMYFUNCTION("""COMPUTED_VALUE"""),"ENCINAS")</f>
        <v>ENCINAS</v>
      </c>
      <c r="C31" s="52" t="str">
        <f>IFERROR(__xludf.DUMMYFUNCTION("""COMPUTED_VALUE"""),"RODRIGUEZ")</f>
        <v>RODRIGUEZ</v>
      </c>
      <c r="D31" s="54" t="str">
        <f>IFERROR(__xludf.DUMMYFUNCTION("""COMPUTED_VALUE"""),"CESAR ROBERTO")</f>
        <v>CESAR ROBERTO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>
        <f>IFERROR(__xludf.DUMMYFUNCTION("""COMPUTED_VALUE"""),0.0)</f>
        <v>0</v>
      </c>
      <c r="H31" s="57">
        <f>IFERROR(__xludf.DUMMYFUNCTION("""COMPUTED_VALUE"""),10.0)</f>
        <v>10</v>
      </c>
      <c r="I31" s="56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IFERROR(__xludf.DUMMYFUNCTION("""COMPUTED_VALUE"""),"VARGAS")</f>
        <v>VARGAS</v>
      </c>
      <c r="D32" s="54" t="str">
        <f>IFERROR(__xludf.DUMMYFUNCTION("""COMPUTED_VALUE"""),"JESUS SANTIAGO")</f>
        <v>JESUS SANTIAGO</v>
      </c>
      <c r="E32" s="55">
        <f>IFERROR(__xludf.DUMMYFUNCTION("""COMPUTED_VALUE"""),7.0)</f>
        <v>7</v>
      </c>
      <c r="F32" s="55">
        <f>IFERROR(__xludf.DUMMYFUNCTION("""COMPUTED_VALUE"""),2.0)</f>
        <v>2</v>
      </c>
      <c r="G32" s="56">
        <f>IFERROR(__xludf.DUMMYFUNCTION("""COMPUTED_VALUE"""),0.0)</f>
        <v>0</v>
      </c>
      <c r="H32" s="57">
        <f>IFERROR(__xludf.DUMMYFUNCTION("""COMPUTED_VALUE"""),9.0)</f>
        <v>9</v>
      </c>
      <c r="I32" s="56">
        <f>IFERROR(__xludf.DUMMYFUNCTION("""COMPUTED_VALUE"""),0.0)</f>
        <v>0</v>
      </c>
      <c r="J32" s="59">
        <f>IFERROR(__xludf.DUMMYFUNCTION("""COMPUTED_VALUE"""),9.0)</f>
        <v>9</v>
      </c>
      <c r="K32" s="51"/>
      <c r="L32" s="61">
        <f>IFERROR(__xludf.DUMMYFUNCTION("""COMPUTED_VALUE"""),9.0)</f>
        <v>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IFERROR(__xludf.DUMMYFUNCTION("""COMPUTED_VALUE"""),"FINKENTHAL")</f>
        <v>FINKENTHAL</v>
      </c>
      <c r="C33" s="52" t="str">
        <f>IFERROR(__xludf.DUMMYFUNCTION("""COMPUTED_VALUE"""),"RAMIREZ")</f>
        <v>RAMIREZ</v>
      </c>
      <c r="D33" s="54" t="str">
        <f>IFERROR(__xludf.DUMMYFUNCTION("""COMPUTED_VALUE"""),"ALENKA")</f>
        <v>ALENKA</v>
      </c>
      <c r="E33" s="55">
        <f>IFERROR(__xludf.DUMMYFUNCTION("""COMPUTED_VALUE"""),8.0)</f>
        <v>8</v>
      </c>
      <c r="F33" s="55">
        <f>IFERROR(__xludf.DUMMYFUNCTION("""COMPUTED_VALUE"""),2.0)</f>
        <v>2</v>
      </c>
      <c r="G33" s="56">
        <f>IFERROR(__xludf.DUMMYFUNCTION("""COMPUTED_VALUE"""),1.0)</f>
        <v>1</v>
      </c>
      <c r="H33" s="57">
        <f>IFERROR(__xludf.DUMMYFUNCTION("""COMPUTED_VALUE"""),11.0)</f>
        <v>11</v>
      </c>
      <c r="I33" s="56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IFERROR(__xludf.DUMMYFUNCTION("""COMPUTED_VALUE"""),11.0)</f>
        <v>11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IFERROR(__xludf.DUMMYFUNCTION("""COMPUTED_VALUE"""),"FLORES")</f>
        <v>FLORES</v>
      </c>
      <c r="C34" s="52" t="str">
        <f>IFERROR(__xludf.DUMMYFUNCTION("""COMPUTED_VALUE"""),"PEREZ")</f>
        <v>PEREZ</v>
      </c>
      <c r="D34" s="54" t="str">
        <f>IFERROR(__xludf.DUMMYFUNCTION("""COMPUTED_VALUE"""),"ROBERTO")</f>
        <v>ROBERTO</v>
      </c>
      <c r="E34" s="56">
        <f>IFERROR(__xludf.DUMMYFUNCTION("""COMPUTED_VALUE"""),6.0)</f>
        <v>6</v>
      </c>
      <c r="F34" s="55">
        <f>IFERROR(__xludf.DUMMYFUNCTION("""COMPUTED_VALUE"""),2.0)</f>
        <v>2</v>
      </c>
      <c r="G34" s="56">
        <f>IFERROR(__xludf.DUMMYFUNCTION("""COMPUTED_VALUE"""),0.0)</f>
        <v>0</v>
      </c>
      <c r="H34" s="57">
        <f>IFERROR(__xludf.DUMMYFUNCTION("""COMPUTED_VALUE"""),8.0)</f>
        <v>8</v>
      </c>
      <c r="I34" s="56">
        <f>IFERROR(__xludf.DUMMYFUNCTION("""COMPUTED_VALUE"""),0.0)</f>
        <v>0</v>
      </c>
      <c r="J34" s="59">
        <f>IFERROR(__xludf.DUMMYFUNCTION("""COMPUTED_VALUE"""),8.0)</f>
        <v>8</v>
      </c>
      <c r="K34" s="51"/>
      <c r="L34" s="61">
        <f>IFERROR(__xludf.DUMMYFUNCTION("""COMPUTED_VALUE"""),8.0)</f>
        <v>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IFERROR(__xludf.DUMMYFUNCTION("""COMPUTED_VALUE"""),"FLORES")</f>
        <v>FLORES</v>
      </c>
      <c r="C35" s="52" t="str">
        <f>IFERROR(__xludf.DUMMYFUNCTION("""COMPUTED_VALUE"""),"RODRIGUEZ")</f>
        <v>RODRIGUEZ</v>
      </c>
      <c r="D35" s="54" t="str">
        <f>IFERROR(__xludf.DUMMYFUNCTION("""COMPUTED_VALUE"""),"FRANCISCO ISAAC")</f>
        <v>FRANCISCO ISAAC</v>
      </c>
      <c r="E35" s="55">
        <f>IFERROR(__xludf.DUMMYFUNCTION("""COMPUTED_VALUE"""),8.0)</f>
        <v>8</v>
      </c>
      <c r="F35" s="55">
        <f>IFERROR(__xludf.DUMMYFUNCTION("""COMPUTED_VALUE"""),2.0)</f>
        <v>2</v>
      </c>
      <c r="G35" s="56">
        <f>IFERROR(__xludf.DUMMYFUNCTION("""COMPUTED_VALUE"""),1.0)</f>
        <v>1</v>
      </c>
      <c r="H35" s="57">
        <f>IFERROR(__xludf.DUMMYFUNCTION("""COMPUTED_VALUE"""),11.0)</f>
        <v>11</v>
      </c>
      <c r="I35" s="56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IFERROR(__xludf.DUMMYFUNCTION("""COMPUTED_VALUE"""),11.0)</f>
        <v>11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IFERROR(__xludf.DUMMYFUNCTION("""COMPUTED_VALUE"""),"GONZALEZ")</f>
        <v>GONZALEZ</v>
      </c>
      <c r="C36" s="52" t="str">
        <f>IFERROR(__xludf.DUMMYFUNCTION("""COMPUTED_VALUE"""),"GONZALEZ")</f>
        <v>GONZALEZ</v>
      </c>
      <c r="D36" s="54" t="str">
        <f>IFERROR(__xludf.DUMMYFUNCTION("""COMPUTED_VALUE"""),"ANGELA PAULINA")</f>
        <v>ANGELA PAULINA</v>
      </c>
      <c r="E36" s="55">
        <f>IFERROR(__xludf.DUMMYFUNCTION("""COMPUTED_VALUE"""),8.0)</f>
        <v>8</v>
      </c>
      <c r="F36" s="55">
        <f>IFERROR(__xludf.DUMMYFUNCTION("""COMPUTED_VALUE"""),2.0)</f>
        <v>2</v>
      </c>
      <c r="G36" s="56">
        <f>IFERROR(__xludf.DUMMYFUNCTION("""COMPUTED_VALUE"""),1.0)</f>
        <v>1</v>
      </c>
      <c r="H36" s="57">
        <f>IFERROR(__xludf.DUMMYFUNCTION("""COMPUTED_VALUE"""),11.0)</f>
        <v>11</v>
      </c>
      <c r="I36" s="56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IFERROR(__xludf.DUMMYFUNCTION("""COMPUTED_VALUE"""),11.0)</f>
        <v>11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IFERROR(__xludf.DUMMYFUNCTION("""COMPUTED_VALUE"""),"GONZALEZ")</f>
        <v>GONZALEZ</v>
      </c>
      <c r="C37" s="52" t="str">
        <f>IFERROR(__xludf.DUMMYFUNCTION("""COMPUTED_VALUE"""),"TREJO")</f>
        <v>TREJO</v>
      </c>
      <c r="D37" s="54" t="str">
        <f>IFERROR(__xludf.DUMMYFUNCTION("""COMPUTED_VALUE"""),"LESLIE XIMENA")</f>
        <v>LESLIE XIMENA</v>
      </c>
      <c r="E37" s="56">
        <f>IFERROR(__xludf.DUMMYFUNCTION("""COMPUTED_VALUE"""),8.0)</f>
        <v>8</v>
      </c>
      <c r="F37" s="55">
        <f>IFERROR(__xludf.DUMMYFUNCTION("""COMPUTED_VALUE"""),2.0)</f>
        <v>2</v>
      </c>
      <c r="G37" s="56">
        <f>IFERROR(__xludf.DUMMYFUNCTION("""COMPUTED_VALUE"""),1.0)</f>
        <v>1</v>
      </c>
      <c r="H37" s="57">
        <f>IFERROR(__xludf.DUMMYFUNCTION("""COMPUTED_VALUE"""),11.0)</f>
        <v>11</v>
      </c>
      <c r="I37" s="56">
        <f>IFERROR(__xludf.DUMMYFUNCTION("""COMPUTED_VALUE"""),0.0)</f>
        <v>0</v>
      </c>
      <c r="J37" s="59">
        <f>IFERROR(__xludf.DUMMYFUNCTION("""COMPUTED_VALUE"""),10.0)</f>
        <v>10</v>
      </c>
      <c r="K37" s="51"/>
      <c r="L37" s="61">
        <f>IFERROR(__xludf.DUMMYFUNCTION("""COMPUTED_VALUE"""),11.0)</f>
        <v>11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IFERROR(__xludf.DUMMYFUNCTION("""COMPUTED_VALUE"""),"HERNANDEZ")</f>
        <v>HERNANDEZ</v>
      </c>
      <c r="C38" s="52" t="str">
        <f>IFERROR(__xludf.DUMMYFUNCTION("""COMPUTED_VALUE"""),"GARCIA")</f>
        <v>GARCIA</v>
      </c>
      <c r="D38" s="54" t="str">
        <f>IFERROR(__xludf.DUMMYFUNCTION("""COMPUTED_VALUE"""),"EMILY")</f>
        <v>EMILY</v>
      </c>
      <c r="E38" s="55">
        <f>IFERROR(__xludf.DUMMYFUNCTION("""COMPUTED_VALUE"""),8.0)</f>
        <v>8</v>
      </c>
      <c r="F38" s="55">
        <f>IFERROR(__xludf.DUMMYFUNCTION("""COMPUTED_VALUE"""),2.0)</f>
        <v>2</v>
      </c>
      <c r="G38" s="56">
        <f>IFERROR(__xludf.DUMMYFUNCTION("""COMPUTED_VALUE"""),0.0)</f>
        <v>0</v>
      </c>
      <c r="H38" s="57">
        <f>IFERROR(__xludf.DUMMYFUNCTION("""COMPUTED_VALUE"""),10.0)</f>
        <v>10</v>
      </c>
      <c r="I38" s="56">
        <f>IFERROR(__xludf.DUMMYFUNCTION("""COMPUTED_VALUE"""),1.0)</f>
        <v>1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IFERROR(__xludf.DUMMYFUNCTION("""COMPUTED_VALUE"""),"HERNANDEZ")</f>
        <v>HERNANDEZ</v>
      </c>
      <c r="C39" s="52" t="str">
        <f>IFERROR(__xludf.DUMMYFUNCTION("""COMPUTED_VALUE"""),"GARCIA")</f>
        <v>GARCIA</v>
      </c>
      <c r="D39" s="54" t="str">
        <f>IFERROR(__xludf.DUMMYFUNCTION("""COMPUTED_VALUE"""),"SAMANTA")</f>
        <v>SAMANTA</v>
      </c>
      <c r="E39" s="55">
        <f>IFERROR(__xludf.DUMMYFUNCTION("""COMPUTED_VALUE"""),6.0)</f>
        <v>6</v>
      </c>
      <c r="F39" s="55">
        <f>IFERROR(__xludf.DUMMYFUNCTION("""COMPUTED_VALUE"""),2.0)</f>
        <v>2</v>
      </c>
      <c r="G39" s="56">
        <f>IFERROR(__xludf.DUMMYFUNCTION("""COMPUTED_VALUE"""),0.0)</f>
        <v>0</v>
      </c>
      <c r="H39" s="57">
        <f>IFERROR(__xludf.DUMMYFUNCTION("""COMPUTED_VALUE"""),8.0)</f>
        <v>8</v>
      </c>
      <c r="I39" s="56">
        <f>IFERROR(__xludf.DUMMYFUNCTION("""COMPUTED_VALUE"""),1.0)</f>
        <v>1</v>
      </c>
      <c r="J39" s="59">
        <f>IFERROR(__xludf.DUMMYFUNCTION("""COMPUTED_VALUE"""),8.0)</f>
        <v>8</v>
      </c>
      <c r="K39" s="51"/>
      <c r="L39" s="61">
        <f>IFERROR(__xludf.DUMMYFUNCTION("""COMPUTED_VALUE"""),8.0)</f>
        <v>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IFERROR(__xludf.DUMMYFUNCTION("""COMPUTED_VALUE"""),"HERRERA")</f>
        <v>HERRERA</v>
      </c>
      <c r="C40" s="52" t="str">
        <f>IFERROR(__xludf.DUMMYFUNCTION("""COMPUTED_VALUE"""),"JIMENEZ")</f>
        <v>JIMENEZ</v>
      </c>
      <c r="D40" s="54" t="str">
        <f>IFERROR(__xludf.DUMMYFUNCTION("""COMPUTED_VALUE"""),"JOSUE ABISAI")</f>
        <v>JOSUE ABISAI</v>
      </c>
      <c r="E40" s="55">
        <f>IFERROR(__xludf.DUMMYFUNCTION("""COMPUTED_VALUE"""),6.0)</f>
        <v>6</v>
      </c>
      <c r="F40" s="55">
        <f>IFERROR(__xludf.DUMMYFUNCTION("""COMPUTED_VALUE"""),2.0)</f>
        <v>2</v>
      </c>
      <c r="G40" s="56">
        <f>IFERROR(__xludf.DUMMYFUNCTION("""COMPUTED_VALUE"""),0.0)</f>
        <v>0</v>
      </c>
      <c r="H40" s="57">
        <f>IFERROR(__xludf.DUMMYFUNCTION("""COMPUTED_VALUE"""),8.0)</f>
        <v>8</v>
      </c>
      <c r="I40" s="56">
        <f>IFERROR(__xludf.DUMMYFUNCTION("""COMPUTED_VALUE"""),0.0)</f>
        <v>0</v>
      </c>
      <c r="J40" s="59">
        <f>IFERROR(__xludf.DUMMYFUNCTION("""COMPUTED_VALUE"""),8.0)</f>
        <v>8</v>
      </c>
      <c r="K40" s="51"/>
      <c r="L40" s="61">
        <f>IFERROR(__xludf.DUMMYFUNCTION("""COMPUTED_VALUE"""),8.0)</f>
        <v>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IFERROR(__xludf.DUMMYFUNCTION("""COMPUTED_VALUE"""),"HERNANDEZ")</f>
        <v>HERNANDEZ</v>
      </c>
      <c r="C41" s="52" t="str">
        <f>IFERROR(__xludf.DUMMYFUNCTION("""COMPUTED_VALUE"""),"PALLARES")</f>
        <v>PALLARES</v>
      </c>
      <c r="D41" s="54" t="str">
        <f>IFERROR(__xludf.DUMMYFUNCTION("""COMPUTED_VALUE"""),"IVAN")</f>
        <v>IVAN</v>
      </c>
      <c r="E41" s="55">
        <f>IFERROR(__xludf.DUMMYFUNCTION("""COMPUTED_VALUE"""),6.0)</f>
        <v>6</v>
      </c>
      <c r="F41" s="55">
        <f>IFERROR(__xludf.DUMMYFUNCTION("""COMPUTED_VALUE"""),2.0)</f>
        <v>2</v>
      </c>
      <c r="G41" s="56">
        <f>IFERROR(__xludf.DUMMYFUNCTION("""COMPUTED_VALUE"""),0.0)</f>
        <v>0</v>
      </c>
      <c r="H41" s="57">
        <f>IFERROR(__xludf.DUMMYFUNCTION("""COMPUTED_VALUE"""),8.0)</f>
        <v>8</v>
      </c>
      <c r="I41" s="56">
        <f>IFERROR(__xludf.DUMMYFUNCTION("""COMPUTED_VALUE"""),2.0)</f>
        <v>2</v>
      </c>
      <c r="J41" s="59">
        <f>IFERROR(__xludf.DUMMYFUNCTION("""COMPUTED_VALUE"""),8.0)</f>
        <v>8</v>
      </c>
      <c r="K41" s="51"/>
      <c r="L41" s="61">
        <f>IFERROR(__xludf.DUMMYFUNCTION("""COMPUTED_VALUE"""),8.0)</f>
        <v>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IFERROR(__xludf.DUMMYFUNCTION("""COMPUTED_VALUE"""),"JIMENEZ")</f>
        <v>JIMENEZ</v>
      </c>
      <c r="C42" s="52" t="str">
        <f>IFERROR(__xludf.DUMMYFUNCTION("""COMPUTED_VALUE"""),"PACHUCA")</f>
        <v>PACHUCA</v>
      </c>
      <c r="D42" s="54" t="str">
        <f>IFERROR(__xludf.DUMMYFUNCTION("""COMPUTED_VALUE"""),"LUIS ANTONIO")</f>
        <v>LUIS ANTONIO</v>
      </c>
      <c r="E42" s="55">
        <f>IFERROR(__xludf.DUMMYFUNCTION("""COMPUTED_VALUE"""),8.0)</f>
        <v>8</v>
      </c>
      <c r="F42" s="55">
        <f>IFERROR(__xludf.DUMMYFUNCTION("""COMPUTED_VALUE"""),2.0)</f>
        <v>2</v>
      </c>
      <c r="G42" s="56">
        <f>IFERROR(__xludf.DUMMYFUNCTION("""COMPUTED_VALUE"""),0.0)</f>
        <v>0</v>
      </c>
      <c r="H42" s="57">
        <f>IFERROR(__xludf.DUMMYFUNCTION("""COMPUTED_VALUE"""),10.0)</f>
        <v>10</v>
      </c>
      <c r="I42" s="56">
        <f>IFERROR(__xludf.DUMMYFUNCTION("""COMPUTED_VALUE"""),0.0)</f>
        <v>0</v>
      </c>
      <c r="J42" s="59">
        <f>IFERROR(__xludf.DUMMYFUNCTION("""COMPUTED_VALUE"""),10.0)</f>
        <v>10</v>
      </c>
      <c r="K42" s="51"/>
      <c r="L42" s="61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IFERROR(__xludf.DUMMYFUNCTION("""COMPUTED_VALUE"""),"LEGORRETA")</f>
        <v>LEGORRETA</v>
      </c>
      <c r="C43" s="52" t="str">
        <f>IFERROR(__xludf.DUMMYFUNCTION("""COMPUTED_VALUE"""),"HERNANDEZ")</f>
        <v>HERNANDEZ</v>
      </c>
      <c r="D43" s="54" t="str">
        <f>IFERROR(__xludf.DUMMYFUNCTION("""COMPUTED_VALUE"""),"LILIANA")</f>
        <v>LILIANA</v>
      </c>
      <c r="E43" s="55">
        <f>IFERROR(__xludf.DUMMYFUNCTION("""COMPUTED_VALUE"""),8.0)</f>
        <v>8</v>
      </c>
      <c r="F43" s="55">
        <f>IFERROR(__xludf.DUMMYFUNCTION("""COMPUTED_VALUE"""),2.0)</f>
        <v>2</v>
      </c>
      <c r="G43" s="56">
        <f>IFERROR(__xludf.DUMMYFUNCTION("""COMPUTED_VALUE"""),1.0)</f>
        <v>1</v>
      </c>
      <c r="H43" s="57">
        <f>IFERROR(__xludf.DUMMYFUNCTION("""COMPUTED_VALUE"""),11.0)</f>
        <v>11</v>
      </c>
      <c r="I43" s="56">
        <f>IFERROR(__xludf.DUMMYFUNCTION("""COMPUTED_VALUE"""),0.0)</f>
        <v>0</v>
      </c>
      <c r="J43" s="59">
        <f>IFERROR(__xludf.DUMMYFUNCTION("""COMPUTED_VALUE"""),10.0)</f>
        <v>10</v>
      </c>
      <c r="K43" s="51"/>
      <c r="L43" s="61">
        <f>IFERROR(__xludf.DUMMYFUNCTION("""COMPUTED_VALUE"""),11.0)</f>
        <v>11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IFERROR(__xludf.DUMMYFUNCTION("""COMPUTED_VALUE"""),"LOPEZ")</f>
        <v>LOPEZ</v>
      </c>
      <c r="C44" s="52" t="str">
        <f>IFERROR(__xludf.DUMMYFUNCTION("""COMPUTED_VALUE"""),"HERNANDEZ")</f>
        <v>HERNANDEZ</v>
      </c>
      <c r="D44" s="54" t="str">
        <f>IFERROR(__xludf.DUMMYFUNCTION("""COMPUTED_VALUE"""),"KARINA")</f>
        <v>KARINA</v>
      </c>
      <c r="E44" s="55">
        <f>IFERROR(__xludf.DUMMYFUNCTION("""COMPUTED_VALUE"""),8.0)</f>
        <v>8</v>
      </c>
      <c r="F44" s="55">
        <f>IFERROR(__xludf.DUMMYFUNCTION("""COMPUTED_VALUE"""),2.0)</f>
        <v>2</v>
      </c>
      <c r="G44" s="56">
        <f>IFERROR(__xludf.DUMMYFUNCTION("""COMPUTED_VALUE"""),0.0)</f>
        <v>0</v>
      </c>
      <c r="H44" s="57">
        <f>IFERROR(__xludf.DUMMYFUNCTION("""COMPUTED_VALUE"""),10.0)</f>
        <v>10</v>
      </c>
      <c r="I44" s="56">
        <f>IFERROR(__xludf.DUMMYFUNCTION("""COMPUTED_VALUE"""),2.0)</f>
        <v>2</v>
      </c>
      <c r="J44" s="59">
        <f>IFERROR(__xludf.DUMMYFUNCTION("""COMPUTED_VALUE"""),10.0)</f>
        <v>10</v>
      </c>
      <c r="K44" s="51"/>
      <c r="L44" s="61">
        <f>IFERROR(__xludf.DUMMYFUNCTION("""COMPUTED_VALUE"""),10.0)</f>
        <v>10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IFERROR(__xludf.DUMMYFUNCTION("""COMPUTED_VALUE"""),"LUGO")</f>
        <v>LUGO</v>
      </c>
      <c r="C45" s="52" t="str">
        <f>IFERROR(__xludf.DUMMYFUNCTION("""COMPUTED_VALUE"""),"SOLARES")</f>
        <v>SOLARES</v>
      </c>
      <c r="D45" s="54" t="str">
        <f>IFERROR(__xludf.DUMMYFUNCTION("""COMPUTED_VALUE"""),"YAIR EMILIANO")</f>
        <v>YAIR EMILIANO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>
        <f>IFERROR(__xludf.DUMMYFUNCTION("""COMPUTED_VALUE"""),0.0)</f>
        <v>0</v>
      </c>
      <c r="H45" s="57">
        <f>IFERROR(__xludf.DUMMYFUNCTION("""COMPUTED_VALUE"""),10.0)</f>
        <v>10</v>
      </c>
      <c r="I45" s="56">
        <f>IFERROR(__xludf.DUMMYFUNCTION("""COMPUTED_VALUE"""),0.0)</f>
        <v>0</v>
      </c>
      <c r="J45" s="59">
        <f>IFERROR(__xludf.DUMMYFUNCTION("""COMPUTED_VALUE"""),10.0)</f>
        <v>10</v>
      </c>
      <c r="K45" s="51"/>
      <c r="L45" s="61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IFERROR(__xludf.DUMMYFUNCTION("""COMPUTED_VALUE"""),"LUNA")</f>
        <v>LUNA</v>
      </c>
      <c r="C46" s="52" t="str">
        <f>IFERROR(__xludf.DUMMYFUNCTION("""COMPUTED_VALUE"""),"FRANCISCO")</f>
        <v>FRANCISCO</v>
      </c>
      <c r="D46" s="54" t="str">
        <f>IFERROR(__xludf.DUMMYFUNCTION("""COMPUTED_VALUE"""),"SAMANTHA ITZEL")</f>
        <v>SAMANTHA ITZEL</v>
      </c>
      <c r="E46" s="55">
        <f>IFERROR(__xludf.DUMMYFUNCTION("""COMPUTED_VALUE"""),5.0)</f>
        <v>5</v>
      </c>
      <c r="F46" s="55">
        <f>IFERROR(__xludf.DUMMYFUNCTION("""COMPUTED_VALUE"""),2.0)</f>
        <v>2</v>
      </c>
      <c r="G46" s="56">
        <f>IFERROR(__xludf.DUMMYFUNCTION("""COMPUTED_VALUE"""),0.0)</f>
        <v>0</v>
      </c>
      <c r="H46" s="57">
        <f>IFERROR(__xludf.DUMMYFUNCTION("""COMPUTED_VALUE"""),7.0)</f>
        <v>7</v>
      </c>
      <c r="I46" s="56">
        <f>IFERROR(__xludf.DUMMYFUNCTION("""COMPUTED_VALUE"""),4.0)</f>
        <v>4</v>
      </c>
      <c r="J46" s="59">
        <f>IFERROR(__xludf.DUMMYFUNCTION("""COMPUTED_VALUE"""),7.0)</f>
        <v>7</v>
      </c>
      <c r="K46" s="51"/>
      <c r="L46" s="61">
        <f>IFERROR(__xludf.DUMMYFUNCTION("""COMPUTED_VALUE"""),7.0)</f>
        <v>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IFERROR(__xludf.DUMMYFUNCTION("""COMPUTED_VALUE"""),"MARENTES")</f>
        <v>MARENTES</v>
      </c>
      <c r="C47" s="62" t="str">
        <f>IFERROR(__xludf.DUMMYFUNCTION("""COMPUTED_VALUE"""),"ROBLES")</f>
        <v>ROBLES</v>
      </c>
      <c r="D47" s="63" t="str">
        <f>IFERROR(__xludf.DUMMYFUNCTION("""COMPUTED_VALUE"""),"LUZ NATALIA")</f>
        <v>LUZ NATALIA</v>
      </c>
      <c r="E47" s="55">
        <f>IFERROR(__xludf.DUMMYFUNCTION("""COMPUTED_VALUE"""),8.0)</f>
        <v>8</v>
      </c>
      <c r="F47" s="55">
        <f>IFERROR(__xludf.DUMMYFUNCTION("""COMPUTED_VALUE"""),0.0)</f>
        <v>0</v>
      </c>
      <c r="G47" s="56">
        <f>IFERROR(__xludf.DUMMYFUNCTION("""COMPUTED_VALUE"""),0.0)</f>
        <v>0</v>
      </c>
      <c r="H47" s="57">
        <f>IFERROR(__xludf.DUMMYFUNCTION("""COMPUTED_VALUE"""),8.0)</f>
        <v>8</v>
      </c>
      <c r="I47" s="56">
        <f>IFERROR(__xludf.DUMMYFUNCTION("""COMPUTED_VALUE"""),0.0)</f>
        <v>0</v>
      </c>
      <c r="J47" s="59">
        <f>IFERROR(__xludf.DUMMYFUNCTION("""COMPUTED_VALUE"""),8.0)</f>
        <v>8</v>
      </c>
      <c r="K47" s="51"/>
      <c r="L47" s="61">
        <f>IFERROR(__xludf.DUMMYFUNCTION("""COMPUTED_VALUE"""),8.0)</f>
        <v>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IFERROR(__xludf.DUMMYFUNCTION("""COMPUTED_VALUE"""),"MARTINEZ")</f>
        <v>MARTINEZ</v>
      </c>
      <c r="C48" s="52" t="str">
        <f>IFERROR(__xludf.DUMMYFUNCTION("""COMPUTED_VALUE"""),"IBARRA")</f>
        <v>IBARRA</v>
      </c>
      <c r="D48" s="54" t="str">
        <f>IFERROR(__xludf.DUMMYFUNCTION("""COMPUTED_VALUE"""),"JOHAN ISAI")</f>
        <v>JOHAN ISAI</v>
      </c>
      <c r="E48" s="55">
        <f>IFERROR(__xludf.DUMMYFUNCTION("""COMPUTED_VALUE"""),8.0)</f>
        <v>8</v>
      </c>
      <c r="F48" s="55">
        <f>IFERROR(__xludf.DUMMYFUNCTION("""COMPUTED_VALUE"""),2.0)</f>
        <v>2</v>
      </c>
      <c r="G48" s="56">
        <f>IFERROR(__xludf.DUMMYFUNCTION("""COMPUTED_VALUE"""),0.0)</f>
        <v>0</v>
      </c>
      <c r="H48" s="57">
        <f>IFERROR(__xludf.DUMMYFUNCTION("""COMPUTED_VALUE"""),10.0)</f>
        <v>10</v>
      </c>
      <c r="I48" s="56">
        <f>IFERROR(__xludf.DUMMYFUNCTION("""COMPUTED_VALUE"""),0.0)</f>
        <v>0</v>
      </c>
      <c r="J48" s="59">
        <f>IFERROR(__xludf.DUMMYFUNCTION("""COMPUTED_VALUE"""),10.0)</f>
        <v>10</v>
      </c>
      <c r="K48" s="51"/>
      <c r="L48" s="61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IFERROR(__xludf.DUMMYFUNCTION("""COMPUTED_VALUE"""),"MARTINEZ")</f>
        <v>MARTINEZ</v>
      </c>
      <c r="C49" s="52" t="str">
        <f>IFERROR(__xludf.DUMMYFUNCTION("""COMPUTED_VALUE"""),"MANCILLA")</f>
        <v>MANCILLA</v>
      </c>
      <c r="D49" s="54" t="str">
        <f>IFERROR(__xludf.DUMMYFUNCTION("""COMPUTED_VALUE"""),"ZIT ZURIEL")</f>
        <v>ZIT ZURIEL</v>
      </c>
      <c r="E49" s="55">
        <f>IFERROR(__xludf.DUMMYFUNCTION("""COMPUTED_VALUE"""),7.0)</f>
        <v>7</v>
      </c>
      <c r="F49" s="55">
        <f>IFERROR(__xludf.DUMMYFUNCTION("""COMPUTED_VALUE"""),2.0)</f>
        <v>2</v>
      </c>
      <c r="G49" s="56">
        <f>IFERROR(__xludf.DUMMYFUNCTION("""COMPUTED_VALUE"""),0.0)</f>
        <v>0</v>
      </c>
      <c r="H49" s="57">
        <f>IFERROR(__xludf.DUMMYFUNCTION("""COMPUTED_VALUE"""),9.0)</f>
        <v>9</v>
      </c>
      <c r="I49" s="56">
        <f>IFERROR(__xludf.DUMMYFUNCTION("""COMPUTED_VALUE"""),3.0)</f>
        <v>3</v>
      </c>
      <c r="J49" s="59">
        <f>IFERROR(__xludf.DUMMYFUNCTION("""COMPUTED_VALUE"""),9.0)</f>
        <v>9</v>
      </c>
      <c r="K49" s="51"/>
      <c r="L49" s="61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IFERROR(__xludf.DUMMYFUNCTION("""COMPUTED_VALUE"""),"MORALES")</f>
        <v>MORALES</v>
      </c>
      <c r="C50" s="52" t="str">
        <f>IFERROR(__xludf.DUMMYFUNCTION("""COMPUTED_VALUE"""),"LORANCA")</f>
        <v>LORANCA</v>
      </c>
      <c r="D50" s="54" t="str">
        <f>IFERROR(__xludf.DUMMYFUNCTION("""COMPUTED_VALUE"""),"MATIAS DANIEL")</f>
        <v>MATIAS DANIEL</v>
      </c>
      <c r="E50" s="55">
        <f>IFERROR(__xludf.DUMMYFUNCTION("""COMPUTED_VALUE"""),6.0)</f>
        <v>6</v>
      </c>
      <c r="F50" s="55">
        <f>IFERROR(__xludf.DUMMYFUNCTION("""COMPUTED_VALUE"""),2.0)</f>
        <v>2</v>
      </c>
      <c r="G50" s="56">
        <f>IFERROR(__xludf.DUMMYFUNCTION("""COMPUTED_VALUE"""),0.0)</f>
        <v>0</v>
      </c>
      <c r="H50" s="57">
        <f>IFERROR(__xludf.DUMMYFUNCTION("""COMPUTED_VALUE"""),8.0)</f>
        <v>8</v>
      </c>
      <c r="I50" s="56">
        <f>IFERROR(__xludf.DUMMYFUNCTION("""COMPUTED_VALUE"""),3.0)</f>
        <v>3</v>
      </c>
      <c r="J50" s="59">
        <f>IFERROR(__xludf.DUMMYFUNCTION("""COMPUTED_VALUE"""),8.0)</f>
        <v>8</v>
      </c>
      <c r="K50" s="51"/>
      <c r="L50" s="61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IFERROR(__xludf.DUMMYFUNCTION("""COMPUTED_VALUE"""),"MORALES")</f>
        <v>MORALES</v>
      </c>
      <c r="C51" s="52" t="str">
        <f>IFERROR(__xludf.DUMMYFUNCTION("""COMPUTED_VALUE"""),"PIÑON")</f>
        <v>PIÑON</v>
      </c>
      <c r="D51" s="54" t="str">
        <f>IFERROR(__xludf.DUMMYFUNCTION("""COMPUTED_VALUE"""),"NATALIA ABRIL")</f>
        <v>NATALIA ABRIL</v>
      </c>
      <c r="E51" s="55">
        <f>IFERROR(__xludf.DUMMYFUNCTION("""COMPUTED_VALUE"""),5.0)</f>
        <v>5</v>
      </c>
      <c r="F51" s="55">
        <f>IFERROR(__xludf.DUMMYFUNCTION("""COMPUTED_VALUE"""),2.0)</f>
        <v>2</v>
      </c>
      <c r="G51" s="56">
        <f>IFERROR(__xludf.DUMMYFUNCTION("""COMPUTED_VALUE"""),0.0)</f>
        <v>0</v>
      </c>
      <c r="H51" s="57">
        <f>IFERROR(__xludf.DUMMYFUNCTION("""COMPUTED_VALUE"""),7.0)</f>
        <v>7</v>
      </c>
      <c r="I51" s="56">
        <f>IFERROR(__xludf.DUMMYFUNCTION("""COMPUTED_VALUE"""),2.0)</f>
        <v>2</v>
      </c>
      <c r="J51" s="59">
        <f>IFERROR(__xludf.DUMMYFUNCTION("""COMPUTED_VALUE"""),7.0)</f>
        <v>7</v>
      </c>
      <c r="K51" s="51"/>
      <c r="L51" s="61">
        <f>IFERROR(__xludf.DUMMYFUNCTION("""COMPUTED_VALUE"""),7.0)</f>
        <v>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IFERROR(__xludf.DUMMYFUNCTION("""COMPUTED_VALUE"""),"NAVARRO")</f>
        <v>NAVARRO</v>
      </c>
      <c r="C52" s="52" t="str">
        <f>IFERROR(__xludf.DUMMYFUNCTION("""COMPUTED_VALUE"""),"ROMO")</f>
        <v>ROMO</v>
      </c>
      <c r="D52" s="54" t="str">
        <f>IFERROR(__xludf.DUMMYFUNCTION("""COMPUTED_VALUE"""),"MARCO ARIEL")</f>
        <v>MARCO ARIEL</v>
      </c>
      <c r="E52" s="55">
        <f>IFERROR(__xludf.DUMMYFUNCTION("""COMPUTED_VALUE"""),8.0)</f>
        <v>8</v>
      </c>
      <c r="F52" s="55">
        <f>IFERROR(__xludf.DUMMYFUNCTION("""COMPUTED_VALUE"""),2.0)</f>
        <v>2</v>
      </c>
      <c r="G52" s="56">
        <f>IFERROR(__xludf.DUMMYFUNCTION("""COMPUTED_VALUE"""),0.0)</f>
        <v>0</v>
      </c>
      <c r="H52" s="57">
        <f>IFERROR(__xludf.DUMMYFUNCTION("""COMPUTED_VALUE"""),10.0)</f>
        <v>10</v>
      </c>
      <c r="I52" s="56">
        <f>IFERROR(__xludf.DUMMYFUNCTION("""COMPUTED_VALUE"""),1.0)</f>
        <v>1</v>
      </c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IFERROR(__xludf.DUMMYFUNCTION("""COMPUTED_VALUE"""),"OLVERA")</f>
        <v>OLVERA</v>
      </c>
      <c r="C53" s="52" t="str">
        <f>IFERROR(__xludf.DUMMYFUNCTION("""COMPUTED_VALUE"""),"VALLE")</f>
        <v>VALLE</v>
      </c>
      <c r="D53" s="54" t="str">
        <f>IFERROR(__xludf.DUMMYFUNCTION("""COMPUTED_VALUE"""),"LAILA MELISA")</f>
        <v>LAILA MELISA</v>
      </c>
      <c r="E53" s="55">
        <f>IFERROR(__xludf.DUMMYFUNCTION("""COMPUTED_VALUE"""),7.0)</f>
        <v>7</v>
      </c>
      <c r="F53" s="55">
        <f>IFERROR(__xludf.DUMMYFUNCTION("""COMPUTED_VALUE"""),1.0)</f>
        <v>1</v>
      </c>
      <c r="G53" s="56">
        <f>IFERROR(__xludf.DUMMYFUNCTION("""COMPUTED_VALUE"""),1.0)</f>
        <v>1</v>
      </c>
      <c r="H53" s="57">
        <f>IFERROR(__xludf.DUMMYFUNCTION("""COMPUTED_VALUE"""),9.0)</f>
        <v>9</v>
      </c>
      <c r="I53" s="56">
        <f>IFERROR(__xludf.DUMMYFUNCTION("""COMPUTED_VALUE"""),1.0)</f>
        <v>1</v>
      </c>
      <c r="J53" s="59">
        <f>IFERROR(__xludf.DUMMYFUNCTION("""COMPUTED_VALUE"""),9.0)</f>
        <v>9</v>
      </c>
      <c r="K53" s="51"/>
      <c r="L53" s="60">
        <f>IFERROR(__xludf.DUMMYFUNCTION("""COMPUTED_VALUE"""),9.0)</f>
        <v>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IFERROR(__xludf.DUMMYFUNCTION("""COMPUTED_VALUE"""),"ORTIZ")</f>
        <v>ORTIZ</v>
      </c>
      <c r="C54" s="52" t="str">
        <f>IFERROR(__xludf.DUMMYFUNCTION("""COMPUTED_VALUE"""),"CARRILLO")</f>
        <v>CARRILLO</v>
      </c>
      <c r="D54" s="54" t="str">
        <f>IFERROR(__xludf.DUMMYFUNCTION("""COMPUTED_VALUE"""),"DORIAN ELIAS")</f>
        <v>DORIAN ELIAS</v>
      </c>
      <c r="E54" s="55">
        <f>IFERROR(__xludf.DUMMYFUNCTION("""COMPUTED_VALUE"""),8.0)</f>
        <v>8</v>
      </c>
      <c r="F54" s="55">
        <f>IFERROR(__xludf.DUMMYFUNCTION("""COMPUTED_VALUE"""),2.0)</f>
        <v>2</v>
      </c>
      <c r="G54" s="56">
        <f>IFERROR(__xludf.DUMMYFUNCTION("""COMPUTED_VALUE"""),0.0)</f>
        <v>0</v>
      </c>
      <c r="H54" s="57">
        <f>IFERROR(__xludf.DUMMYFUNCTION("""COMPUTED_VALUE"""),10.0)</f>
        <v>10</v>
      </c>
      <c r="I54" s="56">
        <f>IFERROR(__xludf.DUMMYFUNCTION("""COMPUTED_VALUE"""),0.0)</f>
        <v>0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IFERROR(__xludf.DUMMYFUNCTION("""COMPUTED_VALUE"""),"PEREA")</f>
        <v>PEREA</v>
      </c>
      <c r="C55" s="52" t="str">
        <f>IFERROR(__xludf.DUMMYFUNCTION("""COMPUTED_VALUE"""),"SALDAÑA")</f>
        <v>SALDAÑA</v>
      </c>
      <c r="D55" s="54" t="str">
        <f>IFERROR(__xludf.DUMMYFUNCTION("""COMPUTED_VALUE"""),"ASTRA TAMARA")</f>
        <v>ASTRA TAMARA</v>
      </c>
      <c r="E55" s="55">
        <f>IFERROR(__xludf.DUMMYFUNCTION("""COMPUTED_VALUE"""),7.0)</f>
        <v>7</v>
      </c>
      <c r="F55" s="55">
        <f>IFERROR(__xludf.DUMMYFUNCTION("""COMPUTED_VALUE"""),2.0)</f>
        <v>2</v>
      </c>
      <c r="G55" s="56">
        <f>IFERROR(__xludf.DUMMYFUNCTION("""COMPUTED_VALUE"""),0.0)</f>
        <v>0</v>
      </c>
      <c r="H55" s="57">
        <f>IFERROR(__xludf.DUMMYFUNCTION("""COMPUTED_VALUE"""),9.0)</f>
        <v>9</v>
      </c>
      <c r="I55" s="55">
        <f>IFERROR(__xludf.DUMMYFUNCTION("""COMPUTED_VALUE"""),0.0)</f>
        <v>0</v>
      </c>
      <c r="J55" s="59">
        <f>IFERROR(__xludf.DUMMYFUNCTION("""COMPUTED_VALUE"""),9.0)</f>
        <v>9</v>
      </c>
      <c r="K55" s="51"/>
      <c r="L55" s="60">
        <f>IFERROR(__xludf.DUMMYFUNCTION("""COMPUTED_VALUE"""),9.0)</f>
        <v>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IFERROR(__xludf.DUMMYFUNCTION("""COMPUTED_VALUE"""),"PEREZ")</f>
        <v>PEREZ</v>
      </c>
      <c r="C56" s="52" t="str">
        <f>IFERROR(__xludf.DUMMYFUNCTION("""COMPUTED_VALUE"""),"HERNANDEZ")</f>
        <v>HERNANDEZ</v>
      </c>
      <c r="D56" s="54" t="str">
        <f>IFERROR(__xludf.DUMMYFUNCTION("""COMPUTED_VALUE"""),"EDGAR ALEJANDRO")</f>
        <v>EDGAR ALEJANDRO</v>
      </c>
      <c r="E56" s="55">
        <f>IFERROR(__xludf.DUMMYFUNCTION("""COMPUTED_VALUE"""),8.0)</f>
        <v>8</v>
      </c>
      <c r="F56" s="55">
        <f>IFERROR(__xludf.DUMMYFUNCTION("""COMPUTED_VALUE"""),2.0)</f>
        <v>2</v>
      </c>
      <c r="G56" s="56">
        <f>IFERROR(__xludf.DUMMYFUNCTION("""COMPUTED_VALUE"""),0.0)</f>
        <v>0</v>
      </c>
      <c r="H56" s="57">
        <f>IFERROR(__xludf.DUMMYFUNCTION("""COMPUTED_VALUE"""),10.0)</f>
        <v>10</v>
      </c>
      <c r="I56" s="55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IFERROR(__xludf.DUMMYFUNCTION("""COMPUTED_VALUE"""),"PLAZA")</f>
        <v>PLAZA</v>
      </c>
      <c r="C57" s="62" t="str">
        <f>IFERROR(__xludf.DUMMYFUNCTION("""COMPUTED_VALUE"""),"LARA")</f>
        <v>LARA</v>
      </c>
      <c r="D57" s="63" t="str">
        <f>IFERROR(__xludf.DUMMYFUNCTION("""COMPUTED_VALUE"""),"IAN ALDAIR")</f>
        <v>IAN ALDAIR</v>
      </c>
      <c r="E57" s="55">
        <f>IFERROR(__xludf.DUMMYFUNCTION("""COMPUTED_VALUE"""),6.0)</f>
        <v>6</v>
      </c>
      <c r="F57" s="55">
        <f>IFERROR(__xludf.DUMMYFUNCTION("""COMPUTED_VALUE"""),2.0)</f>
        <v>2</v>
      </c>
      <c r="G57" s="56">
        <f>IFERROR(__xludf.DUMMYFUNCTION("""COMPUTED_VALUE"""),0.0)</f>
        <v>0</v>
      </c>
      <c r="H57" s="57">
        <f>IFERROR(__xludf.DUMMYFUNCTION("""COMPUTED_VALUE"""),8.0)</f>
        <v>8</v>
      </c>
      <c r="I57" s="55">
        <f>IFERROR(__xludf.DUMMYFUNCTION("""COMPUTED_VALUE"""),0.0)</f>
        <v>0</v>
      </c>
      <c r="J57" s="59">
        <f>IFERROR(__xludf.DUMMYFUNCTION("""COMPUTED_VALUE"""),8.0)</f>
        <v>8</v>
      </c>
      <c r="K57" s="51"/>
      <c r="L57" s="60">
        <f>IFERROR(__xludf.DUMMYFUNCTION("""COMPUTED_VALUE"""),8.0)</f>
        <v>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IFERROR(__xludf.DUMMYFUNCTION("""COMPUTED_VALUE"""),"RAMIREZ")</f>
        <v>RAMIREZ</v>
      </c>
      <c r="C58" s="52" t="str">
        <f>IFERROR(__xludf.DUMMYFUNCTION("""COMPUTED_VALUE"""),"DIAZ")</f>
        <v>DIAZ</v>
      </c>
      <c r="D58" s="54" t="str">
        <f>IFERROR(__xludf.DUMMYFUNCTION("""COMPUTED_VALUE"""),"OMEGA VALENTINA")</f>
        <v>OMEGA VALENTINA</v>
      </c>
      <c r="E58" s="55">
        <f>IFERROR(__xludf.DUMMYFUNCTION("""COMPUTED_VALUE"""),8.0)</f>
        <v>8</v>
      </c>
      <c r="F58" s="55">
        <f>IFERROR(__xludf.DUMMYFUNCTION("""COMPUTED_VALUE"""),2.0)</f>
        <v>2</v>
      </c>
      <c r="G58" s="56">
        <f>IFERROR(__xludf.DUMMYFUNCTION("""COMPUTED_VALUE"""),1.0)</f>
        <v>1</v>
      </c>
      <c r="H58" s="57">
        <f>IFERROR(__xludf.DUMMYFUNCTION("""COMPUTED_VALUE"""),11.0)</f>
        <v>11</v>
      </c>
      <c r="I58" s="55">
        <f>IFERROR(__xludf.DUMMYFUNCTION("""COMPUTED_VALUE"""),0.0)</f>
        <v>0</v>
      </c>
      <c r="J58" s="59">
        <f>IFERROR(__xludf.DUMMYFUNCTION("""COMPUTED_VALUE"""),10.0)</f>
        <v>10</v>
      </c>
      <c r="K58" s="51"/>
      <c r="L58" s="60">
        <f>IFERROR(__xludf.DUMMYFUNCTION("""COMPUTED_VALUE"""),11.0)</f>
        <v>11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IFERROR(__xludf.DUMMYFUNCTION("""COMPUTED_VALUE"""),"RAMIREZ")</f>
        <v>RAMIREZ</v>
      </c>
      <c r="C59" s="62" t="str">
        <f>IFERROR(__xludf.DUMMYFUNCTION("""COMPUTED_VALUE"""),"TORRES")</f>
        <v>TORRES</v>
      </c>
      <c r="D59" s="63" t="str">
        <f>IFERROR(__xludf.DUMMYFUNCTION("""COMPUTED_VALUE"""),"PERCIVAL GABRIEL")</f>
        <v>PERCIVAL GABRIEL</v>
      </c>
      <c r="E59" s="55">
        <f>IFERROR(__xludf.DUMMYFUNCTION("""COMPUTED_VALUE"""),8.0)</f>
        <v>8</v>
      </c>
      <c r="F59" s="55">
        <f>IFERROR(__xludf.DUMMYFUNCTION("""COMPUTED_VALUE"""),2.0)</f>
        <v>2</v>
      </c>
      <c r="G59" s="56">
        <f>IFERROR(__xludf.DUMMYFUNCTION("""COMPUTED_VALUE"""),0.0)</f>
        <v>0</v>
      </c>
      <c r="H59" s="57">
        <f>IFERROR(__xludf.DUMMYFUNCTION("""COMPUTED_VALUE"""),10.0)</f>
        <v>10</v>
      </c>
      <c r="I59" s="55">
        <f>IFERROR(__xludf.DUMMYFUNCTION("""COMPUTED_VALUE"""),0.0)</f>
        <v>0</v>
      </c>
      <c r="J59" s="59">
        <f>IFERROR(__xludf.DUMMYFUNCTION("""COMPUTED_VALUE"""),10.0)</f>
        <v>10</v>
      </c>
      <c r="K59" s="51"/>
      <c r="L59" s="60">
        <f>IFERROR(__xludf.DUMMYFUNCTION("""COMPUTED_VALUE"""),10.0)</f>
        <v>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IFERROR(__xludf.DUMMYFUNCTION("""COMPUTED_VALUE"""),"RANGEL")</f>
        <v>RANGEL</v>
      </c>
      <c r="C60" s="62" t="str">
        <f>IFERROR(__xludf.DUMMYFUNCTION("""COMPUTED_VALUE"""),"JIMENEZ")</f>
        <v>JIMENEZ</v>
      </c>
      <c r="D60" s="63" t="str">
        <f>IFERROR(__xludf.DUMMYFUNCTION("""COMPUTED_VALUE"""),"PAOLA ALEJANDRA")</f>
        <v>PAOLA ALEJANDRA</v>
      </c>
      <c r="E60" s="55">
        <f>IFERROR(__xludf.DUMMYFUNCTION("""COMPUTED_VALUE"""),8.0)</f>
        <v>8</v>
      </c>
      <c r="F60" s="55">
        <f>IFERROR(__xludf.DUMMYFUNCTION("""COMPUTED_VALUE"""),2.0)</f>
        <v>2</v>
      </c>
      <c r="G60" s="56">
        <f>IFERROR(__xludf.DUMMYFUNCTION("""COMPUTED_VALUE"""),1.0)</f>
        <v>1</v>
      </c>
      <c r="H60" s="57">
        <f>IFERROR(__xludf.DUMMYFUNCTION("""COMPUTED_VALUE"""),11.0)</f>
        <v>11</v>
      </c>
      <c r="I60" s="55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IFERROR(__xludf.DUMMYFUNCTION("""COMPUTED_VALUE"""),11.0)</f>
        <v>11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IFERROR(__xludf.DUMMYFUNCTION("""COMPUTED_VALUE"""),"RIVERA")</f>
        <v>RIVERA</v>
      </c>
      <c r="C61" s="62" t="str">
        <f>IFERROR(__xludf.DUMMYFUNCTION("""COMPUTED_VALUE"""),"GARCIA")</f>
        <v>GARCIA</v>
      </c>
      <c r="D61" s="63" t="str">
        <f>IFERROR(__xludf.DUMMYFUNCTION("""COMPUTED_VALUE"""),"ASTRID MICHELLE")</f>
        <v>ASTRID MICHELLE</v>
      </c>
      <c r="E61" s="55">
        <f>IFERROR(__xludf.DUMMYFUNCTION("""COMPUTED_VALUE"""),6.0)</f>
        <v>6</v>
      </c>
      <c r="F61" s="55">
        <f>IFERROR(__xludf.DUMMYFUNCTION("""COMPUTED_VALUE"""),0.0)</f>
        <v>0</v>
      </c>
      <c r="G61" s="56">
        <f>IFERROR(__xludf.DUMMYFUNCTION("""COMPUTED_VALUE"""),0.0)</f>
        <v>0</v>
      </c>
      <c r="H61" s="57">
        <f>IFERROR(__xludf.DUMMYFUNCTION("""COMPUTED_VALUE"""),6.0)</f>
        <v>6</v>
      </c>
      <c r="I61" s="55">
        <f>IFERROR(__xludf.DUMMYFUNCTION("""COMPUTED_VALUE"""),4.0)</f>
        <v>4</v>
      </c>
      <c r="J61" s="59">
        <f>IFERROR(__xludf.DUMMYFUNCTION("""COMPUTED_VALUE"""),6.0)</f>
        <v>6</v>
      </c>
      <c r="K61" s="51"/>
      <c r="L61" s="60">
        <f>IFERROR(__xludf.DUMMYFUNCTION("""COMPUTED_VALUE"""),6.0)</f>
        <v>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IFERROR(__xludf.DUMMYFUNCTION("""COMPUTED_VALUE"""),"RODRIGUEZ")</f>
        <v>RODRIGUEZ</v>
      </c>
      <c r="C62" s="62" t="str">
        <f>IFERROR(__xludf.DUMMYFUNCTION("""COMPUTED_VALUE"""),"CAMACHO")</f>
        <v>CAMACHO</v>
      </c>
      <c r="D62" s="63" t="str">
        <f>IFERROR(__xludf.DUMMYFUNCTION("""COMPUTED_VALUE"""),"ENRIQUE SALVADOR")</f>
        <v>ENRIQUE SALVADOR</v>
      </c>
      <c r="E62" s="55">
        <f>IFERROR(__xludf.DUMMYFUNCTION("""COMPUTED_VALUE"""),6.0)</f>
        <v>6</v>
      </c>
      <c r="F62" s="55">
        <f>IFERROR(__xludf.DUMMYFUNCTION("""COMPUTED_VALUE"""),2.0)</f>
        <v>2</v>
      </c>
      <c r="G62" s="56">
        <f>IFERROR(__xludf.DUMMYFUNCTION("""COMPUTED_VALUE"""),0.0)</f>
        <v>0</v>
      </c>
      <c r="H62" s="57">
        <f>IFERROR(__xludf.DUMMYFUNCTION("""COMPUTED_VALUE"""),8.0)</f>
        <v>8</v>
      </c>
      <c r="I62" s="55">
        <f>IFERROR(__xludf.DUMMYFUNCTION("""COMPUTED_VALUE"""),3.0)</f>
        <v>3</v>
      </c>
      <c r="J62" s="59">
        <f>IFERROR(__xludf.DUMMYFUNCTION("""COMPUTED_VALUE"""),8.0)</f>
        <v>8</v>
      </c>
      <c r="K62" s="51"/>
      <c r="L62" s="60">
        <f>IFERROR(__xludf.DUMMYFUNCTION("""COMPUTED_VALUE"""),8.0)</f>
        <v>8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IFERROR(__xludf.DUMMYFUNCTION("""COMPUTED_VALUE"""),"RODRIGUEZ")</f>
        <v>RODRIGUEZ</v>
      </c>
      <c r="C63" s="62" t="str">
        <f>IFERROR(__xludf.DUMMYFUNCTION("""COMPUTED_VALUE"""),"ROSAS")</f>
        <v>ROSAS</v>
      </c>
      <c r="D63" s="63" t="str">
        <f>IFERROR(__xludf.DUMMYFUNCTION("""COMPUTED_VALUE"""),"QUETZALI")</f>
        <v>QUETZALI</v>
      </c>
      <c r="E63" s="55">
        <f>IFERROR(__xludf.DUMMYFUNCTION("""COMPUTED_VALUE"""),8.0)</f>
        <v>8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IFERROR(__xludf.DUMMYFUNCTION("""COMPUTED_VALUE"""),11.0)</f>
        <v>11</v>
      </c>
      <c r="I63" s="55">
        <f>IFERROR(__xludf.DUMMYFUNCTION("""COMPUTED_VALUE"""),0.0)</f>
        <v>0</v>
      </c>
      <c r="J63" s="59">
        <f>IFERROR(__xludf.DUMMYFUNCTION("""COMPUTED_VALUE"""),10.0)</f>
        <v>10</v>
      </c>
      <c r="K63" s="51"/>
      <c r="L63" s="60">
        <f>IFERROR(__xludf.DUMMYFUNCTION("""COMPUTED_VALUE"""),11.0)</f>
        <v>11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IFERROR(__xludf.DUMMYFUNCTION("""COMPUTED_VALUE"""),"SANCHEZ")</f>
        <v>SANCHEZ</v>
      </c>
      <c r="C64" s="62" t="str">
        <f>IFERROR(__xludf.DUMMYFUNCTION("""COMPUTED_VALUE"""),"BERMUDEZ")</f>
        <v>BERMUDEZ</v>
      </c>
      <c r="D64" s="63" t="str">
        <f>IFERROR(__xludf.DUMMYFUNCTION("""COMPUTED_VALUE"""),"JORGE")</f>
        <v>JORGE</v>
      </c>
      <c r="E64" s="55">
        <f>IFERROR(__xludf.DUMMYFUNCTION("""COMPUTED_VALUE"""),8.0)</f>
        <v>8</v>
      </c>
      <c r="F64" s="55">
        <f>IFERROR(__xludf.DUMMYFUNCTION("""COMPUTED_VALUE"""),2.0)</f>
        <v>2</v>
      </c>
      <c r="G64" s="56">
        <f>IFERROR(__xludf.DUMMYFUNCTION("""COMPUTED_VALUE"""),0.0)</f>
        <v>0</v>
      </c>
      <c r="H64" s="57">
        <f>IFERROR(__xludf.DUMMYFUNCTION("""COMPUTED_VALUE"""),10.0)</f>
        <v>10</v>
      </c>
      <c r="I64" s="55">
        <f>IFERROR(__xludf.DUMMYFUNCTION("""COMPUTED_VALUE"""),1.0)</f>
        <v>1</v>
      </c>
      <c r="J64" s="59">
        <f>IFERROR(__xludf.DUMMYFUNCTION("""COMPUTED_VALUE"""),10.0)</f>
        <v>10</v>
      </c>
      <c r="K64" s="51"/>
      <c r="L64" s="60">
        <f>IFERROR(__xludf.DUMMYFUNCTION("""COMPUTED_VALUE"""),10.0)</f>
        <v>10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IFERROR(__xludf.DUMMYFUNCTION("""COMPUTED_VALUE"""),"VELAZQUEZ")</f>
        <v>VELAZQUEZ</v>
      </c>
      <c r="D65" s="63" t="str">
        <f>IFERROR(__xludf.DUMMYFUNCTION("""COMPUTED_VALUE"""),"RENATA VICTORIA")</f>
        <v>RENATA VICTORIA</v>
      </c>
      <c r="E65" s="55">
        <f>IFERROR(__xludf.DUMMYFUNCTION("""COMPUTED_VALUE"""),8.0)</f>
        <v>8</v>
      </c>
      <c r="F65" s="55">
        <f>IFERROR(__xludf.DUMMYFUNCTION("""COMPUTED_VALUE"""),2.0)</f>
        <v>2</v>
      </c>
      <c r="G65" s="56">
        <f>IFERROR(__xludf.DUMMYFUNCTION("""COMPUTED_VALUE"""),0.0)</f>
        <v>0</v>
      </c>
      <c r="H65" s="57">
        <f>IFERROR(__xludf.DUMMYFUNCTION("""COMPUTED_VALUE"""),10.0)</f>
        <v>10</v>
      </c>
      <c r="I65" s="55">
        <f>IFERROR(__xludf.DUMMYFUNCTION("""COMPUTED_VALUE"""),0.0)</f>
        <v>0</v>
      </c>
      <c r="J65" s="59">
        <f>IFERROR(__xludf.DUMMYFUNCTION("""COMPUTED_VALUE"""),10.0)</f>
        <v>10</v>
      </c>
      <c r="K65" s="51"/>
      <c r="L65" s="60">
        <f>IFERROR(__xludf.DUMMYFUNCTION("""COMPUTED_VALUE"""),10.0)</f>
        <v>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IFERROR(__xludf.DUMMYFUNCTION("""COMPUTED_VALUE"""),"TREJO")</f>
        <v>TREJO</v>
      </c>
      <c r="C66" s="62" t="str">
        <f>IFERROR(__xludf.DUMMYFUNCTION("""COMPUTED_VALUE"""),"PERAL")</f>
        <v>PERAL</v>
      </c>
      <c r="D66" s="63" t="str">
        <f>IFERROR(__xludf.DUMMYFUNCTION("""COMPUTED_VALUE"""),"AIKO REGINA")</f>
        <v>AIKO REGINA</v>
      </c>
      <c r="E66" s="55">
        <f>IFERROR(__xludf.DUMMYFUNCTION("""COMPUTED_VALUE"""),8.0)</f>
        <v>8</v>
      </c>
      <c r="F66" s="55">
        <f>IFERROR(__xludf.DUMMYFUNCTION("""COMPUTED_VALUE"""),2.0)</f>
        <v>2</v>
      </c>
      <c r="G66" s="56">
        <f>IFERROR(__xludf.DUMMYFUNCTION("""COMPUTED_VALUE"""),0.0)</f>
        <v>0</v>
      </c>
      <c r="H66" s="57">
        <f>IFERROR(__xludf.DUMMYFUNCTION("""COMPUTED_VALUE"""),10.0)</f>
        <v>10</v>
      </c>
      <c r="I66" s="55">
        <f>IFERROR(__xludf.DUMMYFUNCTION("""COMPUTED_VALUE"""),2.0)</f>
        <v>2</v>
      </c>
      <c r="J66" s="59">
        <f>IFERROR(__xludf.DUMMYFUNCTION("""COMPUTED_VALUE"""),10.0)</f>
        <v>10</v>
      </c>
      <c r="K66" s="51"/>
      <c r="L66" s="60">
        <f>IFERROR(__xludf.DUMMYFUNCTION("""COMPUTED_VALUE"""),10.0)</f>
        <v>10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IFERROR(__xludf.DUMMYFUNCTION("""COMPUTED_VALUE"""),"TREJO")</f>
        <v>TREJO</v>
      </c>
      <c r="C67" s="62" t="str">
        <f>IFERROR(__xludf.DUMMYFUNCTION("""COMPUTED_VALUE"""),"PEREZ")</f>
        <v>PEREZ</v>
      </c>
      <c r="D67" s="63" t="str">
        <f>IFERROR(__xludf.DUMMYFUNCTION("""COMPUTED_VALUE"""),"ANGEL SANTIAGO")</f>
        <v>ANGEL SANTIAGO</v>
      </c>
      <c r="E67" s="55">
        <f>IFERROR(__xludf.DUMMYFUNCTION("""COMPUTED_VALUE"""),8.0)</f>
        <v>8</v>
      </c>
      <c r="F67" s="55">
        <f>IFERROR(__xludf.DUMMYFUNCTION("""COMPUTED_VALUE"""),2.0)</f>
        <v>2</v>
      </c>
      <c r="G67" s="56">
        <f>IFERROR(__xludf.DUMMYFUNCTION("""COMPUTED_VALUE"""),1.0)</f>
        <v>1</v>
      </c>
      <c r="H67" s="57">
        <f>IFERROR(__xludf.DUMMYFUNCTION("""COMPUTED_VALUE"""),11.0)</f>
        <v>11</v>
      </c>
      <c r="I67" s="55">
        <f>IFERROR(__xludf.DUMMYFUNCTION("""COMPUTED_VALUE"""),0.0)</f>
        <v>0</v>
      </c>
      <c r="J67" s="59">
        <f>IFERROR(__xludf.DUMMYFUNCTION("""COMPUTED_VALUE"""),10.0)</f>
        <v>10</v>
      </c>
      <c r="K67" s="51"/>
      <c r="L67" s="60">
        <f>IFERROR(__xludf.DUMMYFUNCTION("""COMPUTED_VALUE"""),11.0)</f>
        <v>11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IFERROR(__xludf.DUMMYFUNCTION("""COMPUTED_VALUE"""),"VAZQUEZ")</f>
        <v>VAZQUEZ</v>
      </c>
      <c r="C68" s="62" t="str">
        <f>IFERROR(__xludf.DUMMYFUNCTION("""COMPUTED_VALUE"""),"FABILA")</f>
        <v>FABILA</v>
      </c>
      <c r="D68" s="66" t="str">
        <f>IFERROR(__xludf.DUMMYFUNCTION("""COMPUTED_VALUE"""),"LUZ MARIANA")</f>
        <v>LUZ MARIANA</v>
      </c>
      <c r="E68" s="55">
        <f>IFERROR(__xludf.DUMMYFUNCTION("""COMPUTED_VALUE"""),8.0)</f>
        <v>8</v>
      </c>
      <c r="F68" s="55">
        <f>IFERROR(__xludf.DUMMYFUNCTION("""COMPUTED_VALUE"""),2.0)</f>
        <v>2</v>
      </c>
      <c r="G68" s="56">
        <f>IFERROR(__xludf.DUMMYFUNCTION("""COMPUTED_VALUE"""),0.0)</f>
        <v>0</v>
      </c>
      <c r="H68" s="57">
        <f>IFERROR(__xludf.DUMMYFUNCTION("""COMPUTED_VALUE"""),10.0)</f>
        <v>10</v>
      </c>
      <c r="I68" s="55">
        <f>IFERROR(__xludf.DUMMYFUNCTION("""COMPUTED_VALUE"""),0.0)</f>
        <v>0</v>
      </c>
      <c r="J68" s="59">
        <f>IFERROR(__xludf.DUMMYFUNCTION("""COMPUTED_VALUE"""),10.0)</f>
        <v>10</v>
      </c>
      <c r="K68" s="51"/>
      <c r="L68" s="60">
        <f>IFERROR(__xludf.DUMMYFUNCTION("""COMPUTED_VALUE"""),10.0)</f>
        <v>10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IFERROR(__xludf.DUMMYFUNCTION("""COMPUTED_VALUE"""),"VILLEGAS")</f>
        <v>VILLEGAS</v>
      </c>
      <c r="C69" s="62" t="str">
        <f>IFERROR(__xludf.DUMMYFUNCTION("""COMPUTED_VALUE"""),"SANCHEZ")</f>
        <v>SANCHEZ</v>
      </c>
      <c r="D69" s="66" t="str">
        <f>IFERROR(__xludf.DUMMYFUNCTION("""COMPUTED_VALUE"""),"FATIMA ANAHI")</f>
        <v>FATIMA ANAHI</v>
      </c>
      <c r="E69" s="55">
        <f>IFERROR(__xludf.DUMMYFUNCTION("""COMPUTED_VALUE"""),7.0)</f>
        <v>7</v>
      </c>
      <c r="F69" s="55">
        <f>IFERROR(__xludf.DUMMYFUNCTION("""COMPUTED_VALUE"""),2.0)</f>
        <v>2</v>
      </c>
      <c r="G69" s="56">
        <f>IFERROR(__xludf.DUMMYFUNCTION("""COMPUTED_VALUE"""),0.0)</f>
        <v>0</v>
      </c>
      <c r="H69" s="57">
        <f>IFERROR(__xludf.DUMMYFUNCTION("""COMPUTED_VALUE"""),9.0)</f>
        <v>9</v>
      </c>
      <c r="I69" s="55">
        <f>IFERROR(__xludf.DUMMYFUNCTION("""COMPUTED_VALUE"""),2.0)</f>
        <v>2</v>
      </c>
      <c r="J69" s="59">
        <f>IFERROR(__xludf.DUMMYFUNCTION("""COMPUTED_VALUE"""),9.0)</f>
        <v>9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IFERROR(__xludf.DUMMYFUNCTION("""COMPUTED_VALUE"""),"ZAMORA")</f>
        <v>ZAMORA</v>
      </c>
      <c r="C70" s="62" t="str">
        <f>IFERROR(__xludf.DUMMYFUNCTION("""COMPUTED_VALUE"""),"REYES")</f>
        <v>REYES</v>
      </c>
      <c r="D70" s="67" t="str">
        <f>IFERROR(__xludf.DUMMYFUNCTION("""COMPUTED_VALUE"""),"SANTIAGO")</f>
        <v>SANTIAGO</v>
      </c>
      <c r="E70" s="55">
        <f>IFERROR(__xludf.DUMMYFUNCTION("""COMPUTED_VALUE"""),6.0)</f>
        <v>6</v>
      </c>
      <c r="F70" s="55">
        <f>IFERROR(__xludf.DUMMYFUNCTION("""COMPUTED_VALUE"""),2.0)</f>
        <v>2</v>
      </c>
      <c r="G70" s="56">
        <f>IFERROR(__xludf.DUMMYFUNCTION("""COMPUTED_VALUE"""),0.0)</f>
        <v>0</v>
      </c>
      <c r="H70" s="57">
        <f>IFERROR(__xludf.DUMMYFUNCTION("""COMPUTED_VALUE"""),8.0)</f>
        <v>8</v>
      </c>
      <c r="I70" s="55">
        <f>IFERROR(__xludf.DUMMYFUNCTION("""COMPUTED_VALUE"""),2.0)</f>
        <v>2</v>
      </c>
      <c r="J70" s="59">
        <f>IFERROR(__xludf.DUMMYFUNCTION("""COMPUTED_VALUE"""),8.0)</f>
        <v>8</v>
      </c>
      <c r="K70" s="51"/>
      <c r="L70" s="6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6"/>
      <c r="B71" s="69"/>
      <c r="C71" s="69"/>
      <c r="D71" s="69"/>
      <c r="E71" s="70"/>
      <c r="F71" s="69"/>
      <c r="G71" s="69"/>
      <c r="H71" s="69"/>
      <c r="I71" s="69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71"/>
      <c r="B72" s="72" t="str">
        <f>IFERROR(__xludf.DUMMYFUNCTION("""COMPUTED_VALUE"""),"No. DE ALUMNOS INSCRITOS")</f>
        <v>No. DE ALUMNOS INSCRITOS</v>
      </c>
      <c r="C72" s="73"/>
      <c r="D72" s="74">
        <f>IFERROR(__xludf.DUMMYFUNCTION("""COMPUTED_VALUE"""),54.0)</f>
        <v>54</v>
      </c>
      <c r="E72" s="69"/>
      <c r="F72" s="75" t="str">
        <f>IFERROR(__xludf.DUMMYFUNCTION("""COMPUTED_VALUE"""),"FIRMA DEL PROFESOR")</f>
        <v>FIRMA DEL PROFESOR</v>
      </c>
      <c r="G72" s="75"/>
      <c r="H72" s="75" t="str">
        <f>IFERROR(__xludf.DUMMYFUNCTION("""COMPUTED_VALUE"""),"FIRMA DEL ORIENTADOR")</f>
        <v>FIRMA DEL ORIENTADOR</v>
      </c>
      <c r="J72" s="76" t="str">
        <f>IFERROR(__xludf.DUMMYFUNCTION("""COMPUTED_VALUE"""),"Vo. Bo. SUBDIRECCIÓN ESCOLAR")</f>
        <v>Vo. Bo. SUBDIRECCIÓN ESCOLAR</v>
      </c>
      <c r="K72" s="77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78" t="str">
        <f>IFERROR(__xludf.DUMMYFUNCTION("""COMPUTED_VALUE"""),"BAJAS DURANTE EL SEMESTRE")</f>
        <v>BAJAS DURANTE EL SEMESTRE</v>
      </c>
      <c r="C73" s="79"/>
      <c r="D73" s="80">
        <f>IFERROR(__xludf.DUMMYFUNCTION("""COMPUTED_VALUE"""),0.0)</f>
        <v>0</v>
      </c>
      <c r="E73" s="69"/>
      <c r="G73" s="75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1"/>
      <c r="B74" s="78" t="str">
        <f>IFERROR(__xludf.DUMMYFUNCTION("""COMPUTED_VALUE"""),"EXISTENCIA")</f>
        <v>EXISTENCIA</v>
      </c>
      <c r="C74" s="79"/>
      <c r="D74" s="81">
        <f>IFERROR(__xludf.DUMMYFUNCTION("""COMPUTED_VALUE"""),54.0)</f>
        <v>54</v>
      </c>
      <c r="E74" s="69"/>
      <c r="F74" s="82"/>
      <c r="G74" s="83"/>
      <c r="H74" s="82"/>
      <c r="I74" s="82"/>
      <c r="J74" s="84"/>
      <c r="K74" s="8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1"/>
      <c r="B75" s="78" t="str">
        <f>IFERROR(__xludf.DUMMYFUNCTION("""COMPUTED_VALUE"""),"No. DE ALUMNOS APROBADOS")</f>
        <v>No. DE ALUMNOS APROBADOS</v>
      </c>
      <c r="C75" s="79"/>
      <c r="D75" s="81">
        <f>IFERROR(__xludf.DUMMYFUNCTION("""COMPUTED_VALUE"""),54.0)</f>
        <v>54</v>
      </c>
      <c r="E75" s="69"/>
      <c r="F75" s="82"/>
      <c r="G75" s="83"/>
      <c r="H75" s="82"/>
      <c r="I75" s="82"/>
      <c r="J75" s="84"/>
      <c r="K75" s="8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1"/>
      <c r="B76" s="78" t="str">
        <f>IFERROR(__xludf.DUMMYFUNCTION("""COMPUTED_VALUE"""),"No. DE ALUMNOS REPROBADOS")</f>
        <v>No. DE ALUMNOS REPROBADOS</v>
      </c>
      <c r="C76" s="79"/>
      <c r="D76" s="81">
        <f>IFERROR(__xludf.DUMMYFUNCTION("""COMPUTED_VALUE"""),0.0)</f>
        <v>0</v>
      </c>
      <c r="E76" s="69"/>
      <c r="F76" s="86"/>
      <c r="G76" s="83"/>
      <c r="H76" s="86"/>
      <c r="I76" s="86"/>
      <c r="J76" s="87"/>
      <c r="K76" s="8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1"/>
      <c r="B77" s="78" t="str">
        <f>IFERROR(__xludf.DUMMYFUNCTION("""COMPUTED_VALUE"""),"% DE APROBADOS")</f>
        <v>% DE APROBADOS</v>
      </c>
      <c r="C77" s="79"/>
      <c r="D77" s="89">
        <f>IFERROR(__xludf.DUMMYFUNCTION("""COMPUTED_VALUE"""),100.0)</f>
        <v>100</v>
      </c>
      <c r="E77" s="69"/>
      <c r="F77" s="90" t="str">
        <f>IFERROR(__xludf.DUMMYFUNCTION("""COMPUTED_VALUE"""),"PROFR. ")</f>
        <v>PROFR. </v>
      </c>
      <c r="G77" s="91"/>
      <c r="H77" s="92" t="str">
        <f>IFERROR(__xludf.DUMMYFUNCTION("""COMPUTED_VALUE"""),"PROFR. JOSÉ EDGAR SALAZAR ZÚÑIGA")</f>
        <v>PROFR. JOSÉ EDGAR SALAZAR ZÚÑIGA</v>
      </c>
      <c r="J77" s="93" t="str">
        <f>IFERROR(__xludf.DUMMYFUNCTION("""COMPUTED_VALUE"""),"PROFR. OCTAVIO VÁZQUEZ BARRETO")</f>
        <v>PROFR. OCTAVIO VÁZQUEZ BARRETO</v>
      </c>
      <c r="K77" s="94" t="str">
        <f>IFERROR(__xludf.DUMMYFUNCTION("""COMPUTED_VALUE"""),"PROFR. ROBERTO PALOMARES MEJÍA ")</f>
        <v>PROFR. ROBERTO PALOMARES MEJÍA </v>
      </c>
      <c r="L77" s="9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71"/>
      <c r="B78" s="96" t="str">
        <f>IFERROR(__xludf.DUMMYFUNCTION("""COMPUTED_VALUE"""),"PROMEDIO")</f>
        <v>PROMEDIO</v>
      </c>
      <c r="C78" s="97"/>
      <c r="D78" s="98">
        <f>IFERROR(__xludf.DUMMYFUNCTION("""COMPUTED_VALUE"""),9.185185185185185)</f>
        <v>9.185185185</v>
      </c>
      <c r="E78" s="69"/>
      <c r="G78" s="91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99"/>
      <c r="B80" s="100"/>
      <c r="C80" s="101"/>
      <c r="D80" s="101"/>
      <c r="E80" s="69"/>
      <c r="G80" s="7"/>
      <c r="H80" s="7"/>
      <c r="I80" s="7"/>
      <c r="J80" s="7"/>
      <c r="K80" s="102"/>
      <c r="L80" s="10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4"/>
      <c r="B81" s="69"/>
      <c r="C81" s="69"/>
      <c r="D81" s="69"/>
      <c r="E81" s="7"/>
      <c r="F81" s="1"/>
      <c r="G81" s="1"/>
      <c r="H81" s="1"/>
      <c r="I81" s="1"/>
      <c r="J81" s="1"/>
      <c r="K81" s="8"/>
      <c r="L81" s="10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4"/>
      <c r="B82" s="69"/>
      <c r="C82" s="69"/>
      <c r="D82" s="69"/>
      <c r="E82" s="7"/>
      <c r="F82" s="1"/>
      <c r="G82" s="1"/>
      <c r="H82" s="1"/>
      <c r="I82" s="1"/>
      <c r="J82" s="1"/>
      <c r="K82" s="8"/>
      <c r="L82" s="10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6"/>
      <c r="B83" s="107"/>
      <c r="C83" s="107"/>
      <c r="D83" s="107"/>
      <c r="E83" s="108"/>
      <c r="F83" s="109"/>
      <c r="G83" s="109"/>
      <c r="H83" s="109"/>
      <c r="I83" s="109"/>
      <c r="J83" s="109"/>
      <c r="K83" s="110"/>
      <c r="L83" s="10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12"/>
      <c r="K84" s="112"/>
      <c r="L84" s="11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12"/>
      <c r="K85" s="112"/>
      <c r="L85" s="11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12"/>
      <c r="K86" s="112"/>
      <c r="L86" s="11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12"/>
      <c r="K87" s="112"/>
      <c r="L87" s="11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1"/>
      <c r="C89" s="111"/>
      <c r="D89" s="111"/>
      <c r="E89" s="111"/>
      <c r="F89" s="1"/>
      <c r="G89" s="1"/>
      <c r="H89" s="1"/>
      <c r="I89" s="1"/>
      <c r="J89" s="1"/>
      <c r="K89" s="11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1"/>
      <c r="C90" s="111"/>
      <c r="D90" s="111"/>
      <c r="E90" s="11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1"/>
      <c r="C91" s="111"/>
      <c r="D91" s="111"/>
      <c r="E91" s="11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1"/>
      <c r="C92" s="111"/>
      <c r="D92" s="111"/>
      <c r="E92" s="11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1"/>
      <c r="C93" s="111"/>
      <c r="D93" s="111"/>
      <c r="E93" s="11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1"/>
      <c r="C94" s="111"/>
      <c r="D94" s="111"/>
      <c r="E94" s="11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1"/>
      <c r="C95" s="111"/>
      <c r="D95" s="111"/>
      <c r="E95" s="11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9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9568480300187618"/>
  <pageSetup scale="4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IFERROR(__xludf.DUMMYFUNCTION("IMPORTRANGE(""https://docs.google.com/spreadsheets/d/1XXpLVmvERIkOwfwjUI8iua9nnOnyLO6P4Lg4qznMCsI/edit?gid=868681460#gid=868681460"",""1-2 pensamiento matematico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IFERROR(__xludf.DUMMYFUNCTION("""COMPUTED_VALUE"""),"Ernesto Brena Colin")</f>
        <v>Ernesto Brena Colin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IFERROR(__xludf.DUMMYFUNCTION("""COMPUTED_VALUE"""),"PENSAMIENTO MATEMÁTICO II")</f>
        <v>PENSAMIENTO MATEMÁTICO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IFERROR(__xludf.DUMMYFUNCTION("""COMPUTED_VALUE"""),"AMBROSIO")</f>
        <v>AMBROSIO</v>
      </c>
      <c r="C17" s="53" t="str">
        <f>IFERROR(__xludf.DUMMYFUNCTION("""COMPUTED_VALUE"""),"RAMIREZ")</f>
        <v>RAMIREZ</v>
      </c>
      <c r="D17" s="54" t="str">
        <f>IFERROR(__xludf.DUMMYFUNCTION("""COMPUTED_VALUE"""),"ALEXANDRA")</f>
        <v>ALEXANDRA</v>
      </c>
      <c r="E17" s="55">
        <f>IFERROR(__xludf.DUMMYFUNCTION("""COMPUTED_VALUE"""),3.04285714)</f>
        <v>3.04285714</v>
      </c>
      <c r="F17" s="55">
        <f>IFERROR(__xludf.DUMMYFUNCTION("""COMPUTED_VALUE"""),2.0)</f>
        <v>2</v>
      </c>
      <c r="G17" s="56"/>
      <c r="H17" s="57">
        <f>IFERROR(__xludf.DUMMYFUNCTION("""COMPUTED_VALUE"""),5.042857140000001)</f>
        <v>5.04285714</v>
      </c>
      <c r="I17" s="58">
        <f>IFERROR(__xludf.DUMMYFUNCTION("""COMPUTED_VALUE"""),3.0)</f>
        <v>3</v>
      </c>
      <c r="J17" s="59">
        <f>IFERROR(__xludf.DUMMYFUNCTION("""COMPUTED_VALUE"""),5.0)</f>
        <v>5</v>
      </c>
      <c r="K17" s="60"/>
      <c r="L17" s="61">
        <f>IFERROR(__xludf.DUMMYFUNCTION("""COMPUTED_VALUE"""),5.0)</f>
        <v>5</v>
      </c>
      <c r="M17" s="1" t="str">
        <f>IFERROR(__xludf.DUMMYFUNCTION("""COMPUTED_VALUE"""),"Febrero")</f>
        <v>Febrero</v>
      </c>
      <c r="N17" s="1">
        <f>IFERROR(__xludf.DUMMYFUNCTION("""COMPUTED_VALUE"""),10.0)</f>
        <v>10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IFERROR(__xludf.DUMMYFUNCTION("""COMPUTED_VALUE"""),"AVILA")</f>
        <v>AVILA</v>
      </c>
      <c r="C18" s="52" t="str">
        <f>IFERROR(__xludf.DUMMYFUNCTION("""COMPUTED_VALUE"""),"MORALES")</f>
        <v>MORALES</v>
      </c>
      <c r="D18" s="54" t="str">
        <f>IFERROR(__xludf.DUMMYFUNCTION("""COMPUTED_VALUE"""),"EDWIN ADAHIR")</f>
        <v>EDWIN ADAHIR</v>
      </c>
      <c r="E18" s="55">
        <f>IFERROR(__xludf.DUMMYFUNCTION("""COMPUTED_VALUE"""),2.85714286)</f>
        <v>2.85714286</v>
      </c>
      <c r="F18" s="55">
        <f>IFERROR(__xludf.DUMMYFUNCTION("""COMPUTED_VALUE"""),2.0)</f>
        <v>2</v>
      </c>
      <c r="G18" s="56"/>
      <c r="H18" s="57">
        <f>IFERROR(__xludf.DUMMYFUNCTION("""COMPUTED_VALUE"""),4.85714286)</f>
        <v>4.85714286</v>
      </c>
      <c r="I18" s="58">
        <f>IFERROR(__xludf.DUMMYFUNCTION("""COMPUTED_VALUE"""),2.0)</f>
        <v>2</v>
      </c>
      <c r="J18" s="59">
        <f>IFERROR(__xludf.DUMMYFUNCTION("""COMPUTED_VALUE"""),5.0)</f>
        <v>5</v>
      </c>
      <c r="K18" s="51"/>
      <c r="L18" s="61">
        <f>IFERROR(__xludf.DUMMYFUNCTION("""COMPUTED_VALUE"""),4.0)</f>
        <v>4</v>
      </c>
      <c r="M18" s="1" t="str">
        <f>IFERROR(__xludf.DUMMYFUNCTION("""COMPUTED_VALUE"""),"Marzo")</f>
        <v>Marzo</v>
      </c>
      <c r="N18" s="1">
        <f>IFERROR(__xludf.DUMMYFUNCTION("""COMPUTED_VALUE"""),14.0)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IFERROR(__xludf.DUMMYFUNCTION("""COMPUTED_VALUE"""),"AVILA")</f>
        <v>AVILA</v>
      </c>
      <c r="C19" s="52" t="str">
        <f>IFERROR(__xludf.DUMMYFUNCTION("""COMPUTED_VALUE"""),"RAMIREZ")</f>
        <v>RAMIREZ</v>
      </c>
      <c r="D19" s="54" t="str">
        <f>IFERROR(__xludf.DUMMYFUNCTION("""COMPUTED_VALUE"""),"SANTIAGO")</f>
        <v>SANTIAGO</v>
      </c>
      <c r="E19" s="56">
        <f>IFERROR(__xludf.DUMMYFUNCTION("""COMPUTED_VALUE"""),3.04285714)</f>
        <v>3.04285714</v>
      </c>
      <c r="F19" s="55">
        <f>IFERROR(__xludf.DUMMYFUNCTION("""COMPUTED_VALUE"""),2.0)</f>
        <v>2</v>
      </c>
      <c r="G19" s="56"/>
      <c r="H19" s="57">
        <f>IFERROR(__xludf.DUMMYFUNCTION("""COMPUTED_VALUE"""),5.042857140000001)</f>
        <v>5.04285714</v>
      </c>
      <c r="I19" s="58">
        <f>IFERROR(__xludf.DUMMYFUNCTION("""COMPUTED_VALUE"""),1.0)</f>
        <v>1</v>
      </c>
      <c r="J19" s="59">
        <f>IFERROR(__xludf.DUMMYFUNCTION("""COMPUTED_VALUE"""),5.0)</f>
        <v>5</v>
      </c>
      <c r="K19" s="51"/>
      <c r="L19" s="61">
        <f>IFERROR(__xludf.DUMMYFUNCTION("""COMPUTED_VALUE"""),5.0)</f>
        <v>5</v>
      </c>
      <c r="M19" s="1" t="str">
        <f>IFERROR(__xludf.DUMMYFUNCTION("""COMPUTED_VALUE"""),"Abril")</f>
        <v>Abril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IFERROR(__xludf.DUMMYFUNCTION("""COMPUTED_VALUE"""),"BARRAZA")</f>
        <v>BARRAZA</v>
      </c>
      <c r="C20" s="52" t="str">
        <f>IFERROR(__xludf.DUMMYFUNCTION("""COMPUTED_VALUE"""),"MONTELONGO")</f>
        <v>MONTELONGO</v>
      </c>
      <c r="D20" s="54" t="str">
        <f>IFERROR(__xludf.DUMMYFUNCTION("""COMPUTED_VALUE"""),"STEFANY YANELI")</f>
        <v>STEFANY YANELI</v>
      </c>
      <c r="E20" s="55">
        <f>IFERROR(__xludf.DUMMYFUNCTION("""COMPUTED_VALUE"""),4.04285714)</f>
        <v>4.04285714</v>
      </c>
      <c r="F20" s="55">
        <f>IFERROR(__xludf.DUMMYFUNCTION("""COMPUTED_VALUE"""),2.0)</f>
        <v>2</v>
      </c>
      <c r="G20" s="56">
        <f>IFERROR(__xludf.DUMMYFUNCTION("""COMPUTED_VALUE"""),1.0)</f>
        <v>1</v>
      </c>
      <c r="H20" s="57">
        <f>IFERROR(__xludf.DUMMYFUNCTION("""COMPUTED_VALUE"""),7.04285714)</f>
        <v>7.04285714</v>
      </c>
      <c r="I20" s="58">
        <f>IFERROR(__xludf.DUMMYFUNCTION("""COMPUTED_VALUE"""),2.0)</f>
        <v>2</v>
      </c>
      <c r="J20" s="59">
        <f>IFERROR(__xludf.DUMMYFUNCTION("""COMPUTED_VALUE"""),7.0)</f>
        <v>7</v>
      </c>
      <c r="K20" s="51"/>
      <c r="L20" s="61">
        <f>IFERROR(__xludf.DUMMYFUNCTION("""COMPUTED_VALUE"""),7.0)</f>
        <v>7</v>
      </c>
      <c r="M20" s="1" t="str">
        <f>IFERROR(__xludf.DUMMYFUNCTION("""COMPUTED_VALUE"""),"Mayo")</f>
        <v>Mayo</v>
      </c>
      <c r="N20" s="1">
        <f>IFERROR(__xludf.DUMMYFUNCTION("""COMPUTED_VALUE"""),14.0)</f>
        <v>14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IFERROR(__xludf.DUMMYFUNCTION("""COMPUTED_VALUE"""),"BECERRA")</f>
        <v>BECERRA</v>
      </c>
      <c r="C21" s="52" t="str">
        <f>IFERROR(__xludf.DUMMYFUNCTION("""COMPUTED_VALUE"""),"FLORES")</f>
        <v>FLORES</v>
      </c>
      <c r="D21" s="54" t="str">
        <f>IFERROR(__xludf.DUMMYFUNCTION("""COMPUTED_VALUE"""),"HADE JETZABEL")</f>
        <v>HADE JETZABEL</v>
      </c>
      <c r="E21" s="55">
        <f>IFERROR(__xludf.DUMMYFUNCTION("""COMPUTED_VALUE"""),4.9)</f>
        <v>4.9</v>
      </c>
      <c r="F21" s="55">
        <f>IFERROR(__xludf.DUMMYFUNCTION("""COMPUTED_VALUE"""),2.0)</f>
        <v>2</v>
      </c>
      <c r="G21" s="56">
        <f>IFERROR(__xludf.DUMMYFUNCTION("""COMPUTED_VALUE"""),1.0)</f>
        <v>1</v>
      </c>
      <c r="H21" s="57">
        <f>IFERROR(__xludf.DUMMYFUNCTION("""COMPUTED_VALUE"""),7.9)</f>
        <v>7.9</v>
      </c>
      <c r="I21" s="58">
        <f>IFERROR(__xludf.DUMMYFUNCTION("""COMPUTED_VALUE"""),1.0)</f>
        <v>1</v>
      </c>
      <c r="J21" s="59">
        <f>IFERROR(__xludf.DUMMYFUNCTION("""COMPUTED_VALUE"""),8.0)</f>
        <v>8</v>
      </c>
      <c r="K21" s="51"/>
      <c r="L21" s="61">
        <f>IFERROR(__xludf.DUMMYFUNCTION("""COMPUTED_VALUE"""),8.0)</f>
        <v>8</v>
      </c>
      <c r="M21" s="1" t="str">
        <f>IFERROR(__xludf.DUMMYFUNCTION("""COMPUTED_VALUE"""),"Junio")</f>
        <v>Junio</v>
      </c>
      <c r="N21" s="1">
        <f>IFERROR(__xludf.DUMMYFUNCTION("""COMPUTED_VALUE"""),18.0)</f>
        <v>18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IFERROR(__xludf.DUMMYFUNCTION("""COMPUTED_VALUE"""),"BELLO")</f>
        <v>BELLO</v>
      </c>
      <c r="C22" s="52" t="str">
        <f>IFERROR(__xludf.DUMMYFUNCTION("""COMPUTED_VALUE"""),"CHAVEZ")</f>
        <v>CHAVEZ</v>
      </c>
      <c r="D22" s="54" t="str">
        <f>IFERROR(__xludf.DUMMYFUNCTION("""COMPUTED_VALUE"""),"EMILIO SEBASTIAN")</f>
        <v>EMILIO SEBASTIAN</v>
      </c>
      <c r="E22" s="55">
        <f>IFERROR(__xludf.DUMMYFUNCTION("""COMPUTED_VALUE"""),6.58571429)</f>
        <v>6.58571429</v>
      </c>
      <c r="F22" s="55">
        <f>IFERROR(__xludf.DUMMYFUNCTION("""COMPUTED_VALUE"""),2.0)</f>
        <v>2</v>
      </c>
      <c r="G22" s="56"/>
      <c r="H22" s="57">
        <f>IFERROR(__xludf.DUMMYFUNCTION("""COMPUTED_VALUE"""),8.58571429)</f>
        <v>8.58571429</v>
      </c>
      <c r="I22" s="58">
        <f>IFERROR(__xludf.DUMMYFUNCTION("""COMPUTED_VALUE"""),3.0)</f>
        <v>3</v>
      </c>
      <c r="J22" s="59">
        <f>IFERROR(__xludf.DUMMYFUNCTION("""COMPUTED_VALUE"""),9.0)</f>
        <v>9</v>
      </c>
      <c r="K22" s="51"/>
      <c r="L22" s="61">
        <f>IFERROR(__xludf.DUMMYFUNCTION("""COMPUTED_VALUE"""),9.0)</f>
        <v>9</v>
      </c>
      <c r="M22" s="1" t="str">
        <f>IFERROR(__xludf.DUMMYFUNCTION("""COMPUTED_VALUE"""),"Julio")</f>
        <v>Julio</v>
      </c>
      <c r="N22" s="1">
        <f>IFERROR(__xludf.DUMMYFUNCTION("""COMPUTED_VALUE"""),8.0)</f>
        <v>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IFERROR(__xludf.DUMMYFUNCTION("""COMPUTED_VALUE"""),"CASAS")</f>
        <v>CASAS</v>
      </c>
      <c r="C23" s="52" t="str">
        <f>IFERROR(__xludf.DUMMYFUNCTION("""COMPUTED_VALUE"""),"GARCIA")</f>
        <v>GARCIA</v>
      </c>
      <c r="D23" s="54" t="str">
        <f>IFERROR(__xludf.DUMMYFUNCTION("""COMPUTED_VALUE"""),"ZEUS ANTHUAN")</f>
        <v>ZEUS ANTHUAN</v>
      </c>
      <c r="E23" s="55">
        <f>IFERROR(__xludf.DUMMYFUNCTION("""COMPUTED_VALUE"""),6.28571429)</f>
        <v>6.28571429</v>
      </c>
      <c r="F23" s="55">
        <f>IFERROR(__xludf.DUMMYFUNCTION("""COMPUTED_VALUE"""),2.0)</f>
        <v>2</v>
      </c>
      <c r="G23" s="56"/>
      <c r="H23" s="57">
        <f>IFERROR(__xludf.DUMMYFUNCTION("""COMPUTED_VALUE"""),8.28571429)</f>
        <v>8.28571429</v>
      </c>
      <c r="I23" s="58">
        <f>IFERROR(__xludf.DUMMYFUNCTION("""COMPUTED_VALUE"""),0.0)</f>
        <v>0</v>
      </c>
      <c r="J23" s="59">
        <f>IFERROR(__xludf.DUMMYFUNCTION("""COMPUTED_VALUE"""),8.0)</f>
        <v>8</v>
      </c>
      <c r="K23" s="51"/>
      <c r="L23" s="61">
        <f>IFERROR(__xludf.DUMMYFUNCTION("""COMPUTED_VALUE"""),8.0)</f>
        <v>8</v>
      </c>
      <c r="M23" s="1" t="str">
        <f>IFERROR(__xludf.DUMMYFUNCTION("""COMPUTED_VALUE"""),"TOTAL")</f>
        <v>TOTAL</v>
      </c>
      <c r="N23" s="1">
        <f>IFERROR(__xludf.DUMMYFUNCTION("""COMPUTED_VALUE"""),76.0)</f>
        <v>76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IFERROR(__xludf.DUMMYFUNCTION("""COMPUTED_VALUE"""),"CHICO")</f>
        <v>CHICO</v>
      </c>
      <c r="C24" s="52" t="str">
        <f>IFERROR(__xludf.DUMMYFUNCTION("""COMPUTED_VALUE"""),"ORTIZ")</f>
        <v>ORTIZ</v>
      </c>
      <c r="D24" s="54" t="str">
        <f>IFERROR(__xludf.DUMMYFUNCTION("""COMPUTED_VALUE"""),"ALAN")</f>
        <v>ALAN</v>
      </c>
      <c r="E24" s="56">
        <f>IFERROR(__xludf.DUMMYFUNCTION("""COMPUTED_VALUE"""),3.95714286)</f>
        <v>3.95714286</v>
      </c>
      <c r="F24" s="55">
        <f>IFERROR(__xludf.DUMMYFUNCTION("""COMPUTED_VALUE"""),2.0)</f>
        <v>2</v>
      </c>
      <c r="G24" s="56"/>
      <c r="H24" s="57">
        <f>IFERROR(__xludf.DUMMYFUNCTION("""COMPUTED_VALUE"""),5.957142859999999)</f>
        <v>5.95714286</v>
      </c>
      <c r="I24" s="58">
        <f>IFERROR(__xludf.DUMMYFUNCTION("""COMPUTED_VALUE"""),1.0)</f>
        <v>1</v>
      </c>
      <c r="J24" s="59">
        <f>IFERROR(__xludf.DUMMYFUNCTION("""COMPUTED_VALUE"""),5.0)</f>
        <v>5</v>
      </c>
      <c r="K24" s="51"/>
      <c r="L24" s="61">
        <f>IFERROR(__xludf.DUMMYFUNCTION("""COMPUTED_VALUE"""),5.0)</f>
        <v>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IFERROR(__xludf.DUMMYFUNCTION("""COMPUTED_VALUE"""),"COLIN")</f>
        <v>COLIN</v>
      </c>
      <c r="C25" s="52" t="str">
        <f>IFERROR(__xludf.DUMMYFUNCTION("""COMPUTED_VALUE"""),"GARCIA")</f>
        <v>GARCIA</v>
      </c>
      <c r="D25" s="54" t="str">
        <f>IFERROR(__xludf.DUMMYFUNCTION("""COMPUTED_VALUE"""),"DONOBAN RODRIGO")</f>
        <v>DONOBAN RODRIGO</v>
      </c>
      <c r="E25" s="55">
        <f>IFERROR(__xludf.DUMMYFUNCTION("""COMPUTED_VALUE"""),3.42857143)</f>
        <v>3.42857143</v>
      </c>
      <c r="F25" s="55">
        <f>IFERROR(__xludf.DUMMYFUNCTION("""COMPUTED_VALUE"""),2.0)</f>
        <v>2</v>
      </c>
      <c r="G25" s="56">
        <f>IFERROR(__xludf.DUMMYFUNCTION("""COMPUTED_VALUE"""),1.0)</f>
        <v>1</v>
      </c>
      <c r="H25" s="57">
        <f>IFERROR(__xludf.DUMMYFUNCTION("""COMPUTED_VALUE"""),6.42857143)</f>
        <v>6.42857143</v>
      </c>
      <c r="I25" s="58">
        <f>IFERROR(__xludf.DUMMYFUNCTION("""COMPUTED_VALUE"""),4.0)</f>
        <v>4</v>
      </c>
      <c r="J25" s="59">
        <f>IFERROR(__xludf.DUMMYFUNCTION("""COMPUTED_VALUE"""),6.0)</f>
        <v>6</v>
      </c>
      <c r="K25" s="51"/>
      <c r="L25" s="61">
        <f>IFERROR(__xludf.DUMMYFUNCTION("""COMPUTED_VALUE"""),6.0)</f>
        <v>6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IFERROR(__xludf.DUMMYFUNCTION("""COMPUTED_VALUE"""),"CONTRERAS")</f>
        <v>CONTRERAS</v>
      </c>
      <c r="C26" s="52" t="str">
        <f>IFERROR(__xludf.DUMMYFUNCTION("""COMPUTED_VALUE"""),"QUIJADA")</f>
        <v>QUIJADA</v>
      </c>
      <c r="D26" s="52" t="str">
        <f>IFERROR(__xludf.DUMMYFUNCTION("""COMPUTED_VALUE"""),"LEONARDO")</f>
        <v>LEONARDO</v>
      </c>
      <c r="E26" s="56">
        <f>IFERROR(__xludf.DUMMYFUNCTION("""COMPUTED_VALUE"""),5.38571429)</f>
        <v>5.38571429</v>
      </c>
      <c r="F26" s="55">
        <f>IFERROR(__xludf.DUMMYFUNCTION("""COMPUTED_VALUE"""),2.0)</f>
        <v>2</v>
      </c>
      <c r="G26" s="56"/>
      <c r="H26" s="57">
        <f>IFERROR(__xludf.DUMMYFUNCTION("""COMPUTED_VALUE"""),7.38571429)</f>
        <v>7.38571429</v>
      </c>
      <c r="I26" s="58">
        <f>IFERROR(__xludf.DUMMYFUNCTION("""COMPUTED_VALUE"""),1.0)</f>
        <v>1</v>
      </c>
      <c r="J26" s="59">
        <f>IFERROR(__xludf.DUMMYFUNCTION("""COMPUTED_VALUE"""),7.0)</f>
        <v>7</v>
      </c>
      <c r="K26" s="51"/>
      <c r="L26" s="61">
        <f>IFERROR(__xludf.DUMMYFUNCTION("""COMPUTED_VALUE"""),7.0)</f>
        <v>7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IFERROR(__xludf.DUMMYFUNCTION("""COMPUTED_VALUE"""),"COVARRUBIAS")</f>
        <v>COVARRUBIAS</v>
      </c>
      <c r="C27" s="52" t="str">
        <f>IFERROR(__xludf.DUMMYFUNCTION("""COMPUTED_VALUE"""),"ACOSTA")</f>
        <v>ACOSTA</v>
      </c>
      <c r="D27" s="54" t="str">
        <f>IFERROR(__xludf.DUMMYFUNCTION("""COMPUTED_VALUE"""),"SAMANTHA ANGELINE")</f>
        <v>SAMANTHA ANGELINE</v>
      </c>
      <c r="E27" s="55">
        <f>IFERROR(__xludf.DUMMYFUNCTION("""COMPUTED_VALUE"""),5.32857143)</f>
        <v>5.32857143</v>
      </c>
      <c r="F27" s="55">
        <f>IFERROR(__xludf.DUMMYFUNCTION("""COMPUTED_VALUE"""),2.0)</f>
        <v>2</v>
      </c>
      <c r="G27" s="56"/>
      <c r="H27" s="57">
        <f>IFERROR(__xludf.DUMMYFUNCTION("""COMPUTED_VALUE"""),7.32857143)</f>
        <v>7.32857143</v>
      </c>
      <c r="I27" s="58">
        <f>IFERROR(__xludf.DUMMYFUNCTION("""COMPUTED_VALUE"""),1.0)</f>
        <v>1</v>
      </c>
      <c r="J27" s="59">
        <f>IFERROR(__xludf.DUMMYFUNCTION("""COMPUTED_VALUE"""),7.0)</f>
        <v>7</v>
      </c>
      <c r="K27" s="51"/>
      <c r="L27" s="61">
        <f>IFERROR(__xludf.DUMMYFUNCTION("""COMPUTED_VALUE"""),7.0)</f>
        <v>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IFERROR(__xludf.DUMMYFUNCTION("""COMPUTED_VALUE"""),"GALVEZ")</f>
        <v>GALVEZ</v>
      </c>
      <c r="D28" s="54" t="str">
        <f>IFERROR(__xludf.DUMMYFUNCTION("""COMPUTED_VALUE"""),"PARIS EMILIANO")</f>
        <v>PARIS EMILIANO</v>
      </c>
      <c r="E28" s="55">
        <f>IFERROR(__xludf.DUMMYFUNCTION("""COMPUTED_VALUE"""),6.88571429)</f>
        <v>6.88571429</v>
      </c>
      <c r="F28" s="55">
        <f>IFERROR(__xludf.DUMMYFUNCTION("""COMPUTED_VALUE"""),2.0)</f>
        <v>2</v>
      </c>
      <c r="G28" s="56"/>
      <c r="H28" s="57">
        <f>IFERROR(__xludf.DUMMYFUNCTION("""COMPUTED_VALUE"""),8.88571429)</f>
        <v>8.88571429</v>
      </c>
      <c r="I28" s="58">
        <f>IFERROR(__xludf.DUMMYFUNCTION("""COMPUTED_VALUE"""),0.0)</f>
        <v>0</v>
      </c>
      <c r="J28" s="59">
        <f>IFERROR(__xludf.DUMMYFUNCTION("""COMPUTED_VALUE"""),9.0)</f>
        <v>9</v>
      </c>
      <c r="K28" s="51"/>
      <c r="L28" s="61">
        <f>IFERROR(__xludf.DUMMYFUNCTION("""COMPUTED_VALUE"""),9.0)</f>
        <v>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IFERROR(__xludf.DUMMYFUNCTION("""COMPUTED_VALUE"""),"OROPEZA")</f>
        <v>OROPEZA</v>
      </c>
      <c r="D29" s="54" t="str">
        <f>IFERROR(__xludf.DUMMYFUNCTION("""COMPUTED_VALUE"""),"REBECA JANELLE")</f>
        <v>REBECA JANELLE</v>
      </c>
      <c r="E29" s="55">
        <f>IFERROR(__xludf.DUMMYFUNCTION("""COMPUTED_VALUE"""),5.32857143)</f>
        <v>5.32857143</v>
      </c>
      <c r="F29" s="55">
        <f>IFERROR(__xludf.DUMMYFUNCTION("""COMPUTED_VALUE"""),2.0)</f>
        <v>2</v>
      </c>
      <c r="G29" s="56"/>
      <c r="H29" s="57">
        <f>IFERROR(__xludf.DUMMYFUNCTION("""COMPUTED_VALUE"""),7.32857143)</f>
        <v>7.32857143</v>
      </c>
      <c r="I29" s="58">
        <f>IFERROR(__xludf.DUMMYFUNCTION("""COMPUTED_VALUE"""),0.0)</f>
        <v>0</v>
      </c>
      <c r="J29" s="59">
        <f>IFERROR(__xludf.DUMMYFUNCTION("""COMPUTED_VALUE"""),7.0)</f>
        <v>7</v>
      </c>
      <c r="K29" s="51"/>
      <c r="L29" s="61">
        <f>IFERROR(__xludf.DUMMYFUNCTION("""COMPUTED_VALUE"""),7.0)</f>
        <v>7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IFERROR(__xludf.DUMMYFUNCTION("""COMPUTED_VALUE"""),"ELIZALDE")</f>
        <v>ELIZALDE</v>
      </c>
      <c r="C30" s="52" t="str">
        <f>IFERROR(__xludf.DUMMYFUNCTION("""COMPUTED_VALUE"""),"MOLINA")</f>
        <v>MOLINA</v>
      </c>
      <c r="D30" s="54" t="str">
        <f>IFERROR(__xludf.DUMMYFUNCTION("""COMPUTED_VALUE"""),"BARBARA SOFIA")</f>
        <v>BARBARA SOFIA</v>
      </c>
      <c r="E30" s="56">
        <f>IFERROR(__xludf.DUMMYFUNCTION("""COMPUTED_VALUE"""),6.68571429)</f>
        <v>6.68571429</v>
      </c>
      <c r="F30" s="55">
        <f>IFERROR(__xludf.DUMMYFUNCTION("""COMPUTED_VALUE"""),2.0)</f>
        <v>2</v>
      </c>
      <c r="G30" s="56">
        <f>IFERROR(__xludf.DUMMYFUNCTION("""COMPUTED_VALUE"""),1.0)</f>
        <v>1</v>
      </c>
      <c r="H30" s="57">
        <f>IFERROR(__xludf.DUMMYFUNCTION("""COMPUTED_VALUE"""),9.68571429)</f>
        <v>9.68571429</v>
      </c>
      <c r="I30" s="58">
        <f>IFERROR(__xludf.DUMMYFUNCTION("""COMPUTED_VALUE"""),1.0)</f>
        <v>1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IFERROR(__xludf.DUMMYFUNCTION("""COMPUTED_VALUE"""),"ENCINAS")</f>
        <v>ENCINAS</v>
      </c>
      <c r="C31" s="52" t="str">
        <f>IFERROR(__xludf.DUMMYFUNCTION("""COMPUTED_VALUE"""),"RODRIGUEZ")</f>
        <v>RODRIGUEZ</v>
      </c>
      <c r="D31" s="54" t="str">
        <f>IFERROR(__xludf.DUMMYFUNCTION("""COMPUTED_VALUE"""),"CESAR ROBERTO")</f>
        <v>CESAR ROBERTO</v>
      </c>
      <c r="E31" s="56">
        <f>IFERROR(__xludf.DUMMYFUNCTION("""COMPUTED_VALUE"""),7.2)</f>
        <v>7.2</v>
      </c>
      <c r="F31" s="55">
        <f>IFERROR(__xludf.DUMMYFUNCTION("""COMPUTED_VALUE"""),2.0)</f>
        <v>2</v>
      </c>
      <c r="G31" s="56"/>
      <c r="H31" s="57">
        <f>IFERROR(__xludf.DUMMYFUNCTION("""COMPUTED_VALUE"""),9.2)</f>
        <v>9.2</v>
      </c>
      <c r="I31" s="58">
        <f>IFERROR(__xludf.DUMMYFUNCTION("""COMPUTED_VALUE"""),1.0)</f>
        <v>1</v>
      </c>
      <c r="J31" s="59">
        <f>IFERROR(__xludf.DUMMYFUNCTION("""COMPUTED_VALUE"""),9.0)</f>
        <v>9</v>
      </c>
      <c r="K31" s="51"/>
      <c r="L31" s="61">
        <f>IFERROR(__xludf.DUMMYFUNCTION("""COMPUTED_VALUE"""),9.0)</f>
        <v>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IFERROR(__xludf.DUMMYFUNCTION("""COMPUTED_VALUE"""),"VARGAS")</f>
        <v>VARGAS</v>
      </c>
      <c r="D32" s="54" t="str">
        <f>IFERROR(__xludf.DUMMYFUNCTION("""COMPUTED_VALUE"""),"JESUS SANTIAGO")</f>
        <v>JESUS SANTIAGO</v>
      </c>
      <c r="E32" s="55">
        <f>IFERROR(__xludf.DUMMYFUNCTION("""COMPUTED_VALUE"""),4.61428571)</f>
        <v>4.61428571</v>
      </c>
      <c r="F32" s="55">
        <f>IFERROR(__xludf.DUMMYFUNCTION("""COMPUTED_VALUE"""),2.0)</f>
        <v>2</v>
      </c>
      <c r="G32" s="56"/>
      <c r="H32" s="57">
        <f>IFERROR(__xludf.DUMMYFUNCTION("""COMPUTED_VALUE"""),6.61428571)</f>
        <v>6.61428571</v>
      </c>
      <c r="I32" s="58">
        <f>IFERROR(__xludf.DUMMYFUNCTION("""COMPUTED_VALUE"""),0.0)</f>
        <v>0</v>
      </c>
      <c r="J32" s="59">
        <f>IFERROR(__xludf.DUMMYFUNCTION("""COMPUTED_VALUE"""),7.0)</f>
        <v>7</v>
      </c>
      <c r="K32" s="51"/>
      <c r="L32" s="61">
        <f>IFERROR(__xludf.DUMMYFUNCTION("""COMPUTED_VALUE"""),7.0)</f>
        <v>7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IFERROR(__xludf.DUMMYFUNCTION("""COMPUTED_VALUE"""),"FINKENTHAL")</f>
        <v>FINKENTHAL</v>
      </c>
      <c r="C33" s="52" t="str">
        <f>IFERROR(__xludf.DUMMYFUNCTION("""COMPUTED_VALUE"""),"RAMIREZ")</f>
        <v>RAMIREZ</v>
      </c>
      <c r="D33" s="54" t="str">
        <f>IFERROR(__xludf.DUMMYFUNCTION("""COMPUTED_VALUE"""),"ALENKA")</f>
        <v>ALENKA</v>
      </c>
      <c r="E33" s="55">
        <f>IFERROR(__xludf.DUMMYFUNCTION("""COMPUTED_VALUE"""),5.94285714)</f>
        <v>5.94285714</v>
      </c>
      <c r="F33" s="55">
        <f>IFERROR(__xludf.DUMMYFUNCTION("""COMPUTED_VALUE"""),2.0)</f>
        <v>2</v>
      </c>
      <c r="G33" s="56">
        <f>IFERROR(__xludf.DUMMYFUNCTION("""COMPUTED_VALUE"""),1.0)</f>
        <v>1</v>
      </c>
      <c r="H33" s="57">
        <f>IFERROR(__xludf.DUMMYFUNCTION("""COMPUTED_VALUE"""),8.942857140000001)</f>
        <v>8.94285714</v>
      </c>
      <c r="I33" s="58">
        <f>IFERROR(__xludf.DUMMYFUNCTION("""COMPUTED_VALUE"""),0.0)</f>
        <v>0</v>
      </c>
      <c r="J33" s="59">
        <f>IFERROR(__xludf.DUMMYFUNCTION("""COMPUTED_VALUE"""),9.0)</f>
        <v>9</v>
      </c>
      <c r="K33" s="51"/>
      <c r="L33" s="61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IFERROR(__xludf.DUMMYFUNCTION("""COMPUTED_VALUE"""),"FLORES")</f>
        <v>FLORES</v>
      </c>
      <c r="C34" s="52" t="str">
        <f>IFERROR(__xludf.DUMMYFUNCTION("""COMPUTED_VALUE"""),"PEREZ")</f>
        <v>PEREZ</v>
      </c>
      <c r="D34" s="54" t="str">
        <f>IFERROR(__xludf.DUMMYFUNCTION("""COMPUTED_VALUE"""),"ROBERTO")</f>
        <v>ROBERTO</v>
      </c>
      <c r="E34" s="56">
        <f>IFERROR(__xludf.DUMMYFUNCTION("""COMPUTED_VALUE"""),4.08571429)</f>
        <v>4.08571429</v>
      </c>
      <c r="F34" s="55">
        <f>IFERROR(__xludf.DUMMYFUNCTION("""COMPUTED_VALUE"""),2.0)</f>
        <v>2</v>
      </c>
      <c r="G34" s="56"/>
      <c r="H34" s="57">
        <f>IFERROR(__xludf.DUMMYFUNCTION("""COMPUTED_VALUE"""),6.08571429)</f>
        <v>6.08571429</v>
      </c>
      <c r="I34" s="58">
        <f>IFERROR(__xludf.DUMMYFUNCTION("""COMPUTED_VALUE"""),0.0)</f>
        <v>0</v>
      </c>
      <c r="J34" s="59">
        <f>IFERROR(__xludf.DUMMYFUNCTION("""COMPUTED_VALUE"""),6.0)</f>
        <v>6</v>
      </c>
      <c r="K34" s="51"/>
      <c r="L34" s="61">
        <f>IFERROR(__xludf.DUMMYFUNCTION("""COMPUTED_VALUE"""),6.0)</f>
        <v>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IFERROR(__xludf.DUMMYFUNCTION("""COMPUTED_VALUE"""),"FLORES")</f>
        <v>FLORES</v>
      </c>
      <c r="C35" s="52" t="str">
        <f>IFERROR(__xludf.DUMMYFUNCTION("""COMPUTED_VALUE"""),"RODRIGUEZ")</f>
        <v>RODRIGUEZ</v>
      </c>
      <c r="D35" s="54" t="str">
        <f>IFERROR(__xludf.DUMMYFUNCTION("""COMPUTED_VALUE"""),"FRANCISCO ISAAC")</f>
        <v>FRANCISCO ISAAC</v>
      </c>
      <c r="E35" s="55">
        <f>IFERROR(__xludf.DUMMYFUNCTION("""COMPUTED_VALUE"""),6.12857143)</f>
        <v>6.12857143</v>
      </c>
      <c r="F35" s="55">
        <f>IFERROR(__xludf.DUMMYFUNCTION("""COMPUTED_VALUE"""),2.0)</f>
        <v>2</v>
      </c>
      <c r="G35" s="56">
        <f>IFERROR(__xludf.DUMMYFUNCTION("""COMPUTED_VALUE"""),1.0)</f>
        <v>1</v>
      </c>
      <c r="H35" s="57">
        <f>IFERROR(__xludf.DUMMYFUNCTION("""COMPUTED_VALUE"""),9.128571430000001)</f>
        <v>9.12857143</v>
      </c>
      <c r="I35" s="58">
        <f>IFERROR(__xludf.DUMMYFUNCTION("""COMPUTED_VALUE"""),0.0)</f>
        <v>0</v>
      </c>
      <c r="J35" s="59">
        <f>IFERROR(__xludf.DUMMYFUNCTION("""COMPUTED_VALUE"""),9.0)</f>
        <v>9</v>
      </c>
      <c r="K35" s="51"/>
      <c r="L35" s="61">
        <f>IFERROR(__xludf.DUMMYFUNCTION("""COMPUTED_VALUE"""),9.0)</f>
        <v>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IFERROR(__xludf.DUMMYFUNCTION("""COMPUTED_VALUE"""),"GONZALEZ")</f>
        <v>GONZALEZ</v>
      </c>
      <c r="C36" s="52" t="str">
        <f>IFERROR(__xludf.DUMMYFUNCTION("""COMPUTED_VALUE"""),"GONZALEZ")</f>
        <v>GONZALEZ</v>
      </c>
      <c r="D36" s="54" t="str">
        <f>IFERROR(__xludf.DUMMYFUNCTION("""COMPUTED_VALUE"""),"ANGELA PAULINA")</f>
        <v>ANGELA PAULINA</v>
      </c>
      <c r="E36" s="55">
        <f>IFERROR(__xludf.DUMMYFUNCTION("""COMPUTED_VALUE"""),5.31428571)</f>
        <v>5.31428571</v>
      </c>
      <c r="F36" s="55">
        <f>IFERROR(__xludf.DUMMYFUNCTION("""COMPUTED_VALUE"""),2.0)</f>
        <v>2</v>
      </c>
      <c r="G36" s="56">
        <f>IFERROR(__xludf.DUMMYFUNCTION("""COMPUTED_VALUE"""),1.0)</f>
        <v>1</v>
      </c>
      <c r="H36" s="57">
        <f>IFERROR(__xludf.DUMMYFUNCTION("""COMPUTED_VALUE"""),8.31428571)</f>
        <v>8.31428571</v>
      </c>
      <c r="I36" s="58">
        <f>IFERROR(__xludf.DUMMYFUNCTION("""COMPUTED_VALUE"""),4.0)</f>
        <v>4</v>
      </c>
      <c r="J36" s="59">
        <f>IFERROR(__xludf.DUMMYFUNCTION("""COMPUTED_VALUE"""),8.0)</f>
        <v>8</v>
      </c>
      <c r="K36" s="51"/>
      <c r="L36" s="61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IFERROR(__xludf.DUMMYFUNCTION("""COMPUTED_VALUE"""),"GONZALEZ")</f>
        <v>GONZALEZ</v>
      </c>
      <c r="C37" s="52" t="str">
        <f>IFERROR(__xludf.DUMMYFUNCTION("""COMPUTED_VALUE"""),"TREJO")</f>
        <v>TREJO</v>
      </c>
      <c r="D37" s="54" t="str">
        <f>IFERROR(__xludf.DUMMYFUNCTION("""COMPUTED_VALUE"""),"LESLIE XIMENA")</f>
        <v>LESLIE XIMENA</v>
      </c>
      <c r="E37" s="56">
        <f>IFERROR(__xludf.DUMMYFUNCTION("""COMPUTED_VALUE"""),4.1)</f>
        <v>4.1</v>
      </c>
      <c r="F37" s="55">
        <f>IFERROR(__xludf.DUMMYFUNCTION("""COMPUTED_VALUE"""),2.0)</f>
        <v>2</v>
      </c>
      <c r="G37" s="56">
        <f>IFERROR(__xludf.DUMMYFUNCTION("""COMPUTED_VALUE"""),1.0)</f>
        <v>1</v>
      </c>
      <c r="H37" s="57">
        <f>IFERROR(__xludf.DUMMYFUNCTION("""COMPUTED_VALUE"""),7.1)</f>
        <v>7.1</v>
      </c>
      <c r="I37" s="58">
        <f>IFERROR(__xludf.DUMMYFUNCTION("""COMPUTED_VALUE"""),1.0)</f>
        <v>1</v>
      </c>
      <c r="J37" s="59">
        <f>IFERROR(__xludf.DUMMYFUNCTION("""COMPUTED_VALUE"""),7.0)</f>
        <v>7</v>
      </c>
      <c r="K37" s="51"/>
      <c r="L37" s="61">
        <f>IFERROR(__xludf.DUMMYFUNCTION("""COMPUTED_VALUE"""),7.0)</f>
        <v>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IFERROR(__xludf.DUMMYFUNCTION("""COMPUTED_VALUE"""),"HERNANDEZ")</f>
        <v>HERNANDEZ</v>
      </c>
      <c r="C38" s="52" t="str">
        <f>IFERROR(__xludf.DUMMYFUNCTION("""COMPUTED_VALUE"""),"GARCIA")</f>
        <v>GARCIA</v>
      </c>
      <c r="D38" s="54" t="str">
        <f>IFERROR(__xludf.DUMMYFUNCTION("""COMPUTED_VALUE"""),"EMILY")</f>
        <v>EMILY</v>
      </c>
      <c r="E38" s="55">
        <f>IFERROR(__xludf.DUMMYFUNCTION("""COMPUTED_VALUE"""),6.1)</f>
        <v>6.1</v>
      </c>
      <c r="F38" s="55">
        <f>IFERROR(__xludf.DUMMYFUNCTION("""COMPUTED_VALUE"""),2.0)</f>
        <v>2</v>
      </c>
      <c r="G38" s="56"/>
      <c r="H38" s="57">
        <f>IFERROR(__xludf.DUMMYFUNCTION("""COMPUTED_VALUE"""),8.1)</f>
        <v>8.1</v>
      </c>
      <c r="I38" s="58">
        <f>IFERROR(__xludf.DUMMYFUNCTION("""COMPUTED_VALUE"""),1.0)</f>
        <v>1</v>
      </c>
      <c r="J38" s="59">
        <f>IFERROR(__xludf.DUMMYFUNCTION("""COMPUTED_VALUE"""),8.0)</f>
        <v>8</v>
      </c>
      <c r="K38" s="51"/>
      <c r="L38" s="61">
        <f>IFERROR(__xludf.DUMMYFUNCTION("""COMPUTED_VALUE"""),8.0)</f>
        <v>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IFERROR(__xludf.DUMMYFUNCTION("""COMPUTED_VALUE"""),"HERNANDEZ")</f>
        <v>HERNANDEZ</v>
      </c>
      <c r="C39" s="52" t="str">
        <f>IFERROR(__xludf.DUMMYFUNCTION("""COMPUTED_VALUE"""),"GARCIA")</f>
        <v>GARCIA</v>
      </c>
      <c r="D39" s="54" t="str">
        <f>IFERROR(__xludf.DUMMYFUNCTION("""COMPUTED_VALUE"""),"SAMANTA")</f>
        <v>SAMANTA</v>
      </c>
      <c r="E39" s="55">
        <f>IFERROR(__xludf.DUMMYFUNCTION("""COMPUTED_VALUE"""),0.0)</f>
        <v>0</v>
      </c>
      <c r="F39" s="55">
        <f>IFERROR(__xludf.DUMMYFUNCTION("""COMPUTED_VALUE"""),2.0)</f>
        <v>2</v>
      </c>
      <c r="G39" s="56"/>
      <c r="H39" s="57">
        <f>IFERROR(__xludf.DUMMYFUNCTION("""COMPUTED_VALUE"""),2.0)</f>
        <v>2</v>
      </c>
      <c r="I39" s="58">
        <f>IFERROR(__xludf.DUMMYFUNCTION("""COMPUTED_VALUE"""),8.0)</f>
        <v>8</v>
      </c>
      <c r="J39" s="59">
        <f>IFERROR(__xludf.DUMMYFUNCTION("""COMPUTED_VALUE"""),5.0)</f>
        <v>5</v>
      </c>
      <c r="K39" s="51"/>
      <c r="L39" s="61">
        <f>IFERROR(__xludf.DUMMYFUNCTION("""COMPUTED_VALUE"""),2.0)</f>
        <v>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IFERROR(__xludf.DUMMYFUNCTION("""COMPUTED_VALUE"""),"HERRERA")</f>
        <v>HERRERA</v>
      </c>
      <c r="C40" s="52" t="str">
        <f>IFERROR(__xludf.DUMMYFUNCTION("""COMPUTED_VALUE"""),"JIMENEZ")</f>
        <v>JIMENEZ</v>
      </c>
      <c r="D40" s="54" t="str">
        <f>IFERROR(__xludf.DUMMYFUNCTION("""COMPUTED_VALUE"""),"JOSUE ABISAI")</f>
        <v>JOSUE ABISAI</v>
      </c>
      <c r="E40" s="55">
        <f>IFERROR(__xludf.DUMMYFUNCTION("""COMPUTED_VALUE"""),4.3)</f>
        <v>4.3</v>
      </c>
      <c r="F40" s="55">
        <f>IFERROR(__xludf.DUMMYFUNCTION("""COMPUTED_VALUE"""),2.0)</f>
        <v>2</v>
      </c>
      <c r="G40" s="56"/>
      <c r="H40" s="57">
        <f>IFERROR(__xludf.DUMMYFUNCTION("""COMPUTED_VALUE"""),6.3)</f>
        <v>6.3</v>
      </c>
      <c r="I40" s="58">
        <f>IFERROR(__xludf.DUMMYFUNCTION("""COMPUTED_VALUE"""),3.0)</f>
        <v>3</v>
      </c>
      <c r="J40" s="59">
        <f>IFERROR(__xludf.DUMMYFUNCTION("""COMPUTED_VALUE"""),6.0)</f>
        <v>6</v>
      </c>
      <c r="K40" s="51"/>
      <c r="L40" s="61">
        <f>IFERROR(__xludf.DUMMYFUNCTION("""COMPUTED_VALUE"""),6.0)</f>
        <v>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IFERROR(__xludf.DUMMYFUNCTION("""COMPUTED_VALUE"""),"HERNANDEZ")</f>
        <v>HERNANDEZ</v>
      </c>
      <c r="C41" s="52" t="str">
        <f>IFERROR(__xludf.DUMMYFUNCTION("""COMPUTED_VALUE"""),"PALLARES")</f>
        <v>PALLARES</v>
      </c>
      <c r="D41" s="54" t="str">
        <f>IFERROR(__xludf.DUMMYFUNCTION("""COMPUTED_VALUE"""),"IVAN")</f>
        <v>IVAN</v>
      </c>
      <c r="E41" s="55">
        <f>IFERROR(__xludf.DUMMYFUNCTION("""COMPUTED_VALUE"""),1.75714286)</f>
        <v>1.75714286</v>
      </c>
      <c r="F41" s="55">
        <f>IFERROR(__xludf.DUMMYFUNCTION("""COMPUTED_VALUE"""),2.0)</f>
        <v>2</v>
      </c>
      <c r="G41" s="56"/>
      <c r="H41" s="57">
        <f>IFERROR(__xludf.DUMMYFUNCTION("""COMPUTED_VALUE"""),3.75714286)</f>
        <v>3.75714286</v>
      </c>
      <c r="I41" s="58">
        <f>IFERROR(__xludf.DUMMYFUNCTION("""COMPUTED_VALUE"""),4.0)</f>
        <v>4</v>
      </c>
      <c r="J41" s="59">
        <f>IFERROR(__xludf.DUMMYFUNCTION("""COMPUTED_VALUE"""),5.0)</f>
        <v>5</v>
      </c>
      <c r="K41" s="51"/>
      <c r="L41" s="61">
        <f>IFERROR(__xludf.DUMMYFUNCTION("""COMPUTED_VALUE"""),3.0)</f>
        <v>3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IFERROR(__xludf.DUMMYFUNCTION("""COMPUTED_VALUE"""),"JIMENEZ")</f>
        <v>JIMENEZ</v>
      </c>
      <c r="C42" s="52" t="str">
        <f>IFERROR(__xludf.DUMMYFUNCTION("""COMPUTED_VALUE"""),"PACHUCA")</f>
        <v>PACHUCA</v>
      </c>
      <c r="D42" s="54" t="str">
        <f>IFERROR(__xludf.DUMMYFUNCTION("""COMPUTED_VALUE"""),"LUIS ANTONIO")</f>
        <v>LUIS ANTONIO</v>
      </c>
      <c r="E42" s="55">
        <f>IFERROR(__xludf.DUMMYFUNCTION("""COMPUTED_VALUE"""),6.68571429)</f>
        <v>6.68571429</v>
      </c>
      <c r="F42" s="55">
        <f>IFERROR(__xludf.DUMMYFUNCTION("""COMPUTED_VALUE"""),2.0)</f>
        <v>2</v>
      </c>
      <c r="G42" s="56"/>
      <c r="H42" s="57">
        <f>IFERROR(__xludf.DUMMYFUNCTION("""COMPUTED_VALUE"""),8.68571429)</f>
        <v>8.68571429</v>
      </c>
      <c r="I42" s="58">
        <f>IFERROR(__xludf.DUMMYFUNCTION("""COMPUTED_VALUE"""),1.0)</f>
        <v>1</v>
      </c>
      <c r="J42" s="59">
        <f>IFERROR(__xludf.DUMMYFUNCTION("""COMPUTED_VALUE"""),9.0)</f>
        <v>9</v>
      </c>
      <c r="K42" s="51"/>
      <c r="L42" s="61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IFERROR(__xludf.DUMMYFUNCTION("""COMPUTED_VALUE"""),"LEGORRETA")</f>
        <v>LEGORRETA</v>
      </c>
      <c r="C43" s="52" t="str">
        <f>IFERROR(__xludf.DUMMYFUNCTION("""COMPUTED_VALUE"""),"HERNANDEZ")</f>
        <v>HERNANDEZ</v>
      </c>
      <c r="D43" s="54" t="str">
        <f>IFERROR(__xludf.DUMMYFUNCTION("""COMPUTED_VALUE"""),"LILIANA")</f>
        <v>LILIANA</v>
      </c>
      <c r="E43" s="55">
        <f>IFERROR(__xludf.DUMMYFUNCTION("""COMPUTED_VALUE"""),4.18571429)</f>
        <v>4.18571429</v>
      </c>
      <c r="F43" s="55">
        <f>IFERROR(__xludf.DUMMYFUNCTION("""COMPUTED_VALUE"""),2.0)</f>
        <v>2</v>
      </c>
      <c r="G43" s="56">
        <f>IFERROR(__xludf.DUMMYFUNCTION("""COMPUTED_VALUE"""),1.0)</f>
        <v>1</v>
      </c>
      <c r="H43" s="57">
        <f>IFERROR(__xludf.DUMMYFUNCTION("""COMPUTED_VALUE"""),7.18571429)</f>
        <v>7.18571429</v>
      </c>
      <c r="I43" s="58">
        <f>IFERROR(__xludf.DUMMYFUNCTION("""COMPUTED_VALUE"""),4.0)</f>
        <v>4</v>
      </c>
      <c r="J43" s="59">
        <f>IFERROR(__xludf.DUMMYFUNCTION("""COMPUTED_VALUE"""),7.0)</f>
        <v>7</v>
      </c>
      <c r="K43" s="51"/>
      <c r="L43" s="61">
        <f>IFERROR(__xludf.DUMMYFUNCTION("""COMPUTED_VALUE"""),7.0)</f>
        <v>7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IFERROR(__xludf.DUMMYFUNCTION("""COMPUTED_VALUE"""),"LOPEZ")</f>
        <v>LOPEZ</v>
      </c>
      <c r="C44" s="52" t="str">
        <f>IFERROR(__xludf.DUMMYFUNCTION("""COMPUTED_VALUE"""),"HERNANDEZ")</f>
        <v>HERNANDEZ</v>
      </c>
      <c r="D44" s="54" t="str">
        <f>IFERROR(__xludf.DUMMYFUNCTION("""COMPUTED_VALUE"""),"KARINA")</f>
        <v>KARINA</v>
      </c>
      <c r="E44" s="55">
        <f>IFERROR(__xludf.DUMMYFUNCTION("""COMPUTED_VALUE"""),5.15714286)</f>
        <v>5.15714286</v>
      </c>
      <c r="F44" s="55">
        <f>IFERROR(__xludf.DUMMYFUNCTION("""COMPUTED_VALUE"""),2.0)</f>
        <v>2</v>
      </c>
      <c r="G44" s="56"/>
      <c r="H44" s="57">
        <f>IFERROR(__xludf.DUMMYFUNCTION("""COMPUTED_VALUE"""),7.15714286)</f>
        <v>7.15714286</v>
      </c>
      <c r="I44" s="58">
        <f>IFERROR(__xludf.DUMMYFUNCTION("""COMPUTED_VALUE"""),1.0)</f>
        <v>1</v>
      </c>
      <c r="J44" s="59">
        <f>IFERROR(__xludf.DUMMYFUNCTION("""COMPUTED_VALUE"""),7.0)</f>
        <v>7</v>
      </c>
      <c r="K44" s="51"/>
      <c r="L44" s="61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IFERROR(__xludf.DUMMYFUNCTION("""COMPUTED_VALUE"""),"LUGO")</f>
        <v>LUGO</v>
      </c>
      <c r="C45" s="52" t="str">
        <f>IFERROR(__xludf.DUMMYFUNCTION("""COMPUTED_VALUE"""),"SOLARES")</f>
        <v>SOLARES</v>
      </c>
      <c r="D45" s="54" t="str">
        <f>IFERROR(__xludf.DUMMYFUNCTION("""COMPUTED_VALUE"""),"YAIR EMILIANO")</f>
        <v>YAIR EMILIANO</v>
      </c>
      <c r="E45" s="55">
        <f>IFERROR(__xludf.DUMMYFUNCTION("""COMPUTED_VALUE"""),6.3)</f>
        <v>6.3</v>
      </c>
      <c r="F45" s="55">
        <f>IFERROR(__xludf.DUMMYFUNCTION("""COMPUTED_VALUE"""),2.0)</f>
        <v>2</v>
      </c>
      <c r="G45" s="56"/>
      <c r="H45" s="57">
        <f>IFERROR(__xludf.DUMMYFUNCTION("""COMPUTED_VALUE"""),8.3)</f>
        <v>8.3</v>
      </c>
      <c r="I45" s="58">
        <f>IFERROR(__xludf.DUMMYFUNCTION("""COMPUTED_VALUE"""),0.0)</f>
        <v>0</v>
      </c>
      <c r="J45" s="59">
        <f>IFERROR(__xludf.DUMMYFUNCTION("""COMPUTED_VALUE"""),8.0)</f>
        <v>8</v>
      </c>
      <c r="K45" s="51"/>
      <c r="L45" s="61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IFERROR(__xludf.DUMMYFUNCTION("""COMPUTED_VALUE"""),"LUNA")</f>
        <v>LUNA</v>
      </c>
      <c r="C46" s="52" t="str">
        <f>IFERROR(__xludf.DUMMYFUNCTION("""COMPUTED_VALUE"""),"FRANCISCO")</f>
        <v>FRANCISCO</v>
      </c>
      <c r="D46" s="54" t="str">
        <f>IFERROR(__xludf.DUMMYFUNCTION("""COMPUTED_VALUE"""),"SAMANTHA ITZEL")</f>
        <v>SAMANTHA ITZEL</v>
      </c>
      <c r="E46" s="55">
        <f>IFERROR(__xludf.DUMMYFUNCTION("""COMPUTED_VALUE"""),0.0)</f>
        <v>0</v>
      </c>
      <c r="F46" s="55">
        <f>IFERROR(__xludf.DUMMYFUNCTION("""COMPUTED_VALUE"""),2.0)</f>
        <v>2</v>
      </c>
      <c r="G46" s="56"/>
      <c r="H46" s="57">
        <f>IFERROR(__xludf.DUMMYFUNCTION("""COMPUTED_VALUE"""),2.0)</f>
        <v>2</v>
      </c>
      <c r="I46" s="58">
        <f>IFERROR(__xludf.DUMMYFUNCTION("""COMPUTED_VALUE"""),8.0)</f>
        <v>8</v>
      </c>
      <c r="J46" s="59">
        <f>IFERROR(__xludf.DUMMYFUNCTION("""COMPUTED_VALUE"""),5.0)</f>
        <v>5</v>
      </c>
      <c r="K46" s="51"/>
      <c r="L46" s="61">
        <f>IFERROR(__xludf.DUMMYFUNCTION("""COMPUTED_VALUE"""),2.0)</f>
        <v>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IFERROR(__xludf.DUMMYFUNCTION("""COMPUTED_VALUE"""),"MARENTES")</f>
        <v>MARENTES</v>
      </c>
      <c r="C47" s="62" t="str">
        <f>IFERROR(__xludf.DUMMYFUNCTION("""COMPUTED_VALUE"""),"ROBLES")</f>
        <v>ROBLES</v>
      </c>
      <c r="D47" s="63" t="str">
        <f>IFERROR(__xludf.DUMMYFUNCTION("""COMPUTED_VALUE"""),"LUZ NATALIA")</f>
        <v>LUZ NATALIA</v>
      </c>
      <c r="E47" s="55">
        <f>IFERROR(__xludf.DUMMYFUNCTION("""COMPUTED_VALUE"""),4.35714286)</f>
        <v>4.35714286</v>
      </c>
      <c r="F47" s="55">
        <f>IFERROR(__xludf.DUMMYFUNCTION("""COMPUTED_VALUE"""),2.0)</f>
        <v>2</v>
      </c>
      <c r="G47" s="56"/>
      <c r="H47" s="57">
        <f>IFERROR(__xludf.DUMMYFUNCTION("""COMPUTED_VALUE"""),6.35714286)</f>
        <v>6.35714286</v>
      </c>
      <c r="I47" s="58">
        <f>IFERROR(__xludf.DUMMYFUNCTION("""COMPUTED_VALUE"""),1.0)</f>
        <v>1</v>
      </c>
      <c r="J47" s="59">
        <f>IFERROR(__xludf.DUMMYFUNCTION("""COMPUTED_VALUE"""),6.0)</f>
        <v>6</v>
      </c>
      <c r="K47" s="51"/>
      <c r="L47" s="61">
        <f>IFERROR(__xludf.DUMMYFUNCTION("""COMPUTED_VALUE"""),6.0)</f>
        <v>6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IFERROR(__xludf.DUMMYFUNCTION("""COMPUTED_VALUE"""),"MARTINEZ")</f>
        <v>MARTINEZ</v>
      </c>
      <c r="C48" s="52" t="str">
        <f>IFERROR(__xludf.DUMMYFUNCTION("""COMPUTED_VALUE"""),"IBARRA")</f>
        <v>IBARRA</v>
      </c>
      <c r="D48" s="54" t="str">
        <f>IFERROR(__xludf.DUMMYFUNCTION("""COMPUTED_VALUE"""),"JOHAN ISAI")</f>
        <v>JOHAN ISAI</v>
      </c>
      <c r="E48" s="55">
        <f>IFERROR(__xludf.DUMMYFUNCTION("""COMPUTED_VALUE"""),4.14285714)</f>
        <v>4.14285714</v>
      </c>
      <c r="F48" s="55">
        <f>IFERROR(__xludf.DUMMYFUNCTION("""COMPUTED_VALUE"""),2.0)</f>
        <v>2</v>
      </c>
      <c r="G48" s="56"/>
      <c r="H48" s="57">
        <f>IFERROR(__xludf.DUMMYFUNCTION("""COMPUTED_VALUE"""),6.14285714)</f>
        <v>6.14285714</v>
      </c>
      <c r="I48" s="58">
        <f>IFERROR(__xludf.DUMMYFUNCTION("""COMPUTED_VALUE"""),4.0)</f>
        <v>4</v>
      </c>
      <c r="J48" s="59">
        <f>IFERROR(__xludf.DUMMYFUNCTION("""COMPUTED_VALUE"""),6.0)</f>
        <v>6</v>
      </c>
      <c r="K48" s="51"/>
      <c r="L48" s="61">
        <f>IFERROR(__xludf.DUMMYFUNCTION("""COMPUTED_VALUE"""),6.0)</f>
        <v>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IFERROR(__xludf.DUMMYFUNCTION("""COMPUTED_VALUE"""),"MARTINEZ")</f>
        <v>MARTINEZ</v>
      </c>
      <c r="C49" s="52" t="str">
        <f>IFERROR(__xludf.DUMMYFUNCTION("""COMPUTED_VALUE"""),"MANCILLA")</f>
        <v>MANCILLA</v>
      </c>
      <c r="D49" s="54" t="str">
        <f>IFERROR(__xludf.DUMMYFUNCTION("""COMPUTED_VALUE"""),"ZIT ZURIEL")</f>
        <v>ZIT ZURIEL</v>
      </c>
      <c r="E49" s="55">
        <f>IFERROR(__xludf.DUMMYFUNCTION("""COMPUTED_VALUE"""),2.6)</f>
        <v>2.6</v>
      </c>
      <c r="F49" s="55">
        <f>IFERROR(__xludf.DUMMYFUNCTION("""COMPUTED_VALUE"""),2.0)</f>
        <v>2</v>
      </c>
      <c r="G49" s="56"/>
      <c r="H49" s="57">
        <f>IFERROR(__xludf.DUMMYFUNCTION("""COMPUTED_VALUE"""),4.6)</f>
        <v>4.6</v>
      </c>
      <c r="I49" s="58">
        <f>IFERROR(__xludf.DUMMYFUNCTION("""COMPUTED_VALUE"""),5.0)</f>
        <v>5</v>
      </c>
      <c r="J49" s="59">
        <f>IFERROR(__xludf.DUMMYFUNCTION("""COMPUTED_VALUE"""),5.0)</f>
        <v>5</v>
      </c>
      <c r="K49" s="51"/>
      <c r="L49" s="61">
        <f>IFERROR(__xludf.DUMMYFUNCTION("""COMPUTED_VALUE"""),4.0)</f>
        <v>4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IFERROR(__xludf.DUMMYFUNCTION("""COMPUTED_VALUE"""),"MORALES")</f>
        <v>MORALES</v>
      </c>
      <c r="C50" s="52" t="str">
        <f>IFERROR(__xludf.DUMMYFUNCTION("""COMPUTED_VALUE"""),"LORANCA")</f>
        <v>LORANCA</v>
      </c>
      <c r="D50" s="54" t="str">
        <f>IFERROR(__xludf.DUMMYFUNCTION("""COMPUTED_VALUE"""),"MATIAS DANIEL")</f>
        <v>MATIAS DANIEL</v>
      </c>
      <c r="E50" s="55">
        <f>IFERROR(__xludf.DUMMYFUNCTION("""COMPUTED_VALUE"""),3.02857143)</f>
        <v>3.02857143</v>
      </c>
      <c r="F50" s="55">
        <f>IFERROR(__xludf.DUMMYFUNCTION("""COMPUTED_VALUE"""),2.0)</f>
        <v>2</v>
      </c>
      <c r="G50" s="56"/>
      <c r="H50" s="57">
        <f>IFERROR(__xludf.DUMMYFUNCTION("""COMPUTED_VALUE"""),5.0285714299999995)</f>
        <v>5.02857143</v>
      </c>
      <c r="I50" s="58">
        <f>IFERROR(__xludf.DUMMYFUNCTION("""COMPUTED_VALUE"""),4.0)</f>
        <v>4</v>
      </c>
      <c r="J50" s="59">
        <f>IFERROR(__xludf.DUMMYFUNCTION("""COMPUTED_VALUE"""),5.0)</f>
        <v>5</v>
      </c>
      <c r="K50" s="51"/>
      <c r="L50" s="61">
        <f>IFERROR(__xludf.DUMMYFUNCTION("""COMPUTED_VALUE"""),5.0)</f>
        <v>5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IFERROR(__xludf.DUMMYFUNCTION("""COMPUTED_VALUE"""),"MORALES")</f>
        <v>MORALES</v>
      </c>
      <c r="C51" s="52" t="str">
        <f>IFERROR(__xludf.DUMMYFUNCTION("""COMPUTED_VALUE"""),"PIÑON")</f>
        <v>PIÑON</v>
      </c>
      <c r="D51" s="54" t="str">
        <f>IFERROR(__xludf.DUMMYFUNCTION("""COMPUTED_VALUE"""),"NATALIA ABRIL")</f>
        <v>NATALIA ABRIL</v>
      </c>
      <c r="E51" s="55">
        <f>IFERROR(__xludf.DUMMYFUNCTION("""COMPUTED_VALUE"""),3.77142857)</f>
        <v>3.77142857</v>
      </c>
      <c r="F51" s="55">
        <f>IFERROR(__xludf.DUMMYFUNCTION("""COMPUTED_VALUE"""),2.0)</f>
        <v>2</v>
      </c>
      <c r="G51" s="56"/>
      <c r="H51" s="57">
        <f>IFERROR(__xludf.DUMMYFUNCTION("""COMPUTED_VALUE"""),5.771428569999999)</f>
        <v>5.77142857</v>
      </c>
      <c r="I51" s="58">
        <f>IFERROR(__xludf.DUMMYFUNCTION("""COMPUTED_VALUE"""),4.0)</f>
        <v>4</v>
      </c>
      <c r="J51" s="59">
        <f>IFERROR(__xludf.DUMMYFUNCTION("""COMPUTED_VALUE"""),5.0)</f>
        <v>5</v>
      </c>
      <c r="K51" s="51"/>
      <c r="L51" s="61">
        <f>IFERROR(__xludf.DUMMYFUNCTION("""COMPUTED_VALUE"""),5.0)</f>
        <v>5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IFERROR(__xludf.DUMMYFUNCTION("""COMPUTED_VALUE"""),"NAVARRO")</f>
        <v>NAVARRO</v>
      </c>
      <c r="C52" s="52" t="str">
        <f>IFERROR(__xludf.DUMMYFUNCTION("""COMPUTED_VALUE"""),"ROMO")</f>
        <v>ROMO</v>
      </c>
      <c r="D52" s="54" t="str">
        <f>IFERROR(__xludf.DUMMYFUNCTION("""COMPUTED_VALUE"""),"MARCO ARIEL")</f>
        <v>MARCO ARIEL</v>
      </c>
      <c r="E52" s="55">
        <f>IFERROR(__xludf.DUMMYFUNCTION("""COMPUTED_VALUE"""),6.08571429)</f>
        <v>6.08571429</v>
      </c>
      <c r="F52" s="55">
        <f>IFERROR(__xludf.DUMMYFUNCTION("""COMPUTED_VALUE"""),2.0)</f>
        <v>2</v>
      </c>
      <c r="G52" s="56"/>
      <c r="H52" s="57">
        <f>IFERROR(__xludf.DUMMYFUNCTION("""COMPUTED_VALUE"""),8.08571429)</f>
        <v>8.08571429</v>
      </c>
      <c r="I52" s="58">
        <f>IFERROR(__xludf.DUMMYFUNCTION("""COMPUTED_VALUE"""),0.0)</f>
        <v>0</v>
      </c>
      <c r="J52" s="59">
        <f>IFERROR(__xludf.DUMMYFUNCTION("""COMPUTED_VALUE"""),8.0)</f>
        <v>8</v>
      </c>
      <c r="K52" s="51"/>
      <c r="L52" s="60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IFERROR(__xludf.DUMMYFUNCTION("""COMPUTED_VALUE"""),"OLVERA")</f>
        <v>OLVERA</v>
      </c>
      <c r="C53" s="52" t="str">
        <f>IFERROR(__xludf.DUMMYFUNCTION("""COMPUTED_VALUE"""),"VALLE")</f>
        <v>VALLE</v>
      </c>
      <c r="D53" s="54" t="str">
        <f>IFERROR(__xludf.DUMMYFUNCTION("""COMPUTED_VALUE"""),"LAILA MELISA")</f>
        <v>LAILA MELISA</v>
      </c>
      <c r="E53" s="55">
        <f>IFERROR(__xludf.DUMMYFUNCTION("""COMPUTED_VALUE"""),0.0)</f>
        <v>0</v>
      </c>
      <c r="F53" s="55">
        <f>IFERROR(__xludf.DUMMYFUNCTION("""COMPUTED_VALUE"""),2.0)</f>
        <v>2</v>
      </c>
      <c r="G53" s="56">
        <f>IFERROR(__xludf.DUMMYFUNCTION("""COMPUTED_VALUE"""),1.0)</f>
        <v>1</v>
      </c>
      <c r="H53" s="57">
        <f>IFERROR(__xludf.DUMMYFUNCTION("""COMPUTED_VALUE"""),3.0)</f>
        <v>3</v>
      </c>
      <c r="I53" s="58">
        <f>IFERROR(__xludf.DUMMYFUNCTION("""COMPUTED_VALUE"""),8.0)</f>
        <v>8</v>
      </c>
      <c r="J53" s="59">
        <f>IFERROR(__xludf.DUMMYFUNCTION("""COMPUTED_VALUE"""),5.0)</f>
        <v>5</v>
      </c>
      <c r="K53" s="51"/>
      <c r="L53" s="60">
        <f>IFERROR(__xludf.DUMMYFUNCTION("""COMPUTED_VALUE"""),3.0)</f>
        <v>3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IFERROR(__xludf.DUMMYFUNCTION("""COMPUTED_VALUE"""),"ORTIZ")</f>
        <v>ORTIZ</v>
      </c>
      <c r="C54" s="52" t="str">
        <f>IFERROR(__xludf.DUMMYFUNCTION("""COMPUTED_VALUE"""),"CARRILLO")</f>
        <v>CARRILLO</v>
      </c>
      <c r="D54" s="54" t="str">
        <f>IFERROR(__xludf.DUMMYFUNCTION("""COMPUTED_VALUE"""),"DORIAN ELIAS")</f>
        <v>DORIAN ELIAS</v>
      </c>
      <c r="E54" s="55">
        <f>IFERROR(__xludf.DUMMYFUNCTION("""COMPUTED_VALUE"""),6.44285714)</f>
        <v>6.44285714</v>
      </c>
      <c r="F54" s="55">
        <f>IFERROR(__xludf.DUMMYFUNCTION("""COMPUTED_VALUE"""),2.0)</f>
        <v>2</v>
      </c>
      <c r="G54" s="56"/>
      <c r="H54" s="57">
        <f>IFERROR(__xludf.DUMMYFUNCTION("""COMPUTED_VALUE"""),8.442857140000001)</f>
        <v>8.44285714</v>
      </c>
      <c r="I54" s="58">
        <f>IFERROR(__xludf.DUMMYFUNCTION("""COMPUTED_VALUE"""),0.0)</f>
        <v>0</v>
      </c>
      <c r="J54" s="59">
        <f>IFERROR(__xludf.DUMMYFUNCTION("""COMPUTED_VALUE"""),8.0)</f>
        <v>8</v>
      </c>
      <c r="K54" s="51"/>
      <c r="L54" s="60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IFERROR(__xludf.DUMMYFUNCTION("""COMPUTED_VALUE"""),"PEREA")</f>
        <v>PEREA</v>
      </c>
      <c r="C55" s="52" t="str">
        <f>IFERROR(__xludf.DUMMYFUNCTION("""COMPUTED_VALUE"""),"SALDAÑA")</f>
        <v>SALDAÑA</v>
      </c>
      <c r="D55" s="54" t="str">
        <f>IFERROR(__xludf.DUMMYFUNCTION("""COMPUTED_VALUE"""),"ASTRA TAMARA")</f>
        <v>ASTRA TAMARA</v>
      </c>
      <c r="E55" s="55">
        <f>IFERROR(__xludf.DUMMYFUNCTION("""COMPUTED_VALUE"""),1.1)</f>
        <v>1.1</v>
      </c>
      <c r="F55" s="55">
        <f>IFERROR(__xludf.DUMMYFUNCTION("""COMPUTED_VALUE"""),2.0)</f>
        <v>2</v>
      </c>
      <c r="G55" s="56"/>
      <c r="H55" s="57">
        <f>IFERROR(__xludf.DUMMYFUNCTION("""COMPUTED_VALUE"""),3.1)</f>
        <v>3.1</v>
      </c>
      <c r="I55" s="64">
        <f>IFERROR(__xludf.DUMMYFUNCTION("""COMPUTED_VALUE"""),3.0)</f>
        <v>3</v>
      </c>
      <c r="J55" s="59">
        <f>IFERROR(__xludf.DUMMYFUNCTION("""COMPUTED_VALUE"""),5.0)</f>
        <v>5</v>
      </c>
      <c r="K55" s="51"/>
      <c r="L55" s="60">
        <f>IFERROR(__xludf.DUMMYFUNCTION("""COMPUTED_VALUE"""),3.0)</f>
        <v>3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IFERROR(__xludf.DUMMYFUNCTION("""COMPUTED_VALUE"""),"PEREZ")</f>
        <v>PEREZ</v>
      </c>
      <c r="C56" s="52" t="str">
        <f>IFERROR(__xludf.DUMMYFUNCTION("""COMPUTED_VALUE"""),"HERNANDEZ")</f>
        <v>HERNANDEZ</v>
      </c>
      <c r="D56" s="54" t="str">
        <f>IFERROR(__xludf.DUMMYFUNCTION("""COMPUTED_VALUE"""),"EDGAR ALEJANDRO")</f>
        <v>EDGAR ALEJANDRO</v>
      </c>
      <c r="E56" s="55">
        <f>IFERROR(__xludf.DUMMYFUNCTION("""COMPUTED_VALUE"""),4.81428571)</f>
        <v>4.81428571</v>
      </c>
      <c r="F56" s="55">
        <f>IFERROR(__xludf.DUMMYFUNCTION("""COMPUTED_VALUE"""),2.0)</f>
        <v>2</v>
      </c>
      <c r="G56" s="56"/>
      <c r="H56" s="57">
        <f>IFERROR(__xludf.DUMMYFUNCTION("""COMPUTED_VALUE"""),6.81428571)</f>
        <v>6.81428571</v>
      </c>
      <c r="I56" s="64">
        <f>IFERROR(__xludf.DUMMYFUNCTION("""COMPUTED_VALUE"""),1.0)</f>
        <v>1</v>
      </c>
      <c r="J56" s="59">
        <f>IFERROR(__xludf.DUMMYFUNCTION("""COMPUTED_VALUE"""),7.0)</f>
        <v>7</v>
      </c>
      <c r="K56" s="51"/>
      <c r="L56" s="60">
        <f>IFERROR(__xludf.DUMMYFUNCTION("""COMPUTED_VALUE"""),7.0)</f>
        <v>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IFERROR(__xludf.DUMMYFUNCTION("""COMPUTED_VALUE"""),"PLAZA")</f>
        <v>PLAZA</v>
      </c>
      <c r="C57" s="62" t="str">
        <f>IFERROR(__xludf.DUMMYFUNCTION("""COMPUTED_VALUE"""),"LARA")</f>
        <v>LARA</v>
      </c>
      <c r="D57" s="63" t="str">
        <f>IFERROR(__xludf.DUMMYFUNCTION("""COMPUTED_VALUE"""),"IAN ALDAIR")</f>
        <v>IAN ALDAIR</v>
      </c>
      <c r="E57" s="55">
        <f>IFERROR(__xludf.DUMMYFUNCTION("""COMPUTED_VALUE"""),4.97142857)</f>
        <v>4.97142857</v>
      </c>
      <c r="F57" s="55">
        <f>IFERROR(__xludf.DUMMYFUNCTION("""COMPUTED_VALUE"""),2.0)</f>
        <v>2</v>
      </c>
      <c r="G57" s="56"/>
      <c r="H57" s="57">
        <f>IFERROR(__xludf.DUMMYFUNCTION("""COMPUTED_VALUE"""),6.97142857)</f>
        <v>6.97142857</v>
      </c>
      <c r="I57" s="64">
        <f>IFERROR(__xludf.DUMMYFUNCTION("""COMPUTED_VALUE"""),1.0)</f>
        <v>1</v>
      </c>
      <c r="J57" s="59">
        <f>IFERROR(__xludf.DUMMYFUNCTION("""COMPUTED_VALUE"""),7.0)</f>
        <v>7</v>
      </c>
      <c r="K57" s="51"/>
      <c r="L57" s="60">
        <f>IFERROR(__xludf.DUMMYFUNCTION("""COMPUTED_VALUE"""),7.0)</f>
        <v>7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IFERROR(__xludf.DUMMYFUNCTION("""COMPUTED_VALUE"""),"RAMIREZ")</f>
        <v>RAMIREZ</v>
      </c>
      <c r="C58" s="52" t="str">
        <f>IFERROR(__xludf.DUMMYFUNCTION("""COMPUTED_VALUE"""),"DIAZ")</f>
        <v>DIAZ</v>
      </c>
      <c r="D58" s="54" t="str">
        <f>IFERROR(__xludf.DUMMYFUNCTION("""COMPUTED_VALUE"""),"OMEGA VALENTINA")</f>
        <v>OMEGA VALENTINA</v>
      </c>
      <c r="E58" s="55">
        <f>IFERROR(__xludf.DUMMYFUNCTION("""COMPUTED_VALUE"""),7.4)</f>
        <v>7.4</v>
      </c>
      <c r="F58" s="55">
        <f>IFERROR(__xludf.DUMMYFUNCTION("""COMPUTED_VALUE"""),2.0)</f>
        <v>2</v>
      </c>
      <c r="G58" s="56">
        <f>IFERROR(__xludf.DUMMYFUNCTION("""COMPUTED_VALUE"""),1.0)</f>
        <v>1</v>
      </c>
      <c r="H58" s="57">
        <f>IFERROR(__xludf.DUMMYFUNCTION("""COMPUTED_VALUE"""),10.4)</f>
        <v>10.4</v>
      </c>
      <c r="I58" s="64">
        <f>IFERROR(__xludf.DUMMYFUNCTION("""COMPUTED_VALUE"""),0.0)</f>
        <v>0</v>
      </c>
      <c r="J58" s="59">
        <f>IFERROR(__xludf.DUMMYFUNCTION("""COMPUTED_VALUE"""),10.0)</f>
        <v>10</v>
      </c>
      <c r="K58" s="51"/>
      <c r="L58" s="60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IFERROR(__xludf.DUMMYFUNCTION("""COMPUTED_VALUE"""),"RAMIREZ")</f>
        <v>RAMIREZ</v>
      </c>
      <c r="C59" s="62" t="str">
        <f>IFERROR(__xludf.DUMMYFUNCTION("""COMPUTED_VALUE"""),"TORRES")</f>
        <v>TORRES</v>
      </c>
      <c r="D59" s="63" t="str">
        <f>IFERROR(__xludf.DUMMYFUNCTION("""COMPUTED_VALUE"""),"PERCIVAL GABRIEL")</f>
        <v>PERCIVAL GABRIEL</v>
      </c>
      <c r="E59" s="55">
        <f>IFERROR(__xludf.DUMMYFUNCTION("""COMPUTED_VALUE"""),3.78571429)</f>
        <v>3.78571429</v>
      </c>
      <c r="F59" s="55">
        <f>IFERROR(__xludf.DUMMYFUNCTION("""COMPUTED_VALUE"""),2.0)</f>
        <v>2</v>
      </c>
      <c r="G59" s="56"/>
      <c r="H59" s="57">
        <f>IFERROR(__xludf.DUMMYFUNCTION("""COMPUTED_VALUE"""),5.78571429)</f>
        <v>5.78571429</v>
      </c>
      <c r="I59" s="64">
        <f>IFERROR(__xludf.DUMMYFUNCTION("""COMPUTED_VALUE"""),1.0)</f>
        <v>1</v>
      </c>
      <c r="J59" s="59">
        <f>IFERROR(__xludf.DUMMYFUNCTION("""COMPUTED_VALUE"""),5.0)</f>
        <v>5</v>
      </c>
      <c r="K59" s="51"/>
      <c r="L59" s="60">
        <f>IFERROR(__xludf.DUMMYFUNCTION("""COMPUTED_VALUE"""),5.0)</f>
        <v>5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IFERROR(__xludf.DUMMYFUNCTION("""COMPUTED_VALUE"""),"RANGEL")</f>
        <v>RANGEL</v>
      </c>
      <c r="C60" s="62" t="str">
        <f>IFERROR(__xludf.DUMMYFUNCTION("""COMPUTED_VALUE"""),"JIMENEZ")</f>
        <v>JIMENEZ</v>
      </c>
      <c r="D60" s="63" t="str">
        <f>IFERROR(__xludf.DUMMYFUNCTION("""COMPUTED_VALUE"""),"PAOLA ALEJANDRA")</f>
        <v>PAOLA ALEJANDRA</v>
      </c>
      <c r="E60" s="55">
        <f>IFERROR(__xludf.DUMMYFUNCTION("""COMPUTED_VALUE"""),6.8)</f>
        <v>6.8</v>
      </c>
      <c r="F60" s="55">
        <f>IFERROR(__xludf.DUMMYFUNCTION("""COMPUTED_VALUE"""),2.0)</f>
        <v>2</v>
      </c>
      <c r="G60" s="56">
        <f>IFERROR(__xludf.DUMMYFUNCTION("""COMPUTED_VALUE"""),1.0)</f>
        <v>1</v>
      </c>
      <c r="H60" s="57">
        <f>IFERROR(__xludf.DUMMYFUNCTION("""COMPUTED_VALUE"""),9.8)</f>
        <v>9.8</v>
      </c>
      <c r="I60" s="64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IFERROR(__xludf.DUMMYFUNCTION("""COMPUTED_VALUE"""),"RIVERA")</f>
        <v>RIVERA</v>
      </c>
      <c r="C61" s="62" t="str">
        <f>IFERROR(__xludf.DUMMYFUNCTION("""COMPUTED_VALUE"""),"GARCIA")</f>
        <v>GARCIA</v>
      </c>
      <c r="D61" s="63" t="str">
        <f>IFERROR(__xludf.DUMMYFUNCTION("""COMPUTED_VALUE"""),"ASTRID MICHELLE")</f>
        <v>ASTRID MICHELLE</v>
      </c>
      <c r="E61" s="55">
        <f>IFERROR(__xludf.DUMMYFUNCTION("""COMPUTED_VALUE"""),3.34285714)</f>
        <v>3.34285714</v>
      </c>
      <c r="F61" s="55">
        <f>IFERROR(__xludf.DUMMYFUNCTION("""COMPUTED_VALUE"""),2.0)</f>
        <v>2</v>
      </c>
      <c r="G61" s="56"/>
      <c r="H61" s="57">
        <f>IFERROR(__xludf.DUMMYFUNCTION("""COMPUTED_VALUE"""),5.34285714)</f>
        <v>5.34285714</v>
      </c>
      <c r="I61" s="64">
        <f>IFERROR(__xludf.DUMMYFUNCTION("""COMPUTED_VALUE"""),6.0)</f>
        <v>6</v>
      </c>
      <c r="J61" s="59">
        <f>IFERROR(__xludf.DUMMYFUNCTION("""COMPUTED_VALUE"""),5.0)</f>
        <v>5</v>
      </c>
      <c r="K61" s="51"/>
      <c r="L61" s="60">
        <f>IFERROR(__xludf.DUMMYFUNCTION("""COMPUTED_VALUE"""),5.0)</f>
        <v>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IFERROR(__xludf.DUMMYFUNCTION("""COMPUTED_VALUE"""),"RODRIGUEZ")</f>
        <v>RODRIGUEZ</v>
      </c>
      <c r="C62" s="62" t="str">
        <f>IFERROR(__xludf.DUMMYFUNCTION("""COMPUTED_VALUE"""),"CAMACHO")</f>
        <v>CAMACHO</v>
      </c>
      <c r="D62" s="63" t="str">
        <f>IFERROR(__xludf.DUMMYFUNCTION("""COMPUTED_VALUE"""),"ENRIQUE SALVADOR")</f>
        <v>ENRIQUE SALVADOR</v>
      </c>
      <c r="E62" s="55">
        <f>IFERROR(__xludf.DUMMYFUNCTION("""COMPUTED_VALUE"""),3.42857143)</f>
        <v>3.42857143</v>
      </c>
      <c r="F62" s="55">
        <f>IFERROR(__xludf.DUMMYFUNCTION("""COMPUTED_VALUE"""),2.0)</f>
        <v>2</v>
      </c>
      <c r="G62" s="56"/>
      <c r="H62" s="57">
        <f>IFERROR(__xludf.DUMMYFUNCTION("""COMPUTED_VALUE"""),5.42857143)</f>
        <v>5.42857143</v>
      </c>
      <c r="I62" s="64">
        <f>IFERROR(__xludf.DUMMYFUNCTION("""COMPUTED_VALUE"""),3.0)</f>
        <v>3</v>
      </c>
      <c r="J62" s="59">
        <f>IFERROR(__xludf.DUMMYFUNCTION("""COMPUTED_VALUE"""),5.0)</f>
        <v>5</v>
      </c>
      <c r="K62" s="51"/>
      <c r="L62" s="60">
        <f>IFERROR(__xludf.DUMMYFUNCTION("""COMPUTED_VALUE"""),5.0)</f>
        <v>5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IFERROR(__xludf.DUMMYFUNCTION("""COMPUTED_VALUE"""),"RODRIGUEZ")</f>
        <v>RODRIGUEZ</v>
      </c>
      <c r="C63" s="62" t="str">
        <f>IFERROR(__xludf.DUMMYFUNCTION("""COMPUTED_VALUE"""),"ROSAS")</f>
        <v>ROSAS</v>
      </c>
      <c r="D63" s="63" t="str">
        <f>IFERROR(__xludf.DUMMYFUNCTION("""COMPUTED_VALUE"""),"QUETZALI")</f>
        <v>QUETZALI</v>
      </c>
      <c r="E63" s="55">
        <f>IFERROR(__xludf.DUMMYFUNCTION("""COMPUTED_VALUE"""),6.84285714)</f>
        <v>6.84285714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IFERROR(__xludf.DUMMYFUNCTION("""COMPUTED_VALUE"""),9.84285714)</f>
        <v>9.84285714</v>
      </c>
      <c r="I63" s="64">
        <f>IFERROR(__xludf.DUMMYFUNCTION("""COMPUTED_VALUE"""),0.0)</f>
        <v>0</v>
      </c>
      <c r="J63" s="59">
        <f>IFERROR(__xludf.DUMMYFUNCTION("""COMPUTED_VALUE"""),10.0)</f>
        <v>10</v>
      </c>
      <c r="K63" s="51"/>
      <c r="L63" s="60">
        <f>IFERROR(__xludf.DUMMYFUNCTION("""COMPUTED_VALUE"""),10.0)</f>
        <v>10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IFERROR(__xludf.DUMMYFUNCTION("""COMPUTED_VALUE"""),"SANCHEZ")</f>
        <v>SANCHEZ</v>
      </c>
      <c r="C64" s="62" t="str">
        <f>IFERROR(__xludf.DUMMYFUNCTION("""COMPUTED_VALUE"""),"BERMUDEZ")</f>
        <v>BERMUDEZ</v>
      </c>
      <c r="D64" s="63" t="str">
        <f>IFERROR(__xludf.DUMMYFUNCTION("""COMPUTED_VALUE"""),"JORGE")</f>
        <v>JORGE</v>
      </c>
      <c r="E64" s="55">
        <f>IFERROR(__xludf.DUMMYFUNCTION("""COMPUTED_VALUE"""),5.7)</f>
        <v>5.7</v>
      </c>
      <c r="F64" s="55">
        <f>IFERROR(__xludf.DUMMYFUNCTION("""COMPUTED_VALUE"""),2.0)</f>
        <v>2</v>
      </c>
      <c r="G64" s="56"/>
      <c r="H64" s="57">
        <f>IFERROR(__xludf.DUMMYFUNCTION("""COMPUTED_VALUE"""),7.7)</f>
        <v>7.7</v>
      </c>
      <c r="I64" s="64">
        <f>IFERROR(__xludf.DUMMYFUNCTION("""COMPUTED_VALUE"""),2.0)</f>
        <v>2</v>
      </c>
      <c r="J64" s="59">
        <f>IFERROR(__xludf.DUMMYFUNCTION("""COMPUTED_VALUE"""),8.0)</f>
        <v>8</v>
      </c>
      <c r="K64" s="51"/>
      <c r="L64" s="60">
        <f>IFERROR(__xludf.DUMMYFUNCTION("""COMPUTED_VALUE"""),8.0)</f>
        <v>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IFERROR(__xludf.DUMMYFUNCTION("""COMPUTED_VALUE"""),"VELAZQUEZ")</f>
        <v>VELAZQUEZ</v>
      </c>
      <c r="D65" s="63" t="str">
        <f>IFERROR(__xludf.DUMMYFUNCTION("""COMPUTED_VALUE"""),"RENATA VICTORIA")</f>
        <v>RENATA VICTORIA</v>
      </c>
      <c r="E65" s="55">
        <f>IFERROR(__xludf.DUMMYFUNCTION("""COMPUTED_VALUE"""),4.2)</f>
        <v>4.2</v>
      </c>
      <c r="F65" s="55">
        <f>IFERROR(__xludf.DUMMYFUNCTION("""COMPUTED_VALUE"""),2.0)</f>
        <v>2</v>
      </c>
      <c r="G65" s="56"/>
      <c r="H65" s="57">
        <f>IFERROR(__xludf.DUMMYFUNCTION("""COMPUTED_VALUE"""),6.2)</f>
        <v>6.2</v>
      </c>
      <c r="I65" s="55">
        <f>IFERROR(__xludf.DUMMYFUNCTION("""COMPUTED_VALUE"""),1.0)</f>
        <v>1</v>
      </c>
      <c r="J65" s="59">
        <f>IFERROR(__xludf.DUMMYFUNCTION("""COMPUTED_VALUE"""),6.0)</f>
        <v>6</v>
      </c>
      <c r="K65" s="51"/>
      <c r="L65" s="60">
        <f>IFERROR(__xludf.DUMMYFUNCTION("""COMPUTED_VALUE"""),6.0)</f>
        <v>6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IFERROR(__xludf.DUMMYFUNCTION("""COMPUTED_VALUE"""),"TREJO")</f>
        <v>TREJO</v>
      </c>
      <c r="C66" s="62" t="str">
        <f>IFERROR(__xludf.DUMMYFUNCTION("""COMPUTED_VALUE"""),"PERAL")</f>
        <v>PERAL</v>
      </c>
      <c r="D66" s="63" t="str">
        <f>IFERROR(__xludf.DUMMYFUNCTION("""COMPUTED_VALUE"""),"AIKO REGINA")</f>
        <v>AIKO REGINA</v>
      </c>
      <c r="E66" s="55">
        <f>IFERROR(__xludf.DUMMYFUNCTION("""COMPUTED_VALUE"""),4.74285714)</f>
        <v>4.74285714</v>
      </c>
      <c r="F66" s="55">
        <f>IFERROR(__xludf.DUMMYFUNCTION("""COMPUTED_VALUE"""),2.0)</f>
        <v>2</v>
      </c>
      <c r="G66" s="56"/>
      <c r="H66" s="57">
        <f>IFERROR(__xludf.DUMMYFUNCTION("""COMPUTED_VALUE"""),6.74285714)</f>
        <v>6.74285714</v>
      </c>
      <c r="I66" s="55">
        <f>IFERROR(__xludf.DUMMYFUNCTION("""COMPUTED_VALUE"""),2.0)</f>
        <v>2</v>
      </c>
      <c r="J66" s="59">
        <f>IFERROR(__xludf.DUMMYFUNCTION("""COMPUTED_VALUE"""),7.0)</f>
        <v>7</v>
      </c>
      <c r="K66" s="51"/>
      <c r="L66" s="60">
        <f>IFERROR(__xludf.DUMMYFUNCTION("""COMPUTED_VALUE"""),7.0)</f>
        <v>7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IFERROR(__xludf.DUMMYFUNCTION("""COMPUTED_VALUE"""),"TREJO")</f>
        <v>TREJO</v>
      </c>
      <c r="C67" s="62" t="str">
        <f>IFERROR(__xludf.DUMMYFUNCTION("""COMPUTED_VALUE"""),"PEREZ")</f>
        <v>PEREZ</v>
      </c>
      <c r="D67" s="63" t="str">
        <f>IFERROR(__xludf.DUMMYFUNCTION("""COMPUTED_VALUE"""),"ANGEL SANTIAGO")</f>
        <v>ANGEL SANTIAGO</v>
      </c>
      <c r="E67" s="55">
        <f>IFERROR(__xludf.DUMMYFUNCTION("""COMPUTED_VALUE"""),5.21428571)</f>
        <v>5.21428571</v>
      </c>
      <c r="F67" s="55">
        <f>IFERROR(__xludf.DUMMYFUNCTION("""COMPUTED_VALUE"""),2.0)</f>
        <v>2</v>
      </c>
      <c r="G67" s="56">
        <f>IFERROR(__xludf.DUMMYFUNCTION("""COMPUTED_VALUE"""),1.0)</f>
        <v>1</v>
      </c>
      <c r="H67" s="57">
        <f>IFERROR(__xludf.DUMMYFUNCTION("""COMPUTED_VALUE"""),8.21428571)</f>
        <v>8.21428571</v>
      </c>
      <c r="I67" s="64">
        <f>IFERROR(__xludf.DUMMYFUNCTION("""COMPUTED_VALUE"""),2.0)</f>
        <v>2</v>
      </c>
      <c r="J67" s="59">
        <f>IFERROR(__xludf.DUMMYFUNCTION("""COMPUTED_VALUE"""),8.0)</f>
        <v>8</v>
      </c>
      <c r="K67" s="51"/>
      <c r="L67" s="60">
        <f>IFERROR(__xludf.DUMMYFUNCTION("""COMPUTED_VALUE"""),8.0)</f>
        <v>8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IFERROR(__xludf.DUMMYFUNCTION("""COMPUTED_VALUE"""),"VAZQUEZ")</f>
        <v>VAZQUEZ</v>
      </c>
      <c r="C68" s="62" t="str">
        <f>IFERROR(__xludf.DUMMYFUNCTION("""COMPUTED_VALUE"""),"FABILA")</f>
        <v>FABILA</v>
      </c>
      <c r="D68" s="66" t="str">
        <f>IFERROR(__xludf.DUMMYFUNCTION("""COMPUTED_VALUE"""),"LUZ MARIANA")</f>
        <v>LUZ MARIANA</v>
      </c>
      <c r="E68" s="55">
        <f>IFERROR(__xludf.DUMMYFUNCTION("""COMPUTED_VALUE"""),4.75714286)</f>
        <v>4.75714286</v>
      </c>
      <c r="F68" s="55">
        <f>IFERROR(__xludf.DUMMYFUNCTION("""COMPUTED_VALUE"""),2.0)</f>
        <v>2</v>
      </c>
      <c r="G68" s="56"/>
      <c r="H68" s="57">
        <f>IFERROR(__xludf.DUMMYFUNCTION("""COMPUTED_VALUE"""),6.75714286)</f>
        <v>6.75714286</v>
      </c>
      <c r="I68" s="64">
        <f>IFERROR(__xludf.DUMMYFUNCTION("""COMPUTED_VALUE"""),4.0)</f>
        <v>4</v>
      </c>
      <c r="J68" s="59">
        <f>IFERROR(__xludf.DUMMYFUNCTION("""COMPUTED_VALUE"""),7.0)</f>
        <v>7</v>
      </c>
      <c r="K68" s="51"/>
      <c r="L68" s="60">
        <f>IFERROR(__xludf.DUMMYFUNCTION("""COMPUTED_VALUE"""),7.0)</f>
        <v>7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IFERROR(__xludf.DUMMYFUNCTION("""COMPUTED_VALUE"""),"VILLEGAS")</f>
        <v>VILLEGAS</v>
      </c>
      <c r="C69" s="62" t="str">
        <f>IFERROR(__xludf.DUMMYFUNCTION("""COMPUTED_VALUE"""),"SANCHEZ")</f>
        <v>SANCHEZ</v>
      </c>
      <c r="D69" s="66" t="str">
        <f>IFERROR(__xludf.DUMMYFUNCTION("""COMPUTED_VALUE"""),"FATIMA ANAHI")</f>
        <v>FATIMA ANAHI</v>
      </c>
      <c r="E69" s="55">
        <f>IFERROR(__xludf.DUMMYFUNCTION("""COMPUTED_VALUE"""),5.1)</f>
        <v>5.1</v>
      </c>
      <c r="F69" s="55">
        <f>IFERROR(__xludf.DUMMYFUNCTION("""COMPUTED_VALUE"""),2.0)</f>
        <v>2</v>
      </c>
      <c r="G69" s="56"/>
      <c r="H69" s="57">
        <f>IFERROR(__xludf.DUMMYFUNCTION("""COMPUTED_VALUE"""),7.1)</f>
        <v>7.1</v>
      </c>
      <c r="I69" s="64">
        <f>IFERROR(__xludf.DUMMYFUNCTION("""COMPUTED_VALUE"""),1.0)</f>
        <v>1</v>
      </c>
      <c r="J69" s="59">
        <f>IFERROR(__xludf.DUMMYFUNCTION("""COMPUTED_VALUE"""),7.0)</f>
        <v>7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IFERROR(__xludf.DUMMYFUNCTION("""COMPUTED_VALUE"""),"ZAMORA")</f>
        <v>ZAMORA</v>
      </c>
      <c r="C70" s="62" t="str">
        <f>IFERROR(__xludf.DUMMYFUNCTION("""COMPUTED_VALUE"""),"REYES")</f>
        <v>REYES</v>
      </c>
      <c r="D70" s="67" t="str">
        <f>IFERROR(__xludf.DUMMYFUNCTION("""COMPUTED_VALUE"""),"SANTIAGO")</f>
        <v>SANTIAGO</v>
      </c>
      <c r="E70" s="55">
        <f>IFERROR(__xludf.DUMMYFUNCTION("""COMPUTED_VALUE"""),2.82857143)</f>
        <v>2.82857143</v>
      </c>
      <c r="F70" s="55">
        <f>IFERROR(__xludf.DUMMYFUNCTION("""COMPUTED_VALUE"""),2.0)</f>
        <v>2</v>
      </c>
      <c r="G70" s="56"/>
      <c r="H70" s="57">
        <f>IFERROR(__xludf.DUMMYFUNCTION("""COMPUTED_VALUE"""),4.82857143)</f>
        <v>4.82857143</v>
      </c>
      <c r="I70" s="55">
        <f>IFERROR(__xludf.DUMMYFUNCTION("""COMPUTED_VALUE"""),2.0)</f>
        <v>2</v>
      </c>
      <c r="J70" s="59">
        <f>IFERROR(__xludf.DUMMYFUNCTION("""COMPUTED_VALUE"""),5.0)</f>
        <v>5</v>
      </c>
      <c r="K70" s="51"/>
      <c r="L70" s="6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6"/>
      <c r="B71" s="69"/>
      <c r="C71" s="69"/>
      <c r="D71" s="69"/>
      <c r="E71" s="70"/>
      <c r="F71" s="69"/>
      <c r="G71" s="69"/>
      <c r="H71" s="69"/>
      <c r="I71" s="69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71"/>
      <c r="B72" s="72" t="str">
        <f>IFERROR(__xludf.DUMMYFUNCTION("""COMPUTED_VALUE"""),"No. DE ALUMNOS INSCRITOS")</f>
        <v>No. DE ALUMNOS INSCRITOS</v>
      </c>
      <c r="C72" s="73"/>
      <c r="D72" s="74">
        <f>IFERROR(__xludf.DUMMYFUNCTION("""COMPUTED_VALUE"""),54.0)</f>
        <v>54</v>
      </c>
      <c r="E72" s="69"/>
      <c r="F72" s="75" t="str">
        <f>IFERROR(__xludf.DUMMYFUNCTION("""COMPUTED_VALUE"""),"FIRMA DEL PROFESOR")</f>
        <v>FIRMA DEL PROFESOR</v>
      </c>
      <c r="G72" s="75"/>
      <c r="H72" s="75" t="str">
        <f>IFERROR(__xludf.DUMMYFUNCTION("""COMPUTED_VALUE"""),"FIRMA DEL ORIENTADOR")</f>
        <v>FIRMA DEL ORIENTADOR</v>
      </c>
      <c r="J72" s="76" t="str">
        <f>IFERROR(__xludf.DUMMYFUNCTION("""COMPUTED_VALUE"""),"Vo. Bo. SUBDIRECCIÓN ESCOLAR")</f>
        <v>Vo. Bo. SUBDIRECCIÓN ESCOLAR</v>
      </c>
      <c r="K72" s="77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78" t="str">
        <f>IFERROR(__xludf.DUMMYFUNCTION("""COMPUTED_VALUE"""),"BAJAS DURANTE EL SEMESTRE")</f>
        <v>BAJAS DURANTE EL SEMESTRE</v>
      </c>
      <c r="C73" s="79"/>
      <c r="D73" s="114">
        <f>IFERROR(__xludf.DUMMYFUNCTION("""COMPUTED_VALUE"""),0.0)</f>
        <v>0</v>
      </c>
      <c r="E73" s="69"/>
      <c r="G73" s="75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1"/>
      <c r="B74" s="78" t="str">
        <f>IFERROR(__xludf.DUMMYFUNCTION("""COMPUTED_VALUE"""),"EXISTENCIA")</f>
        <v>EXISTENCIA</v>
      </c>
      <c r="C74" s="79"/>
      <c r="D74" s="81">
        <f>IFERROR(__xludf.DUMMYFUNCTION("""COMPUTED_VALUE"""),54.0)</f>
        <v>54</v>
      </c>
      <c r="E74" s="69"/>
      <c r="F74" s="82"/>
      <c r="G74" s="83"/>
      <c r="H74" s="82"/>
      <c r="I74" s="82"/>
      <c r="J74" s="84"/>
      <c r="K74" s="8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1"/>
      <c r="B75" s="78" t="str">
        <f>IFERROR(__xludf.DUMMYFUNCTION("""COMPUTED_VALUE"""),"No. DE ALUMNOS APROBADOS")</f>
        <v>No. DE ALUMNOS APROBADOS</v>
      </c>
      <c r="C75" s="79"/>
      <c r="D75" s="81">
        <f>IFERROR(__xludf.DUMMYFUNCTION("""COMPUTED_VALUE"""),38.0)</f>
        <v>38</v>
      </c>
      <c r="E75" s="69"/>
      <c r="F75" s="82"/>
      <c r="G75" s="83"/>
      <c r="H75" s="82"/>
      <c r="I75" s="82"/>
      <c r="J75" s="84"/>
      <c r="K75" s="8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1"/>
      <c r="B76" s="78" t="str">
        <f>IFERROR(__xludf.DUMMYFUNCTION("""COMPUTED_VALUE"""),"No. DE ALUMNOS REPROBADOS")</f>
        <v>No. DE ALUMNOS REPROBADOS</v>
      </c>
      <c r="C76" s="79"/>
      <c r="D76" s="81">
        <f>IFERROR(__xludf.DUMMYFUNCTION("""COMPUTED_VALUE"""),16.0)</f>
        <v>16</v>
      </c>
      <c r="E76" s="69"/>
      <c r="F76" s="86"/>
      <c r="G76" s="83"/>
      <c r="H76" s="86"/>
      <c r="I76" s="86"/>
      <c r="J76" s="87"/>
      <c r="K76" s="8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1"/>
      <c r="B77" s="78" t="str">
        <f>IFERROR(__xludf.DUMMYFUNCTION("""COMPUTED_VALUE"""),"% DE APROBADOS")</f>
        <v>% DE APROBADOS</v>
      </c>
      <c r="C77" s="79"/>
      <c r="D77" s="89">
        <f>IFERROR(__xludf.DUMMYFUNCTION("""COMPUTED_VALUE"""),70.37037037037037)</f>
        <v>70.37037037</v>
      </c>
      <c r="E77" s="69"/>
      <c r="F77" s="90" t="str">
        <f>IFERROR(__xludf.DUMMYFUNCTION("""COMPUTED_VALUE"""),"PROFR. ")</f>
        <v>PROFR. </v>
      </c>
      <c r="G77" s="91"/>
      <c r="H77" s="92" t="str">
        <f>IFERROR(__xludf.DUMMYFUNCTION("""COMPUTED_VALUE"""),"PROFR. JOSÉ EDGAR SALAZAR ZÚÑIGA")</f>
        <v>PROFR. JOSÉ EDGAR SALAZAR ZÚÑIGA</v>
      </c>
      <c r="J77" s="93" t="str">
        <f>IFERROR(__xludf.DUMMYFUNCTION("""COMPUTED_VALUE"""),"PROFR. OCTAVIO VÁZQUEZ BARRETO")</f>
        <v>PROFR. OCTAVIO VÁZQUEZ BARRETO</v>
      </c>
      <c r="K77" s="94" t="str">
        <f>IFERROR(__xludf.DUMMYFUNCTION("""COMPUTED_VALUE"""),"PROFR. ROBERTO PALOMARES MEJÍA ")</f>
        <v>PROFR. ROBERTO PALOMARES MEJÍA </v>
      </c>
      <c r="L77" s="9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71"/>
      <c r="B78" s="96" t="str">
        <f>IFERROR(__xludf.DUMMYFUNCTION("""COMPUTED_VALUE"""),"PROMEDIO")</f>
        <v>PROMEDIO</v>
      </c>
      <c r="C78" s="97"/>
      <c r="D78" s="98">
        <f>IFERROR(__xludf.DUMMYFUNCTION("""COMPUTED_VALUE"""),6.907407407407407)</f>
        <v>6.907407407</v>
      </c>
      <c r="E78" s="69"/>
      <c r="G78" s="91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99"/>
      <c r="B80" s="100"/>
      <c r="C80" s="101"/>
      <c r="D80" s="101"/>
      <c r="E80" s="69"/>
      <c r="G80" s="7"/>
      <c r="H80" s="7"/>
      <c r="I80" s="7"/>
      <c r="J80" s="7"/>
      <c r="K80" s="102"/>
      <c r="L80" s="10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4"/>
      <c r="B81" s="69"/>
      <c r="C81" s="69"/>
      <c r="D81" s="69"/>
      <c r="E81" s="7"/>
      <c r="F81" s="1"/>
      <c r="G81" s="1"/>
      <c r="H81" s="1"/>
      <c r="I81" s="1"/>
      <c r="J81" s="1"/>
      <c r="K81" s="8"/>
      <c r="L81" s="10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4"/>
      <c r="B82" s="69"/>
      <c r="C82" s="69"/>
      <c r="D82" s="69"/>
      <c r="E82" s="7"/>
      <c r="F82" s="1"/>
      <c r="G82" s="1"/>
      <c r="H82" s="1"/>
      <c r="I82" s="1"/>
      <c r="J82" s="1"/>
      <c r="K82" s="8"/>
      <c r="L82" s="10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6"/>
      <c r="B83" s="107"/>
      <c r="C83" s="107"/>
      <c r="D83" s="107"/>
      <c r="E83" s="108"/>
      <c r="F83" s="109"/>
      <c r="G83" s="109"/>
      <c r="H83" s="109"/>
      <c r="I83" s="109"/>
      <c r="J83" s="109"/>
      <c r="K83" s="110"/>
      <c r="L83" s="10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12"/>
      <c r="K84" s="112"/>
      <c r="L84" s="11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12"/>
      <c r="K85" s="112"/>
      <c r="L85" s="11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12"/>
      <c r="K86" s="112"/>
      <c r="L86" s="11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12"/>
      <c r="K87" s="112"/>
      <c r="L87" s="11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1"/>
      <c r="C89" s="111"/>
      <c r="D89" s="111"/>
      <c r="E89" s="111"/>
      <c r="F89" s="1"/>
      <c r="G89" s="1"/>
      <c r="H89" s="1"/>
      <c r="I89" s="1"/>
      <c r="J89" s="1"/>
      <c r="K89" s="11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1"/>
      <c r="C90" s="111"/>
      <c r="D90" s="111"/>
      <c r="E90" s="11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1"/>
      <c r="C91" s="111"/>
      <c r="D91" s="111"/>
      <c r="E91" s="11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1"/>
      <c r="C92" s="111"/>
      <c r="D92" s="111"/>
      <c r="E92" s="11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1"/>
      <c r="C93" s="111"/>
      <c r="D93" s="111"/>
      <c r="E93" s="11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1"/>
      <c r="C94" s="111"/>
      <c r="D94" s="111"/>
      <c r="E94" s="11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1"/>
      <c r="C95" s="111"/>
      <c r="D95" s="111"/>
      <c r="E95" s="11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IFERROR(__xludf.DUMMYFUNCTION("IMPORTRANGE(""https://docs.google.com/spreadsheets/d/1i11TE1AhN8DUZgkr4Zj1Y6ZCiwgcvKK-yC04b7p9WUo/edit?gid=986135274#gid=986135274"",""1-2 cultura digital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IFERROR(__xludf.DUMMYFUNCTION("""COMPUTED_VALUE"""),"ROSALVA ANDREA AZPEITIA CORREA")</f>
        <v>ROSALVA ANDREA AZPEITIA CORREA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IFERROR(__xludf.DUMMYFUNCTION("""COMPUTED_VALUE"""),"CULTURA DIGITAL II")</f>
        <v>CULTURA DIGITAL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IFERROR(__xludf.DUMMYFUNCTION("""COMPUTED_VALUE"""),"AMBROSIO")</f>
        <v>AMBROSIO</v>
      </c>
      <c r="C17" s="53" t="str">
        <f>IFERROR(__xludf.DUMMYFUNCTION("""COMPUTED_VALUE"""),"RAMIREZ")</f>
        <v>RAMIREZ</v>
      </c>
      <c r="D17" s="54" t="str">
        <f>IFERROR(__xludf.DUMMYFUNCTION("""COMPUTED_VALUE"""),"ALEXANDRA")</f>
        <v>ALEXANDRA</v>
      </c>
      <c r="E17" s="55">
        <f>IFERROR(__xludf.DUMMYFUNCTION("""COMPUTED_VALUE"""),8.0)</f>
        <v>8</v>
      </c>
      <c r="F17" s="55">
        <f>IFERROR(__xludf.DUMMYFUNCTION("""COMPUTED_VALUE"""),2.0)</f>
        <v>2</v>
      </c>
      <c r="G17" s="56"/>
      <c r="H17" s="57">
        <f>IFERROR(__xludf.DUMMYFUNCTION("""COMPUTED_VALUE"""),10.0)</f>
        <v>10</v>
      </c>
      <c r="I17" s="58">
        <f>IFERROR(__xludf.DUMMYFUNCTION("""COMPUTED_VALUE"""),0.0)</f>
        <v>0</v>
      </c>
      <c r="J17" s="59">
        <f>IFERROR(__xludf.DUMMYFUNCTION("""COMPUTED_VALUE"""),10.0)</f>
        <v>10</v>
      </c>
      <c r="K17" s="60"/>
      <c r="L17" s="61">
        <f>IFERROR(__xludf.DUMMYFUNCTION("""COMPUTED_VALUE"""),10.0)</f>
        <v>10</v>
      </c>
      <c r="M17" s="1" t="str">
        <f>IFERROR(__xludf.DUMMYFUNCTION("""COMPUTED_VALUE"""),"Febrero")</f>
        <v>Febrero</v>
      </c>
      <c r="N17" s="1">
        <f>IFERROR(__xludf.DUMMYFUNCTION("""COMPUTED_VALUE"""),6.0)</f>
        <v>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IFERROR(__xludf.DUMMYFUNCTION("""COMPUTED_VALUE"""),"AVILA")</f>
        <v>AVILA</v>
      </c>
      <c r="C18" s="52" t="str">
        <f>IFERROR(__xludf.DUMMYFUNCTION("""COMPUTED_VALUE"""),"MORALES")</f>
        <v>MORALES</v>
      </c>
      <c r="D18" s="54" t="str">
        <f>IFERROR(__xludf.DUMMYFUNCTION("""COMPUTED_VALUE"""),"EDWIN ADAHIR")</f>
        <v>EDWIN ADAHIR</v>
      </c>
      <c r="E18" s="55">
        <f>IFERROR(__xludf.DUMMYFUNCTION("""COMPUTED_VALUE"""),5.0)</f>
        <v>5</v>
      </c>
      <c r="F18" s="55">
        <f>IFERROR(__xludf.DUMMYFUNCTION("""COMPUTED_VALUE"""),1.0)</f>
        <v>1</v>
      </c>
      <c r="G18" s="56"/>
      <c r="H18" s="57">
        <f>IFERROR(__xludf.DUMMYFUNCTION("""COMPUTED_VALUE"""),6.0)</f>
        <v>6</v>
      </c>
      <c r="I18" s="58">
        <f>IFERROR(__xludf.DUMMYFUNCTION("""COMPUTED_VALUE"""),2.0)</f>
        <v>2</v>
      </c>
      <c r="J18" s="59">
        <f>IFERROR(__xludf.DUMMYFUNCTION("""COMPUTED_VALUE"""),6.0)</f>
        <v>6</v>
      </c>
      <c r="K18" s="51"/>
      <c r="L18" s="61">
        <f>IFERROR(__xludf.DUMMYFUNCTION("""COMPUTED_VALUE"""),6.0)</f>
        <v>6</v>
      </c>
      <c r="M18" s="1" t="str">
        <f>IFERROR(__xludf.DUMMYFUNCTION("""COMPUTED_VALUE"""),"Marzo")</f>
        <v>Marzo</v>
      </c>
      <c r="N18" s="1">
        <f>IFERROR(__xludf.DUMMYFUNCTION("""COMPUTED_VALUE"""),8.0)</f>
        <v>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IFERROR(__xludf.DUMMYFUNCTION("""COMPUTED_VALUE"""),"AVILA")</f>
        <v>AVILA</v>
      </c>
      <c r="C19" s="52" t="str">
        <f>IFERROR(__xludf.DUMMYFUNCTION("""COMPUTED_VALUE"""),"RAMIREZ")</f>
        <v>RAMIREZ</v>
      </c>
      <c r="D19" s="54" t="str">
        <f>IFERROR(__xludf.DUMMYFUNCTION("""COMPUTED_VALUE"""),"SANTIAGO")</f>
        <v>SANTIAGO</v>
      </c>
      <c r="E19" s="56">
        <f>IFERROR(__xludf.DUMMYFUNCTION("""COMPUTED_VALUE"""),7.0)</f>
        <v>7</v>
      </c>
      <c r="F19" s="55">
        <f>IFERROR(__xludf.DUMMYFUNCTION("""COMPUTED_VALUE"""),2.0)</f>
        <v>2</v>
      </c>
      <c r="G19" s="56"/>
      <c r="H19" s="57">
        <f>IFERROR(__xludf.DUMMYFUNCTION("""COMPUTED_VALUE"""),9.0)</f>
        <v>9</v>
      </c>
      <c r="I19" s="58">
        <f>IFERROR(__xludf.DUMMYFUNCTION("""COMPUTED_VALUE"""),0.0)</f>
        <v>0</v>
      </c>
      <c r="J19" s="59">
        <f>IFERROR(__xludf.DUMMYFUNCTION("""COMPUTED_VALUE"""),9.0)</f>
        <v>9</v>
      </c>
      <c r="K19" s="51"/>
      <c r="L19" s="61">
        <f>IFERROR(__xludf.DUMMYFUNCTION("""COMPUTED_VALUE"""),9.0)</f>
        <v>9</v>
      </c>
      <c r="M19" s="1" t="str">
        <f>IFERROR(__xludf.DUMMYFUNCTION("""COMPUTED_VALUE"""),"Abril")</f>
        <v>Abril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IFERROR(__xludf.DUMMYFUNCTION("""COMPUTED_VALUE"""),"BARRAZA")</f>
        <v>BARRAZA</v>
      </c>
      <c r="C20" s="52" t="str">
        <f>IFERROR(__xludf.DUMMYFUNCTION("""COMPUTED_VALUE"""),"MONTELONGO")</f>
        <v>MONTELONGO</v>
      </c>
      <c r="D20" s="54" t="str">
        <f>IFERROR(__xludf.DUMMYFUNCTION("""COMPUTED_VALUE"""),"STEFANY YANELI")</f>
        <v>STEFANY YANELI</v>
      </c>
      <c r="E20" s="55">
        <f>IFERROR(__xludf.DUMMYFUNCTION("""COMPUTED_VALUE"""),8.0)</f>
        <v>8</v>
      </c>
      <c r="F20" s="55">
        <f>IFERROR(__xludf.DUMMYFUNCTION("""COMPUTED_VALUE"""),2.0)</f>
        <v>2</v>
      </c>
      <c r="G20" s="56"/>
      <c r="H20" s="57">
        <f>IFERROR(__xludf.DUMMYFUNCTION("""COMPUTED_VALUE"""),10.0)</f>
        <v>10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IFERROR(__xludf.DUMMYFUNCTION("""COMPUTED_VALUE"""),"Mayo")</f>
        <v>Mayo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IFERROR(__xludf.DUMMYFUNCTION("""COMPUTED_VALUE"""),"BECERRA")</f>
        <v>BECERRA</v>
      </c>
      <c r="C21" s="52" t="str">
        <f>IFERROR(__xludf.DUMMYFUNCTION("""COMPUTED_VALUE"""),"FLORES")</f>
        <v>FLORES</v>
      </c>
      <c r="D21" s="54" t="str">
        <f>IFERROR(__xludf.DUMMYFUNCTION("""COMPUTED_VALUE"""),"HADE JETZABEL")</f>
        <v>HADE JETZABEL</v>
      </c>
      <c r="E21" s="55">
        <f>IFERROR(__xludf.DUMMYFUNCTION("""COMPUTED_VALUE"""),8.0)</f>
        <v>8</v>
      </c>
      <c r="F21" s="55">
        <f>IFERROR(__xludf.DUMMYFUNCTION("""COMPUTED_VALUE"""),2.0)</f>
        <v>2</v>
      </c>
      <c r="G21" s="56"/>
      <c r="H21" s="57">
        <f>IFERROR(__xludf.DUMMYFUNCTION("""COMPUTED_VALUE"""),10.0)</f>
        <v>10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IFERROR(__xludf.DUMMYFUNCTION("""COMPUTED_VALUE"""),"Junio")</f>
        <v>Junio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IFERROR(__xludf.DUMMYFUNCTION("""COMPUTED_VALUE"""),"BELLO")</f>
        <v>BELLO</v>
      </c>
      <c r="C22" s="52" t="str">
        <f>IFERROR(__xludf.DUMMYFUNCTION("""COMPUTED_VALUE"""),"CHAVEZ")</f>
        <v>CHAVEZ</v>
      </c>
      <c r="D22" s="54" t="str">
        <f>IFERROR(__xludf.DUMMYFUNCTION("""COMPUTED_VALUE"""),"EMILIO SEBASTIAN")</f>
        <v>EMILIO SEBASTIAN</v>
      </c>
      <c r="E22" s="55">
        <f>IFERROR(__xludf.DUMMYFUNCTION("""COMPUTED_VALUE"""),6.0)</f>
        <v>6</v>
      </c>
      <c r="F22" s="55">
        <f>IFERROR(__xludf.DUMMYFUNCTION("""COMPUTED_VALUE"""),1.0)</f>
        <v>1</v>
      </c>
      <c r="G22" s="56"/>
      <c r="H22" s="57">
        <f>IFERROR(__xludf.DUMMYFUNCTION("""COMPUTED_VALUE"""),7.0)</f>
        <v>7</v>
      </c>
      <c r="I22" s="58">
        <f>IFERROR(__xludf.DUMMYFUNCTION("""COMPUTED_VALUE"""),0.0)</f>
        <v>0</v>
      </c>
      <c r="J22" s="59">
        <f>IFERROR(__xludf.DUMMYFUNCTION("""COMPUTED_VALUE"""),7.0)</f>
        <v>7</v>
      </c>
      <c r="K22" s="51"/>
      <c r="L22" s="61">
        <f>IFERROR(__xludf.DUMMYFUNCTION("""COMPUTED_VALUE"""),7.0)</f>
        <v>7</v>
      </c>
      <c r="M22" s="1" t="str">
        <f>IFERROR(__xludf.DUMMYFUNCTION("""COMPUTED_VALUE"""),"Julio")</f>
        <v>Julio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IFERROR(__xludf.DUMMYFUNCTION("""COMPUTED_VALUE"""),"CASAS")</f>
        <v>CASAS</v>
      </c>
      <c r="C23" s="52" t="str">
        <f>IFERROR(__xludf.DUMMYFUNCTION("""COMPUTED_VALUE"""),"GARCIA")</f>
        <v>GARCIA</v>
      </c>
      <c r="D23" s="54" t="str">
        <f>IFERROR(__xludf.DUMMYFUNCTION("""COMPUTED_VALUE"""),"ZEUS ANTHUAN")</f>
        <v>ZEUS ANTHUAN</v>
      </c>
      <c r="E23" s="55">
        <f>IFERROR(__xludf.DUMMYFUNCTION("""COMPUTED_VALUE"""),7.0)</f>
        <v>7</v>
      </c>
      <c r="F23" s="55">
        <f>IFERROR(__xludf.DUMMYFUNCTION("""COMPUTED_VALUE"""),0.0)</f>
        <v>0</v>
      </c>
      <c r="G23" s="56"/>
      <c r="H23" s="57">
        <f>IFERROR(__xludf.DUMMYFUNCTION("""COMPUTED_VALUE"""),7.0)</f>
        <v>7</v>
      </c>
      <c r="I23" s="58">
        <f>IFERROR(__xludf.DUMMYFUNCTION("""COMPUTED_VALUE"""),0.0)</f>
        <v>0</v>
      </c>
      <c r="J23" s="59">
        <f>IFERROR(__xludf.DUMMYFUNCTION("""COMPUTED_VALUE"""),7.0)</f>
        <v>7</v>
      </c>
      <c r="K23" s="51"/>
      <c r="L23" s="61">
        <f>IFERROR(__xludf.DUMMYFUNCTION("""COMPUTED_VALUE"""),7.0)</f>
        <v>7</v>
      </c>
      <c r="M23" s="1" t="str">
        <f>IFERROR(__xludf.DUMMYFUNCTION("""COMPUTED_VALUE"""),"TOTAL")</f>
        <v>TOTAL</v>
      </c>
      <c r="N23" s="1">
        <f>IFERROR(__xludf.DUMMYFUNCTION("""COMPUTED_VALUE"""),14.0)</f>
        <v>14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IFERROR(__xludf.DUMMYFUNCTION("""COMPUTED_VALUE"""),"CHICO")</f>
        <v>CHICO</v>
      </c>
      <c r="C24" s="52" t="str">
        <f>IFERROR(__xludf.DUMMYFUNCTION("""COMPUTED_VALUE"""),"ORTIZ")</f>
        <v>ORTIZ</v>
      </c>
      <c r="D24" s="54" t="str">
        <f>IFERROR(__xludf.DUMMYFUNCTION("""COMPUTED_VALUE"""),"ALAN")</f>
        <v>ALAN</v>
      </c>
      <c r="E24" s="56">
        <f>IFERROR(__xludf.DUMMYFUNCTION("""COMPUTED_VALUE"""),8.0)</f>
        <v>8</v>
      </c>
      <c r="F24" s="55">
        <f>IFERROR(__xludf.DUMMYFUNCTION("""COMPUTED_VALUE"""),2.0)</f>
        <v>2</v>
      </c>
      <c r="G24" s="56"/>
      <c r="H24" s="57">
        <f>IFERROR(__xludf.DUMMYFUNCTION("""COMPUTED_VALUE"""),10.0)</f>
        <v>10</v>
      </c>
      <c r="I24" s="58">
        <f>IFERROR(__xludf.DUMMYFUNCTION("""COMPUTED_VALUE"""),2.0)</f>
        <v>2</v>
      </c>
      <c r="J24" s="59">
        <f>IFERROR(__xludf.DUMMYFUNCTION("""COMPUTED_VALUE"""),10.0)</f>
        <v>10</v>
      </c>
      <c r="K24" s="51"/>
      <c r="L24" s="61">
        <f>IFERROR(__xludf.DUMMYFUNCTION("""COMPUTED_VALUE"""),10.0)</f>
        <v>10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IFERROR(__xludf.DUMMYFUNCTION("""COMPUTED_VALUE"""),"COLIN")</f>
        <v>COLIN</v>
      </c>
      <c r="C25" s="52" t="str">
        <f>IFERROR(__xludf.DUMMYFUNCTION("""COMPUTED_VALUE"""),"GARCIA")</f>
        <v>GARCIA</v>
      </c>
      <c r="D25" s="54" t="str">
        <f>IFERROR(__xludf.DUMMYFUNCTION("""COMPUTED_VALUE"""),"DONOBAN RODRIGO")</f>
        <v>DONOBAN RODRIGO</v>
      </c>
      <c r="E25" s="55">
        <f>IFERROR(__xludf.DUMMYFUNCTION("""COMPUTED_VALUE"""),0.0)</f>
        <v>0</v>
      </c>
      <c r="F25" s="55">
        <f>IFERROR(__xludf.DUMMYFUNCTION("""COMPUTED_VALUE"""),0.0)</f>
        <v>0</v>
      </c>
      <c r="G25" s="56"/>
      <c r="H25" s="57">
        <f>IFERROR(__xludf.DUMMYFUNCTION("""COMPUTED_VALUE"""),0.0)</f>
        <v>0</v>
      </c>
      <c r="I25" s="58">
        <f>IFERROR(__xludf.DUMMYFUNCTION("""COMPUTED_VALUE"""),0.0)</f>
        <v>0</v>
      </c>
      <c r="J25" s="59">
        <f>IFERROR(__xludf.DUMMYFUNCTION("""COMPUTED_VALUE"""),5.0)</f>
        <v>5</v>
      </c>
      <c r="K25" s="51"/>
      <c r="L25" s="61">
        <f>IFERROR(__xludf.DUMMYFUNCTION("""COMPUTED_VALUE"""),0.0)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IFERROR(__xludf.DUMMYFUNCTION("""COMPUTED_VALUE"""),"CONTRERAS")</f>
        <v>CONTRERAS</v>
      </c>
      <c r="C26" s="52" t="str">
        <f>IFERROR(__xludf.DUMMYFUNCTION("""COMPUTED_VALUE"""),"QUIJADA")</f>
        <v>QUIJADA</v>
      </c>
      <c r="D26" s="52" t="str">
        <f>IFERROR(__xludf.DUMMYFUNCTION("""COMPUTED_VALUE"""),"LEONARDO")</f>
        <v>LEONARDO</v>
      </c>
      <c r="E26" s="56">
        <f>IFERROR(__xludf.DUMMYFUNCTION("""COMPUTED_VALUE"""),6.0)</f>
        <v>6</v>
      </c>
      <c r="F26" s="55">
        <f>IFERROR(__xludf.DUMMYFUNCTION("""COMPUTED_VALUE"""),1.0)</f>
        <v>1</v>
      </c>
      <c r="G26" s="56"/>
      <c r="H26" s="57">
        <f>IFERROR(__xludf.DUMMYFUNCTION("""COMPUTED_VALUE"""),7.0)</f>
        <v>7</v>
      </c>
      <c r="I26" s="58">
        <f>IFERROR(__xludf.DUMMYFUNCTION("""COMPUTED_VALUE"""),0.0)</f>
        <v>0</v>
      </c>
      <c r="J26" s="59">
        <f>IFERROR(__xludf.DUMMYFUNCTION("""COMPUTED_VALUE"""),7.0)</f>
        <v>7</v>
      </c>
      <c r="K26" s="51"/>
      <c r="L26" s="61">
        <f>IFERROR(__xludf.DUMMYFUNCTION("""COMPUTED_VALUE"""),7.0)</f>
        <v>7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IFERROR(__xludf.DUMMYFUNCTION("""COMPUTED_VALUE"""),"COVARRUBIAS")</f>
        <v>COVARRUBIAS</v>
      </c>
      <c r="C27" s="52" t="str">
        <f>IFERROR(__xludf.DUMMYFUNCTION("""COMPUTED_VALUE"""),"ACOSTA")</f>
        <v>ACOSTA</v>
      </c>
      <c r="D27" s="54" t="str">
        <f>IFERROR(__xludf.DUMMYFUNCTION("""COMPUTED_VALUE"""),"SAMANTHA ANGELINE")</f>
        <v>SAMANTHA ANGELINE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/>
      <c r="H27" s="57">
        <f>IFERROR(__xludf.DUMMYFUNCTION("""COMPUTED_VALUE"""),10.0)</f>
        <v>10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IFERROR(__xludf.DUMMYFUNCTION("""COMPUTED_VALUE"""),"GALVEZ")</f>
        <v>GALVEZ</v>
      </c>
      <c r="D28" s="54" t="str">
        <f>IFERROR(__xludf.DUMMYFUNCTION("""COMPUTED_VALUE"""),"PARIS EMILIANO")</f>
        <v>PARIS EMILIANO</v>
      </c>
      <c r="E28" s="55">
        <f>IFERROR(__xludf.DUMMYFUNCTION("""COMPUTED_VALUE"""),8.0)</f>
        <v>8</v>
      </c>
      <c r="F28" s="55">
        <f>IFERROR(__xludf.DUMMYFUNCTION("""COMPUTED_VALUE"""),2.0)</f>
        <v>2</v>
      </c>
      <c r="G28" s="56"/>
      <c r="H28" s="57">
        <f>IFERROR(__xludf.DUMMYFUNCTION("""COMPUTED_VALUE"""),10.0)</f>
        <v>10</v>
      </c>
      <c r="I28" s="58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IFERROR(__xludf.DUMMYFUNCTION("""COMPUTED_VALUE"""),"OROPEZA")</f>
        <v>OROPEZA</v>
      </c>
      <c r="D29" s="54" t="str">
        <f>IFERROR(__xludf.DUMMYFUNCTION("""COMPUTED_VALUE"""),"REBECA JANELLE")</f>
        <v>REBECA JANELLE</v>
      </c>
      <c r="E29" s="55">
        <f>IFERROR(__xludf.DUMMYFUNCTION("""COMPUTED_VALUE"""),8.0)</f>
        <v>8</v>
      </c>
      <c r="F29" s="55">
        <f>IFERROR(__xludf.DUMMYFUNCTION("""COMPUTED_VALUE"""),2.0)</f>
        <v>2</v>
      </c>
      <c r="G29" s="56"/>
      <c r="H29" s="57">
        <f>IFERROR(__xludf.DUMMYFUNCTION("""COMPUTED_VALUE"""),10.0)</f>
        <v>10</v>
      </c>
      <c r="I29" s="58">
        <f>IFERROR(__xludf.DUMMYFUNCTION("""COMPUTED_VALUE"""),0.0)</f>
        <v>0</v>
      </c>
      <c r="J29" s="59">
        <f>IFERROR(__xludf.DUMMYFUNCTION("""COMPUTED_VALUE"""),10.0)</f>
        <v>10</v>
      </c>
      <c r="K29" s="51"/>
      <c r="L29" s="61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IFERROR(__xludf.DUMMYFUNCTION("""COMPUTED_VALUE"""),"ELIZALDE")</f>
        <v>ELIZALDE</v>
      </c>
      <c r="C30" s="52" t="str">
        <f>IFERROR(__xludf.DUMMYFUNCTION("""COMPUTED_VALUE"""),"MOLINA")</f>
        <v>MOLINA</v>
      </c>
      <c r="D30" s="54" t="str">
        <f>IFERROR(__xludf.DUMMYFUNCTION("""COMPUTED_VALUE"""),"BARBARA SOFIA")</f>
        <v>BARBARA SOFIA</v>
      </c>
      <c r="E30" s="56">
        <f>IFERROR(__xludf.DUMMYFUNCTION("""COMPUTED_VALUE"""),8.0)</f>
        <v>8</v>
      </c>
      <c r="F30" s="55">
        <f>IFERROR(__xludf.DUMMYFUNCTION("""COMPUTED_VALUE"""),2.0)</f>
        <v>2</v>
      </c>
      <c r="G30" s="56"/>
      <c r="H30" s="57">
        <f>IFERROR(__xludf.DUMMYFUNCTION("""COMPUTED_VALUE"""),10.0)</f>
        <v>10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IFERROR(__xludf.DUMMYFUNCTION("""COMPUTED_VALUE"""),"ENCINAS")</f>
        <v>ENCINAS</v>
      </c>
      <c r="C31" s="52" t="str">
        <f>IFERROR(__xludf.DUMMYFUNCTION("""COMPUTED_VALUE"""),"RODRIGUEZ")</f>
        <v>RODRIGUEZ</v>
      </c>
      <c r="D31" s="54" t="str">
        <f>IFERROR(__xludf.DUMMYFUNCTION("""COMPUTED_VALUE"""),"CESAR ROBERTO")</f>
        <v>CESAR ROBERTO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/>
      <c r="H31" s="57">
        <f>IFERROR(__xludf.DUMMYFUNCTION("""COMPUTED_VALUE"""),10.0)</f>
        <v>10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IFERROR(__xludf.DUMMYFUNCTION("""COMPUTED_VALUE"""),"VARGAS")</f>
        <v>VARGAS</v>
      </c>
      <c r="D32" s="54" t="str">
        <f>IFERROR(__xludf.DUMMYFUNCTION("""COMPUTED_VALUE"""),"JESUS SANTIAGO")</f>
        <v>JESUS SANTIAGO</v>
      </c>
      <c r="E32" s="55">
        <f>IFERROR(__xludf.DUMMYFUNCTION("""COMPUTED_VALUE"""),8.0)</f>
        <v>8</v>
      </c>
      <c r="F32" s="55">
        <f>IFERROR(__xludf.DUMMYFUNCTION("""COMPUTED_VALUE"""),2.0)</f>
        <v>2</v>
      </c>
      <c r="G32" s="56"/>
      <c r="H32" s="57">
        <f>IFERROR(__xludf.DUMMYFUNCTION("""COMPUTED_VALUE"""),10.0)</f>
        <v>10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IFERROR(__xludf.DUMMYFUNCTION("""COMPUTED_VALUE"""),"FINKENTHAL")</f>
        <v>FINKENTHAL</v>
      </c>
      <c r="C33" s="52" t="str">
        <f>IFERROR(__xludf.DUMMYFUNCTION("""COMPUTED_VALUE"""),"RAMIREZ")</f>
        <v>RAMIREZ</v>
      </c>
      <c r="D33" s="54" t="str">
        <f>IFERROR(__xludf.DUMMYFUNCTION("""COMPUTED_VALUE"""),"ALENKA")</f>
        <v>ALENKA</v>
      </c>
      <c r="E33" s="55">
        <f>IFERROR(__xludf.DUMMYFUNCTION("""COMPUTED_VALUE"""),8.0)</f>
        <v>8</v>
      </c>
      <c r="F33" s="55">
        <f>IFERROR(__xludf.DUMMYFUNCTION("""COMPUTED_VALUE"""),2.0)</f>
        <v>2</v>
      </c>
      <c r="G33" s="56"/>
      <c r="H33" s="57">
        <f>IFERROR(__xludf.DUMMYFUNCTION("""COMPUTED_VALUE"""),10.0)</f>
        <v>10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IFERROR(__xludf.DUMMYFUNCTION("""COMPUTED_VALUE"""),"FLORES")</f>
        <v>FLORES</v>
      </c>
      <c r="C34" s="52" t="str">
        <f>IFERROR(__xludf.DUMMYFUNCTION("""COMPUTED_VALUE"""),"PEREZ")</f>
        <v>PEREZ</v>
      </c>
      <c r="D34" s="54" t="str">
        <f>IFERROR(__xludf.DUMMYFUNCTION("""COMPUTED_VALUE"""),"ROBERTO")</f>
        <v>ROBERTO</v>
      </c>
      <c r="E34" s="56">
        <f>IFERROR(__xludf.DUMMYFUNCTION("""COMPUTED_VALUE"""),8.0)</f>
        <v>8</v>
      </c>
      <c r="F34" s="55">
        <f>IFERROR(__xludf.DUMMYFUNCTION("""COMPUTED_VALUE"""),2.0)</f>
        <v>2</v>
      </c>
      <c r="G34" s="56"/>
      <c r="H34" s="57">
        <f>IFERROR(__xludf.DUMMYFUNCTION("""COMPUTED_VALUE"""),10.0)</f>
        <v>10</v>
      </c>
      <c r="I34" s="58">
        <f>IFERROR(__xludf.DUMMYFUNCTION("""COMPUTED_VALUE"""),0.0)</f>
        <v>0</v>
      </c>
      <c r="J34" s="59">
        <f>IFERROR(__xludf.DUMMYFUNCTION("""COMPUTED_VALUE"""),10.0)</f>
        <v>10</v>
      </c>
      <c r="K34" s="51"/>
      <c r="L34" s="61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IFERROR(__xludf.DUMMYFUNCTION("""COMPUTED_VALUE"""),"FLORES")</f>
        <v>FLORES</v>
      </c>
      <c r="C35" s="52" t="str">
        <f>IFERROR(__xludf.DUMMYFUNCTION("""COMPUTED_VALUE"""),"RODRIGUEZ")</f>
        <v>RODRIGUEZ</v>
      </c>
      <c r="D35" s="54" t="str">
        <f>IFERROR(__xludf.DUMMYFUNCTION("""COMPUTED_VALUE"""),"FRANCISCO ISAAC")</f>
        <v>FRANCISCO ISAAC</v>
      </c>
      <c r="E35" s="55">
        <f>IFERROR(__xludf.DUMMYFUNCTION("""COMPUTED_VALUE"""),6.0)</f>
        <v>6</v>
      </c>
      <c r="F35" s="55">
        <f>IFERROR(__xludf.DUMMYFUNCTION("""COMPUTED_VALUE"""),0.0)</f>
        <v>0</v>
      </c>
      <c r="G35" s="56"/>
      <c r="H35" s="57">
        <f>IFERROR(__xludf.DUMMYFUNCTION("""COMPUTED_VALUE"""),6.0)</f>
        <v>6</v>
      </c>
      <c r="I35" s="58">
        <f>IFERROR(__xludf.DUMMYFUNCTION("""COMPUTED_VALUE"""),0.0)</f>
        <v>0</v>
      </c>
      <c r="J35" s="59">
        <f>IFERROR(__xludf.DUMMYFUNCTION("""COMPUTED_VALUE"""),6.0)</f>
        <v>6</v>
      </c>
      <c r="K35" s="51"/>
      <c r="L35" s="61">
        <f>IFERROR(__xludf.DUMMYFUNCTION("""COMPUTED_VALUE"""),6.0)</f>
        <v>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IFERROR(__xludf.DUMMYFUNCTION("""COMPUTED_VALUE"""),"GONZALEZ")</f>
        <v>GONZALEZ</v>
      </c>
      <c r="C36" s="52" t="str">
        <f>IFERROR(__xludf.DUMMYFUNCTION("""COMPUTED_VALUE"""),"GONZALEZ")</f>
        <v>GONZALEZ</v>
      </c>
      <c r="D36" s="54" t="str">
        <f>IFERROR(__xludf.DUMMYFUNCTION("""COMPUTED_VALUE"""),"ANGELA PAULINA")</f>
        <v>ANGELA PAULINA</v>
      </c>
      <c r="E36" s="55">
        <f>IFERROR(__xludf.DUMMYFUNCTION("""COMPUTED_VALUE"""),8.0)</f>
        <v>8</v>
      </c>
      <c r="F36" s="55">
        <f>IFERROR(__xludf.DUMMYFUNCTION("""COMPUTED_VALUE"""),2.0)</f>
        <v>2</v>
      </c>
      <c r="G36" s="56"/>
      <c r="H36" s="57">
        <f>IFERROR(__xludf.DUMMYFUNCTION("""COMPUTED_VALUE"""),10.0)</f>
        <v>10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IFERROR(__xludf.DUMMYFUNCTION("""COMPUTED_VALUE"""),"GONZALEZ")</f>
        <v>GONZALEZ</v>
      </c>
      <c r="C37" s="52" t="str">
        <f>IFERROR(__xludf.DUMMYFUNCTION("""COMPUTED_VALUE"""),"TREJO")</f>
        <v>TREJO</v>
      </c>
      <c r="D37" s="54" t="str">
        <f>IFERROR(__xludf.DUMMYFUNCTION("""COMPUTED_VALUE"""),"LESLIE XIMENA")</f>
        <v>LESLIE XIMENA</v>
      </c>
      <c r="E37" s="56">
        <f>IFERROR(__xludf.DUMMYFUNCTION("""COMPUTED_VALUE"""),8.0)</f>
        <v>8</v>
      </c>
      <c r="F37" s="55">
        <f>IFERROR(__xludf.DUMMYFUNCTION("""COMPUTED_VALUE"""),2.0)</f>
        <v>2</v>
      </c>
      <c r="G37" s="56"/>
      <c r="H37" s="57">
        <f>IFERROR(__xludf.DUMMYFUNCTION("""COMPUTED_VALUE"""),10.0)</f>
        <v>10</v>
      </c>
      <c r="I37" s="58">
        <f>IFERROR(__xludf.DUMMYFUNCTION("""COMPUTED_VALUE"""),0.0)</f>
        <v>0</v>
      </c>
      <c r="J37" s="59">
        <f>IFERROR(__xludf.DUMMYFUNCTION("""COMPUTED_VALUE"""),10.0)</f>
        <v>10</v>
      </c>
      <c r="K37" s="51"/>
      <c r="L37" s="61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IFERROR(__xludf.DUMMYFUNCTION("""COMPUTED_VALUE"""),"HERNANDEZ")</f>
        <v>HERNANDEZ</v>
      </c>
      <c r="C38" s="52" t="str">
        <f>IFERROR(__xludf.DUMMYFUNCTION("""COMPUTED_VALUE"""),"GARCIA")</f>
        <v>GARCIA</v>
      </c>
      <c r="D38" s="54" t="str">
        <f>IFERROR(__xludf.DUMMYFUNCTION("""COMPUTED_VALUE"""),"EMILY")</f>
        <v>EMILY</v>
      </c>
      <c r="E38" s="55">
        <f>IFERROR(__xludf.DUMMYFUNCTION("""COMPUTED_VALUE"""),8.0)</f>
        <v>8</v>
      </c>
      <c r="F38" s="55">
        <f>IFERROR(__xludf.DUMMYFUNCTION("""COMPUTED_VALUE"""),2.0)</f>
        <v>2</v>
      </c>
      <c r="G38" s="56"/>
      <c r="H38" s="57">
        <f>IFERROR(__xludf.DUMMYFUNCTION("""COMPUTED_VALUE"""),10.0)</f>
        <v>10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IFERROR(__xludf.DUMMYFUNCTION("""COMPUTED_VALUE"""),"HERNANDEZ")</f>
        <v>HERNANDEZ</v>
      </c>
      <c r="C39" s="52" t="str">
        <f>IFERROR(__xludf.DUMMYFUNCTION("""COMPUTED_VALUE"""),"GARCIA")</f>
        <v>GARCIA</v>
      </c>
      <c r="D39" s="54" t="str">
        <f>IFERROR(__xludf.DUMMYFUNCTION("""COMPUTED_VALUE"""),"SAMANTA")</f>
        <v>SAMANTA</v>
      </c>
      <c r="E39" s="55">
        <f>IFERROR(__xludf.DUMMYFUNCTION("""COMPUTED_VALUE"""),0.0)</f>
        <v>0</v>
      </c>
      <c r="F39" s="55">
        <f>IFERROR(__xludf.DUMMYFUNCTION("""COMPUTED_VALUE"""),0.0)</f>
        <v>0</v>
      </c>
      <c r="G39" s="56"/>
      <c r="H39" s="57">
        <f>IFERROR(__xludf.DUMMYFUNCTION("""COMPUTED_VALUE"""),0.0)</f>
        <v>0</v>
      </c>
      <c r="I39" s="58">
        <f>IFERROR(__xludf.DUMMYFUNCTION("""COMPUTED_VALUE"""),4.0)</f>
        <v>4</v>
      </c>
      <c r="J39" s="59">
        <f>IFERROR(__xludf.DUMMYFUNCTION("""COMPUTED_VALUE"""),5.0)</f>
        <v>5</v>
      </c>
      <c r="K39" s="51"/>
      <c r="L39" s="61">
        <f>IFERROR(__xludf.DUMMYFUNCTION("""COMPUTED_VALUE"""),0.0)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IFERROR(__xludf.DUMMYFUNCTION("""COMPUTED_VALUE"""),"HERRERA")</f>
        <v>HERRERA</v>
      </c>
      <c r="C40" s="52" t="str">
        <f>IFERROR(__xludf.DUMMYFUNCTION("""COMPUTED_VALUE"""),"JIMENEZ")</f>
        <v>JIMENEZ</v>
      </c>
      <c r="D40" s="54" t="str">
        <f>IFERROR(__xludf.DUMMYFUNCTION("""COMPUTED_VALUE"""),"JOSUE ABISAI")</f>
        <v>JOSUE ABISAI</v>
      </c>
      <c r="E40" s="55">
        <f>IFERROR(__xludf.DUMMYFUNCTION("""COMPUTED_VALUE"""),0.0)</f>
        <v>0</v>
      </c>
      <c r="F40" s="55">
        <f>IFERROR(__xludf.DUMMYFUNCTION("""COMPUTED_VALUE"""),0.0)</f>
        <v>0</v>
      </c>
      <c r="G40" s="56"/>
      <c r="H40" s="57">
        <f>IFERROR(__xludf.DUMMYFUNCTION("""COMPUTED_VALUE"""),0.0)</f>
        <v>0</v>
      </c>
      <c r="I40" s="58">
        <f>IFERROR(__xludf.DUMMYFUNCTION("""COMPUTED_VALUE"""),2.0)</f>
        <v>2</v>
      </c>
      <c r="J40" s="59">
        <f>IFERROR(__xludf.DUMMYFUNCTION("""COMPUTED_VALUE"""),5.0)</f>
        <v>5</v>
      </c>
      <c r="K40" s="51"/>
      <c r="L40" s="61">
        <f>IFERROR(__xludf.DUMMYFUNCTION("""COMPUTED_VALUE"""),0.0)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IFERROR(__xludf.DUMMYFUNCTION("""COMPUTED_VALUE"""),"HERNANDEZ")</f>
        <v>HERNANDEZ</v>
      </c>
      <c r="C41" s="52" t="str">
        <f>IFERROR(__xludf.DUMMYFUNCTION("""COMPUTED_VALUE"""),"PALLARES")</f>
        <v>PALLARES</v>
      </c>
      <c r="D41" s="54" t="str">
        <f>IFERROR(__xludf.DUMMYFUNCTION("""COMPUTED_VALUE"""),"IVAN")</f>
        <v>IVAN</v>
      </c>
      <c r="E41" s="55">
        <f>IFERROR(__xludf.DUMMYFUNCTION("""COMPUTED_VALUE"""),4.0)</f>
        <v>4</v>
      </c>
      <c r="F41" s="55">
        <f>IFERROR(__xludf.DUMMYFUNCTION("""COMPUTED_VALUE"""),2.0)</f>
        <v>2</v>
      </c>
      <c r="G41" s="56"/>
      <c r="H41" s="57">
        <f>IFERROR(__xludf.DUMMYFUNCTION("""COMPUTED_VALUE"""),6.0)</f>
        <v>6</v>
      </c>
      <c r="I41" s="58">
        <f>IFERROR(__xludf.DUMMYFUNCTION("""COMPUTED_VALUE"""),0.0)</f>
        <v>0</v>
      </c>
      <c r="J41" s="59">
        <f>IFERROR(__xludf.DUMMYFUNCTION("""COMPUTED_VALUE"""),6.0)</f>
        <v>6</v>
      </c>
      <c r="K41" s="51"/>
      <c r="L41" s="61">
        <f>IFERROR(__xludf.DUMMYFUNCTION("""COMPUTED_VALUE"""),6.0)</f>
        <v>6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IFERROR(__xludf.DUMMYFUNCTION("""COMPUTED_VALUE"""),"JIMENEZ")</f>
        <v>JIMENEZ</v>
      </c>
      <c r="C42" s="52" t="str">
        <f>IFERROR(__xludf.DUMMYFUNCTION("""COMPUTED_VALUE"""),"PACHUCA")</f>
        <v>PACHUCA</v>
      </c>
      <c r="D42" s="54" t="str">
        <f>IFERROR(__xludf.DUMMYFUNCTION("""COMPUTED_VALUE"""),"LUIS ANTONIO")</f>
        <v>LUIS ANTONIO</v>
      </c>
      <c r="E42" s="55">
        <f>IFERROR(__xludf.DUMMYFUNCTION("""COMPUTED_VALUE"""),8.0)</f>
        <v>8</v>
      </c>
      <c r="F42" s="55">
        <f>IFERROR(__xludf.DUMMYFUNCTION("""COMPUTED_VALUE"""),2.0)</f>
        <v>2</v>
      </c>
      <c r="G42" s="56"/>
      <c r="H42" s="57">
        <f>IFERROR(__xludf.DUMMYFUNCTION("""COMPUTED_VALUE"""),10.0)</f>
        <v>10</v>
      </c>
      <c r="I42" s="58">
        <f>IFERROR(__xludf.DUMMYFUNCTION("""COMPUTED_VALUE"""),0.0)</f>
        <v>0</v>
      </c>
      <c r="J42" s="59">
        <f>IFERROR(__xludf.DUMMYFUNCTION("""COMPUTED_VALUE"""),10.0)</f>
        <v>10</v>
      </c>
      <c r="K42" s="51"/>
      <c r="L42" s="61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IFERROR(__xludf.DUMMYFUNCTION("""COMPUTED_VALUE"""),"LEGORRETA")</f>
        <v>LEGORRETA</v>
      </c>
      <c r="C43" s="52" t="str">
        <f>IFERROR(__xludf.DUMMYFUNCTION("""COMPUTED_VALUE"""),"HERNANDEZ")</f>
        <v>HERNANDEZ</v>
      </c>
      <c r="D43" s="54" t="str">
        <f>IFERROR(__xludf.DUMMYFUNCTION("""COMPUTED_VALUE"""),"LILIANA")</f>
        <v>LILIANA</v>
      </c>
      <c r="E43" s="55">
        <f>IFERROR(__xludf.DUMMYFUNCTION("""COMPUTED_VALUE"""),8.0)</f>
        <v>8</v>
      </c>
      <c r="F43" s="55">
        <f>IFERROR(__xludf.DUMMYFUNCTION("""COMPUTED_VALUE"""),2.0)</f>
        <v>2</v>
      </c>
      <c r="G43" s="56"/>
      <c r="H43" s="57">
        <f>IFERROR(__xludf.DUMMYFUNCTION("""COMPUTED_VALUE"""),10.0)</f>
        <v>10</v>
      </c>
      <c r="I43" s="58">
        <f>IFERROR(__xludf.DUMMYFUNCTION("""COMPUTED_VALUE"""),0.0)</f>
        <v>0</v>
      </c>
      <c r="J43" s="59">
        <f>IFERROR(__xludf.DUMMYFUNCTION("""COMPUTED_VALUE"""),10.0)</f>
        <v>10</v>
      </c>
      <c r="K43" s="51"/>
      <c r="L43" s="61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IFERROR(__xludf.DUMMYFUNCTION("""COMPUTED_VALUE"""),"LOPEZ")</f>
        <v>LOPEZ</v>
      </c>
      <c r="C44" s="52" t="str">
        <f>IFERROR(__xludf.DUMMYFUNCTION("""COMPUTED_VALUE"""),"HERNANDEZ")</f>
        <v>HERNANDEZ</v>
      </c>
      <c r="D44" s="54" t="str">
        <f>IFERROR(__xludf.DUMMYFUNCTION("""COMPUTED_VALUE"""),"KARINA")</f>
        <v>KARINA</v>
      </c>
      <c r="E44" s="55">
        <f>IFERROR(__xludf.DUMMYFUNCTION("""COMPUTED_VALUE"""),6.0)</f>
        <v>6</v>
      </c>
      <c r="F44" s="55">
        <f>IFERROR(__xludf.DUMMYFUNCTION("""COMPUTED_VALUE"""),2.0)</f>
        <v>2</v>
      </c>
      <c r="G44" s="56"/>
      <c r="H44" s="57">
        <f>IFERROR(__xludf.DUMMYFUNCTION("""COMPUTED_VALUE"""),8.0)</f>
        <v>8</v>
      </c>
      <c r="I44" s="58">
        <f>IFERROR(__xludf.DUMMYFUNCTION("""COMPUTED_VALUE"""),0.0)</f>
        <v>0</v>
      </c>
      <c r="J44" s="59">
        <f>IFERROR(__xludf.DUMMYFUNCTION("""COMPUTED_VALUE"""),8.0)</f>
        <v>8</v>
      </c>
      <c r="K44" s="51"/>
      <c r="L44" s="61">
        <f>IFERROR(__xludf.DUMMYFUNCTION("""COMPUTED_VALUE"""),8.0)</f>
        <v>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IFERROR(__xludf.DUMMYFUNCTION("""COMPUTED_VALUE"""),"LUGO")</f>
        <v>LUGO</v>
      </c>
      <c r="C45" s="52" t="str">
        <f>IFERROR(__xludf.DUMMYFUNCTION("""COMPUTED_VALUE"""),"SOLARES")</f>
        <v>SOLARES</v>
      </c>
      <c r="D45" s="54" t="str">
        <f>IFERROR(__xludf.DUMMYFUNCTION("""COMPUTED_VALUE"""),"YAIR EMILIANO")</f>
        <v>YAIR EMILIANO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/>
      <c r="H45" s="57">
        <f>IFERROR(__xludf.DUMMYFUNCTION("""COMPUTED_VALUE"""),10.0)</f>
        <v>10</v>
      </c>
      <c r="I45" s="58">
        <f>IFERROR(__xludf.DUMMYFUNCTION("""COMPUTED_VALUE"""),0.0)</f>
        <v>0</v>
      </c>
      <c r="J45" s="59">
        <f>IFERROR(__xludf.DUMMYFUNCTION("""COMPUTED_VALUE"""),10.0)</f>
        <v>10</v>
      </c>
      <c r="K45" s="51"/>
      <c r="L45" s="61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IFERROR(__xludf.DUMMYFUNCTION("""COMPUTED_VALUE"""),"LUNA")</f>
        <v>LUNA</v>
      </c>
      <c r="C46" s="52" t="str">
        <f>IFERROR(__xludf.DUMMYFUNCTION("""COMPUTED_VALUE"""),"FRANCISCO")</f>
        <v>FRANCISCO</v>
      </c>
      <c r="D46" s="54" t="str">
        <f>IFERROR(__xludf.DUMMYFUNCTION("""COMPUTED_VALUE"""),"SAMANTHA ITZEL")</f>
        <v>SAMANTHA ITZEL</v>
      </c>
      <c r="E46" s="55">
        <f>IFERROR(__xludf.DUMMYFUNCTION("""COMPUTED_VALUE"""),0.0)</f>
        <v>0</v>
      </c>
      <c r="F46" s="55">
        <f>IFERROR(__xludf.DUMMYFUNCTION("""COMPUTED_VALUE"""),0.0)</f>
        <v>0</v>
      </c>
      <c r="G46" s="56"/>
      <c r="H46" s="57">
        <f>IFERROR(__xludf.DUMMYFUNCTION("""COMPUTED_VALUE"""),0.0)</f>
        <v>0</v>
      </c>
      <c r="I46" s="58">
        <f>IFERROR(__xludf.DUMMYFUNCTION("""COMPUTED_VALUE"""),6.0)</f>
        <v>6</v>
      </c>
      <c r="J46" s="59">
        <f>IFERROR(__xludf.DUMMYFUNCTION("""COMPUTED_VALUE"""),5.0)</f>
        <v>5</v>
      </c>
      <c r="K46" s="51"/>
      <c r="L46" s="61">
        <f>IFERROR(__xludf.DUMMYFUNCTION("""COMPUTED_VALUE"""),0.0)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IFERROR(__xludf.DUMMYFUNCTION("""COMPUTED_VALUE"""),"MARENTES")</f>
        <v>MARENTES</v>
      </c>
      <c r="C47" s="62" t="str">
        <f>IFERROR(__xludf.DUMMYFUNCTION("""COMPUTED_VALUE"""),"ROBLES")</f>
        <v>ROBLES</v>
      </c>
      <c r="D47" s="63" t="str">
        <f>IFERROR(__xludf.DUMMYFUNCTION("""COMPUTED_VALUE"""),"LUZ NATALIA")</f>
        <v>LUZ NATALIA</v>
      </c>
      <c r="E47" s="55">
        <f>IFERROR(__xludf.DUMMYFUNCTION("""COMPUTED_VALUE"""),8.0)</f>
        <v>8</v>
      </c>
      <c r="F47" s="55">
        <f>IFERROR(__xludf.DUMMYFUNCTION("""COMPUTED_VALUE"""),2.0)</f>
        <v>2</v>
      </c>
      <c r="G47" s="56"/>
      <c r="H47" s="57">
        <f>IFERROR(__xludf.DUMMYFUNCTION("""COMPUTED_VALUE"""),10.0)</f>
        <v>10</v>
      </c>
      <c r="I47" s="58">
        <f>IFERROR(__xludf.DUMMYFUNCTION("""COMPUTED_VALUE"""),0.0)</f>
        <v>0</v>
      </c>
      <c r="J47" s="59">
        <f>IFERROR(__xludf.DUMMYFUNCTION("""COMPUTED_VALUE"""),10.0)</f>
        <v>10</v>
      </c>
      <c r="K47" s="51"/>
      <c r="L47" s="61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IFERROR(__xludf.DUMMYFUNCTION("""COMPUTED_VALUE"""),"MARTINEZ")</f>
        <v>MARTINEZ</v>
      </c>
      <c r="C48" s="52" t="str">
        <f>IFERROR(__xludf.DUMMYFUNCTION("""COMPUTED_VALUE"""),"IBARRA")</f>
        <v>IBARRA</v>
      </c>
      <c r="D48" s="54" t="str">
        <f>IFERROR(__xludf.DUMMYFUNCTION("""COMPUTED_VALUE"""),"JOHAN ISAI")</f>
        <v>JOHAN ISAI</v>
      </c>
      <c r="E48" s="55">
        <f>IFERROR(__xludf.DUMMYFUNCTION("""COMPUTED_VALUE"""),8.0)</f>
        <v>8</v>
      </c>
      <c r="F48" s="55">
        <f>IFERROR(__xludf.DUMMYFUNCTION("""COMPUTED_VALUE"""),2.0)</f>
        <v>2</v>
      </c>
      <c r="G48" s="56"/>
      <c r="H48" s="57">
        <f>IFERROR(__xludf.DUMMYFUNCTION("""COMPUTED_VALUE"""),10.0)</f>
        <v>10</v>
      </c>
      <c r="I48" s="58">
        <f>IFERROR(__xludf.DUMMYFUNCTION("""COMPUTED_VALUE"""),0.0)</f>
        <v>0</v>
      </c>
      <c r="J48" s="59">
        <f>IFERROR(__xludf.DUMMYFUNCTION("""COMPUTED_VALUE"""),10.0)</f>
        <v>10</v>
      </c>
      <c r="K48" s="51"/>
      <c r="L48" s="61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IFERROR(__xludf.DUMMYFUNCTION("""COMPUTED_VALUE"""),"MARTINEZ")</f>
        <v>MARTINEZ</v>
      </c>
      <c r="C49" s="52" t="str">
        <f>IFERROR(__xludf.DUMMYFUNCTION("""COMPUTED_VALUE"""),"MANCILLA")</f>
        <v>MANCILLA</v>
      </c>
      <c r="D49" s="54" t="str">
        <f>IFERROR(__xludf.DUMMYFUNCTION("""COMPUTED_VALUE"""),"ZIT ZURIEL")</f>
        <v>ZIT ZURIEL</v>
      </c>
      <c r="E49" s="55">
        <f>IFERROR(__xludf.DUMMYFUNCTION("""COMPUTED_VALUE"""),6.0)</f>
        <v>6</v>
      </c>
      <c r="F49" s="55">
        <f>IFERROR(__xludf.DUMMYFUNCTION("""COMPUTED_VALUE"""),0.0)</f>
        <v>0</v>
      </c>
      <c r="G49" s="56"/>
      <c r="H49" s="57">
        <f>IFERROR(__xludf.DUMMYFUNCTION("""COMPUTED_VALUE"""),6.0)</f>
        <v>6</v>
      </c>
      <c r="I49" s="58">
        <f>IFERROR(__xludf.DUMMYFUNCTION("""COMPUTED_VALUE"""),0.0)</f>
        <v>0</v>
      </c>
      <c r="J49" s="59">
        <f>IFERROR(__xludf.DUMMYFUNCTION("""COMPUTED_VALUE"""),6.0)</f>
        <v>6</v>
      </c>
      <c r="K49" s="51"/>
      <c r="L49" s="61">
        <f>IFERROR(__xludf.DUMMYFUNCTION("""COMPUTED_VALUE"""),6.0)</f>
        <v>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IFERROR(__xludf.DUMMYFUNCTION("""COMPUTED_VALUE"""),"MORALES")</f>
        <v>MORALES</v>
      </c>
      <c r="C50" s="52" t="str">
        <f>IFERROR(__xludf.DUMMYFUNCTION("""COMPUTED_VALUE"""),"LORANCA")</f>
        <v>LORANCA</v>
      </c>
      <c r="D50" s="54" t="str">
        <f>IFERROR(__xludf.DUMMYFUNCTION("""COMPUTED_VALUE"""),"MATIAS DANIEL")</f>
        <v>MATIAS DANIEL</v>
      </c>
      <c r="E50" s="55">
        <f>IFERROR(__xludf.DUMMYFUNCTION("""COMPUTED_VALUE"""),3.0)</f>
        <v>3</v>
      </c>
      <c r="F50" s="55">
        <f>IFERROR(__xludf.DUMMYFUNCTION("""COMPUTED_VALUE"""),2.0)</f>
        <v>2</v>
      </c>
      <c r="G50" s="56"/>
      <c r="H50" s="57">
        <f>IFERROR(__xludf.DUMMYFUNCTION("""COMPUTED_VALUE"""),5.0)</f>
        <v>5</v>
      </c>
      <c r="I50" s="58">
        <f>IFERROR(__xludf.DUMMYFUNCTION("""COMPUTED_VALUE"""),0.0)</f>
        <v>0</v>
      </c>
      <c r="J50" s="59">
        <f>IFERROR(__xludf.DUMMYFUNCTION("""COMPUTED_VALUE"""),5.0)</f>
        <v>5</v>
      </c>
      <c r="K50" s="51"/>
      <c r="L50" s="61">
        <f>IFERROR(__xludf.DUMMYFUNCTION("""COMPUTED_VALUE"""),5.0)</f>
        <v>5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IFERROR(__xludf.DUMMYFUNCTION("""COMPUTED_VALUE"""),"MORALES")</f>
        <v>MORALES</v>
      </c>
      <c r="C51" s="52" t="str">
        <f>IFERROR(__xludf.DUMMYFUNCTION("""COMPUTED_VALUE"""),"PIÑON")</f>
        <v>PIÑON</v>
      </c>
      <c r="D51" s="54" t="str">
        <f>IFERROR(__xludf.DUMMYFUNCTION("""COMPUTED_VALUE"""),"NATALIA ABRIL")</f>
        <v>NATALIA ABRIL</v>
      </c>
      <c r="E51" s="55">
        <f>IFERROR(__xludf.DUMMYFUNCTION("""COMPUTED_VALUE"""),4.0)</f>
        <v>4</v>
      </c>
      <c r="F51" s="55">
        <f>IFERROR(__xludf.DUMMYFUNCTION("""COMPUTED_VALUE"""),2.0)</f>
        <v>2</v>
      </c>
      <c r="G51" s="56"/>
      <c r="H51" s="57">
        <f>IFERROR(__xludf.DUMMYFUNCTION("""COMPUTED_VALUE"""),6.0)</f>
        <v>6</v>
      </c>
      <c r="I51" s="58">
        <f>IFERROR(__xludf.DUMMYFUNCTION("""COMPUTED_VALUE"""),4.0)</f>
        <v>4</v>
      </c>
      <c r="J51" s="59">
        <f>IFERROR(__xludf.DUMMYFUNCTION("""COMPUTED_VALUE"""),6.0)</f>
        <v>6</v>
      </c>
      <c r="K51" s="51"/>
      <c r="L51" s="61">
        <f>IFERROR(__xludf.DUMMYFUNCTION("""COMPUTED_VALUE"""),6.0)</f>
        <v>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IFERROR(__xludf.DUMMYFUNCTION("""COMPUTED_VALUE"""),"NAVARRO")</f>
        <v>NAVARRO</v>
      </c>
      <c r="C52" s="52" t="str">
        <f>IFERROR(__xludf.DUMMYFUNCTION("""COMPUTED_VALUE"""),"ROMO")</f>
        <v>ROMO</v>
      </c>
      <c r="D52" s="54" t="str">
        <f>IFERROR(__xludf.DUMMYFUNCTION("""COMPUTED_VALUE"""),"MARCO ARIEL")</f>
        <v>MARCO ARIEL</v>
      </c>
      <c r="E52" s="55">
        <f>IFERROR(__xludf.DUMMYFUNCTION("""COMPUTED_VALUE"""),8.0)</f>
        <v>8</v>
      </c>
      <c r="F52" s="55">
        <f>IFERROR(__xludf.DUMMYFUNCTION("""COMPUTED_VALUE"""),2.0)</f>
        <v>2</v>
      </c>
      <c r="G52" s="56"/>
      <c r="H52" s="57">
        <f>IFERROR(__xludf.DUMMYFUNCTION("""COMPUTED_VALUE"""),10.0)</f>
        <v>10</v>
      </c>
      <c r="I52" s="58">
        <f>IFERROR(__xludf.DUMMYFUNCTION("""COMPUTED_VALUE"""),0.0)</f>
        <v>0</v>
      </c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IFERROR(__xludf.DUMMYFUNCTION("""COMPUTED_VALUE"""),"OLVERA")</f>
        <v>OLVERA</v>
      </c>
      <c r="C53" s="52" t="str">
        <f>IFERROR(__xludf.DUMMYFUNCTION("""COMPUTED_VALUE"""),"VALLE")</f>
        <v>VALLE</v>
      </c>
      <c r="D53" s="54" t="str">
        <f>IFERROR(__xludf.DUMMYFUNCTION("""COMPUTED_VALUE"""),"LAILA MELISA")</f>
        <v>LAILA MELISA</v>
      </c>
      <c r="E53" s="55">
        <f>IFERROR(__xludf.DUMMYFUNCTION("""COMPUTED_VALUE"""),5.0)</f>
        <v>5</v>
      </c>
      <c r="F53" s="55">
        <f>IFERROR(__xludf.DUMMYFUNCTION("""COMPUTED_VALUE"""),2.0)</f>
        <v>2</v>
      </c>
      <c r="G53" s="56">
        <f>IFERROR(__xludf.DUMMYFUNCTION("""COMPUTED_VALUE"""),1.0)</f>
        <v>1</v>
      </c>
      <c r="H53" s="57">
        <f>IFERROR(__xludf.DUMMYFUNCTION("""COMPUTED_VALUE"""),8.0)</f>
        <v>8</v>
      </c>
      <c r="I53" s="58">
        <f>IFERROR(__xludf.DUMMYFUNCTION("""COMPUTED_VALUE"""),2.0)</f>
        <v>2</v>
      </c>
      <c r="J53" s="59">
        <f>IFERROR(__xludf.DUMMYFUNCTION("""COMPUTED_VALUE"""),8.0)</f>
        <v>8</v>
      </c>
      <c r="K53" s="51"/>
      <c r="L53" s="60">
        <f>IFERROR(__xludf.DUMMYFUNCTION("""COMPUTED_VALUE"""),8.0)</f>
        <v>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IFERROR(__xludf.DUMMYFUNCTION("""COMPUTED_VALUE"""),"ORTIZ")</f>
        <v>ORTIZ</v>
      </c>
      <c r="C54" s="52" t="str">
        <f>IFERROR(__xludf.DUMMYFUNCTION("""COMPUTED_VALUE"""),"CARRILLO")</f>
        <v>CARRILLO</v>
      </c>
      <c r="D54" s="54" t="str">
        <f>IFERROR(__xludf.DUMMYFUNCTION("""COMPUTED_VALUE"""),"DORIAN ELIAS")</f>
        <v>DORIAN ELIAS</v>
      </c>
      <c r="E54" s="55">
        <f>IFERROR(__xludf.DUMMYFUNCTION("""COMPUTED_VALUE"""),8.0)</f>
        <v>8</v>
      </c>
      <c r="F54" s="55">
        <f>IFERROR(__xludf.DUMMYFUNCTION("""COMPUTED_VALUE"""),2.0)</f>
        <v>2</v>
      </c>
      <c r="G54" s="56"/>
      <c r="H54" s="57">
        <f>IFERROR(__xludf.DUMMYFUNCTION("""COMPUTED_VALUE"""),10.0)</f>
        <v>10</v>
      </c>
      <c r="I54" s="58">
        <f>IFERROR(__xludf.DUMMYFUNCTION("""COMPUTED_VALUE"""),0.0)</f>
        <v>0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IFERROR(__xludf.DUMMYFUNCTION("""COMPUTED_VALUE"""),"PEREA")</f>
        <v>PEREA</v>
      </c>
      <c r="C55" s="52" t="str">
        <f>IFERROR(__xludf.DUMMYFUNCTION("""COMPUTED_VALUE"""),"SALDAÑA")</f>
        <v>SALDAÑA</v>
      </c>
      <c r="D55" s="54" t="str">
        <f>IFERROR(__xludf.DUMMYFUNCTION("""COMPUTED_VALUE"""),"ASTRA TAMARA")</f>
        <v>ASTRA TAMARA</v>
      </c>
      <c r="E55" s="55">
        <f>IFERROR(__xludf.DUMMYFUNCTION("""COMPUTED_VALUE"""),8.0)</f>
        <v>8</v>
      </c>
      <c r="F55" s="55">
        <f>IFERROR(__xludf.DUMMYFUNCTION("""COMPUTED_VALUE"""),2.0)</f>
        <v>2</v>
      </c>
      <c r="G55" s="56"/>
      <c r="H55" s="57">
        <f>IFERROR(__xludf.DUMMYFUNCTION("""COMPUTED_VALUE"""),10.0)</f>
        <v>10</v>
      </c>
      <c r="I55" s="64">
        <f>IFERROR(__xludf.DUMMYFUNCTION("""COMPUTED_VALUE"""),0.0)</f>
        <v>0</v>
      </c>
      <c r="J55" s="59">
        <f>IFERROR(__xludf.DUMMYFUNCTION("""COMPUTED_VALUE"""),10.0)</f>
        <v>10</v>
      </c>
      <c r="K55" s="51"/>
      <c r="L55" s="60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IFERROR(__xludf.DUMMYFUNCTION("""COMPUTED_VALUE"""),"PEREZ")</f>
        <v>PEREZ</v>
      </c>
      <c r="C56" s="52" t="str">
        <f>IFERROR(__xludf.DUMMYFUNCTION("""COMPUTED_VALUE"""),"HERNANDEZ")</f>
        <v>HERNANDEZ</v>
      </c>
      <c r="D56" s="54" t="str">
        <f>IFERROR(__xludf.DUMMYFUNCTION("""COMPUTED_VALUE"""),"EDGAR ALEJANDRO")</f>
        <v>EDGAR ALEJANDRO</v>
      </c>
      <c r="E56" s="55">
        <f>IFERROR(__xludf.DUMMYFUNCTION("""COMPUTED_VALUE"""),8.0)</f>
        <v>8</v>
      </c>
      <c r="F56" s="55">
        <f>IFERROR(__xludf.DUMMYFUNCTION("""COMPUTED_VALUE"""),2.0)</f>
        <v>2</v>
      </c>
      <c r="G56" s="56"/>
      <c r="H56" s="57">
        <f>IFERROR(__xludf.DUMMYFUNCTION("""COMPUTED_VALUE"""),10.0)</f>
        <v>10</v>
      </c>
      <c r="I56" s="64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IFERROR(__xludf.DUMMYFUNCTION("""COMPUTED_VALUE"""),"PLAZA")</f>
        <v>PLAZA</v>
      </c>
      <c r="C57" s="62" t="str">
        <f>IFERROR(__xludf.DUMMYFUNCTION("""COMPUTED_VALUE"""),"LARA")</f>
        <v>LARA</v>
      </c>
      <c r="D57" s="63" t="str">
        <f>IFERROR(__xludf.DUMMYFUNCTION("""COMPUTED_VALUE"""),"IAN ALDAIR")</f>
        <v>IAN ALDAIR</v>
      </c>
      <c r="E57" s="55">
        <f>IFERROR(__xludf.DUMMYFUNCTION("""COMPUTED_VALUE"""),8.0)</f>
        <v>8</v>
      </c>
      <c r="F57" s="55">
        <f>IFERROR(__xludf.DUMMYFUNCTION("""COMPUTED_VALUE"""),2.0)</f>
        <v>2</v>
      </c>
      <c r="G57" s="56"/>
      <c r="H57" s="57">
        <f>IFERROR(__xludf.DUMMYFUNCTION("""COMPUTED_VALUE"""),10.0)</f>
        <v>10</v>
      </c>
      <c r="I57" s="64">
        <f>IFERROR(__xludf.DUMMYFUNCTION("""COMPUTED_VALUE"""),2.0)</f>
        <v>2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IFERROR(__xludf.DUMMYFUNCTION("""COMPUTED_VALUE"""),"RAMIREZ")</f>
        <v>RAMIREZ</v>
      </c>
      <c r="C58" s="52" t="str">
        <f>IFERROR(__xludf.DUMMYFUNCTION("""COMPUTED_VALUE"""),"DIAZ")</f>
        <v>DIAZ</v>
      </c>
      <c r="D58" s="54" t="str">
        <f>IFERROR(__xludf.DUMMYFUNCTION("""COMPUTED_VALUE"""),"OMEGA VALENTINA")</f>
        <v>OMEGA VALENTINA</v>
      </c>
      <c r="E58" s="55">
        <f>IFERROR(__xludf.DUMMYFUNCTION("""COMPUTED_VALUE"""),8.0)</f>
        <v>8</v>
      </c>
      <c r="F58" s="55">
        <f>IFERROR(__xludf.DUMMYFUNCTION("""COMPUTED_VALUE"""),2.0)</f>
        <v>2</v>
      </c>
      <c r="G58" s="56"/>
      <c r="H58" s="57">
        <f>IFERROR(__xludf.DUMMYFUNCTION("""COMPUTED_VALUE"""),10.0)</f>
        <v>10</v>
      </c>
      <c r="I58" s="64">
        <f>IFERROR(__xludf.DUMMYFUNCTION("""COMPUTED_VALUE"""),0.0)</f>
        <v>0</v>
      </c>
      <c r="J58" s="59">
        <f>IFERROR(__xludf.DUMMYFUNCTION("""COMPUTED_VALUE"""),10.0)</f>
        <v>10</v>
      </c>
      <c r="K58" s="51"/>
      <c r="L58" s="60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IFERROR(__xludf.DUMMYFUNCTION("""COMPUTED_VALUE"""),"RAMIREZ")</f>
        <v>RAMIREZ</v>
      </c>
      <c r="C59" s="62" t="str">
        <f>IFERROR(__xludf.DUMMYFUNCTION("""COMPUTED_VALUE"""),"TORRES")</f>
        <v>TORRES</v>
      </c>
      <c r="D59" s="63" t="str">
        <f>IFERROR(__xludf.DUMMYFUNCTION("""COMPUTED_VALUE"""),"PERCIVAL GABRIEL")</f>
        <v>PERCIVAL GABRIEL</v>
      </c>
      <c r="E59" s="55">
        <f>IFERROR(__xludf.DUMMYFUNCTION("""COMPUTED_VALUE"""),7.0)</f>
        <v>7</v>
      </c>
      <c r="F59" s="55">
        <f>IFERROR(__xludf.DUMMYFUNCTION("""COMPUTED_VALUE"""),2.0)</f>
        <v>2</v>
      </c>
      <c r="G59" s="56"/>
      <c r="H59" s="57">
        <f>IFERROR(__xludf.DUMMYFUNCTION("""COMPUTED_VALUE"""),9.0)</f>
        <v>9</v>
      </c>
      <c r="I59" s="64">
        <f>IFERROR(__xludf.DUMMYFUNCTION("""COMPUTED_VALUE"""),0.0)</f>
        <v>0</v>
      </c>
      <c r="J59" s="59">
        <f>IFERROR(__xludf.DUMMYFUNCTION("""COMPUTED_VALUE"""),9.0)</f>
        <v>9</v>
      </c>
      <c r="K59" s="51"/>
      <c r="L59" s="60">
        <f>IFERROR(__xludf.DUMMYFUNCTION("""COMPUTED_VALUE"""),9.0)</f>
        <v>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IFERROR(__xludf.DUMMYFUNCTION("""COMPUTED_VALUE"""),"RANGEL")</f>
        <v>RANGEL</v>
      </c>
      <c r="C60" s="62" t="str">
        <f>IFERROR(__xludf.DUMMYFUNCTION("""COMPUTED_VALUE"""),"JIMENEZ")</f>
        <v>JIMENEZ</v>
      </c>
      <c r="D60" s="63" t="str">
        <f>IFERROR(__xludf.DUMMYFUNCTION("""COMPUTED_VALUE"""),"PAOLA ALEJANDRA")</f>
        <v>PAOLA ALEJANDRA</v>
      </c>
      <c r="E60" s="55">
        <f>IFERROR(__xludf.DUMMYFUNCTION("""COMPUTED_VALUE"""),8.0)</f>
        <v>8</v>
      </c>
      <c r="F60" s="55">
        <f>IFERROR(__xludf.DUMMYFUNCTION("""COMPUTED_VALUE"""),2.0)</f>
        <v>2</v>
      </c>
      <c r="G60" s="56"/>
      <c r="H60" s="57">
        <f>IFERROR(__xludf.DUMMYFUNCTION("""COMPUTED_VALUE"""),10.0)</f>
        <v>10</v>
      </c>
      <c r="I60" s="64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IFERROR(__xludf.DUMMYFUNCTION("""COMPUTED_VALUE"""),"RIVERA")</f>
        <v>RIVERA</v>
      </c>
      <c r="C61" s="62" t="str">
        <f>IFERROR(__xludf.DUMMYFUNCTION("""COMPUTED_VALUE"""),"GARCIA")</f>
        <v>GARCIA</v>
      </c>
      <c r="D61" s="63" t="str">
        <f>IFERROR(__xludf.DUMMYFUNCTION("""COMPUTED_VALUE"""),"ASTRID MICHELLE")</f>
        <v>ASTRID MICHELLE</v>
      </c>
      <c r="E61" s="55">
        <f>IFERROR(__xludf.DUMMYFUNCTION("""COMPUTED_VALUE"""),7.0)</f>
        <v>7</v>
      </c>
      <c r="F61" s="55">
        <f>IFERROR(__xludf.DUMMYFUNCTION("""COMPUTED_VALUE"""),2.0)</f>
        <v>2</v>
      </c>
      <c r="G61" s="56"/>
      <c r="H61" s="57">
        <f>IFERROR(__xludf.DUMMYFUNCTION("""COMPUTED_VALUE"""),9.0)</f>
        <v>9</v>
      </c>
      <c r="I61" s="64">
        <f>IFERROR(__xludf.DUMMYFUNCTION("""COMPUTED_VALUE"""),0.0)</f>
        <v>0</v>
      </c>
      <c r="J61" s="59">
        <f>IFERROR(__xludf.DUMMYFUNCTION("""COMPUTED_VALUE"""),9.0)</f>
        <v>9</v>
      </c>
      <c r="K61" s="51"/>
      <c r="L61" s="60">
        <f>IFERROR(__xludf.DUMMYFUNCTION("""COMPUTED_VALUE"""),9.0)</f>
        <v>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IFERROR(__xludf.DUMMYFUNCTION("""COMPUTED_VALUE"""),"RODRIGUEZ")</f>
        <v>RODRIGUEZ</v>
      </c>
      <c r="C62" s="62" t="str">
        <f>IFERROR(__xludf.DUMMYFUNCTION("""COMPUTED_VALUE"""),"CAMACHO")</f>
        <v>CAMACHO</v>
      </c>
      <c r="D62" s="63" t="str">
        <f>IFERROR(__xludf.DUMMYFUNCTION("""COMPUTED_VALUE"""),"ENRIQUE SALVADOR")</f>
        <v>ENRIQUE SALVADOR</v>
      </c>
      <c r="E62" s="55">
        <f>IFERROR(__xludf.DUMMYFUNCTION("""COMPUTED_VALUE"""),7.0)</f>
        <v>7</v>
      </c>
      <c r="F62" s="55">
        <f>IFERROR(__xludf.DUMMYFUNCTION("""COMPUTED_VALUE"""),2.0)</f>
        <v>2</v>
      </c>
      <c r="G62" s="56"/>
      <c r="H62" s="57">
        <f>IFERROR(__xludf.DUMMYFUNCTION("""COMPUTED_VALUE"""),9.0)</f>
        <v>9</v>
      </c>
      <c r="I62" s="64">
        <f>IFERROR(__xludf.DUMMYFUNCTION("""COMPUTED_VALUE"""),0.0)</f>
        <v>0</v>
      </c>
      <c r="J62" s="59">
        <f>IFERROR(__xludf.DUMMYFUNCTION("""COMPUTED_VALUE"""),9.0)</f>
        <v>9</v>
      </c>
      <c r="K62" s="51"/>
      <c r="L62" s="60">
        <f>IFERROR(__xludf.DUMMYFUNCTION("""COMPUTED_VALUE"""),9.0)</f>
        <v>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IFERROR(__xludf.DUMMYFUNCTION("""COMPUTED_VALUE"""),"RODRIGUEZ")</f>
        <v>RODRIGUEZ</v>
      </c>
      <c r="C63" s="62" t="str">
        <f>IFERROR(__xludf.DUMMYFUNCTION("""COMPUTED_VALUE"""),"ROSAS")</f>
        <v>ROSAS</v>
      </c>
      <c r="D63" s="63" t="str">
        <f>IFERROR(__xludf.DUMMYFUNCTION("""COMPUTED_VALUE"""),"QUETZALI")</f>
        <v>QUETZALI</v>
      </c>
      <c r="E63" s="55">
        <f>IFERROR(__xludf.DUMMYFUNCTION("""COMPUTED_VALUE"""),8.0)</f>
        <v>8</v>
      </c>
      <c r="F63" s="55">
        <f>IFERROR(__xludf.DUMMYFUNCTION("""COMPUTED_VALUE"""),2.0)</f>
        <v>2</v>
      </c>
      <c r="G63" s="56"/>
      <c r="H63" s="57">
        <f>IFERROR(__xludf.DUMMYFUNCTION("""COMPUTED_VALUE"""),10.0)</f>
        <v>10</v>
      </c>
      <c r="I63" s="64">
        <f>IFERROR(__xludf.DUMMYFUNCTION("""COMPUTED_VALUE"""),2.0)</f>
        <v>2</v>
      </c>
      <c r="J63" s="59">
        <f>IFERROR(__xludf.DUMMYFUNCTION("""COMPUTED_VALUE"""),10.0)</f>
        <v>10</v>
      </c>
      <c r="K63" s="51"/>
      <c r="L63" s="60">
        <f>IFERROR(__xludf.DUMMYFUNCTION("""COMPUTED_VALUE"""),10.0)</f>
        <v>10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IFERROR(__xludf.DUMMYFUNCTION("""COMPUTED_VALUE"""),"SANCHEZ")</f>
        <v>SANCHEZ</v>
      </c>
      <c r="C64" s="62" t="str">
        <f>IFERROR(__xludf.DUMMYFUNCTION("""COMPUTED_VALUE"""),"BERMUDEZ")</f>
        <v>BERMUDEZ</v>
      </c>
      <c r="D64" s="63" t="str">
        <f>IFERROR(__xludf.DUMMYFUNCTION("""COMPUTED_VALUE"""),"JORGE")</f>
        <v>JORGE</v>
      </c>
      <c r="E64" s="55">
        <f>IFERROR(__xludf.DUMMYFUNCTION("""COMPUTED_VALUE"""),7.0)</f>
        <v>7</v>
      </c>
      <c r="F64" s="55">
        <f>IFERROR(__xludf.DUMMYFUNCTION("""COMPUTED_VALUE"""),2.0)</f>
        <v>2</v>
      </c>
      <c r="G64" s="56"/>
      <c r="H64" s="57">
        <f>IFERROR(__xludf.DUMMYFUNCTION("""COMPUTED_VALUE"""),9.0)</f>
        <v>9</v>
      </c>
      <c r="I64" s="64">
        <f>IFERROR(__xludf.DUMMYFUNCTION("""COMPUTED_VALUE"""),2.0)</f>
        <v>2</v>
      </c>
      <c r="J64" s="59">
        <f>IFERROR(__xludf.DUMMYFUNCTION("""COMPUTED_VALUE"""),9.0)</f>
        <v>9</v>
      </c>
      <c r="K64" s="51"/>
      <c r="L64" s="60">
        <f>IFERROR(__xludf.DUMMYFUNCTION("""COMPUTED_VALUE"""),9.0)</f>
        <v>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IFERROR(__xludf.DUMMYFUNCTION("""COMPUTED_VALUE"""),"VELAZQUEZ")</f>
        <v>VELAZQUEZ</v>
      </c>
      <c r="D65" s="63" t="str">
        <f>IFERROR(__xludf.DUMMYFUNCTION("""COMPUTED_VALUE"""),"RENATA VICTORIA")</f>
        <v>RENATA VICTORIA</v>
      </c>
      <c r="E65" s="55">
        <f>IFERROR(__xludf.DUMMYFUNCTION("""COMPUTED_VALUE"""),7.0)</f>
        <v>7</v>
      </c>
      <c r="F65" s="55">
        <f>IFERROR(__xludf.DUMMYFUNCTION("""COMPUTED_VALUE"""),2.0)</f>
        <v>2</v>
      </c>
      <c r="G65" s="56"/>
      <c r="H65" s="57">
        <f>IFERROR(__xludf.DUMMYFUNCTION("""COMPUTED_VALUE"""),9.0)</f>
        <v>9</v>
      </c>
      <c r="I65" s="55">
        <f>IFERROR(__xludf.DUMMYFUNCTION("""COMPUTED_VALUE"""),2.0)</f>
        <v>2</v>
      </c>
      <c r="J65" s="59">
        <f>IFERROR(__xludf.DUMMYFUNCTION("""COMPUTED_VALUE"""),9.0)</f>
        <v>9</v>
      </c>
      <c r="K65" s="51"/>
      <c r="L65" s="60">
        <f>IFERROR(__xludf.DUMMYFUNCTION("""COMPUTED_VALUE"""),9.0)</f>
        <v>9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IFERROR(__xludf.DUMMYFUNCTION("""COMPUTED_VALUE"""),"TREJO")</f>
        <v>TREJO</v>
      </c>
      <c r="C66" s="62" t="str">
        <f>IFERROR(__xludf.DUMMYFUNCTION("""COMPUTED_VALUE"""),"PERAL")</f>
        <v>PERAL</v>
      </c>
      <c r="D66" s="63" t="str">
        <f>IFERROR(__xludf.DUMMYFUNCTION("""COMPUTED_VALUE"""),"AIKO REGINA")</f>
        <v>AIKO REGINA</v>
      </c>
      <c r="E66" s="55">
        <f>IFERROR(__xludf.DUMMYFUNCTION("""COMPUTED_VALUE"""),3.0)</f>
        <v>3</v>
      </c>
      <c r="F66" s="55">
        <f>IFERROR(__xludf.DUMMYFUNCTION("""COMPUTED_VALUE"""),2.0)</f>
        <v>2</v>
      </c>
      <c r="G66" s="56"/>
      <c r="H66" s="57">
        <f>IFERROR(__xludf.DUMMYFUNCTION("""COMPUTED_VALUE"""),5.0)</f>
        <v>5</v>
      </c>
      <c r="I66" s="55">
        <f>IFERROR(__xludf.DUMMYFUNCTION("""COMPUTED_VALUE"""),0.0)</f>
        <v>0</v>
      </c>
      <c r="J66" s="59">
        <f>IFERROR(__xludf.DUMMYFUNCTION("""COMPUTED_VALUE"""),5.0)</f>
        <v>5</v>
      </c>
      <c r="K66" s="51"/>
      <c r="L66" s="60">
        <f>IFERROR(__xludf.DUMMYFUNCTION("""COMPUTED_VALUE"""),5.0)</f>
        <v>5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IFERROR(__xludf.DUMMYFUNCTION("""COMPUTED_VALUE"""),"TREJO")</f>
        <v>TREJO</v>
      </c>
      <c r="C67" s="62" t="str">
        <f>IFERROR(__xludf.DUMMYFUNCTION("""COMPUTED_VALUE"""),"PEREZ")</f>
        <v>PEREZ</v>
      </c>
      <c r="D67" s="63" t="str">
        <f>IFERROR(__xludf.DUMMYFUNCTION("""COMPUTED_VALUE"""),"ANGEL SANTIAGO")</f>
        <v>ANGEL SANTIAGO</v>
      </c>
      <c r="E67" s="55">
        <f>IFERROR(__xludf.DUMMYFUNCTION("""COMPUTED_VALUE"""),7.0)</f>
        <v>7</v>
      </c>
      <c r="F67" s="55">
        <f>IFERROR(__xludf.DUMMYFUNCTION("""COMPUTED_VALUE"""),2.0)</f>
        <v>2</v>
      </c>
      <c r="G67" s="56"/>
      <c r="H67" s="57">
        <f>IFERROR(__xludf.DUMMYFUNCTION("""COMPUTED_VALUE"""),9.0)</f>
        <v>9</v>
      </c>
      <c r="I67" s="55">
        <f>IFERROR(__xludf.DUMMYFUNCTION("""COMPUTED_VALUE"""),0.0)</f>
        <v>0</v>
      </c>
      <c r="J67" s="59">
        <f>IFERROR(__xludf.DUMMYFUNCTION("""COMPUTED_VALUE"""),9.0)</f>
        <v>9</v>
      </c>
      <c r="K67" s="51"/>
      <c r="L67" s="60">
        <f>IFERROR(__xludf.DUMMYFUNCTION("""COMPUTED_VALUE"""),9.0)</f>
        <v>9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IFERROR(__xludf.DUMMYFUNCTION("""COMPUTED_VALUE"""),"VAZQUEZ")</f>
        <v>VAZQUEZ</v>
      </c>
      <c r="C68" s="62" t="str">
        <f>IFERROR(__xludf.DUMMYFUNCTION("""COMPUTED_VALUE"""),"FABILA")</f>
        <v>FABILA</v>
      </c>
      <c r="D68" s="66" t="str">
        <f>IFERROR(__xludf.DUMMYFUNCTION("""COMPUTED_VALUE"""),"LUZ MARIANA")</f>
        <v>LUZ MARIANA</v>
      </c>
      <c r="E68" s="55">
        <f>IFERROR(__xludf.DUMMYFUNCTION("""COMPUTED_VALUE"""),8.0)</f>
        <v>8</v>
      </c>
      <c r="F68" s="55">
        <f>IFERROR(__xludf.DUMMYFUNCTION("""COMPUTED_VALUE"""),2.0)</f>
        <v>2</v>
      </c>
      <c r="G68" s="56"/>
      <c r="H68" s="57">
        <f>IFERROR(__xludf.DUMMYFUNCTION("""COMPUTED_VALUE"""),10.0)</f>
        <v>10</v>
      </c>
      <c r="I68" s="64">
        <f>IFERROR(__xludf.DUMMYFUNCTION("""COMPUTED_VALUE"""),0.0)</f>
        <v>0</v>
      </c>
      <c r="J68" s="59">
        <f>IFERROR(__xludf.DUMMYFUNCTION("""COMPUTED_VALUE"""),10.0)</f>
        <v>10</v>
      </c>
      <c r="K68" s="51"/>
      <c r="L68" s="60">
        <f>IFERROR(__xludf.DUMMYFUNCTION("""COMPUTED_VALUE"""),10.0)</f>
        <v>10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IFERROR(__xludf.DUMMYFUNCTION("""COMPUTED_VALUE"""),"VILLEGAS")</f>
        <v>VILLEGAS</v>
      </c>
      <c r="C69" s="62" t="str">
        <f>IFERROR(__xludf.DUMMYFUNCTION("""COMPUTED_VALUE"""),"SANCHEZ")</f>
        <v>SANCHEZ</v>
      </c>
      <c r="D69" s="66" t="str">
        <f>IFERROR(__xludf.DUMMYFUNCTION("""COMPUTED_VALUE"""),"FATIMA ANAHI")</f>
        <v>FATIMA ANAHI</v>
      </c>
      <c r="E69" s="55">
        <f>IFERROR(__xludf.DUMMYFUNCTION("""COMPUTED_VALUE"""),7.0)</f>
        <v>7</v>
      </c>
      <c r="F69" s="55">
        <f>IFERROR(__xludf.DUMMYFUNCTION("""COMPUTED_VALUE"""),2.0)</f>
        <v>2</v>
      </c>
      <c r="G69" s="56"/>
      <c r="H69" s="57">
        <f>IFERROR(__xludf.DUMMYFUNCTION("""COMPUTED_VALUE"""),9.0)</f>
        <v>9</v>
      </c>
      <c r="I69" s="64">
        <f>IFERROR(__xludf.DUMMYFUNCTION("""COMPUTED_VALUE"""),0.0)</f>
        <v>0</v>
      </c>
      <c r="J69" s="59">
        <f>IFERROR(__xludf.DUMMYFUNCTION("""COMPUTED_VALUE"""),9.0)</f>
        <v>9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IFERROR(__xludf.DUMMYFUNCTION("""COMPUTED_VALUE"""),"ZAMORA")</f>
        <v>ZAMORA</v>
      </c>
      <c r="C70" s="62" t="str">
        <f>IFERROR(__xludf.DUMMYFUNCTION("""COMPUTED_VALUE"""),"REYES")</f>
        <v>REYES</v>
      </c>
      <c r="D70" s="66" t="str">
        <f>IFERROR(__xludf.DUMMYFUNCTION("""COMPUTED_VALUE"""),"SANTIAGO")</f>
        <v>SANTIAGO</v>
      </c>
      <c r="E70" s="55">
        <f>IFERROR(__xludf.DUMMYFUNCTION("""COMPUTED_VALUE"""),0.0)</f>
        <v>0</v>
      </c>
      <c r="F70" s="55">
        <f>IFERROR(__xludf.DUMMYFUNCTION("""COMPUTED_VALUE"""),0.0)</f>
        <v>0</v>
      </c>
      <c r="G70" s="56"/>
      <c r="H70" s="57">
        <f>IFERROR(__xludf.DUMMYFUNCTION("""COMPUTED_VALUE"""),0.0)</f>
        <v>0</v>
      </c>
      <c r="I70" s="55">
        <f>IFERROR(__xludf.DUMMYFUNCTION("""COMPUTED_VALUE"""),0.0)</f>
        <v>0</v>
      </c>
      <c r="J70" s="59">
        <f>IFERROR(__xludf.DUMMYFUNCTION("""COMPUTED_VALUE"""),5.0)</f>
        <v>5</v>
      </c>
      <c r="K70" s="51"/>
      <c r="L70" s="6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2.5" customHeight="1">
      <c r="A71" s="6"/>
      <c r="B71" s="69"/>
      <c r="C71" s="69"/>
      <c r="D71" s="69"/>
      <c r="E71" s="70"/>
      <c r="F71" s="69"/>
      <c r="G71" s="69"/>
      <c r="H71" s="69"/>
      <c r="I71" s="69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71"/>
      <c r="B72" s="72" t="str">
        <f>IFERROR(__xludf.DUMMYFUNCTION("""COMPUTED_VALUE"""),"No. DE ALUMNOS INSCRITOS")</f>
        <v>No. DE ALUMNOS INSCRITOS</v>
      </c>
      <c r="C72" s="73"/>
      <c r="D72" s="115">
        <f>IFERROR(__xludf.DUMMYFUNCTION("""COMPUTED_VALUE"""),54.0)</f>
        <v>54</v>
      </c>
      <c r="E72" s="69"/>
      <c r="F72" s="116" t="str">
        <f>IFERROR(__xludf.DUMMYFUNCTION("""COMPUTED_VALUE"""),"FIRMA DEL PROFESOR")</f>
        <v>FIRMA DEL PROFESOR</v>
      </c>
      <c r="G72" s="75"/>
      <c r="H72" s="116" t="str">
        <f>IFERROR(__xludf.DUMMYFUNCTION("""COMPUTED_VALUE"""),"FIRMA DEL ORIENTADOR")</f>
        <v>FIRMA DEL ORIENTADOR</v>
      </c>
      <c r="J72" s="117" t="str">
        <f>IFERROR(__xludf.DUMMYFUNCTION("""COMPUTED_VALUE"""),"Vo. Bo. SUBDIRECCIÓN ESCOLAR")</f>
        <v>Vo. Bo. SUBDIRECCIÓN ESCOLAR</v>
      </c>
      <c r="K72" s="77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78" t="str">
        <f>IFERROR(__xludf.DUMMYFUNCTION("""COMPUTED_VALUE"""),"BAJAS DURANTE EL SEMESTRE")</f>
        <v>BAJAS DURANTE EL SEMESTRE</v>
      </c>
      <c r="C73" s="79"/>
      <c r="D73" s="114">
        <f>IFERROR(__xludf.DUMMYFUNCTION("""COMPUTED_VALUE"""),0.0)</f>
        <v>0</v>
      </c>
      <c r="E73" s="69"/>
      <c r="G73" s="75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1"/>
      <c r="B74" s="78" t="str">
        <f>IFERROR(__xludf.DUMMYFUNCTION("""COMPUTED_VALUE"""),"EXISTENCIA")</f>
        <v>EXISTENCIA</v>
      </c>
      <c r="C74" s="79"/>
      <c r="D74" s="81">
        <f>IFERROR(__xludf.DUMMYFUNCTION("""COMPUTED_VALUE"""),54.0)</f>
        <v>54</v>
      </c>
      <c r="E74" s="69"/>
      <c r="F74" s="82"/>
      <c r="G74" s="83"/>
      <c r="H74" s="82"/>
      <c r="I74" s="82"/>
      <c r="J74" s="84"/>
      <c r="K74" s="8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1"/>
      <c r="B75" s="78" t="str">
        <f>IFERROR(__xludf.DUMMYFUNCTION("""COMPUTED_VALUE"""),"No. DE ALUMNOS APROBADOS")</f>
        <v>No. DE ALUMNOS APROBADOS</v>
      </c>
      <c r="C75" s="79"/>
      <c r="D75" s="81">
        <f>IFERROR(__xludf.DUMMYFUNCTION("""COMPUTED_VALUE"""),47.0)</f>
        <v>47</v>
      </c>
      <c r="E75" s="69"/>
      <c r="F75" s="82"/>
      <c r="G75" s="83"/>
      <c r="H75" s="82"/>
      <c r="I75" s="82"/>
      <c r="J75" s="84"/>
      <c r="K75" s="8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1"/>
      <c r="B76" s="78" t="str">
        <f>IFERROR(__xludf.DUMMYFUNCTION("""COMPUTED_VALUE"""),"No. DE ALUMNOS REPROBADOS")</f>
        <v>No. DE ALUMNOS REPROBADOS</v>
      </c>
      <c r="C76" s="79"/>
      <c r="D76" s="81">
        <f>IFERROR(__xludf.DUMMYFUNCTION("""COMPUTED_VALUE"""),7.0)</f>
        <v>7</v>
      </c>
      <c r="E76" s="69"/>
      <c r="F76" s="118" t="str">
        <f>IFERROR(__xludf.DUMMYFUNCTION("""COMPUTED_VALUE"""),"ROSALVA ANDREA AZPEITIA CORREA")</f>
        <v>ROSALVA ANDREA AZPEITIA CORREA</v>
      </c>
      <c r="G76" s="83"/>
      <c r="H76" s="86"/>
      <c r="I76" s="86"/>
      <c r="J76" s="87"/>
      <c r="K76" s="8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1"/>
      <c r="B77" s="78" t="str">
        <f>IFERROR(__xludf.DUMMYFUNCTION("""COMPUTED_VALUE"""),"% DE APROBADOS")</f>
        <v>% DE APROBADOS</v>
      </c>
      <c r="C77" s="79"/>
      <c r="D77" s="89">
        <f>IFERROR(__xludf.DUMMYFUNCTION("""COMPUTED_VALUE"""),87.03703703703704)</f>
        <v>87.03703704</v>
      </c>
      <c r="E77" s="69"/>
      <c r="F77" s="90" t="str">
        <f>IFERROR(__xludf.DUMMYFUNCTION("""COMPUTED_VALUE"""),"PROFR. ")</f>
        <v>PROFR. </v>
      </c>
      <c r="G77" s="91"/>
      <c r="H77" s="92" t="str">
        <f>IFERROR(__xludf.DUMMYFUNCTION("""COMPUTED_VALUE"""),"PROFR. JOSÉ EDGAR SALAZAR ZÚÑIGA")</f>
        <v>PROFR. JOSÉ EDGAR SALAZAR ZÚÑIGA</v>
      </c>
      <c r="J77" s="93" t="str">
        <f>IFERROR(__xludf.DUMMYFUNCTION("""COMPUTED_VALUE"""),"PROFR. OCTAVIO VÁZQUEZ BARRETO")</f>
        <v>PROFR. OCTAVIO VÁZQUEZ BARRETO</v>
      </c>
      <c r="K77" s="94" t="str">
        <f>IFERROR(__xludf.DUMMYFUNCTION("""COMPUTED_VALUE"""),"PROFR. ROBERTO PALOMARES MEJÍA ")</f>
        <v>PROFR. ROBERTO PALOMARES MEJÍA </v>
      </c>
      <c r="L77" s="9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71"/>
      <c r="B78" s="96" t="str">
        <f>IFERROR(__xludf.DUMMYFUNCTION("""COMPUTED_VALUE"""),"PROMEDIO")</f>
        <v>PROMEDIO</v>
      </c>
      <c r="C78" s="97"/>
      <c r="D78" s="98">
        <f>IFERROR(__xludf.DUMMYFUNCTION("""COMPUTED_VALUE"""),8.592592592592593)</f>
        <v>8.592592593</v>
      </c>
      <c r="E78" s="69"/>
      <c r="G78" s="91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99"/>
      <c r="B80" s="100"/>
      <c r="C80" s="101"/>
      <c r="D80" s="101"/>
      <c r="E80" s="69"/>
      <c r="G80" s="7"/>
      <c r="H80" s="7"/>
      <c r="I80" s="7"/>
      <c r="J80" s="7"/>
      <c r="K80" s="102"/>
      <c r="L80" s="10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4"/>
      <c r="B81" s="69"/>
      <c r="C81" s="69"/>
      <c r="D81" s="69"/>
      <c r="E81" s="7"/>
      <c r="F81" s="1"/>
      <c r="G81" s="1"/>
      <c r="H81" s="1"/>
      <c r="I81" s="1"/>
      <c r="J81" s="1"/>
      <c r="K81" s="8"/>
      <c r="L81" s="10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4"/>
      <c r="B82" s="69"/>
      <c r="C82" s="69"/>
      <c r="D82" s="69"/>
      <c r="E82" s="7"/>
      <c r="F82" s="1"/>
      <c r="G82" s="1"/>
      <c r="H82" s="1"/>
      <c r="I82" s="1"/>
      <c r="J82" s="1"/>
      <c r="K82" s="8"/>
      <c r="L82" s="10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6"/>
      <c r="B83" s="107"/>
      <c r="C83" s="107"/>
      <c r="D83" s="107"/>
      <c r="E83" s="108"/>
      <c r="F83" s="109"/>
      <c r="G83" s="109"/>
      <c r="H83" s="109"/>
      <c r="I83" s="109"/>
      <c r="J83" s="109"/>
      <c r="K83" s="110"/>
      <c r="L83" s="10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12"/>
      <c r="K84" s="112"/>
      <c r="L84" s="11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12"/>
      <c r="K85" s="112"/>
      <c r="L85" s="11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12"/>
      <c r="K86" s="112"/>
      <c r="L86" s="11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12"/>
      <c r="K87" s="112"/>
      <c r="L87" s="11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1"/>
      <c r="C89" s="111"/>
      <c r="D89" s="111"/>
      <c r="E89" s="111"/>
      <c r="F89" s="1"/>
      <c r="G89" s="1"/>
      <c r="H89" s="1"/>
      <c r="I89" s="1"/>
      <c r="J89" s="1"/>
      <c r="K89" s="11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1"/>
      <c r="C90" s="111"/>
      <c r="D90" s="111"/>
      <c r="E90" s="11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1"/>
      <c r="C91" s="111"/>
      <c r="D91" s="111"/>
      <c r="E91" s="11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1"/>
      <c r="C92" s="111"/>
      <c r="D92" s="111"/>
      <c r="E92" s="11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1"/>
      <c r="C93" s="111"/>
      <c r="D93" s="111"/>
      <c r="E93" s="11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1"/>
      <c r="C94" s="111"/>
      <c r="D94" s="111"/>
      <c r="E94" s="11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1"/>
      <c r="C95" s="111"/>
      <c r="D95" s="111"/>
      <c r="E95" s="11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IFERROR(__xludf.DUMMYFUNCTION("IMPORTRANGE(""https://docs.google.com/spreadsheets/d/1FzXi7RyoYG1GfH6ZQa4ZJAwut3yfUjsE2trjXNRxIhI/edit?gid=1784831570#gid=1784831570"",""1-2 ciencias naturales experimentales y tecnologia!A1:Q85"")"),"")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IFERROR(__xludf.DUMMYFUNCTION("""COMPUTED_VALUE"""),"JORGE ISRAEL BARRERA ARGUELLES")</f>
        <v>JORGE ISRAEL BARRERA ARGUELLES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IFERROR(__xludf.DUMMYFUNCTION("""COMPUTED_VALUE"""),"CIENCIAS NATURALES EXPERIMENTALES Y TECNOLOGÍA II")</f>
        <v>CIENCIAS NATURALES EXPERIMENTALES Y TECNOLOGÍA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IFERROR(__xludf.DUMMYFUNCTION("""COMPUTED_VALUE"""),"AMBROSIO")</f>
        <v>AMBROSIO</v>
      </c>
      <c r="C17" s="53" t="str">
        <f>IFERROR(__xludf.DUMMYFUNCTION("""COMPUTED_VALUE"""),"RAMIREZ")</f>
        <v>RAMIREZ</v>
      </c>
      <c r="D17" s="54" t="str">
        <f>IFERROR(__xludf.DUMMYFUNCTION("""COMPUTED_VALUE"""),"ALEXANDRA")</f>
        <v>ALEXANDRA</v>
      </c>
      <c r="E17" s="55">
        <f>IFERROR(__xludf.DUMMYFUNCTION("""COMPUTED_VALUE"""),4.0)</f>
        <v>4</v>
      </c>
      <c r="F17" s="55">
        <f>IFERROR(__xludf.DUMMYFUNCTION("""COMPUTED_VALUE"""),2.0)</f>
        <v>2</v>
      </c>
      <c r="G17" s="56">
        <f>IFERROR(__xludf.DUMMYFUNCTION("""COMPUTED_VALUE"""),0.0)</f>
        <v>0</v>
      </c>
      <c r="H17" s="57">
        <f>IFERROR(__xludf.DUMMYFUNCTION("""COMPUTED_VALUE"""),6.0)</f>
        <v>6</v>
      </c>
      <c r="I17" s="58">
        <f>IFERROR(__xludf.DUMMYFUNCTION("""COMPUTED_VALUE"""),1.0)</f>
        <v>1</v>
      </c>
      <c r="J17" s="59">
        <f>IFERROR(__xludf.DUMMYFUNCTION("""COMPUTED_VALUE"""),6.0)</f>
        <v>6</v>
      </c>
      <c r="K17" s="60"/>
      <c r="L17" s="61">
        <f>IFERROR(__xludf.DUMMYFUNCTION("""COMPUTED_VALUE"""),6.0)</f>
        <v>6</v>
      </c>
      <c r="M17" s="1" t="str">
        <f>IFERROR(__xludf.DUMMYFUNCTION("""COMPUTED_VALUE"""),"Febrero")</f>
        <v>Febrero</v>
      </c>
      <c r="N17" s="1">
        <f>IFERROR(__xludf.DUMMYFUNCTION("""COMPUTED_VALUE"""),16.0)</f>
        <v>16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IFERROR(__xludf.DUMMYFUNCTION("""COMPUTED_VALUE"""),"AVILA")</f>
        <v>AVILA</v>
      </c>
      <c r="C18" s="52" t="str">
        <f>IFERROR(__xludf.DUMMYFUNCTION("""COMPUTED_VALUE"""),"MORALES")</f>
        <v>MORALES</v>
      </c>
      <c r="D18" s="54" t="str">
        <f>IFERROR(__xludf.DUMMYFUNCTION("""COMPUTED_VALUE"""),"EDWIN ADAHIR")</f>
        <v>EDWIN ADAHIR</v>
      </c>
      <c r="E18" s="55">
        <f>IFERROR(__xludf.DUMMYFUNCTION("""COMPUTED_VALUE"""),2.0)</f>
        <v>2</v>
      </c>
      <c r="F18" s="55">
        <f>IFERROR(__xludf.DUMMYFUNCTION("""COMPUTED_VALUE"""),0.0)</f>
        <v>0</v>
      </c>
      <c r="G18" s="56">
        <f>IFERROR(__xludf.DUMMYFUNCTION("""COMPUTED_VALUE"""),0.0)</f>
        <v>0</v>
      </c>
      <c r="H18" s="57">
        <f>IFERROR(__xludf.DUMMYFUNCTION("""COMPUTED_VALUE"""),2.0)</f>
        <v>2</v>
      </c>
      <c r="I18" s="58">
        <f>IFERROR(__xludf.DUMMYFUNCTION("""COMPUTED_VALUE"""),3.0)</f>
        <v>3</v>
      </c>
      <c r="J18" s="59">
        <f>IFERROR(__xludf.DUMMYFUNCTION("""COMPUTED_VALUE"""),5.0)</f>
        <v>5</v>
      </c>
      <c r="K18" s="51"/>
      <c r="L18" s="61">
        <f>IFERROR(__xludf.DUMMYFUNCTION("""COMPUTED_VALUE"""),2.0)</f>
        <v>2</v>
      </c>
      <c r="M18" s="1" t="str">
        <f>IFERROR(__xludf.DUMMYFUNCTION("""COMPUTED_VALUE"""),"Marzo")</f>
        <v>Marzo</v>
      </c>
      <c r="N18" s="1">
        <f>IFERROR(__xludf.DUMMYFUNCTION("""COMPUTED_VALUE"""),16.0)</f>
        <v>16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IFERROR(__xludf.DUMMYFUNCTION("""COMPUTED_VALUE"""),"AVILA")</f>
        <v>AVILA</v>
      </c>
      <c r="C19" s="52" t="str">
        <f>IFERROR(__xludf.DUMMYFUNCTION("""COMPUTED_VALUE"""),"RAMIREZ")</f>
        <v>RAMIREZ</v>
      </c>
      <c r="D19" s="54" t="str">
        <f>IFERROR(__xludf.DUMMYFUNCTION("""COMPUTED_VALUE"""),"SANTIAGO")</f>
        <v>SANTIAGO</v>
      </c>
      <c r="E19" s="56">
        <f>IFERROR(__xludf.DUMMYFUNCTION("""COMPUTED_VALUE"""),6.0)</f>
        <v>6</v>
      </c>
      <c r="F19" s="55">
        <f>IFERROR(__xludf.DUMMYFUNCTION("""COMPUTED_VALUE"""),2.0)</f>
        <v>2</v>
      </c>
      <c r="G19" s="56">
        <f>IFERROR(__xludf.DUMMYFUNCTION("""COMPUTED_VALUE"""),0.0)</f>
        <v>0</v>
      </c>
      <c r="H19" s="57">
        <f>IFERROR(__xludf.DUMMYFUNCTION("""COMPUTED_VALUE"""),8.0)</f>
        <v>8</v>
      </c>
      <c r="I19" s="58">
        <f>IFERROR(__xludf.DUMMYFUNCTION("""COMPUTED_VALUE"""),1.0)</f>
        <v>1</v>
      </c>
      <c r="J19" s="59">
        <f>IFERROR(__xludf.DUMMYFUNCTION("""COMPUTED_VALUE"""),8.0)</f>
        <v>8</v>
      </c>
      <c r="K19" s="51"/>
      <c r="L19" s="61">
        <f>IFERROR(__xludf.DUMMYFUNCTION("""COMPUTED_VALUE"""),8.0)</f>
        <v>8</v>
      </c>
      <c r="M19" s="1" t="str">
        <f>IFERROR(__xludf.DUMMYFUNCTION("""COMPUTED_VALUE"""),"Abril")</f>
        <v>Abril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IFERROR(__xludf.DUMMYFUNCTION("""COMPUTED_VALUE"""),"BARRAZA")</f>
        <v>BARRAZA</v>
      </c>
      <c r="C20" s="52" t="str">
        <f>IFERROR(__xludf.DUMMYFUNCTION("""COMPUTED_VALUE"""),"MONTELONGO")</f>
        <v>MONTELONGO</v>
      </c>
      <c r="D20" s="54" t="str">
        <f>IFERROR(__xludf.DUMMYFUNCTION("""COMPUTED_VALUE"""),"STEFANY YANELI")</f>
        <v>STEFANY YANELI</v>
      </c>
      <c r="E20" s="55">
        <f>IFERROR(__xludf.DUMMYFUNCTION("""COMPUTED_VALUE"""),8.0)</f>
        <v>8</v>
      </c>
      <c r="F20" s="55">
        <f>IFERROR(__xludf.DUMMYFUNCTION("""COMPUTED_VALUE"""),2.0)</f>
        <v>2</v>
      </c>
      <c r="G20" s="56">
        <f>IFERROR(__xludf.DUMMYFUNCTION("""COMPUTED_VALUE"""),1.0)</f>
        <v>1</v>
      </c>
      <c r="H20" s="57">
        <f>IFERROR(__xludf.DUMMYFUNCTION("""COMPUTED_VALUE"""),11.0)</f>
        <v>11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IFERROR(__xludf.DUMMYFUNCTION("""COMPUTED_VALUE"""),11.0)</f>
        <v>11</v>
      </c>
      <c r="M20" s="1" t="str">
        <f>IFERROR(__xludf.DUMMYFUNCTION("""COMPUTED_VALUE"""),"Mayo")</f>
        <v>Mayo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IFERROR(__xludf.DUMMYFUNCTION("""COMPUTED_VALUE"""),"BECERRA")</f>
        <v>BECERRA</v>
      </c>
      <c r="C21" s="52" t="str">
        <f>IFERROR(__xludf.DUMMYFUNCTION("""COMPUTED_VALUE"""),"FLORES")</f>
        <v>FLORES</v>
      </c>
      <c r="D21" s="54" t="str">
        <f>IFERROR(__xludf.DUMMYFUNCTION("""COMPUTED_VALUE"""),"HADE JETZABEL")</f>
        <v>HADE JETZABEL</v>
      </c>
      <c r="E21" s="55">
        <f>IFERROR(__xludf.DUMMYFUNCTION("""COMPUTED_VALUE"""),8.0)</f>
        <v>8</v>
      </c>
      <c r="F21" s="55">
        <f>IFERROR(__xludf.DUMMYFUNCTION("""COMPUTED_VALUE"""),0.0)</f>
        <v>0</v>
      </c>
      <c r="G21" s="56">
        <f>IFERROR(__xludf.DUMMYFUNCTION("""COMPUTED_VALUE"""),1.0)</f>
        <v>1</v>
      </c>
      <c r="H21" s="57">
        <f>IFERROR(__xludf.DUMMYFUNCTION("""COMPUTED_VALUE"""),9.0)</f>
        <v>9</v>
      </c>
      <c r="I21" s="58">
        <f>IFERROR(__xludf.DUMMYFUNCTION("""COMPUTED_VALUE"""),1.0)</f>
        <v>1</v>
      </c>
      <c r="J21" s="59">
        <f>IFERROR(__xludf.DUMMYFUNCTION("""COMPUTED_VALUE"""),9.0)</f>
        <v>9</v>
      </c>
      <c r="K21" s="51"/>
      <c r="L21" s="61">
        <f>IFERROR(__xludf.DUMMYFUNCTION("""COMPUTED_VALUE"""),9.0)</f>
        <v>9</v>
      </c>
      <c r="M21" s="1" t="str">
        <f>IFERROR(__xludf.DUMMYFUNCTION("""COMPUTED_VALUE"""),"Junio")</f>
        <v>Junio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IFERROR(__xludf.DUMMYFUNCTION("""COMPUTED_VALUE"""),"BELLO")</f>
        <v>BELLO</v>
      </c>
      <c r="C22" s="52" t="str">
        <f>IFERROR(__xludf.DUMMYFUNCTION("""COMPUTED_VALUE"""),"CHAVEZ")</f>
        <v>CHAVEZ</v>
      </c>
      <c r="D22" s="54" t="str">
        <f>IFERROR(__xludf.DUMMYFUNCTION("""COMPUTED_VALUE"""),"EMILIO SEBASTIAN")</f>
        <v>EMILIO SEBASTIAN</v>
      </c>
      <c r="E22" s="55">
        <f>IFERROR(__xludf.DUMMYFUNCTION("""COMPUTED_VALUE"""),6.0)</f>
        <v>6</v>
      </c>
      <c r="F22" s="55">
        <f>IFERROR(__xludf.DUMMYFUNCTION("""COMPUTED_VALUE"""),2.0)</f>
        <v>2</v>
      </c>
      <c r="G22" s="56">
        <f>IFERROR(__xludf.DUMMYFUNCTION("""COMPUTED_VALUE"""),0.0)</f>
        <v>0</v>
      </c>
      <c r="H22" s="57">
        <f>IFERROR(__xludf.DUMMYFUNCTION("""COMPUTED_VALUE"""),8.0)</f>
        <v>8</v>
      </c>
      <c r="I22" s="58">
        <f>IFERROR(__xludf.DUMMYFUNCTION("""COMPUTED_VALUE"""),1.0)</f>
        <v>1</v>
      </c>
      <c r="J22" s="59">
        <f>IFERROR(__xludf.DUMMYFUNCTION("""COMPUTED_VALUE"""),8.0)</f>
        <v>8</v>
      </c>
      <c r="K22" s="51"/>
      <c r="L22" s="61">
        <f>IFERROR(__xludf.DUMMYFUNCTION("""COMPUTED_VALUE"""),8.0)</f>
        <v>8</v>
      </c>
      <c r="M22" s="1" t="str">
        <f>IFERROR(__xludf.DUMMYFUNCTION("""COMPUTED_VALUE"""),"Julio")</f>
        <v>Julio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IFERROR(__xludf.DUMMYFUNCTION("""COMPUTED_VALUE"""),"CASAS")</f>
        <v>CASAS</v>
      </c>
      <c r="C23" s="52" t="str">
        <f>IFERROR(__xludf.DUMMYFUNCTION("""COMPUTED_VALUE"""),"GARCIA")</f>
        <v>GARCIA</v>
      </c>
      <c r="D23" s="54" t="str">
        <f>IFERROR(__xludf.DUMMYFUNCTION("""COMPUTED_VALUE"""),"ZEUS ANTHUAN")</f>
        <v>ZEUS ANTHUAN</v>
      </c>
      <c r="E23" s="55">
        <f>IFERROR(__xludf.DUMMYFUNCTION("""COMPUTED_VALUE"""),8.0)</f>
        <v>8</v>
      </c>
      <c r="F23" s="55">
        <f>IFERROR(__xludf.DUMMYFUNCTION("""COMPUTED_VALUE"""),2.0)</f>
        <v>2</v>
      </c>
      <c r="G23" s="56">
        <f>IFERROR(__xludf.DUMMYFUNCTION("""COMPUTED_VALUE"""),0.0)</f>
        <v>0</v>
      </c>
      <c r="H23" s="57">
        <f>IFERROR(__xludf.DUMMYFUNCTION("""COMPUTED_VALUE"""),10.0)</f>
        <v>10</v>
      </c>
      <c r="I23" s="58">
        <f>IFERROR(__xludf.DUMMYFUNCTION("""COMPUTED_VALUE"""),1.0)</f>
        <v>1</v>
      </c>
      <c r="J23" s="59">
        <f>IFERROR(__xludf.DUMMYFUNCTION("""COMPUTED_VALUE"""),10.0)</f>
        <v>10</v>
      </c>
      <c r="K23" s="51"/>
      <c r="L23" s="61">
        <f>IFERROR(__xludf.DUMMYFUNCTION("""COMPUTED_VALUE"""),10.0)</f>
        <v>10</v>
      </c>
      <c r="M23" s="1" t="str">
        <f>IFERROR(__xludf.DUMMYFUNCTION("""COMPUTED_VALUE"""),"TOTAL")</f>
        <v>TOTAL</v>
      </c>
      <c r="N23" s="1">
        <f>IFERROR(__xludf.DUMMYFUNCTION("""COMPUTED_VALUE"""),32.0)</f>
        <v>32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IFERROR(__xludf.DUMMYFUNCTION("""COMPUTED_VALUE"""),"CHICO")</f>
        <v>CHICO</v>
      </c>
      <c r="C24" s="52" t="str">
        <f>IFERROR(__xludf.DUMMYFUNCTION("""COMPUTED_VALUE"""),"ORTIZ")</f>
        <v>ORTIZ</v>
      </c>
      <c r="D24" s="54" t="str">
        <f>IFERROR(__xludf.DUMMYFUNCTION("""COMPUTED_VALUE"""),"ALAN")</f>
        <v>ALAN</v>
      </c>
      <c r="E24" s="56">
        <f>IFERROR(__xludf.DUMMYFUNCTION("""COMPUTED_VALUE"""),8.0)</f>
        <v>8</v>
      </c>
      <c r="F24" s="55">
        <f>IFERROR(__xludf.DUMMYFUNCTION("""COMPUTED_VALUE"""),2.0)</f>
        <v>2</v>
      </c>
      <c r="G24" s="56">
        <f>IFERROR(__xludf.DUMMYFUNCTION("""COMPUTED_VALUE"""),0.0)</f>
        <v>0</v>
      </c>
      <c r="H24" s="57">
        <f>IFERROR(__xludf.DUMMYFUNCTION("""COMPUTED_VALUE"""),10.0)</f>
        <v>10</v>
      </c>
      <c r="I24" s="58">
        <f>IFERROR(__xludf.DUMMYFUNCTION("""COMPUTED_VALUE"""),1.0)</f>
        <v>1</v>
      </c>
      <c r="J24" s="59">
        <f>IFERROR(__xludf.DUMMYFUNCTION("""COMPUTED_VALUE"""),10.0)</f>
        <v>10</v>
      </c>
      <c r="K24" s="51"/>
      <c r="L24" s="61">
        <f>IFERROR(__xludf.DUMMYFUNCTION("""COMPUTED_VALUE"""),10.0)</f>
        <v>10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IFERROR(__xludf.DUMMYFUNCTION("""COMPUTED_VALUE"""),"COLIN")</f>
        <v>COLIN</v>
      </c>
      <c r="C25" s="52" t="str">
        <f>IFERROR(__xludf.DUMMYFUNCTION("""COMPUTED_VALUE"""),"GARCIA")</f>
        <v>GARCIA</v>
      </c>
      <c r="D25" s="54" t="str">
        <f>IFERROR(__xludf.DUMMYFUNCTION("""COMPUTED_VALUE"""),"DONOBAN RODRIGO")</f>
        <v>DONOBAN RODRIGO</v>
      </c>
      <c r="E25" s="55">
        <f>IFERROR(__xludf.DUMMYFUNCTION("""COMPUTED_VALUE"""),0.0)</f>
        <v>0</v>
      </c>
      <c r="F25" s="55">
        <f>IFERROR(__xludf.DUMMYFUNCTION("""COMPUTED_VALUE"""),0.0)</f>
        <v>0</v>
      </c>
      <c r="G25" s="56">
        <f>IFERROR(__xludf.DUMMYFUNCTION("""COMPUTED_VALUE"""),1.0)</f>
        <v>1</v>
      </c>
      <c r="H25" s="57">
        <f>IFERROR(__xludf.DUMMYFUNCTION("""COMPUTED_VALUE"""),1.0)</f>
        <v>1</v>
      </c>
      <c r="I25" s="58">
        <f>IFERROR(__xludf.DUMMYFUNCTION("""COMPUTED_VALUE"""),1.0)</f>
        <v>1</v>
      </c>
      <c r="J25" s="59">
        <f>IFERROR(__xludf.DUMMYFUNCTION("""COMPUTED_VALUE"""),5.0)</f>
        <v>5</v>
      </c>
      <c r="K25" s="51"/>
      <c r="L25" s="61">
        <f>IFERROR(__xludf.DUMMYFUNCTION("""COMPUTED_VALUE"""),1.0)</f>
        <v>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IFERROR(__xludf.DUMMYFUNCTION("""COMPUTED_VALUE"""),"CONTRERAS")</f>
        <v>CONTRERAS</v>
      </c>
      <c r="C26" s="52" t="str">
        <f>IFERROR(__xludf.DUMMYFUNCTION("""COMPUTED_VALUE"""),"QUIJADA")</f>
        <v>QUIJADA</v>
      </c>
      <c r="D26" s="52" t="str">
        <f>IFERROR(__xludf.DUMMYFUNCTION("""COMPUTED_VALUE"""),"LEONARDO")</f>
        <v>LEONARDO</v>
      </c>
      <c r="E26" s="56">
        <f>IFERROR(__xludf.DUMMYFUNCTION("""COMPUTED_VALUE"""),4.0)</f>
        <v>4</v>
      </c>
      <c r="F26" s="55">
        <f>IFERROR(__xludf.DUMMYFUNCTION("""COMPUTED_VALUE"""),0.0)</f>
        <v>0</v>
      </c>
      <c r="G26" s="56">
        <f>IFERROR(__xludf.DUMMYFUNCTION("""COMPUTED_VALUE"""),0.0)</f>
        <v>0</v>
      </c>
      <c r="H26" s="57">
        <f>IFERROR(__xludf.DUMMYFUNCTION("""COMPUTED_VALUE"""),4.0)</f>
        <v>4</v>
      </c>
      <c r="I26" s="58">
        <f>IFERROR(__xludf.DUMMYFUNCTION("""COMPUTED_VALUE"""),1.0)</f>
        <v>1</v>
      </c>
      <c r="J26" s="59">
        <f>IFERROR(__xludf.DUMMYFUNCTION("""COMPUTED_VALUE"""),5.0)</f>
        <v>5</v>
      </c>
      <c r="K26" s="51"/>
      <c r="L26" s="61">
        <f>IFERROR(__xludf.DUMMYFUNCTION("""COMPUTED_VALUE"""),4.0)</f>
        <v>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IFERROR(__xludf.DUMMYFUNCTION("""COMPUTED_VALUE"""),"COVARRUBIAS")</f>
        <v>COVARRUBIAS</v>
      </c>
      <c r="C27" s="52" t="str">
        <f>IFERROR(__xludf.DUMMYFUNCTION("""COMPUTED_VALUE"""),"ACOSTA")</f>
        <v>ACOSTA</v>
      </c>
      <c r="D27" s="54" t="str">
        <f>IFERROR(__xludf.DUMMYFUNCTION("""COMPUTED_VALUE"""),"SAMANTHA ANGELINE")</f>
        <v>SAMANTHA ANGELINE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>
        <f>IFERROR(__xludf.DUMMYFUNCTION("""COMPUTED_VALUE"""),0.0)</f>
        <v>0</v>
      </c>
      <c r="H27" s="57">
        <f>IFERROR(__xludf.DUMMYFUNCTION("""COMPUTED_VALUE"""),10.0)</f>
        <v>10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IFERROR(__xludf.DUMMYFUNCTION("""COMPUTED_VALUE"""),"GALVEZ")</f>
        <v>GALVEZ</v>
      </c>
      <c r="D28" s="54" t="str">
        <f>IFERROR(__xludf.DUMMYFUNCTION("""COMPUTED_VALUE"""),"PARIS EMILIANO")</f>
        <v>PARIS EMILIANO</v>
      </c>
      <c r="E28" s="55">
        <f>IFERROR(__xludf.DUMMYFUNCTION("""COMPUTED_VALUE"""),8.0)</f>
        <v>8</v>
      </c>
      <c r="F28" s="55">
        <f>IFERROR(__xludf.DUMMYFUNCTION("""COMPUTED_VALUE"""),2.0)</f>
        <v>2</v>
      </c>
      <c r="G28" s="56">
        <f>IFERROR(__xludf.DUMMYFUNCTION("""COMPUTED_VALUE"""),0.0)</f>
        <v>0</v>
      </c>
      <c r="H28" s="57">
        <f>IFERROR(__xludf.DUMMYFUNCTION("""COMPUTED_VALUE"""),10.0)</f>
        <v>10</v>
      </c>
      <c r="I28" s="58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IFERROR(__xludf.DUMMYFUNCTION("""COMPUTED_VALUE"""),"OROPEZA")</f>
        <v>OROPEZA</v>
      </c>
      <c r="D29" s="54" t="str">
        <f>IFERROR(__xludf.DUMMYFUNCTION("""COMPUTED_VALUE"""),"REBECA JANELLE")</f>
        <v>REBECA JANELLE</v>
      </c>
      <c r="E29" s="55">
        <f>IFERROR(__xludf.DUMMYFUNCTION("""COMPUTED_VALUE"""),8.0)</f>
        <v>8</v>
      </c>
      <c r="F29" s="55">
        <f>IFERROR(__xludf.DUMMYFUNCTION("""COMPUTED_VALUE"""),2.0)</f>
        <v>2</v>
      </c>
      <c r="G29" s="56">
        <f>IFERROR(__xludf.DUMMYFUNCTION("""COMPUTED_VALUE"""),0.0)</f>
        <v>0</v>
      </c>
      <c r="H29" s="57">
        <f>IFERROR(__xludf.DUMMYFUNCTION("""COMPUTED_VALUE"""),10.0)</f>
        <v>10</v>
      </c>
      <c r="I29" s="58">
        <f>IFERROR(__xludf.DUMMYFUNCTION("""COMPUTED_VALUE"""),0.0)</f>
        <v>0</v>
      </c>
      <c r="J29" s="59">
        <f>IFERROR(__xludf.DUMMYFUNCTION("""COMPUTED_VALUE"""),10.0)</f>
        <v>10</v>
      </c>
      <c r="K29" s="51"/>
      <c r="L29" s="61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IFERROR(__xludf.DUMMYFUNCTION("""COMPUTED_VALUE"""),"ELIZALDE")</f>
        <v>ELIZALDE</v>
      </c>
      <c r="C30" s="52" t="str">
        <f>IFERROR(__xludf.DUMMYFUNCTION("""COMPUTED_VALUE"""),"MOLINA")</f>
        <v>MOLINA</v>
      </c>
      <c r="D30" s="54" t="str">
        <f>IFERROR(__xludf.DUMMYFUNCTION("""COMPUTED_VALUE"""),"BARBARA SOFIA")</f>
        <v>BARBARA SOFIA</v>
      </c>
      <c r="E30" s="56">
        <f>IFERROR(__xludf.DUMMYFUNCTION("""COMPUTED_VALUE"""),8.0)</f>
        <v>8</v>
      </c>
      <c r="F30" s="55">
        <f>IFERROR(__xludf.DUMMYFUNCTION("""COMPUTED_VALUE"""),2.0)</f>
        <v>2</v>
      </c>
      <c r="G30" s="56">
        <f>IFERROR(__xludf.DUMMYFUNCTION("""COMPUTED_VALUE"""),1.0)</f>
        <v>1</v>
      </c>
      <c r="H30" s="57">
        <f>IFERROR(__xludf.DUMMYFUNCTION("""COMPUTED_VALUE"""),11.0)</f>
        <v>11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IFERROR(__xludf.DUMMYFUNCTION("""COMPUTED_VALUE"""),11.0)</f>
        <v>11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IFERROR(__xludf.DUMMYFUNCTION("""COMPUTED_VALUE"""),"ENCINAS")</f>
        <v>ENCINAS</v>
      </c>
      <c r="C31" s="52" t="str">
        <f>IFERROR(__xludf.DUMMYFUNCTION("""COMPUTED_VALUE"""),"RODRIGUEZ")</f>
        <v>RODRIGUEZ</v>
      </c>
      <c r="D31" s="54" t="str">
        <f>IFERROR(__xludf.DUMMYFUNCTION("""COMPUTED_VALUE"""),"CESAR ROBERTO")</f>
        <v>CESAR ROBERTO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>
        <f>IFERROR(__xludf.DUMMYFUNCTION("""COMPUTED_VALUE"""),0.0)</f>
        <v>0</v>
      </c>
      <c r="H31" s="57">
        <f>IFERROR(__xludf.DUMMYFUNCTION("""COMPUTED_VALUE"""),10.0)</f>
        <v>10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IFERROR(__xludf.DUMMYFUNCTION("""COMPUTED_VALUE"""),"VARGAS")</f>
        <v>VARGAS</v>
      </c>
      <c r="D32" s="54" t="str">
        <f>IFERROR(__xludf.DUMMYFUNCTION("""COMPUTED_VALUE"""),"JESUS SANTIAGO")</f>
        <v>JESUS SANTIAGO</v>
      </c>
      <c r="E32" s="55">
        <f>IFERROR(__xludf.DUMMYFUNCTION("""COMPUTED_VALUE"""),4.0)</f>
        <v>4</v>
      </c>
      <c r="F32" s="55">
        <f>IFERROR(__xludf.DUMMYFUNCTION("""COMPUTED_VALUE"""),2.0)</f>
        <v>2</v>
      </c>
      <c r="G32" s="56">
        <f>IFERROR(__xludf.DUMMYFUNCTION("""COMPUTED_VALUE"""),0.0)</f>
        <v>0</v>
      </c>
      <c r="H32" s="57">
        <f>IFERROR(__xludf.DUMMYFUNCTION("""COMPUTED_VALUE"""),6.0)</f>
        <v>6</v>
      </c>
      <c r="I32" s="58">
        <f>IFERROR(__xludf.DUMMYFUNCTION("""COMPUTED_VALUE"""),0.0)</f>
        <v>0</v>
      </c>
      <c r="J32" s="59">
        <f>IFERROR(__xludf.DUMMYFUNCTION("""COMPUTED_VALUE"""),6.0)</f>
        <v>6</v>
      </c>
      <c r="K32" s="51"/>
      <c r="L32" s="61">
        <f>IFERROR(__xludf.DUMMYFUNCTION("""COMPUTED_VALUE"""),6.0)</f>
        <v>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IFERROR(__xludf.DUMMYFUNCTION("""COMPUTED_VALUE"""),"FINKENTHAL")</f>
        <v>FINKENTHAL</v>
      </c>
      <c r="C33" s="52" t="str">
        <f>IFERROR(__xludf.DUMMYFUNCTION("""COMPUTED_VALUE"""),"RAMIREZ")</f>
        <v>RAMIREZ</v>
      </c>
      <c r="D33" s="54" t="str">
        <f>IFERROR(__xludf.DUMMYFUNCTION("""COMPUTED_VALUE"""),"ALENKA")</f>
        <v>ALENKA</v>
      </c>
      <c r="E33" s="55">
        <f>IFERROR(__xludf.DUMMYFUNCTION("""COMPUTED_VALUE"""),8.0)</f>
        <v>8</v>
      </c>
      <c r="F33" s="55">
        <f>IFERROR(__xludf.DUMMYFUNCTION("""COMPUTED_VALUE"""),2.0)</f>
        <v>2</v>
      </c>
      <c r="G33" s="56">
        <f>IFERROR(__xludf.DUMMYFUNCTION("""COMPUTED_VALUE"""),1.0)</f>
        <v>1</v>
      </c>
      <c r="H33" s="57">
        <f>IFERROR(__xludf.DUMMYFUNCTION("""COMPUTED_VALUE"""),11.0)</f>
        <v>11</v>
      </c>
      <c r="I33" s="58">
        <f>IFERROR(__xludf.DUMMYFUNCTION("""COMPUTED_VALUE"""),1.0)</f>
        <v>1</v>
      </c>
      <c r="J33" s="59">
        <f>IFERROR(__xludf.DUMMYFUNCTION("""COMPUTED_VALUE"""),10.0)</f>
        <v>10</v>
      </c>
      <c r="K33" s="51"/>
      <c r="L33" s="61">
        <f>IFERROR(__xludf.DUMMYFUNCTION("""COMPUTED_VALUE"""),11.0)</f>
        <v>11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IFERROR(__xludf.DUMMYFUNCTION("""COMPUTED_VALUE"""),"FLORES")</f>
        <v>FLORES</v>
      </c>
      <c r="C34" s="52" t="str">
        <f>IFERROR(__xludf.DUMMYFUNCTION("""COMPUTED_VALUE"""),"PEREZ")</f>
        <v>PEREZ</v>
      </c>
      <c r="D34" s="54" t="str">
        <f>IFERROR(__xludf.DUMMYFUNCTION("""COMPUTED_VALUE"""),"ROBERTO")</f>
        <v>ROBERTO</v>
      </c>
      <c r="E34" s="56">
        <f>IFERROR(__xludf.DUMMYFUNCTION("""COMPUTED_VALUE"""),4.0)</f>
        <v>4</v>
      </c>
      <c r="F34" s="55">
        <f>IFERROR(__xludf.DUMMYFUNCTION("""COMPUTED_VALUE"""),2.0)</f>
        <v>2</v>
      </c>
      <c r="G34" s="56">
        <f>IFERROR(__xludf.DUMMYFUNCTION("""COMPUTED_VALUE"""),0.0)</f>
        <v>0</v>
      </c>
      <c r="H34" s="57">
        <f>IFERROR(__xludf.DUMMYFUNCTION("""COMPUTED_VALUE"""),6.0)</f>
        <v>6</v>
      </c>
      <c r="I34" s="58">
        <f>IFERROR(__xludf.DUMMYFUNCTION("""COMPUTED_VALUE"""),0.0)</f>
        <v>0</v>
      </c>
      <c r="J34" s="59">
        <f>IFERROR(__xludf.DUMMYFUNCTION("""COMPUTED_VALUE"""),6.0)</f>
        <v>6</v>
      </c>
      <c r="K34" s="51"/>
      <c r="L34" s="61">
        <f>IFERROR(__xludf.DUMMYFUNCTION("""COMPUTED_VALUE"""),6.0)</f>
        <v>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IFERROR(__xludf.DUMMYFUNCTION("""COMPUTED_VALUE"""),"FLORES")</f>
        <v>FLORES</v>
      </c>
      <c r="C35" s="52" t="str">
        <f>IFERROR(__xludf.DUMMYFUNCTION("""COMPUTED_VALUE"""),"RODRIGUEZ")</f>
        <v>RODRIGUEZ</v>
      </c>
      <c r="D35" s="54" t="str">
        <f>IFERROR(__xludf.DUMMYFUNCTION("""COMPUTED_VALUE"""),"FRANCISCO ISAAC")</f>
        <v>FRANCISCO ISAAC</v>
      </c>
      <c r="E35" s="55">
        <f>IFERROR(__xludf.DUMMYFUNCTION("""COMPUTED_VALUE"""),4.0)</f>
        <v>4</v>
      </c>
      <c r="F35" s="55">
        <f>IFERROR(__xludf.DUMMYFUNCTION("""COMPUTED_VALUE"""),2.0)</f>
        <v>2</v>
      </c>
      <c r="G35" s="56">
        <f>IFERROR(__xludf.DUMMYFUNCTION("""COMPUTED_VALUE"""),1.0)</f>
        <v>1</v>
      </c>
      <c r="H35" s="57">
        <f>IFERROR(__xludf.DUMMYFUNCTION("""COMPUTED_VALUE"""),7.0)</f>
        <v>7</v>
      </c>
      <c r="I35" s="58">
        <f>IFERROR(__xludf.DUMMYFUNCTION("""COMPUTED_VALUE"""),0.0)</f>
        <v>0</v>
      </c>
      <c r="J35" s="59">
        <f>IFERROR(__xludf.DUMMYFUNCTION("""COMPUTED_VALUE"""),7.0)</f>
        <v>7</v>
      </c>
      <c r="K35" s="51"/>
      <c r="L35" s="61">
        <f>IFERROR(__xludf.DUMMYFUNCTION("""COMPUTED_VALUE"""),7.0)</f>
        <v>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IFERROR(__xludf.DUMMYFUNCTION("""COMPUTED_VALUE"""),"GONZALEZ")</f>
        <v>GONZALEZ</v>
      </c>
      <c r="C36" s="52" t="str">
        <f>IFERROR(__xludf.DUMMYFUNCTION("""COMPUTED_VALUE"""),"GONZALEZ")</f>
        <v>GONZALEZ</v>
      </c>
      <c r="D36" s="54" t="str">
        <f>IFERROR(__xludf.DUMMYFUNCTION("""COMPUTED_VALUE"""),"ANGELA PAULINA")</f>
        <v>ANGELA PAULINA</v>
      </c>
      <c r="E36" s="55">
        <f>IFERROR(__xludf.DUMMYFUNCTION("""COMPUTED_VALUE"""),8.0)</f>
        <v>8</v>
      </c>
      <c r="F36" s="55">
        <f>IFERROR(__xludf.DUMMYFUNCTION("""COMPUTED_VALUE"""),2.0)</f>
        <v>2</v>
      </c>
      <c r="G36" s="56">
        <f>IFERROR(__xludf.DUMMYFUNCTION("""COMPUTED_VALUE"""),1.0)</f>
        <v>1</v>
      </c>
      <c r="H36" s="57">
        <f>IFERROR(__xludf.DUMMYFUNCTION("""COMPUTED_VALUE"""),11.0)</f>
        <v>11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IFERROR(__xludf.DUMMYFUNCTION("""COMPUTED_VALUE"""),11.0)</f>
        <v>11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IFERROR(__xludf.DUMMYFUNCTION("""COMPUTED_VALUE"""),"GONZALEZ")</f>
        <v>GONZALEZ</v>
      </c>
      <c r="C37" s="52" t="str">
        <f>IFERROR(__xludf.DUMMYFUNCTION("""COMPUTED_VALUE"""),"TREJO")</f>
        <v>TREJO</v>
      </c>
      <c r="D37" s="54" t="str">
        <f>IFERROR(__xludf.DUMMYFUNCTION("""COMPUTED_VALUE"""),"LESLIE XIMENA")</f>
        <v>LESLIE XIMENA</v>
      </c>
      <c r="E37" s="56">
        <f>IFERROR(__xludf.DUMMYFUNCTION("""COMPUTED_VALUE"""),8.0)</f>
        <v>8</v>
      </c>
      <c r="F37" s="55">
        <f>IFERROR(__xludf.DUMMYFUNCTION("""COMPUTED_VALUE"""),2.0)</f>
        <v>2</v>
      </c>
      <c r="G37" s="56">
        <f>IFERROR(__xludf.DUMMYFUNCTION("""COMPUTED_VALUE"""),1.0)</f>
        <v>1</v>
      </c>
      <c r="H37" s="57">
        <f>IFERROR(__xludf.DUMMYFUNCTION("""COMPUTED_VALUE"""),11.0)</f>
        <v>11</v>
      </c>
      <c r="I37" s="58">
        <f>IFERROR(__xludf.DUMMYFUNCTION("""COMPUTED_VALUE"""),0.0)</f>
        <v>0</v>
      </c>
      <c r="J37" s="59">
        <f>IFERROR(__xludf.DUMMYFUNCTION("""COMPUTED_VALUE"""),10.0)</f>
        <v>10</v>
      </c>
      <c r="K37" s="51"/>
      <c r="L37" s="61">
        <f>IFERROR(__xludf.DUMMYFUNCTION("""COMPUTED_VALUE"""),11.0)</f>
        <v>11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IFERROR(__xludf.DUMMYFUNCTION("""COMPUTED_VALUE"""),"HERNANDEZ")</f>
        <v>HERNANDEZ</v>
      </c>
      <c r="C38" s="52" t="str">
        <f>IFERROR(__xludf.DUMMYFUNCTION("""COMPUTED_VALUE"""),"GARCIA")</f>
        <v>GARCIA</v>
      </c>
      <c r="D38" s="54" t="str">
        <f>IFERROR(__xludf.DUMMYFUNCTION("""COMPUTED_VALUE"""),"EMILY")</f>
        <v>EMILY</v>
      </c>
      <c r="E38" s="55">
        <f>IFERROR(__xludf.DUMMYFUNCTION("""COMPUTED_VALUE"""),8.0)</f>
        <v>8</v>
      </c>
      <c r="F38" s="55">
        <f>IFERROR(__xludf.DUMMYFUNCTION("""COMPUTED_VALUE"""),2.0)</f>
        <v>2</v>
      </c>
      <c r="G38" s="56">
        <f>IFERROR(__xludf.DUMMYFUNCTION("""COMPUTED_VALUE"""),0.0)</f>
        <v>0</v>
      </c>
      <c r="H38" s="57">
        <f>IFERROR(__xludf.DUMMYFUNCTION("""COMPUTED_VALUE"""),10.0)</f>
        <v>10</v>
      </c>
      <c r="I38" s="58">
        <f>IFERROR(__xludf.DUMMYFUNCTION("""COMPUTED_VALUE"""),4.0)</f>
        <v>4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IFERROR(__xludf.DUMMYFUNCTION("""COMPUTED_VALUE"""),"HERNANDEZ")</f>
        <v>HERNANDEZ</v>
      </c>
      <c r="C39" s="52" t="str">
        <f>IFERROR(__xludf.DUMMYFUNCTION("""COMPUTED_VALUE"""),"GARCIA")</f>
        <v>GARCIA</v>
      </c>
      <c r="D39" s="54" t="str">
        <f>IFERROR(__xludf.DUMMYFUNCTION("""COMPUTED_VALUE"""),"SAMANTA")</f>
        <v>SAMANTA</v>
      </c>
      <c r="E39" s="55">
        <f>IFERROR(__xludf.DUMMYFUNCTION("""COMPUTED_VALUE"""),0.0)</f>
        <v>0</v>
      </c>
      <c r="F39" s="55">
        <f>IFERROR(__xludf.DUMMYFUNCTION("""COMPUTED_VALUE"""),0.0)</f>
        <v>0</v>
      </c>
      <c r="G39" s="56">
        <f>IFERROR(__xludf.DUMMYFUNCTION("""COMPUTED_VALUE"""),0.0)</f>
        <v>0</v>
      </c>
      <c r="H39" s="57">
        <f>IFERROR(__xludf.DUMMYFUNCTION("""COMPUTED_VALUE"""),0.0)</f>
        <v>0</v>
      </c>
      <c r="I39" s="58">
        <f>IFERROR(__xludf.DUMMYFUNCTION("""COMPUTED_VALUE"""),0.0)</f>
        <v>0</v>
      </c>
      <c r="J39" s="59">
        <f>IFERROR(__xludf.DUMMYFUNCTION("""COMPUTED_VALUE"""),5.0)</f>
        <v>5</v>
      </c>
      <c r="K39" s="51"/>
      <c r="L39" s="61">
        <f>IFERROR(__xludf.DUMMYFUNCTION("""COMPUTED_VALUE"""),0.0)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IFERROR(__xludf.DUMMYFUNCTION("""COMPUTED_VALUE"""),"HERRERA")</f>
        <v>HERRERA</v>
      </c>
      <c r="C40" s="52" t="str">
        <f>IFERROR(__xludf.DUMMYFUNCTION("""COMPUTED_VALUE"""),"JIMENEZ")</f>
        <v>JIMENEZ</v>
      </c>
      <c r="D40" s="54" t="str">
        <f>IFERROR(__xludf.DUMMYFUNCTION("""COMPUTED_VALUE"""),"JOSUE ABISAI")</f>
        <v>JOSUE ABISAI</v>
      </c>
      <c r="E40" s="55">
        <f>IFERROR(__xludf.DUMMYFUNCTION("""COMPUTED_VALUE"""),8.0)</f>
        <v>8</v>
      </c>
      <c r="F40" s="55">
        <f>IFERROR(__xludf.DUMMYFUNCTION("""COMPUTED_VALUE"""),2.0)</f>
        <v>2</v>
      </c>
      <c r="G40" s="56">
        <f>IFERROR(__xludf.DUMMYFUNCTION("""COMPUTED_VALUE"""),0.0)</f>
        <v>0</v>
      </c>
      <c r="H40" s="57">
        <f>IFERROR(__xludf.DUMMYFUNCTION("""COMPUTED_VALUE"""),10.0)</f>
        <v>10</v>
      </c>
      <c r="I40" s="58">
        <f>IFERROR(__xludf.DUMMYFUNCTION("""COMPUTED_VALUE"""),1.0)</f>
        <v>1</v>
      </c>
      <c r="J40" s="59">
        <f>IFERROR(__xludf.DUMMYFUNCTION("""COMPUTED_VALUE"""),10.0)</f>
        <v>10</v>
      </c>
      <c r="K40" s="51"/>
      <c r="L40" s="61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IFERROR(__xludf.DUMMYFUNCTION("""COMPUTED_VALUE"""),"HERNANDEZ")</f>
        <v>HERNANDEZ</v>
      </c>
      <c r="C41" s="52" t="str">
        <f>IFERROR(__xludf.DUMMYFUNCTION("""COMPUTED_VALUE"""),"PALLARES")</f>
        <v>PALLARES</v>
      </c>
      <c r="D41" s="54" t="str">
        <f>IFERROR(__xludf.DUMMYFUNCTION("""COMPUTED_VALUE"""),"IVAN")</f>
        <v>IVAN</v>
      </c>
      <c r="E41" s="55">
        <f>IFERROR(__xludf.DUMMYFUNCTION("""COMPUTED_VALUE"""),2.0)</f>
        <v>2</v>
      </c>
      <c r="F41" s="55">
        <f>IFERROR(__xludf.DUMMYFUNCTION("""COMPUTED_VALUE"""),0.0)</f>
        <v>0</v>
      </c>
      <c r="G41" s="56">
        <f>IFERROR(__xludf.DUMMYFUNCTION("""COMPUTED_VALUE"""),0.0)</f>
        <v>0</v>
      </c>
      <c r="H41" s="57">
        <f>IFERROR(__xludf.DUMMYFUNCTION("""COMPUTED_VALUE"""),2.0)</f>
        <v>2</v>
      </c>
      <c r="I41" s="58">
        <f>IFERROR(__xludf.DUMMYFUNCTION("""COMPUTED_VALUE"""),3.0)</f>
        <v>3</v>
      </c>
      <c r="J41" s="59">
        <f>IFERROR(__xludf.DUMMYFUNCTION("""COMPUTED_VALUE"""),5.0)</f>
        <v>5</v>
      </c>
      <c r="K41" s="51"/>
      <c r="L41" s="61">
        <f>IFERROR(__xludf.DUMMYFUNCTION("""COMPUTED_VALUE"""),2.0)</f>
        <v>2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IFERROR(__xludf.DUMMYFUNCTION("""COMPUTED_VALUE"""),"JIMENEZ")</f>
        <v>JIMENEZ</v>
      </c>
      <c r="C42" s="52" t="str">
        <f>IFERROR(__xludf.DUMMYFUNCTION("""COMPUTED_VALUE"""),"PACHUCA")</f>
        <v>PACHUCA</v>
      </c>
      <c r="D42" s="54" t="str">
        <f>IFERROR(__xludf.DUMMYFUNCTION("""COMPUTED_VALUE"""),"LUIS ANTONIO")</f>
        <v>LUIS ANTONIO</v>
      </c>
      <c r="E42" s="55">
        <f>IFERROR(__xludf.DUMMYFUNCTION("""COMPUTED_VALUE"""),6.0)</f>
        <v>6</v>
      </c>
      <c r="F42" s="55">
        <f>IFERROR(__xludf.DUMMYFUNCTION("""COMPUTED_VALUE"""),2.0)</f>
        <v>2</v>
      </c>
      <c r="G42" s="56">
        <f>IFERROR(__xludf.DUMMYFUNCTION("""COMPUTED_VALUE"""),0.0)</f>
        <v>0</v>
      </c>
      <c r="H42" s="57">
        <f>IFERROR(__xludf.DUMMYFUNCTION("""COMPUTED_VALUE"""),8.0)</f>
        <v>8</v>
      </c>
      <c r="I42" s="58">
        <f>IFERROR(__xludf.DUMMYFUNCTION("""COMPUTED_VALUE"""),0.0)</f>
        <v>0</v>
      </c>
      <c r="J42" s="59">
        <f>IFERROR(__xludf.DUMMYFUNCTION("""COMPUTED_VALUE"""),8.0)</f>
        <v>8</v>
      </c>
      <c r="K42" s="51"/>
      <c r="L42" s="61">
        <f>IFERROR(__xludf.DUMMYFUNCTION("""COMPUTED_VALUE"""),8.0)</f>
        <v>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IFERROR(__xludf.DUMMYFUNCTION("""COMPUTED_VALUE"""),"LEGORRETA")</f>
        <v>LEGORRETA</v>
      </c>
      <c r="C43" s="52" t="str">
        <f>IFERROR(__xludf.DUMMYFUNCTION("""COMPUTED_VALUE"""),"HERNANDEZ")</f>
        <v>HERNANDEZ</v>
      </c>
      <c r="D43" s="54" t="str">
        <f>IFERROR(__xludf.DUMMYFUNCTION("""COMPUTED_VALUE"""),"LILIANA")</f>
        <v>LILIANA</v>
      </c>
      <c r="E43" s="55">
        <f>IFERROR(__xludf.DUMMYFUNCTION("""COMPUTED_VALUE"""),2.0)</f>
        <v>2</v>
      </c>
      <c r="F43" s="55">
        <f>IFERROR(__xludf.DUMMYFUNCTION("""COMPUTED_VALUE"""),0.0)</f>
        <v>0</v>
      </c>
      <c r="G43" s="56">
        <f>IFERROR(__xludf.DUMMYFUNCTION("""COMPUTED_VALUE"""),1.0)</f>
        <v>1</v>
      </c>
      <c r="H43" s="57">
        <f>IFERROR(__xludf.DUMMYFUNCTION("""COMPUTED_VALUE"""),3.0)</f>
        <v>3</v>
      </c>
      <c r="I43" s="58">
        <f>IFERROR(__xludf.DUMMYFUNCTION("""COMPUTED_VALUE"""),0.0)</f>
        <v>0</v>
      </c>
      <c r="J43" s="59">
        <f>IFERROR(__xludf.DUMMYFUNCTION("""COMPUTED_VALUE"""),5.0)</f>
        <v>5</v>
      </c>
      <c r="K43" s="51"/>
      <c r="L43" s="61">
        <f>IFERROR(__xludf.DUMMYFUNCTION("""COMPUTED_VALUE"""),3.0)</f>
        <v>3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IFERROR(__xludf.DUMMYFUNCTION("""COMPUTED_VALUE"""),"LOPEZ")</f>
        <v>LOPEZ</v>
      </c>
      <c r="C44" s="52" t="str">
        <f>IFERROR(__xludf.DUMMYFUNCTION("""COMPUTED_VALUE"""),"HERNANDEZ")</f>
        <v>HERNANDEZ</v>
      </c>
      <c r="D44" s="54" t="str">
        <f>IFERROR(__xludf.DUMMYFUNCTION("""COMPUTED_VALUE"""),"KARINA")</f>
        <v>KARINA</v>
      </c>
      <c r="E44" s="55">
        <f>IFERROR(__xludf.DUMMYFUNCTION("""COMPUTED_VALUE"""),4.0)</f>
        <v>4</v>
      </c>
      <c r="F44" s="55">
        <f>IFERROR(__xludf.DUMMYFUNCTION("""COMPUTED_VALUE"""),2.0)</f>
        <v>2</v>
      </c>
      <c r="G44" s="56">
        <f>IFERROR(__xludf.DUMMYFUNCTION("""COMPUTED_VALUE"""),0.0)</f>
        <v>0</v>
      </c>
      <c r="H44" s="57">
        <f>IFERROR(__xludf.DUMMYFUNCTION("""COMPUTED_VALUE"""),6.0)</f>
        <v>6</v>
      </c>
      <c r="I44" s="58">
        <f>IFERROR(__xludf.DUMMYFUNCTION("""COMPUTED_VALUE"""),1.0)</f>
        <v>1</v>
      </c>
      <c r="J44" s="59">
        <f>IFERROR(__xludf.DUMMYFUNCTION("""COMPUTED_VALUE"""),6.0)</f>
        <v>6</v>
      </c>
      <c r="K44" s="51"/>
      <c r="L44" s="61">
        <f>IFERROR(__xludf.DUMMYFUNCTION("""COMPUTED_VALUE"""),6.0)</f>
        <v>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IFERROR(__xludf.DUMMYFUNCTION("""COMPUTED_VALUE"""),"LUGO")</f>
        <v>LUGO</v>
      </c>
      <c r="C45" s="52" t="str">
        <f>IFERROR(__xludf.DUMMYFUNCTION("""COMPUTED_VALUE"""),"SOLARES")</f>
        <v>SOLARES</v>
      </c>
      <c r="D45" s="54" t="str">
        <f>IFERROR(__xludf.DUMMYFUNCTION("""COMPUTED_VALUE"""),"YAIR EMILIANO")</f>
        <v>YAIR EMILIANO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>
        <f>IFERROR(__xludf.DUMMYFUNCTION("""COMPUTED_VALUE"""),0.0)</f>
        <v>0</v>
      </c>
      <c r="H45" s="57">
        <f>IFERROR(__xludf.DUMMYFUNCTION("""COMPUTED_VALUE"""),10.0)</f>
        <v>10</v>
      </c>
      <c r="I45" s="58">
        <f>IFERROR(__xludf.DUMMYFUNCTION("""COMPUTED_VALUE"""),0.0)</f>
        <v>0</v>
      </c>
      <c r="J45" s="59">
        <f>IFERROR(__xludf.DUMMYFUNCTION("""COMPUTED_VALUE"""),10.0)</f>
        <v>10</v>
      </c>
      <c r="K45" s="51"/>
      <c r="L45" s="61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IFERROR(__xludf.DUMMYFUNCTION("""COMPUTED_VALUE"""),"LUNA")</f>
        <v>LUNA</v>
      </c>
      <c r="C46" s="52" t="str">
        <f>IFERROR(__xludf.DUMMYFUNCTION("""COMPUTED_VALUE"""),"FRANCISCO")</f>
        <v>FRANCISCO</v>
      </c>
      <c r="D46" s="54" t="str">
        <f>IFERROR(__xludf.DUMMYFUNCTION("""COMPUTED_VALUE"""),"SAMANTHA ITZEL")</f>
        <v>SAMANTHA ITZEL</v>
      </c>
      <c r="E46" s="55">
        <f>IFERROR(__xludf.DUMMYFUNCTION("""COMPUTED_VALUE"""),2.0)</f>
        <v>2</v>
      </c>
      <c r="F46" s="55">
        <f>IFERROR(__xludf.DUMMYFUNCTION("""COMPUTED_VALUE"""),2.0)</f>
        <v>2</v>
      </c>
      <c r="G46" s="56">
        <f>IFERROR(__xludf.DUMMYFUNCTION("""COMPUTED_VALUE"""),0.0)</f>
        <v>0</v>
      </c>
      <c r="H46" s="57">
        <f>IFERROR(__xludf.DUMMYFUNCTION("""COMPUTED_VALUE"""),4.0)</f>
        <v>4</v>
      </c>
      <c r="I46" s="58">
        <f>IFERROR(__xludf.DUMMYFUNCTION("""COMPUTED_VALUE"""),3.0)</f>
        <v>3</v>
      </c>
      <c r="J46" s="59">
        <f>IFERROR(__xludf.DUMMYFUNCTION("""COMPUTED_VALUE"""),5.0)</f>
        <v>5</v>
      </c>
      <c r="K46" s="51"/>
      <c r="L46" s="61">
        <f>IFERROR(__xludf.DUMMYFUNCTION("""COMPUTED_VALUE"""),4.0)</f>
        <v>4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IFERROR(__xludf.DUMMYFUNCTION("""COMPUTED_VALUE"""),"MARENTES")</f>
        <v>MARENTES</v>
      </c>
      <c r="C47" s="62" t="str">
        <f>IFERROR(__xludf.DUMMYFUNCTION("""COMPUTED_VALUE"""),"ROBLES")</f>
        <v>ROBLES</v>
      </c>
      <c r="D47" s="63" t="str">
        <f>IFERROR(__xludf.DUMMYFUNCTION("""COMPUTED_VALUE"""),"LUZ NATALIA")</f>
        <v>LUZ NATALIA</v>
      </c>
      <c r="E47" s="55">
        <f>IFERROR(__xludf.DUMMYFUNCTION("""COMPUTED_VALUE"""),4.0)</f>
        <v>4</v>
      </c>
      <c r="F47" s="55">
        <f>IFERROR(__xludf.DUMMYFUNCTION("""COMPUTED_VALUE"""),2.0)</f>
        <v>2</v>
      </c>
      <c r="G47" s="56">
        <f>IFERROR(__xludf.DUMMYFUNCTION("""COMPUTED_VALUE"""),0.0)</f>
        <v>0</v>
      </c>
      <c r="H47" s="57">
        <f>IFERROR(__xludf.DUMMYFUNCTION("""COMPUTED_VALUE"""),6.0)</f>
        <v>6</v>
      </c>
      <c r="I47" s="58">
        <f>IFERROR(__xludf.DUMMYFUNCTION("""COMPUTED_VALUE"""),0.0)</f>
        <v>0</v>
      </c>
      <c r="J47" s="59">
        <f>IFERROR(__xludf.DUMMYFUNCTION("""COMPUTED_VALUE"""),6.0)</f>
        <v>6</v>
      </c>
      <c r="K47" s="51"/>
      <c r="L47" s="61">
        <f>IFERROR(__xludf.DUMMYFUNCTION("""COMPUTED_VALUE"""),6.0)</f>
        <v>6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IFERROR(__xludf.DUMMYFUNCTION("""COMPUTED_VALUE"""),"MARTINEZ")</f>
        <v>MARTINEZ</v>
      </c>
      <c r="C48" s="52" t="str">
        <f>IFERROR(__xludf.DUMMYFUNCTION("""COMPUTED_VALUE"""),"IBARRA")</f>
        <v>IBARRA</v>
      </c>
      <c r="D48" s="54" t="str">
        <f>IFERROR(__xludf.DUMMYFUNCTION("""COMPUTED_VALUE"""),"JOHAN ISAI")</f>
        <v>JOHAN ISAI</v>
      </c>
      <c r="E48" s="55">
        <f>IFERROR(__xludf.DUMMYFUNCTION("""COMPUTED_VALUE"""),6.0)</f>
        <v>6</v>
      </c>
      <c r="F48" s="55">
        <f>IFERROR(__xludf.DUMMYFUNCTION("""COMPUTED_VALUE"""),0.0)</f>
        <v>0</v>
      </c>
      <c r="G48" s="56">
        <f>IFERROR(__xludf.DUMMYFUNCTION("""COMPUTED_VALUE"""),0.0)</f>
        <v>0</v>
      </c>
      <c r="H48" s="57">
        <f>IFERROR(__xludf.DUMMYFUNCTION("""COMPUTED_VALUE"""),6.0)</f>
        <v>6</v>
      </c>
      <c r="I48" s="58">
        <f>IFERROR(__xludf.DUMMYFUNCTION("""COMPUTED_VALUE"""),2.0)</f>
        <v>2</v>
      </c>
      <c r="J48" s="59">
        <f>IFERROR(__xludf.DUMMYFUNCTION("""COMPUTED_VALUE"""),6.0)</f>
        <v>6</v>
      </c>
      <c r="K48" s="51"/>
      <c r="L48" s="61">
        <f>IFERROR(__xludf.DUMMYFUNCTION("""COMPUTED_VALUE"""),6.0)</f>
        <v>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IFERROR(__xludf.DUMMYFUNCTION("""COMPUTED_VALUE"""),"MARTINEZ")</f>
        <v>MARTINEZ</v>
      </c>
      <c r="C49" s="52" t="str">
        <f>IFERROR(__xludf.DUMMYFUNCTION("""COMPUTED_VALUE"""),"MANCILLA")</f>
        <v>MANCILLA</v>
      </c>
      <c r="D49" s="54" t="str">
        <f>IFERROR(__xludf.DUMMYFUNCTION("""COMPUTED_VALUE"""),"ZIT ZURIEL")</f>
        <v>ZIT ZURIEL</v>
      </c>
      <c r="E49" s="55">
        <f>IFERROR(__xludf.DUMMYFUNCTION("""COMPUTED_VALUE"""),2.0)</f>
        <v>2</v>
      </c>
      <c r="F49" s="55">
        <f>IFERROR(__xludf.DUMMYFUNCTION("""COMPUTED_VALUE"""),2.0)</f>
        <v>2</v>
      </c>
      <c r="G49" s="56">
        <f>IFERROR(__xludf.DUMMYFUNCTION("""COMPUTED_VALUE"""),0.0)</f>
        <v>0</v>
      </c>
      <c r="H49" s="57">
        <f>IFERROR(__xludf.DUMMYFUNCTION("""COMPUTED_VALUE"""),4.0)</f>
        <v>4</v>
      </c>
      <c r="I49" s="58">
        <f>IFERROR(__xludf.DUMMYFUNCTION("""COMPUTED_VALUE"""),0.0)</f>
        <v>0</v>
      </c>
      <c r="J49" s="59">
        <f>IFERROR(__xludf.DUMMYFUNCTION("""COMPUTED_VALUE"""),5.0)</f>
        <v>5</v>
      </c>
      <c r="K49" s="51"/>
      <c r="L49" s="61">
        <f>IFERROR(__xludf.DUMMYFUNCTION("""COMPUTED_VALUE"""),4.0)</f>
        <v>4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IFERROR(__xludf.DUMMYFUNCTION("""COMPUTED_VALUE"""),"MORALES")</f>
        <v>MORALES</v>
      </c>
      <c r="C50" s="52" t="str">
        <f>IFERROR(__xludf.DUMMYFUNCTION("""COMPUTED_VALUE"""),"LORANCA")</f>
        <v>LORANCA</v>
      </c>
      <c r="D50" s="54" t="str">
        <f>IFERROR(__xludf.DUMMYFUNCTION("""COMPUTED_VALUE"""),"MATIAS DANIEL")</f>
        <v>MATIAS DANIEL</v>
      </c>
      <c r="E50" s="55">
        <f>IFERROR(__xludf.DUMMYFUNCTION("""COMPUTED_VALUE"""),2.0)</f>
        <v>2</v>
      </c>
      <c r="F50" s="55">
        <f>IFERROR(__xludf.DUMMYFUNCTION("""COMPUTED_VALUE"""),0.0)</f>
        <v>0</v>
      </c>
      <c r="G50" s="56">
        <f>IFERROR(__xludf.DUMMYFUNCTION("""COMPUTED_VALUE"""),0.0)</f>
        <v>0</v>
      </c>
      <c r="H50" s="57">
        <f>IFERROR(__xludf.DUMMYFUNCTION("""COMPUTED_VALUE"""),2.0)</f>
        <v>2</v>
      </c>
      <c r="I50" s="58">
        <f>IFERROR(__xludf.DUMMYFUNCTION("""COMPUTED_VALUE"""),3.0)</f>
        <v>3</v>
      </c>
      <c r="J50" s="59">
        <f>IFERROR(__xludf.DUMMYFUNCTION("""COMPUTED_VALUE"""),5.0)</f>
        <v>5</v>
      </c>
      <c r="K50" s="51"/>
      <c r="L50" s="61">
        <f>IFERROR(__xludf.DUMMYFUNCTION("""COMPUTED_VALUE"""),2.0)</f>
        <v>2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IFERROR(__xludf.DUMMYFUNCTION("""COMPUTED_VALUE"""),"MORALES")</f>
        <v>MORALES</v>
      </c>
      <c r="C51" s="52" t="str">
        <f>IFERROR(__xludf.DUMMYFUNCTION("""COMPUTED_VALUE"""),"PIÑON")</f>
        <v>PIÑON</v>
      </c>
      <c r="D51" s="54" t="str">
        <f>IFERROR(__xludf.DUMMYFUNCTION("""COMPUTED_VALUE"""),"NATALIA ABRIL")</f>
        <v>NATALIA ABRIL</v>
      </c>
      <c r="E51" s="55">
        <f>IFERROR(__xludf.DUMMYFUNCTION("""COMPUTED_VALUE"""),4.0)</f>
        <v>4</v>
      </c>
      <c r="F51" s="55">
        <f>IFERROR(__xludf.DUMMYFUNCTION("""COMPUTED_VALUE"""),2.0)</f>
        <v>2</v>
      </c>
      <c r="G51" s="56">
        <f>IFERROR(__xludf.DUMMYFUNCTION("""COMPUTED_VALUE"""),0.0)</f>
        <v>0</v>
      </c>
      <c r="H51" s="57">
        <f>IFERROR(__xludf.DUMMYFUNCTION("""COMPUTED_VALUE"""),6.0)</f>
        <v>6</v>
      </c>
      <c r="I51" s="58">
        <f>IFERROR(__xludf.DUMMYFUNCTION("""COMPUTED_VALUE"""),2.0)</f>
        <v>2</v>
      </c>
      <c r="J51" s="59">
        <f>IFERROR(__xludf.DUMMYFUNCTION("""COMPUTED_VALUE"""),6.0)</f>
        <v>6</v>
      </c>
      <c r="K51" s="51"/>
      <c r="L51" s="61">
        <f>IFERROR(__xludf.DUMMYFUNCTION("""COMPUTED_VALUE"""),6.0)</f>
        <v>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IFERROR(__xludf.DUMMYFUNCTION("""COMPUTED_VALUE"""),"NAVARRO")</f>
        <v>NAVARRO</v>
      </c>
      <c r="C52" s="52" t="str">
        <f>IFERROR(__xludf.DUMMYFUNCTION("""COMPUTED_VALUE"""),"ROMO")</f>
        <v>ROMO</v>
      </c>
      <c r="D52" s="54" t="str">
        <f>IFERROR(__xludf.DUMMYFUNCTION("""COMPUTED_VALUE"""),"MARCO ARIEL")</f>
        <v>MARCO ARIEL</v>
      </c>
      <c r="E52" s="55">
        <f>IFERROR(__xludf.DUMMYFUNCTION("""COMPUTED_VALUE"""),6.0)</f>
        <v>6</v>
      </c>
      <c r="F52" s="55">
        <f>IFERROR(__xludf.DUMMYFUNCTION("""COMPUTED_VALUE"""),2.0)</f>
        <v>2</v>
      </c>
      <c r="G52" s="56">
        <f>IFERROR(__xludf.DUMMYFUNCTION("""COMPUTED_VALUE"""),0.0)</f>
        <v>0</v>
      </c>
      <c r="H52" s="57">
        <f>IFERROR(__xludf.DUMMYFUNCTION("""COMPUTED_VALUE"""),8.0)</f>
        <v>8</v>
      </c>
      <c r="I52" s="58">
        <f>IFERROR(__xludf.DUMMYFUNCTION("""COMPUTED_VALUE"""),0.0)</f>
        <v>0</v>
      </c>
      <c r="J52" s="59">
        <f>IFERROR(__xludf.DUMMYFUNCTION("""COMPUTED_VALUE"""),8.0)</f>
        <v>8</v>
      </c>
      <c r="K52" s="51"/>
      <c r="L52" s="60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IFERROR(__xludf.DUMMYFUNCTION("""COMPUTED_VALUE"""),"OLVERA")</f>
        <v>OLVERA</v>
      </c>
      <c r="C53" s="52" t="str">
        <f>IFERROR(__xludf.DUMMYFUNCTION("""COMPUTED_VALUE"""),"VALLE")</f>
        <v>VALLE</v>
      </c>
      <c r="D53" s="54" t="str">
        <f>IFERROR(__xludf.DUMMYFUNCTION("""COMPUTED_VALUE"""),"LAILA MELISA")</f>
        <v>LAILA MELISA</v>
      </c>
      <c r="E53" s="55">
        <f>IFERROR(__xludf.DUMMYFUNCTION("""COMPUTED_VALUE"""),0.0)</f>
        <v>0</v>
      </c>
      <c r="F53" s="55">
        <f>IFERROR(__xludf.DUMMYFUNCTION("""COMPUTED_VALUE"""),0.0)</f>
        <v>0</v>
      </c>
      <c r="G53" s="56">
        <f>IFERROR(__xludf.DUMMYFUNCTION("""COMPUTED_VALUE"""),1.0)</f>
        <v>1</v>
      </c>
      <c r="H53" s="57">
        <f>IFERROR(__xludf.DUMMYFUNCTION("""COMPUTED_VALUE"""),1.0)</f>
        <v>1</v>
      </c>
      <c r="I53" s="58">
        <f>IFERROR(__xludf.DUMMYFUNCTION("""COMPUTED_VALUE"""),1.0)</f>
        <v>1</v>
      </c>
      <c r="J53" s="59">
        <f>IFERROR(__xludf.DUMMYFUNCTION("""COMPUTED_VALUE"""),5.0)</f>
        <v>5</v>
      </c>
      <c r="K53" s="51"/>
      <c r="L53" s="60">
        <f>IFERROR(__xludf.DUMMYFUNCTION("""COMPUTED_VALUE"""),1.0)</f>
        <v>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IFERROR(__xludf.DUMMYFUNCTION("""COMPUTED_VALUE"""),"ORTIZ")</f>
        <v>ORTIZ</v>
      </c>
      <c r="C54" s="52" t="str">
        <f>IFERROR(__xludf.DUMMYFUNCTION("""COMPUTED_VALUE"""),"CARRILLO")</f>
        <v>CARRILLO</v>
      </c>
      <c r="D54" s="54" t="str">
        <f>IFERROR(__xludf.DUMMYFUNCTION("""COMPUTED_VALUE"""),"DORIAN ELIAS")</f>
        <v>DORIAN ELIAS</v>
      </c>
      <c r="E54" s="55">
        <f>IFERROR(__xludf.DUMMYFUNCTION("""COMPUTED_VALUE"""),8.0)</f>
        <v>8</v>
      </c>
      <c r="F54" s="55">
        <f>IFERROR(__xludf.DUMMYFUNCTION("""COMPUTED_VALUE"""),2.0)</f>
        <v>2</v>
      </c>
      <c r="G54" s="56">
        <f>IFERROR(__xludf.DUMMYFUNCTION("""COMPUTED_VALUE"""),0.0)</f>
        <v>0</v>
      </c>
      <c r="H54" s="57">
        <f>IFERROR(__xludf.DUMMYFUNCTION("""COMPUTED_VALUE"""),10.0)</f>
        <v>10</v>
      </c>
      <c r="I54" s="58">
        <f>IFERROR(__xludf.DUMMYFUNCTION("""COMPUTED_VALUE"""),0.0)</f>
        <v>0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IFERROR(__xludf.DUMMYFUNCTION("""COMPUTED_VALUE"""),"PEREA")</f>
        <v>PEREA</v>
      </c>
      <c r="C55" s="52" t="str">
        <f>IFERROR(__xludf.DUMMYFUNCTION("""COMPUTED_VALUE"""),"SALDAÑA")</f>
        <v>SALDAÑA</v>
      </c>
      <c r="D55" s="54" t="str">
        <f>IFERROR(__xludf.DUMMYFUNCTION("""COMPUTED_VALUE"""),"ASTRA TAMARA")</f>
        <v>ASTRA TAMARA</v>
      </c>
      <c r="E55" s="55">
        <f>IFERROR(__xludf.DUMMYFUNCTION("""COMPUTED_VALUE"""),4.0)</f>
        <v>4</v>
      </c>
      <c r="F55" s="55">
        <f>IFERROR(__xludf.DUMMYFUNCTION("""COMPUTED_VALUE"""),2.0)</f>
        <v>2</v>
      </c>
      <c r="G55" s="56">
        <f>IFERROR(__xludf.DUMMYFUNCTION("""COMPUTED_VALUE"""),0.0)</f>
        <v>0</v>
      </c>
      <c r="H55" s="57">
        <f>IFERROR(__xludf.DUMMYFUNCTION("""COMPUTED_VALUE"""),6.0)</f>
        <v>6</v>
      </c>
      <c r="I55" s="64">
        <f>IFERROR(__xludf.DUMMYFUNCTION("""COMPUTED_VALUE"""),1.0)</f>
        <v>1</v>
      </c>
      <c r="J55" s="59">
        <f>IFERROR(__xludf.DUMMYFUNCTION("""COMPUTED_VALUE"""),6.0)</f>
        <v>6</v>
      </c>
      <c r="K55" s="51"/>
      <c r="L55" s="60">
        <f>IFERROR(__xludf.DUMMYFUNCTION("""COMPUTED_VALUE"""),6.0)</f>
        <v>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IFERROR(__xludf.DUMMYFUNCTION("""COMPUTED_VALUE"""),"PEREZ")</f>
        <v>PEREZ</v>
      </c>
      <c r="C56" s="52" t="str">
        <f>IFERROR(__xludf.DUMMYFUNCTION("""COMPUTED_VALUE"""),"HERNANDEZ")</f>
        <v>HERNANDEZ</v>
      </c>
      <c r="D56" s="54" t="str">
        <f>IFERROR(__xludf.DUMMYFUNCTION("""COMPUTED_VALUE"""),"EDGAR ALEJANDRO")</f>
        <v>EDGAR ALEJANDRO</v>
      </c>
      <c r="E56" s="55">
        <f>IFERROR(__xludf.DUMMYFUNCTION("""COMPUTED_VALUE"""),6.0)</f>
        <v>6</v>
      </c>
      <c r="F56" s="55">
        <f>IFERROR(__xludf.DUMMYFUNCTION("""COMPUTED_VALUE"""),2.0)</f>
        <v>2</v>
      </c>
      <c r="G56" s="56">
        <f>IFERROR(__xludf.DUMMYFUNCTION("""COMPUTED_VALUE"""),0.0)</f>
        <v>0</v>
      </c>
      <c r="H56" s="57">
        <f>IFERROR(__xludf.DUMMYFUNCTION("""COMPUTED_VALUE"""),8.0)</f>
        <v>8</v>
      </c>
      <c r="I56" s="64">
        <f>IFERROR(__xludf.DUMMYFUNCTION("""COMPUTED_VALUE"""),0.0)</f>
        <v>0</v>
      </c>
      <c r="J56" s="59">
        <f>IFERROR(__xludf.DUMMYFUNCTION("""COMPUTED_VALUE"""),8.0)</f>
        <v>8</v>
      </c>
      <c r="K56" s="51"/>
      <c r="L56" s="60">
        <f>IFERROR(__xludf.DUMMYFUNCTION("""COMPUTED_VALUE"""),8.0)</f>
        <v>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IFERROR(__xludf.DUMMYFUNCTION("""COMPUTED_VALUE"""),"PLAZA")</f>
        <v>PLAZA</v>
      </c>
      <c r="C57" s="62" t="str">
        <f>IFERROR(__xludf.DUMMYFUNCTION("""COMPUTED_VALUE"""),"LARA")</f>
        <v>LARA</v>
      </c>
      <c r="D57" s="63" t="str">
        <f>IFERROR(__xludf.DUMMYFUNCTION("""COMPUTED_VALUE"""),"IAN ALDAIR")</f>
        <v>IAN ALDAIR</v>
      </c>
      <c r="E57" s="55">
        <f>IFERROR(__xludf.DUMMYFUNCTION("""COMPUTED_VALUE"""),8.0)</f>
        <v>8</v>
      </c>
      <c r="F57" s="55">
        <f>IFERROR(__xludf.DUMMYFUNCTION("""COMPUTED_VALUE"""),2.0)</f>
        <v>2</v>
      </c>
      <c r="G57" s="56">
        <f>IFERROR(__xludf.DUMMYFUNCTION("""COMPUTED_VALUE"""),0.0)</f>
        <v>0</v>
      </c>
      <c r="H57" s="57">
        <f>IFERROR(__xludf.DUMMYFUNCTION("""COMPUTED_VALUE"""),10.0)</f>
        <v>10</v>
      </c>
      <c r="I57" s="64">
        <f>IFERROR(__xludf.DUMMYFUNCTION("""COMPUTED_VALUE"""),1.0)</f>
        <v>1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IFERROR(__xludf.DUMMYFUNCTION("""COMPUTED_VALUE"""),"RAMIREZ")</f>
        <v>RAMIREZ</v>
      </c>
      <c r="C58" s="52" t="str">
        <f>IFERROR(__xludf.DUMMYFUNCTION("""COMPUTED_VALUE"""),"DIAZ")</f>
        <v>DIAZ</v>
      </c>
      <c r="D58" s="54" t="str">
        <f>IFERROR(__xludf.DUMMYFUNCTION("""COMPUTED_VALUE"""),"OMEGA VALENTINA")</f>
        <v>OMEGA VALENTINA</v>
      </c>
      <c r="E58" s="55">
        <f>IFERROR(__xludf.DUMMYFUNCTION("""COMPUTED_VALUE"""),8.0)</f>
        <v>8</v>
      </c>
      <c r="F58" s="55">
        <f>IFERROR(__xludf.DUMMYFUNCTION("""COMPUTED_VALUE"""),2.0)</f>
        <v>2</v>
      </c>
      <c r="G58" s="56">
        <f>IFERROR(__xludf.DUMMYFUNCTION("""COMPUTED_VALUE"""),1.0)</f>
        <v>1</v>
      </c>
      <c r="H58" s="57">
        <f>IFERROR(__xludf.DUMMYFUNCTION("""COMPUTED_VALUE"""),11.0)</f>
        <v>11</v>
      </c>
      <c r="I58" s="64">
        <f>IFERROR(__xludf.DUMMYFUNCTION("""COMPUTED_VALUE"""),1.0)</f>
        <v>1</v>
      </c>
      <c r="J58" s="59">
        <f>IFERROR(__xludf.DUMMYFUNCTION("""COMPUTED_VALUE"""),10.0)</f>
        <v>10</v>
      </c>
      <c r="K58" s="51"/>
      <c r="L58" s="60">
        <f>IFERROR(__xludf.DUMMYFUNCTION("""COMPUTED_VALUE"""),11.0)</f>
        <v>11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IFERROR(__xludf.DUMMYFUNCTION("""COMPUTED_VALUE"""),"RAMIREZ")</f>
        <v>RAMIREZ</v>
      </c>
      <c r="C59" s="62" t="str">
        <f>IFERROR(__xludf.DUMMYFUNCTION("""COMPUTED_VALUE"""),"TORRES")</f>
        <v>TORRES</v>
      </c>
      <c r="D59" s="63" t="str">
        <f>IFERROR(__xludf.DUMMYFUNCTION("""COMPUTED_VALUE"""),"PERCIVAL GABRIEL")</f>
        <v>PERCIVAL GABRIEL</v>
      </c>
      <c r="E59" s="55">
        <f>IFERROR(__xludf.DUMMYFUNCTION("""COMPUTED_VALUE"""),2.0)</f>
        <v>2</v>
      </c>
      <c r="F59" s="55">
        <f>IFERROR(__xludf.DUMMYFUNCTION("""COMPUTED_VALUE"""),2.0)</f>
        <v>2</v>
      </c>
      <c r="G59" s="56">
        <f>IFERROR(__xludf.DUMMYFUNCTION("""COMPUTED_VALUE"""),0.0)</f>
        <v>0</v>
      </c>
      <c r="H59" s="57">
        <f>IFERROR(__xludf.DUMMYFUNCTION("""COMPUTED_VALUE"""),4.0)</f>
        <v>4</v>
      </c>
      <c r="I59" s="64">
        <f>IFERROR(__xludf.DUMMYFUNCTION("""COMPUTED_VALUE"""),3.0)</f>
        <v>3</v>
      </c>
      <c r="J59" s="59">
        <f>IFERROR(__xludf.DUMMYFUNCTION("""COMPUTED_VALUE"""),5.0)</f>
        <v>5</v>
      </c>
      <c r="K59" s="51"/>
      <c r="L59" s="60">
        <f>IFERROR(__xludf.DUMMYFUNCTION("""COMPUTED_VALUE"""),4.0)</f>
        <v>4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IFERROR(__xludf.DUMMYFUNCTION("""COMPUTED_VALUE"""),"RANGEL")</f>
        <v>RANGEL</v>
      </c>
      <c r="C60" s="62" t="str">
        <f>IFERROR(__xludf.DUMMYFUNCTION("""COMPUTED_VALUE"""),"JIMENEZ")</f>
        <v>JIMENEZ</v>
      </c>
      <c r="D60" s="63" t="str">
        <f>IFERROR(__xludf.DUMMYFUNCTION("""COMPUTED_VALUE"""),"PAOLA ALEJANDRA")</f>
        <v>PAOLA ALEJANDRA</v>
      </c>
      <c r="E60" s="55">
        <f>IFERROR(__xludf.DUMMYFUNCTION("""COMPUTED_VALUE"""),8.0)</f>
        <v>8</v>
      </c>
      <c r="F60" s="55">
        <f>IFERROR(__xludf.DUMMYFUNCTION("""COMPUTED_VALUE"""),2.0)</f>
        <v>2</v>
      </c>
      <c r="G60" s="56">
        <f>IFERROR(__xludf.DUMMYFUNCTION("""COMPUTED_VALUE"""),1.0)</f>
        <v>1</v>
      </c>
      <c r="H60" s="57">
        <f>IFERROR(__xludf.DUMMYFUNCTION("""COMPUTED_VALUE"""),11.0)</f>
        <v>11</v>
      </c>
      <c r="I60" s="64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IFERROR(__xludf.DUMMYFUNCTION("""COMPUTED_VALUE"""),11.0)</f>
        <v>11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IFERROR(__xludf.DUMMYFUNCTION("""COMPUTED_VALUE"""),"RIVERA")</f>
        <v>RIVERA</v>
      </c>
      <c r="C61" s="62" t="str">
        <f>IFERROR(__xludf.DUMMYFUNCTION("""COMPUTED_VALUE"""),"GARCIA")</f>
        <v>GARCIA</v>
      </c>
      <c r="D61" s="63" t="str">
        <f>IFERROR(__xludf.DUMMYFUNCTION("""COMPUTED_VALUE"""),"ASTRID MICHELLE")</f>
        <v>ASTRID MICHELLE</v>
      </c>
      <c r="E61" s="55">
        <f>IFERROR(__xludf.DUMMYFUNCTION("""COMPUTED_VALUE"""),4.0)</f>
        <v>4</v>
      </c>
      <c r="F61" s="55">
        <f>IFERROR(__xludf.DUMMYFUNCTION("""COMPUTED_VALUE"""),0.0)</f>
        <v>0</v>
      </c>
      <c r="G61" s="56">
        <f>IFERROR(__xludf.DUMMYFUNCTION("""COMPUTED_VALUE"""),0.0)</f>
        <v>0</v>
      </c>
      <c r="H61" s="57">
        <f>IFERROR(__xludf.DUMMYFUNCTION("""COMPUTED_VALUE"""),4.0)</f>
        <v>4</v>
      </c>
      <c r="I61" s="64">
        <f>IFERROR(__xludf.DUMMYFUNCTION("""COMPUTED_VALUE"""),4.0)</f>
        <v>4</v>
      </c>
      <c r="J61" s="59">
        <f>IFERROR(__xludf.DUMMYFUNCTION("""COMPUTED_VALUE"""),5.0)</f>
        <v>5</v>
      </c>
      <c r="K61" s="51"/>
      <c r="L61" s="60">
        <f>IFERROR(__xludf.DUMMYFUNCTION("""COMPUTED_VALUE"""),4.0)</f>
        <v>4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IFERROR(__xludf.DUMMYFUNCTION("""COMPUTED_VALUE"""),"RODRIGUEZ")</f>
        <v>RODRIGUEZ</v>
      </c>
      <c r="C62" s="62" t="str">
        <f>IFERROR(__xludf.DUMMYFUNCTION("""COMPUTED_VALUE"""),"CAMACHO")</f>
        <v>CAMACHO</v>
      </c>
      <c r="D62" s="63" t="str">
        <f>IFERROR(__xludf.DUMMYFUNCTION("""COMPUTED_VALUE"""),"ENRIQUE SALVADOR")</f>
        <v>ENRIQUE SALVADOR</v>
      </c>
      <c r="E62" s="55">
        <f>IFERROR(__xludf.DUMMYFUNCTION("""COMPUTED_VALUE"""),4.0)</f>
        <v>4</v>
      </c>
      <c r="F62" s="55">
        <f>IFERROR(__xludf.DUMMYFUNCTION("""COMPUTED_VALUE"""),0.0)</f>
        <v>0</v>
      </c>
      <c r="G62" s="56">
        <f>IFERROR(__xludf.DUMMYFUNCTION("""COMPUTED_VALUE"""),0.0)</f>
        <v>0</v>
      </c>
      <c r="H62" s="57">
        <f>IFERROR(__xludf.DUMMYFUNCTION("""COMPUTED_VALUE"""),4.0)</f>
        <v>4</v>
      </c>
      <c r="I62" s="55">
        <f>IFERROR(__xludf.DUMMYFUNCTION("""COMPUTED_VALUE"""),3.0)</f>
        <v>3</v>
      </c>
      <c r="J62" s="59">
        <f>IFERROR(__xludf.DUMMYFUNCTION("""COMPUTED_VALUE"""),5.0)</f>
        <v>5</v>
      </c>
      <c r="K62" s="51"/>
      <c r="L62" s="60">
        <f>IFERROR(__xludf.DUMMYFUNCTION("""COMPUTED_VALUE"""),4.0)</f>
        <v>4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IFERROR(__xludf.DUMMYFUNCTION("""COMPUTED_VALUE"""),"RODRIGUEZ")</f>
        <v>RODRIGUEZ</v>
      </c>
      <c r="C63" s="62" t="str">
        <f>IFERROR(__xludf.DUMMYFUNCTION("""COMPUTED_VALUE"""),"ROSAS")</f>
        <v>ROSAS</v>
      </c>
      <c r="D63" s="63" t="str">
        <f>IFERROR(__xludf.DUMMYFUNCTION("""COMPUTED_VALUE"""),"QUETZALI")</f>
        <v>QUETZALI</v>
      </c>
      <c r="E63" s="55">
        <f>IFERROR(__xludf.DUMMYFUNCTION("""COMPUTED_VALUE"""),8.0)</f>
        <v>8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IFERROR(__xludf.DUMMYFUNCTION("""COMPUTED_VALUE"""),11.0)</f>
        <v>11</v>
      </c>
      <c r="I63" s="55">
        <f>IFERROR(__xludf.DUMMYFUNCTION("""COMPUTED_VALUE"""),0.0)</f>
        <v>0</v>
      </c>
      <c r="J63" s="59">
        <f>IFERROR(__xludf.DUMMYFUNCTION("""COMPUTED_VALUE"""),10.0)</f>
        <v>10</v>
      </c>
      <c r="K63" s="51"/>
      <c r="L63" s="60">
        <f>IFERROR(__xludf.DUMMYFUNCTION("""COMPUTED_VALUE"""),11.0)</f>
        <v>11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IFERROR(__xludf.DUMMYFUNCTION("""COMPUTED_VALUE"""),"SANCHEZ")</f>
        <v>SANCHEZ</v>
      </c>
      <c r="C64" s="62" t="str">
        <f>IFERROR(__xludf.DUMMYFUNCTION("""COMPUTED_VALUE"""),"BERMUDEZ")</f>
        <v>BERMUDEZ</v>
      </c>
      <c r="D64" s="63" t="str">
        <f>IFERROR(__xludf.DUMMYFUNCTION("""COMPUTED_VALUE"""),"JORGE")</f>
        <v>JORGE</v>
      </c>
      <c r="E64" s="55">
        <f>IFERROR(__xludf.DUMMYFUNCTION("""COMPUTED_VALUE"""),6.0)</f>
        <v>6</v>
      </c>
      <c r="F64" s="55">
        <f>IFERROR(__xludf.DUMMYFUNCTION("""COMPUTED_VALUE"""),2.0)</f>
        <v>2</v>
      </c>
      <c r="G64" s="56">
        <f>IFERROR(__xludf.DUMMYFUNCTION("""COMPUTED_VALUE"""),0.0)</f>
        <v>0</v>
      </c>
      <c r="H64" s="57">
        <f>IFERROR(__xludf.DUMMYFUNCTION("""COMPUTED_VALUE"""),8.0)</f>
        <v>8</v>
      </c>
      <c r="I64" s="64">
        <f>IFERROR(__xludf.DUMMYFUNCTION("""COMPUTED_VALUE"""),1.0)</f>
        <v>1</v>
      </c>
      <c r="J64" s="59">
        <f>IFERROR(__xludf.DUMMYFUNCTION("""COMPUTED_VALUE"""),8.0)</f>
        <v>8</v>
      </c>
      <c r="K64" s="51"/>
      <c r="L64" s="60">
        <f>IFERROR(__xludf.DUMMYFUNCTION("""COMPUTED_VALUE"""),8.0)</f>
        <v>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IFERROR(__xludf.DUMMYFUNCTION("""COMPUTED_VALUE"""),"VELAZQUEZ")</f>
        <v>VELAZQUEZ</v>
      </c>
      <c r="D65" s="66" t="str">
        <f>IFERROR(__xludf.DUMMYFUNCTION("""COMPUTED_VALUE"""),"RENATA VICTORIA")</f>
        <v>RENATA VICTORIA</v>
      </c>
      <c r="E65" s="55">
        <f>IFERROR(__xludf.DUMMYFUNCTION("""COMPUTED_VALUE"""),4.0)</f>
        <v>4</v>
      </c>
      <c r="F65" s="55">
        <f>IFERROR(__xludf.DUMMYFUNCTION("""COMPUTED_VALUE"""),2.0)</f>
        <v>2</v>
      </c>
      <c r="G65" s="56">
        <f>IFERROR(__xludf.DUMMYFUNCTION("""COMPUTED_VALUE"""),0.0)</f>
        <v>0</v>
      </c>
      <c r="H65" s="57">
        <f>IFERROR(__xludf.DUMMYFUNCTION("""COMPUTED_VALUE"""),6.0)</f>
        <v>6</v>
      </c>
      <c r="I65" s="55">
        <f>IFERROR(__xludf.DUMMYFUNCTION("""COMPUTED_VALUE"""),0.0)</f>
        <v>0</v>
      </c>
      <c r="J65" s="59">
        <f>IFERROR(__xludf.DUMMYFUNCTION("""COMPUTED_VALUE"""),6.0)</f>
        <v>6</v>
      </c>
      <c r="K65" s="51"/>
      <c r="L65" s="60">
        <f>IFERROR(__xludf.DUMMYFUNCTION("""COMPUTED_VALUE"""),6.0)</f>
        <v>6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IFERROR(__xludf.DUMMYFUNCTION("""COMPUTED_VALUE"""),"TREJO")</f>
        <v>TREJO</v>
      </c>
      <c r="C66" s="62" t="str">
        <f>IFERROR(__xludf.DUMMYFUNCTION("""COMPUTED_VALUE"""),"PERAL")</f>
        <v>PERAL</v>
      </c>
      <c r="D66" s="66" t="str">
        <f>IFERROR(__xludf.DUMMYFUNCTION("""COMPUTED_VALUE"""),"AIKO REGINA")</f>
        <v>AIKO REGINA</v>
      </c>
      <c r="E66" s="55">
        <f>IFERROR(__xludf.DUMMYFUNCTION("""COMPUTED_VALUE"""),4.0)</f>
        <v>4</v>
      </c>
      <c r="F66" s="55">
        <f>IFERROR(__xludf.DUMMYFUNCTION("""COMPUTED_VALUE"""),2.0)</f>
        <v>2</v>
      </c>
      <c r="G66" s="56">
        <f>IFERROR(__xludf.DUMMYFUNCTION("""COMPUTED_VALUE"""),0.0)</f>
        <v>0</v>
      </c>
      <c r="H66" s="57">
        <f>IFERROR(__xludf.DUMMYFUNCTION("""COMPUTED_VALUE"""),6.0)</f>
        <v>6</v>
      </c>
      <c r="I66" s="55">
        <f>IFERROR(__xludf.DUMMYFUNCTION("""COMPUTED_VALUE"""),1.0)</f>
        <v>1</v>
      </c>
      <c r="J66" s="59">
        <f>IFERROR(__xludf.DUMMYFUNCTION("""COMPUTED_VALUE"""),6.0)</f>
        <v>6</v>
      </c>
      <c r="K66" s="51"/>
      <c r="L66" s="60">
        <f>IFERROR(__xludf.DUMMYFUNCTION("""COMPUTED_VALUE"""),6.0)</f>
        <v>6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IFERROR(__xludf.DUMMYFUNCTION("""COMPUTED_VALUE"""),"TREJO")</f>
        <v>TREJO</v>
      </c>
      <c r="C67" s="62" t="str">
        <f>IFERROR(__xludf.DUMMYFUNCTION("""COMPUTED_VALUE"""),"PEREZ")</f>
        <v>PEREZ</v>
      </c>
      <c r="D67" s="67" t="str">
        <f>IFERROR(__xludf.DUMMYFUNCTION("""COMPUTED_VALUE"""),"ANGEL SANTIAGO")</f>
        <v>ANGEL SANTIAGO</v>
      </c>
      <c r="E67" s="55">
        <f>IFERROR(__xludf.DUMMYFUNCTION("""COMPUTED_VALUE"""),4.0)</f>
        <v>4</v>
      </c>
      <c r="F67" s="55">
        <f>IFERROR(__xludf.DUMMYFUNCTION("""COMPUTED_VALUE"""),2.0)</f>
        <v>2</v>
      </c>
      <c r="G67" s="56">
        <f>IFERROR(__xludf.DUMMYFUNCTION("""COMPUTED_VALUE"""),1.0)</f>
        <v>1</v>
      </c>
      <c r="H67" s="57">
        <f>IFERROR(__xludf.DUMMYFUNCTION("""COMPUTED_VALUE"""),7.0)</f>
        <v>7</v>
      </c>
      <c r="I67" s="55">
        <f>IFERROR(__xludf.DUMMYFUNCTION("""COMPUTED_VALUE"""),2.0)</f>
        <v>2</v>
      </c>
      <c r="J67" s="59">
        <f>IFERROR(__xludf.DUMMYFUNCTION("""COMPUTED_VALUE"""),7.0)</f>
        <v>7</v>
      </c>
      <c r="K67" s="51"/>
      <c r="L67" s="60">
        <f>IFERROR(__xludf.DUMMYFUNCTION("""COMPUTED_VALUE"""),7.0)</f>
        <v>7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IFERROR(__xludf.DUMMYFUNCTION("""COMPUTED_VALUE"""),"VAZQUEZ")</f>
        <v>VAZQUEZ</v>
      </c>
      <c r="C68" s="62" t="str">
        <f>IFERROR(__xludf.DUMMYFUNCTION("""COMPUTED_VALUE"""),"FABILA")</f>
        <v>FABILA</v>
      </c>
      <c r="D68" s="67" t="str">
        <f>IFERROR(__xludf.DUMMYFUNCTION("""COMPUTED_VALUE"""),"LUZ MARIANA")</f>
        <v>LUZ MARIANA</v>
      </c>
      <c r="E68" s="55">
        <f>IFERROR(__xludf.DUMMYFUNCTION("""COMPUTED_VALUE"""),3.6)</f>
        <v>3.6</v>
      </c>
      <c r="F68" s="55">
        <f>IFERROR(__xludf.DUMMYFUNCTION("""COMPUTED_VALUE"""),2.0)</f>
        <v>2</v>
      </c>
      <c r="G68" s="56">
        <f>IFERROR(__xludf.DUMMYFUNCTION("""COMPUTED_VALUE"""),0.0)</f>
        <v>0</v>
      </c>
      <c r="H68" s="57">
        <f>IFERROR(__xludf.DUMMYFUNCTION("""COMPUTED_VALUE"""),5.6)</f>
        <v>5.6</v>
      </c>
      <c r="I68" s="55">
        <f>IFERROR(__xludf.DUMMYFUNCTION("""COMPUTED_VALUE"""),0.0)</f>
        <v>0</v>
      </c>
      <c r="J68" s="59">
        <f>IFERROR(__xludf.DUMMYFUNCTION("""COMPUTED_VALUE"""),5.0)</f>
        <v>5</v>
      </c>
      <c r="K68" s="51"/>
      <c r="L68" s="60">
        <f>IFERROR(__xludf.DUMMYFUNCTION("""COMPUTED_VALUE"""),5.0)</f>
        <v>5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IFERROR(__xludf.DUMMYFUNCTION("""COMPUTED_VALUE"""),"VILLEGAS")</f>
        <v>VILLEGAS</v>
      </c>
      <c r="C69" s="62" t="str">
        <f>IFERROR(__xludf.DUMMYFUNCTION("""COMPUTED_VALUE"""),"SANCHEZ")</f>
        <v>SANCHEZ</v>
      </c>
      <c r="D69" s="66" t="str">
        <f>IFERROR(__xludf.DUMMYFUNCTION("""COMPUTED_VALUE"""),"FATIMA ANAHI")</f>
        <v>FATIMA ANAHI</v>
      </c>
      <c r="E69" s="55">
        <f>IFERROR(__xludf.DUMMYFUNCTION("""COMPUTED_VALUE"""),2.0)</f>
        <v>2</v>
      </c>
      <c r="F69" s="55">
        <f>IFERROR(__xludf.DUMMYFUNCTION("""COMPUTED_VALUE"""),2.0)</f>
        <v>2</v>
      </c>
      <c r="G69" s="56">
        <f>IFERROR(__xludf.DUMMYFUNCTION("""COMPUTED_VALUE"""),0.0)</f>
        <v>0</v>
      </c>
      <c r="H69" s="57">
        <f>IFERROR(__xludf.DUMMYFUNCTION("""COMPUTED_VALUE"""),4.0)</f>
        <v>4</v>
      </c>
      <c r="I69" s="64">
        <f>IFERROR(__xludf.DUMMYFUNCTION("""COMPUTED_VALUE"""),2.0)</f>
        <v>2</v>
      </c>
      <c r="J69" s="59">
        <f>IFERROR(__xludf.DUMMYFUNCTION("""COMPUTED_VALUE"""),5.0)</f>
        <v>5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IFERROR(__xludf.DUMMYFUNCTION("""COMPUTED_VALUE"""),"ZAMORA")</f>
        <v>ZAMORA</v>
      </c>
      <c r="C70" s="62" t="str">
        <f>IFERROR(__xludf.DUMMYFUNCTION("""COMPUTED_VALUE"""),"REYES")</f>
        <v>REYES</v>
      </c>
      <c r="D70" s="67" t="str">
        <f>IFERROR(__xludf.DUMMYFUNCTION("""COMPUTED_VALUE"""),"SANTIAGO")</f>
        <v>SANTIAGO</v>
      </c>
      <c r="E70" s="55">
        <f>IFERROR(__xludf.DUMMYFUNCTION("""COMPUTED_VALUE"""),2.0)</f>
        <v>2</v>
      </c>
      <c r="F70" s="55">
        <f>IFERROR(__xludf.DUMMYFUNCTION("""COMPUTED_VALUE"""),2.0)</f>
        <v>2</v>
      </c>
      <c r="G70" s="56">
        <f>IFERROR(__xludf.DUMMYFUNCTION("""COMPUTED_VALUE"""),0.0)</f>
        <v>0</v>
      </c>
      <c r="H70" s="57">
        <f>IFERROR(__xludf.DUMMYFUNCTION("""COMPUTED_VALUE"""),4.0)</f>
        <v>4</v>
      </c>
      <c r="I70" s="55">
        <f>IFERROR(__xludf.DUMMYFUNCTION("""COMPUTED_VALUE"""),2.0)</f>
        <v>2</v>
      </c>
      <c r="J70" s="59">
        <f>IFERROR(__xludf.DUMMYFUNCTION("""COMPUTED_VALUE"""),5.0)</f>
        <v>5</v>
      </c>
      <c r="K70" s="51"/>
      <c r="L70" s="6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51"/>
      <c r="B71" s="65"/>
      <c r="C71" s="62"/>
      <c r="D71" s="63"/>
      <c r="E71" s="55"/>
      <c r="F71" s="55"/>
      <c r="G71" s="56"/>
      <c r="H71" s="57"/>
      <c r="I71" s="64"/>
      <c r="J71" s="59"/>
      <c r="K71" s="51"/>
      <c r="L71" s="6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71"/>
      <c r="B72" s="72" t="str">
        <f>IFERROR(__xludf.DUMMYFUNCTION("""COMPUTED_VALUE"""),"No. DE ALUMNOS INSCRITOS")</f>
        <v>No. DE ALUMNOS INSCRITOS</v>
      </c>
      <c r="C72" s="73"/>
      <c r="D72" s="74">
        <f>IFERROR(__xludf.DUMMYFUNCTION("""COMPUTED_VALUE"""),54.0)</f>
        <v>54</v>
      </c>
      <c r="E72" s="69"/>
      <c r="F72" s="75" t="str">
        <f>IFERROR(__xludf.DUMMYFUNCTION("""COMPUTED_VALUE"""),"FIRMA DEL PROFESOR")</f>
        <v>FIRMA DEL PROFESOR</v>
      </c>
      <c r="G72" s="75"/>
      <c r="H72" s="75" t="str">
        <f>IFERROR(__xludf.DUMMYFUNCTION("""COMPUTED_VALUE"""),"FIRMA DEL ORIENTADOR")</f>
        <v>FIRMA DEL ORIENTADOR</v>
      </c>
      <c r="J72" s="76" t="str">
        <f>IFERROR(__xludf.DUMMYFUNCTION("""COMPUTED_VALUE"""),"Vo. Bo. SUBDIRECCIÓN ESCOLAR")</f>
        <v>Vo. Bo. SUBDIRECCIÓN ESCOLAR</v>
      </c>
      <c r="K72" s="77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78" t="str">
        <f>IFERROR(__xludf.DUMMYFUNCTION("""COMPUTED_VALUE"""),"BAJAS DURANTE EL SEMESTRE")</f>
        <v>BAJAS DURANTE EL SEMESTRE</v>
      </c>
      <c r="C73" s="79"/>
      <c r="D73" s="114">
        <f>IFERROR(__xludf.DUMMYFUNCTION("""COMPUTED_VALUE"""),0.0)</f>
        <v>0</v>
      </c>
      <c r="E73" s="69"/>
      <c r="G73" s="75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1"/>
      <c r="B74" s="78" t="str">
        <f>IFERROR(__xludf.DUMMYFUNCTION("""COMPUTED_VALUE"""),"EXISTENCIA")</f>
        <v>EXISTENCIA</v>
      </c>
      <c r="C74" s="79"/>
      <c r="D74" s="81">
        <f>IFERROR(__xludf.DUMMYFUNCTION("""COMPUTED_VALUE"""),54.0)</f>
        <v>54</v>
      </c>
      <c r="E74" s="69"/>
      <c r="F74" s="82"/>
      <c r="G74" s="83"/>
      <c r="H74" s="82"/>
      <c r="I74" s="82"/>
      <c r="J74" s="84"/>
      <c r="K74" s="8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1"/>
      <c r="B75" s="78" t="str">
        <f>IFERROR(__xludf.DUMMYFUNCTION("""COMPUTED_VALUE"""),"No. DE ALUMNOS APROBADOS")</f>
        <v>No. DE ALUMNOS APROBADOS</v>
      </c>
      <c r="C75" s="79"/>
      <c r="D75" s="81">
        <f>IFERROR(__xludf.DUMMYFUNCTION("""COMPUTED_VALUE"""),38.0)</f>
        <v>38</v>
      </c>
      <c r="E75" s="69"/>
      <c r="F75" s="82"/>
      <c r="G75" s="83"/>
      <c r="H75" s="82"/>
      <c r="I75" s="82"/>
      <c r="J75" s="84"/>
      <c r="K75" s="8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1"/>
      <c r="B76" s="78" t="str">
        <f>IFERROR(__xludf.DUMMYFUNCTION("""COMPUTED_VALUE"""),"No. DE ALUMNOS REPROBADOS")</f>
        <v>No. DE ALUMNOS REPROBADOS</v>
      </c>
      <c r="C76" s="79"/>
      <c r="D76" s="81">
        <f>IFERROR(__xludf.DUMMYFUNCTION("""COMPUTED_VALUE"""),16.0)</f>
        <v>16</v>
      </c>
      <c r="E76" s="69"/>
      <c r="F76" s="86"/>
      <c r="G76" s="83"/>
      <c r="H76" s="86"/>
      <c r="I76" s="86"/>
      <c r="J76" s="87"/>
      <c r="K76" s="8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1"/>
      <c r="B77" s="78" t="str">
        <f>IFERROR(__xludf.DUMMYFUNCTION("""COMPUTED_VALUE"""),"% DE APROBADOS")</f>
        <v>% DE APROBADOS</v>
      </c>
      <c r="C77" s="79"/>
      <c r="D77" s="89">
        <f>IFERROR(__xludf.DUMMYFUNCTION("""COMPUTED_VALUE"""),70.37037037037037)</f>
        <v>70.37037037</v>
      </c>
      <c r="E77" s="69"/>
      <c r="F77" s="90" t="str">
        <f>IFERROR(__xludf.DUMMYFUNCTION("""COMPUTED_VALUE"""),"PROFR. ")</f>
        <v>PROFR. </v>
      </c>
      <c r="G77" s="91"/>
      <c r="H77" s="92" t="str">
        <f>IFERROR(__xludf.DUMMYFUNCTION("""COMPUTED_VALUE"""),"PROFR. JOSÉ EDGAR SALAZAR ZÚÑIGA")</f>
        <v>PROFR. JOSÉ EDGAR SALAZAR ZÚÑIGA</v>
      </c>
      <c r="J77" s="93" t="str">
        <f>IFERROR(__xludf.DUMMYFUNCTION("""COMPUTED_VALUE"""),"PROFR. OCTAVIO VÁZQUEZ BARRETO")</f>
        <v>PROFR. OCTAVIO VÁZQUEZ BARRETO</v>
      </c>
      <c r="K77" s="94" t="str">
        <f>IFERROR(__xludf.DUMMYFUNCTION("""COMPUTED_VALUE"""),"PROFR. ROBERTO PALOMARES MEJÍA ")</f>
        <v>PROFR. ROBERTO PALOMARES MEJÍA </v>
      </c>
      <c r="L77" s="9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71"/>
      <c r="B78" s="96" t="str">
        <f>IFERROR(__xludf.DUMMYFUNCTION("""COMPUTED_VALUE"""),"PROMEDIO")</f>
        <v>PROMEDIO</v>
      </c>
      <c r="C78" s="97"/>
      <c r="D78" s="98">
        <f>IFERROR(__xludf.DUMMYFUNCTION("""COMPUTED_VALUE"""),7.425925925925926)</f>
        <v>7.425925926</v>
      </c>
      <c r="E78" s="69"/>
      <c r="G78" s="91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99"/>
      <c r="B80" s="100"/>
      <c r="C80" s="101"/>
      <c r="D80" s="101"/>
      <c r="E80" s="69"/>
      <c r="G80" s="7"/>
      <c r="H80" s="7"/>
      <c r="I80" s="7"/>
      <c r="J80" s="7"/>
      <c r="K80" s="102"/>
      <c r="L80" s="10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4"/>
      <c r="B81" s="69"/>
      <c r="C81" s="69"/>
      <c r="D81" s="69"/>
      <c r="E81" s="7"/>
      <c r="F81" s="1"/>
      <c r="G81" s="1"/>
      <c r="H81" s="1"/>
      <c r="I81" s="1"/>
      <c r="J81" s="1"/>
      <c r="K81" s="8"/>
      <c r="L81" s="10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4"/>
      <c r="B82" s="69"/>
      <c r="C82" s="69"/>
      <c r="D82" s="69"/>
      <c r="E82" s="7"/>
      <c r="F82" s="1"/>
      <c r="G82" s="1"/>
      <c r="H82" s="1"/>
      <c r="I82" s="1"/>
      <c r="J82" s="1"/>
      <c r="K82" s="8"/>
      <c r="L82" s="10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6"/>
      <c r="B83" s="107"/>
      <c r="C83" s="107"/>
      <c r="D83" s="107"/>
      <c r="E83" s="108"/>
      <c r="F83" s="109"/>
      <c r="G83" s="109"/>
      <c r="H83" s="109"/>
      <c r="I83" s="109"/>
      <c r="J83" s="109"/>
      <c r="K83" s="110"/>
      <c r="L83" s="10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12"/>
      <c r="K84" s="112"/>
      <c r="L84" s="11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12"/>
      <c r="K85" s="112"/>
      <c r="L85" s="11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12"/>
      <c r="K86" s="112"/>
      <c r="L86" s="11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12"/>
      <c r="K87" s="112"/>
      <c r="L87" s="11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1"/>
      <c r="C89" s="111"/>
      <c r="D89" s="111"/>
      <c r="E89" s="111"/>
      <c r="F89" s="1"/>
      <c r="G89" s="1"/>
      <c r="H89" s="1"/>
      <c r="I89" s="1"/>
      <c r="J89" s="1"/>
      <c r="K89" s="11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1"/>
      <c r="C90" s="111"/>
      <c r="D90" s="111"/>
      <c r="E90" s="11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1"/>
      <c r="C91" s="111"/>
      <c r="D91" s="111"/>
      <c r="E91" s="11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1"/>
      <c r="C92" s="111"/>
      <c r="D92" s="111"/>
      <c r="E92" s="11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1"/>
      <c r="C93" s="111"/>
      <c r="D93" s="111"/>
      <c r="E93" s="11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1"/>
      <c r="C94" s="111"/>
      <c r="D94" s="111"/>
      <c r="E94" s="11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1"/>
      <c r="C95" s="111"/>
      <c r="D95" s="111"/>
      <c r="E95" s="11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1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IFERROR(__xludf.DUMMYFUNCTION("IMPORTRANGE(""https://docs.google.com/spreadsheets/d/1US3L4S9thycvZorF32iOJOUyVHiZpdLMZYtLmcBKODQ/edit?gid=868681460#gid=868681460"",""1-2 pensamiento filosofico y humanidades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IFERROR(__xludf.DUMMYFUNCTION("""COMPUTED_VALUE"""),"LAURITA MARTINEZ PEREZ")</f>
        <v>LAURITA MARTINEZ PEREZ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IFERROR(__xludf.DUMMYFUNCTION("""COMPUTED_VALUE"""),"PENSAMIENTO FILOSOFICO Y HUMANIDADES II")</f>
        <v>PENSAMIENTO FILOSOFICO Y HUMANIDADES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IFERROR(__xludf.DUMMYFUNCTION("""COMPUTED_VALUE"""),"AMBROSIO")</f>
        <v>AMBROSIO</v>
      </c>
      <c r="C17" s="53" t="str">
        <f>IFERROR(__xludf.DUMMYFUNCTION("""COMPUTED_VALUE"""),"RAMIREZ")</f>
        <v>RAMIREZ</v>
      </c>
      <c r="D17" s="54" t="str">
        <f>IFERROR(__xludf.DUMMYFUNCTION("""COMPUTED_VALUE"""),"ALEXANDRA")</f>
        <v>ALEXANDRA</v>
      </c>
      <c r="E17" s="55">
        <f>IFERROR(__xludf.DUMMYFUNCTION("""COMPUTED_VALUE"""),6.9)</f>
        <v>6.9</v>
      </c>
      <c r="F17" s="55">
        <f>IFERROR(__xludf.DUMMYFUNCTION("""COMPUTED_VALUE"""),1.0)</f>
        <v>1</v>
      </c>
      <c r="G17" s="56"/>
      <c r="H17" s="57">
        <f>IFERROR(__xludf.DUMMYFUNCTION("""COMPUTED_VALUE"""),7.9)</f>
        <v>7.9</v>
      </c>
      <c r="I17" s="58">
        <f>IFERROR(__xludf.DUMMYFUNCTION("""COMPUTED_VALUE"""),1.0)</f>
        <v>1</v>
      </c>
      <c r="J17" s="59">
        <f>IFERROR(__xludf.DUMMYFUNCTION("""COMPUTED_VALUE"""),8.0)</f>
        <v>8</v>
      </c>
      <c r="K17" s="60"/>
      <c r="L17" s="61">
        <f>IFERROR(__xludf.DUMMYFUNCTION("""COMPUTED_VALUE"""),8.0)</f>
        <v>8</v>
      </c>
      <c r="M17" s="1" t="str">
        <f>IFERROR(__xludf.DUMMYFUNCTION("""COMPUTED_VALUE"""),"Febrero")</f>
        <v>Febrero</v>
      </c>
      <c r="N17" s="1">
        <f>IFERROR(__xludf.DUMMYFUNCTION("""COMPUTED_VALUE"""),9.0)</f>
        <v>9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IFERROR(__xludf.DUMMYFUNCTION("""COMPUTED_VALUE"""),"AVILA")</f>
        <v>AVILA</v>
      </c>
      <c r="C18" s="52" t="str">
        <f>IFERROR(__xludf.DUMMYFUNCTION("""COMPUTED_VALUE"""),"MORALES")</f>
        <v>MORALES</v>
      </c>
      <c r="D18" s="54" t="str">
        <f>IFERROR(__xludf.DUMMYFUNCTION("""COMPUTED_VALUE"""),"EDWIN ADAHIR")</f>
        <v>EDWIN ADAHIR</v>
      </c>
      <c r="E18" s="55">
        <f>IFERROR(__xludf.DUMMYFUNCTION("""COMPUTED_VALUE"""),2.0)</f>
        <v>2</v>
      </c>
      <c r="F18" s="55">
        <f>IFERROR(__xludf.DUMMYFUNCTION("""COMPUTED_VALUE"""),0.0)</f>
        <v>0</v>
      </c>
      <c r="G18" s="56"/>
      <c r="H18" s="57">
        <f>IFERROR(__xludf.DUMMYFUNCTION("""COMPUTED_VALUE"""),2.0)</f>
        <v>2</v>
      </c>
      <c r="I18" s="58">
        <f>IFERROR(__xludf.DUMMYFUNCTION("""COMPUTED_VALUE"""),7.0)</f>
        <v>7</v>
      </c>
      <c r="J18" s="59">
        <f>IFERROR(__xludf.DUMMYFUNCTION("""COMPUTED_VALUE"""),5.0)</f>
        <v>5</v>
      </c>
      <c r="K18" s="51"/>
      <c r="L18" s="61">
        <f>IFERROR(__xludf.DUMMYFUNCTION("""COMPUTED_VALUE"""),2.0)</f>
        <v>2</v>
      </c>
      <c r="M18" s="1" t="str">
        <f>IFERROR(__xludf.DUMMYFUNCTION("""COMPUTED_VALUE"""),"Marzo")</f>
        <v>Marzo</v>
      </c>
      <c r="N18" s="1">
        <f>IFERROR(__xludf.DUMMYFUNCTION("""COMPUTED_VALUE"""),15.0)</f>
        <v>15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IFERROR(__xludf.DUMMYFUNCTION("""COMPUTED_VALUE"""),"AVILA")</f>
        <v>AVILA</v>
      </c>
      <c r="C19" s="52" t="str">
        <f>IFERROR(__xludf.DUMMYFUNCTION("""COMPUTED_VALUE"""),"RAMIREZ")</f>
        <v>RAMIREZ</v>
      </c>
      <c r="D19" s="54" t="str">
        <f>IFERROR(__xludf.DUMMYFUNCTION("""COMPUTED_VALUE"""),"SANTIAGO")</f>
        <v>SANTIAGO</v>
      </c>
      <c r="E19" s="56">
        <f>IFERROR(__xludf.DUMMYFUNCTION("""COMPUTED_VALUE"""),5.2)</f>
        <v>5.2</v>
      </c>
      <c r="F19" s="55">
        <f>IFERROR(__xludf.DUMMYFUNCTION("""COMPUTED_VALUE"""),0.5)</f>
        <v>0.5</v>
      </c>
      <c r="G19" s="56"/>
      <c r="H19" s="57">
        <f>IFERROR(__xludf.DUMMYFUNCTION("""COMPUTED_VALUE"""),5.7)</f>
        <v>5.7</v>
      </c>
      <c r="I19" s="58">
        <f>IFERROR(__xludf.DUMMYFUNCTION("""COMPUTED_VALUE"""),4.0)</f>
        <v>4</v>
      </c>
      <c r="J19" s="59">
        <f>IFERROR(__xludf.DUMMYFUNCTION("""COMPUTED_VALUE"""),5.0)</f>
        <v>5</v>
      </c>
      <c r="K19" s="51"/>
      <c r="L19" s="61">
        <f>IFERROR(__xludf.DUMMYFUNCTION("""COMPUTED_VALUE"""),5.0)</f>
        <v>5</v>
      </c>
      <c r="M19" s="1" t="str">
        <f>IFERROR(__xludf.DUMMYFUNCTION("""COMPUTED_VALUE"""),"Abril")</f>
        <v>Abril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IFERROR(__xludf.DUMMYFUNCTION("""COMPUTED_VALUE"""),"BARRAZA")</f>
        <v>BARRAZA</v>
      </c>
      <c r="C20" s="52" t="str">
        <f>IFERROR(__xludf.DUMMYFUNCTION("""COMPUTED_VALUE"""),"MONTELONGO")</f>
        <v>MONTELONGO</v>
      </c>
      <c r="D20" s="54" t="str">
        <f>IFERROR(__xludf.DUMMYFUNCTION("""COMPUTED_VALUE"""),"STEFANY YANELI")</f>
        <v>STEFANY YANELI</v>
      </c>
      <c r="E20" s="55">
        <f>IFERROR(__xludf.DUMMYFUNCTION("""COMPUTED_VALUE"""),6.9)</f>
        <v>6.9</v>
      </c>
      <c r="F20" s="55">
        <f>IFERROR(__xludf.DUMMYFUNCTION("""COMPUTED_VALUE"""),1.5)</f>
        <v>1.5</v>
      </c>
      <c r="G20" s="56">
        <f>IFERROR(__xludf.DUMMYFUNCTION("""COMPUTED_VALUE"""),1.0)</f>
        <v>1</v>
      </c>
      <c r="H20" s="57">
        <f>IFERROR(__xludf.DUMMYFUNCTION("""COMPUTED_VALUE"""),9.4)</f>
        <v>9.4</v>
      </c>
      <c r="I20" s="58">
        <f>IFERROR(__xludf.DUMMYFUNCTION("""COMPUTED_VALUE"""),1.0)</f>
        <v>1</v>
      </c>
      <c r="J20" s="59">
        <f>IFERROR(__xludf.DUMMYFUNCTION("""COMPUTED_VALUE"""),9.0)</f>
        <v>9</v>
      </c>
      <c r="K20" s="51"/>
      <c r="L20" s="61">
        <f>IFERROR(__xludf.DUMMYFUNCTION("""COMPUTED_VALUE"""),9.0)</f>
        <v>9</v>
      </c>
      <c r="M20" s="1" t="str">
        <f>IFERROR(__xludf.DUMMYFUNCTION("""COMPUTED_VALUE"""),"Mayo")</f>
        <v>Mayo</v>
      </c>
      <c r="N20" s="1">
        <f>IFERROR(__xludf.DUMMYFUNCTION("""COMPUTED_VALUE"""),13.0)</f>
        <v>13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IFERROR(__xludf.DUMMYFUNCTION("""COMPUTED_VALUE"""),"BECERRA")</f>
        <v>BECERRA</v>
      </c>
      <c r="C21" s="52" t="str">
        <f>IFERROR(__xludf.DUMMYFUNCTION("""COMPUTED_VALUE"""),"FLORES")</f>
        <v>FLORES</v>
      </c>
      <c r="D21" s="54" t="str">
        <f>IFERROR(__xludf.DUMMYFUNCTION("""COMPUTED_VALUE"""),"HADE JETZABEL")</f>
        <v>HADE JETZABEL</v>
      </c>
      <c r="E21" s="55">
        <f>IFERROR(__xludf.DUMMYFUNCTION("""COMPUTED_VALUE"""),2.3)</f>
        <v>2.3</v>
      </c>
      <c r="F21" s="55">
        <f>IFERROR(__xludf.DUMMYFUNCTION("""COMPUTED_VALUE"""),1.5)</f>
        <v>1.5</v>
      </c>
      <c r="G21" s="56"/>
      <c r="H21" s="57">
        <f>IFERROR(__xludf.DUMMYFUNCTION("""COMPUTED_VALUE"""),3.8)</f>
        <v>3.8</v>
      </c>
      <c r="I21" s="58">
        <f>IFERROR(__xludf.DUMMYFUNCTION("""COMPUTED_VALUE"""),1.0)</f>
        <v>1</v>
      </c>
      <c r="J21" s="59">
        <f>IFERROR(__xludf.DUMMYFUNCTION("""COMPUTED_VALUE"""),5.0)</f>
        <v>5</v>
      </c>
      <c r="K21" s="51"/>
      <c r="L21" s="61">
        <f>IFERROR(__xludf.DUMMYFUNCTION("""COMPUTED_VALUE"""),3.0)</f>
        <v>3</v>
      </c>
      <c r="M21" s="1" t="str">
        <f>IFERROR(__xludf.DUMMYFUNCTION("""COMPUTED_VALUE"""),"Junio")</f>
        <v>Junio</v>
      </c>
      <c r="N21" s="1">
        <f>IFERROR(__xludf.DUMMYFUNCTION("""COMPUTED_VALUE"""),17.0)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IFERROR(__xludf.DUMMYFUNCTION("""COMPUTED_VALUE"""),"BELLO")</f>
        <v>BELLO</v>
      </c>
      <c r="C22" s="52" t="str">
        <f>IFERROR(__xludf.DUMMYFUNCTION("""COMPUTED_VALUE"""),"CHAVEZ")</f>
        <v>CHAVEZ</v>
      </c>
      <c r="D22" s="54" t="str">
        <f>IFERROR(__xludf.DUMMYFUNCTION("""COMPUTED_VALUE"""),"EMILIO SEBASTIAN")</f>
        <v>EMILIO SEBASTIAN</v>
      </c>
      <c r="E22" s="55">
        <f>IFERROR(__xludf.DUMMYFUNCTION("""COMPUTED_VALUE"""),5.7)</f>
        <v>5.7</v>
      </c>
      <c r="F22" s="55">
        <f>IFERROR(__xludf.DUMMYFUNCTION("""COMPUTED_VALUE"""),1.3)</f>
        <v>1.3</v>
      </c>
      <c r="G22" s="56"/>
      <c r="H22" s="57">
        <f>IFERROR(__xludf.DUMMYFUNCTION("""COMPUTED_VALUE"""),7.0)</f>
        <v>7</v>
      </c>
      <c r="I22" s="58">
        <f>IFERROR(__xludf.DUMMYFUNCTION("""COMPUTED_VALUE"""),2.0)</f>
        <v>2</v>
      </c>
      <c r="J22" s="59">
        <f>IFERROR(__xludf.DUMMYFUNCTION("""COMPUTED_VALUE"""),7.0)</f>
        <v>7</v>
      </c>
      <c r="K22" s="51"/>
      <c r="L22" s="61">
        <f>IFERROR(__xludf.DUMMYFUNCTION("""COMPUTED_VALUE"""),7.0)</f>
        <v>7</v>
      </c>
      <c r="M22" s="1" t="str">
        <f>IFERROR(__xludf.DUMMYFUNCTION("""COMPUTED_VALUE"""),"Julio")</f>
        <v>Julio</v>
      </c>
      <c r="N22" s="1">
        <f>IFERROR(__xludf.DUMMYFUNCTION("""COMPUTED_VALUE"""),9.0)</f>
        <v>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IFERROR(__xludf.DUMMYFUNCTION("""COMPUTED_VALUE"""),"CASAS")</f>
        <v>CASAS</v>
      </c>
      <c r="C23" s="52" t="str">
        <f>IFERROR(__xludf.DUMMYFUNCTION("""COMPUTED_VALUE"""),"GARCIA")</f>
        <v>GARCIA</v>
      </c>
      <c r="D23" s="54" t="str">
        <f>IFERROR(__xludf.DUMMYFUNCTION("""COMPUTED_VALUE"""),"ZEUS ANTHUAN")</f>
        <v>ZEUS ANTHUAN</v>
      </c>
      <c r="E23" s="55">
        <f>IFERROR(__xludf.DUMMYFUNCTION("""COMPUTED_VALUE"""),6.0)</f>
        <v>6</v>
      </c>
      <c r="F23" s="55">
        <f>IFERROR(__xludf.DUMMYFUNCTION("""COMPUTED_VALUE"""),1.0)</f>
        <v>1</v>
      </c>
      <c r="G23" s="56"/>
      <c r="H23" s="57">
        <f>IFERROR(__xludf.DUMMYFUNCTION("""COMPUTED_VALUE"""),7.0)</f>
        <v>7</v>
      </c>
      <c r="I23" s="58">
        <f>IFERROR(__xludf.DUMMYFUNCTION("""COMPUTED_VALUE"""),3.0)</f>
        <v>3</v>
      </c>
      <c r="J23" s="59">
        <f>IFERROR(__xludf.DUMMYFUNCTION("""COMPUTED_VALUE"""),7.0)</f>
        <v>7</v>
      </c>
      <c r="K23" s="51"/>
      <c r="L23" s="61">
        <f>IFERROR(__xludf.DUMMYFUNCTION("""COMPUTED_VALUE"""),7.0)</f>
        <v>7</v>
      </c>
      <c r="M23" s="1" t="str">
        <f>IFERROR(__xludf.DUMMYFUNCTION("""COMPUTED_VALUE"""),"TOTAL")</f>
        <v>TOTAL</v>
      </c>
      <c r="N23" s="1">
        <f>IFERROR(__xludf.DUMMYFUNCTION("""COMPUTED_VALUE"""),75.0)</f>
        <v>75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IFERROR(__xludf.DUMMYFUNCTION("""COMPUTED_VALUE"""),"CHICO")</f>
        <v>CHICO</v>
      </c>
      <c r="C24" s="52" t="str">
        <f>IFERROR(__xludf.DUMMYFUNCTION("""COMPUTED_VALUE"""),"ORTIZ")</f>
        <v>ORTIZ</v>
      </c>
      <c r="D24" s="54" t="str">
        <f>IFERROR(__xludf.DUMMYFUNCTION("""COMPUTED_VALUE"""),"ALAN")</f>
        <v>ALAN</v>
      </c>
      <c r="E24" s="56">
        <f>IFERROR(__xludf.DUMMYFUNCTION("""COMPUTED_VALUE"""),4.5)</f>
        <v>4.5</v>
      </c>
      <c r="F24" s="55">
        <f>IFERROR(__xludf.DUMMYFUNCTION("""COMPUTED_VALUE"""),1.5)</f>
        <v>1.5</v>
      </c>
      <c r="G24" s="56"/>
      <c r="H24" s="57">
        <f>IFERROR(__xludf.DUMMYFUNCTION("""COMPUTED_VALUE"""),6.0)</f>
        <v>6</v>
      </c>
      <c r="I24" s="58">
        <f>IFERROR(__xludf.DUMMYFUNCTION("""COMPUTED_VALUE"""),3.0)</f>
        <v>3</v>
      </c>
      <c r="J24" s="59">
        <f>IFERROR(__xludf.DUMMYFUNCTION("""COMPUTED_VALUE"""),6.0)</f>
        <v>6</v>
      </c>
      <c r="K24" s="51"/>
      <c r="L24" s="61">
        <f>IFERROR(__xludf.DUMMYFUNCTION("""COMPUTED_VALUE"""),6.0)</f>
        <v>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IFERROR(__xludf.DUMMYFUNCTION("""COMPUTED_VALUE"""),"COLIN")</f>
        <v>COLIN</v>
      </c>
      <c r="C25" s="52" t="str">
        <f>IFERROR(__xludf.DUMMYFUNCTION("""COMPUTED_VALUE"""),"GARCIA")</f>
        <v>GARCIA</v>
      </c>
      <c r="D25" s="54" t="str">
        <f>IFERROR(__xludf.DUMMYFUNCTION("""COMPUTED_VALUE"""),"DONOBAN RODRIGO")</f>
        <v>DONOBAN RODRIGO</v>
      </c>
      <c r="E25" s="55">
        <f>IFERROR(__xludf.DUMMYFUNCTION("""COMPUTED_VALUE"""),1.5)</f>
        <v>1.5</v>
      </c>
      <c r="F25" s="55">
        <f>IFERROR(__xludf.DUMMYFUNCTION("""COMPUTED_VALUE"""),0.0)</f>
        <v>0</v>
      </c>
      <c r="G25" s="56">
        <f>IFERROR(__xludf.DUMMYFUNCTION("""COMPUTED_VALUE"""),1.0)</f>
        <v>1</v>
      </c>
      <c r="H25" s="57">
        <f>IFERROR(__xludf.DUMMYFUNCTION("""COMPUTED_VALUE"""),2.5)</f>
        <v>2.5</v>
      </c>
      <c r="I25" s="58">
        <f>IFERROR(__xludf.DUMMYFUNCTION("""COMPUTED_VALUE"""),2.0)</f>
        <v>2</v>
      </c>
      <c r="J25" s="59">
        <f>IFERROR(__xludf.DUMMYFUNCTION("""COMPUTED_VALUE"""),5.0)</f>
        <v>5</v>
      </c>
      <c r="K25" s="51"/>
      <c r="L25" s="61">
        <f>IFERROR(__xludf.DUMMYFUNCTION("""COMPUTED_VALUE"""),2.0)</f>
        <v>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IFERROR(__xludf.DUMMYFUNCTION("""COMPUTED_VALUE"""),"CONTRERAS")</f>
        <v>CONTRERAS</v>
      </c>
      <c r="C26" s="52" t="str">
        <f>IFERROR(__xludf.DUMMYFUNCTION("""COMPUTED_VALUE"""),"QUIJADA")</f>
        <v>QUIJADA</v>
      </c>
      <c r="D26" s="52" t="str">
        <f>IFERROR(__xludf.DUMMYFUNCTION("""COMPUTED_VALUE"""),"LEONARDO")</f>
        <v>LEONARDO</v>
      </c>
      <c r="E26" s="56">
        <f>IFERROR(__xludf.DUMMYFUNCTION("""COMPUTED_VALUE"""),4.8)</f>
        <v>4.8</v>
      </c>
      <c r="F26" s="55">
        <f>IFERROR(__xludf.DUMMYFUNCTION("""COMPUTED_VALUE"""),1.0)</f>
        <v>1</v>
      </c>
      <c r="G26" s="56"/>
      <c r="H26" s="57">
        <f>IFERROR(__xludf.DUMMYFUNCTION("""COMPUTED_VALUE"""),5.8)</f>
        <v>5.8</v>
      </c>
      <c r="I26" s="58">
        <f>IFERROR(__xludf.DUMMYFUNCTION("""COMPUTED_VALUE"""),0.0)</f>
        <v>0</v>
      </c>
      <c r="J26" s="59">
        <f>IFERROR(__xludf.DUMMYFUNCTION("""COMPUTED_VALUE"""),5.0)</f>
        <v>5</v>
      </c>
      <c r="K26" s="51"/>
      <c r="L26" s="61">
        <f>IFERROR(__xludf.DUMMYFUNCTION("""COMPUTED_VALUE"""),5.0)</f>
        <v>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IFERROR(__xludf.DUMMYFUNCTION("""COMPUTED_VALUE"""),"COVARRUBIAS")</f>
        <v>COVARRUBIAS</v>
      </c>
      <c r="C27" s="52" t="str">
        <f>IFERROR(__xludf.DUMMYFUNCTION("""COMPUTED_VALUE"""),"ACOSTA")</f>
        <v>ACOSTA</v>
      </c>
      <c r="D27" s="54" t="str">
        <f>IFERROR(__xludf.DUMMYFUNCTION("""COMPUTED_VALUE"""),"SAMANTHA ANGELINE")</f>
        <v>SAMANTHA ANGELINE</v>
      </c>
      <c r="E27" s="55">
        <f>IFERROR(__xludf.DUMMYFUNCTION("""COMPUTED_VALUE"""),5.7)</f>
        <v>5.7</v>
      </c>
      <c r="F27" s="55">
        <f>IFERROR(__xludf.DUMMYFUNCTION("""COMPUTED_VALUE"""),1.8)</f>
        <v>1.8</v>
      </c>
      <c r="G27" s="56"/>
      <c r="H27" s="57">
        <f>IFERROR(__xludf.DUMMYFUNCTION("""COMPUTED_VALUE"""),7.5)</f>
        <v>7.5</v>
      </c>
      <c r="I27" s="58">
        <f>IFERROR(__xludf.DUMMYFUNCTION("""COMPUTED_VALUE"""),2.0)</f>
        <v>2</v>
      </c>
      <c r="J27" s="59">
        <f>IFERROR(__xludf.DUMMYFUNCTION("""COMPUTED_VALUE"""),8.0)</f>
        <v>8</v>
      </c>
      <c r="K27" s="51"/>
      <c r="L27" s="61">
        <f>IFERROR(__xludf.DUMMYFUNCTION("""COMPUTED_VALUE"""),8.0)</f>
        <v>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IFERROR(__xludf.DUMMYFUNCTION("""COMPUTED_VALUE"""),"GALVEZ")</f>
        <v>GALVEZ</v>
      </c>
      <c r="D28" s="54" t="str">
        <f>IFERROR(__xludf.DUMMYFUNCTION("""COMPUTED_VALUE"""),"PARIS EMILIANO")</f>
        <v>PARIS EMILIANO</v>
      </c>
      <c r="E28" s="55">
        <f>IFERROR(__xludf.DUMMYFUNCTION("""COMPUTED_VALUE"""),7.9)</f>
        <v>7.9</v>
      </c>
      <c r="F28" s="55">
        <f>IFERROR(__xludf.DUMMYFUNCTION("""COMPUTED_VALUE"""),1.8)</f>
        <v>1.8</v>
      </c>
      <c r="G28" s="56"/>
      <c r="H28" s="57">
        <f>IFERROR(__xludf.DUMMYFUNCTION("""COMPUTED_VALUE"""),9.700000000000001)</f>
        <v>9.7</v>
      </c>
      <c r="I28" s="58">
        <f>IFERROR(__xludf.DUMMYFUNCTION("""COMPUTED_VALUE"""),2.0)</f>
        <v>2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IFERROR(__xludf.DUMMYFUNCTION("""COMPUTED_VALUE"""),"OROPEZA")</f>
        <v>OROPEZA</v>
      </c>
      <c r="D29" s="54" t="str">
        <f>IFERROR(__xludf.DUMMYFUNCTION("""COMPUTED_VALUE"""),"REBECA JANELLE")</f>
        <v>REBECA JANELLE</v>
      </c>
      <c r="E29" s="55">
        <f>IFERROR(__xludf.DUMMYFUNCTION("""COMPUTED_VALUE"""),6.8)</f>
        <v>6.8</v>
      </c>
      <c r="F29" s="55">
        <f>IFERROR(__xludf.DUMMYFUNCTION("""COMPUTED_VALUE"""),1.0)</f>
        <v>1</v>
      </c>
      <c r="G29" s="56"/>
      <c r="H29" s="57">
        <f>IFERROR(__xludf.DUMMYFUNCTION("""COMPUTED_VALUE"""),7.8)</f>
        <v>7.8</v>
      </c>
      <c r="I29" s="58">
        <f>IFERROR(__xludf.DUMMYFUNCTION("""COMPUTED_VALUE"""),0.0)</f>
        <v>0</v>
      </c>
      <c r="J29" s="59">
        <f>IFERROR(__xludf.DUMMYFUNCTION("""COMPUTED_VALUE"""),8.0)</f>
        <v>8</v>
      </c>
      <c r="K29" s="51"/>
      <c r="L29" s="61">
        <f>IFERROR(__xludf.DUMMYFUNCTION("""COMPUTED_VALUE"""),8.0)</f>
        <v>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IFERROR(__xludf.DUMMYFUNCTION("""COMPUTED_VALUE"""),"ELIZALDE")</f>
        <v>ELIZALDE</v>
      </c>
      <c r="C30" s="52" t="str">
        <f>IFERROR(__xludf.DUMMYFUNCTION("""COMPUTED_VALUE"""),"MOLINA")</f>
        <v>MOLINA</v>
      </c>
      <c r="D30" s="54" t="str">
        <f>IFERROR(__xludf.DUMMYFUNCTION("""COMPUTED_VALUE"""),"BARBARA SOFIA")</f>
        <v>BARBARA SOFIA</v>
      </c>
      <c r="E30" s="56">
        <f>IFERROR(__xludf.DUMMYFUNCTION("""COMPUTED_VALUE"""),8.0)</f>
        <v>8</v>
      </c>
      <c r="F30" s="55">
        <f>IFERROR(__xludf.DUMMYFUNCTION("""COMPUTED_VALUE"""),2.0)</f>
        <v>2</v>
      </c>
      <c r="G30" s="56">
        <f>IFERROR(__xludf.DUMMYFUNCTION("""COMPUTED_VALUE"""),1.0)</f>
        <v>1</v>
      </c>
      <c r="H30" s="57">
        <f>IFERROR(__xludf.DUMMYFUNCTION("""COMPUTED_VALUE"""),11.0)</f>
        <v>11</v>
      </c>
      <c r="I30" s="58">
        <f>IFERROR(__xludf.DUMMYFUNCTION("""COMPUTED_VALUE"""),2.0)</f>
        <v>2</v>
      </c>
      <c r="J30" s="59">
        <f>IFERROR(__xludf.DUMMYFUNCTION("""COMPUTED_VALUE"""),10.0)</f>
        <v>10</v>
      </c>
      <c r="K30" s="51"/>
      <c r="L30" s="61">
        <f>IFERROR(__xludf.DUMMYFUNCTION("""COMPUTED_VALUE"""),11.0)</f>
        <v>11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IFERROR(__xludf.DUMMYFUNCTION("""COMPUTED_VALUE"""),"ENCINAS")</f>
        <v>ENCINAS</v>
      </c>
      <c r="C31" s="52" t="str">
        <f>IFERROR(__xludf.DUMMYFUNCTION("""COMPUTED_VALUE"""),"RODRIGUEZ")</f>
        <v>RODRIGUEZ</v>
      </c>
      <c r="D31" s="54" t="str">
        <f>IFERROR(__xludf.DUMMYFUNCTION("""COMPUTED_VALUE"""),"CESAR ROBERTO")</f>
        <v>CESAR ROBERTO</v>
      </c>
      <c r="E31" s="56">
        <f>IFERROR(__xludf.DUMMYFUNCTION("""COMPUTED_VALUE"""),8.0)</f>
        <v>8</v>
      </c>
      <c r="F31" s="55">
        <f>IFERROR(__xludf.DUMMYFUNCTION("""COMPUTED_VALUE"""),1.8)</f>
        <v>1.8</v>
      </c>
      <c r="G31" s="56"/>
      <c r="H31" s="57">
        <f>IFERROR(__xludf.DUMMYFUNCTION("""COMPUTED_VALUE"""),9.8)</f>
        <v>9.8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IFERROR(__xludf.DUMMYFUNCTION("""COMPUTED_VALUE"""),"VARGAS")</f>
        <v>VARGAS</v>
      </c>
      <c r="D32" s="54" t="str">
        <f>IFERROR(__xludf.DUMMYFUNCTION("""COMPUTED_VALUE"""),"JESUS SANTIAGO")</f>
        <v>JESUS SANTIAGO</v>
      </c>
      <c r="E32" s="55">
        <f>IFERROR(__xludf.DUMMYFUNCTION("""COMPUTED_VALUE"""),4.9)</f>
        <v>4.9</v>
      </c>
      <c r="F32" s="55">
        <f>IFERROR(__xludf.DUMMYFUNCTION("""COMPUTED_VALUE"""),0.5)</f>
        <v>0.5</v>
      </c>
      <c r="G32" s="56"/>
      <c r="H32" s="57">
        <f>IFERROR(__xludf.DUMMYFUNCTION("""COMPUTED_VALUE"""),5.4)</f>
        <v>5.4</v>
      </c>
      <c r="I32" s="58">
        <f>IFERROR(__xludf.DUMMYFUNCTION("""COMPUTED_VALUE"""),3.0)</f>
        <v>3</v>
      </c>
      <c r="J32" s="59">
        <f>IFERROR(__xludf.DUMMYFUNCTION("""COMPUTED_VALUE"""),5.0)</f>
        <v>5</v>
      </c>
      <c r="K32" s="51"/>
      <c r="L32" s="61">
        <f>IFERROR(__xludf.DUMMYFUNCTION("""COMPUTED_VALUE"""),5.0)</f>
        <v>5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IFERROR(__xludf.DUMMYFUNCTION("""COMPUTED_VALUE"""),"FINKENTHAL")</f>
        <v>FINKENTHAL</v>
      </c>
      <c r="C33" s="52" t="str">
        <f>IFERROR(__xludf.DUMMYFUNCTION("""COMPUTED_VALUE"""),"RAMIREZ")</f>
        <v>RAMIREZ</v>
      </c>
      <c r="D33" s="54" t="str">
        <f>IFERROR(__xludf.DUMMYFUNCTION("""COMPUTED_VALUE"""),"ALENKA")</f>
        <v>ALENKA</v>
      </c>
      <c r="E33" s="55">
        <f>IFERROR(__xludf.DUMMYFUNCTION("""COMPUTED_VALUE"""),7.3)</f>
        <v>7.3</v>
      </c>
      <c r="F33" s="55">
        <f>IFERROR(__xludf.DUMMYFUNCTION("""COMPUTED_VALUE"""),1.5)</f>
        <v>1.5</v>
      </c>
      <c r="G33" s="56">
        <f>IFERROR(__xludf.DUMMYFUNCTION("""COMPUTED_VALUE"""),1.0)</f>
        <v>1</v>
      </c>
      <c r="H33" s="57">
        <f>IFERROR(__xludf.DUMMYFUNCTION("""COMPUTED_VALUE"""),9.8)</f>
        <v>9.8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IFERROR(__xludf.DUMMYFUNCTION("""COMPUTED_VALUE"""),"FLORES")</f>
        <v>FLORES</v>
      </c>
      <c r="C34" s="52" t="str">
        <f>IFERROR(__xludf.DUMMYFUNCTION("""COMPUTED_VALUE"""),"PEREZ")</f>
        <v>PEREZ</v>
      </c>
      <c r="D34" s="54" t="str">
        <f>IFERROR(__xludf.DUMMYFUNCTION("""COMPUTED_VALUE"""),"ROBERTO")</f>
        <v>ROBERTO</v>
      </c>
      <c r="E34" s="56">
        <f>IFERROR(__xludf.DUMMYFUNCTION("""COMPUTED_VALUE"""),5.7)</f>
        <v>5.7</v>
      </c>
      <c r="F34" s="55">
        <f>IFERROR(__xludf.DUMMYFUNCTION("""COMPUTED_VALUE"""),1.2)</f>
        <v>1.2</v>
      </c>
      <c r="G34" s="56"/>
      <c r="H34" s="57">
        <f>IFERROR(__xludf.DUMMYFUNCTION("""COMPUTED_VALUE"""),6.9)</f>
        <v>6.9</v>
      </c>
      <c r="I34" s="58">
        <f>IFERROR(__xludf.DUMMYFUNCTION("""COMPUTED_VALUE"""),4.0)</f>
        <v>4</v>
      </c>
      <c r="J34" s="59">
        <f>IFERROR(__xludf.DUMMYFUNCTION("""COMPUTED_VALUE"""),7.0)</f>
        <v>7</v>
      </c>
      <c r="K34" s="51"/>
      <c r="L34" s="61">
        <f>IFERROR(__xludf.DUMMYFUNCTION("""COMPUTED_VALUE"""),7.0)</f>
        <v>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IFERROR(__xludf.DUMMYFUNCTION("""COMPUTED_VALUE"""),"FLORES")</f>
        <v>FLORES</v>
      </c>
      <c r="C35" s="52" t="str">
        <f>IFERROR(__xludf.DUMMYFUNCTION("""COMPUTED_VALUE"""),"RODRIGUEZ")</f>
        <v>RODRIGUEZ</v>
      </c>
      <c r="D35" s="54" t="str">
        <f>IFERROR(__xludf.DUMMYFUNCTION("""COMPUTED_VALUE"""),"FRANCISCO ISAAC")</f>
        <v>FRANCISCO ISAAC</v>
      </c>
      <c r="E35" s="55">
        <f>IFERROR(__xludf.DUMMYFUNCTION("""COMPUTED_VALUE"""),2.0)</f>
        <v>2</v>
      </c>
      <c r="F35" s="55">
        <f>IFERROR(__xludf.DUMMYFUNCTION("""COMPUTED_VALUE"""),1.1)</f>
        <v>1.1</v>
      </c>
      <c r="G35" s="56">
        <f>IFERROR(__xludf.DUMMYFUNCTION("""COMPUTED_VALUE"""),1.0)</f>
        <v>1</v>
      </c>
      <c r="H35" s="57">
        <f>IFERROR(__xludf.DUMMYFUNCTION("""COMPUTED_VALUE"""),4.1)</f>
        <v>4.1</v>
      </c>
      <c r="I35" s="58">
        <f>IFERROR(__xludf.DUMMYFUNCTION("""COMPUTED_VALUE"""),1.0)</f>
        <v>1</v>
      </c>
      <c r="J35" s="59">
        <f>IFERROR(__xludf.DUMMYFUNCTION("""COMPUTED_VALUE"""),5.0)</f>
        <v>5</v>
      </c>
      <c r="K35" s="51"/>
      <c r="L35" s="61">
        <f>IFERROR(__xludf.DUMMYFUNCTION("""COMPUTED_VALUE"""),4.0)</f>
        <v>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IFERROR(__xludf.DUMMYFUNCTION("""COMPUTED_VALUE"""),"GONZALEZ")</f>
        <v>GONZALEZ</v>
      </c>
      <c r="C36" s="52" t="str">
        <f>IFERROR(__xludf.DUMMYFUNCTION("""COMPUTED_VALUE"""),"GONZALEZ")</f>
        <v>GONZALEZ</v>
      </c>
      <c r="D36" s="54" t="str">
        <f>IFERROR(__xludf.DUMMYFUNCTION("""COMPUTED_VALUE"""),"ANGELA PAULINA")</f>
        <v>ANGELA PAULINA</v>
      </c>
      <c r="E36" s="55">
        <f>IFERROR(__xludf.DUMMYFUNCTION("""COMPUTED_VALUE"""),8.0)</f>
        <v>8</v>
      </c>
      <c r="F36" s="55">
        <f>IFERROR(__xludf.DUMMYFUNCTION("""COMPUTED_VALUE"""),2.0)</f>
        <v>2</v>
      </c>
      <c r="G36" s="56">
        <f>IFERROR(__xludf.DUMMYFUNCTION("""COMPUTED_VALUE"""),1.0)</f>
        <v>1</v>
      </c>
      <c r="H36" s="57">
        <f>IFERROR(__xludf.DUMMYFUNCTION("""COMPUTED_VALUE"""),11.0)</f>
        <v>11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IFERROR(__xludf.DUMMYFUNCTION("""COMPUTED_VALUE"""),11.0)</f>
        <v>11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IFERROR(__xludf.DUMMYFUNCTION("""COMPUTED_VALUE"""),"GONZALEZ")</f>
        <v>GONZALEZ</v>
      </c>
      <c r="C37" s="52" t="str">
        <f>IFERROR(__xludf.DUMMYFUNCTION("""COMPUTED_VALUE"""),"TREJO")</f>
        <v>TREJO</v>
      </c>
      <c r="D37" s="54" t="str">
        <f>IFERROR(__xludf.DUMMYFUNCTION("""COMPUTED_VALUE"""),"LESLIE XIMENA")</f>
        <v>LESLIE XIMENA</v>
      </c>
      <c r="E37" s="56">
        <f>IFERROR(__xludf.DUMMYFUNCTION("""COMPUTED_VALUE"""),7.0)</f>
        <v>7</v>
      </c>
      <c r="F37" s="55">
        <f>IFERROR(__xludf.DUMMYFUNCTION("""COMPUTED_VALUE"""),1.0)</f>
        <v>1</v>
      </c>
      <c r="G37" s="56">
        <f>IFERROR(__xludf.DUMMYFUNCTION("""COMPUTED_VALUE"""),1.0)</f>
        <v>1</v>
      </c>
      <c r="H37" s="57">
        <f>IFERROR(__xludf.DUMMYFUNCTION("""COMPUTED_VALUE"""),9.0)</f>
        <v>9</v>
      </c>
      <c r="I37" s="58">
        <f>IFERROR(__xludf.DUMMYFUNCTION("""COMPUTED_VALUE"""),2.0)</f>
        <v>2</v>
      </c>
      <c r="J37" s="59">
        <f>IFERROR(__xludf.DUMMYFUNCTION("""COMPUTED_VALUE"""),9.0)</f>
        <v>9</v>
      </c>
      <c r="K37" s="51"/>
      <c r="L37" s="61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IFERROR(__xludf.DUMMYFUNCTION("""COMPUTED_VALUE"""),"HERNANDEZ")</f>
        <v>HERNANDEZ</v>
      </c>
      <c r="C38" s="52" t="str">
        <f>IFERROR(__xludf.DUMMYFUNCTION("""COMPUTED_VALUE"""),"GARCIA")</f>
        <v>GARCIA</v>
      </c>
      <c r="D38" s="54" t="str">
        <f>IFERROR(__xludf.DUMMYFUNCTION("""COMPUTED_VALUE"""),"EMILY")</f>
        <v>EMILY</v>
      </c>
      <c r="E38" s="55">
        <f>IFERROR(__xludf.DUMMYFUNCTION("""COMPUTED_VALUE"""),8.0)</f>
        <v>8</v>
      </c>
      <c r="F38" s="55">
        <f>IFERROR(__xludf.DUMMYFUNCTION("""COMPUTED_VALUE"""),1.7)</f>
        <v>1.7</v>
      </c>
      <c r="G38" s="56"/>
      <c r="H38" s="57">
        <f>IFERROR(__xludf.DUMMYFUNCTION("""COMPUTED_VALUE"""),9.7)</f>
        <v>9.7</v>
      </c>
      <c r="I38" s="58">
        <f>IFERROR(__xludf.DUMMYFUNCTION("""COMPUTED_VALUE"""),1.0)</f>
        <v>1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IFERROR(__xludf.DUMMYFUNCTION("""COMPUTED_VALUE"""),"HERNANDEZ")</f>
        <v>HERNANDEZ</v>
      </c>
      <c r="C39" s="52" t="str">
        <f>IFERROR(__xludf.DUMMYFUNCTION("""COMPUTED_VALUE"""),"GARCIA")</f>
        <v>GARCIA</v>
      </c>
      <c r="D39" s="54" t="str">
        <f>IFERROR(__xludf.DUMMYFUNCTION("""COMPUTED_VALUE"""),"SAMANTA")</f>
        <v>SAMANTA</v>
      </c>
      <c r="E39" s="55">
        <f>IFERROR(__xludf.DUMMYFUNCTION("""COMPUTED_VALUE"""),2.0)</f>
        <v>2</v>
      </c>
      <c r="F39" s="55">
        <f>IFERROR(__xludf.DUMMYFUNCTION("""COMPUTED_VALUE"""),0.5)</f>
        <v>0.5</v>
      </c>
      <c r="G39" s="56"/>
      <c r="H39" s="57">
        <f>IFERROR(__xludf.DUMMYFUNCTION("""COMPUTED_VALUE"""),2.5)</f>
        <v>2.5</v>
      </c>
      <c r="I39" s="58">
        <f>IFERROR(__xludf.DUMMYFUNCTION("""COMPUTED_VALUE"""),7.0)</f>
        <v>7</v>
      </c>
      <c r="J39" s="59">
        <f>IFERROR(__xludf.DUMMYFUNCTION("""COMPUTED_VALUE"""),5.0)</f>
        <v>5</v>
      </c>
      <c r="K39" s="51"/>
      <c r="L39" s="61">
        <f>IFERROR(__xludf.DUMMYFUNCTION("""COMPUTED_VALUE"""),2.0)</f>
        <v>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IFERROR(__xludf.DUMMYFUNCTION("""COMPUTED_VALUE"""),"HERRERA")</f>
        <v>HERRERA</v>
      </c>
      <c r="C40" s="52" t="str">
        <f>IFERROR(__xludf.DUMMYFUNCTION("""COMPUTED_VALUE"""),"JIMENEZ")</f>
        <v>JIMENEZ</v>
      </c>
      <c r="D40" s="54" t="str">
        <f>IFERROR(__xludf.DUMMYFUNCTION("""COMPUTED_VALUE"""),"JOSUE ABISAI")</f>
        <v>JOSUE ABISAI</v>
      </c>
      <c r="E40" s="55">
        <f>IFERROR(__xludf.DUMMYFUNCTION("""COMPUTED_VALUE"""),2.0)</f>
        <v>2</v>
      </c>
      <c r="F40" s="55">
        <f>IFERROR(__xludf.DUMMYFUNCTION("""COMPUTED_VALUE"""),0.5)</f>
        <v>0.5</v>
      </c>
      <c r="G40" s="56"/>
      <c r="H40" s="57">
        <f>IFERROR(__xludf.DUMMYFUNCTION("""COMPUTED_VALUE"""),2.5)</f>
        <v>2.5</v>
      </c>
      <c r="I40" s="58">
        <f>IFERROR(__xludf.DUMMYFUNCTION("""COMPUTED_VALUE"""),5.0)</f>
        <v>5</v>
      </c>
      <c r="J40" s="59">
        <f>IFERROR(__xludf.DUMMYFUNCTION("""COMPUTED_VALUE"""),5.0)</f>
        <v>5</v>
      </c>
      <c r="K40" s="51"/>
      <c r="L40" s="61">
        <f>IFERROR(__xludf.DUMMYFUNCTION("""COMPUTED_VALUE"""),2.0)</f>
        <v>2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IFERROR(__xludf.DUMMYFUNCTION("""COMPUTED_VALUE"""),"HERNANDEZ")</f>
        <v>HERNANDEZ</v>
      </c>
      <c r="C41" s="52" t="str">
        <f>IFERROR(__xludf.DUMMYFUNCTION("""COMPUTED_VALUE"""),"PALLARES")</f>
        <v>PALLARES</v>
      </c>
      <c r="D41" s="54" t="str">
        <f>IFERROR(__xludf.DUMMYFUNCTION("""COMPUTED_VALUE"""),"IVAN")</f>
        <v>IVAN</v>
      </c>
      <c r="E41" s="55">
        <f>IFERROR(__xludf.DUMMYFUNCTION("""COMPUTED_VALUE"""),0.0)</f>
        <v>0</v>
      </c>
      <c r="F41" s="55">
        <f>IFERROR(__xludf.DUMMYFUNCTION("""COMPUTED_VALUE"""),0.0)</f>
        <v>0</v>
      </c>
      <c r="G41" s="56"/>
      <c r="H41" s="57">
        <f>IFERROR(__xludf.DUMMYFUNCTION("""COMPUTED_VALUE"""),0.0)</f>
        <v>0</v>
      </c>
      <c r="I41" s="58">
        <f>IFERROR(__xludf.DUMMYFUNCTION("""COMPUTED_VALUE"""),8.0)</f>
        <v>8</v>
      </c>
      <c r="J41" s="59">
        <f>IFERROR(__xludf.DUMMYFUNCTION("""COMPUTED_VALUE"""),5.0)</f>
        <v>5</v>
      </c>
      <c r="K41" s="51"/>
      <c r="L41" s="61">
        <f>IFERROR(__xludf.DUMMYFUNCTION("""COMPUTED_VALUE"""),0.0)</f>
        <v>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IFERROR(__xludf.DUMMYFUNCTION("""COMPUTED_VALUE"""),"JIMENEZ")</f>
        <v>JIMENEZ</v>
      </c>
      <c r="C42" s="52" t="str">
        <f>IFERROR(__xludf.DUMMYFUNCTION("""COMPUTED_VALUE"""),"PACHUCA")</f>
        <v>PACHUCA</v>
      </c>
      <c r="D42" s="54" t="str">
        <f>IFERROR(__xludf.DUMMYFUNCTION("""COMPUTED_VALUE"""),"LUIS ANTONIO")</f>
        <v>LUIS ANTONIO</v>
      </c>
      <c r="E42" s="55">
        <f>IFERROR(__xludf.DUMMYFUNCTION("""COMPUTED_VALUE"""),7.7)</f>
        <v>7.7</v>
      </c>
      <c r="F42" s="55">
        <f>IFERROR(__xludf.DUMMYFUNCTION("""COMPUTED_VALUE"""),1.5)</f>
        <v>1.5</v>
      </c>
      <c r="G42" s="56"/>
      <c r="H42" s="57">
        <f>IFERROR(__xludf.DUMMYFUNCTION("""COMPUTED_VALUE"""),9.2)</f>
        <v>9.2</v>
      </c>
      <c r="I42" s="58">
        <f>IFERROR(__xludf.DUMMYFUNCTION("""COMPUTED_VALUE"""),0.0)</f>
        <v>0</v>
      </c>
      <c r="J42" s="59">
        <f>IFERROR(__xludf.DUMMYFUNCTION("""COMPUTED_VALUE"""),9.0)</f>
        <v>9</v>
      </c>
      <c r="K42" s="51"/>
      <c r="L42" s="61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IFERROR(__xludf.DUMMYFUNCTION("""COMPUTED_VALUE"""),"LEGORRETA")</f>
        <v>LEGORRETA</v>
      </c>
      <c r="C43" s="52" t="str">
        <f>IFERROR(__xludf.DUMMYFUNCTION("""COMPUTED_VALUE"""),"HERNANDEZ")</f>
        <v>HERNANDEZ</v>
      </c>
      <c r="D43" s="54" t="str">
        <f>IFERROR(__xludf.DUMMYFUNCTION("""COMPUTED_VALUE"""),"LILIANA")</f>
        <v>LILIANA</v>
      </c>
      <c r="E43" s="55">
        <f>IFERROR(__xludf.DUMMYFUNCTION("""COMPUTED_VALUE"""),5.0)</f>
        <v>5</v>
      </c>
      <c r="F43" s="55">
        <f>IFERROR(__xludf.DUMMYFUNCTION("""COMPUTED_VALUE"""),0.8)</f>
        <v>0.8</v>
      </c>
      <c r="G43" s="56"/>
      <c r="H43" s="57">
        <f>IFERROR(__xludf.DUMMYFUNCTION("""COMPUTED_VALUE"""),5.8)</f>
        <v>5.8</v>
      </c>
      <c r="I43" s="58">
        <f>IFERROR(__xludf.DUMMYFUNCTION("""COMPUTED_VALUE"""),1.0)</f>
        <v>1</v>
      </c>
      <c r="J43" s="59">
        <f>IFERROR(__xludf.DUMMYFUNCTION("""COMPUTED_VALUE"""),5.0)</f>
        <v>5</v>
      </c>
      <c r="K43" s="51"/>
      <c r="L43" s="61">
        <f>IFERROR(__xludf.DUMMYFUNCTION("""COMPUTED_VALUE"""),5.0)</f>
        <v>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IFERROR(__xludf.DUMMYFUNCTION("""COMPUTED_VALUE"""),"LOPEZ")</f>
        <v>LOPEZ</v>
      </c>
      <c r="C44" s="52" t="str">
        <f>IFERROR(__xludf.DUMMYFUNCTION("""COMPUTED_VALUE"""),"HERNANDEZ")</f>
        <v>HERNANDEZ</v>
      </c>
      <c r="D44" s="54" t="str">
        <f>IFERROR(__xludf.DUMMYFUNCTION("""COMPUTED_VALUE"""),"KARINA")</f>
        <v>KARINA</v>
      </c>
      <c r="E44" s="55">
        <f>IFERROR(__xludf.DUMMYFUNCTION("""COMPUTED_VALUE"""),6.6)</f>
        <v>6.6</v>
      </c>
      <c r="F44" s="55">
        <f>IFERROR(__xludf.DUMMYFUNCTION("""COMPUTED_VALUE"""),1.5)</f>
        <v>1.5</v>
      </c>
      <c r="G44" s="56"/>
      <c r="H44" s="57">
        <f>IFERROR(__xludf.DUMMYFUNCTION("""COMPUTED_VALUE"""),8.1)</f>
        <v>8.1</v>
      </c>
      <c r="I44" s="58">
        <f>IFERROR(__xludf.DUMMYFUNCTION("""COMPUTED_VALUE"""),2.0)</f>
        <v>2</v>
      </c>
      <c r="J44" s="59">
        <f>IFERROR(__xludf.DUMMYFUNCTION("""COMPUTED_VALUE"""),8.0)</f>
        <v>8</v>
      </c>
      <c r="K44" s="51"/>
      <c r="L44" s="61">
        <f>IFERROR(__xludf.DUMMYFUNCTION("""COMPUTED_VALUE"""),8.0)</f>
        <v>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IFERROR(__xludf.DUMMYFUNCTION("""COMPUTED_VALUE"""),"LUGO")</f>
        <v>LUGO</v>
      </c>
      <c r="C45" s="52" t="str">
        <f>IFERROR(__xludf.DUMMYFUNCTION("""COMPUTED_VALUE"""),"SOLARES")</f>
        <v>SOLARES</v>
      </c>
      <c r="D45" s="54" t="str">
        <f>IFERROR(__xludf.DUMMYFUNCTION("""COMPUTED_VALUE"""),"YAIR EMILIANO")</f>
        <v>YAIR EMILIANO</v>
      </c>
      <c r="E45" s="55">
        <f>IFERROR(__xludf.DUMMYFUNCTION("""COMPUTED_VALUE"""),8.0)</f>
        <v>8</v>
      </c>
      <c r="F45" s="55">
        <f>IFERROR(__xludf.DUMMYFUNCTION("""COMPUTED_VALUE"""),1.0)</f>
        <v>1</v>
      </c>
      <c r="G45" s="56"/>
      <c r="H45" s="57">
        <f>IFERROR(__xludf.DUMMYFUNCTION("""COMPUTED_VALUE"""),9.0)</f>
        <v>9</v>
      </c>
      <c r="I45" s="58">
        <f>IFERROR(__xludf.DUMMYFUNCTION("""COMPUTED_VALUE"""),0.0)</f>
        <v>0</v>
      </c>
      <c r="J45" s="59">
        <f>IFERROR(__xludf.DUMMYFUNCTION("""COMPUTED_VALUE"""),9.0)</f>
        <v>9</v>
      </c>
      <c r="K45" s="51"/>
      <c r="L45" s="61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IFERROR(__xludf.DUMMYFUNCTION("""COMPUTED_VALUE"""),"LUNA")</f>
        <v>LUNA</v>
      </c>
      <c r="C46" s="52" t="str">
        <f>IFERROR(__xludf.DUMMYFUNCTION("""COMPUTED_VALUE"""),"FRANCISCO")</f>
        <v>FRANCISCO</v>
      </c>
      <c r="D46" s="54" t="str">
        <f>IFERROR(__xludf.DUMMYFUNCTION("""COMPUTED_VALUE"""),"SAMANTHA ITZEL")</f>
        <v>SAMANTHA ITZEL</v>
      </c>
      <c r="E46" s="55">
        <f>IFERROR(__xludf.DUMMYFUNCTION("""COMPUTED_VALUE"""),0.0)</f>
        <v>0</v>
      </c>
      <c r="F46" s="55">
        <f>IFERROR(__xludf.DUMMYFUNCTION("""COMPUTED_VALUE"""),0.0)</f>
        <v>0</v>
      </c>
      <c r="G46" s="56"/>
      <c r="H46" s="57">
        <f>IFERROR(__xludf.DUMMYFUNCTION("""COMPUTED_VALUE"""),0.0)</f>
        <v>0</v>
      </c>
      <c r="I46" s="58">
        <f>IFERROR(__xludf.DUMMYFUNCTION("""COMPUTED_VALUE"""),3.0)</f>
        <v>3</v>
      </c>
      <c r="J46" s="59">
        <f>IFERROR(__xludf.DUMMYFUNCTION("""COMPUTED_VALUE"""),5.0)</f>
        <v>5</v>
      </c>
      <c r="K46" s="51"/>
      <c r="L46" s="61">
        <f>IFERROR(__xludf.DUMMYFUNCTION("""COMPUTED_VALUE"""),0.0)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IFERROR(__xludf.DUMMYFUNCTION("""COMPUTED_VALUE"""),"MARENTES")</f>
        <v>MARENTES</v>
      </c>
      <c r="C47" s="62" t="str">
        <f>IFERROR(__xludf.DUMMYFUNCTION("""COMPUTED_VALUE"""),"ROBLES")</f>
        <v>ROBLES</v>
      </c>
      <c r="D47" s="63" t="str">
        <f>IFERROR(__xludf.DUMMYFUNCTION("""COMPUTED_VALUE"""),"LUZ NATALIA")</f>
        <v>LUZ NATALIA</v>
      </c>
      <c r="E47" s="55">
        <f>IFERROR(__xludf.DUMMYFUNCTION("""COMPUTED_VALUE"""),5.2)</f>
        <v>5.2</v>
      </c>
      <c r="F47" s="55">
        <f>IFERROR(__xludf.DUMMYFUNCTION("""COMPUTED_VALUE"""),1.8)</f>
        <v>1.8</v>
      </c>
      <c r="G47" s="56"/>
      <c r="H47" s="57">
        <f>IFERROR(__xludf.DUMMYFUNCTION("""COMPUTED_VALUE"""),7.0)</f>
        <v>7</v>
      </c>
      <c r="I47" s="58">
        <f>IFERROR(__xludf.DUMMYFUNCTION("""COMPUTED_VALUE"""),7.0)</f>
        <v>7</v>
      </c>
      <c r="J47" s="59">
        <f>IFERROR(__xludf.DUMMYFUNCTION("""COMPUTED_VALUE"""),7.0)</f>
        <v>7</v>
      </c>
      <c r="K47" s="51"/>
      <c r="L47" s="61">
        <f>IFERROR(__xludf.DUMMYFUNCTION("""COMPUTED_VALUE"""),7.0)</f>
        <v>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IFERROR(__xludf.DUMMYFUNCTION("""COMPUTED_VALUE"""),"MARTINEZ")</f>
        <v>MARTINEZ</v>
      </c>
      <c r="C48" s="52" t="str">
        <f>IFERROR(__xludf.DUMMYFUNCTION("""COMPUTED_VALUE"""),"IBARRA")</f>
        <v>IBARRA</v>
      </c>
      <c r="D48" s="54" t="str">
        <f>IFERROR(__xludf.DUMMYFUNCTION("""COMPUTED_VALUE"""),"JOHAN ISAI")</f>
        <v>JOHAN ISAI</v>
      </c>
      <c r="E48" s="55">
        <f>IFERROR(__xludf.DUMMYFUNCTION("""COMPUTED_VALUE"""),7.5)</f>
        <v>7.5</v>
      </c>
      <c r="F48" s="55">
        <f>IFERROR(__xludf.DUMMYFUNCTION("""COMPUTED_VALUE"""),0.5)</f>
        <v>0.5</v>
      </c>
      <c r="G48" s="56"/>
      <c r="H48" s="57">
        <f>IFERROR(__xludf.DUMMYFUNCTION("""COMPUTED_VALUE"""),8.0)</f>
        <v>8</v>
      </c>
      <c r="I48" s="58">
        <f>IFERROR(__xludf.DUMMYFUNCTION("""COMPUTED_VALUE"""),4.0)</f>
        <v>4</v>
      </c>
      <c r="J48" s="59">
        <f>IFERROR(__xludf.DUMMYFUNCTION("""COMPUTED_VALUE"""),8.0)</f>
        <v>8</v>
      </c>
      <c r="K48" s="51"/>
      <c r="L48" s="61">
        <f>IFERROR(__xludf.DUMMYFUNCTION("""COMPUTED_VALUE"""),8.0)</f>
        <v>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IFERROR(__xludf.DUMMYFUNCTION("""COMPUTED_VALUE"""),"MARTINEZ")</f>
        <v>MARTINEZ</v>
      </c>
      <c r="C49" s="52" t="str">
        <f>IFERROR(__xludf.DUMMYFUNCTION("""COMPUTED_VALUE"""),"MANCILLA")</f>
        <v>MANCILLA</v>
      </c>
      <c r="D49" s="54" t="str">
        <f>IFERROR(__xludf.DUMMYFUNCTION("""COMPUTED_VALUE"""),"ZIT ZURIEL")</f>
        <v>ZIT ZURIEL</v>
      </c>
      <c r="E49" s="55">
        <f>IFERROR(__xludf.DUMMYFUNCTION("""COMPUTED_VALUE"""),0.0)</f>
        <v>0</v>
      </c>
      <c r="F49" s="55">
        <f>IFERROR(__xludf.DUMMYFUNCTION("""COMPUTED_VALUE"""),0.0)</f>
        <v>0</v>
      </c>
      <c r="G49" s="56"/>
      <c r="H49" s="57">
        <f>IFERROR(__xludf.DUMMYFUNCTION("""COMPUTED_VALUE"""),0.0)</f>
        <v>0</v>
      </c>
      <c r="I49" s="58">
        <f>IFERROR(__xludf.DUMMYFUNCTION("""COMPUTED_VALUE"""),3.0)</f>
        <v>3</v>
      </c>
      <c r="J49" s="59">
        <f>IFERROR(__xludf.DUMMYFUNCTION("""COMPUTED_VALUE"""),5.0)</f>
        <v>5</v>
      </c>
      <c r="K49" s="51"/>
      <c r="L49" s="61">
        <f>IFERROR(__xludf.DUMMYFUNCTION("""COMPUTED_VALUE"""),0.0)</f>
        <v>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IFERROR(__xludf.DUMMYFUNCTION("""COMPUTED_VALUE"""),"MORALES")</f>
        <v>MORALES</v>
      </c>
      <c r="C50" s="52" t="str">
        <f>IFERROR(__xludf.DUMMYFUNCTION("""COMPUTED_VALUE"""),"LORANCA")</f>
        <v>LORANCA</v>
      </c>
      <c r="D50" s="54" t="str">
        <f>IFERROR(__xludf.DUMMYFUNCTION("""COMPUTED_VALUE"""),"MATIAS DANIEL")</f>
        <v>MATIAS DANIEL</v>
      </c>
      <c r="E50" s="55">
        <f>IFERROR(__xludf.DUMMYFUNCTION("""COMPUTED_VALUE"""),2.0)</f>
        <v>2</v>
      </c>
      <c r="F50" s="55">
        <f>IFERROR(__xludf.DUMMYFUNCTION("""COMPUTED_VALUE"""),0.0)</f>
        <v>0</v>
      </c>
      <c r="G50" s="56"/>
      <c r="H50" s="57">
        <f>IFERROR(__xludf.DUMMYFUNCTION("""COMPUTED_VALUE"""),2.0)</f>
        <v>2</v>
      </c>
      <c r="I50" s="58">
        <f>IFERROR(__xludf.DUMMYFUNCTION("""COMPUTED_VALUE"""),5.0)</f>
        <v>5</v>
      </c>
      <c r="J50" s="59">
        <f>IFERROR(__xludf.DUMMYFUNCTION("""COMPUTED_VALUE"""),5.0)</f>
        <v>5</v>
      </c>
      <c r="K50" s="51"/>
      <c r="L50" s="61">
        <f>IFERROR(__xludf.DUMMYFUNCTION("""COMPUTED_VALUE"""),2.0)</f>
        <v>2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IFERROR(__xludf.DUMMYFUNCTION("""COMPUTED_VALUE"""),"MORALES")</f>
        <v>MORALES</v>
      </c>
      <c r="C51" s="52" t="str">
        <f>IFERROR(__xludf.DUMMYFUNCTION("""COMPUTED_VALUE"""),"PIÑON")</f>
        <v>PIÑON</v>
      </c>
      <c r="D51" s="54" t="str">
        <f>IFERROR(__xludf.DUMMYFUNCTION("""COMPUTED_VALUE"""),"NATALIA ABRIL")</f>
        <v>NATALIA ABRIL</v>
      </c>
      <c r="E51" s="55">
        <f>IFERROR(__xludf.DUMMYFUNCTION("""COMPUTED_VALUE"""),1.0)</f>
        <v>1</v>
      </c>
      <c r="F51" s="55">
        <f>IFERROR(__xludf.DUMMYFUNCTION("""COMPUTED_VALUE"""),1.0)</f>
        <v>1</v>
      </c>
      <c r="G51" s="56"/>
      <c r="H51" s="57">
        <f>IFERROR(__xludf.DUMMYFUNCTION("""COMPUTED_VALUE"""),2.0)</f>
        <v>2</v>
      </c>
      <c r="I51" s="58">
        <f>IFERROR(__xludf.DUMMYFUNCTION("""COMPUTED_VALUE"""),5.0)</f>
        <v>5</v>
      </c>
      <c r="J51" s="59">
        <f>IFERROR(__xludf.DUMMYFUNCTION("""COMPUTED_VALUE"""),5.0)</f>
        <v>5</v>
      </c>
      <c r="K51" s="51"/>
      <c r="L51" s="61">
        <f>IFERROR(__xludf.DUMMYFUNCTION("""COMPUTED_VALUE"""),2.0)</f>
        <v>2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IFERROR(__xludf.DUMMYFUNCTION("""COMPUTED_VALUE"""),"NAVARRO")</f>
        <v>NAVARRO</v>
      </c>
      <c r="C52" s="52" t="str">
        <f>IFERROR(__xludf.DUMMYFUNCTION("""COMPUTED_VALUE"""),"ROMO")</f>
        <v>ROMO</v>
      </c>
      <c r="D52" s="54" t="str">
        <f>IFERROR(__xludf.DUMMYFUNCTION("""COMPUTED_VALUE"""),"MARCO ARIEL")</f>
        <v>MARCO ARIEL</v>
      </c>
      <c r="E52" s="55">
        <f>IFERROR(__xludf.DUMMYFUNCTION("""COMPUTED_VALUE"""),5.5)</f>
        <v>5.5</v>
      </c>
      <c r="F52" s="55">
        <f>IFERROR(__xludf.DUMMYFUNCTION("""COMPUTED_VALUE"""),0.5)</f>
        <v>0.5</v>
      </c>
      <c r="G52" s="56"/>
      <c r="H52" s="57">
        <f>IFERROR(__xludf.DUMMYFUNCTION("""COMPUTED_VALUE"""),6.0)</f>
        <v>6</v>
      </c>
      <c r="I52" s="58">
        <f>IFERROR(__xludf.DUMMYFUNCTION("""COMPUTED_VALUE"""),2.0)</f>
        <v>2</v>
      </c>
      <c r="J52" s="59">
        <f>IFERROR(__xludf.DUMMYFUNCTION("""COMPUTED_VALUE"""),6.0)</f>
        <v>6</v>
      </c>
      <c r="K52" s="51"/>
      <c r="L52" s="60">
        <f>IFERROR(__xludf.DUMMYFUNCTION("""COMPUTED_VALUE"""),6.0)</f>
        <v>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IFERROR(__xludf.DUMMYFUNCTION("""COMPUTED_VALUE"""),"OLVERA")</f>
        <v>OLVERA</v>
      </c>
      <c r="C53" s="52" t="str">
        <f>IFERROR(__xludf.DUMMYFUNCTION("""COMPUTED_VALUE"""),"VALLE")</f>
        <v>VALLE</v>
      </c>
      <c r="D53" s="54" t="str">
        <f>IFERROR(__xludf.DUMMYFUNCTION("""COMPUTED_VALUE"""),"LAILA MELISA")</f>
        <v>LAILA MELISA</v>
      </c>
      <c r="E53" s="55">
        <f>IFERROR(__xludf.DUMMYFUNCTION("""COMPUTED_VALUE"""),4.0)</f>
        <v>4</v>
      </c>
      <c r="F53" s="55">
        <f>IFERROR(__xludf.DUMMYFUNCTION("""COMPUTED_VALUE"""),0.0)</f>
        <v>0</v>
      </c>
      <c r="G53" s="56"/>
      <c r="H53" s="57">
        <f>IFERROR(__xludf.DUMMYFUNCTION("""COMPUTED_VALUE"""),4.0)</f>
        <v>4</v>
      </c>
      <c r="I53" s="58">
        <f>IFERROR(__xludf.DUMMYFUNCTION("""COMPUTED_VALUE"""),0.0)</f>
        <v>0</v>
      </c>
      <c r="J53" s="59">
        <f>IFERROR(__xludf.DUMMYFUNCTION("""COMPUTED_VALUE"""),5.0)</f>
        <v>5</v>
      </c>
      <c r="K53" s="51"/>
      <c r="L53" s="60">
        <f>IFERROR(__xludf.DUMMYFUNCTION("""COMPUTED_VALUE"""),4.0)</f>
        <v>4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IFERROR(__xludf.DUMMYFUNCTION("""COMPUTED_VALUE"""),"ORTIZ")</f>
        <v>ORTIZ</v>
      </c>
      <c r="C54" s="52" t="str">
        <f>IFERROR(__xludf.DUMMYFUNCTION("""COMPUTED_VALUE"""),"CARRILLO")</f>
        <v>CARRILLO</v>
      </c>
      <c r="D54" s="54" t="str">
        <f>IFERROR(__xludf.DUMMYFUNCTION("""COMPUTED_VALUE"""),"DORIAN ELIAS")</f>
        <v>DORIAN ELIAS</v>
      </c>
      <c r="E54" s="55">
        <f>IFERROR(__xludf.DUMMYFUNCTION("""COMPUTED_VALUE"""),8.0)</f>
        <v>8</v>
      </c>
      <c r="F54" s="55">
        <f>IFERROR(__xludf.DUMMYFUNCTION("""COMPUTED_VALUE"""),2.0)</f>
        <v>2</v>
      </c>
      <c r="G54" s="56"/>
      <c r="H54" s="57">
        <f>IFERROR(__xludf.DUMMYFUNCTION("""COMPUTED_VALUE"""),10.0)</f>
        <v>10</v>
      </c>
      <c r="I54" s="58">
        <f>IFERROR(__xludf.DUMMYFUNCTION("""COMPUTED_VALUE"""),0.0)</f>
        <v>0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IFERROR(__xludf.DUMMYFUNCTION("""COMPUTED_VALUE"""),"PEREA")</f>
        <v>PEREA</v>
      </c>
      <c r="C55" s="52" t="str">
        <f>IFERROR(__xludf.DUMMYFUNCTION("""COMPUTED_VALUE"""),"SALDAÑA")</f>
        <v>SALDAÑA</v>
      </c>
      <c r="D55" s="54" t="str">
        <f>IFERROR(__xludf.DUMMYFUNCTION("""COMPUTED_VALUE"""),"ASTRA TAMARA")</f>
        <v>ASTRA TAMARA</v>
      </c>
      <c r="E55" s="55">
        <f>IFERROR(__xludf.DUMMYFUNCTION("""COMPUTED_VALUE"""),4.4)</f>
        <v>4.4</v>
      </c>
      <c r="F55" s="55">
        <f>IFERROR(__xludf.DUMMYFUNCTION("""COMPUTED_VALUE"""),0.5)</f>
        <v>0.5</v>
      </c>
      <c r="G55" s="56"/>
      <c r="H55" s="57">
        <f>IFERROR(__xludf.DUMMYFUNCTION("""COMPUTED_VALUE"""),4.9)</f>
        <v>4.9</v>
      </c>
      <c r="I55" s="64">
        <f>IFERROR(__xludf.DUMMYFUNCTION("""COMPUTED_VALUE"""),2.0)</f>
        <v>2</v>
      </c>
      <c r="J55" s="59">
        <f>IFERROR(__xludf.DUMMYFUNCTION("""COMPUTED_VALUE"""),5.0)</f>
        <v>5</v>
      </c>
      <c r="K55" s="51"/>
      <c r="L55" s="60">
        <f>IFERROR(__xludf.DUMMYFUNCTION("""COMPUTED_VALUE"""),4.0)</f>
        <v>4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IFERROR(__xludf.DUMMYFUNCTION("""COMPUTED_VALUE"""),"PEREZ")</f>
        <v>PEREZ</v>
      </c>
      <c r="C56" s="52" t="str">
        <f>IFERROR(__xludf.DUMMYFUNCTION("""COMPUTED_VALUE"""),"HERNANDEZ")</f>
        <v>HERNANDEZ</v>
      </c>
      <c r="D56" s="54" t="str">
        <f>IFERROR(__xludf.DUMMYFUNCTION("""COMPUTED_VALUE"""),"EDGAR ALEJANDRO")</f>
        <v>EDGAR ALEJANDRO</v>
      </c>
      <c r="E56" s="55">
        <f>IFERROR(__xludf.DUMMYFUNCTION("""COMPUTED_VALUE"""),7.4)</f>
        <v>7.4</v>
      </c>
      <c r="F56" s="55">
        <f>IFERROR(__xludf.DUMMYFUNCTION("""COMPUTED_VALUE"""),1.5)</f>
        <v>1.5</v>
      </c>
      <c r="G56" s="56"/>
      <c r="H56" s="57">
        <f>IFERROR(__xludf.DUMMYFUNCTION("""COMPUTED_VALUE"""),8.9)</f>
        <v>8.9</v>
      </c>
      <c r="I56" s="64">
        <f>IFERROR(__xludf.DUMMYFUNCTION("""COMPUTED_VALUE"""),1.0)</f>
        <v>1</v>
      </c>
      <c r="J56" s="59">
        <f>IFERROR(__xludf.DUMMYFUNCTION("""COMPUTED_VALUE"""),9.0)</f>
        <v>9</v>
      </c>
      <c r="K56" s="51"/>
      <c r="L56" s="60">
        <f>IFERROR(__xludf.DUMMYFUNCTION("""COMPUTED_VALUE"""),9.0)</f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IFERROR(__xludf.DUMMYFUNCTION("""COMPUTED_VALUE"""),"PLAZA")</f>
        <v>PLAZA</v>
      </c>
      <c r="C57" s="62" t="str">
        <f>IFERROR(__xludf.DUMMYFUNCTION("""COMPUTED_VALUE"""),"LARA")</f>
        <v>LARA</v>
      </c>
      <c r="D57" s="63" t="str">
        <f>IFERROR(__xludf.DUMMYFUNCTION("""COMPUTED_VALUE"""),"IAN ALDAIR")</f>
        <v>IAN ALDAIR</v>
      </c>
      <c r="E57" s="55">
        <f>IFERROR(__xludf.DUMMYFUNCTION("""COMPUTED_VALUE"""),7.3)</f>
        <v>7.3</v>
      </c>
      <c r="F57" s="55">
        <f>IFERROR(__xludf.DUMMYFUNCTION("""COMPUTED_VALUE"""),1.5)</f>
        <v>1.5</v>
      </c>
      <c r="G57" s="56"/>
      <c r="H57" s="57">
        <f>IFERROR(__xludf.DUMMYFUNCTION("""COMPUTED_VALUE"""),8.8)</f>
        <v>8.8</v>
      </c>
      <c r="I57" s="64">
        <f>IFERROR(__xludf.DUMMYFUNCTION("""COMPUTED_VALUE"""),2.0)</f>
        <v>2</v>
      </c>
      <c r="J57" s="59">
        <f>IFERROR(__xludf.DUMMYFUNCTION("""COMPUTED_VALUE"""),9.0)</f>
        <v>9</v>
      </c>
      <c r="K57" s="51"/>
      <c r="L57" s="60">
        <f>IFERROR(__xludf.DUMMYFUNCTION("""COMPUTED_VALUE"""),9.0)</f>
        <v>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IFERROR(__xludf.DUMMYFUNCTION("""COMPUTED_VALUE"""),"RAMIREZ")</f>
        <v>RAMIREZ</v>
      </c>
      <c r="C58" s="52" t="str">
        <f>IFERROR(__xludf.DUMMYFUNCTION("""COMPUTED_VALUE"""),"DIAZ")</f>
        <v>DIAZ</v>
      </c>
      <c r="D58" s="54" t="str">
        <f>IFERROR(__xludf.DUMMYFUNCTION("""COMPUTED_VALUE"""),"OMEGA VALENTINA")</f>
        <v>OMEGA VALENTINA</v>
      </c>
      <c r="E58" s="55">
        <f>IFERROR(__xludf.DUMMYFUNCTION("""COMPUTED_VALUE"""),8.0)</f>
        <v>8</v>
      </c>
      <c r="F58" s="55">
        <f>IFERROR(__xludf.DUMMYFUNCTION("""COMPUTED_VALUE"""),2.0)</f>
        <v>2</v>
      </c>
      <c r="G58" s="56">
        <f>IFERROR(__xludf.DUMMYFUNCTION("""COMPUTED_VALUE"""),1.0)</f>
        <v>1</v>
      </c>
      <c r="H58" s="57">
        <f>IFERROR(__xludf.DUMMYFUNCTION("""COMPUTED_VALUE"""),11.0)</f>
        <v>11</v>
      </c>
      <c r="I58" s="64">
        <f>IFERROR(__xludf.DUMMYFUNCTION("""COMPUTED_VALUE"""),0.0)</f>
        <v>0</v>
      </c>
      <c r="J58" s="59">
        <f>IFERROR(__xludf.DUMMYFUNCTION("""COMPUTED_VALUE"""),10.0)</f>
        <v>10</v>
      </c>
      <c r="K58" s="51"/>
      <c r="L58" s="60">
        <f>IFERROR(__xludf.DUMMYFUNCTION("""COMPUTED_VALUE"""),11.0)</f>
        <v>11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IFERROR(__xludf.DUMMYFUNCTION("""COMPUTED_VALUE"""),"RAMIREZ")</f>
        <v>RAMIREZ</v>
      </c>
      <c r="C59" s="62" t="str">
        <f>IFERROR(__xludf.DUMMYFUNCTION("""COMPUTED_VALUE"""),"TORRES")</f>
        <v>TORRES</v>
      </c>
      <c r="D59" s="63" t="str">
        <f>IFERROR(__xludf.DUMMYFUNCTION("""COMPUTED_VALUE"""),"PERCIVAL GABRIEL")</f>
        <v>PERCIVAL GABRIEL</v>
      </c>
      <c r="E59" s="55">
        <f>IFERROR(__xludf.DUMMYFUNCTION("""COMPUTED_VALUE"""),3.0)</f>
        <v>3</v>
      </c>
      <c r="F59" s="55">
        <f>IFERROR(__xludf.DUMMYFUNCTION("""COMPUTED_VALUE"""),0.4)</f>
        <v>0.4</v>
      </c>
      <c r="G59" s="56"/>
      <c r="H59" s="57">
        <f>IFERROR(__xludf.DUMMYFUNCTION("""COMPUTED_VALUE"""),3.4)</f>
        <v>3.4</v>
      </c>
      <c r="I59" s="64">
        <f>IFERROR(__xludf.DUMMYFUNCTION("""COMPUTED_VALUE"""),2.0)</f>
        <v>2</v>
      </c>
      <c r="J59" s="59">
        <f>IFERROR(__xludf.DUMMYFUNCTION("""COMPUTED_VALUE"""),5.0)</f>
        <v>5</v>
      </c>
      <c r="K59" s="51"/>
      <c r="L59" s="60">
        <f>IFERROR(__xludf.DUMMYFUNCTION("""COMPUTED_VALUE"""),3.0)</f>
        <v>3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IFERROR(__xludf.DUMMYFUNCTION("""COMPUTED_VALUE"""),"RANGEL")</f>
        <v>RANGEL</v>
      </c>
      <c r="C60" s="62" t="str">
        <f>IFERROR(__xludf.DUMMYFUNCTION("""COMPUTED_VALUE"""),"JIMENEZ")</f>
        <v>JIMENEZ</v>
      </c>
      <c r="D60" s="63" t="str">
        <f>IFERROR(__xludf.DUMMYFUNCTION("""COMPUTED_VALUE"""),"PAOLA ALEJANDRA")</f>
        <v>PAOLA ALEJANDRA</v>
      </c>
      <c r="E60" s="55">
        <f>IFERROR(__xludf.DUMMYFUNCTION("""COMPUTED_VALUE"""),7.5)</f>
        <v>7.5</v>
      </c>
      <c r="F60" s="55">
        <f>IFERROR(__xludf.DUMMYFUNCTION("""COMPUTED_VALUE"""),2.0)</f>
        <v>2</v>
      </c>
      <c r="G60" s="56">
        <f>IFERROR(__xludf.DUMMYFUNCTION("""COMPUTED_VALUE"""),1.0)</f>
        <v>1</v>
      </c>
      <c r="H60" s="57">
        <f>IFERROR(__xludf.DUMMYFUNCTION("""COMPUTED_VALUE"""),10.5)</f>
        <v>10.5</v>
      </c>
      <c r="I60" s="64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IFERROR(__xludf.DUMMYFUNCTION("""COMPUTED_VALUE"""),11.0)</f>
        <v>11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IFERROR(__xludf.DUMMYFUNCTION("""COMPUTED_VALUE"""),"RIVERA")</f>
        <v>RIVERA</v>
      </c>
      <c r="C61" s="62" t="str">
        <f>IFERROR(__xludf.DUMMYFUNCTION("""COMPUTED_VALUE"""),"GARCIA")</f>
        <v>GARCIA</v>
      </c>
      <c r="D61" s="63" t="str">
        <f>IFERROR(__xludf.DUMMYFUNCTION("""COMPUTED_VALUE"""),"ASTRID MICHELLE")</f>
        <v>ASTRID MICHELLE</v>
      </c>
      <c r="E61" s="55">
        <f>IFERROR(__xludf.DUMMYFUNCTION("""COMPUTED_VALUE"""),5.0)</f>
        <v>5</v>
      </c>
      <c r="F61" s="55">
        <f>IFERROR(__xludf.DUMMYFUNCTION("""COMPUTED_VALUE"""),1.0)</f>
        <v>1</v>
      </c>
      <c r="G61" s="56"/>
      <c r="H61" s="57">
        <f>IFERROR(__xludf.DUMMYFUNCTION("""COMPUTED_VALUE"""),6.0)</f>
        <v>6</v>
      </c>
      <c r="I61" s="64">
        <f>IFERROR(__xludf.DUMMYFUNCTION("""COMPUTED_VALUE"""),5.0)</f>
        <v>5</v>
      </c>
      <c r="J61" s="59">
        <f>IFERROR(__xludf.DUMMYFUNCTION("""COMPUTED_VALUE"""),6.0)</f>
        <v>6</v>
      </c>
      <c r="K61" s="51"/>
      <c r="L61" s="60">
        <f>IFERROR(__xludf.DUMMYFUNCTION("""COMPUTED_VALUE"""),6.0)</f>
        <v>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IFERROR(__xludf.DUMMYFUNCTION("""COMPUTED_VALUE"""),"RODRIGUEZ")</f>
        <v>RODRIGUEZ</v>
      </c>
      <c r="C62" s="62" t="str">
        <f>IFERROR(__xludf.DUMMYFUNCTION("""COMPUTED_VALUE"""),"CAMACHO")</f>
        <v>CAMACHO</v>
      </c>
      <c r="D62" s="63" t="str">
        <f>IFERROR(__xludf.DUMMYFUNCTION("""COMPUTED_VALUE"""),"ENRIQUE SALVADOR")</f>
        <v>ENRIQUE SALVADOR</v>
      </c>
      <c r="E62" s="55">
        <f>IFERROR(__xludf.DUMMYFUNCTION("""COMPUTED_VALUE"""),2.0)</f>
        <v>2</v>
      </c>
      <c r="F62" s="55">
        <f>IFERROR(__xludf.DUMMYFUNCTION("""COMPUTED_VALUE"""),1.0)</f>
        <v>1</v>
      </c>
      <c r="G62" s="56"/>
      <c r="H62" s="57">
        <f>IFERROR(__xludf.DUMMYFUNCTION("""COMPUTED_VALUE"""),3.0)</f>
        <v>3</v>
      </c>
      <c r="I62" s="55">
        <f>IFERROR(__xludf.DUMMYFUNCTION("""COMPUTED_VALUE"""),8.0)</f>
        <v>8</v>
      </c>
      <c r="J62" s="59">
        <f>IFERROR(__xludf.DUMMYFUNCTION("""COMPUTED_VALUE"""),5.0)</f>
        <v>5</v>
      </c>
      <c r="K62" s="51"/>
      <c r="L62" s="60">
        <f>IFERROR(__xludf.DUMMYFUNCTION("""COMPUTED_VALUE"""),3.0)</f>
        <v>3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IFERROR(__xludf.DUMMYFUNCTION("""COMPUTED_VALUE"""),"RODRIGUEZ")</f>
        <v>RODRIGUEZ</v>
      </c>
      <c r="C63" s="62" t="str">
        <f>IFERROR(__xludf.DUMMYFUNCTION("""COMPUTED_VALUE"""),"ROSAS")</f>
        <v>ROSAS</v>
      </c>
      <c r="D63" s="63" t="str">
        <f>IFERROR(__xludf.DUMMYFUNCTION("""COMPUTED_VALUE"""),"QUETZALI")</f>
        <v>QUETZALI</v>
      </c>
      <c r="E63" s="55">
        <f>IFERROR(__xludf.DUMMYFUNCTION("""COMPUTED_VALUE"""),7.5)</f>
        <v>7.5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IFERROR(__xludf.DUMMYFUNCTION("""COMPUTED_VALUE"""),10.5)</f>
        <v>10.5</v>
      </c>
      <c r="I63" s="55">
        <f>IFERROR(__xludf.DUMMYFUNCTION("""COMPUTED_VALUE"""),4.0)</f>
        <v>4</v>
      </c>
      <c r="J63" s="59">
        <f>IFERROR(__xludf.DUMMYFUNCTION("""COMPUTED_VALUE"""),10.0)</f>
        <v>10</v>
      </c>
      <c r="K63" s="51"/>
      <c r="L63" s="60">
        <f>IFERROR(__xludf.DUMMYFUNCTION("""COMPUTED_VALUE"""),11.0)</f>
        <v>11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IFERROR(__xludf.DUMMYFUNCTION("""COMPUTED_VALUE"""),"SANCHEZ")</f>
        <v>SANCHEZ</v>
      </c>
      <c r="C64" s="62" t="str">
        <f>IFERROR(__xludf.DUMMYFUNCTION("""COMPUTED_VALUE"""),"BERMUDEZ")</f>
        <v>BERMUDEZ</v>
      </c>
      <c r="D64" s="63" t="str">
        <f>IFERROR(__xludf.DUMMYFUNCTION("""COMPUTED_VALUE"""),"JORGE")</f>
        <v>JORGE</v>
      </c>
      <c r="E64" s="55">
        <f>IFERROR(__xludf.DUMMYFUNCTION("""COMPUTED_VALUE"""),6.0)</f>
        <v>6</v>
      </c>
      <c r="F64" s="55">
        <f>IFERROR(__xludf.DUMMYFUNCTION("""COMPUTED_VALUE"""),2.0)</f>
        <v>2</v>
      </c>
      <c r="G64" s="56"/>
      <c r="H64" s="57">
        <f>IFERROR(__xludf.DUMMYFUNCTION("""COMPUTED_VALUE"""),8.0)</f>
        <v>8</v>
      </c>
      <c r="I64" s="64">
        <f>IFERROR(__xludf.DUMMYFUNCTION("""COMPUTED_VALUE"""),4.0)</f>
        <v>4</v>
      </c>
      <c r="J64" s="59">
        <f>IFERROR(__xludf.DUMMYFUNCTION("""COMPUTED_VALUE"""),8.0)</f>
        <v>8</v>
      </c>
      <c r="K64" s="51"/>
      <c r="L64" s="60">
        <f>IFERROR(__xludf.DUMMYFUNCTION("""COMPUTED_VALUE"""),8.0)</f>
        <v>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IFERROR(__xludf.DUMMYFUNCTION("""COMPUTED_VALUE"""),"VELAZQUEZ")</f>
        <v>VELAZQUEZ</v>
      </c>
      <c r="D65" s="66" t="str">
        <f>IFERROR(__xludf.DUMMYFUNCTION("""COMPUTED_VALUE"""),"RENATA VICTORIA")</f>
        <v>RENATA VICTORIA</v>
      </c>
      <c r="E65" s="55">
        <f>IFERROR(__xludf.DUMMYFUNCTION("""COMPUTED_VALUE"""),5.2)</f>
        <v>5.2</v>
      </c>
      <c r="F65" s="55">
        <f>IFERROR(__xludf.DUMMYFUNCTION("""COMPUTED_VALUE"""),2.0)</f>
        <v>2</v>
      </c>
      <c r="G65" s="56"/>
      <c r="H65" s="57">
        <f>IFERROR(__xludf.DUMMYFUNCTION("""COMPUTED_VALUE"""),7.2)</f>
        <v>7.2</v>
      </c>
      <c r="I65" s="55">
        <f>IFERROR(__xludf.DUMMYFUNCTION("""COMPUTED_VALUE"""),2.0)</f>
        <v>2</v>
      </c>
      <c r="J65" s="59">
        <f>IFERROR(__xludf.DUMMYFUNCTION("""COMPUTED_VALUE"""),7.0)</f>
        <v>7</v>
      </c>
      <c r="K65" s="51"/>
      <c r="L65" s="60">
        <f>IFERROR(__xludf.DUMMYFUNCTION("""COMPUTED_VALUE"""),7.0)</f>
        <v>7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IFERROR(__xludf.DUMMYFUNCTION("""COMPUTED_VALUE"""),"TREJO")</f>
        <v>TREJO</v>
      </c>
      <c r="C66" s="62" t="str">
        <f>IFERROR(__xludf.DUMMYFUNCTION("""COMPUTED_VALUE"""),"PERAL")</f>
        <v>PERAL</v>
      </c>
      <c r="D66" s="66" t="str">
        <f>IFERROR(__xludf.DUMMYFUNCTION("""COMPUTED_VALUE"""),"AIKO REGINA")</f>
        <v>AIKO REGINA</v>
      </c>
      <c r="E66" s="55">
        <f>IFERROR(__xludf.DUMMYFUNCTION("""COMPUTED_VALUE"""),1.0)</f>
        <v>1</v>
      </c>
      <c r="F66" s="55">
        <f>IFERROR(__xludf.DUMMYFUNCTION("""COMPUTED_VALUE"""),0.5)</f>
        <v>0.5</v>
      </c>
      <c r="G66" s="56"/>
      <c r="H66" s="57">
        <f>IFERROR(__xludf.DUMMYFUNCTION("""COMPUTED_VALUE"""),1.5)</f>
        <v>1.5</v>
      </c>
      <c r="I66" s="55">
        <f>IFERROR(__xludf.DUMMYFUNCTION("""COMPUTED_VALUE"""),8.0)</f>
        <v>8</v>
      </c>
      <c r="J66" s="59">
        <f>IFERROR(__xludf.DUMMYFUNCTION("""COMPUTED_VALUE"""),5.0)</f>
        <v>5</v>
      </c>
      <c r="K66" s="51"/>
      <c r="L66" s="60">
        <f>IFERROR(__xludf.DUMMYFUNCTION("""COMPUTED_VALUE"""),1.0)</f>
        <v>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IFERROR(__xludf.DUMMYFUNCTION("""COMPUTED_VALUE"""),"TREJO")</f>
        <v>TREJO</v>
      </c>
      <c r="C67" s="62" t="str">
        <f>IFERROR(__xludf.DUMMYFUNCTION("""COMPUTED_VALUE"""),"PEREZ")</f>
        <v>PEREZ</v>
      </c>
      <c r="D67" s="67" t="str">
        <f>IFERROR(__xludf.DUMMYFUNCTION("""COMPUTED_VALUE"""),"ANGEL SANTIAGO")</f>
        <v>ANGEL SANTIAGO</v>
      </c>
      <c r="E67" s="55">
        <f>IFERROR(__xludf.DUMMYFUNCTION("""COMPUTED_VALUE"""),8.0)</f>
        <v>8</v>
      </c>
      <c r="F67" s="55">
        <f>IFERROR(__xludf.DUMMYFUNCTION("""COMPUTED_VALUE"""),1.3)</f>
        <v>1.3</v>
      </c>
      <c r="G67" s="56"/>
      <c r="H67" s="57">
        <f>IFERROR(__xludf.DUMMYFUNCTION("""COMPUTED_VALUE"""),9.3)</f>
        <v>9.3</v>
      </c>
      <c r="I67" s="55">
        <f>IFERROR(__xludf.DUMMYFUNCTION("""COMPUTED_VALUE"""),1.0)</f>
        <v>1</v>
      </c>
      <c r="J67" s="59">
        <f>IFERROR(__xludf.DUMMYFUNCTION("""COMPUTED_VALUE"""),9.0)</f>
        <v>9</v>
      </c>
      <c r="K67" s="51"/>
      <c r="L67" s="60">
        <f>IFERROR(__xludf.DUMMYFUNCTION("""COMPUTED_VALUE"""),9.0)</f>
        <v>9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IFERROR(__xludf.DUMMYFUNCTION("""COMPUTED_VALUE"""),"VAZQUEZ")</f>
        <v>VAZQUEZ</v>
      </c>
      <c r="C68" s="62" t="str">
        <f>IFERROR(__xludf.DUMMYFUNCTION("""COMPUTED_VALUE"""),"FABILA")</f>
        <v>FABILA</v>
      </c>
      <c r="D68" s="67" t="str">
        <f>IFERROR(__xludf.DUMMYFUNCTION("""COMPUTED_VALUE"""),"LUZ MARIANA")</f>
        <v>LUZ MARIANA</v>
      </c>
      <c r="E68" s="55">
        <f>IFERROR(__xludf.DUMMYFUNCTION("""COMPUTED_VALUE"""),4.2)</f>
        <v>4.2</v>
      </c>
      <c r="F68" s="55">
        <f>IFERROR(__xludf.DUMMYFUNCTION("""COMPUTED_VALUE"""),1.8)</f>
        <v>1.8</v>
      </c>
      <c r="G68" s="56"/>
      <c r="H68" s="57">
        <f>IFERROR(__xludf.DUMMYFUNCTION("""COMPUTED_VALUE"""),6.0)</f>
        <v>6</v>
      </c>
      <c r="I68" s="55">
        <f>IFERROR(__xludf.DUMMYFUNCTION("""COMPUTED_VALUE"""),0.0)</f>
        <v>0</v>
      </c>
      <c r="J68" s="59">
        <f>IFERROR(__xludf.DUMMYFUNCTION("""COMPUTED_VALUE"""),6.0)</f>
        <v>6</v>
      </c>
      <c r="K68" s="51"/>
      <c r="L68" s="60">
        <f>IFERROR(__xludf.DUMMYFUNCTION("""COMPUTED_VALUE"""),6.0)</f>
        <v>6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IFERROR(__xludf.DUMMYFUNCTION("""COMPUTED_VALUE"""),"VILLEGAS")</f>
        <v>VILLEGAS</v>
      </c>
      <c r="C69" s="62" t="str">
        <f>IFERROR(__xludf.DUMMYFUNCTION("""COMPUTED_VALUE"""),"SANCHEZ")</f>
        <v>SANCHEZ</v>
      </c>
      <c r="D69" s="66" t="str">
        <f>IFERROR(__xludf.DUMMYFUNCTION("""COMPUTED_VALUE"""),"FATIMA ANAHI")</f>
        <v>FATIMA ANAHI</v>
      </c>
      <c r="E69" s="55">
        <f>IFERROR(__xludf.DUMMYFUNCTION("""COMPUTED_VALUE"""),5.0)</f>
        <v>5</v>
      </c>
      <c r="F69" s="55">
        <f>IFERROR(__xludf.DUMMYFUNCTION("""COMPUTED_VALUE"""),1.0)</f>
        <v>1</v>
      </c>
      <c r="G69" s="56"/>
      <c r="H69" s="57">
        <f>IFERROR(__xludf.DUMMYFUNCTION("""COMPUTED_VALUE"""),6.0)</f>
        <v>6</v>
      </c>
      <c r="I69" s="64">
        <f>IFERROR(__xludf.DUMMYFUNCTION("""COMPUTED_VALUE"""),1.0)</f>
        <v>1</v>
      </c>
      <c r="J69" s="59">
        <f>IFERROR(__xludf.DUMMYFUNCTION("""COMPUTED_VALUE"""),6.0)</f>
        <v>6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IFERROR(__xludf.DUMMYFUNCTION("""COMPUTED_VALUE"""),"ZAMORA")</f>
        <v>ZAMORA</v>
      </c>
      <c r="C70" s="62" t="str">
        <f>IFERROR(__xludf.DUMMYFUNCTION("""COMPUTED_VALUE"""),"REYES")</f>
        <v>REYES</v>
      </c>
      <c r="D70" s="66" t="str">
        <f>IFERROR(__xludf.DUMMYFUNCTION("""COMPUTED_VALUE"""),"SANTIAGO")</f>
        <v>SANTIAGO</v>
      </c>
      <c r="E70" s="55">
        <f>IFERROR(__xludf.DUMMYFUNCTION("""COMPUTED_VALUE"""),4.0)</f>
        <v>4</v>
      </c>
      <c r="F70" s="55">
        <f>IFERROR(__xludf.DUMMYFUNCTION("""COMPUTED_VALUE"""),1.0)</f>
        <v>1</v>
      </c>
      <c r="G70" s="56"/>
      <c r="H70" s="57">
        <f>IFERROR(__xludf.DUMMYFUNCTION("""COMPUTED_VALUE"""),5.0)</f>
        <v>5</v>
      </c>
      <c r="I70" s="55">
        <f>IFERROR(__xludf.DUMMYFUNCTION("""COMPUTED_VALUE"""),8.0)</f>
        <v>8</v>
      </c>
      <c r="J70" s="59">
        <f>IFERROR(__xludf.DUMMYFUNCTION("""COMPUTED_VALUE"""),5.0)</f>
        <v>5</v>
      </c>
      <c r="K70" s="51"/>
      <c r="L70" s="6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51"/>
      <c r="B71" s="65"/>
      <c r="C71" s="62"/>
      <c r="D71" s="63"/>
      <c r="E71" s="55"/>
      <c r="F71" s="55"/>
      <c r="G71" s="56"/>
      <c r="H71" s="57"/>
      <c r="I71" s="64"/>
      <c r="J71" s="59"/>
      <c r="K71" s="51"/>
      <c r="L71" s="6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71"/>
      <c r="B72" s="72" t="str">
        <f>IFERROR(__xludf.DUMMYFUNCTION("""COMPUTED_VALUE"""),"No. DE ALUMNOS INSCRITOS")</f>
        <v>No. DE ALUMNOS INSCRITOS</v>
      </c>
      <c r="C72" s="73"/>
      <c r="D72" s="115">
        <f>IFERROR(__xludf.DUMMYFUNCTION("""COMPUTED_VALUE"""),54.0)</f>
        <v>54</v>
      </c>
      <c r="E72" s="69"/>
      <c r="F72" s="116" t="str">
        <f>IFERROR(__xludf.DUMMYFUNCTION("""COMPUTED_VALUE"""),"FIRMA DEL PROFESOR")</f>
        <v>FIRMA DEL PROFESOR</v>
      </c>
      <c r="G72" s="75"/>
      <c r="H72" s="116" t="str">
        <f>IFERROR(__xludf.DUMMYFUNCTION("""COMPUTED_VALUE"""),"FIRMA DEL ORIENTADOR")</f>
        <v>FIRMA DEL ORIENTADOR</v>
      </c>
      <c r="J72" s="117" t="str">
        <f>IFERROR(__xludf.DUMMYFUNCTION("""COMPUTED_VALUE"""),"Vo. Bo. SUBDIRECCIÓN ESCOLAR")</f>
        <v>Vo. Bo. SUBDIRECCIÓN ESCOLAR</v>
      </c>
      <c r="K72" s="77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78" t="str">
        <f>IFERROR(__xludf.DUMMYFUNCTION("""COMPUTED_VALUE"""),"BAJAS DURANTE EL SEMESTRE")</f>
        <v>BAJAS DURANTE EL SEMESTRE</v>
      </c>
      <c r="C73" s="79"/>
      <c r="D73" s="114">
        <f>IFERROR(__xludf.DUMMYFUNCTION("""COMPUTED_VALUE"""),0.0)</f>
        <v>0</v>
      </c>
      <c r="E73" s="69"/>
      <c r="G73" s="75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1"/>
      <c r="B74" s="78" t="str">
        <f>IFERROR(__xludf.DUMMYFUNCTION("""COMPUTED_VALUE"""),"EXISTENCIA")</f>
        <v>EXISTENCIA</v>
      </c>
      <c r="C74" s="79"/>
      <c r="D74" s="81">
        <f>IFERROR(__xludf.DUMMYFUNCTION("""COMPUTED_VALUE"""),54.0)</f>
        <v>54</v>
      </c>
      <c r="E74" s="69"/>
      <c r="F74" s="82"/>
      <c r="G74" s="83"/>
      <c r="H74" s="82"/>
      <c r="I74" s="82"/>
      <c r="J74" s="84"/>
      <c r="K74" s="8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1"/>
      <c r="B75" s="78" t="str">
        <f>IFERROR(__xludf.DUMMYFUNCTION("""COMPUTED_VALUE"""),"No. DE ALUMNOS APROBADOS")</f>
        <v>No. DE ALUMNOS APROBADOS</v>
      </c>
      <c r="C75" s="79"/>
      <c r="D75" s="81">
        <f>IFERROR(__xludf.DUMMYFUNCTION("""COMPUTED_VALUE"""),33.0)</f>
        <v>33</v>
      </c>
      <c r="E75" s="69"/>
      <c r="F75" s="82"/>
      <c r="G75" s="83"/>
      <c r="H75" s="82"/>
      <c r="I75" s="82"/>
      <c r="J75" s="84"/>
      <c r="K75" s="8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1"/>
      <c r="B76" s="78" t="str">
        <f>IFERROR(__xludf.DUMMYFUNCTION("""COMPUTED_VALUE"""),"No. DE ALUMNOS REPROBADOS")</f>
        <v>No. DE ALUMNOS REPROBADOS</v>
      </c>
      <c r="C76" s="79"/>
      <c r="D76" s="81">
        <f>IFERROR(__xludf.DUMMYFUNCTION("""COMPUTED_VALUE"""),21.0)</f>
        <v>21</v>
      </c>
      <c r="E76" s="69"/>
      <c r="F76" s="86"/>
      <c r="G76" s="83"/>
      <c r="H76" s="86"/>
      <c r="I76" s="86"/>
      <c r="J76" s="87"/>
      <c r="K76" s="8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1"/>
      <c r="B77" s="78" t="str">
        <f>IFERROR(__xludf.DUMMYFUNCTION("""COMPUTED_VALUE"""),"% DE APROBADOS")</f>
        <v>% DE APROBADOS</v>
      </c>
      <c r="C77" s="79"/>
      <c r="D77" s="89">
        <f>IFERROR(__xludf.DUMMYFUNCTION("""COMPUTED_VALUE"""),61.111111111111114)</f>
        <v>61.11111111</v>
      </c>
      <c r="E77" s="69"/>
      <c r="F77" s="90" t="str">
        <f>IFERROR(__xludf.DUMMYFUNCTION("""COMPUTED_VALUE"""),"PROFR. ")</f>
        <v>PROFR. </v>
      </c>
      <c r="G77" s="91"/>
      <c r="H77" s="92" t="str">
        <f>IFERROR(__xludf.DUMMYFUNCTION("""COMPUTED_VALUE"""),"PROFR. JOSÉ EDGAR SALAZAR ZÚÑIGA")</f>
        <v>PROFR. JOSÉ EDGAR SALAZAR ZÚÑIGA</v>
      </c>
      <c r="J77" s="93" t="str">
        <f>IFERROR(__xludf.DUMMYFUNCTION("""COMPUTED_VALUE"""),"PROFR. OCTAVIO VÁZQUEZ BARRETO")</f>
        <v>PROFR. OCTAVIO VÁZQUEZ BARRETO</v>
      </c>
      <c r="K77" s="94" t="str">
        <f>IFERROR(__xludf.DUMMYFUNCTION("""COMPUTED_VALUE"""),"PROFR. ROBERTO PALOMARES MEJÍA ")</f>
        <v>PROFR. ROBERTO PALOMARES MEJÍA </v>
      </c>
      <c r="L77" s="9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71"/>
      <c r="B78" s="96" t="str">
        <f>IFERROR(__xludf.DUMMYFUNCTION("""COMPUTED_VALUE"""),"PROMEDIO")</f>
        <v>PROMEDIO</v>
      </c>
      <c r="C78" s="97"/>
      <c r="D78" s="98">
        <f>IFERROR(__xludf.DUMMYFUNCTION("""COMPUTED_VALUE"""),7.055555555555555)</f>
        <v>7.055555556</v>
      </c>
      <c r="E78" s="69"/>
      <c r="G78" s="91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99"/>
      <c r="B80" s="100"/>
      <c r="C80" s="101"/>
      <c r="D80" s="101"/>
      <c r="E80" s="69"/>
      <c r="G80" s="7"/>
      <c r="H80" s="7"/>
      <c r="I80" s="7"/>
      <c r="J80" s="7"/>
      <c r="K80" s="102"/>
      <c r="L80" s="10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4"/>
      <c r="B81" s="69"/>
      <c r="C81" s="69"/>
      <c r="D81" s="69"/>
      <c r="E81" s="7"/>
      <c r="F81" s="1"/>
      <c r="G81" s="1"/>
      <c r="H81" s="1"/>
      <c r="I81" s="1"/>
      <c r="J81" s="1"/>
      <c r="K81" s="8"/>
      <c r="L81" s="10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4"/>
      <c r="B82" s="69"/>
      <c r="C82" s="69"/>
      <c r="D82" s="69"/>
      <c r="E82" s="7"/>
      <c r="F82" s="1"/>
      <c r="G82" s="1"/>
      <c r="H82" s="1"/>
      <c r="I82" s="1"/>
      <c r="J82" s="1"/>
      <c r="K82" s="8"/>
      <c r="L82" s="10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6"/>
      <c r="B83" s="107"/>
      <c r="C83" s="107"/>
      <c r="D83" s="107"/>
      <c r="E83" s="108"/>
      <c r="F83" s="109"/>
      <c r="G83" s="109"/>
      <c r="H83" s="109"/>
      <c r="I83" s="109"/>
      <c r="J83" s="109"/>
      <c r="K83" s="110"/>
      <c r="L83" s="10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12"/>
      <c r="K84" s="112"/>
      <c r="L84" s="11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12"/>
      <c r="K85" s="112"/>
      <c r="L85" s="11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12"/>
      <c r="K86" s="112"/>
      <c r="L86" s="11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12"/>
      <c r="K87" s="112"/>
      <c r="L87" s="11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1"/>
      <c r="C89" s="111"/>
      <c r="D89" s="111"/>
      <c r="E89" s="111"/>
      <c r="F89" s="1"/>
      <c r="G89" s="1"/>
      <c r="H89" s="1"/>
      <c r="I89" s="1"/>
      <c r="J89" s="1"/>
      <c r="K89" s="11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1"/>
      <c r="C90" s="111"/>
      <c r="D90" s="111"/>
      <c r="E90" s="11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1"/>
      <c r="C91" s="111"/>
      <c r="D91" s="111"/>
      <c r="E91" s="11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1"/>
      <c r="C92" s="111"/>
      <c r="D92" s="111"/>
      <c r="E92" s="11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1"/>
      <c r="C93" s="111"/>
      <c r="D93" s="111"/>
      <c r="E93" s="11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1"/>
      <c r="C94" s="111"/>
      <c r="D94" s="111"/>
      <c r="E94" s="11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1"/>
      <c r="C95" s="111"/>
      <c r="D95" s="111"/>
      <c r="E95" s="11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1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IFERROR(__xludf.DUMMYFUNCTION("IMPORTRANGE(""https://docs.google.com/spreadsheets/d/1gWm5grlICJTE9yzh0EdKexQ0PnWg6cx3Djpo_7ER3Ig/edit?gid=1345122403#gid=1345122403"",""1-2 ciencias sociales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IFERROR(__xludf.DUMMYFUNCTION("""COMPUTED_VALUE"""),"MA. GUADALUPE GRANADOS DE LOERA")</f>
        <v>MA. GUADALUPE GRANADOS DE LOERA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IFERROR(__xludf.DUMMYFUNCTION("""COMPUTED_VALUE"""),"CIENCIAS SOCIALES II")</f>
        <v>CIENCIAS SOCIALES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IFERROR(__xludf.DUMMYFUNCTION("""COMPUTED_VALUE"""),"AGUIRRE")</f>
        <v>AGUIRRE</v>
      </c>
      <c r="C17" s="53" t="str">
        <f>IFERROR(__xludf.DUMMYFUNCTION("""COMPUTED_VALUE"""),"DELFIN")</f>
        <v>DELFIN</v>
      </c>
      <c r="D17" s="54" t="str">
        <f>IFERROR(__xludf.DUMMYFUNCTION("""COMPUTED_VALUE"""),"YAHIR")</f>
        <v>YAHIR</v>
      </c>
      <c r="E17" s="55" t="str">
        <f>IFERROR(__xludf.DUMMYFUNCTION("""COMPUTED_VALUE"""),"BAJA")</f>
        <v>BAJA</v>
      </c>
      <c r="F17" s="55"/>
      <c r="G17" s="56"/>
      <c r="H17" s="57">
        <f>IFERROR(__xludf.DUMMYFUNCTION("""COMPUTED_VALUE"""),0.0)</f>
        <v>0</v>
      </c>
      <c r="I17" s="58"/>
      <c r="J17" s="59">
        <f>IFERROR(__xludf.DUMMYFUNCTION("""COMPUTED_VALUE"""),5.0)</f>
        <v>5</v>
      </c>
      <c r="K17" s="60" t="str">
        <f>IFERROR(__xludf.DUMMYFUNCTION("""COMPUTED_VALUE"""),"BAJA")</f>
        <v>BAJA</v>
      </c>
      <c r="L17" s="61">
        <f>IFERROR(__xludf.DUMMYFUNCTION("""COMPUTED_VALUE"""),0.0)</f>
        <v>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IFERROR(__xludf.DUMMYFUNCTION("""COMPUTED_VALUE"""),"AMBROSIO")</f>
        <v>AMBROSIO</v>
      </c>
      <c r="C18" s="52" t="str">
        <f>IFERROR(__xludf.DUMMYFUNCTION("""COMPUTED_VALUE"""),"RAMIREZ")</f>
        <v>RAMIREZ</v>
      </c>
      <c r="D18" s="54" t="str">
        <f>IFERROR(__xludf.DUMMYFUNCTION("""COMPUTED_VALUE"""),"ALEXANDRA")</f>
        <v>ALEXANDRA</v>
      </c>
      <c r="E18" s="55">
        <f>IFERROR(__xludf.DUMMYFUNCTION("""COMPUTED_VALUE"""),7.0)</f>
        <v>7</v>
      </c>
      <c r="F18" s="55">
        <f>IFERROR(__xludf.DUMMYFUNCTION("""COMPUTED_VALUE"""),2.0)</f>
        <v>2</v>
      </c>
      <c r="G18" s="56"/>
      <c r="H18" s="57">
        <f>IFERROR(__xludf.DUMMYFUNCTION("""COMPUTED_VALUE"""),9.0)</f>
        <v>9</v>
      </c>
      <c r="I18" s="58">
        <f>IFERROR(__xludf.DUMMYFUNCTION("""COMPUTED_VALUE"""),0.0)</f>
        <v>0</v>
      </c>
      <c r="J18" s="59">
        <f>IFERROR(__xludf.DUMMYFUNCTION("""COMPUTED_VALUE"""),9.0)</f>
        <v>9</v>
      </c>
      <c r="K18" s="51"/>
      <c r="L18" s="61">
        <f>IFERROR(__xludf.DUMMYFUNCTION("""COMPUTED_VALUE"""),9.0)</f>
        <v>9</v>
      </c>
      <c r="M18" s="1" t="str">
        <f>IFERROR(__xludf.DUMMYFUNCTION("""COMPUTED_VALUE"""),"Febrero")</f>
        <v>Febrero</v>
      </c>
      <c r="N18" s="1">
        <f>IFERROR(__xludf.DUMMYFUNCTION("""COMPUTED_VALUE"""),6.0)</f>
        <v>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IFERROR(__xludf.DUMMYFUNCTION("""COMPUTED_VALUE"""),"AVILA")</f>
        <v>AVILA</v>
      </c>
      <c r="C19" s="52" t="str">
        <f>IFERROR(__xludf.DUMMYFUNCTION("""COMPUTED_VALUE"""),"MORALES")</f>
        <v>MORALES</v>
      </c>
      <c r="D19" s="54" t="str">
        <f>IFERROR(__xludf.DUMMYFUNCTION("""COMPUTED_VALUE"""),"EDWIN ADAHIR")</f>
        <v>EDWIN ADAHIR</v>
      </c>
      <c r="E19" s="56">
        <f>IFERROR(__xludf.DUMMYFUNCTION("""COMPUTED_VALUE"""),8.0)</f>
        <v>8</v>
      </c>
      <c r="F19" s="55">
        <f>IFERROR(__xludf.DUMMYFUNCTION("""COMPUTED_VALUE"""),2.0)</f>
        <v>2</v>
      </c>
      <c r="G19" s="56"/>
      <c r="H19" s="57">
        <f>IFERROR(__xludf.DUMMYFUNCTION("""COMPUTED_VALUE"""),10.0)</f>
        <v>10</v>
      </c>
      <c r="I19" s="58">
        <f>IFERROR(__xludf.DUMMYFUNCTION("""COMPUTED_VALUE"""),0.0)</f>
        <v>0</v>
      </c>
      <c r="J19" s="59">
        <f>IFERROR(__xludf.DUMMYFUNCTION("""COMPUTED_VALUE"""),10.0)</f>
        <v>10</v>
      </c>
      <c r="K19" s="51"/>
      <c r="L19" s="61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IFERROR(__xludf.DUMMYFUNCTION("""COMPUTED_VALUE"""),10.0)</f>
        <v>10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IFERROR(__xludf.DUMMYFUNCTION("""COMPUTED_VALUE"""),"AVILA")</f>
        <v>AVILA</v>
      </c>
      <c r="C20" s="52" t="str">
        <f>IFERROR(__xludf.DUMMYFUNCTION("""COMPUTED_VALUE"""),"RAMIREZ")</f>
        <v>RAMIREZ</v>
      </c>
      <c r="D20" s="54" t="str">
        <f>IFERROR(__xludf.DUMMYFUNCTION("""COMPUTED_VALUE"""),"SANTIAGO")</f>
        <v>SANTIAGO</v>
      </c>
      <c r="E20" s="55">
        <f>IFERROR(__xludf.DUMMYFUNCTION("""COMPUTED_VALUE"""),8.0)</f>
        <v>8</v>
      </c>
      <c r="F20" s="55">
        <f>IFERROR(__xludf.DUMMYFUNCTION("""COMPUTED_VALUE"""),2.0)</f>
        <v>2</v>
      </c>
      <c r="G20" s="56"/>
      <c r="H20" s="57">
        <f>IFERROR(__xludf.DUMMYFUNCTION("""COMPUTED_VALUE"""),10.0)</f>
        <v>10</v>
      </c>
      <c r="I20" s="58">
        <f>IFERROR(__xludf.DUMMYFUNCTION("""COMPUTED_VALUE"""),4.0)</f>
        <v>4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IFERROR(__xludf.DUMMYFUNCTION("""COMPUTED_VALUE"""),"BARRAZA")</f>
        <v>BARRAZA</v>
      </c>
      <c r="C21" s="52" t="str">
        <f>IFERROR(__xludf.DUMMYFUNCTION("""COMPUTED_VALUE"""),"MONTELONGO")</f>
        <v>MONTELONGO</v>
      </c>
      <c r="D21" s="54" t="str">
        <f>IFERROR(__xludf.DUMMYFUNCTION("""COMPUTED_VALUE"""),"STEFANY YANELI")</f>
        <v>STEFANY YANELI</v>
      </c>
      <c r="E21" s="55">
        <f>IFERROR(__xludf.DUMMYFUNCTION("""COMPUTED_VALUE"""),8.0)</f>
        <v>8</v>
      </c>
      <c r="F21" s="55">
        <f>IFERROR(__xludf.DUMMYFUNCTION("""COMPUTED_VALUE"""),2.0)</f>
        <v>2</v>
      </c>
      <c r="G21" s="56"/>
      <c r="H21" s="57">
        <f>IFERROR(__xludf.DUMMYFUNCTION("""COMPUTED_VALUE"""),10.0)</f>
        <v>10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IFERROR(__xludf.DUMMYFUNCTION("""COMPUTED_VALUE"""),"BECERRA")</f>
        <v>BECERRA</v>
      </c>
      <c r="C22" s="52" t="str">
        <f>IFERROR(__xludf.DUMMYFUNCTION("""COMPUTED_VALUE"""),"FLORES")</f>
        <v>FLORES</v>
      </c>
      <c r="D22" s="54" t="str">
        <f>IFERROR(__xludf.DUMMYFUNCTION("""COMPUTED_VALUE"""),"HADE JETZABEL")</f>
        <v>HADE JETZABEL</v>
      </c>
      <c r="E22" s="55">
        <f>IFERROR(__xludf.DUMMYFUNCTION("""COMPUTED_VALUE"""),8.0)</f>
        <v>8</v>
      </c>
      <c r="F22" s="55">
        <f>IFERROR(__xludf.DUMMYFUNCTION("""COMPUTED_VALUE"""),2.0)</f>
        <v>2</v>
      </c>
      <c r="G22" s="56">
        <f>IFERROR(__xludf.DUMMYFUNCTION("""COMPUTED_VALUE"""),1.0)</f>
        <v>1</v>
      </c>
      <c r="H22" s="57">
        <f>IFERROR(__xludf.DUMMYFUNCTION("""COMPUTED_VALUE"""),11.0)</f>
        <v>11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IFERROR(__xludf.DUMMYFUNCTION("""COMPUTED_VALUE"""),11.0)</f>
        <v>11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IFERROR(__xludf.DUMMYFUNCTION("""COMPUTED_VALUE"""),"BELLO")</f>
        <v>BELLO</v>
      </c>
      <c r="C23" s="52" t="str">
        <f>IFERROR(__xludf.DUMMYFUNCTION("""COMPUTED_VALUE"""),"CHAVEZ")</f>
        <v>CHAVEZ</v>
      </c>
      <c r="D23" s="54" t="str">
        <f>IFERROR(__xludf.DUMMYFUNCTION("""COMPUTED_VALUE"""),"EMILIO SEBASTIAN")</f>
        <v>EMILIO SEBASTIAN</v>
      </c>
      <c r="E23" s="55">
        <f>IFERROR(__xludf.DUMMYFUNCTION("""COMPUTED_VALUE"""),6.0)</f>
        <v>6</v>
      </c>
      <c r="F23" s="55">
        <f>IFERROR(__xludf.DUMMYFUNCTION("""COMPUTED_VALUE"""),2.0)</f>
        <v>2</v>
      </c>
      <c r="G23" s="56"/>
      <c r="H23" s="57">
        <f>IFERROR(__xludf.DUMMYFUNCTION("""COMPUTED_VALUE"""),8.0)</f>
        <v>8</v>
      </c>
      <c r="I23" s="58">
        <f>IFERROR(__xludf.DUMMYFUNCTION("""COMPUTED_VALUE"""),0.0)</f>
        <v>0</v>
      </c>
      <c r="J23" s="59">
        <f>IFERROR(__xludf.DUMMYFUNCTION("""COMPUTED_VALUE"""),8.0)</f>
        <v>8</v>
      </c>
      <c r="K23" s="51"/>
      <c r="L23" s="61">
        <f>IFERROR(__xludf.DUMMYFUNCTION("""COMPUTED_VALUE"""),8.0)</f>
        <v>8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IFERROR(__xludf.DUMMYFUNCTION("""COMPUTED_VALUE"""),"CASAS")</f>
        <v>CASAS</v>
      </c>
      <c r="C24" s="52" t="str">
        <f>IFERROR(__xludf.DUMMYFUNCTION("""COMPUTED_VALUE"""),"GARCIA")</f>
        <v>GARCIA</v>
      </c>
      <c r="D24" s="54" t="str">
        <f>IFERROR(__xludf.DUMMYFUNCTION("""COMPUTED_VALUE"""),"ZEUS ANTHUAN")</f>
        <v>ZEUS ANTHUAN</v>
      </c>
      <c r="E24" s="56">
        <f>IFERROR(__xludf.DUMMYFUNCTION("""COMPUTED_VALUE"""),6.0)</f>
        <v>6</v>
      </c>
      <c r="F24" s="55">
        <f>IFERROR(__xludf.DUMMYFUNCTION("""COMPUTED_VALUE"""),2.0)</f>
        <v>2</v>
      </c>
      <c r="G24" s="56"/>
      <c r="H24" s="57">
        <f>IFERROR(__xludf.DUMMYFUNCTION("""COMPUTED_VALUE"""),8.0)</f>
        <v>8</v>
      </c>
      <c r="I24" s="58">
        <f>IFERROR(__xludf.DUMMYFUNCTION("""COMPUTED_VALUE"""),0.0)</f>
        <v>0</v>
      </c>
      <c r="J24" s="59">
        <f>IFERROR(__xludf.DUMMYFUNCTION("""COMPUTED_VALUE"""),8.0)</f>
        <v>8</v>
      </c>
      <c r="K24" s="51"/>
      <c r="L24" s="61">
        <f>IFERROR(__xludf.DUMMYFUNCTION("""COMPUTED_VALUE"""),8.0)</f>
        <v>8</v>
      </c>
      <c r="M24" s="1" t="str">
        <f>IFERROR(__xludf.DUMMYFUNCTION("""COMPUTED_VALUE"""),"TOTAL")</f>
        <v>TOTAL</v>
      </c>
      <c r="N24" s="1">
        <f>IFERROR(__xludf.DUMMYFUNCTION("""COMPUTED_VALUE"""),16.0)</f>
        <v>16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IFERROR(__xludf.DUMMYFUNCTION("""COMPUTED_VALUE"""),"CHICO")</f>
        <v>CHICO</v>
      </c>
      <c r="C25" s="52" t="str">
        <f>IFERROR(__xludf.DUMMYFUNCTION("""COMPUTED_VALUE"""),"ORTIZ")</f>
        <v>ORTIZ</v>
      </c>
      <c r="D25" s="54" t="str">
        <f>IFERROR(__xludf.DUMMYFUNCTION("""COMPUTED_VALUE"""),"ALAN")</f>
        <v>ALAN</v>
      </c>
      <c r="E25" s="55">
        <f>IFERROR(__xludf.DUMMYFUNCTION("""COMPUTED_VALUE"""),6.0)</f>
        <v>6</v>
      </c>
      <c r="F25" s="55">
        <f>IFERROR(__xludf.DUMMYFUNCTION("""COMPUTED_VALUE"""),2.0)</f>
        <v>2</v>
      </c>
      <c r="G25" s="56"/>
      <c r="H25" s="57">
        <f>IFERROR(__xludf.DUMMYFUNCTION("""COMPUTED_VALUE"""),8.0)</f>
        <v>8</v>
      </c>
      <c r="I25" s="58">
        <f>IFERROR(__xludf.DUMMYFUNCTION("""COMPUTED_VALUE"""),2.0)</f>
        <v>2</v>
      </c>
      <c r="J25" s="59">
        <f>IFERROR(__xludf.DUMMYFUNCTION("""COMPUTED_VALUE"""),8.0)</f>
        <v>8</v>
      </c>
      <c r="K25" s="51"/>
      <c r="L25" s="61">
        <f>IFERROR(__xludf.DUMMYFUNCTION("""COMPUTED_VALUE"""),8.0)</f>
        <v>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IFERROR(__xludf.DUMMYFUNCTION("""COMPUTED_VALUE"""),"COLIN")</f>
        <v>COLIN</v>
      </c>
      <c r="C26" s="52" t="str">
        <f>IFERROR(__xludf.DUMMYFUNCTION("""COMPUTED_VALUE"""),"GARCIA")</f>
        <v>GARCIA</v>
      </c>
      <c r="D26" s="54" t="str">
        <f>IFERROR(__xludf.DUMMYFUNCTION("""COMPUTED_VALUE"""),"DONOBAN RODRIGO")</f>
        <v>DONOBAN RODRIGO</v>
      </c>
      <c r="E26" s="56">
        <f>IFERROR(__xludf.DUMMYFUNCTION("""COMPUTED_VALUE"""),4.0)</f>
        <v>4</v>
      </c>
      <c r="F26" s="55">
        <f>IFERROR(__xludf.DUMMYFUNCTION("""COMPUTED_VALUE"""),2.0)</f>
        <v>2</v>
      </c>
      <c r="G26" s="56">
        <f>IFERROR(__xludf.DUMMYFUNCTION("""COMPUTED_VALUE"""),1.0)</f>
        <v>1</v>
      </c>
      <c r="H26" s="57">
        <f>IFERROR(__xludf.DUMMYFUNCTION("""COMPUTED_VALUE"""),7.0)</f>
        <v>7</v>
      </c>
      <c r="I26" s="58">
        <f>IFERROR(__xludf.DUMMYFUNCTION("""COMPUTED_VALUE"""),0.0)</f>
        <v>0</v>
      </c>
      <c r="J26" s="59">
        <f>IFERROR(__xludf.DUMMYFUNCTION("""COMPUTED_VALUE"""),7.0)</f>
        <v>7</v>
      </c>
      <c r="K26" s="51"/>
      <c r="L26" s="61">
        <f>IFERROR(__xludf.DUMMYFUNCTION("""COMPUTED_VALUE"""),7.0)</f>
        <v>7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IFERROR(__xludf.DUMMYFUNCTION("""COMPUTED_VALUE"""),"CONTRERAS")</f>
        <v>CONTRERAS</v>
      </c>
      <c r="C27" s="52" t="str">
        <f>IFERROR(__xludf.DUMMYFUNCTION("""COMPUTED_VALUE"""),"QUIJADA")</f>
        <v>QUIJADA</v>
      </c>
      <c r="D27" s="52" t="str">
        <f>IFERROR(__xludf.DUMMYFUNCTION("""COMPUTED_VALUE"""),"LEONARDO")</f>
        <v>LEONARDO</v>
      </c>
      <c r="E27" s="55">
        <f>IFERROR(__xludf.DUMMYFUNCTION("""COMPUTED_VALUE"""),6.0)</f>
        <v>6</v>
      </c>
      <c r="F27" s="55">
        <f>IFERROR(__xludf.DUMMYFUNCTION("""COMPUTED_VALUE"""),2.0)</f>
        <v>2</v>
      </c>
      <c r="G27" s="56"/>
      <c r="H27" s="57">
        <f>IFERROR(__xludf.DUMMYFUNCTION("""COMPUTED_VALUE"""),8.0)</f>
        <v>8</v>
      </c>
      <c r="I27" s="58">
        <f>IFERROR(__xludf.DUMMYFUNCTION("""COMPUTED_VALUE"""),2.0)</f>
        <v>2</v>
      </c>
      <c r="J27" s="59">
        <f>IFERROR(__xludf.DUMMYFUNCTION("""COMPUTED_VALUE"""),8.0)</f>
        <v>8</v>
      </c>
      <c r="K27" s="51"/>
      <c r="L27" s="61">
        <f>IFERROR(__xludf.DUMMYFUNCTION("""COMPUTED_VALUE"""),8.0)</f>
        <v>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IFERROR(__xludf.DUMMYFUNCTION("""COMPUTED_VALUE"""),"COVARRUBIAS")</f>
        <v>COVARRUBIAS</v>
      </c>
      <c r="C28" s="52" t="str">
        <f>IFERROR(__xludf.DUMMYFUNCTION("""COMPUTED_VALUE"""),"ACOSTA")</f>
        <v>ACOSTA</v>
      </c>
      <c r="D28" s="54" t="str">
        <f>IFERROR(__xludf.DUMMYFUNCTION("""COMPUTED_VALUE"""),"SAMANTHA ANGELINE")</f>
        <v>SAMANTHA ANGELINE</v>
      </c>
      <c r="E28" s="55">
        <f>IFERROR(__xludf.DUMMYFUNCTION("""COMPUTED_VALUE"""),8.0)</f>
        <v>8</v>
      </c>
      <c r="F28" s="55">
        <f>IFERROR(__xludf.DUMMYFUNCTION("""COMPUTED_VALUE"""),2.0)</f>
        <v>2</v>
      </c>
      <c r="G28" s="56"/>
      <c r="H28" s="57">
        <f>IFERROR(__xludf.DUMMYFUNCTION("""COMPUTED_VALUE"""),10.0)</f>
        <v>10</v>
      </c>
      <c r="I28" s="58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IFERROR(__xludf.DUMMYFUNCTION("""COMPUTED_VALUE"""),"GALVEZ")</f>
        <v>GALVEZ</v>
      </c>
      <c r="D29" s="54" t="str">
        <f>IFERROR(__xludf.DUMMYFUNCTION("""COMPUTED_VALUE"""),"PARIS EMILIANO")</f>
        <v>PARIS EMILIANO</v>
      </c>
      <c r="E29" s="55">
        <f>IFERROR(__xludf.DUMMYFUNCTION("""COMPUTED_VALUE"""),7.0)</f>
        <v>7</v>
      </c>
      <c r="F29" s="55">
        <f>IFERROR(__xludf.DUMMYFUNCTION("""COMPUTED_VALUE"""),2.0)</f>
        <v>2</v>
      </c>
      <c r="G29" s="56"/>
      <c r="H29" s="57">
        <f>IFERROR(__xludf.DUMMYFUNCTION("""COMPUTED_VALUE"""),9.0)</f>
        <v>9</v>
      </c>
      <c r="I29" s="58">
        <f>IFERROR(__xludf.DUMMYFUNCTION("""COMPUTED_VALUE"""),0.0)</f>
        <v>0</v>
      </c>
      <c r="J29" s="59">
        <f>IFERROR(__xludf.DUMMYFUNCTION("""COMPUTED_VALUE"""),9.0)</f>
        <v>9</v>
      </c>
      <c r="K29" s="51"/>
      <c r="L29" s="61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IFERROR(__xludf.DUMMYFUNCTION("""COMPUTED_VALUE"""),"CRUZ")</f>
        <v>CRUZ</v>
      </c>
      <c r="C30" s="52" t="str">
        <f>IFERROR(__xludf.DUMMYFUNCTION("""COMPUTED_VALUE"""),"OROPEZA")</f>
        <v>OROPEZA</v>
      </c>
      <c r="D30" s="54" t="str">
        <f>IFERROR(__xludf.DUMMYFUNCTION("""COMPUTED_VALUE"""),"REBECA JANELLE")</f>
        <v>REBECA JANELLE</v>
      </c>
      <c r="E30" s="56">
        <f>IFERROR(__xludf.DUMMYFUNCTION("""COMPUTED_VALUE"""),8.0)</f>
        <v>8</v>
      </c>
      <c r="F30" s="55">
        <f>IFERROR(__xludf.DUMMYFUNCTION("""COMPUTED_VALUE"""),2.0)</f>
        <v>2</v>
      </c>
      <c r="G30" s="56"/>
      <c r="H30" s="57">
        <f>IFERROR(__xludf.DUMMYFUNCTION("""COMPUTED_VALUE"""),10.0)</f>
        <v>10</v>
      </c>
      <c r="I30" s="58">
        <f>IFERROR(__xludf.DUMMYFUNCTION("""COMPUTED_VALUE"""),2.0)</f>
        <v>2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IFERROR(__xludf.DUMMYFUNCTION("""COMPUTED_VALUE"""),"ELIZALDE")</f>
        <v>ELIZALDE</v>
      </c>
      <c r="C31" s="52" t="str">
        <f>IFERROR(__xludf.DUMMYFUNCTION("""COMPUTED_VALUE"""),"MOLINA")</f>
        <v>MOLINA</v>
      </c>
      <c r="D31" s="54" t="str">
        <f>IFERROR(__xludf.DUMMYFUNCTION("""COMPUTED_VALUE"""),"BARBARA SOFIA")</f>
        <v>BARBARA SOFIA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/>
      <c r="H31" s="57">
        <f>IFERROR(__xludf.DUMMYFUNCTION("""COMPUTED_VALUE"""),10.0)</f>
        <v>10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IFERROR(__xludf.DUMMYFUNCTION("""COMPUTED_VALUE"""),"ENCINAS")</f>
        <v>ENCINAS</v>
      </c>
      <c r="C32" s="52" t="str">
        <f>IFERROR(__xludf.DUMMYFUNCTION("""COMPUTED_VALUE"""),"RODRIGUEZ")</f>
        <v>RODRIGUEZ</v>
      </c>
      <c r="D32" s="54" t="str">
        <f>IFERROR(__xludf.DUMMYFUNCTION("""COMPUTED_VALUE"""),"CESAR ROBERTO")</f>
        <v>CESAR ROBERTO</v>
      </c>
      <c r="E32" s="55">
        <f>IFERROR(__xludf.DUMMYFUNCTION("""COMPUTED_VALUE"""),8.0)</f>
        <v>8</v>
      </c>
      <c r="F32" s="55">
        <f>IFERROR(__xludf.DUMMYFUNCTION("""COMPUTED_VALUE"""),2.0)</f>
        <v>2</v>
      </c>
      <c r="G32" s="56"/>
      <c r="H32" s="57">
        <f>IFERROR(__xludf.DUMMYFUNCTION("""COMPUTED_VALUE"""),10.0)</f>
        <v>10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IFERROR(__xludf.DUMMYFUNCTION("""COMPUTED_VALUE"""),"ESTRADA")</f>
        <v>ESTRADA</v>
      </c>
      <c r="C33" s="52" t="str">
        <f>IFERROR(__xludf.DUMMYFUNCTION("""COMPUTED_VALUE"""),"VARGAS")</f>
        <v>VARGAS</v>
      </c>
      <c r="D33" s="54" t="str">
        <f>IFERROR(__xludf.DUMMYFUNCTION("""COMPUTED_VALUE"""),"JESUS SANTIAGO")</f>
        <v>JESUS SANTIAGO</v>
      </c>
      <c r="E33" s="55">
        <f>IFERROR(__xludf.DUMMYFUNCTION("""COMPUTED_VALUE"""),4.0)</f>
        <v>4</v>
      </c>
      <c r="F33" s="55">
        <f>IFERROR(__xludf.DUMMYFUNCTION("""COMPUTED_VALUE"""),2.0)</f>
        <v>2</v>
      </c>
      <c r="G33" s="56"/>
      <c r="H33" s="57">
        <f>IFERROR(__xludf.DUMMYFUNCTION("""COMPUTED_VALUE"""),6.0)</f>
        <v>6</v>
      </c>
      <c r="I33" s="58">
        <f>IFERROR(__xludf.DUMMYFUNCTION("""COMPUTED_VALUE"""),0.0)</f>
        <v>0</v>
      </c>
      <c r="J33" s="59">
        <f>IFERROR(__xludf.DUMMYFUNCTION("""COMPUTED_VALUE"""),6.0)</f>
        <v>6</v>
      </c>
      <c r="K33" s="51"/>
      <c r="L33" s="61">
        <f>IFERROR(__xludf.DUMMYFUNCTION("""COMPUTED_VALUE"""),6.0)</f>
        <v>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IFERROR(__xludf.DUMMYFUNCTION("""COMPUTED_VALUE"""),"FINKENTHAL")</f>
        <v>FINKENTHAL</v>
      </c>
      <c r="C34" s="52" t="str">
        <f>IFERROR(__xludf.DUMMYFUNCTION("""COMPUTED_VALUE"""),"RAMIREZ")</f>
        <v>RAMIREZ</v>
      </c>
      <c r="D34" s="54" t="str">
        <f>IFERROR(__xludf.DUMMYFUNCTION("""COMPUTED_VALUE"""),"ALENKA")</f>
        <v>ALENKA</v>
      </c>
      <c r="E34" s="56">
        <f>IFERROR(__xludf.DUMMYFUNCTION("""COMPUTED_VALUE"""),7.0)</f>
        <v>7</v>
      </c>
      <c r="F34" s="55">
        <f>IFERROR(__xludf.DUMMYFUNCTION("""COMPUTED_VALUE"""),2.0)</f>
        <v>2</v>
      </c>
      <c r="G34" s="56">
        <f>IFERROR(__xludf.DUMMYFUNCTION("""COMPUTED_VALUE"""),1.0)</f>
        <v>1</v>
      </c>
      <c r="H34" s="57">
        <f>IFERROR(__xludf.DUMMYFUNCTION("""COMPUTED_VALUE"""),10.0)</f>
        <v>10</v>
      </c>
      <c r="I34" s="58">
        <f>IFERROR(__xludf.DUMMYFUNCTION("""COMPUTED_VALUE"""),0.0)</f>
        <v>0</v>
      </c>
      <c r="J34" s="59">
        <f>IFERROR(__xludf.DUMMYFUNCTION("""COMPUTED_VALUE"""),10.0)</f>
        <v>10</v>
      </c>
      <c r="K34" s="51"/>
      <c r="L34" s="61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IFERROR(__xludf.DUMMYFUNCTION("""COMPUTED_VALUE"""),"FLORES")</f>
        <v>FLORES</v>
      </c>
      <c r="C35" s="52" t="str">
        <f>IFERROR(__xludf.DUMMYFUNCTION("""COMPUTED_VALUE"""),"PEREZ")</f>
        <v>PEREZ</v>
      </c>
      <c r="D35" s="54" t="str">
        <f>IFERROR(__xludf.DUMMYFUNCTION("""COMPUTED_VALUE"""),"ROBERTO")</f>
        <v>ROBERTO</v>
      </c>
      <c r="E35" s="55">
        <f>IFERROR(__xludf.DUMMYFUNCTION("""COMPUTED_VALUE"""),7.0)</f>
        <v>7</v>
      </c>
      <c r="F35" s="55">
        <f>IFERROR(__xludf.DUMMYFUNCTION("""COMPUTED_VALUE"""),2.0)</f>
        <v>2</v>
      </c>
      <c r="G35" s="56"/>
      <c r="H35" s="57">
        <f>IFERROR(__xludf.DUMMYFUNCTION("""COMPUTED_VALUE"""),9.0)</f>
        <v>9</v>
      </c>
      <c r="I35" s="58">
        <f>IFERROR(__xludf.DUMMYFUNCTION("""COMPUTED_VALUE"""),0.0)</f>
        <v>0</v>
      </c>
      <c r="J35" s="59">
        <f>IFERROR(__xludf.DUMMYFUNCTION("""COMPUTED_VALUE"""),9.0)</f>
        <v>9</v>
      </c>
      <c r="K35" s="51"/>
      <c r="L35" s="61">
        <f>IFERROR(__xludf.DUMMYFUNCTION("""COMPUTED_VALUE"""),9.0)</f>
        <v>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IFERROR(__xludf.DUMMYFUNCTION("""COMPUTED_VALUE"""),"FLORES")</f>
        <v>FLORES</v>
      </c>
      <c r="C36" s="52" t="str">
        <f>IFERROR(__xludf.DUMMYFUNCTION("""COMPUTED_VALUE"""),"RODRIGUEZ")</f>
        <v>RODRIGUEZ</v>
      </c>
      <c r="D36" s="54" t="str">
        <f>IFERROR(__xludf.DUMMYFUNCTION("""COMPUTED_VALUE"""),"FRANCISCO ISAAC")</f>
        <v>FRANCISCO ISAAC</v>
      </c>
      <c r="E36" s="55">
        <f>IFERROR(__xludf.DUMMYFUNCTION("""COMPUTED_VALUE"""),7.0)</f>
        <v>7</v>
      </c>
      <c r="F36" s="55">
        <f>IFERROR(__xludf.DUMMYFUNCTION("""COMPUTED_VALUE"""),2.0)</f>
        <v>2</v>
      </c>
      <c r="G36" s="56">
        <f>IFERROR(__xludf.DUMMYFUNCTION("""COMPUTED_VALUE"""),1.0)</f>
        <v>1</v>
      </c>
      <c r="H36" s="57">
        <f>IFERROR(__xludf.DUMMYFUNCTION("""COMPUTED_VALUE"""),10.0)</f>
        <v>10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IFERROR(__xludf.DUMMYFUNCTION("""COMPUTED_VALUE"""),"GONZALEZ")</f>
        <v>GONZALEZ</v>
      </c>
      <c r="C37" s="52" t="str">
        <f>IFERROR(__xludf.DUMMYFUNCTION("""COMPUTED_VALUE"""),"GONZALEZ")</f>
        <v>GONZALEZ</v>
      </c>
      <c r="D37" s="54" t="str">
        <f>IFERROR(__xludf.DUMMYFUNCTION("""COMPUTED_VALUE"""),"ANGELA PAULINA")</f>
        <v>ANGELA PAULINA</v>
      </c>
      <c r="E37" s="56">
        <f>IFERROR(__xludf.DUMMYFUNCTION("""COMPUTED_VALUE"""),8.0)</f>
        <v>8</v>
      </c>
      <c r="F37" s="55">
        <f>IFERROR(__xludf.DUMMYFUNCTION("""COMPUTED_VALUE"""),2.0)</f>
        <v>2</v>
      </c>
      <c r="G37" s="56">
        <f>IFERROR(__xludf.DUMMYFUNCTION("""COMPUTED_VALUE"""),1.0)</f>
        <v>1</v>
      </c>
      <c r="H37" s="57">
        <f>IFERROR(__xludf.DUMMYFUNCTION("""COMPUTED_VALUE"""),11.0)</f>
        <v>11</v>
      </c>
      <c r="I37" s="58">
        <f>IFERROR(__xludf.DUMMYFUNCTION("""COMPUTED_VALUE"""),0.0)</f>
        <v>0</v>
      </c>
      <c r="J37" s="59">
        <f>IFERROR(__xludf.DUMMYFUNCTION("""COMPUTED_VALUE"""),10.0)</f>
        <v>10</v>
      </c>
      <c r="K37" s="51"/>
      <c r="L37" s="61">
        <f>IFERROR(__xludf.DUMMYFUNCTION("""COMPUTED_VALUE"""),11.0)</f>
        <v>11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IFERROR(__xludf.DUMMYFUNCTION("""COMPUTED_VALUE"""),"GONZALEZ")</f>
        <v>GONZALEZ</v>
      </c>
      <c r="C38" s="52" t="str">
        <f>IFERROR(__xludf.DUMMYFUNCTION("""COMPUTED_VALUE"""),"TREJO")</f>
        <v>TREJO</v>
      </c>
      <c r="D38" s="54" t="str">
        <f>IFERROR(__xludf.DUMMYFUNCTION("""COMPUTED_VALUE"""),"LESLIE XIMENA")</f>
        <v>LESLIE XIMENA</v>
      </c>
      <c r="E38" s="55">
        <f>IFERROR(__xludf.DUMMYFUNCTION("""COMPUTED_VALUE"""),8.0)</f>
        <v>8</v>
      </c>
      <c r="F38" s="55">
        <f>IFERROR(__xludf.DUMMYFUNCTION("""COMPUTED_VALUE"""),2.0)</f>
        <v>2</v>
      </c>
      <c r="G38" s="56">
        <f>IFERROR(__xludf.DUMMYFUNCTION("""COMPUTED_VALUE"""),1.0)</f>
        <v>1</v>
      </c>
      <c r="H38" s="57">
        <f>IFERROR(__xludf.DUMMYFUNCTION("""COMPUTED_VALUE"""),11.0)</f>
        <v>11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IFERROR(__xludf.DUMMYFUNCTION("""COMPUTED_VALUE"""),11.0)</f>
        <v>11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IFERROR(__xludf.DUMMYFUNCTION("""COMPUTED_VALUE"""),"HERNANDEZ")</f>
        <v>HERNANDEZ</v>
      </c>
      <c r="C39" s="52" t="str">
        <f>IFERROR(__xludf.DUMMYFUNCTION("""COMPUTED_VALUE"""),"GARCIA")</f>
        <v>GARCIA</v>
      </c>
      <c r="D39" s="54" t="str">
        <f>IFERROR(__xludf.DUMMYFUNCTION("""COMPUTED_VALUE"""),"EMILY")</f>
        <v>EMILY</v>
      </c>
      <c r="E39" s="55">
        <f>IFERROR(__xludf.DUMMYFUNCTION("""COMPUTED_VALUE"""),8.0)</f>
        <v>8</v>
      </c>
      <c r="F39" s="55">
        <f>IFERROR(__xludf.DUMMYFUNCTION("""COMPUTED_VALUE"""),2.0)</f>
        <v>2</v>
      </c>
      <c r="G39" s="56"/>
      <c r="H39" s="57">
        <f>IFERROR(__xludf.DUMMYFUNCTION("""COMPUTED_VALUE"""),10.0)</f>
        <v>10</v>
      </c>
      <c r="I39" s="58">
        <f>IFERROR(__xludf.DUMMYFUNCTION("""COMPUTED_VALUE"""),0.0)</f>
        <v>0</v>
      </c>
      <c r="J39" s="59">
        <f>IFERROR(__xludf.DUMMYFUNCTION("""COMPUTED_VALUE"""),10.0)</f>
        <v>10</v>
      </c>
      <c r="K39" s="51"/>
      <c r="L39" s="61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IFERROR(__xludf.DUMMYFUNCTION("""COMPUTED_VALUE"""),"HERNANDEZ")</f>
        <v>HERNANDEZ</v>
      </c>
      <c r="C40" s="52" t="str">
        <f>IFERROR(__xludf.DUMMYFUNCTION("""COMPUTED_VALUE"""),"GARCIA")</f>
        <v>GARCIA</v>
      </c>
      <c r="D40" s="54" t="str">
        <f>IFERROR(__xludf.DUMMYFUNCTION("""COMPUTED_VALUE"""),"SAMANTA")</f>
        <v>SAMANTA</v>
      </c>
      <c r="E40" s="55">
        <f>IFERROR(__xludf.DUMMYFUNCTION("""COMPUTED_VALUE"""),4.0)</f>
        <v>4</v>
      </c>
      <c r="F40" s="55">
        <f>IFERROR(__xludf.DUMMYFUNCTION("""COMPUTED_VALUE"""),2.0)</f>
        <v>2</v>
      </c>
      <c r="G40" s="56"/>
      <c r="H40" s="57">
        <f>IFERROR(__xludf.DUMMYFUNCTION("""COMPUTED_VALUE"""),6.0)</f>
        <v>6</v>
      </c>
      <c r="I40" s="58">
        <f>IFERROR(__xludf.DUMMYFUNCTION("""COMPUTED_VALUE"""),4.0)</f>
        <v>4</v>
      </c>
      <c r="J40" s="59">
        <f>IFERROR(__xludf.DUMMYFUNCTION("""COMPUTED_VALUE"""),6.0)</f>
        <v>6</v>
      </c>
      <c r="K40" s="51"/>
      <c r="L40" s="61">
        <f>IFERROR(__xludf.DUMMYFUNCTION("""COMPUTED_VALUE"""),6.0)</f>
        <v>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IFERROR(__xludf.DUMMYFUNCTION("""COMPUTED_VALUE"""),"HERRERA")</f>
        <v>HERRERA</v>
      </c>
      <c r="C41" s="52" t="str">
        <f>IFERROR(__xludf.DUMMYFUNCTION("""COMPUTED_VALUE"""),"JIMENEZ")</f>
        <v>JIMENEZ</v>
      </c>
      <c r="D41" s="54" t="str">
        <f>IFERROR(__xludf.DUMMYFUNCTION("""COMPUTED_VALUE"""),"JOSUE ABISAI")</f>
        <v>JOSUE ABISAI</v>
      </c>
      <c r="E41" s="55">
        <f>IFERROR(__xludf.DUMMYFUNCTION("""COMPUTED_VALUE"""),4.0)</f>
        <v>4</v>
      </c>
      <c r="F41" s="55">
        <f>IFERROR(__xludf.DUMMYFUNCTION("""COMPUTED_VALUE"""),2.0)</f>
        <v>2</v>
      </c>
      <c r="G41" s="56"/>
      <c r="H41" s="57">
        <f>IFERROR(__xludf.DUMMYFUNCTION("""COMPUTED_VALUE"""),6.0)</f>
        <v>6</v>
      </c>
      <c r="I41" s="58">
        <f>IFERROR(__xludf.DUMMYFUNCTION("""COMPUTED_VALUE"""),2.0)</f>
        <v>2</v>
      </c>
      <c r="J41" s="59">
        <f>IFERROR(__xludf.DUMMYFUNCTION("""COMPUTED_VALUE"""),6.0)</f>
        <v>6</v>
      </c>
      <c r="K41" s="51"/>
      <c r="L41" s="61">
        <f>IFERROR(__xludf.DUMMYFUNCTION("""COMPUTED_VALUE"""),6.0)</f>
        <v>6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IFERROR(__xludf.DUMMYFUNCTION("""COMPUTED_VALUE"""),"HERNANDEZ")</f>
        <v>HERNANDEZ</v>
      </c>
      <c r="C42" s="52" t="str">
        <f>IFERROR(__xludf.DUMMYFUNCTION("""COMPUTED_VALUE"""),"PALLARES")</f>
        <v>PALLARES</v>
      </c>
      <c r="D42" s="54" t="str">
        <f>IFERROR(__xludf.DUMMYFUNCTION("""COMPUTED_VALUE"""),"IVAN")</f>
        <v>IVAN</v>
      </c>
      <c r="E42" s="55">
        <f>IFERROR(__xludf.DUMMYFUNCTION("""COMPUTED_VALUE"""),4.0)</f>
        <v>4</v>
      </c>
      <c r="F42" s="55">
        <f>IFERROR(__xludf.DUMMYFUNCTION("""COMPUTED_VALUE"""),2.0)</f>
        <v>2</v>
      </c>
      <c r="G42" s="56"/>
      <c r="H42" s="57">
        <f>IFERROR(__xludf.DUMMYFUNCTION("""COMPUTED_VALUE"""),6.0)</f>
        <v>6</v>
      </c>
      <c r="I42" s="58">
        <f>IFERROR(__xludf.DUMMYFUNCTION("""COMPUTED_VALUE"""),2.0)</f>
        <v>2</v>
      </c>
      <c r="J42" s="59">
        <f>IFERROR(__xludf.DUMMYFUNCTION("""COMPUTED_VALUE"""),6.0)</f>
        <v>6</v>
      </c>
      <c r="K42" s="51"/>
      <c r="L42" s="61">
        <f>IFERROR(__xludf.DUMMYFUNCTION("""COMPUTED_VALUE"""),6.0)</f>
        <v>6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IFERROR(__xludf.DUMMYFUNCTION("""COMPUTED_VALUE"""),"JIMENEZ")</f>
        <v>JIMENEZ</v>
      </c>
      <c r="C43" s="52" t="str">
        <f>IFERROR(__xludf.DUMMYFUNCTION("""COMPUTED_VALUE"""),"PACHUCA")</f>
        <v>PACHUCA</v>
      </c>
      <c r="D43" s="54" t="str">
        <f>IFERROR(__xludf.DUMMYFUNCTION("""COMPUTED_VALUE"""),"LUIS ANTONIO")</f>
        <v>LUIS ANTONIO</v>
      </c>
      <c r="E43" s="55">
        <f>IFERROR(__xludf.DUMMYFUNCTION("""COMPUTED_VALUE"""),8.0)</f>
        <v>8</v>
      </c>
      <c r="F43" s="55">
        <f>IFERROR(__xludf.DUMMYFUNCTION("""COMPUTED_VALUE"""),2.0)</f>
        <v>2</v>
      </c>
      <c r="G43" s="56"/>
      <c r="H43" s="57">
        <f>IFERROR(__xludf.DUMMYFUNCTION("""COMPUTED_VALUE"""),10.0)</f>
        <v>10</v>
      </c>
      <c r="I43" s="58">
        <f>IFERROR(__xludf.DUMMYFUNCTION("""COMPUTED_VALUE"""),0.0)</f>
        <v>0</v>
      </c>
      <c r="J43" s="59">
        <f>IFERROR(__xludf.DUMMYFUNCTION("""COMPUTED_VALUE"""),10.0)</f>
        <v>10</v>
      </c>
      <c r="K43" s="51"/>
      <c r="L43" s="61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IFERROR(__xludf.DUMMYFUNCTION("""COMPUTED_VALUE"""),"LEGORRETA")</f>
        <v>LEGORRETA</v>
      </c>
      <c r="C44" s="52" t="str">
        <f>IFERROR(__xludf.DUMMYFUNCTION("""COMPUTED_VALUE"""),"HERNANDEZ")</f>
        <v>HERNANDEZ</v>
      </c>
      <c r="D44" s="54" t="str">
        <f>IFERROR(__xludf.DUMMYFUNCTION("""COMPUTED_VALUE"""),"LILIANA")</f>
        <v>LILIANA</v>
      </c>
      <c r="E44" s="55">
        <f>IFERROR(__xludf.DUMMYFUNCTION("""COMPUTED_VALUE"""),7.0)</f>
        <v>7</v>
      </c>
      <c r="F44" s="55">
        <f>IFERROR(__xludf.DUMMYFUNCTION("""COMPUTED_VALUE"""),2.0)</f>
        <v>2</v>
      </c>
      <c r="G44" s="56">
        <f>IFERROR(__xludf.DUMMYFUNCTION("""COMPUTED_VALUE"""),1.0)</f>
        <v>1</v>
      </c>
      <c r="H44" s="57">
        <f>IFERROR(__xludf.DUMMYFUNCTION("""COMPUTED_VALUE"""),10.0)</f>
        <v>10</v>
      </c>
      <c r="I44" s="58">
        <f>IFERROR(__xludf.DUMMYFUNCTION("""COMPUTED_VALUE"""),0.0)</f>
        <v>0</v>
      </c>
      <c r="J44" s="59">
        <f>IFERROR(__xludf.DUMMYFUNCTION("""COMPUTED_VALUE"""),10.0)</f>
        <v>10</v>
      </c>
      <c r="K44" s="51"/>
      <c r="L44" s="61">
        <f>IFERROR(__xludf.DUMMYFUNCTION("""COMPUTED_VALUE"""),10.0)</f>
        <v>10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IFERROR(__xludf.DUMMYFUNCTION("""COMPUTED_VALUE"""),"LOPEZ")</f>
        <v>LOPEZ</v>
      </c>
      <c r="C45" s="52" t="str">
        <f>IFERROR(__xludf.DUMMYFUNCTION("""COMPUTED_VALUE"""),"HERNANDEZ")</f>
        <v>HERNANDEZ</v>
      </c>
      <c r="D45" s="54" t="str">
        <f>IFERROR(__xludf.DUMMYFUNCTION("""COMPUTED_VALUE"""),"KARINA")</f>
        <v>KARINA</v>
      </c>
      <c r="E45" s="55">
        <f>IFERROR(__xludf.DUMMYFUNCTION("""COMPUTED_VALUE"""),6.0)</f>
        <v>6</v>
      </c>
      <c r="F45" s="55">
        <f>IFERROR(__xludf.DUMMYFUNCTION("""COMPUTED_VALUE"""),2.0)</f>
        <v>2</v>
      </c>
      <c r="G45" s="56"/>
      <c r="H45" s="57">
        <f>IFERROR(__xludf.DUMMYFUNCTION("""COMPUTED_VALUE"""),8.0)</f>
        <v>8</v>
      </c>
      <c r="I45" s="58">
        <f>IFERROR(__xludf.DUMMYFUNCTION("""COMPUTED_VALUE"""),0.0)</f>
        <v>0</v>
      </c>
      <c r="J45" s="59">
        <f>IFERROR(__xludf.DUMMYFUNCTION("""COMPUTED_VALUE"""),8.0)</f>
        <v>8</v>
      </c>
      <c r="K45" s="51"/>
      <c r="L45" s="61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IFERROR(__xludf.DUMMYFUNCTION("""COMPUTED_VALUE"""),"LUGO")</f>
        <v>LUGO</v>
      </c>
      <c r="C46" s="52" t="str">
        <f>IFERROR(__xludf.DUMMYFUNCTION("""COMPUTED_VALUE"""),"SOLARES")</f>
        <v>SOLARES</v>
      </c>
      <c r="D46" s="54" t="str">
        <f>IFERROR(__xludf.DUMMYFUNCTION("""COMPUTED_VALUE"""),"YAIR EMILIANO")</f>
        <v>YAIR EMILIANO</v>
      </c>
      <c r="E46" s="55">
        <f>IFERROR(__xludf.DUMMYFUNCTION("""COMPUTED_VALUE"""),4.0)</f>
        <v>4</v>
      </c>
      <c r="F46" s="55">
        <f>IFERROR(__xludf.DUMMYFUNCTION("""COMPUTED_VALUE"""),2.0)</f>
        <v>2</v>
      </c>
      <c r="G46" s="56"/>
      <c r="H46" s="57">
        <f>IFERROR(__xludf.DUMMYFUNCTION("""COMPUTED_VALUE"""),6.0)</f>
        <v>6</v>
      </c>
      <c r="I46" s="58">
        <f>IFERROR(__xludf.DUMMYFUNCTION("""COMPUTED_VALUE"""),0.0)</f>
        <v>0</v>
      </c>
      <c r="J46" s="59">
        <f>IFERROR(__xludf.DUMMYFUNCTION("""COMPUTED_VALUE"""),6.0)</f>
        <v>6</v>
      </c>
      <c r="K46" s="51"/>
      <c r="L46" s="61">
        <f>IFERROR(__xludf.DUMMYFUNCTION("""COMPUTED_VALUE"""),6.0)</f>
        <v>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IFERROR(__xludf.DUMMYFUNCTION("""COMPUTED_VALUE"""),"LUNA")</f>
        <v>LUNA</v>
      </c>
      <c r="C47" s="62" t="str">
        <f>IFERROR(__xludf.DUMMYFUNCTION("""COMPUTED_VALUE"""),"FRANCISCO")</f>
        <v>FRANCISCO</v>
      </c>
      <c r="D47" s="63" t="str">
        <f>IFERROR(__xludf.DUMMYFUNCTION("""COMPUTED_VALUE"""),"SAMANTHA ITZEL")</f>
        <v>SAMANTHA ITZEL</v>
      </c>
      <c r="E47" s="55">
        <f>IFERROR(__xludf.DUMMYFUNCTION("""COMPUTED_VALUE"""),0.0)</f>
        <v>0</v>
      </c>
      <c r="F47" s="55">
        <f>IFERROR(__xludf.DUMMYFUNCTION("""COMPUTED_VALUE"""),0.0)</f>
        <v>0</v>
      </c>
      <c r="G47" s="56">
        <f>IFERROR(__xludf.DUMMYFUNCTION("""COMPUTED_VALUE"""),0.0)</f>
        <v>0</v>
      </c>
      <c r="H47" s="57">
        <f>IFERROR(__xludf.DUMMYFUNCTION("""COMPUTED_VALUE"""),0.0)</f>
        <v>0</v>
      </c>
      <c r="I47" s="58">
        <f>IFERROR(__xludf.DUMMYFUNCTION("""COMPUTED_VALUE"""),4.0)</f>
        <v>4</v>
      </c>
      <c r="J47" s="59">
        <f>IFERROR(__xludf.DUMMYFUNCTION("""COMPUTED_VALUE"""),5.0)</f>
        <v>5</v>
      </c>
      <c r="K47" s="51"/>
      <c r="L47" s="61">
        <f>IFERROR(__xludf.DUMMYFUNCTION("""COMPUTED_VALUE"""),0.0)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IFERROR(__xludf.DUMMYFUNCTION("""COMPUTED_VALUE"""),"MARENTES")</f>
        <v>MARENTES</v>
      </c>
      <c r="C48" s="52" t="str">
        <f>IFERROR(__xludf.DUMMYFUNCTION("""COMPUTED_VALUE"""),"ROBLES")</f>
        <v>ROBLES</v>
      </c>
      <c r="D48" s="54" t="str">
        <f>IFERROR(__xludf.DUMMYFUNCTION("""COMPUTED_VALUE"""),"LUZ NATALIA")</f>
        <v>LUZ NATALIA</v>
      </c>
      <c r="E48" s="55">
        <f>IFERROR(__xludf.DUMMYFUNCTION("""COMPUTED_VALUE"""),6.0)</f>
        <v>6</v>
      </c>
      <c r="F48" s="55">
        <f>IFERROR(__xludf.DUMMYFUNCTION("""COMPUTED_VALUE"""),2.0)</f>
        <v>2</v>
      </c>
      <c r="G48" s="56"/>
      <c r="H48" s="57">
        <f>IFERROR(__xludf.DUMMYFUNCTION("""COMPUTED_VALUE"""),8.0)</f>
        <v>8</v>
      </c>
      <c r="I48" s="58">
        <f>IFERROR(__xludf.DUMMYFUNCTION("""COMPUTED_VALUE"""),2.0)</f>
        <v>2</v>
      </c>
      <c r="J48" s="59">
        <f>IFERROR(__xludf.DUMMYFUNCTION("""COMPUTED_VALUE"""),8.0)</f>
        <v>8</v>
      </c>
      <c r="K48" s="51"/>
      <c r="L48" s="61">
        <f>IFERROR(__xludf.DUMMYFUNCTION("""COMPUTED_VALUE"""),8.0)</f>
        <v>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IFERROR(__xludf.DUMMYFUNCTION("""COMPUTED_VALUE"""),"MARTINEZ")</f>
        <v>MARTINEZ</v>
      </c>
      <c r="C49" s="52" t="str">
        <f>IFERROR(__xludf.DUMMYFUNCTION("""COMPUTED_VALUE"""),"IBARRA")</f>
        <v>IBARRA</v>
      </c>
      <c r="D49" s="54" t="str">
        <f>IFERROR(__xludf.DUMMYFUNCTION("""COMPUTED_VALUE"""),"JOHAN ISAI")</f>
        <v>JOHAN ISAI</v>
      </c>
      <c r="E49" s="55">
        <f>IFERROR(__xludf.DUMMYFUNCTION("""COMPUTED_VALUE"""),7.0)</f>
        <v>7</v>
      </c>
      <c r="F49" s="55">
        <f>IFERROR(__xludf.DUMMYFUNCTION("""COMPUTED_VALUE"""),2.0)</f>
        <v>2</v>
      </c>
      <c r="G49" s="56"/>
      <c r="H49" s="57">
        <f>IFERROR(__xludf.DUMMYFUNCTION("""COMPUTED_VALUE"""),9.0)</f>
        <v>9</v>
      </c>
      <c r="I49" s="58">
        <f>IFERROR(__xludf.DUMMYFUNCTION("""COMPUTED_VALUE"""),0.0)</f>
        <v>0</v>
      </c>
      <c r="J49" s="59">
        <f>IFERROR(__xludf.DUMMYFUNCTION("""COMPUTED_VALUE"""),9.0)</f>
        <v>9</v>
      </c>
      <c r="K49" s="51"/>
      <c r="L49" s="61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IFERROR(__xludf.DUMMYFUNCTION("""COMPUTED_VALUE"""),"MARTINEZ")</f>
        <v>MARTINEZ</v>
      </c>
      <c r="C50" s="52" t="str">
        <f>IFERROR(__xludf.DUMMYFUNCTION("""COMPUTED_VALUE"""),"MANCILLA")</f>
        <v>MANCILLA</v>
      </c>
      <c r="D50" s="54" t="str">
        <f>IFERROR(__xludf.DUMMYFUNCTION("""COMPUTED_VALUE"""),"ZIT ZURIEL")</f>
        <v>ZIT ZURIEL</v>
      </c>
      <c r="E50" s="55">
        <f>IFERROR(__xludf.DUMMYFUNCTION("""COMPUTED_VALUE"""),4.0)</f>
        <v>4</v>
      </c>
      <c r="F50" s="55">
        <f>IFERROR(__xludf.DUMMYFUNCTION("""COMPUTED_VALUE"""),2.0)</f>
        <v>2</v>
      </c>
      <c r="G50" s="56"/>
      <c r="H50" s="57">
        <f>IFERROR(__xludf.DUMMYFUNCTION("""COMPUTED_VALUE"""),6.0)</f>
        <v>6</v>
      </c>
      <c r="I50" s="58">
        <f>IFERROR(__xludf.DUMMYFUNCTION("""COMPUTED_VALUE"""),2.0)</f>
        <v>2</v>
      </c>
      <c r="J50" s="59">
        <f>IFERROR(__xludf.DUMMYFUNCTION("""COMPUTED_VALUE"""),6.0)</f>
        <v>6</v>
      </c>
      <c r="K50" s="51"/>
      <c r="L50" s="61">
        <f>IFERROR(__xludf.DUMMYFUNCTION("""COMPUTED_VALUE"""),6.0)</f>
        <v>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IFERROR(__xludf.DUMMYFUNCTION("""COMPUTED_VALUE"""),"MORALES")</f>
        <v>MORALES</v>
      </c>
      <c r="C51" s="52" t="str">
        <f>IFERROR(__xludf.DUMMYFUNCTION("""COMPUTED_VALUE"""),"LORANCA")</f>
        <v>LORANCA</v>
      </c>
      <c r="D51" s="54" t="str">
        <f>IFERROR(__xludf.DUMMYFUNCTION("""COMPUTED_VALUE"""),"MATIAS DANIEL")</f>
        <v>MATIAS DANIEL</v>
      </c>
      <c r="E51" s="55">
        <f>IFERROR(__xludf.DUMMYFUNCTION("""COMPUTED_VALUE"""),4.0)</f>
        <v>4</v>
      </c>
      <c r="F51" s="55">
        <f>IFERROR(__xludf.DUMMYFUNCTION("""COMPUTED_VALUE"""),2.0)</f>
        <v>2</v>
      </c>
      <c r="G51" s="56"/>
      <c r="H51" s="57">
        <f>IFERROR(__xludf.DUMMYFUNCTION("""COMPUTED_VALUE"""),6.0)</f>
        <v>6</v>
      </c>
      <c r="I51" s="58">
        <f>IFERROR(__xludf.DUMMYFUNCTION("""COMPUTED_VALUE"""),0.0)</f>
        <v>0</v>
      </c>
      <c r="J51" s="59">
        <f>IFERROR(__xludf.DUMMYFUNCTION("""COMPUTED_VALUE"""),6.0)</f>
        <v>6</v>
      </c>
      <c r="K51" s="51"/>
      <c r="L51" s="61">
        <f>IFERROR(__xludf.DUMMYFUNCTION("""COMPUTED_VALUE"""),6.0)</f>
        <v>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IFERROR(__xludf.DUMMYFUNCTION("""COMPUTED_VALUE"""),"MORALES")</f>
        <v>MORALES</v>
      </c>
      <c r="C52" s="52" t="str">
        <f>IFERROR(__xludf.DUMMYFUNCTION("""COMPUTED_VALUE"""),"PIÑON")</f>
        <v>PIÑON</v>
      </c>
      <c r="D52" s="54" t="str">
        <f>IFERROR(__xludf.DUMMYFUNCTION("""COMPUTED_VALUE"""),"NATALIA ABRIL")</f>
        <v>NATALIA ABRIL</v>
      </c>
      <c r="E52" s="55">
        <f>IFERROR(__xludf.DUMMYFUNCTION("""COMPUTED_VALUE"""),6.0)</f>
        <v>6</v>
      </c>
      <c r="F52" s="55">
        <f>IFERROR(__xludf.DUMMYFUNCTION("""COMPUTED_VALUE"""),2.0)</f>
        <v>2</v>
      </c>
      <c r="G52" s="56"/>
      <c r="H52" s="57">
        <f>IFERROR(__xludf.DUMMYFUNCTION("""COMPUTED_VALUE"""),8.0)</f>
        <v>8</v>
      </c>
      <c r="I52" s="58">
        <f>IFERROR(__xludf.DUMMYFUNCTION("""COMPUTED_VALUE"""),2.0)</f>
        <v>2</v>
      </c>
      <c r="J52" s="59">
        <f>IFERROR(__xludf.DUMMYFUNCTION("""COMPUTED_VALUE"""),8.0)</f>
        <v>8</v>
      </c>
      <c r="K52" s="51"/>
      <c r="L52" s="60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IFERROR(__xludf.DUMMYFUNCTION("""COMPUTED_VALUE"""),"NAVARRO")</f>
        <v>NAVARRO</v>
      </c>
      <c r="C53" s="52" t="str">
        <f>IFERROR(__xludf.DUMMYFUNCTION("""COMPUTED_VALUE"""),"ROMO")</f>
        <v>ROMO</v>
      </c>
      <c r="D53" s="54" t="str">
        <f>IFERROR(__xludf.DUMMYFUNCTION("""COMPUTED_VALUE"""),"MARCO ARIEL")</f>
        <v>MARCO ARIEL</v>
      </c>
      <c r="E53" s="55">
        <f>IFERROR(__xludf.DUMMYFUNCTION("""COMPUTED_VALUE"""),7.0)</f>
        <v>7</v>
      </c>
      <c r="F53" s="55">
        <f>IFERROR(__xludf.DUMMYFUNCTION("""COMPUTED_VALUE"""),2.0)</f>
        <v>2</v>
      </c>
      <c r="G53" s="56"/>
      <c r="H53" s="57">
        <f>IFERROR(__xludf.DUMMYFUNCTION("""COMPUTED_VALUE"""),9.0)</f>
        <v>9</v>
      </c>
      <c r="I53" s="58">
        <f>IFERROR(__xludf.DUMMYFUNCTION("""COMPUTED_VALUE"""),0.0)</f>
        <v>0</v>
      </c>
      <c r="J53" s="59">
        <f>IFERROR(__xludf.DUMMYFUNCTION("""COMPUTED_VALUE"""),9.0)</f>
        <v>9</v>
      </c>
      <c r="K53" s="51"/>
      <c r="L53" s="60">
        <f>IFERROR(__xludf.DUMMYFUNCTION("""COMPUTED_VALUE"""),9.0)</f>
        <v>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IFERROR(__xludf.DUMMYFUNCTION("""COMPUTED_VALUE"""),"OLVERA")</f>
        <v>OLVERA</v>
      </c>
      <c r="C54" s="52" t="str">
        <f>IFERROR(__xludf.DUMMYFUNCTION("""COMPUTED_VALUE"""),"VALLE")</f>
        <v>VALLE</v>
      </c>
      <c r="D54" s="54" t="str">
        <f>IFERROR(__xludf.DUMMYFUNCTION("""COMPUTED_VALUE"""),"LAILA MELISA")</f>
        <v>LAILA MELISA</v>
      </c>
      <c r="E54" s="55">
        <f>IFERROR(__xludf.DUMMYFUNCTION("""COMPUTED_VALUE"""),4.0)</f>
        <v>4</v>
      </c>
      <c r="F54" s="55">
        <f>IFERROR(__xludf.DUMMYFUNCTION("""COMPUTED_VALUE"""),2.0)</f>
        <v>2</v>
      </c>
      <c r="G54" s="56">
        <f>IFERROR(__xludf.DUMMYFUNCTION("""COMPUTED_VALUE"""),1.0)</f>
        <v>1</v>
      </c>
      <c r="H54" s="57">
        <f>IFERROR(__xludf.DUMMYFUNCTION("""COMPUTED_VALUE"""),7.0)</f>
        <v>7</v>
      </c>
      <c r="I54" s="58">
        <f>IFERROR(__xludf.DUMMYFUNCTION("""COMPUTED_VALUE"""),0.0)</f>
        <v>0</v>
      </c>
      <c r="J54" s="59">
        <f>IFERROR(__xludf.DUMMYFUNCTION("""COMPUTED_VALUE"""),7.0)</f>
        <v>7</v>
      </c>
      <c r="K54" s="51"/>
      <c r="L54" s="60">
        <f>IFERROR(__xludf.DUMMYFUNCTION("""COMPUTED_VALUE"""),7.0)</f>
        <v>7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IFERROR(__xludf.DUMMYFUNCTION("""COMPUTED_VALUE"""),"ORTIZ")</f>
        <v>ORTIZ</v>
      </c>
      <c r="C55" s="52" t="str">
        <f>IFERROR(__xludf.DUMMYFUNCTION("""COMPUTED_VALUE"""),"CARRILLO")</f>
        <v>CARRILLO</v>
      </c>
      <c r="D55" s="54" t="str">
        <f>IFERROR(__xludf.DUMMYFUNCTION("""COMPUTED_VALUE"""),"DORIAN ELIAS")</f>
        <v>DORIAN ELIAS</v>
      </c>
      <c r="E55" s="55">
        <f>IFERROR(__xludf.DUMMYFUNCTION("""COMPUTED_VALUE"""),8.0)</f>
        <v>8</v>
      </c>
      <c r="F55" s="55">
        <f>IFERROR(__xludf.DUMMYFUNCTION("""COMPUTED_VALUE"""),2.0)</f>
        <v>2</v>
      </c>
      <c r="G55" s="56"/>
      <c r="H55" s="57">
        <f>IFERROR(__xludf.DUMMYFUNCTION("""COMPUTED_VALUE"""),10.0)</f>
        <v>10</v>
      </c>
      <c r="I55" s="64">
        <f>IFERROR(__xludf.DUMMYFUNCTION("""COMPUTED_VALUE"""),0.0)</f>
        <v>0</v>
      </c>
      <c r="J55" s="59">
        <f>IFERROR(__xludf.DUMMYFUNCTION("""COMPUTED_VALUE"""),10.0)</f>
        <v>10</v>
      </c>
      <c r="K55" s="51"/>
      <c r="L55" s="60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IFERROR(__xludf.DUMMYFUNCTION("""COMPUTED_VALUE"""),"PEREA")</f>
        <v>PEREA</v>
      </c>
      <c r="C56" s="52" t="str">
        <f>IFERROR(__xludf.DUMMYFUNCTION("""COMPUTED_VALUE"""),"SALDAÑA")</f>
        <v>SALDAÑA</v>
      </c>
      <c r="D56" s="54" t="str">
        <f>IFERROR(__xludf.DUMMYFUNCTION("""COMPUTED_VALUE"""),"ASTRA TAMARA")</f>
        <v>ASTRA TAMARA</v>
      </c>
      <c r="E56" s="55">
        <f>IFERROR(__xludf.DUMMYFUNCTION("""COMPUTED_VALUE"""),7.0)</f>
        <v>7</v>
      </c>
      <c r="F56" s="55">
        <f>IFERROR(__xludf.DUMMYFUNCTION("""COMPUTED_VALUE"""),2.0)</f>
        <v>2</v>
      </c>
      <c r="G56" s="56"/>
      <c r="H56" s="57">
        <f>IFERROR(__xludf.DUMMYFUNCTION("""COMPUTED_VALUE"""),9.0)</f>
        <v>9</v>
      </c>
      <c r="I56" s="64">
        <f>IFERROR(__xludf.DUMMYFUNCTION("""COMPUTED_VALUE"""),0.0)</f>
        <v>0</v>
      </c>
      <c r="J56" s="59">
        <f>IFERROR(__xludf.DUMMYFUNCTION("""COMPUTED_VALUE"""),9.0)</f>
        <v>9</v>
      </c>
      <c r="K56" s="51"/>
      <c r="L56" s="60">
        <f>IFERROR(__xludf.DUMMYFUNCTION("""COMPUTED_VALUE"""),9.0)</f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IFERROR(__xludf.DUMMYFUNCTION("""COMPUTED_VALUE"""),"PEREZ")</f>
        <v>PEREZ</v>
      </c>
      <c r="C57" s="62" t="str">
        <f>IFERROR(__xludf.DUMMYFUNCTION("""COMPUTED_VALUE"""),"HERNANDEZ")</f>
        <v>HERNANDEZ</v>
      </c>
      <c r="D57" s="63" t="str">
        <f>IFERROR(__xludf.DUMMYFUNCTION("""COMPUTED_VALUE"""),"EDGAR ALEJANDRO")</f>
        <v>EDGAR ALEJANDRO</v>
      </c>
      <c r="E57" s="55">
        <f>IFERROR(__xludf.DUMMYFUNCTION("""COMPUTED_VALUE"""),7.0)</f>
        <v>7</v>
      </c>
      <c r="F57" s="55">
        <f>IFERROR(__xludf.DUMMYFUNCTION("""COMPUTED_VALUE"""),2.0)</f>
        <v>2</v>
      </c>
      <c r="G57" s="56"/>
      <c r="H57" s="57">
        <f>IFERROR(__xludf.DUMMYFUNCTION("""COMPUTED_VALUE"""),9.0)</f>
        <v>9</v>
      </c>
      <c r="I57" s="64">
        <f>IFERROR(__xludf.DUMMYFUNCTION("""COMPUTED_VALUE"""),2.0)</f>
        <v>2</v>
      </c>
      <c r="J57" s="59">
        <f>IFERROR(__xludf.DUMMYFUNCTION("""COMPUTED_VALUE"""),9.0)</f>
        <v>9</v>
      </c>
      <c r="K57" s="51"/>
      <c r="L57" s="60">
        <f>IFERROR(__xludf.DUMMYFUNCTION("""COMPUTED_VALUE"""),9.0)</f>
        <v>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IFERROR(__xludf.DUMMYFUNCTION("""COMPUTED_VALUE"""),"PLAZA")</f>
        <v>PLAZA</v>
      </c>
      <c r="C58" s="52" t="str">
        <f>IFERROR(__xludf.DUMMYFUNCTION("""COMPUTED_VALUE"""),"LARA")</f>
        <v>LARA</v>
      </c>
      <c r="D58" s="54" t="str">
        <f>IFERROR(__xludf.DUMMYFUNCTION("""COMPUTED_VALUE"""),"IAN ALDAIR")</f>
        <v>IAN ALDAIR</v>
      </c>
      <c r="E58" s="55">
        <f>IFERROR(__xludf.DUMMYFUNCTION("""COMPUTED_VALUE"""),4.0)</f>
        <v>4</v>
      </c>
      <c r="F58" s="55">
        <f>IFERROR(__xludf.DUMMYFUNCTION("""COMPUTED_VALUE"""),2.0)</f>
        <v>2</v>
      </c>
      <c r="G58" s="56"/>
      <c r="H58" s="57">
        <f>IFERROR(__xludf.DUMMYFUNCTION("""COMPUTED_VALUE"""),6.0)</f>
        <v>6</v>
      </c>
      <c r="I58" s="64">
        <f>IFERROR(__xludf.DUMMYFUNCTION("""COMPUTED_VALUE"""),0.0)</f>
        <v>0</v>
      </c>
      <c r="J58" s="59">
        <f>IFERROR(__xludf.DUMMYFUNCTION("""COMPUTED_VALUE"""),6.0)</f>
        <v>6</v>
      </c>
      <c r="K58" s="51"/>
      <c r="L58" s="60">
        <f>IFERROR(__xludf.DUMMYFUNCTION("""COMPUTED_VALUE"""),6.0)</f>
        <v>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IFERROR(__xludf.DUMMYFUNCTION("""COMPUTED_VALUE"""),"RAMIREZ")</f>
        <v>RAMIREZ</v>
      </c>
      <c r="C59" s="62" t="str">
        <f>IFERROR(__xludf.DUMMYFUNCTION("""COMPUTED_VALUE"""),"DIAZ")</f>
        <v>DIAZ</v>
      </c>
      <c r="D59" s="63" t="str">
        <f>IFERROR(__xludf.DUMMYFUNCTION("""COMPUTED_VALUE"""),"OMEGA VALENTINA")</f>
        <v>OMEGA VALENTINA</v>
      </c>
      <c r="E59" s="55">
        <f>IFERROR(__xludf.DUMMYFUNCTION("""COMPUTED_VALUE"""),8.0)</f>
        <v>8</v>
      </c>
      <c r="F59" s="55">
        <f>IFERROR(__xludf.DUMMYFUNCTION("""COMPUTED_VALUE"""),2.0)</f>
        <v>2</v>
      </c>
      <c r="G59" s="56">
        <f>IFERROR(__xludf.DUMMYFUNCTION("""COMPUTED_VALUE"""),1.0)</f>
        <v>1</v>
      </c>
      <c r="H59" s="57">
        <f>IFERROR(__xludf.DUMMYFUNCTION("""COMPUTED_VALUE"""),11.0)</f>
        <v>11</v>
      </c>
      <c r="I59" s="64">
        <f>IFERROR(__xludf.DUMMYFUNCTION("""COMPUTED_VALUE"""),0.0)</f>
        <v>0</v>
      </c>
      <c r="J59" s="59">
        <f>IFERROR(__xludf.DUMMYFUNCTION("""COMPUTED_VALUE"""),10.0)</f>
        <v>10</v>
      </c>
      <c r="K59" s="51"/>
      <c r="L59" s="60">
        <f>IFERROR(__xludf.DUMMYFUNCTION("""COMPUTED_VALUE"""),11.0)</f>
        <v>11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IFERROR(__xludf.DUMMYFUNCTION("""COMPUTED_VALUE"""),"RAMIREZ")</f>
        <v>RAMIREZ</v>
      </c>
      <c r="C60" s="62" t="str">
        <f>IFERROR(__xludf.DUMMYFUNCTION("""COMPUTED_VALUE"""),"TORRES")</f>
        <v>TORRES</v>
      </c>
      <c r="D60" s="63" t="str">
        <f>IFERROR(__xludf.DUMMYFUNCTION("""COMPUTED_VALUE"""),"PERCIVAL GABRIEL")</f>
        <v>PERCIVAL GABRIEL</v>
      </c>
      <c r="E60" s="55">
        <f>IFERROR(__xludf.DUMMYFUNCTION("""COMPUTED_VALUE"""),7.0)</f>
        <v>7</v>
      </c>
      <c r="F60" s="55">
        <f>IFERROR(__xludf.DUMMYFUNCTION("""COMPUTED_VALUE"""),2.0)</f>
        <v>2</v>
      </c>
      <c r="G60" s="56"/>
      <c r="H60" s="57">
        <f>IFERROR(__xludf.DUMMYFUNCTION("""COMPUTED_VALUE"""),9.0)</f>
        <v>9</v>
      </c>
      <c r="I60" s="64">
        <f>IFERROR(__xludf.DUMMYFUNCTION("""COMPUTED_VALUE"""),0.0)</f>
        <v>0</v>
      </c>
      <c r="J60" s="59">
        <f>IFERROR(__xludf.DUMMYFUNCTION("""COMPUTED_VALUE"""),9.0)</f>
        <v>9</v>
      </c>
      <c r="K60" s="51"/>
      <c r="L60" s="60">
        <f>IFERROR(__xludf.DUMMYFUNCTION("""COMPUTED_VALUE"""),9.0)</f>
        <v>9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IFERROR(__xludf.DUMMYFUNCTION("""COMPUTED_VALUE"""),"RANGEL")</f>
        <v>RANGEL</v>
      </c>
      <c r="C61" s="62" t="str">
        <f>IFERROR(__xludf.DUMMYFUNCTION("""COMPUTED_VALUE"""),"JIMENEZ")</f>
        <v>JIMENEZ</v>
      </c>
      <c r="D61" s="63" t="str">
        <f>IFERROR(__xludf.DUMMYFUNCTION("""COMPUTED_VALUE"""),"PAOLA ALEJANDRA")</f>
        <v>PAOLA ALEJANDRA</v>
      </c>
      <c r="E61" s="55">
        <f>IFERROR(__xludf.DUMMYFUNCTION("""COMPUTED_VALUE"""),8.0)</f>
        <v>8</v>
      </c>
      <c r="F61" s="55">
        <f>IFERROR(__xludf.DUMMYFUNCTION("""COMPUTED_VALUE"""),2.0)</f>
        <v>2</v>
      </c>
      <c r="G61" s="56">
        <f>IFERROR(__xludf.DUMMYFUNCTION("""COMPUTED_VALUE"""),1.0)</f>
        <v>1</v>
      </c>
      <c r="H61" s="57">
        <f>IFERROR(__xludf.DUMMYFUNCTION("""COMPUTED_VALUE"""),11.0)</f>
        <v>11</v>
      </c>
      <c r="I61" s="64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IFERROR(__xludf.DUMMYFUNCTION("""COMPUTED_VALUE"""),11.0)</f>
        <v>11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IFERROR(__xludf.DUMMYFUNCTION("""COMPUTED_VALUE"""),"RIVERA")</f>
        <v>RIVERA</v>
      </c>
      <c r="C62" s="62" t="str">
        <f>IFERROR(__xludf.DUMMYFUNCTION("""COMPUTED_VALUE"""),"GARCIA")</f>
        <v>GARCIA</v>
      </c>
      <c r="D62" s="63" t="str">
        <f>IFERROR(__xludf.DUMMYFUNCTION("""COMPUTED_VALUE"""),"ASTRID MICHELLE")</f>
        <v>ASTRID MICHELLE</v>
      </c>
      <c r="E62" s="55">
        <f>IFERROR(__xludf.DUMMYFUNCTION("""COMPUTED_VALUE"""),7.0)</f>
        <v>7</v>
      </c>
      <c r="F62" s="55">
        <f>IFERROR(__xludf.DUMMYFUNCTION("""COMPUTED_VALUE"""),2.0)</f>
        <v>2</v>
      </c>
      <c r="G62" s="56"/>
      <c r="H62" s="57">
        <f>IFERROR(__xludf.DUMMYFUNCTION("""COMPUTED_VALUE"""),9.0)</f>
        <v>9</v>
      </c>
      <c r="I62" s="64">
        <f>IFERROR(__xludf.DUMMYFUNCTION("""COMPUTED_VALUE"""),0.0)</f>
        <v>0</v>
      </c>
      <c r="J62" s="59">
        <f>IFERROR(__xludf.DUMMYFUNCTION("""COMPUTED_VALUE"""),9.0)</f>
        <v>9</v>
      </c>
      <c r="K62" s="51"/>
      <c r="L62" s="60">
        <f>IFERROR(__xludf.DUMMYFUNCTION("""COMPUTED_VALUE"""),9.0)</f>
        <v>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IFERROR(__xludf.DUMMYFUNCTION("""COMPUTED_VALUE"""),"RODRIGUEZ")</f>
        <v>RODRIGUEZ</v>
      </c>
      <c r="C63" s="62" t="str">
        <f>IFERROR(__xludf.DUMMYFUNCTION("""COMPUTED_VALUE"""),"CAMACHO")</f>
        <v>CAMACHO</v>
      </c>
      <c r="D63" s="63" t="str">
        <f>IFERROR(__xludf.DUMMYFUNCTION("""COMPUTED_VALUE"""),"ENRIQUE SALVADOR")</f>
        <v>ENRIQUE SALVADOR</v>
      </c>
      <c r="E63" s="55">
        <f>IFERROR(__xludf.DUMMYFUNCTION("""COMPUTED_VALUE"""),7.0)</f>
        <v>7</v>
      </c>
      <c r="F63" s="55">
        <f>IFERROR(__xludf.DUMMYFUNCTION("""COMPUTED_VALUE"""),2.0)</f>
        <v>2</v>
      </c>
      <c r="G63" s="56"/>
      <c r="H63" s="57">
        <f>IFERROR(__xludf.DUMMYFUNCTION("""COMPUTED_VALUE"""),9.0)</f>
        <v>9</v>
      </c>
      <c r="I63" s="64">
        <f>IFERROR(__xludf.DUMMYFUNCTION("""COMPUTED_VALUE"""),0.0)</f>
        <v>0</v>
      </c>
      <c r="J63" s="59">
        <f>IFERROR(__xludf.DUMMYFUNCTION("""COMPUTED_VALUE"""),9.0)</f>
        <v>9</v>
      </c>
      <c r="K63" s="51"/>
      <c r="L63" s="60">
        <f>IFERROR(__xludf.DUMMYFUNCTION("""COMPUTED_VALUE"""),9.0)</f>
        <v>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IFERROR(__xludf.DUMMYFUNCTION("""COMPUTED_VALUE"""),"RODRIGUEZ")</f>
        <v>RODRIGUEZ</v>
      </c>
      <c r="C64" s="62" t="str">
        <f>IFERROR(__xludf.DUMMYFUNCTION("""COMPUTED_VALUE"""),"ROSAS")</f>
        <v>ROSAS</v>
      </c>
      <c r="D64" s="63" t="str">
        <f>IFERROR(__xludf.DUMMYFUNCTION("""COMPUTED_VALUE"""),"QUETZALI")</f>
        <v>QUETZALI</v>
      </c>
      <c r="E64" s="55">
        <f>IFERROR(__xludf.DUMMYFUNCTION("""COMPUTED_VALUE"""),8.0)</f>
        <v>8</v>
      </c>
      <c r="F64" s="55">
        <f>IFERROR(__xludf.DUMMYFUNCTION("""COMPUTED_VALUE"""),2.0)</f>
        <v>2</v>
      </c>
      <c r="G64" s="56"/>
      <c r="H64" s="57">
        <f>IFERROR(__xludf.DUMMYFUNCTION("""COMPUTED_VALUE"""),10.0)</f>
        <v>10</v>
      </c>
      <c r="I64" s="64">
        <f>IFERROR(__xludf.DUMMYFUNCTION("""COMPUTED_VALUE"""),0.0)</f>
        <v>0</v>
      </c>
      <c r="J64" s="59">
        <f>IFERROR(__xludf.DUMMYFUNCTION("""COMPUTED_VALUE"""),10.0)</f>
        <v>10</v>
      </c>
      <c r="K64" s="51"/>
      <c r="L64" s="60">
        <f>IFERROR(__xludf.DUMMYFUNCTION("""COMPUTED_VALUE"""),10.0)</f>
        <v>10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IFERROR(__xludf.DUMMYFUNCTION("""COMPUTED_VALUE"""),"BERMUDEZ")</f>
        <v>BERMUDEZ</v>
      </c>
      <c r="D65" s="63" t="str">
        <f>IFERROR(__xludf.DUMMYFUNCTION("""COMPUTED_VALUE"""),"JORGE")</f>
        <v>JORGE</v>
      </c>
      <c r="E65" s="55">
        <f>IFERROR(__xludf.DUMMYFUNCTION("""COMPUTED_VALUE"""),5.0)</f>
        <v>5</v>
      </c>
      <c r="F65" s="55">
        <f>IFERROR(__xludf.DUMMYFUNCTION("""COMPUTED_VALUE"""),2.0)</f>
        <v>2</v>
      </c>
      <c r="G65" s="56"/>
      <c r="H65" s="57">
        <f>IFERROR(__xludf.DUMMYFUNCTION("""COMPUTED_VALUE"""),7.0)</f>
        <v>7</v>
      </c>
      <c r="I65" s="64">
        <f>IFERROR(__xludf.DUMMYFUNCTION("""COMPUTED_VALUE"""),2.0)</f>
        <v>2</v>
      </c>
      <c r="J65" s="59">
        <f>IFERROR(__xludf.DUMMYFUNCTION("""COMPUTED_VALUE"""),7.0)</f>
        <v>7</v>
      </c>
      <c r="K65" s="51"/>
      <c r="L65" s="60">
        <f>IFERROR(__xludf.DUMMYFUNCTION("""COMPUTED_VALUE"""),7.0)</f>
        <v>7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IFERROR(__xludf.DUMMYFUNCTION("""COMPUTED_VALUE"""),"SANCHEZ")</f>
        <v>SANCHEZ</v>
      </c>
      <c r="C66" s="62" t="str">
        <f>IFERROR(__xludf.DUMMYFUNCTION("""COMPUTED_VALUE"""),"VELAZQUEZ")</f>
        <v>VELAZQUEZ</v>
      </c>
      <c r="D66" s="63" t="str">
        <f>IFERROR(__xludf.DUMMYFUNCTION("""COMPUTED_VALUE"""),"RENATA VICTORIA")</f>
        <v>RENATA VICTORIA</v>
      </c>
      <c r="E66" s="55">
        <f>IFERROR(__xludf.DUMMYFUNCTION("""COMPUTED_VALUE"""),8.0)</f>
        <v>8</v>
      </c>
      <c r="F66" s="55">
        <f>IFERROR(__xludf.DUMMYFUNCTION("""COMPUTED_VALUE"""),2.0)</f>
        <v>2</v>
      </c>
      <c r="G66" s="56"/>
      <c r="H66" s="57">
        <f>IFERROR(__xludf.DUMMYFUNCTION("""COMPUTED_VALUE"""),10.0)</f>
        <v>10</v>
      </c>
      <c r="I66" s="55">
        <f>IFERROR(__xludf.DUMMYFUNCTION("""COMPUTED_VALUE"""),2.0)</f>
        <v>2</v>
      </c>
      <c r="J66" s="59">
        <f>IFERROR(__xludf.DUMMYFUNCTION("""COMPUTED_VALUE"""),10.0)</f>
        <v>10</v>
      </c>
      <c r="K66" s="51"/>
      <c r="L66" s="60">
        <f>IFERROR(__xludf.DUMMYFUNCTION("""COMPUTED_VALUE"""),10.0)</f>
        <v>10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IFERROR(__xludf.DUMMYFUNCTION("""COMPUTED_VALUE"""),"TREJO")</f>
        <v>TREJO</v>
      </c>
      <c r="C67" s="62" t="str">
        <f>IFERROR(__xludf.DUMMYFUNCTION("""COMPUTED_VALUE"""),"PERAL")</f>
        <v>PERAL</v>
      </c>
      <c r="D67" s="63" t="str">
        <f>IFERROR(__xludf.DUMMYFUNCTION("""COMPUTED_VALUE"""),"AIKO REGINA")</f>
        <v>AIKO REGINA</v>
      </c>
      <c r="E67" s="55">
        <f>IFERROR(__xludf.DUMMYFUNCTION("""COMPUTED_VALUE"""),4.0)</f>
        <v>4</v>
      </c>
      <c r="F67" s="55">
        <f>IFERROR(__xludf.DUMMYFUNCTION("""COMPUTED_VALUE"""),2.0)</f>
        <v>2</v>
      </c>
      <c r="G67" s="56"/>
      <c r="H67" s="57">
        <f>IFERROR(__xludf.DUMMYFUNCTION("""COMPUTED_VALUE"""),6.0)</f>
        <v>6</v>
      </c>
      <c r="I67" s="55">
        <f>IFERROR(__xludf.DUMMYFUNCTION("""COMPUTED_VALUE"""),4.0)</f>
        <v>4</v>
      </c>
      <c r="J67" s="59">
        <f>IFERROR(__xludf.DUMMYFUNCTION("""COMPUTED_VALUE"""),6.0)</f>
        <v>6</v>
      </c>
      <c r="K67" s="51"/>
      <c r="L67" s="60">
        <f>IFERROR(__xludf.DUMMYFUNCTION("""COMPUTED_VALUE"""),6.0)</f>
        <v>6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IFERROR(__xludf.DUMMYFUNCTION("""COMPUTED_VALUE"""),"TREJO")</f>
        <v>TREJO</v>
      </c>
      <c r="C68" s="62" t="str">
        <f>IFERROR(__xludf.DUMMYFUNCTION("""COMPUTED_VALUE"""),"PEREZ")</f>
        <v>PEREZ</v>
      </c>
      <c r="D68" s="63" t="str">
        <f>IFERROR(__xludf.DUMMYFUNCTION("""COMPUTED_VALUE"""),"ANGEL SANTIAGO")</f>
        <v>ANGEL SANTIAGO</v>
      </c>
      <c r="E68" s="55">
        <f>IFERROR(__xludf.DUMMYFUNCTION("""COMPUTED_VALUE"""),7.0)</f>
        <v>7</v>
      </c>
      <c r="F68" s="55">
        <f>IFERROR(__xludf.DUMMYFUNCTION("""COMPUTED_VALUE"""),2.0)</f>
        <v>2</v>
      </c>
      <c r="G68" s="56">
        <f>IFERROR(__xludf.DUMMYFUNCTION("""COMPUTED_VALUE"""),1.0)</f>
        <v>1</v>
      </c>
      <c r="H68" s="57">
        <f>IFERROR(__xludf.DUMMYFUNCTION("""COMPUTED_VALUE"""),10.0)</f>
        <v>10</v>
      </c>
      <c r="I68" s="64">
        <f>IFERROR(__xludf.DUMMYFUNCTION("""COMPUTED_VALUE"""),0.0)</f>
        <v>0</v>
      </c>
      <c r="J68" s="59">
        <f>IFERROR(__xludf.DUMMYFUNCTION("""COMPUTED_VALUE"""),10.0)</f>
        <v>10</v>
      </c>
      <c r="K68" s="51"/>
      <c r="L68" s="60">
        <f>IFERROR(__xludf.DUMMYFUNCTION("""COMPUTED_VALUE"""),10.0)</f>
        <v>10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IFERROR(__xludf.DUMMYFUNCTION("""COMPUTED_VALUE"""),"VAZQUEZ")</f>
        <v>VAZQUEZ</v>
      </c>
      <c r="C69" s="62" t="str">
        <f>IFERROR(__xludf.DUMMYFUNCTION("""COMPUTED_VALUE"""),"FABILA")</f>
        <v>FABILA</v>
      </c>
      <c r="D69" s="66" t="str">
        <f>IFERROR(__xludf.DUMMYFUNCTION("""COMPUTED_VALUE"""),"LUZ MARIANA")</f>
        <v>LUZ MARIANA</v>
      </c>
      <c r="E69" s="55">
        <f>IFERROR(__xludf.DUMMYFUNCTION("""COMPUTED_VALUE"""),6.0)</f>
        <v>6</v>
      </c>
      <c r="F69" s="55">
        <f>IFERROR(__xludf.DUMMYFUNCTION("""COMPUTED_VALUE"""),2.0)</f>
        <v>2</v>
      </c>
      <c r="G69" s="56"/>
      <c r="H69" s="57">
        <f>IFERROR(__xludf.DUMMYFUNCTION("""COMPUTED_VALUE"""),8.0)</f>
        <v>8</v>
      </c>
      <c r="I69" s="64">
        <f>IFERROR(__xludf.DUMMYFUNCTION("""COMPUTED_VALUE"""),0.0)</f>
        <v>0</v>
      </c>
      <c r="J69" s="59">
        <f>IFERROR(__xludf.DUMMYFUNCTION("""COMPUTED_VALUE"""),8.0)</f>
        <v>8</v>
      </c>
      <c r="K69" s="51"/>
      <c r="L69" s="60">
        <f>IFERROR(__xludf.DUMMYFUNCTION("""COMPUTED_VALUE"""),8.0)</f>
        <v>8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IFERROR(__xludf.DUMMYFUNCTION("""COMPUTED_VALUE"""),"VILLEGAS")</f>
        <v>VILLEGAS</v>
      </c>
      <c r="C70" s="62" t="str">
        <f>IFERROR(__xludf.DUMMYFUNCTION("""COMPUTED_VALUE"""),"SANCHEZ")</f>
        <v>SANCHEZ</v>
      </c>
      <c r="D70" s="66" t="str">
        <f>IFERROR(__xludf.DUMMYFUNCTION("""COMPUTED_VALUE"""),"FATIMA ANAHI")</f>
        <v>FATIMA ANAHI</v>
      </c>
      <c r="E70" s="55">
        <f>IFERROR(__xludf.DUMMYFUNCTION("""COMPUTED_VALUE"""),4.0)</f>
        <v>4</v>
      </c>
      <c r="F70" s="55">
        <f>IFERROR(__xludf.DUMMYFUNCTION("""COMPUTED_VALUE"""),2.0)</f>
        <v>2</v>
      </c>
      <c r="G70" s="56"/>
      <c r="H70" s="57">
        <f>IFERROR(__xludf.DUMMYFUNCTION("""COMPUTED_VALUE"""),6.0)</f>
        <v>6</v>
      </c>
      <c r="I70" s="64">
        <f>IFERROR(__xludf.DUMMYFUNCTION("""COMPUTED_VALUE"""),0.0)</f>
        <v>0</v>
      </c>
      <c r="J70" s="59">
        <f>IFERROR(__xludf.DUMMYFUNCTION("""COMPUTED_VALUE"""),6.0)</f>
        <v>6</v>
      </c>
      <c r="K70" s="51"/>
      <c r="L70" s="6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51">
        <f>IFERROR(__xludf.DUMMYFUNCTION("""COMPUTED_VALUE"""),55.0)</f>
        <v>55</v>
      </c>
      <c r="B71" s="65" t="str">
        <f>IFERROR(__xludf.DUMMYFUNCTION("""COMPUTED_VALUE"""),"ZAMORA")</f>
        <v>ZAMORA</v>
      </c>
      <c r="C71" s="62" t="str">
        <f>IFERROR(__xludf.DUMMYFUNCTION("""COMPUTED_VALUE"""),"REYES")</f>
        <v>REYES</v>
      </c>
      <c r="D71" s="67" t="str">
        <f>IFERROR(__xludf.DUMMYFUNCTION("""COMPUTED_VALUE"""),"SANTIAGO")</f>
        <v>SANTIAGO</v>
      </c>
      <c r="E71" s="55">
        <f>IFERROR(__xludf.DUMMYFUNCTION("""COMPUTED_VALUE"""),7.0)</f>
        <v>7</v>
      </c>
      <c r="F71" s="55">
        <f>IFERROR(__xludf.DUMMYFUNCTION("""COMPUTED_VALUE"""),2.0)</f>
        <v>2</v>
      </c>
      <c r="G71" s="56"/>
      <c r="H71" s="57">
        <f>IFERROR(__xludf.DUMMYFUNCTION("""COMPUTED_VALUE"""),9.0)</f>
        <v>9</v>
      </c>
      <c r="I71" s="55">
        <f>IFERROR(__xludf.DUMMYFUNCTION("""COMPUTED_VALUE"""),2.0)</f>
        <v>2</v>
      </c>
      <c r="J71" s="59">
        <f>IFERROR(__xludf.DUMMYFUNCTION("""COMPUTED_VALUE"""),9.0)</f>
        <v>9</v>
      </c>
      <c r="K71" s="51"/>
      <c r="L71" s="6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75" customHeight="1">
      <c r="A72" s="6"/>
      <c r="B72" s="69"/>
      <c r="C72" s="69"/>
      <c r="D72" s="69"/>
      <c r="E72" s="70"/>
      <c r="F72" s="69"/>
      <c r="G72" s="69"/>
      <c r="H72" s="69"/>
      <c r="I72" s="69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72" t="str">
        <f>IFERROR(__xludf.DUMMYFUNCTION("""COMPUTED_VALUE"""),"No. DE ALUMNOS INSCRITOS")</f>
        <v>No. DE ALUMNOS INSCRITOS</v>
      </c>
      <c r="C73" s="73"/>
      <c r="D73" s="74">
        <f>IFERROR(__xludf.DUMMYFUNCTION("""COMPUTED_VALUE"""),55.0)</f>
        <v>55</v>
      </c>
      <c r="E73" s="69"/>
      <c r="F73" s="75" t="str">
        <f>IFERROR(__xludf.DUMMYFUNCTION("""COMPUTED_VALUE"""),"FIRMA DEL PROFESOR")</f>
        <v>FIRMA DEL PROFESOR</v>
      </c>
      <c r="G73" s="75"/>
      <c r="H73" s="75" t="str">
        <f>IFERROR(__xludf.DUMMYFUNCTION("""COMPUTED_VALUE"""),"FIRMA DEL ORIENTADOR")</f>
        <v>FIRMA DEL ORIENTADOR</v>
      </c>
      <c r="J73" s="76" t="str">
        <f>IFERROR(__xludf.DUMMYFUNCTION("""COMPUTED_VALUE"""),"Vo. Bo. SUBDIRECCIÓN ESCOLAR")</f>
        <v>Vo. Bo. SUBDIRECCIÓN ESCOLAR</v>
      </c>
      <c r="K73" s="77" t="str">
        <f>IFERROR(__xludf.DUMMYFUNCTION("""COMPUTED_VALUE"""),"REVISADO POR SECRETARIA ESCOLAR ")</f>
        <v>REVISADO POR SECRETARIA ESCOLAR 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1"/>
      <c r="B74" s="78" t="str">
        <f>IFERROR(__xludf.DUMMYFUNCTION("""COMPUTED_VALUE"""),"BAJAS DURANTE EL SEMESTRE")</f>
        <v>BAJAS DURANTE EL SEMESTRE</v>
      </c>
      <c r="C74" s="79"/>
      <c r="D74" s="114">
        <f>IFERROR(__xludf.DUMMYFUNCTION("""COMPUTED_VALUE"""),0.0)</f>
        <v>0</v>
      </c>
      <c r="E74" s="69"/>
      <c r="G74" s="75"/>
      <c r="K74" s="1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1"/>
      <c r="B75" s="78" t="str">
        <f>IFERROR(__xludf.DUMMYFUNCTION("""COMPUTED_VALUE"""),"EXISTENCIA")</f>
        <v>EXISTENCIA</v>
      </c>
      <c r="C75" s="79"/>
      <c r="D75" s="81">
        <f>IFERROR(__xludf.DUMMYFUNCTION("""COMPUTED_VALUE"""),55.0)</f>
        <v>55</v>
      </c>
      <c r="E75" s="69"/>
      <c r="F75" s="82"/>
      <c r="G75" s="83"/>
      <c r="H75" s="82"/>
      <c r="I75" s="82"/>
      <c r="J75" s="84"/>
      <c r="K75" s="8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1"/>
      <c r="B76" s="78" t="str">
        <f>IFERROR(__xludf.DUMMYFUNCTION("""COMPUTED_VALUE"""),"No. DE ALUMNOS APROBADOS")</f>
        <v>No. DE ALUMNOS APROBADOS</v>
      </c>
      <c r="C76" s="79"/>
      <c r="D76" s="81">
        <f>IFERROR(__xludf.DUMMYFUNCTION("""COMPUTED_VALUE"""),53.0)</f>
        <v>53</v>
      </c>
      <c r="E76" s="69"/>
      <c r="F76" s="82"/>
      <c r="G76" s="83"/>
      <c r="H76" s="82"/>
      <c r="I76" s="82"/>
      <c r="J76" s="84"/>
      <c r="K76" s="85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71"/>
      <c r="B77" s="78" t="str">
        <f>IFERROR(__xludf.DUMMYFUNCTION("""COMPUTED_VALUE"""),"No. DE ALUMNOS REPROBADOS")</f>
        <v>No. DE ALUMNOS REPROBADOS</v>
      </c>
      <c r="C77" s="79"/>
      <c r="D77" s="81">
        <f>IFERROR(__xludf.DUMMYFUNCTION("""COMPUTED_VALUE"""),2.0)</f>
        <v>2</v>
      </c>
      <c r="E77" s="69"/>
      <c r="F77" s="86"/>
      <c r="G77" s="83"/>
      <c r="H77" s="86"/>
      <c r="I77" s="86"/>
      <c r="J77" s="87"/>
      <c r="K77" s="8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71"/>
      <c r="B78" s="78" t="str">
        <f>IFERROR(__xludf.DUMMYFUNCTION("""COMPUTED_VALUE"""),"% DE APROBADOS")</f>
        <v>% DE APROBADOS</v>
      </c>
      <c r="C78" s="79"/>
      <c r="D78" s="89">
        <f>IFERROR(__xludf.DUMMYFUNCTION("""COMPUTED_VALUE"""),96.36363636363636)</f>
        <v>96.36363636</v>
      </c>
      <c r="E78" s="69"/>
      <c r="F78" s="90" t="str">
        <f>IFERROR(__xludf.DUMMYFUNCTION("""COMPUTED_VALUE"""),"PROFR. ")</f>
        <v>PROFR. </v>
      </c>
      <c r="G78" s="91"/>
      <c r="H78" s="92" t="str">
        <f>IFERROR(__xludf.DUMMYFUNCTION("""COMPUTED_VALUE"""),"PROFR. JOSÉ EDGAR SALAZAR ZÚÑIGA")</f>
        <v>PROFR. JOSÉ EDGAR SALAZAR ZÚÑIGA</v>
      </c>
      <c r="J78" s="93" t="str">
        <f>IFERROR(__xludf.DUMMYFUNCTION("""COMPUTED_VALUE"""),"PROFR. OCTAVIO VÁZQUEZ BARRETO")</f>
        <v>PROFR. OCTAVIO VÁZQUEZ BARRETO</v>
      </c>
      <c r="K78" s="94" t="str">
        <f>IFERROR(__xludf.DUMMYFUNCTION("""COMPUTED_VALUE"""),"PROFR. ROBERTO PALOMARES MEJÍA ")</f>
        <v>PROFR. ROBERTO PALOMARES MEJÍA </v>
      </c>
      <c r="L78" s="9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71"/>
      <c r="B79" s="96" t="str">
        <f>IFERROR(__xludf.DUMMYFUNCTION("""COMPUTED_VALUE"""),"PROMEDIO")</f>
        <v>PROMEDIO</v>
      </c>
      <c r="C79" s="97"/>
      <c r="D79" s="98">
        <f>IFERROR(__xludf.DUMMYFUNCTION("""COMPUTED_VALUE"""),8.436363636363636)</f>
        <v>8.436363636</v>
      </c>
      <c r="E79" s="69"/>
      <c r="G79" s="91"/>
      <c r="K79" s="1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6"/>
      <c r="B80" s="1"/>
      <c r="C80" s="1"/>
      <c r="D80" s="1"/>
      <c r="E80" s="1"/>
      <c r="F80" s="1"/>
      <c r="G80" s="1"/>
      <c r="H80" s="1"/>
      <c r="I80" s="1"/>
      <c r="J80" s="1"/>
      <c r="K80" s="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99"/>
      <c r="B81" s="100"/>
      <c r="C81" s="101"/>
      <c r="D81" s="101"/>
      <c r="E81" s="69"/>
      <c r="G81" s="7"/>
      <c r="H81" s="7"/>
      <c r="I81" s="7"/>
      <c r="J81" s="7"/>
      <c r="K81" s="102"/>
      <c r="L81" s="103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4"/>
      <c r="B82" s="69"/>
      <c r="C82" s="69"/>
      <c r="D82" s="69"/>
      <c r="E82" s="7"/>
      <c r="F82" s="1"/>
      <c r="G82" s="1"/>
      <c r="H82" s="1"/>
      <c r="I82" s="1"/>
      <c r="J82" s="1"/>
      <c r="K82" s="8"/>
      <c r="L82" s="10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4"/>
      <c r="B83" s="69"/>
      <c r="C83" s="69"/>
      <c r="D83" s="69"/>
      <c r="E83" s="7"/>
      <c r="F83" s="1"/>
      <c r="G83" s="1"/>
      <c r="H83" s="1"/>
      <c r="I83" s="1"/>
      <c r="J83" s="1"/>
      <c r="K83" s="8"/>
      <c r="L83" s="10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06"/>
      <c r="B84" s="107"/>
      <c r="C84" s="107"/>
      <c r="D84" s="107"/>
      <c r="E84" s="108"/>
      <c r="F84" s="109"/>
      <c r="G84" s="109"/>
      <c r="H84" s="109"/>
      <c r="I84" s="109"/>
      <c r="J84" s="109"/>
      <c r="K84" s="110"/>
      <c r="L84" s="10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12"/>
      <c r="K85" s="112"/>
      <c r="L85" s="11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12"/>
      <c r="K86" s="112"/>
      <c r="L86" s="11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12"/>
      <c r="K87" s="112"/>
      <c r="L87" s="11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12"/>
      <c r="K88" s="112"/>
      <c r="L88" s="11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1"/>
      <c r="C89" s="111"/>
      <c r="D89" s="111"/>
      <c r="E89" s="11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1"/>
      <c r="C90" s="111"/>
      <c r="D90" s="111"/>
      <c r="E90" s="111"/>
      <c r="F90" s="1"/>
      <c r="G90" s="1"/>
      <c r="H90" s="1"/>
      <c r="I90" s="1"/>
      <c r="J90" s="1"/>
      <c r="K90" s="11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1"/>
      <c r="C91" s="111"/>
      <c r="D91" s="111"/>
      <c r="E91" s="11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1"/>
      <c r="C92" s="111"/>
      <c r="D92" s="111"/>
      <c r="E92" s="11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1"/>
      <c r="C93" s="111"/>
      <c r="D93" s="111"/>
      <c r="E93" s="11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1"/>
      <c r="C94" s="111"/>
      <c r="D94" s="111"/>
      <c r="E94" s="11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1"/>
      <c r="C95" s="111"/>
      <c r="D95" s="111"/>
      <c r="E95" s="11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11"/>
      <c r="C96" s="111"/>
      <c r="D96" s="111"/>
      <c r="E96" s="11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1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IFERROR(__xludf.DUMMYFUNCTION("IMPORTRANGE(""https://docs.google.com/spreadsheets/d/19EFvS-7Tps2ZVwfNjTv2mCanthC1FzY_jtxW0BH-NzM/edit?gid=2131594222#gid=2131594222"",""1-2 taller de ciencias 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IFERROR(__xludf.DUMMYFUNCTION("""COMPUTED_VALUE"""),"JUAN MANUEL MORALES HERNÁNDEZ")</f>
        <v>JUAN MANUEL MORALES HERNÁNDEZ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IFERROR(__xludf.DUMMYFUNCTION("""COMPUTED_VALUE"""),"TALLER DE CIENCIAS I")</f>
        <v>TALLER DE CIENCIAS 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IFERROR(__xludf.DUMMYFUNCTION("""COMPUTED_VALUE"""),"AMBROSIO")</f>
        <v>AMBROSIO</v>
      </c>
      <c r="C17" s="53" t="str">
        <f>IFERROR(__xludf.DUMMYFUNCTION("""COMPUTED_VALUE"""),"RAMIREZ")</f>
        <v>RAMIREZ</v>
      </c>
      <c r="D17" s="54" t="str">
        <f>IFERROR(__xludf.DUMMYFUNCTION("""COMPUTED_VALUE"""),"ALEXANDRA")</f>
        <v>ALEXANDRA</v>
      </c>
      <c r="E17" s="55">
        <f>IFERROR(__xludf.DUMMYFUNCTION("""COMPUTED_VALUE"""),7.2)</f>
        <v>7.2</v>
      </c>
      <c r="F17" s="55">
        <f>IFERROR(__xludf.DUMMYFUNCTION("""COMPUTED_VALUE"""),2.0)</f>
        <v>2</v>
      </c>
      <c r="G17" s="56">
        <f>IFERROR(__xludf.DUMMYFUNCTION("""COMPUTED_VALUE"""),0.0)</f>
        <v>0</v>
      </c>
      <c r="H17" s="57">
        <f>IFERROR(__xludf.DUMMYFUNCTION("""COMPUTED_VALUE"""),9.2)</f>
        <v>9.2</v>
      </c>
      <c r="I17" s="58">
        <f>IFERROR(__xludf.DUMMYFUNCTION("""COMPUTED_VALUE"""),0.0)</f>
        <v>0</v>
      </c>
      <c r="J17" s="59">
        <f>IFERROR(__xludf.DUMMYFUNCTION("""COMPUTED_VALUE"""),9.0)</f>
        <v>9</v>
      </c>
      <c r="K17" s="60"/>
      <c r="L17" s="61">
        <f>IFERROR(__xludf.DUMMYFUNCTION("""COMPUTED_VALUE"""),9.0)</f>
        <v>9</v>
      </c>
      <c r="M17" s="1" t="str">
        <f>IFERROR(__xludf.DUMMYFUNCTION("""COMPUTED_VALUE"""),"Febrero")</f>
        <v>Febrero</v>
      </c>
      <c r="N17" s="1">
        <f>IFERROR(__xludf.DUMMYFUNCTION("""COMPUTED_VALUE"""),16.0)</f>
        <v>16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IFERROR(__xludf.DUMMYFUNCTION("""COMPUTED_VALUE"""),"AVILA")</f>
        <v>AVILA</v>
      </c>
      <c r="C18" s="52" t="str">
        <f>IFERROR(__xludf.DUMMYFUNCTION("""COMPUTED_VALUE"""),"MORALES")</f>
        <v>MORALES</v>
      </c>
      <c r="D18" s="54" t="str">
        <f>IFERROR(__xludf.DUMMYFUNCTION("""COMPUTED_VALUE"""),"EDWIN ADAHIR")</f>
        <v>EDWIN ADAHIR</v>
      </c>
      <c r="E18" s="55">
        <f>IFERROR(__xludf.DUMMYFUNCTION("""COMPUTED_VALUE"""),4.8)</f>
        <v>4.8</v>
      </c>
      <c r="F18" s="55">
        <f>IFERROR(__xludf.DUMMYFUNCTION("""COMPUTED_VALUE"""),2.0)</f>
        <v>2</v>
      </c>
      <c r="G18" s="56">
        <f>IFERROR(__xludf.DUMMYFUNCTION("""COMPUTED_VALUE"""),0.0)</f>
        <v>0</v>
      </c>
      <c r="H18" s="57">
        <f>IFERROR(__xludf.DUMMYFUNCTION("""COMPUTED_VALUE"""),6.8)</f>
        <v>6.8</v>
      </c>
      <c r="I18" s="58">
        <f>IFERROR(__xludf.DUMMYFUNCTION("""COMPUTED_VALUE"""),2.0)</f>
        <v>2</v>
      </c>
      <c r="J18" s="59">
        <f>IFERROR(__xludf.DUMMYFUNCTION("""COMPUTED_VALUE"""),7.0)</f>
        <v>7</v>
      </c>
      <c r="K18" s="51"/>
      <c r="L18" s="61">
        <f>IFERROR(__xludf.DUMMYFUNCTION("""COMPUTED_VALUE"""),7.0)</f>
        <v>7</v>
      </c>
      <c r="M18" s="1" t="str">
        <f>IFERROR(__xludf.DUMMYFUNCTION("""COMPUTED_VALUE"""),"Marzo")</f>
        <v>Marzo</v>
      </c>
      <c r="N18" s="1">
        <f>IFERROR(__xludf.DUMMYFUNCTION("""COMPUTED_VALUE"""),16.0)</f>
        <v>16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IFERROR(__xludf.DUMMYFUNCTION("""COMPUTED_VALUE"""),"AVILA")</f>
        <v>AVILA</v>
      </c>
      <c r="C19" s="52" t="str">
        <f>IFERROR(__xludf.DUMMYFUNCTION("""COMPUTED_VALUE"""),"RAMIREZ")</f>
        <v>RAMIREZ</v>
      </c>
      <c r="D19" s="54" t="str">
        <f>IFERROR(__xludf.DUMMYFUNCTION("""COMPUTED_VALUE"""),"SANTIAGO")</f>
        <v>SANTIAGO</v>
      </c>
      <c r="E19" s="56">
        <f>IFERROR(__xludf.DUMMYFUNCTION("""COMPUTED_VALUE"""),4.8)</f>
        <v>4.8</v>
      </c>
      <c r="F19" s="55">
        <f>IFERROR(__xludf.DUMMYFUNCTION("""COMPUTED_VALUE"""),2.0)</f>
        <v>2</v>
      </c>
      <c r="G19" s="56">
        <f>IFERROR(__xludf.DUMMYFUNCTION("""COMPUTED_VALUE"""),0.0)</f>
        <v>0</v>
      </c>
      <c r="H19" s="57">
        <f>IFERROR(__xludf.DUMMYFUNCTION("""COMPUTED_VALUE"""),6.8)</f>
        <v>6.8</v>
      </c>
      <c r="I19" s="58">
        <f>IFERROR(__xludf.DUMMYFUNCTION("""COMPUTED_VALUE"""),2.0)</f>
        <v>2</v>
      </c>
      <c r="J19" s="59">
        <f>IFERROR(__xludf.DUMMYFUNCTION("""COMPUTED_VALUE"""),7.0)</f>
        <v>7</v>
      </c>
      <c r="K19" s="51"/>
      <c r="L19" s="61">
        <f>IFERROR(__xludf.DUMMYFUNCTION("""COMPUTED_VALUE"""),7.0)</f>
        <v>7</v>
      </c>
      <c r="M19" s="1" t="str">
        <f>IFERROR(__xludf.DUMMYFUNCTION("""COMPUTED_VALUE"""),"Abril")</f>
        <v>Abril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IFERROR(__xludf.DUMMYFUNCTION("""COMPUTED_VALUE"""),"BARRAZA")</f>
        <v>BARRAZA</v>
      </c>
      <c r="C20" s="52" t="str">
        <f>IFERROR(__xludf.DUMMYFUNCTION("""COMPUTED_VALUE"""),"MONTELONGO")</f>
        <v>MONTELONGO</v>
      </c>
      <c r="D20" s="54" t="str">
        <f>IFERROR(__xludf.DUMMYFUNCTION("""COMPUTED_VALUE"""),"STEFANY YANELI")</f>
        <v>STEFANY YANELI</v>
      </c>
      <c r="E20" s="55">
        <f>IFERROR(__xludf.DUMMYFUNCTION("""COMPUTED_VALUE"""),7.2)</f>
        <v>7.2</v>
      </c>
      <c r="F20" s="55">
        <f>IFERROR(__xludf.DUMMYFUNCTION("""COMPUTED_VALUE"""),2.0)</f>
        <v>2</v>
      </c>
      <c r="G20" s="56">
        <f>IFERROR(__xludf.DUMMYFUNCTION("""COMPUTED_VALUE"""),1.0)</f>
        <v>1</v>
      </c>
      <c r="H20" s="57">
        <f>IFERROR(__xludf.DUMMYFUNCTION("""COMPUTED_VALUE"""),10.2)</f>
        <v>10.2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IFERROR(__xludf.DUMMYFUNCTION("""COMPUTED_VALUE"""),"Mayo")</f>
        <v>Mayo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IFERROR(__xludf.DUMMYFUNCTION("""COMPUTED_VALUE"""),"BECERRA")</f>
        <v>BECERRA</v>
      </c>
      <c r="C21" s="52" t="str">
        <f>IFERROR(__xludf.DUMMYFUNCTION("""COMPUTED_VALUE"""),"FLORES")</f>
        <v>FLORES</v>
      </c>
      <c r="D21" s="54" t="str">
        <f>IFERROR(__xludf.DUMMYFUNCTION("""COMPUTED_VALUE"""),"HADE JETZABEL")</f>
        <v>HADE JETZABEL</v>
      </c>
      <c r="E21" s="55">
        <f>IFERROR(__xludf.DUMMYFUNCTION("""COMPUTED_VALUE"""),6.4)</f>
        <v>6.4</v>
      </c>
      <c r="F21" s="55">
        <f>IFERROR(__xludf.DUMMYFUNCTION("""COMPUTED_VALUE"""),2.0)</f>
        <v>2</v>
      </c>
      <c r="G21" s="56">
        <f>IFERROR(__xludf.DUMMYFUNCTION("""COMPUTED_VALUE"""),1.0)</f>
        <v>1</v>
      </c>
      <c r="H21" s="57">
        <f>IFERROR(__xludf.DUMMYFUNCTION("""COMPUTED_VALUE"""),9.4)</f>
        <v>9.4</v>
      </c>
      <c r="I21" s="58">
        <f>IFERROR(__xludf.DUMMYFUNCTION("""COMPUTED_VALUE"""),0.0)</f>
        <v>0</v>
      </c>
      <c r="J21" s="59">
        <f>IFERROR(__xludf.DUMMYFUNCTION("""COMPUTED_VALUE"""),9.0)</f>
        <v>9</v>
      </c>
      <c r="K21" s="51"/>
      <c r="L21" s="61">
        <f>IFERROR(__xludf.DUMMYFUNCTION("""COMPUTED_VALUE"""),9.0)</f>
        <v>9</v>
      </c>
      <c r="M21" s="1" t="str">
        <f>IFERROR(__xludf.DUMMYFUNCTION("""COMPUTED_VALUE"""),"Junio")</f>
        <v>Junio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IFERROR(__xludf.DUMMYFUNCTION("""COMPUTED_VALUE"""),"BELLO")</f>
        <v>BELLO</v>
      </c>
      <c r="C22" s="52" t="str">
        <f>IFERROR(__xludf.DUMMYFUNCTION("""COMPUTED_VALUE"""),"CHAVEZ")</f>
        <v>CHAVEZ</v>
      </c>
      <c r="D22" s="54" t="str">
        <f>IFERROR(__xludf.DUMMYFUNCTION("""COMPUTED_VALUE"""),"EMILIO SEBASTIAN")</f>
        <v>EMILIO SEBASTIAN</v>
      </c>
      <c r="E22" s="55">
        <f>IFERROR(__xludf.DUMMYFUNCTION("""COMPUTED_VALUE"""),4.8)</f>
        <v>4.8</v>
      </c>
      <c r="F22" s="55">
        <f>IFERROR(__xludf.DUMMYFUNCTION("""COMPUTED_VALUE"""),0.0)</f>
        <v>0</v>
      </c>
      <c r="G22" s="56">
        <f>IFERROR(__xludf.DUMMYFUNCTION("""COMPUTED_VALUE"""),0.0)</f>
        <v>0</v>
      </c>
      <c r="H22" s="57">
        <f>IFERROR(__xludf.DUMMYFUNCTION("""COMPUTED_VALUE"""),4.8)</f>
        <v>4.8</v>
      </c>
      <c r="I22" s="58">
        <f>IFERROR(__xludf.DUMMYFUNCTION("""COMPUTED_VALUE"""),0.0)</f>
        <v>0</v>
      </c>
      <c r="J22" s="59">
        <f>IFERROR(__xludf.DUMMYFUNCTION("""COMPUTED_VALUE"""),5.0)</f>
        <v>5</v>
      </c>
      <c r="K22" s="51"/>
      <c r="L22" s="61">
        <f>IFERROR(__xludf.DUMMYFUNCTION("""COMPUTED_VALUE"""),4.0)</f>
        <v>4</v>
      </c>
      <c r="M22" s="1" t="str">
        <f>IFERROR(__xludf.DUMMYFUNCTION("""COMPUTED_VALUE"""),"Julio")</f>
        <v>Julio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IFERROR(__xludf.DUMMYFUNCTION("""COMPUTED_VALUE"""),"CASAS")</f>
        <v>CASAS</v>
      </c>
      <c r="C23" s="52" t="str">
        <f>IFERROR(__xludf.DUMMYFUNCTION("""COMPUTED_VALUE"""),"GARCIA")</f>
        <v>GARCIA</v>
      </c>
      <c r="D23" s="54" t="str">
        <f>IFERROR(__xludf.DUMMYFUNCTION("""COMPUTED_VALUE"""),"ZEUS ANTHUAN")</f>
        <v>ZEUS ANTHUAN</v>
      </c>
      <c r="E23" s="55">
        <f>IFERROR(__xludf.DUMMYFUNCTION("""COMPUTED_VALUE"""),5.6)</f>
        <v>5.6</v>
      </c>
      <c r="F23" s="55">
        <f>IFERROR(__xludf.DUMMYFUNCTION("""COMPUTED_VALUE"""),2.0)</f>
        <v>2</v>
      </c>
      <c r="G23" s="56">
        <f>IFERROR(__xludf.DUMMYFUNCTION("""COMPUTED_VALUE"""),0.0)</f>
        <v>0</v>
      </c>
      <c r="H23" s="57">
        <f>IFERROR(__xludf.DUMMYFUNCTION("""COMPUTED_VALUE"""),7.6)</f>
        <v>7.6</v>
      </c>
      <c r="I23" s="58">
        <f>IFERROR(__xludf.DUMMYFUNCTION("""COMPUTED_VALUE"""),0.0)</f>
        <v>0</v>
      </c>
      <c r="J23" s="59">
        <f>IFERROR(__xludf.DUMMYFUNCTION("""COMPUTED_VALUE"""),8.0)</f>
        <v>8</v>
      </c>
      <c r="K23" s="51"/>
      <c r="L23" s="61">
        <f>IFERROR(__xludf.DUMMYFUNCTION("""COMPUTED_VALUE"""),8.0)</f>
        <v>8</v>
      </c>
      <c r="M23" s="1" t="str">
        <f>IFERROR(__xludf.DUMMYFUNCTION("""COMPUTED_VALUE"""),"TOTAL")</f>
        <v>TOTAL</v>
      </c>
      <c r="N23" s="1">
        <f>IFERROR(__xludf.DUMMYFUNCTION("""COMPUTED_VALUE"""),32.0)</f>
        <v>32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IFERROR(__xludf.DUMMYFUNCTION("""COMPUTED_VALUE"""),"CHICO")</f>
        <v>CHICO</v>
      </c>
      <c r="C24" s="52" t="str">
        <f>IFERROR(__xludf.DUMMYFUNCTION("""COMPUTED_VALUE"""),"ORTIZ")</f>
        <v>ORTIZ</v>
      </c>
      <c r="D24" s="54" t="str">
        <f>IFERROR(__xludf.DUMMYFUNCTION("""COMPUTED_VALUE"""),"ALAN")</f>
        <v>ALAN</v>
      </c>
      <c r="E24" s="56">
        <f>IFERROR(__xludf.DUMMYFUNCTION("""COMPUTED_VALUE"""),6.4)</f>
        <v>6.4</v>
      </c>
      <c r="F24" s="55">
        <f>IFERROR(__xludf.DUMMYFUNCTION("""COMPUTED_VALUE"""),2.0)</f>
        <v>2</v>
      </c>
      <c r="G24" s="56">
        <f>IFERROR(__xludf.DUMMYFUNCTION("""COMPUTED_VALUE"""),0.0)</f>
        <v>0</v>
      </c>
      <c r="H24" s="57">
        <f>IFERROR(__xludf.DUMMYFUNCTION("""COMPUTED_VALUE"""),8.4)</f>
        <v>8.4</v>
      </c>
      <c r="I24" s="58">
        <f>IFERROR(__xludf.DUMMYFUNCTION("""COMPUTED_VALUE"""),1.0)</f>
        <v>1</v>
      </c>
      <c r="J24" s="59">
        <f>IFERROR(__xludf.DUMMYFUNCTION("""COMPUTED_VALUE"""),8.0)</f>
        <v>8</v>
      </c>
      <c r="K24" s="51"/>
      <c r="L24" s="61">
        <f>IFERROR(__xludf.DUMMYFUNCTION("""COMPUTED_VALUE"""),8.0)</f>
        <v>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IFERROR(__xludf.DUMMYFUNCTION("""COMPUTED_VALUE"""),"COLIN")</f>
        <v>COLIN</v>
      </c>
      <c r="C25" s="52" t="str">
        <f>IFERROR(__xludf.DUMMYFUNCTION("""COMPUTED_VALUE"""),"GARCIA")</f>
        <v>GARCIA</v>
      </c>
      <c r="D25" s="54" t="str">
        <f>IFERROR(__xludf.DUMMYFUNCTION("""COMPUTED_VALUE"""),"DONOBAN RODRIGO")</f>
        <v>DONOBAN RODRIGO</v>
      </c>
      <c r="E25" s="55">
        <f>IFERROR(__xludf.DUMMYFUNCTION("""COMPUTED_VALUE"""),4.5)</f>
        <v>4.5</v>
      </c>
      <c r="F25" s="55">
        <f>IFERROR(__xludf.DUMMYFUNCTION("""COMPUTED_VALUE"""),1.5)</f>
        <v>1.5</v>
      </c>
      <c r="G25" s="56">
        <f>IFERROR(__xludf.DUMMYFUNCTION("""COMPUTED_VALUE"""),1.0)</f>
        <v>1</v>
      </c>
      <c r="H25" s="57">
        <f>IFERROR(__xludf.DUMMYFUNCTION("""COMPUTED_VALUE"""),7.0)</f>
        <v>7</v>
      </c>
      <c r="I25" s="58">
        <f>IFERROR(__xludf.DUMMYFUNCTION("""COMPUTED_VALUE"""),0.0)</f>
        <v>0</v>
      </c>
      <c r="J25" s="59">
        <f>IFERROR(__xludf.DUMMYFUNCTION("""COMPUTED_VALUE"""),7.0)</f>
        <v>7</v>
      </c>
      <c r="K25" s="51"/>
      <c r="L25" s="61">
        <f>IFERROR(__xludf.DUMMYFUNCTION("""COMPUTED_VALUE"""),7.0)</f>
        <v>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IFERROR(__xludf.DUMMYFUNCTION("""COMPUTED_VALUE"""),"CONTRERAS")</f>
        <v>CONTRERAS</v>
      </c>
      <c r="C26" s="52" t="str">
        <f>IFERROR(__xludf.DUMMYFUNCTION("""COMPUTED_VALUE"""),"QUIJADA")</f>
        <v>QUIJADA</v>
      </c>
      <c r="D26" s="52" t="str">
        <f>IFERROR(__xludf.DUMMYFUNCTION("""COMPUTED_VALUE"""),"LEONARDO")</f>
        <v>LEONARDO</v>
      </c>
      <c r="E26" s="56">
        <f>IFERROR(__xludf.DUMMYFUNCTION("""COMPUTED_VALUE"""),5.6)</f>
        <v>5.6</v>
      </c>
      <c r="F26" s="55">
        <f>IFERROR(__xludf.DUMMYFUNCTION("""COMPUTED_VALUE"""),1.0)</f>
        <v>1</v>
      </c>
      <c r="G26" s="56">
        <f>IFERROR(__xludf.DUMMYFUNCTION("""COMPUTED_VALUE"""),0.0)</f>
        <v>0</v>
      </c>
      <c r="H26" s="57">
        <f>IFERROR(__xludf.DUMMYFUNCTION("""COMPUTED_VALUE"""),6.6)</f>
        <v>6.6</v>
      </c>
      <c r="I26" s="58">
        <f>IFERROR(__xludf.DUMMYFUNCTION("""COMPUTED_VALUE"""),2.0)</f>
        <v>2</v>
      </c>
      <c r="J26" s="59">
        <f>IFERROR(__xludf.DUMMYFUNCTION("""COMPUTED_VALUE"""),7.0)</f>
        <v>7</v>
      </c>
      <c r="K26" s="51"/>
      <c r="L26" s="61">
        <f>IFERROR(__xludf.DUMMYFUNCTION("""COMPUTED_VALUE"""),7.0)</f>
        <v>7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IFERROR(__xludf.DUMMYFUNCTION("""COMPUTED_VALUE"""),"COVARRUBIAS")</f>
        <v>COVARRUBIAS</v>
      </c>
      <c r="C27" s="52" t="str">
        <f>IFERROR(__xludf.DUMMYFUNCTION("""COMPUTED_VALUE"""),"ACOSTA")</f>
        <v>ACOSTA</v>
      </c>
      <c r="D27" s="54" t="str">
        <f>IFERROR(__xludf.DUMMYFUNCTION("""COMPUTED_VALUE"""),"SAMANTHA ANGELINE")</f>
        <v>SAMANTHA ANGELINE</v>
      </c>
      <c r="E27" s="55">
        <f>IFERROR(__xludf.DUMMYFUNCTION("""COMPUTED_VALUE"""),6.4)</f>
        <v>6.4</v>
      </c>
      <c r="F27" s="55">
        <f>IFERROR(__xludf.DUMMYFUNCTION("""COMPUTED_VALUE"""),2.0)</f>
        <v>2</v>
      </c>
      <c r="G27" s="56">
        <f>IFERROR(__xludf.DUMMYFUNCTION("""COMPUTED_VALUE"""),0.0)</f>
        <v>0</v>
      </c>
      <c r="H27" s="57">
        <f>IFERROR(__xludf.DUMMYFUNCTION("""COMPUTED_VALUE"""),8.4)</f>
        <v>8.4</v>
      </c>
      <c r="I27" s="58">
        <f>IFERROR(__xludf.DUMMYFUNCTION("""COMPUTED_VALUE"""),0.0)</f>
        <v>0</v>
      </c>
      <c r="J27" s="59">
        <f>IFERROR(__xludf.DUMMYFUNCTION("""COMPUTED_VALUE"""),8.0)</f>
        <v>8</v>
      </c>
      <c r="K27" s="51"/>
      <c r="L27" s="61">
        <f>IFERROR(__xludf.DUMMYFUNCTION("""COMPUTED_VALUE"""),8.0)</f>
        <v>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IFERROR(__xludf.DUMMYFUNCTION("""COMPUTED_VALUE"""),"GALVEZ")</f>
        <v>GALVEZ</v>
      </c>
      <c r="D28" s="54" t="str">
        <f>IFERROR(__xludf.DUMMYFUNCTION("""COMPUTED_VALUE"""),"PARIS EMILIANO")</f>
        <v>PARIS EMILIANO</v>
      </c>
      <c r="E28" s="55">
        <f>IFERROR(__xludf.DUMMYFUNCTION("""COMPUTED_VALUE"""),7.52)</f>
        <v>7.52</v>
      </c>
      <c r="F28" s="55">
        <f>IFERROR(__xludf.DUMMYFUNCTION("""COMPUTED_VALUE"""),2.0)</f>
        <v>2</v>
      </c>
      <c r="G28" s="56">
        <f>IFERROR(__xludf.DUMMYFUNCTION("""COMPUTED_VALUE"""),0.0)</f>
        <v>0</v>
      </c>
      <c r="H28" s="57">
        <f>IFERROR(__xludf.DUMMYFUNCTION("""COMPUTED_VALUE"""),9.52)</f>
        <v>9.52</v>
      </c>
      <c r="I28" s="58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IFERROR(__xludf.DUMMYFUNCTION("""COMPUTED_VALUE"""),"OROPEZA")</f>
        <v>OROPEZA</v>
      </c>
      <c r="D29" s="54" t="str">
        <f>IFERROR(__xludf.DUMMYFUNCTION("""COMPUTED_VALUE"""),"REBECA JANELLE")</f>
        <v>REBECA JANELLE</v>
      </c>
      <c r="E29" s="55">
        <f>IFERROR(__xludf.DUMMYFUNCTION("""COMPUTED_VALUE"""),7.2)</f>
        <v>7.2</v>
      </c>
      <c r="F29" s="55">
        <f>IFERROR(__xludf.DUMMYFUNCTION("""COMPUTED_VALUE"""),0.0)</f>
        <v>0</v>
      </c>
      <c r="G29" s="56">
        <f>IFERROR(__xludf.DUMMYFUNCTION("""COMPUTED_VALUE"""),0.0)</f>
        <v>0</v>
      </c>
      <c r="H29" s="57">
        <f>IFERROR(__xludf.DUMMYFUNCTION("""COMPUTED_VALUE"""),7.2)</f>
        <v>7.2</v>
      </c>
      <c r="I29" s="58">
        <f>IFERROR(__xludf.DUMMYFUNCTION("""COMPUTED_VALUE"""),0.0)</f>
        <v>0</v>
      </c>
      <c r="J29" s="59">
        <f>IFERROR(__xludf.DUMMYFUNCTION("""COMPUTED_VALUE"""),7.0)</f>
        <v>7</v>
      </c>
      <c r="K29" s="51"/>
      <c r="L29" s="61">
        <f>IFERROR(__xludf.DUMMYFUNCTION("""COMPUTED_VALUE"""),7.0)</f>
        <v>7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IFERROR(__xludf.DUMMYFUNCTION("""COMPUTED_VALUE"""),"ELIZALDE")</f>
        <v>ELIZALDE</v>
      </c>
      <c r="C30" s="52" t="str">
        <f>IFERROR(__xludf.DUMMYFUNCTION("""COMPUTED_VALUE"""),"MOLINA")</f>
        <v>MOLINA</v>
      </c>
      <c r="D30" s="54" t="str">
        <f>IFERROR(__xludf.DUMMYFUNCTION("""COMPUTED_VALUE"""),"BARBARA SOFIA")</f>
        <v>BARBARA SOFIA</v>
      </c>
      <c r="E30" s="56">
        <f>IFERROR(__xludf.DUMMYFUNCTION("""COMPUTED_VALUE"""),7.2)</f>
        <v>7.2</v>
      </c>
      <c r="F30" s="55">
        <f>IFERROR(__xludf.DUMMYFUNCTION("""COMPUTED_VALUE"""),2.0)</f>
        <v>2</v>
      </c>
      <c r="G30" s="56">
        <f>IFERROR(__xludf.DUMMYFUNCTION("""COMPUTED_VALUE"""),1.0)</f>
        <v>1</v>
      </c>
      <c r="H30" s="57">
        <f>IFERROR(__xludf.DUMMYFUNCTION("""COMPUTED_VALUE"""),10.2)</f>
        <v>10.2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IFERROR(__xludf.DUMMYFUNCTION("""COMPUTED_VALUE"""),"ENCINAS")</f>
        <v>ENCINAS</v>
      </c>
      <c r="C31" s="52" t="str">
        <f>IFERROR(__xludf.DUMMYFUNCTION("""COMPUTED_VALUE"""),"RODRIGUEZ")</f>
        <v>RODRIGUEZ</v>
      </c>
      <c r="D31" s="54" t="str">
        <f>IFERROR(__xludf.DUMMYFUNCTION("""COMPUTED_VALUE"""),"CESAR ROBERTO")</f>
        <v>CESAR ROBERTO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>
        <f>IFERROR(__xludf.DUMMYFUNCTION("""COMPUTED_VALUE"""),0.0)</f>
        <v>0</v>
      </c>
      <c r="H31" s="57">
        <f>IFERROR(__xludf.DUMMYFUNCTION("""COMPUTED_VALUE"""),10.0)</f>
        <v>10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IFERROR(__xludf.DUMMYFUNCTION("""COMPUTED_VALUE"""),"VARGAS")</f>
        <v>VARGAS</v>
      </c>
      <c r="D32" s="54" t="str">
        <f>IFERROR(__xludf.DUMMYFUNCTION("""COMPUTED_VALUE"""),"JESUS SANTIAGO")</f>
        <v>JESUS SANTIAGO</v>
      </c>
      <c r="E32" s="55">
        <f>IFERROR(__xludf.DUMMYFUNCTION("""COMPUTED_VALUE"""),5.0)</f>
        <v>5</v>
      </c>
      <c r="F32" s="55">
        <f>IFERROR(__xludf.DUMMYFUNCTION("""COMPUTED_VALUE"""),1.0)</f>
        <v>1</v>
      </c>
      <c r="G32" s="56">
        <f>IFERROR(__xludf.DUMMYFUNCTION("""COMPUTED_VALUE"""),0.0)</f>
        <v>0</v>
      </c>
      <c r="H32" s="57">
        <f>IFERROR(__xludf.DUMMYFUNCTION("""COMPUTED_VALUE"""),6.0)</f>
        <v>6</v>
      </c>
      <c r="I32" s="58">
        <f>IFERROR(__xludf.DUMMYFUNCTION("""COMPUTED_VALUE"""),1.0)</f>
        <v>1</v>
      </c>
      <c r="J32" s="59">
        <f>IFERROR(__xludf.DUMMYFUNCTION("""COMPUTED_VALUE"""),6.0)</f>
        <v>6</v>
      </c>
      <c r="K32" s="51"/>
      <c r="L32" s="61">
        <f>IFERROR(__xludf.DUMMYFUNCTION("""COMPUTED_VALUE"""),6.0)</f>
        <v>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IFERROR(__xludf.DUMMYFUNCTION("""COMPUTED_VALUE"""),"FINKENTHAL")</f>
        <v>FINKENTHAL</v>
      </c>
      <c r="C33" s="52" t="str">
        <f>IFERROR(__xludf.DUMMYFUNCTION("""COMPUTED_VALUE"""),"RAMIREZ")</f>
        <v>RAMIREZ</v>
      </c>
      <c r="D33" s="54" t="str">
        <f>IFERROR(__xludf.DUMMYFUNCTION("""COMPUTED_VALUE"""),"ALENKA")</f>
        <v>ALENKA</v>
      </c>
      <c r="E33" s="55">
        <f>IFERROR(__xludf.DUMMYFUNCTION("""COMPUTED_VALUE"""),8.0)</f>
        <v>8</v>
      </c>
      <c r="F33" s="55">
        <f>IFERROR(__xludf.DUMMYFUNCTION("""COMPUTED_VALUE"""),2.0)</f>
        <v>2</v>
      </c>
      <c r="G33" s="56">
        <f>IFERROR(__xludf.DUMMYFUNCTION("""COMPUTED_VALUE"""),1.0)</f>
        <v>1</v>
      </c>
      <c r="H33" s="57">
        <f>IFERROR(__xludf.DUMMYFUNCTION("""COMPUTED_VALUE"""),11.0)</f>
        <v>11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IFERROR(__xludf.DUMMYFUNCTION("""COMPUTED_VALUE"""),11.0)</f>
        <v>11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IFERROR(__xludf.DUMMYFUNCTION("""COMPUTED_VALUE"""),"FLORES")</f>
        <v>FLORES</v>
      </c>
      <c r="C34" s="52" t="str">
        <f>IFERROR(__xludf.DUMMYFUNCTION("""COMPUTED_VALUE"""),"PEREZ")</f>
        <v>PEREZ</v>
      </c>
      <c r="D34" s="54" t="str">
        <f>IFERROR(__xludf.DUMMYFUNCTION("""COMPUTED_VALUE"""),"ROBERTO")</f>
        <v>ROBERTO</v>
      </c>
      <c r="E34" s="56">
        <f>IFERROR(__xludf.DUMMYFUNCTION("""COMPUTED_VALUE"""),5.0)</f>
        <v>5</v>
      </c>
      <c r="F34" s="55">
        <f>IFERROR(__xludf.DUMMYFUNCTION("""COMPUTED_VALUE"""),1.0)</f>
        <v>1</v>
      </c>
      <c r="G34" s="56">
        <f>IFERROR(__xludf.DUMMYFUNCTION("""COMPUTED_VALUE"""),0.0)</f>
        <v>0</v>
      </c>
      <c r="H34" s="57">
        <f>IFERROR(__xludf.DUMMYFUNCTION("""COMPUTED_VALUE"""),6.0)</f>
        <v>6</v>
      </c>
      <c r="I34" s="58">
        <f>IFERROR(__xludf.DUMMYFUNCTION("""COMPUTED_VALUE"""),0.0)</f>
        <v>0</v>
      </c>
      <c r="J34" s="59">
        <f>IFERROR(__xludf.DUMMYFUNCTION("""COMPUTED_VALUE"""),6.0)</f>
        <v>6</v>
      </c>
      <c r="K34" s="51"/>
      <c r="L34" s="61">
        <f>IFERROR(__xludf.DUMMYFUNCTION("""COMPUTED_VALUE"""),6.0)</f>
        <v>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IFERROR(__xludf.DUMMYFUNCTION("""COMPUTED_VALUE"""),"FLORES")</f>
        <v>FLORES</v>
      </c>
      <c r="C35" s="52" t="str">
        <f>IFERROR(__xludf.DUMMYFUNCTION("""COMPUTED_VALUE"""),"RODRIGUEZ")</f>
        <v>RODRIGUEZ</v>
      </c>
      <c r="D35" s="54" t="str">
        <f>IFERROR(__xludf.DUMMYFUNCTION("""COMPUTED_VALUE"""),"FRANCISCO ISAAC")</f>
        <v>FRANCISCO ISAAC</v>
      </c>
      <c r="E35" s="55">
        <f>IFERROR(__xludf.DUMMYFUNCTION("""COMPUTED_VALUE"""),4.8)</f>
        <v>4.8</v>
      </c>
      <c r="F35" s="55">
        <f>IFERROR(__xludf.DUMMYFUNCTION("""COMPUTED_VALUE"""),0.0)</f>
        <v>0</v>
      </c>
      <c r="G35" s="56">
        <f>IFERROR(__xludf.DUMMYFUNCTION("""COMPUTED_VALUE"""),1.0)</f>
        <v>1</v>
      </c>
      <c r="H35" s="57">
        <f>IFERROR(__xludf.DUMMYFUNCTION("""COMPUTED_VALUE"""),5.8)</f>
        <v>5.8</v>
      </c>
      <c r="I35" s="58">
        <f>IFERROR(__xludf.DUMMYFUNCTION("""COMPUTED_VALUE"""),0.0)</f>
        <v>0</v>
      </c>
      <c r="J35" s="59">
        <f>IFERROR(__xludf.DUMMYFUNCTION("""COMPUTED_VALUE"""),5.0)</f>
        <v>5</v>
      </c>
      <c r="K35" s="51"/>
      <c r="L35" s="61">
        <f>IFERROR(__xludf.DUMMYFUNCTION("""COMPUTED_VALUE"""),5.0)</f>
        <v>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IFERROR(__xludf.DUMMYFUNCTION("""COMPUTED_VALUE"""),"GONZALEZ")</f>
        <v>GONZALEZ</v>
      </c>
      <c r="C36" s="52" t="str">
        <f>IFERROR(__xludf.DUMMYFUNCTION("""COMPUTED_VALUE"""),"GONZALEZ")</f>
        <v>GONZALEZ</v>
      </c>
      <c r="D36" s="54" t="str">
        <f>IFERROR(__xludf.DUMMYFUNCTION("""COMPUTED_VALUE"""),"ANGELA PAULINA")</f>
        <v>ANGELA PAULINA</v>
      </c>
      <c r="E36" s="55">
        <f>IFERROR(__xludf.DUMMYFUNCTION("""COMPUTED_VALUE"""),8.0)</f>
        <v>8</v>
      </c>
      <c r="F36" s="55">
        <f>IFERROR(__xludf.DUMMYFUNCTION("""COMPUTED_VALUE"""),2.0)</f>
        <v>2</v>
      </c>
      <c r="G36" s="56">
        <f>IFERROR(__xludf.DUMMYFUNCTION("""COMPUTED_VALUE"""),1.0)</f>
        <v>1</v>
      </c>
      <c r="H36" s="57">
        <f>IFERROR(__xludf.DUMMYFUNCTION("""COMPUTED_VALUE"""),11.0)</f>
        <v>11</v>
      </c>
      <c r="I36" s="58">
        <f>IFERROR(__xludf.DUMMYFUNCTION("""COMPUTED_VALUE"""),1.0)</f>
        <v>1</v>
      </c>
      <c r="J36" s="59">
        <f>IFERROR(__xludf.DUMMYFUNCTION("""COMPUTED_VALUE"""),10.0)</f>
        <v>10</v>
      </c>
      <c r="K36" s="51"/>
      <c r="L36" s="61">
        <f>IFERROR(__xludf.DUMMYFUNCTION("""COMPUTED_VALUE"""),11.0)</f>
        <v>11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IFERROR(__xludf.DUMMYFUNCTION("""COMPUTED_VALUE"""),"GONZALEZ")</f>
        <v>GONZALEZ</v>
      </c>
      <c r="C37" s="52" t="str">
        <f>IFERROR(__xludf.DUMMYFUNCTION("""COMPUTED_VALUE"""),"TREJO")</f>
        <v>TREJO</v>
      </c>
      <c r="D37" s="54" t="str">
        <f>IFERROR(__xludf.DUMMYFUNCTION("""COMPUTED_VALUE"""),"LESLIE XIMENA")</f>
        <v>LESLIE XIMENA</v>
      </c>
      <c r="E37" s="56">
        <f>IFERROR(__xludf.DUMMYFUNCTION("""COMPUTED_VALUE"""),5.6)</f>
        <v>5.6</v>
      </c>
      <c r="F37" s="55">
        <f>IFERROR(__xludf.DUMMYFUNCTION("""COMPUTED_VALUE"""),2.0)</f>
        <v>2</v>
      </c>
      <c r="G37" s="56">
        <f>IFERROR(__xludf.DUMMYFUNCTION("""COMPUTED_VALUE"""),1.0)</f>
        <v>1</v>
      </c>
      <c r="H37" s="57">
        <f>IFERROR(__xludf.DUMMYFUNCTION("""COMPUTED_VALUE"""),8.6)</f>
        <v>8.6</v>
      </c>
      <c r="I37" s="58">
        <f>IFERROR(__xludf.DUMMYFUNCTION("""COMPUTED_VALUE"""),0.0)</f>
        <v>0</v>
      </c>
      <c r="J37" s="59">
        <f>IFERROR(__xludf.DUMMYFUNCTION("""COMPUTED_VALUE"""),9.0)</f>
        <v>9</v>
      </c>
      <c r="K37" s="51"/>
      <c r="L37" s="61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IFERROR(__xludf.DUMMYFUNCTION("""COMPUTED_VALUE"""),"HERNANDEZ")</f>
        <v>HERNANDEZ</v>
      </c>
      <c r="C38" s="52" t="str">
        <f>IFERROR(__xludf.DUMMYFUNCTION("""COMPUTED_VALUE"""),"GARCIA")</f>
        <v>GARCIA</v>
      </c>
      <c r="D38" s="54" t="str">
        <f>IFERROR(__xludf.DUMMYFUNCTION("""COMPUTED_VALUE"""),"EMILY")</f>
        <v>EMILY</v>
      </c>
      <c r="E38" s="55">
        <f>IFERROR(__xludf.DUMMYFUNCTION("""COMPUTED_VALUE"""),8.0)</f>
        <v>8</v>
      </c>
      <c r="F38" s="55">
        <f>IFERROR(__xludf.DUMMYFUNCTION("""COMPUTED_VALUE"""),2.0)</f>
        <v>2</v>
      </c>
      <c r="G38" s="56">
        <f>IFERROR(__xludf.DUMMYFUNCTION("""COMPUTED_VALUE"""),0.0)</f>
        <v>0</v>
      </c>
      <c r="H38" s="57">
        <f>IFERROR(__xludf.DUMMYFUNCTION("""COMPUTED_VALUE"""),10.0)</f>
        <v>10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IFERROR(__xludf.DUMMYFUNCTION("""COMPUTED_VALUE"""),"HERNANDEZ")</f>
        <v>HERNANDEZ</v>
      </c>
      <c r="C39" s="52" t="str">
        <f>IFERROR(__xludf.DUMMYFUNCTION("""COMPUTED_VALUE"""),"GARCIA")</f>
        <v>GARCIA</v>
      </c>
      <c r="D39" s="54" t="str">
        <f>IFERROR(__xludf.DUMMYFUNCTION("""COMPUTED_VALUE"""),"SAMANTA")</f>
        <v>SAMANTA</v>
      </c>
      <c r="E39" s="55">
        <f>IFERROR(__xludf.DUMMYFUNCTION("""COMPUTED_VALUE"""),4.8)</f>
        <v>4.8</v>
      </c>
      <c r="F39" s="55">
        <f>IFERROR(__xludf.DUMMYFUNCTION("""COMPUTED_VALUE"""),0.0)</f>
        <v>0</v>
      </c>
      <c r="G39" s="56">
        <f>IFERROR(__xludf.DUMMYFUNCTION("""COMPUTED_VALUE"""),0.0)</f>
        <v>0</v>
      </c>
      <c r="H39" s="57">
        <f>IFERROR(__xludf.DUMMYFUNCTION("""COMPUTED_VALUE"""),4.8)</f>
        <v>4.8</v>
      </c>
      <c r="I39" s="58">
        <f>IFERROR(__xludf.DUMMYFUNCTION("""COMPUTED_VALUE"""),4.0)</f>
        <v>4</v>
      </c>
      <c r="J39" s="59">
        <f>IFERROR(__xludf.DUMMYFUNCTION("""COMPUTED_VALUE"""),5.0)</f>
        <v>5</v>
      </c>
      <c r="K39" s="51"/>
      <c r="L39" s="61">
        <f>IFERROR(__xludf.DUMMYFUNCTION("""COMPUTED_VALUE"""),4.0)</f>
        <v>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IFERROR(__xludf.DUMMYFUNCTION("""COMPUTED_VALUE"""),"HERRERA")</f>
        <v>HERRERA</v>
      </c>
      <c r="C40" s="52" t="str">
        <f>IFERROR(__xludf.DUMMYFUNCTION("""COMPUTED_VALUE"""),"JIMENEZ")</f>
        <v>JIMENEZ</v>
      </c>
      <c r="D40" s="54" t="str">
        <f>IFERROR(__xludf.DUMMYFUNCTION("""COMPUTED_VALUE"""),"JOSUE ABISAI")</f>
        <v>JOSUE ABISAI</v>
      </c>
      <c r="E40" s="55">
        <f>IFERROR(__xludf.DUMMYFUNCTION("""COMPUTED_VALUE"""),4.0)</f>
        <v>4</v>
      </c>
      <c r="F40" s="55">
        <f>IFERROR(__xludf.DUMMYFUNCTION("""COMPUTED_VALUE"""),0.0)</f>
        <v>0</v>
      </c>
      <c r="G40" s="56">
        <f>IFERROR(__xludf.DUMMYFUNCTION("""COMPUTED_VALUE"""),0.0)</f>
        <v>0</v>
      </c>
      <c r="H40" s="57">
        <f>IFERROR(__xludf.DUMMYFUNCTION("""COMPUTED_VALUE"""),4.0)</f>
        <v>4</v>
      </c>
      <c r="I40" s="58">
        <f>IFERROR(__xludf.DUMMYFUNCTION("""COMPUTED_VALUE"""),1.0)</f>
        <v>1</v>
      </c>
      <c r="J40" s="59">
        <f>IFERROR(__xludf.DUMMYFUNCTION("""COMPUTED_VALUE"""),5.0)</f>
        <v>5</v>
      </c>
      <c r="K40" s="51"/>
      <c r="L40" s="61">
        <f>IFERROR(__xludf.DUMMYFUNCTION("""COMPUTED_VALUE"""),4.0)</f>
        <v>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IFERROR(__xludf.DUMMYFUNCTION("""COMPUTED_VALUE"""),"HERNANDEZ")</f>
        <v>HERNANDEZ</v>
      </c>
      <c r="C41" s="52" t="str">
        <f>IFERROR(__xludf.DUMMYFUNCTION("""COMPUTED_VALUE"""),"PALLARES")</f>
        <v>PALLARES</v>
      </c>
      <c r="D41" s="54" t="str">
        <f>IFERROR(__xludf.DUMMYFUNCTION("""COMPUTED_VALUE"""),"IVAN")</f>
        <v>IVAN</v>
      </c>
      <c r="E41" s="55">
        <f>IFERROR(__xludf.DUMMYFUNCTION("""COMPUTED_VALUE"""),4.8)</f>
        <v>4.8</v>
      </c>
      <c r="F41" s="55">
        <f>IFERROR(__xludf.DUMMYFUNCTION("""COMPUTED_VALUE"""),0.0)</f>
        <v>0</v>
      </c>
      <c r="G41" s="56">
        <f>IFERROR(__xludf.DUMMYFUNCTION("""COMPUTED_VALUE"""),0.0)</f>
        <v>0</v>
      </c>
      <c r="H41" s="57">
        <f>IFERROR(__xludf.DUMMYFUNCTION("""COMPUTED_VALUE"""),4.8)</f>
        <v>4.8</v>
      </c>
      <c r="I41" s="58">
        <f>IFERROR(__xludf.DUMMYFUNCTION("""COMPUTED_VALUE"""),1.0)</f>
        <v>1</v>
      </c>
      <c r="J41" s="59">
        <f>IFERROR(__xludf.DUMMYFUNCTION("""COMPUTED_VALUE"""),5.0)</f>
        <v>5</v>
      </c>
      <c r="K41" s="51"/>
      <c r="L41" s="61">
        <f>IFERROR(__xludf.DUMMYFUNCTION("""COMPUTED_VALUE"""),4.0)</f>
        <v>4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IFERROR(__xludf.DUMMYFUNCTION("""COMPUTED_VALUE"""),"JIMENEZ")</f>
        <v>JIMENEZ</v>
      </c>
      <c r="C42" s="52" t="str">
        <f>IFERROR(__xludf.DUMMYFUNCTION("""COMPUTED_VALUE"""),"PACHUCA")</f>
        <v>PACHUCA</v>
      </c>
      <c r="D42" s="54" t="str">
        <f>IFERROR(__xludf.DUMMYFUNCTION("""COMPUTED_VALUE"""),"LUIS ANTONIO")</f>
        <v>LUIS ANTONIO</v>
      </c>
      <c r="E42" s="55">
        <f>IFERROR(__xludf.DUMMYFUNCTION("""COMPUTED_VALUE"""),6.4)</f>
        <v>6.4</v>
      </c>
      <c r="F42" s="55">
        <f>IFERROR(__xludf.DUMMYFUNCTION("""COMPUTED_VALUE"""),2.0)</f>
        <v>2</v>
      </c>
      <c r="G42" s="56">
        <f>IFERROR(__xludf.DUMMYFUNCTION("""COMPUTED_VALUE"""),0.0)</f>
        <v>0</v>
      </c>
      <c r="H42" s="57">
        <f>IFERROR(__xludf.DUMMYFUNCTION("""COMPUTED_VALUE"""),8.4)</f>
        <v>8.4</v>
      </c>
      <c r="I42" s="58">
        <f>IFERROR(__xludf.DUMMYFUNCTION("""COMPUTED_VALUE"""),0.0)</f>
        <v>0</v>
      </c>
      <c r="J42" s="59">
        <f>IFERROR(__xludf.DUMMYFUNCTION("""COMPUTED_VALUE"""),8.0)</f>
        <v>8</v>
      </c>
      <c r="K42" s="51"/>
      <c r="L42" s="61">
        <f>IFERROR(__xludf.DUMMYFUNCTION("""COMPUTED_VALUE"""),8.0)</f>
        <v>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IFERROR(__xludf.DUMMYFUNCTION("""COMPUTED_VALUE"""),"LEGORRETA")</f>
        <v>LEGORRETA</v>
      </c>
      <c r="C43" s="52" t="str">
        <f>IFERROR(__xludf.DUMMYFUNCTION("""COMPUTED_VALUE"""),"HERNANDEZ")</f>
        <v>HERNANDEZ</v>
      </c>
      <c r="D43" s="54" t="str">
        <f>IFERROR(__xludf.DUMMYFUNCTION("""COMPUTED_VALUE"""),"LILIANA")</f>
        <v>LILIANA</v>
      </c>
      <c r="E43" s="55">
        <f>IFERROR(__xludf.DUMMYFUNCTION("""COMPUTED_VALUE"""),4.8)</f>
        <v>4.8</v>
      </c>
      <c r="F43" s="55">
        <f>IFERROR(__xludf.DUMMYFUNCTION("""COMPUTED_VALUE"""),0.0)</f>
        <v>0</v>
      </c>
      <c r="G43" s="56">
        <f>IFERROR(__xludf.DUMMYFUNCTION("""COMPUTED_VALUE"""),1.0)</f>
        <v>1</v>
      </c>
      <c r="H43" s="57">
        <f>IFERROR(__xludf.DUMMYFUNCTION("""COMPUTED_VALUE"""),5.8)</f>
        <v>5.8</v>
      </c>
      <c r="I43" s="58">
        <f>IFERROR(__xludf.DUMMYFUNCTION("""COMPUTED_VALUE"""),0.0)</f>
        <v>0</v>
      </c>
      <c r="J43" s="59">
        <f>IFERROR(__xludf.DUMMYFUNCTION("""COMPUTED_VALUE"""),5.0)</f>
        <v>5</v>
      </c>
      <c r="K43" s="51"/>
      <c r="L43" s="61">
        <f>IFERROR(__xludf.DUMMYFUNCTION("""COMPUTED_VALUE"""),5.0)</f>
        <v>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IFERROR(__xludf.DUMMYFUNCTION("""COMPUTED_VALUE"""),"LOPEZ")</f>
        <v>LOPEZ</v>
      </c>
      <c r="C44" s="52" t="str">
        <f>IFERROR(__xludf.DUMMYFUNCTION("""COMPUTED_VALUE"""),"HERNANDEZ")</f>
        <v>HERNANDEZ</v>
      </c>
      <c r="D44" s="54" t="str">
        <f>IFERROR(__xludf.DUMMYFUNCTION("""COMPUTED_VALUE"""),"KARINA")</f>
        <v>KARINA</v>
      </c>
      <c r="E44" s="55">
        <f>IFERROR(__xludf.DUMMYFUNCTION("""COMPUTED_VALUE"""),6.4)</f>
        <v>6.4</v>
      </c>
      <c r="F44" s="55">
        <f>IFERROR(__xludf.DUMMYFUNCTION("""COMPUTED_VALUE"""),2.0)</f>
        <v>2</v>
      </c>
      <c r="G44" s="56">
        <f>IFERROR(__xludf.DUMMYFUNCTION("""COMPUTED_VALUE"""),0.0)</f>
        <v>0</v>
      </c>
      <c r="H44" s="57">
        <f>IFERROR(__xludf.DUMMYFUNCTION("""COMPUTED_VALUE"""),8.4)</f>
        <v>8.4</v>
      </c>
      <c r="I44" s="58">
        <f>IFERROR(__xludf.DUMMYFUNCTION("""COMPUTED_VALUE"""),0.0)</f>
        <v>0</v>
      </c>
      <c r="J44" s="59">
        <f>IFERROR(__xludf.DUMMYFUNCTION("""COMPUTED_VALUE"""),8.0)</f>
        <v>8</v>
      </c>
      <c r="K44" s="51"/>
      <c r="L44" s="61">
        <f>IFERROR(__xludf.DUMMYFUNCTION("""COMPUTED_VALUE"""),8.0)</f>
        <v>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IFERROR(__xludf.DUMMYFUNCTION("""COMPUTED_VALUE"""),"LUGO")</f>
        <v>LUGO</v>
      </c>
      <c r="C45" s="52" t="str">
        <f>IFERROR(__xludf.DUMMYFUNCTION("""COMPUTED_VALUE"""),"SOLARES")</f>
        <v>SOLARES</v>
      </c>
      <c r="D45" s="54" t="str">
        <f>IFERROR(__xludf.DUMMYFUNCTION("""COMPUTED_VALUE"""),"YAIR EMILIANO")</f>
        <v>YAIR EMILIANO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>
        <f>IFERROR(__xludf.DUMMYFUNCTION("""COMPUTED_VALUE"""),0.0)</f>
        <v>0</v>
      </c>
      <c r="H45" s="57">
        <f>IFERROR(__xludf.DUMMYFUNCTION("""COMPUTED_VALUE"""),10.0)</f>
        <v>10</v>
      </c>
      <c r="I45" s="58">
        <f>IFERROR(__xludf.DUMMYFUNCTION("""COMPUTED_VALUE"""),0.0)</f>
        <v>0</v>
      </c>
      <c r="J45" s="59">
        <f>IFERROR(__xludf.DUMMYFUNCTION("""COMPUTED_VALUE"""),10.0)</f>
        <v>10</v>
      </c>
      <c r="K45" s="51"/>
      <c r="L45" s="61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IFERROR(__xludf.DUMMYFUNCTION("""COMPUTED_VALUE"""),"LUNA")</f>
        <v>LUNA</v>
      </c>
      <c r="C46" s="52" t="str">
        <f>IFERROR(__xludf.DUMMYFUNCTION("""COMPUTED_VALUE"""),"FRANCISCO")</f>
        <v>FRANCISCO</v>
      </c>
      <c r="D46" s="54" t="str">
        <f>IFERROR(__xludf.DUMMYFUNCTION("""COMPUTED_VALUE"""),"SAMANTHA ITZEL")</f>
        <v>SAMANTHA ITZEL</v>
      </c>
      <c r="E46" s="55">
        <f>IFERROR(__xludf.DUMMYFUNCTION("""COMPUTED_VALUE"""),0.0)</f>
        <v>0</v>
      </c>
      <c r="F46" s="55">
        <f>IFERROR(__xludf.DUMMYFUNCTION("""COMPUTED_VALUE"""),0.0)</f>
        <v>0</v>
      </c>
      <c r="G46" s="56">
        <f>IFERROR(__xludf.DUMMYFUNCTION("""COMPUTED_VALUE"""),0.0)</f>
        <v>0</v>
      </c>
      <c r="H46" s="57">
        <f>IFERROR(__xludf.DUMMYFUNCTION("""COMPUTED_VALUE"""),0.0)</f>
        <v>0</v>
      </c>
      <c r="I46" s="58">
        <f>IFERROR(__xludf.DUMMYFUNCTION("""COMPUTED_VALUE"""),4.0)</f>
        <v>4</v>
      </c>
      <c r="J46" s="59">
        <f>IFERROR(__xludf.DUMMYFUNCTION("""COMPUTED_VALUE"""),5.0)</f>
        <v>5</v>
      </c>
      <c r="K46" s="51"/>
      <c r="L46" s="61">
        <f>IFERROR(__xludf.DUMMYFUNCTION("""COMPUTED_VALUE"""),0.0)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IFERROR(__xludf.DUMMYFUNCTION("""COMPUTED_VALUE"""),"MARENTES")</f>
        <v>MARENTES</v>
      </c>
      <c r="C47" s="62" t="str">
        <f>IFERROR(__xludf.DUMMYFUNCTION("""COMPUTED_VALUE"""),"ROBLES")</f>
        <v>ROBLES</v>
      </c>
      <c r="D47" s="63" t="str">
        <f>IFERROR(__xludf.DUMMYFUNCTION("""COMPUTED_VALUE"""),"LUZ NATALIA")</f>
        <v>LUZ NATALIA</v>
      </c>
      <c r="E47" s="55">
        <f>IFERROR(__xludf.DUMMYFUNCTION("""COMPUTED_VALUE"""),4.8)</f>
        <v>4.8</v>
      </c>
      <c r="F47" s="55">
        <f>IFERROR(__xludf.DUMMYFUNCTION("""COMPUTED_VALUE"""),2.0)</f>
        <v>2</v>
      </c>
      <c r="G47" s="56">
        <f>IFERROR(__xludf.DUMMYFUNCTION("""COMPUTED_VALUE"""),0.0)</f>
        <v>0</v>
      </c>
      <c r="H47" s="57">
        <f>IFERROR(__xludf.DUMMYFUNCTION("""COMPUTED_VALUE"""),6.8)</f>
        <v>6.8</v>
      </c>
      <c r="I47" s="58">
        <f>IFERROR(__xludf.DUMMYFUNCTION("""COMPUTED_VALUE"""),1.0)</f>
        <v>1</v>
      </c>
      <c r="J47" s="59">
        <f>IFERROR(__xludf.DUMMYFUNCTION("""COMPUTED_VALUE"""),7.0)</f>
        <v>7</v>
      </c>
      <c r="K47" s="51"/>
      <c r="L47" s="61">
        <f>IFERROR(__xludf.DUMMYFUNCTION("""COMPUTED_VALUE"""),7.0)</f>
        <v>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IFERROR(__xludf.DUMMYFUNCTION("""COMPUTED_VALUE"""),"MARTINEZ")</f>
        <v>MARTINEZ</v>
      </c>
      <c r="C48" s="52" t="str">
        <f>IFERROR(__xludf.DUMMYFUNCTION("""COMPUTED_VALUE"""),"IBARRA")</f>
        <v>IBARRA</v>
      </c>
      <c r="D48" s="54" t="str">
        <f>IFERROR(__xludf.DUMMYFUNCTION("""COMPUTED_VALUE"""),"JOHAN ISAI")</f>
        <v>JOHAN ISAI</v>
      </c>
      <c r="E48" s="55">
        <f>IFERROR(__xludf.DUMMYFUNCTION("""COMPUTED_VALUE"""),4.8)</f>
        <v>4.8</v>
      </c>
      <c r="F48" s="55">
        <f>IFERROR(__xludf.DUMMYFUNCTION("""COMPUTED_VALUE"""),2.0)</f>
        <v>2</v>
      </c>
      <c r="G48" s="56">
        <f>IFERROR(__xludf.DUMMYFUNCTION("""COMPUTED_VALUE"""),0.0)</f>
        <v>0</v>
      </c>
      <c r="H48" s="57">
        <f>IFERROR(__xludf.DUMMYFUNCTION("""COMPUTED_VALUE"""),6.8)</f>
        <v>6.8</v>
      </c>
      <c r="I48" s="58">
        <f>IFERROR(__xludf.DUMMYFUNCTION("""COMPUTED_VALUE"""),0.0)</f>
        <v>0</v>
      </c>
      <c r="J48" s="59">
        <f>IFERROR(__xludf.DUMMYFUNCTION("""COMPUTED_VALUE"""),7.0)</f>
        <v>7</v>
      </c>
      <c r="K48" s="51"/>
      <c r="L48" s="61">
        <f>IFERROR(__xludf.DUMMYFUNCTION("""COMPUTED_VALUE"""),7.0)</f>
        <v>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IFERROR(__xludf.DUMMYFUNCTION("""COMPUTED_VALUE"""),"MARTINEZ")</f>
        <v>MARTINEZ</v>
      </c>
      <c r="C49" s="52" t="str">
        <f>IFERROR(__xludf.DUMMYFUNCTION("""COMPUTED_VALUE"""),"MANCILLA")</f>
        <v>MANCILLA</v>
      </c>
      <c r="D49" s="54" t="str">
        <f>IFERROR(__xludf.DUMMYFUNCTION("""COMPUTED_VALUE"""),"ZIT ZURIEL")</f>
        <v>ZIT ZURIEL</v>
      </c>
      <c r="E49" s="55">
        <f>IFERROR(__xludf.DUMMYFUNCTION("""COMPUTED_VALUE"""),4.0)</f>
        <v>4</v>
      </c>
      <c r="F49" s="55">
        <f>IFERROR(__xludf.DUMMYFUNCTION("""COMPUTED_VALUE"""),0.0)</f>
        <v>0</v>
      </c>
      <c r="G49" s="56">
        <f>IFERROR(__xludf.DUMMYFUNCTION("""COMPUTED_VALUE"""),0.0)</f>
        <v>0</v>
      </c>
      <c r="H49" s="57">
        <f>IFERROR(__xludf.DUMMYFUNCTION("""COMPUTED_VALUE"""),4.0)</f>
        <v>4</v>
      </c>
      <c r="I49" s="58">
        <f>IFERROR(__xludf.DUMMYFUNCTION("""COMPUTED_VALUE"""),2.0)</f>
        <v>2</v>
      </c>
      <c r="J49" s="59">
        <f>IFERROR(__xludf.DUMMYFUNCTION("""COMPUTED_VALUE"""),5.0)</f>
        <v>5</v>
      </c>
      <c r="K49" s="51"/>
      <c r="L49" s="61">
        <f>IFERROR(__xludf.DUMMYFUNCTION("""COMPUTED_VALUE"""),4.0)</f>
        <v>4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IFERROR(__xludf.DUMMYFUNCTION("""COMPUTED_VALUE"""),"MORALES")</f>
        <v>MORALES</v>
      </c>
      <c r="C50" s="52" t="str">
        <f>IFERROR(__xludf.DUMMYFUNCTION("""COMPUTED_VALUE"""),"LORANCA")</f>
        <v>LORANCA</v>
      </c>
      <c r="D50" s="54" t="str">
        <f>IFERROR(__xludf.DUMMYFUNCTION("""COMPUTED_VALUE"""),"MATIAS DANIEL")</f>
        <v>MATIAS DANIEL</v>
      </c>
      <c r="E50" s="55">
        <f>IFERROR(__xludf.DUMMYFUNCTION("""COMPUTED_VALUE"""),4.8)</f>
        <v>4.8</v>
      </c>
      <c r="F50" s="55">
        <f>IFERROR(__xludf.DUMMYFUNCTION("""COMPUTED_VALUE"""),0.0)</f>
        <v>0</v>
      </c>
      <c r="G50" s="56">
        <f>IFERROR(__xludf.DUMMYFUNCTION("""COMPUTED_VALUE"""),0.0)</f>
        <v>0</v>
      </c>
      <c r="H50" s="57">
        <f>IFERROR(__xludf.DUMMYFUNCTION("""COMPUTED_VALUE"""),4.8)</f>
        <v>4.8</v>
      </c>
      <c r="I50" s="58">
        <f>IFERROR(__xludf.DUMMYFUNCTION("""COMPUTED_VALUE"""),6.0)</f>
        <v>6</v>
      </c>
      <c r="J50" s="59">
        <f>IFERROR(__xludf.DUMMYFUNCTION("""COMPUTED_VALUE"""),5.0)</f>
        <v>5</v>
      </c>
      <c r="K50" s="51"/>
      <c r="L50" s="61">
        <f>IFERROR(__xludf.DUMMYFUNCTION("""COMPUTED_VALUE"""),4.0)</f>
        <v>4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IFERROR(__xludf.DUMMYFUNCTION("""COMPUTED_VALUE"""),"MORALES")</f>
        <v>MORALES</v>
      </c>
      <c r="C51" s="52" t="str">
        <f>IFERROR(__xludf.DUMMYFUNCTION("""COMPUTED_VALUE"""),"PIÑON")</f>
        <v>PIÑON</v>
      </c>
      <c r="D51" s="54" t="str">
        <f>IFERROR(__xludf.DUMMYFUNCTION("""COMPUTED_VALUE"""),"NATALIA ABRIL")</f>
        <v>NATALIA ABRIL</v>
      </c>
      <c r="E51" s="55">
        <f>IFERROR(__xludf.DUMMYFUNCTION("""COMPUTED_VALUE"""),5.0)</f>
        <v>5</v>
      </c>
      <c r="F51" s="55">
        <f>IFERROR(__xludf.DUMMYFUNCTION("""COMPUTED_VALUE"""),1.0)</f>
        <v>1</v>
      </c>
      <c r="G51" s="56">
        <f>IFERROR(__xludf.DUMMYFUNCTION("""COMPUTED_VALUE"""),0.0)</f>
        <v>0</v>
      </c>
      <c r="H51" s="57">
        <f>IFERROR(__xludf.DUMMYFUNCTION("""COMPUTED_VALUE"""),6.0)</f>
        <v>6</v>
      </c>
      <c r="I51" s="58">
        <f>IFERROR(__xludf.DUMMYFUNCTION("""COMPUTED_VALUE"""),1.0)</f>
        <v>1</v>
      </c>
      <c r="J51" s="59">
        <f>IFERROR(__xludf.DUMMYFUNCTION("""COMPUTED_VALUE"""),6.0)</f>
        <v>6</v>
      </c>
      <c r="K51" s="51"/>
      <c r="L51" s="61">
        <f>IFERROR(__xludf.DUMMYFUNCTION("""COMPUTED_VALUE"""),6.0)</f>
        <v>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IFERROR(__xludf.DUMMYFUNCTION("""COMPUTED_VALUE"""),"NAVARRO")</f>
        <v>NAVARRO</v>
      </c>
      <c r="C52" s="52" t="str">
        <f>IFERROR(__xludf.DUMMYFUNCTION("""COMPUTED_VALUE"""),"ROMO")</f>
        <v>ROMO</v>
      </c>
      <c r="D52" s="54" t="str">
        <f>IFERROR(__xludf.DUMMYFUNCTION("""COMPUTED_VALUE"""),"MARCO ARIEL")</f>
        <v>MARCO ARIEL</v>
      </c>
      <c r="E52" s="55">
        <f>IFERROR(__xludf.DUMMYFUNCTION("""COMPUTED_VALUE"""),4.8)</f>
        <v>4.8</v>
      </c>
      <c r="F52" s="55">
        <f>IFERROR(__xludf.DUMMYFUNCTION("""COMPUTED_VALUE"""),0.0)</f>
        <v>0</v>
      </c>
      <c r="G52" s="56">
        <f>IFERROR(__xludf.DUMMYFUNCTION("""COMPUTED_VALUE"""),0.0)</f>
        <v>0</v>
      </c>
      <c r="H52" s="57">
        <f>IFERROR(__xludf.DUMMYFUNCTION("""COMPUTED_VALUE"""),4.8)</f>
        <v>4.8</v>
      </c>
      <c r="I52" s="58">
        <f>IFERROR(__xludf.DUMMYFUNCTION("""COMPUTED_VALUE"""),0.0)</f>
        <v>0</v>
      </c>
      <c r="J52" s="59">
        <f>IFERROR(__xludf.DUMMYFUNCTION("""COMPUTED_VALUE"""),5.0)</f>
        <v>5</v>
      </c>
      <c r="K52" s="51"/>
      <c r="L52" s="60">
        <f>IFERROR(__xludf.DUMMYFUNCTION("""COMPUTED_VALUE"""),4.0)</f>
        <v>4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IFERROR(__xludf.DUMMYFUNCTION("""COMPUTED_VALUE"""),"OLVERA")</f>
        <v>OLVERA</v>
      </c>
      <c r="C53" s="52" t="str">
        <f>IFERROR(__xludf.DUMMYFUNCTION("""COMPUTED_VALUE"""),"VALLE")</f>
        <v>VALLE</v>
      </c>
      <c r="D53" s="54" t="str">
        <f>IFERROR(__xludf.DUMMYFUNCTION("""COMPUTED_VALUE"""),"LAILA MELISA")</f>
        <v>LAILA MELISA</v>
      </c>
      <c r="E53" s="55">
        <f>IFERROR(__xludf.DUMMYFUNCTION("""COMPUTED_VALUE"""),0.0)</f>
        <v>0</v>
      </c>
      <c r="F53" s="55">
        <f>IFERROR(__xludf.DUMMYFUNCTION("""COMPUTED_VALUE"""),0.0)</f>
        <v>0</v>
      </c>
      <c r="G53" s="56">
        <f>IFERROR(__xludf.DUMMYFUNCTION("""COMPUTED_VALUE"""),1.0)</f>
        <v>1</v>
      </c>
      <c r="H53" s="57">
        <f>IFERROR(__xludf.DUMMYFUNCTION("""COMPUTED_VALUE"""),1.0)</f>
        <v>1</v>
      </c>
      <c r="I53" s="58">
        <f>IFERROR(__xludf.DUMMYFUNCTION("""COMPUTED_VALUE"""),2.0)</f>
        <v>2</v>
      </c>
      <c r="J53" s="59">
        <f>IFERROR(__xludf.DUMMYFUNCTION("""COMPUTED_VALUE"""),5.0)</f>
        <v>5</v>
      </c>
      <c r="K53" s="51"/>
      <c r="L53" s="60">
        <f>IFERROR(__xludf.DUMMYFUNCTION("""COMPUTED_VALUE"""),1.0)</f>
        <v>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IFERROR(__xludf.DUMMYFUNCTION("""COMPUTED_VALUE"""),"ORTIZ")</f>
        <v>ORTIZ</v>
      </c>
      <c r="C54" s="52" t="str">
        <f>IFERROR(__xludf.DUMMYFUNCTION("""COMPUTED_VALUE"""),"CARRILLO")</f>
        <v>CARRILLO</v>
      </c>
      <c r="D54" s="54" t="str">
        <f>IFERROR(__xludf.DUMMYFUNCTION("""COMPUTED_VALUE"""),"DORIAN ELIAS")</f>
        <v>DORIAN ELIAS</v>
      </c>
      <c r="E54" s="55">
        <f>IFERROR(__xludf.DUMMYFUNCTION("""COMPUTED_VALUE"""),8.0)</f>
        <v>8</v>
      </c>
      <c r="F54" s="55">
        <f>IFERROR(__xludf.DUMMYFUNCTION("""COMPUTED_VALUE"""),2.0)</f>
        <v>2</v>
      </c>
      <c r="G54" s="56">
        <f>IFERROR(__xludf.DUMMYFUNCTION("""COMPUTED_VALUE"""),0.0)</f>
        <v>0</v>
      </c>
      <c r="H54" s="57">
        <f>IFERROR(__xludf.DUMMYFUNCTION("""COMPUTED_VALUE"""),10.0)</f>
        <v>10</v>
      </c>
      <c r="I54" s="58">
        <f>IFERROR(__xludf.DUMMYFUNCTION("""COMPUTED_VALUE"""),0.0)</f>
        <v>0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IFERROR(__xludf.DUMMYFUNCTION("""COMPUTED_VALUE"""),"PEREA")</f>
        <v>PEREA</v>
      </c>
      <c r="C55" s="52" t="str">
        <f>IFERROR(__xludf.DUMMYFUNCTION("""COMPUTED_VALUE"""),"SALDAÑA")</f>
        <v>SALDAÑA</v>
      </c>
      <c r="D55" s="54" t="str">
        <f>IFERROR(__xludf.DUMMYFUNCTION("""COMPUTED_VALUE"""),"ASTRA TAMARA")</f>
        <v>ASTRA TAMARA</v>
      </c>
      <c r="E55" s="55">
        <f>IFERROR(__xludf.DUMMYFUNCTION("""COMPUTED_VALUE"""),5.6)</f>
        <v>5.6</v>
      </c>
      <c r="F55" s="55">
        <f>IFERROR(__xludf.DUMMYFUNCTION("""COMPUTED_VALUE"""),2.0)</f>
        <v>2</v>
      </c>
      <c r="G55" s="56">
        <f>IFERROR(__xludf.DUMMYFUNCTION("""COMPUTED_VALUE"""),0.0)</f>
        <v>0</v>
      </c>
      <c r="H55" s="57">
        <f>IFERROR(__xludf.DUMMYFUNCTION("""COMPUTED_VALUE"""),7.6)</f>
        <v>7.6</v>
      </c>
      <c r="I55" s="64">
        <f>IFERROR(__xludf.DUMMYFUNCTION("""COMPUTED_VALUE"""),0.0)</f>
        <v>0</v>
      </c>
      <c r="J55" s="59">
        <f>IFERROR(__xludf.DUMMYFUNCTION("""COMPUTED_VALUE"""),8.0)</f>
        <v>8</v>
      </c>
      <c r="K55" s="51"/>
      <c r="L55" s="60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IFERROR(__xludf.DUMMYFUNCTION("""COMPUTED_VALUE"""),"PEREZ")</f>
        <v>PEREZ</v>
      </c>
      <c r="C56" s="52" t="str">
        <f>IFERROR(__xludf.DUMMYFUNCTION("""COMPUTED_VALUE"""),"HERNANDEZ")</f>
        <v>HERNANDEZ</v>
      </c>
      <c r="D56" s="54" t="str">
        <f>IFERROR(__xludf.DUMMYFUNCTION("""COMPUTED_VALUE"""),"EDGAR ALEJANDRO")</f>
        <v>EDGAR ALEJANDRO</v>
      </c>
      <c r="E56" s="55">
        <f>IFERROR(__xludf.DUMMYFUNCTION("""COMPUTED_VALUE"""),7.2)</f>
        <v>7.2</v>
      </c>
      <c r="F56" s="55">
        <f>IFERROR(__xludf.DUMMYFUNCTION("""COMPUTED_VALUE"""),2.0)</f>
        <v>2</v>
      </c>
      <c r="G56" s="56">
        <f>IFERROR(__xludf.DUMMYFUNCTION("""COMPUTED_VALUE"""),0.0)</f>
        <v>0</v>
      </c>
      <c r="H56" s="57">
        <f>IFERROR(__xludf.DUMMYFUNCTION("""COMPUTED_VALUE"""),9.2)</f>
        <v>9.2</v>
      </c>
      <c r="I56" s="64">
        <f>IFERROR(__xludf.DUMMYFUNCTION("""COMPUTED_VALUE"""),0.0)</f>
        <v>0</v>
      </c>
      <c r="J56" s="59">
        <f>IFERROR(__xludf.DUMMYFUNCTION("""COMPUTED_VALUE"""),9.0)</f>
        <v>9</v>
      </c>
      <c r="K56" s="51"/>
      <c r="L56" s="60">
        <f>IFERROR(__xludf.DUMMYFUNCTION("""COMPUTED_VALUE"""),9.0)</f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IFERROR(__xludf.DUMMYFUNCTION("""COMPUTED_VALUE"""),"PLAZA")</f>
        <v>PLAZA</v>
      </c>
      <c r="C57" s="62" t="str">
        <f>IFERROR(__xludf.DUMMYFUNCTION("""COMPUTED_VALUE"""),"LARA")</f>
        <v>LARA</v>
      </c>
      <c r="D57" s="63" t="str">
        <f>IFERROR(__xludf.DUMMYFUNCTION("""COMPUTED_VALUE"""),"IAN ALDAIR")</f>
        <v>IAN ALDAIR</v>
      </c>
      <c r="E57" s="55">
        <f>IFERROR(__xludf.DUMMYFUNCTION("""COMPUTED_VALUE"""),5.6)</f>
        <v>5.6</v>
      </c>
      <c r="F57" s="55">
        <f>IFERROR(__xludf.DUMMYFUNCTION("""COMPUTED_VALUE"""),2.0)</f>
        <v>2</v>
      </c>
      <c r="G57" s="56">
        <f>IFERROR(__xludf.DUMMYFUNCTION("""COMPUTED_VALUE"""),0.0)</f>
        <v>0</v>
      </c>
      <c r="H57" s="57">
        <f>IFERROR(__xludf.DUMMYFUNCTION("""COMPUTED_VALUE"""),7.6)</f>
        <v>7.6</v>
      </c>
      <c r="I57" s="64">
        <f>IFERROR(__xludf.DUMMYFUNCTION("""COMPUTED_VALUE"""),0.0)</f>
        <v>0</v>
      </c>
      <c r="J57" s="59">
        <f>IFERROR(__xludf.DUMMYFUNCTION("""COMPUTED_VALUE"""),8.0)</f>
        <v>8</v>
      </c>
      <c r="K57" s="51"/>
      <c r="L57" s="60">
        <f>IFERROR(__xludf.DUMMYFUNCTION("""COMPUTED_VALUE"""),8.0)</f>
        <v>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IFERROR(__xludf.DUMMYFUNCTION("""COMPUTED_VALUE"""),"RAMIREZ")</f>
        <v>RAMIREZ</v>
      </c>
      <c r="C58" s="52" t="str">
        <f>IFERROR(__xludf.DUMMYFUNCTION("""COMPUTED_VALUE"""),"DIAZ")</f>
        <v>DIAZ</v>
      </c>
      <c r="D58" s="54" t="str">
        <f>IFERROR(__xludf.DUMMYFUNCTION("""COMPUTED_VALUE"""),"OMEGA VALENTINA")</f>
        <v>OMEGA VALENTINA</v>
      </c>
      <c r="E58" s="55">
        <f>IFERROR(__xludf.DUMMYFUNCTION("""COMPUTED_VALUE"""),8.0)</f>
        <v>8</v>
      </c>
      <c r="F58" s="55">
        <f>IFERROR(__xludf.DUMMYFUNCTION("""COMPUTED_VALUE"""),2.0)</f>
        <v>2</v>
      </c>
      <c r="G58" s="56">
        <f>IFERROR(__xludf.DUMMYFUNCTION("""COMPUTED_VALUE"""),1.0)</f>
        <v>1</v>
      </c>
      <c r="H58" s="57">
        <f>IFERROR(__xludf.DUMMYFUNCTION("""COMPUTED_VALUE"""),11.0)</f>
        <v>11</v>
      </c>
      <c r="I58" s="64">
        <f>IFERROR(__xludf.DUMMYFUNCTION("""COMPUTED_VALUE"""),0.0)</f>
        <v>0</v>
      </c>
      <c r="J58" s="59">
        <f>IFERROR(__xludf.DUMMYFUNCTION("""COMPUTED_VALUE"""),10.0)</f>
        <v>10</v>
      </c>
      <c r="K58" s="51"/>
      <c r="L58" s="60">
        <f>IFERROR(__xludf.DUMMYFUNCTION("""COMPUTED_VALUE"""),11.0)</f>
        <v>11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IFERROR(__xludf.DUMMYFUNCTION("""COMPUTED_VALUE"""),"RAMIREZ")</f>
        <v>RAMIREZ</v>
      </c>
      <c r="C59" s="62" t="str">
        <f>IFERROR(__xludf.DUMMYFUNCTION("""COMPUTED_VALUE"""),"TORRES")</f>
        <v>TORRES</v>
      </c>
      <c r="D59" s="63" t="str">
        <f>IFERROR(__xludf.DUMMYFUNCTION("""COMPUTED_VALUE"""),"PERCIVAL GABRIEL")</f>
        <v>PERCIVAL GABRIEL</v>
      </c>
      <c r="E59" s="55">
        <f>IFERROR(__xludf.DUMMYFUNCTION("""COMPUTED_VALUE"""),4.8)</f>
        <v>4.8</v>
      </c>
      <c r="F59" s="55">
        <f>IFERROR(__xludf.DUMMYFUNCTION("""COMPUTED_VALUE"""),1.8)</f>
        <v>1.8</v>
      </c>
      <c r="G59" s="56">
        <f>IFERROR(__xludf.DUMMYFUNCTION("""COMPUTED_VALUE"""),0.0)</f>
        <v>0</v>
      </c>
      <c r="H59" s="57">
        <f>IFERROR(__xludf.DUMMYFUNCTION("""COMPUTED_VALUE"""),6.6)</f>
        <v>6.6</v>
      </c>
      <c r="I59" s="64">
        <f>IFERROR(__xludf.DUMMYFUNCTION("""COMPUTED_VALUE"""),0.0)</f>
        <v>0</v>
      </c>
      <c r="J59" s="59">
        <f>IFERROR(__xludf.DUMMYFUNCTION("""COMPUTED_VALUE"""),7.0)</f>
        <v>7</v>
      </c>
      <c r="K59" s="51"/>
      <c r="L59" s="60">
        <f>IFERROR(__xludf.DUMMYFUNCTION("""COMPUTED_VALUE"""),7.0)</f>
        <v>7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IFERROR(__xludf.DUMMYFUNCTION("""COMPUTED_VALUE"""),"RANGEL")</f>
        <v>RANGEL</v>
      </c>
      <c r="C60" s="62" t="str">
        <f>IFERROR(__xludf.DUMMYFUNCTION("""COMPUTED_VALUE"""),"JIMENEZ")</f>
        <v>JIMENEZ</v>
      </c>
      <c r="D60" s="63" t="str">
        <f>IFERROR(__xludf.DUMMYFUNCTION("""COMPUTED_VALUE"""),"PAOLA ALEJANDRA")</f>
        <v>PAOLA ALEJANDRA</v>
      </c>
      <c r="E60" s="55">
        <f>IFERROR(__xludf.DUMMYFUNCTION("""COMPUTED_VALUE"""),8.0)</f>
        <v>8</v>
      </c>
      <c r="F60" s="55">
        <f>IFERROR(__xludf.DUMMYFUNCTION("""COMPUTED_VALUE"""),2.0)</f>
        <v>2</v>
      </c>
      <c r="G60" s="56">
        <f>IFERROR(__xludf.DUMMYFUNCTION("""COMPUTED_VALUE"""),1.0)</f>
        <v>1</v>
      </c>
      <c r="H60" s="57">
        <f>IFERROR(__xludf.DUMMYFUNCTION("""COMPUTED_VALUE"""),11.0)</f>
        <v>11</v>
      </c>
      <c r="I60" s="64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IFERROR(__xludf.DUMMYFUNCTION("""COMPUTED_VALUE"""),11.0)</f>
        <v>11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IFERROR(__xludf.DUMMYFUNCTION("""COMPUTED_VALUE"""),"RIVERA")</f>
        <v>RIVERA</v>
      </c>
      <c r="C61" s="62" t="str">
        <f>IFERROR(__xludf.DUMMYFUNCTION("""COMPUTED_VALUE"""),"GARCIA")</f>
        <v>GARCIA</v>
      </c>
      <c r="D61" s="63" t="str">
        <f>IFERROR(__xludf.DUMMYFUNCTION("""COMPUTED_VALUE"""),"ASTRID MICHELLE")</f>
        <v>ASTRID MICHELLE</v>
      </c>
      <c r="E61" s="55">
        <f>IFERROR(__xludf.DUMMYFUNCTION("""COMPUTED_VALUE"""),4.0)</f>
        <v>4</v>
      </c>
      <c r="F61" s="55">
        <f>IFERROR(__xludf.DUMMYFUNCTION("""COMPUTED_VALUE"""),2.0)</f>
        <v>2</v>
      </c>
      <c r="G61" s="56">
        <f>IFERROR(__xludf.DUMMYFUNCTION("""COMPUTED_VALUE"""),0.0)</f>
        <v>0</v>
      </c>
      <c r="H61" s="57">
        <f>IFERROR(__xludf.DUMMYFUNCTION("""COMPUTED_VALUE"""),6.0)</f>
        <v>6</v>
      </c>
      <c r="I61" s="64">
        <f>IFERROR(__xludf.DUMMYFUNCTION("""COMPUTED_VALUE"""),2.0)</f>
        <v>2</v>
      </c>
      <c r="J61" s="59">
        <f>IFERROR(__xludf.DUMMYFUNCTION("""COMPUTED_VALUE"""),6.0)</f>
        <v>6</v>
      </c>
      <c r="K61" s="51"/>
      <c r="L61" s="60">
        <f>IFERROR(__xludf.DUMMYFUNCTION("""COMPUTED_VALUE"""),6.0)</f>
        <v>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IFERROR(__xludf.DUMMYFUNCTION("""COMPUTED_VALUE"""),"RODRIGUEZ")</f>
        <v>RODRIGUEZ</v>
      </c>
      <c r="C62" s="62" t="str">
        <f>IFERROR(__xludf.DUMMYFUNCTION("""COMPUTED_VALUE"""),"CAMACHO")</f>
        <v>CAMACHO</v>
      </c>
      <c r="D62" s="63" t="str">
        <f>IFERROR(__xludf.DUMMYFUNCTION("""COMPUTED_VALUE"""),"ENRIQUE SALVADOR")</f>
        <v>ENRIQUE SALVADOR</v>
      </c>
      <c r="E62" s="55">
        <f>IFERROR(__xludf.DUMMYFUNCTION("""COMPUTED_VALUE"""),6.0)</f>
        <v>6</v>
      </c>
      <c r="F62" s="55">
        <f>IFERROR(__xludf.DUMMYFUNCTION("""COMPUTED_VALUE"""),0.0)</f>
        <v>0</v>
      </c>
      <c r="G62" s="56">
        <f>IFERROR(__xludf.DUMMYFUNCTION("""COMPUTED_VALUE"""),0.0)</f>
        <v>0</v>
      </c>
      <c r="H62" s="57">
        <f>IFERROR(__xludf.DUMMYFUNCTION("""COMPUTED_VALUE"""),6.0)</f>
        <v>6</v>
      </c>
      <c r="I62" s="64">
        <f>IFERROR(__xludf.DUMMYFUNCTION("""COMPUTED_VALUE"""),0.0)</f>
        <v>0</v>
      </c>
      <c r="J62" s="59">
        <f>IFERROR(__xludf.DUMMYFUNCTION("""COMPUTED_VALUE"""),6.0)</f>
        <v>6</v>
      </c>
      <c r="K62" s="51"/>
      <c r="L62" s="60">
        <f>IFERROR(__xludf.DUMMYFUNCTION("""COMPUTED_VALUE"""),6.0)</f>
        <v>6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IFERROR(__xludf.DUMMYFUNCTION("""COMPUTED_VALUE"""),"RODRIGUEZ")</f>
        <v>RODRIGUEZ</v>
      </c>
      <c r="C63" s="62" t="str">
        <f>IFERROR(__xludf.DUMMYFUNCTION("""COMPUTED_VALUE"""),"ROSAS")</f>
        <v>ROSAS</v>
      </c>
      <c r="D63" s="63" t="str">
        <f>IFERROR(__xludf.DUMMYFUNCTION("""COMPUTED_VALUE"""),"QUETZALI")</f>
        <v>QUETZALI</v>
      </c>
      <c r="E63" s="55">
        <f>IFERROR(__xludf.DUMMYFUNCTION("""COMPUTED_VALUE"""),6.4)</f>
        <v>6.4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IFERROR(__xludf.DUMMYFUNCTION("""COMPUTED_VALUE"""),9.4)</f>
        <v>9.4</v>
      </c>
      <c r="I63" s="64">
        <f>IFERROR(__xludf.DUMMYFUNCTION("""COMPUTED_VALUE"""),0.0)</f>
        <v>0</v>
      </c>
      <c r="J63" s="59">
        <f>IFERROR(__xludf.DUMMYFUNCTION("""COMPUTED_VALUE"""),9.0)</f>
        <v>9</v>
      </c>
      <c r="K63" s="51"/>
      <c r="L63" s="60">
        <f>IFERROR(__xludf.DUMMYFUNCTION("""COMPUTED_VALUE"""),9.0)</f>
        <v>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IFERROR(__xludf.DUMMYFUNCTION("""COMPUTED_VALUE"""),"SANCHEZ")</f>
        <v>SANCHEZ</v>
      </c>
      <c r="C64" s="62" t="str">
        <f>IFERROR(__xludf.DUMMYFUNCTION("""COMPUTED_VALUE"""),"BERMUDEZ")</f>
        <v>BERMUDEZ</v>
      </c>
      <c r="D64" s="63" t="str">
        <f>IFERROR(__xludf.DUMMYFUNCTION("""COMPUTED_VALUE"""),"JORGE")</f>
        <v>JORGE</v>
      </c>
      <c r="E64" s="55">
        <f>IFERROR(__xludf.DUMMYFUNCTION("""COMPUTED_VALUE"""),4.0)</f>
        <v>4</v>
      </c>
      <c r="F64" s="55">
        <f>IFERROR(__xludf.DUMMYFUNCTION("""COMPUTED_VALUE"""),2.0)</f>
        <v>2</v>
      </c>
      <c r="G64" s="56">
        <f>IFERROR(__xludf.DUMMYFUNCTION("""COMPUTED_VALUE"""),0.0)</f>
        <v>0</v>
      </c>
      <c r="H64" s="57">
        <f>IFERROR(__xludf.DUMMYFUNCTION("""COMPUTED_VALUE"""),6.0)</f>
        <v>6</v>
      </c>
      <c r="I64" s="64">
        <f>IFERROR(__xludf.DUMMYFUNCTION("""COMPUTED_VALUE"""),1.0)</f>
        <v>1</v>
      </c>
      <c r="J64" s="59">
        <f>IFERROR(__xludf.DUMMYFUNCTION("""COMPUTED_VALUE"""),6.0)</f>
        <v>6</v>
      </c>
      <c r="K64" s="51"/>
      <c r="L64" s="60">
        <f>IFERROR(__xludf.DUMMYFUNCTION("""COMPUTED_VALUE"""),6.0)</f>
        <v>6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IFERROR(__xludf.DUMMYFUNCTION("""COMPUTED_VALUE"""),"VELAZQUEZ")</f>
        <v>VELAZQUEZ</v>
      </c>
      <c r="D65" s="66" t="str">
        <f>IFERROR(__xludf.DUMMYFUNCTION("""COMPUTED_VALUE"""),"RENATA VICTORIA")</f>
        <v>RENATA VICTORIA</v>
      </c>
      <c r="E65" s="55">
        <f>IFERROR(__xludf.DUMMYFUNCTION("""COMPUTED_VALUE"""),5.6)</f>
        <v>5.6</v>
      </c>
      <c r="F65" s="55">
        <f>IFERROR(__xludf.DUMMYFUNCTION("""COMPUTED_VALUE"""),2.0)</f>
        <v>2</v>
      </c>
      <c r="G65" s="56">
        <f>IFERROR(__xludf.DUMMYFUNCTION("""COMPUTED_VALUE"""),0.0)</f>
        <v>0</v>
      </c>
      <c r="H65" s="57">
        <f>IFERROR(__xludf.DUMMYFUNCTION("""COMPUTED_VALUE"""),7.6)</f>
        <v>7.6</v>
      </c>
      <c r="I65" s="64">
        <f>IFERROR(__xludf.DUMMYFUNCTION("""COMPUTED_VALUE"""),1.0)</f>
        <v>1</v>
      </c>
      <c r="J65" s="59">
        <f>IFERROR(__xludf.DUMMYFUNCTION("""COMPUTED_VALUE"""),8.0)</f>
        <v>8</v>
      </c>
      <c r="K65" s="51"/>
      <c r="L65" s="60">
        <f>IFERROR(__xludf.DUMMYFUNCTION("""COMPUTED_VALUE"""),8.0)</f>
        <v>8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IFERROR(__xludf.DUMMYFUNCTION("""COMPUTED_VALUE"""),"TREJO")</f>
        <v>TREJO</v>
      </c>
      <c r="C66" s="62" t="str">
        <f>IFERROR(__xludf.DUMMYFUNCTION("""COMPUTED_VALUE"""),"PERAL")</f>
        <v>PERAL</v>
      </c>
      <c r="D66" s="66" t="str">
        <f>IFERROR(__xludf.DUMMYFUNCTION("""COMPUTED_VALUE"""),"AIKO REGINA")</f>
        <v>AIKO REGINA</v>
      </c>
      <c r="E66" s="55">
        <f>IFERROR(__xludf.DUMMYFUNCTION("""COMPUTED_VALUE"""),0.0)</f>
        <v>0</v>
      </c>
      <c r="F66" s="55">
        <f>IFERROR(__xludf.DUMMYFUNCTION("""COMPUTED_VALUE"""),0.0)</f>
        <v>0</v>
      </c>
      <c r="G66" s="56">
        <f>IFERROR(__xludf.DUMMYFUNCTION("""COMPUTED_VALUE"""),0.0)</f>
        <v>0</v>
      </c>
      <c r="H66" s="57">
        <f>IFERROR(__xludf.DUMMYFUNCTION("""COMPUTED_VALUE"""),0.0)</f>
        <v>0</v>
      </c>
      <c r="I66" s="64">
        <f>IFERROR(__xludf.DUMMYFUNCTION("""COMPUTED_VALUE"""),3.0)</f>
        <v>3</v>
      </c>
      <c r="J66" s="59">
        <f>IFERROR(__xludf.DUMMYFUNCTION("""COMPUTED_VALUE"""),5.0)</f>
        <v>5</v>
      </c>
      <c r="K66" s="51"/>
      <c r="L66" s="60">
        <f>IFERROR(__xludf.DUMMYFUNCTION("""COMPUTED_VALUE"""),0.0)</f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IFERROR(__xludf.DUMMYFUNCTION("""COMPUTED_VALUE"""),"TREJO")</f>
        <v>TREJO</v>
      </c>
      <c r="C67" s="62" t="str">
        <f>IFERROR(__xludf.DUMMYFUNCTION("""COMPUTED_VALUE"""),"PEREZ")</f>
        <v>PEREZ</v>
      </c>
      <c r="D67" s="67" t="str">
        <f>IFERROR(__xludf.DUMMYFUNCTION("""COMPUTED_VALUE"""),"ANGEL SANTIAGO")</f>
        <v>ANGEL SANTIAGO</v>
      </c>
      <c r="E67" s="55">
        <f>IFERROR(__xludf.DUMMYFUNCTION("""COMPUTED_VALUE"""),6.4)</f>
        <v>6.4</v>
      </c>
      <c r="F67" s="55">
        <f>IFERROR(__xludf.DUMMYFUNCTION("""COMPUTED_VALUE"""),0.0)</f>
        <v>0</v>
      </c>
      <c r="G67" s="56">
        <f>IFERROR(__xludf.DUMMYFUNCTION("""COMPUTED_VALUE"""),1.0)</f>
        <v>1</v>
      </c>
      <c r="H67" s="57">
        <f>IFERROR(__xludf.DUMMYFUNCTION("""COMPUTED_VALUE"""),7.4)</f>
        <v>7.4</v>
      </c>
      <c r="I67" s="64">
        <f>IFERROR(__xludf.DUMMYFUNCTION("""COMPUTED_VALUE"""),0.0)</f>
        <v>0</v>
      </c>
      <c r="J67" s="59">
        <f>IFERROR(__xludf.DUMMYFUNCTION("""COMPUTED_VALUE"""),7.0)</f>
        <v>7</v>
      </c>
      <c r="K67" s="51"/>
      <c r="L67" s="60">
        <f>IFERROR(__xludf.DUMMYFUNCTION("""COMPUTED_VALUE"""),7.0)</f>
        <v>7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IFERROR(__xludf.DUMMYFUNCTION("""COMPUTED_VALUE"""),"VAZQUEZ")</f>
        <v>VAZQUEZ</v>
      </c>
      <c r="C68" s="62" t="str">
        <f>IFERROR(__xludf.DUMMYFUNCTION("""COMPUTED_VALUE"""),"FABILA")</f>
        <v>FABILA</v>
      </c>
      <c r="D68" s="67" t="str">
        <f>IFERROR(__xludf.DUMMYFUNCTION("""COMPUTED_VALUE"""),"LUZ MARIANA")</f>
        <v>LUZ MARIANA</v>
      </c>
      <c r="E68" s="55">
        <f>IFERROR(__xludf.DUMMYFUNCTION("""COMPUTED_VALUE"""),4.8)</f>
        <v>4.8</v>
      </c>
      <c r="F68" s="55">
        <f>IFERROR(__xludf.DUMMYFUNCTION("""COMPUTED_VALUE"""),2.0)</f>
        <v>2</v>
      </c>
      <c r="G68" s="56">
        <f>IFERROR(__xludf.DUMMYFUNCTION("""COMPUTED_VALUE"""),0.0)</f>
        <v>0</v>
      </c>
      <c r="H68" s="57">
        <f>IFERROR(__xludf.DUMMYFUNCTION("""COMPUTED_VALUE"""),6.8)</f>
        <v>6.8</v>
      </c>
      <c r="I68" s="64">
        <f>IFERROR(__xludf.DUMMYFUNCTION("""COMPUTED_VALUE"""),0.0)</f>
        <v>0</v>
      </c>
      <c r="J68" s="59">
        <f>IFERROR(__xludf.DUMMYFUNCTION("""COMPUTED_VALUE"""),7.0)</f>
        <v>7</v>
      </c>
      <c r="K68" s="51"/>
      <c r="L68" s="60">
        <f>IFERROR(__xludf.DUMMYFUNCTION("""COMPUTED_VALUE"""),7.0)</f>
        <v>7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IFERROR(__xludf.DUMMYFUNCTION("""COMPUTED_VALUE"""),"VILLEGAS")</f>
        <v>VILLEGAS</v>
      </c>
      <c r="C69" s="62" t="str">
        <f>IFERROR(__xludf.DUMMYFUNCTION("""COMPUTED_VALUE"""),"SANCHEZ")</f>
        <v>SANCHEZ</v>
      </c>
      <c r="D69" s="66" t="str">
        <f>IFERROR(__xludf.DUMMYFUNCTION("""COMPUTED_VALUE"""),"FATIMA ANAHI")</f>
        <v>FATIMA ANAHI</v>
      </c>
      <c r="E69" s="55">
        <f>IFERROR(__xludf.DUMMYFUNCTION("""COMPUTED_VALUE"""),4.8)</f>
        <v>4.8</v>
      </c>
      <c r="F69" s="55">
        <f>IFERROR(__xludf.DUMMYFUNCTION("""COMPUTED_VALUE"""),2.0)</f>
        <v>2</v>
      </c>
      <c r="G69" s="56">
        <f>IFERROR(__xludf.DUMMYFUNCTION("""COMPUTED_VALUE"""),0.0)</f>
        <v>0</v>
      </c>
      <c r="H69" s="57">
        <f>IFERROR(__xludf.DUMMYFUNCTION("""COMPUTED_VALUE"""),6.8)</f>
        <v>6.8</v>
      </c>
      <c r="I69" s="64">
        <f>IFERROR(__xludf.DUMMYFUNCTION("""COMPUTED_VALUE"""),1.0)</f>
        <v>1</v>
      </c>
      <c r="J69" s="59">
        <f>IFERROR(__xludf.DUMMYFUNCTION("""COMPUTED_VALUE"""),7.0)</f>
        <v>7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IFERROR(__xludf.DUMMYFUNCTION("""COMPUTED_VALUE"""),"ZAMORA")</f>
        <v>ZAMORA</v>
      </c>
      <c r="C70" s="62" t="str">
        <f>IFERROR(__xludf.DUMMYFUNCTION("""COMPUTED_VALUE"""),"REYES")</f>
        <v>REYES</v>
      </c>
      <c r="D70" s="66" t="str">
        <f>IFERROR(__xludf.DUMMYFUNCTION("""COMPUTED_VALUE"""),"SANTIAGO")</f>
        <v>SANTIAGO</v>
      </c>
      <c r="E70" s="55">
        <f>IFERROR(__xludf.DUMMYFUNCTION("""COMPUTED_VALUE"""),0.0)</f>
        <v>0</v>
      </c>
      <c r="F70" s="55">
        <f>IFERROR(__xludf.DUMMYFUNCTION("""COMPUTED_VALUE"""),1.0)</f>
        <v>1</v>
      </c>
      <c r="G70" s="56">
        <f>IFERROR(__xludf.DUMMYFUNCTION("""COMPUTED_VALUE"""),0.0)</f>
        <v>0</v>
      </c>
      <c r="H70" s="57">
        <f>IFERROR(__xludf.DUMMYFUNCTION("""COMPUTED_VALUE"""),1.0)</f>
        <v>1</v>
      </c>
      <c r="I70" s="64">
        <f>IFERROR(__xludf.DUMMYFUNCTION("""COMPUTED_VALUE"""),0.0)</f>
        <v>0</v>
      </c>
      <c r="J70" s="59">
        <f>IFERROR(__xludf.DUMMYFUNCTION("""COMPUTED_VALUE"""),5.0)</f>
        <v>5</v>
      </c>
      <c r="K70" s="51"/>
      <c r="L70" s="6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6"/>
      <c r="B71" s="69"/>
      <c r="C71" s="69"/>
      <c r="D71" s="69"/>
      <c r="E71" s="70"/>
      <c r="F71" s="69"/>
      <c r="G71" s="69"/>
      <c r="H71" s="69"/>
      <c r="I71" s="69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71"/>
      <c r="B72" s="72" t="str">
        <f>IFERROR(__xludf.DUMMYFUNCTION("""COMPUTED_VALUE"""),"No. DE ALUMNOS INSCRITOS")</f>
        <v>No. DE ALUMNOS INSCRITOS</v>
      </c>
      <c r="C72" s="73"/>
      <c r="D72" s="115">
        <f>IFERROR(__xludf.DUMMYFUNCTION("""COMPUTED_VALUE"""),54.0)</f>
        <v>54</v>
      </c>
      <c r="E72" s="69"/>
      <c r="F72" s="116" t="str">
        <f>IFERROR(__xludf.DUMMYFUNCTION("""COMPUTED_VALUE"""),"FIRMA DEL PROFESOR")</f>
        <v>FIRMA DEL PROFESOR</v>
      </c>
      <c r="G72" s="75"/>
      <c r="H72" s="116" t="str">
        <f>IFERROR(__xludf.DUMMYFUNCTION("""COMPUTED_VALUE"""),"FIRMA DEL ORIENTADOR")</f>
        <v>FIRMA DEL ORIENTADOR</v>
      </c>
      <c r="J72" s="117" t="str">
        <f>IFERROR(__xludf.DUMMYFUNCTION("""COMPUTED_VALUE"""),"Vo. Bo. SUBDIRECCIÓN ESCOLAR")</f>
        <v>Vo. Bo. SUBDIRECCIÓN ESCOLAR</v>
      </c>
      <c r="K72" s="77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78" t="str">
        <f>IFERROR(__xludf.DUMMYFUNCTION("""COMPUTED_VALUE"""),"BAJAS DURANTE EL SEMESTRE")</f>
        <v>BAJAS DURANTE EL SEMESTRE</v>
      </c>
      <c r="C73" s="79"/>
      <c r="D73" s="114">
        <f>IFERROR(__xludf.DUMMYFUNCTION("""COMPUTED_VALUE"""),0.0)</f>
        <v>0</v>
      </c>
      <c r="E73" s="69"/>
      <c r="G73" s="75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1"/>
      <c r="B74" s="78" t="str">
        <f>IFERROR(__xludf.DUMMYFUNCTION("""COMPUTED_VALUE"""),"EXISTENCIA")</f>
        <v>EXISTENCIA</v>
      </c>
      <c r="C74" s="79"/>
      <c r="D74" s="81">
        <f>IFERROR(__xludf.DUMMYFUNCTION("""COMPUTED_VALUE"""),54.0)</f>
        <v>54</v>
      </c>
      <c r="E74" s="69"/>
      <c r="F74" s="82"/>
      <c r="G74" s="83"/>
      <c r="H74" s="82"/>
      <c r="I74" s="82"/>
      <c r="J74" s="84"/>
      <c r="K74" s="8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1"/>
      <c r="B75" s="78" t="str">
        <f>IFERROR(__xludf.DUMMYFUNCTION("""COMPUTED_VALUE"""),"No. DE ALUMNOS APROBADOS")</f>
        <v>No. DE ALUMNOS APROBADOS</v>
      </c>
      <c r="C75" s="79"/>
      <c r="D75" s="81">
        <f>IFERROR(__xludf.DUMMYFUNCTION("""COMPUTED_VALUE"""),41.0)</f>
        <v>41</v>
      </c>
      <c r="E75" s="69"/>
      <c r="F75" s="82"/>
      <c r="G75" s="83"/>
      <c r="H75" s="82"/>
      <c r="I75" s="82"/>
      <c r="J75" s="84"/>
      <c r="K75" s="8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1"/>
      <c r="B76" s="78" t="str">
        <f>IFERROR(__xludf.DUMMYFUNCTION("""COMPUTED_VALUE"""),"No. DE ALUMNOS REPROBADOS")</f>
        <v>No. DE ALUMNOS REPROBADOS</v>
      </c>
      <c r="C76" s="79"/>
      <c r="D76" s="81">
        <f>IFERROR(__xludf.DUMMYFUNCTION("""COMPUTED_VALUE"""),13.0)</f>
        <v>13</v>
      </c>
      <c r="E76" s="69"/>
      <c r="F76" s="86"/>
      <c r="G76" s="83"/>
      <c r="H76" s="86"/>
      <c r="I76" s="86"/>
      <c r="J76" s="87"/>
      <c r="K76" s="8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1"/>
      <c r="B77" s="78" t="str">
        <f>IFERROR(__xludf.DUMMYFUNCTION("""COMPUTED_VALUE"""),"% DE APROBADOS")</f>
        <v>% DE APROBADOS</v>
      </c>
      <c r="C77" s="79"/>
      <c r="D77" s="89">
        <f>IFERROR(__xludf.DUMMYFUNCTION("""COMPUTED_VALUE"""),75.92592592592592)</f>
        <v>75.92592593</v>
      </c>
      <c r="E77" s="69"/>
      <c r="F77" s="90" t="str">
        <f>IFERROR(__xludf.DUMMYFUNCTION("""COMPUTED_VALUE"""),"PROFR. ")</f>
        <v>PROFR. </v>
      </c>
      <c r="G77" s="91"/>
      <c r="H77" s="92" t="str">
        <f>IFERROR(__xludf.DUMMYFUNCTION("""COMPUTED_VALUE"""),"PROFR. JOSÉ EDGAR SALAZAR ZÚÑIGA")</f>
        <v>PROFR. JOSÉ EDGAR SALAZAR ZÚÑIGA</v>
      </c>
      <c r="J77" s="93" t="str">
        <f>IFERROR(__xludf.DUMMYFUNCTION("""COMPUTED_VALUE"""),"PROFR. OCTAVIO VÁZQUEZ BARRETO")</f>
        <v>PROFR. OCTAVIO VÁZQUEZ BARRETO</v>
      </c>
      <c r="K77" s="94" t="str">
        <f>IFERROR(__xludf.DUMMYFUNCTION("""COMPUTED_VALUE"""),"PROFR. ROBERTO PALOMARES MEJÍA ")</f>
        <v>PROFR. ROBERTO PALOMARES MEJÍA </v>
      </c>
      <c r="L77" s="9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71"/>
      <c r="B78" s="96" t="str">
        <f>IFERROR(__xludf.DUMMYFUNCTION("""COMPUTED_VALUE"""),"PROMEDIO")</f>
        <v>PROMEDIO</v>
      </c>
      <c r="C78" s="97"/>
      <c r="D78" s="98">
        <f>IFERROR(__xludf.DUMMYFUNCTION("""COMPUTED_VALUE"""),7.351851851851852)</f>
        <v>7.351851852</v>
      </c>
      <c r="E78" s="69"/>
      <c r="G78" s="91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99"/>
      <c r="B80" s="100"/>
      <c r="C80" s="101"/>
      <c r="D80" s="101"/>
      <c r="E80" s="69"/>
      <c r="G80" s="7"/>
      <c r="H80" s="7"/>
      <c r="I80" s="7"/>
      <c r="J80" s="7"/>
      <c r="K80" s="102"/>
      <c r="L80" s="10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4"/>
      <c r="B81" s="69"/>
      <c r="C81" s="69"/>
      <c r="D81" s="69"/>
      <c r="E81" s="7"/>
      <c r="F81" s="1"/>
      <c r="G81" s="1"/>
      <c r="H81" s="1"/>
      <c r="I81" s="1"/>
      <c r="J81" s="1"/>
      <c r="K81" s="8"/>
      <c r="L81" s="10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4"/>
      <c r="B82" s="69"/>
      <c r="C82" s="69"/>
      <c r="D82" s="69"/>
      <c r="E82" s="7"/>
      <c r="F82" s="1"/>
      <c r="G82" s="1"/>
      <c r="H82" s="1"/>
      <c r="I82" s="1"/>
      <c r="J82" s="1"/>
      <c r="K82" s="8"/>
      <c r="L82" s="10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6"/>
      <c r="B83" s="107"/>
      <c r="C83" s="107"/>
      <c r="D83" s="107"/>
      <c r="E83" s="108"/>
      <c r="F83" s="109"/>
      <c r="G83" s="109"/>
      <c r="H83" s="109"/>
      <c r="I83" s="109"/>
      <c r="J83" s="109"/>
      <c r="K83" s="110"/>
      <c r="L83" s="10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12"/>
      <c r="K84" s="112"/>
      <c r="L84" s="11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12"/>
      <c r="K85" s="112"/>
      <c r="L85" s="11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12"/>
      <c r="K86" s="112"/>
      <c r="L86" s="11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12"/>
      <c r="K87" s="112"/>
      <c r="L87" s="11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1"/>
      <c r="C89" s="111"/>
      <c r="D89" s="111"/>
      <c r="E89" s="111"/>
      <c r="F89" s="1"/>
      <c r="G89" s="1"/>
      <c r="H89" s="1"/>
      <c r="I89" s="1"/>
      <c r="J89" s="1"/>
      <c r="K89" s="11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1"/>
      <c r="C90" s="111"/>
      <c r="D90" s="111"/>
      <c r="E90" s="11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1"/>
      <c r="C91" s="111"/>
      <c r="D91" s="111"/>
      <c r="E91" s="11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1"/>
      <c r="C92" s="111"/>
      <c r="D92" s="111"/>
      <c r="E92" s="11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1"/>
      <c r="C93" s="111"/>
      <c r="D93" s="111"/>
      <c r="E93" s="11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1"/>
      <c r="C94" s="111"/>
      <c r="D94" s="111"/>
      <c r="E94" s="11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1"/>
      <c r="C95" s="111"/>
      <c r="D95" s="111"/>
      <c r="E95" s="11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IFERROR(__xludf.DUMMYFUNCTION("IMPORTRANGE(""https://docs.google.com/spreadsheets/d/1qQwqqsNxMG0D4hGzp2lQodpwhpcQ68bQmZOliRVjkhw/edit?gid=868681460#gid=868681460"",""1-2 actividades fisicas y deportivas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IFERROR(__xludf.DUMMYFUNCTION("""COMPUTED_VALUE"""),"MICHAEL GOMEZ GUZMAN")</f>
        <v>MICHAEL GOMEZ GUZMAN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IFERROR(__xludf.DUMMYFUNCTION("""COMPUTED_VALUE"""),"ACTIVIDADES FÍSICAS Y DEPORTIVAS II")</f>
        <v>ACTIVIDADES FÍSICAS Y DEPORTIVAS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IFERROR(__xludf.DUMMYFUNCTION("""COMPUTED_VALUE"""),"AMBROSIO")</f>
        <v>AMBROSIO</v>
      </c>
      <c r="C17" s="53" t="str">
        <f>IFERROR(__xludf.DUMMYFUNCTION("""COMPUTED_VALUE"""),"RAMIREZ")</f>
        <v>RAMIREZ</v>
      </c>
      <c r="D17" s="54" t="str">
        <f>IFERROR(__xludf.DUMMYFUNCTION("""COMPUTED_VALUE"""),"ALEXANDRA")</f>
        <v>ALEXANDRA</v>
      </c>
      <c r="E17" s="55">
        <f>IFERROR(__xludf.DUMMYFUNCTION("""COMPUTED_VALUE"""),7.0)</f>
        <v>7</v>
      </c>
      <c r="F17" s="55">
        <f>IFERROR(__xludf.DUMMYFUNCTION("""COMPUTED_VALUE"""),0.0)</f>
        <v>0</v>
      </c>
      <c r="G17" s="56"/>
      <c r="H17" s="57">
        <f>IFERROR(__xludf.DUMMYFUNCTION("""COMPUTED_VALUE"""),7.0)</f>
        <v>7</v>
      </c>
      <c r="I17" s="58">
        <f>IFERROR(__xludf.DUMMYFUNCTION("""COMPUTED_VALUE"""),1.0)</f>
        <v>1</v>
      </c>
      <c r="J17" s="59">
        <f>IFERROR(__xludf.DUMMYFUNCTION("""COMPUTED_VALUE"""),7.0)</f>
        <v>7</v>
      </c>
      <c r="K17" s="60"/>
      <c r="L17" s="61">
        <f>IFERROR(__xludf.DUMMYFUNCTION("""COMPUTED_VALUE"""),7.0)</f>
        <v>7</v>
      </c>
      <c r="M17" s="1" t="str">
        <f>IFERROR(__xludf.DUMMYFUNCTION("""COMPUTED_VALUE"""),"Febrero")</f>
        <v>Febrero</v>
      </c>
      <c r="N17" s="1">
        <f>IFERROR(__xludf.DUMMYFUNCTION("""COMPUTED_VALUE"""),4.0)</f>
        <v>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IFERROR(__xludf.DUMMYFUNCTION("""COMPUTED_VALUE"""),"AVILA")</f>
        <v>AVILA</v>
      </c>
      <c r="C18" s="52" t="str">
        <f>IFERROR(__xludf.DUMMYFUNCTION("""COMPUTED_VALUE"""),"MORALES")</f>
        <v>MORALES</v>
      </c>
      <c r="D18" s="54" t="str">
        <f>IFERROR(__xludf.DUMMYFUNCTION("""COMPUTED_VALUE"""),"EDWIN ADAHIR")</f>
        <v>EDWIN ADAHIR</v>
      </c>
      <c r="E18" s="55">
        <f>IFERROR(__xludf.DUMMYFUNCTION("""COMPUTED_VALUE"""),6.0)</f>
        <v>6</v>
      </c>
      <c r="F18" s="55">
        <f>IFERROR(__xludf.DUMMYFUNCTION("""COMPUTED_VALUE"""),0.0)</f>
        <v>0</v>
      </c>
      <c r="G18" s="56"/>
      <c r="H18" s="57">
        <f>IFERROR(__xludf.DUMMYFUNCTION("""COMPUTED_VALUE"""),6.0)</f>
        <v>6</v>
      </c>
      <c r="I18" s="58">
        <f>IFERROR(__xludf.DUMMYFUNCTION("""COMPUTED_VALUE"""),3.0)</f>
        <v>3</v>
      </c>
      <c r="J18" s="59">
        <f>IFERROR(__xludf.DUMMYFUNCTION("""COMPUTED_VALUE"""),6.0)</f>
        <v>6</v>
      </c>
      <c r="K18" s="51"/>
      <c r="L18" s="61">
        <f>IFERROR(__xludf.DUMMYFUNCTION("""COMPUTED_VALUE"""),6.0)</f>
        <v>6</v>
      </c>
      <c r="M18" s="1" t="str">
        <f>IFERROR(__xludf.DUMMYFUNCTION("""COMPUTED_VALUE"""),"Marzo")</f>
        <v>Marzo</v>
      </c>
      <c r="N18" s="1">
        <f>IFERROR(__xludf.DUMMYFUNCTION("""COMPUTED_VALUE"""),8.0)</f>
        <v>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IFERROR(__xludf.DUMMYFUNCTION("""COMPUTED_VALUE"""),"AVILA")</f>
        <v>AVILA</v>
      </c>
      <c r="C19" s="52" t="str">
        <f>IFERROR(__xludf.DUMMYFUNCTION("""COMPUTED_VALUE"""),"RAMIREZ")</f>
        <v>RAMIREZ</v>
      </c>
      <c r="D19" s="54" t="str">
        <f>IFERROR(__xludf.DUMMYFUNCTION("""COMPUTED_VALUE"""),"SANTIAGO")</f>
        <v>SANTIAGO</v>
      </c>
      <c r="E19" s="56">
        <f>IFERROR(__xludf.DUMMYFUNCTION("""COMPUTED_VALUE"""),8.0)</f>
        <v>8</v>
      </c>
      <c r="F19" s="55">
        <f>IFERROR(__xludf.DUMMYFUNCTION("""COMPUTED_VALUE"""),1.0)</f>
        <v>1</v>
      </c>
      <c r="G19" s="56"/>
      <c r="H19" s="57">
        <f>IFERROR(__xludf.DUMMYFUNCTION("""COMPUTED_VALUE"""),9.0)</f>
        <v>9</v>
      </c>
      <c r="I19" s="58">
        <f>IFERROR(__xludf.DUMMYFUNCTION("""COMPUTED_VALUE"""),1.0)</f>
        <v>1</v>
      </c>
      <c r="J19" s="59">
        <f>IFERROR(__xludf.DUMMYFUNCTION("""COMPUTED_VALUE"""),9.0)</f>
        <v>9</v>
      </c>
      <c r="K19" s="51"/>
      <c r="L19" s="61">
        <f>IFERROR(__xludf.DUMMYFUNCTION("""COMPUTED_VALUE"""),9.0)</f>
        <v>9</v>
      </c>
      <c r="M19" s="1" t="str">
        <f>IFERROR(__xludf.DUMMYFUNCTION("""COMPUTED_VALUE"""),"Abril")</f>
        <v>Abril</v>
      </c>
      <c r="N19" s="1">
        <f>IFERROR(__xludf.DUMMYFUNCTION("""COMPUTED_VALUE"""),6.0)</f>
        <v>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IFERROR(__xludf.DUMMYFUNCTION("""COMPUTED_VALUE"""),"BARRAZA")</f>
        <v>BARRAZA</v>
      </c>
      <c r="C20" s="52" t="str">
        <f>IFERROR(__xludf.DUMMYFUNCTION("""COMPUTED_VALUE"""),"MONTELONGO")</f>
        <v>MONTELONGO</v>
      </c>
      <c r="D20" s="54" t="str">
        <f>IFERROR(__xludf.DUMMYFUNCTION("""COMPUTED_VALUE"""),"STEFANY YANELI")</f>
        <v>STEFANY YANELI</v>
      </c>
      <c r="E20" s="55">
        <f>IFERROR(__xludf.DUMMYFUNCTION("""COMPUTED_VALUE"""),8.0)</f>
        <v>8</v>
      </c>
      <c r="F20" s="55">
        <f>IFERROR(__xludf.DUMMYFUNCTION("""COMPUTED_VALUE"""),2.0)</f>
        <v>2</v>
      </c>
      <c r="G20" s="56"/>
      <c r="H20" s="57">
        <f>IFERROR(__xludf.DUMMYFUNCTION("""COMPUTED_VALUE"""),10.0)</f>
        <v>10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IFERROR(__xludf.DUMMYFUNCTION("""COMPUTED_VALUE"""),"Mayo")</f>
        <v>Mayo</v>
      </c>
      <c r="N20" s="1">
        <f>IFERROR(__xludf.DUMMYFUNCTION("""COMPUTED_VALUE"""),6.0)</f>
        <v>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IFERROR(__xludf.DUMMYFUNCTION("""COMPUTED_VALUE"""),"BECERRA")</f>
        <v>BECERRA</v>
      </c>
      <c r="C21" s="52" t="str">
        <f>IFERROR(__xludf.DUMMYFUNCTION("""COMPUTED_VALUE"""),"FLORES")</f>
        <v>FLORES</v>
      </c>
      <c r="D21" s="54" t="str">
        <f>IFERROR(__xludf.DUMMYFUNCTION("""COMPUTED_VALUE"""),"HADE JETZABEL")</f>
        <v>HADE JETZABEL</v>
      </c>
      <c r="E21" s="55">
        <f>IFERROR(__xludf.DUMMYFUNCTION("""COMPUTED_VALUE"""),8.0)</f>
        <v>8</v>
      </c>
      <c r="F21" s="55">
        <f>IFERROR(__xludf.DUMMYFUNCTION("""COMPUTED_VALUE"""),2.0)</f>
        <v>2</v>
      </c>
      <c r="G21" s="56"/>
      <c r="H21" s="57">
        <f>IFERROR(__xludf.DUMMYFUNCTION("""COMPUTED_VALUE"""),10.0)</f>
        <v>10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IFERROR(__xludf.DUMMYFUNCTION("""COMPUTED_VALUE"""),"Junio")</f>
        <v>Junio</v>
      </c>
      <c r="N21" s="1">
        <f>IFERROR(__xludf.DUMMYFUNCTION("""COMPUTED_VALUE"""),8.0)</f>
        <v>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IFERROR(__xludf.DUMMYFUNCTION("""COMPUTED_VALUE"""),"BELLO")</f>
        <v>BELLO</v>
      </c>
      <c r="C22" s="52" t="str">
        <f>IFERROR(__xludf.DUMMYFUNCTION("""COMPUTED_VALUE"""),"CHAVEZ")</f>
        <v>CHAVEZ</v>
      </c>
      <c r="D22" s="54" t="str">
        <f>IFERROR(__xludf.DUMMYFUNCTION("""COMPUTED_VALUE"""),"EMILIO SEBASTIAN")</f>
        <v>EMILIO SEBASTIAN</v>
      </c>
      <c r="E22" s="55">
        <f>IFERROR(__xludf.DUMMYFUNCTION("""COMPUTED_VALUE"""),7.0)</f>
        <v>7</v>
      </c>
      <c r="F22" s="55">
        <f>IFERROR(__xludf.DUMMYFUNCTION("""COMPUTED_VALUE"""),1.0)</f>
        <v>1</v>
      </c>
      <c r="G22" s="56"/>
      <c r="H22" s="57">
        <f>IFERROR(__xludf.DUMMYFUNCTION("""COMPUTED_VALUE"""),8.0)</f>
        <v>8</v>
      </c>
      <c r="I22" s="58">
        <f>IFERROR(__xludf.DUMMYFUNCTION("""COMPUTED_VALUE"""),0.0)</f>
        <v>0</v>
      </c>
      <c r="J22" s="59">
        <f>IFERROR(__xludf.DUMMYFUNCTION("""COMPUTED_VALUE"""),8.0)</f>
        <v>8</v>
      </c>
      <c r="K22" s="51"/>
      <c r="L22" s="61">
        <f>IFERROR(__xludf.DUMMYFUNCTION("""COMPUTED_VALUE"""),8.0)</f>
        <v>8</v>
      </c>
      <c r="M22" s="1" t="str">
        <f>IFERROR(__xludf.DUMMYFUNCTION("""COMPUTED_VALUE"""),"Julio")</f>
        <v>Julio</v>
      </c>
      <c r="N22" s="1">
        <f>IFERROR(__xludf.DUMMYFUNCTION("""COMPUTED_VALUE"""),4.0)</f>
        <v>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IFERROR(__xludf.DUMMYFUNCTION("""COMPUTED_VALUE"""),"CASAS")</f>
        <v>CASAS</v>
      </c>
      <c r="C23" s="52" t="str">
        <f>IFERROR(__xludf.DUMMYFUNCTION("""COMPUTED_VALUE"""),"GARCIA")</f>
        <v>GARCIA</v>
      </c>
      <c r="D23" s="54" t="str">
        <f>IFERROR(__xludf.DUMMYFUNCTION("""COMPUTED_VALUE"""),"ZEUS ANTHUAN")</f>
        <v>ZEUS ANTHUAN</v>
      </c>
      <c r="E23" s="55">
        <f>IFERROR(__xludf.DUMMYFUNCTION("""COMPUTED_VALUE"""),7.0)</f>
        <v>7</v>
      </c>
      <c r="F23" s="55">
        <f>IFERROR(__xludf.DUMMYFUNCTION("""COMPUTED_VALUE"""),1.0)</f>
        <v>1</v>
      </c>
      <c r="G23" s="56"/>
      <c r="H23" s="57">
        <f>IFERROR(__xludf.DUMMYFUNCTION("""COMPUTED_VALUE"""),8.0)</f>
        <v>8</v>
      </c>
      <c r="I23" s="58">
        <f>IFERROR(__xludf.DUMMYFUNCTION("""COMPUTED_VALUE"""),0.0)</f>
        <v>0</v>
      </c>
      <c r="J23" s="59">
        <f>IFERROR(__xludf.DUMMYFUNCTION("""COMPUTED_VALUE"""),8.0)</f>
        <v>8</v>
      </c>
      <c r="K23" s="51"/>
      <c r="L23" s="61">
        <f>IFERROR(__xludf.DUMMYFUNCTION("""COMPUTED_VALUE"""),8.0)</f>
        <v>8</v>
      </c>
      <c r="M23" s="1" t="str">
        <f>IFERROR(__xludf.DUMMYFUNCTION("""COMPUTED_VALUE"""),"TOTAL")</f>
        <v>TOTAL</v>
      </c>
      <c r="N23" s="1">
        <f>IFERROR(__xludf.DUMMYFUNCTION("""COMPUTED_VALUE"""),36.0)</f>
        <v>36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IFERROR(__xludf.DUMMYFUNCTION("""COMPUTED_VALUE"""),"CHICO")</f>
        <v>CHICO</v>
      </c>
      <c r="C24" s="52" t="str">
        <f>IFERROR(__xludf.DUMMYFUNCTION("""COMPUTED_VALUE"""),"ORTIZ")</f>
        <v>ORTIZ</v>
      </c>
      <c r="D24" s="54" t="str">
        <f>IFERROR(__xludf.DUMMYFUNCTION("""COMPUTED_VALUE"""),"ALAN")</f>
        <v>ALAN</v>
      </c>
      <c r="E24" s="56">
        <f>IFERROR(__xludf.DUMMYFUNCTION("""COMPUTED_VALUE"""),8.0)</f>
        <v>8</v>
      </c>
      <c r="F24" s="55">
        <f>IFERROR(__xludf.DUMMYFUNCTION("""COMPUTED_VALUE"""),2.0)</f>
        <v>2</v>
      </c>
      <c r="G24" s="56"/>
      <c r="H24" s="57">
        <f>IFERROR(__xludf.DUMMYFUNCTION("""COMPUTED_VALUE"""),10.0)</f>
        <v>10</v>
      </c>
      <c r="I24" s="58">
        <f>IFERROR(__xludf.DUMMYFUNCTION("""COMPUTED_VALUE"""),0.0)</f>
        <v>0</v>
      </c>
      <c r="J24" s="59">
        <f>IFERROR(__xludf.DUMMYFUNCTION("""COMPUTED_VALUE"""),10.0)</f>
        <v>10</v>
      </c>
      <c r="K24" s="51"/>
      <c r="L24" s="61">
        <f>IFERROR(__xludf.DUMMYFUNCTION("""COMPUTED_VALUE"""),10.0)</f>
        <v>10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IFERROR(__xludf.DUMMYFUNCTION("""COMPUTED_VALUE"""),"COLIN")</f>
        <v>COLIN</v>
      </c>
      <c r="C25" s="52" t="str">
        <f>IFERROR(__xludf.DUMMYFUNCTION("""COMPUTED_VALUE"""),"GARCIA")</f>
        <v>GARCIA</v>
      </c>
      <c r="D25" s="54" t="str">
        <f>IFERROR(__xludf.DUMMYFUNCTION("""COMPUTED_VALUE"""),"DONOBAN RODRIGO")</f>
        <v>DONOBAN RODRIGO</v>
      </c>
      <c r="E25" s="55">
        <f>IFERROR(__xludf.DUMMYFUNCTION("""COMPUTED_VALUE"""),6.0)</f>
        <v>6</v>
      </c>
      <c r="F25" s="55">
        <f>IFERROR(__xludf.DUMMYFUNCTION("""COMPUTED_VALUE"""),0.0)</f>
        <v>0</v>
      </c>
      <c r="G25" s="56"/>
      <c r="H25" s="57">
        <f>IFERROR(__xludf.DUMMYFUNCTION("""COMPUTED_VALUE"""),6.0)</f>
        <v>6</v>
      </c>
      <c r="I25" s="58">
        <f>IFERROR(__xludf.DUMMYFUNCTION("""COMPUTED_VALUE"""),1.0)</f>
        <v>1</v>
      </c>
      <c r="J25" s="59">
        <f>IFERROR(__xludf.DUMMYFUNCTION("""COMPUTED_VALUE"""),6.0)</f>
        <v>6</v>
      </c>
      <c r="K25" s="51"/>
      <c r="L25" s="61">
        <f>IFERROR(__xludf.DUMMYFUNCTION("""COMPUTED_VALUE"""),6.0)</f>
        <v>6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IFERROR(__xludf.DUMMYFUNCTION("""COMPUTED_VALUE"""),"CONTRERAS")</f>
        <v>CONTRERAS</v>
      </c>
      <c r="C26" s="52" t="str">
        <f>IFERROR(__xludf.DUMMYFUNCTION("""COMPUTED_VALUE"""),"QUIJADA")</f>
        <v>QUIJADA</v>
      </c>
      <c r="D26" s="52" t="str">
        <f>IFERROR(__xludf.DUMMYFUNCTION("""COMPUTED_VALUE"""),"LEONARDO")</f>
        <v>LEONARDO</v>
      </c>
      <c r="E26" s="56">
        <f>IFERROR(__xludf.DUMMYFUNCTION("""COMPUTED_VALUE"""),6.0)</f>
        <v>6</v>
      </c>
      <c r="F26" s="55">
        <f>IFERROR(__xludf.DUMMYFUNCTION("""COMPUTED_VALUE"""),0.0)</f>
        <v>0</v>
      </c>
      <c r="G26" s="56"/>
      <c r="H26" s="57">
        <f>IFERROR(__xludf.DUMMYFUNCTION("""COMPUTED_VALUE"""),6.0)</f>
        <v>6</v>
      </c>
      <c r="I26" s="58">
        <f>IFERROR(__xludf.DUMMYFUNCTION("""COMPUTED_VALUE"""),0.0)</f>
        <v>0</v>
      </c>
      <c r="J26" s="59">
        <f>IFERROR(__xludf.DUMMYFUNCTION("""COMPUTED_VALUE"""),6.0)</f>
        <v>6</v>
      </c>
      <c r="K26" s="51"/>
      <c r="L26" s="61">
        <f>IFERROR(__xludf.DUMMYFUNCTION("""COMPUTED_VALUE"""),6.0)</f>
        <v>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IFERROR(__xludf.DUMMYFUNCTION("""COMPUTED_VALUE"""),"COVARRUBIAS")</f>
        <v>COVARRUBIAS</v>
      </c>
      <c r="C27" s="52" t="str">
        <f>IFERROR(__xludf.DUMMYFUNCTION("""COMPUTED_VALUE"""),"ACOSTA")</f>
        <v>ACOSTA</v>
      </c>
      <c r="D27" s="54" t="str">
        <f>IFERROR(__xludf.DUMMYFUNCTION("""COMPUTED_VALUE"""),"SAMANTHA ANGELINE")</f>
        <v>SAMANTHA ANGELINE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/>
      <c r="H27" s="57">
        <f>IFERROR(__xludf.DUMMYFUNCTION("""COMPUTED_VALUE"""),10.0)</f>
        <v>10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IFERROR(__xludf.DUMMYFUNCTION("""COMPUTED_VALUE"""),"GALVEZ")</f>
        <v>GALVEZ</v>
      </c>
      <c r="D28" s="54" t="str">
        <f>IFERROR(__xludf.DUMMYFUNCTION("""COMPUTED_VALUE"""),"PARIS EMILIANO")</f>
        <v>PARIS EMILIANO</v>
      </c>
      <c r="E28" s="55">
        <f>IFERROR(__xludf.DUMMYFUNCTION("""COMPUTED_VALUE"""),8.0)</f>
        <v>8</v>
      </c>
      <c r="F28" s="55">
        <f>IFERROR(__xludf.DUMMYFUNCTION("""COMPUTED_VALUE"""),2.0)</f>
        <v>2</v>
      </c>
      <c r="G28" s="56"/>
      <c r="H28" s="57">
        <f>IFERROR(__xludf.DUMMYFUNCTION("""COMPUTED_VALUE"""),10.0)</f>
        <v>10</v>
      </c>
      <c r="I28" s="58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IFERROR(__xludf.DUMMYFUNCTION("""COMPUTED_VALUE"""),"OROPEZA")</f>
        <v>OROPEZA</v>
      </c>
      <c r="D29" s="54" t="str">
        <f>IFERROR(__xludf.DUMMYFUNCTION("""COMPUTED_VALUE"""),"REBECA JANELLE")</f>
        <v>REBECA JANELLE</v>
      </c>
      <c r="E29" s="55">
        <f>IFERROR(__xludf.DUMMYFUNCTION("""COMPUTED_VALUE"""),8.0)</f>
        <v>8</v>
      </c>
      <c r="F29" s="55">
        <f>IFERROR(__xludf.DUMMYFUNCTION("""COMPUTED_VALUE"""),1.0)</f>
        <v>1</v>
      </c>
      <c r="G29" s="56"/>
      <c r="H29" s="57">
        <f>IFERROR(__xludf.DUMMYFUNCTION("""COMPUTED_VALUE"""),9.0)</f>
        <v>9</v>
      </c>
      <c r="I29" s="58">
        <f>IFERROR(__xludf.DUMMYFUNCTION("""COMPUTED_VALUE"""),0.0)</f>
        <v>0</v>
      </c>
      <c r="J29" s="59">
        <f>IFERROR(__xludf.DUMMYFUNCTION("""COMPUTED_VALUE"""),9.0)</f>
        <v>9</v>
      </c>
      <c r="K29" s="51"/>
      <c r="L29" s="61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IFERROR(__xludf.DUMMYFUNCTION("""COMPUTED_VALUE"""),"ELIZALDE")</f>
        <v>ELIZALDE</v>
      </c>
      <c r="C30" s="52" t="str">
        <f>IFERROR(__xludf.DUMMYFUNCTION("""COMPUTED_VALUE"""),"MOLINA")</f>
        <v>MOLINA</v>
      </c>
      <c r="D30" s="54" t="str">
        <f>IFERROR(__xludf.DUMMYFUNCTION("""COMPUTED_VALUE"""),"BARBARA SOFIA")</f>
        <v>BARBARA SOFIA</v>
      </c>
      <c r="E30" s="56">
        <f>IFERROR(__xludf.DUMMYFUNCTION("""COMPUTED_VALUE"""),8.0)</f>
        <v>8</v>
      </c>
      <c r="F30" s="55">
        <f>IFERROR(__xludf.DUMMYFUNCTION("""COMPUTED_VALUE"""),2.0)</f>
        <v>2</v>
      </c>
      <c r="G30" s="56"/>
      <c r="H30" s="57">
        <f>IFERROR(__xludf.DUMMYFUNCTION("""COMPUTED_VALUE"""),10.0)</f>
        <v>10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IFERROR(__xludf.DUMMYFUNCTION("""COMPUTED_VALUE"""),"ENCINAS")</f>
        <v>ENCINAS</v>
      </c>
      <c r="C31" s="52" t="str">
        <f>IFERROR(__xludf.DUMMYFUNCTION("""COMPUTED_VALUE"""),"RODRIGUEZ")</f>
        <v>RODRIGUEZ</v>
      </c>
      <c r="D31" s="54" t="str">
        <f>IFERROR(__xludf.DUMMYFUNCTION("""COMPUTED_VALUE"""),"CESAR ROBERTO")</f>
        <v>CESAR ROBERTO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/>
      <c r="H31" s="57">
        <f>IFERROR(__xludf.DUMMYFUNCTION("""COMPUTED_VALUE"""),10.0)</f>
        <v>10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IFERROR(__xludf.DUMMYFUNCTION("""COMPUTED_VALUE"""),"VARGAS")</f>
        <v>VARGAS</v>
      </c>
      <c r="D32" s="54" t="str">
        <f>IFERROR(__xludf.DUMMYFUNCTION("""COMPUTED_VALUE"""),"JESUS SANTIAGO")</f>
        <v>JESUS SANTIAGO</v>
      </c>
      <c r="E32" s="55">
        <f>IFERROR(__xludf.DUMMYFUNCTION("""COMPUTED_VALUE"""),8.0)</f>
        <v>8</v>
      </c>
      <c r="F32" s="55">
        <f>IFERROR(__xludf.DUMMYFUNCTION("""COMPUTED_VALUE"""),0.0)</f>
        <v>0</v>
      </c>
      <c r="G32" s="56"/>
      <c r="H32" s="57">
        <f>IFERROR(__xludf.DUMMYFUNCTION("""COMPUTED_VALUE"""),8.0)</f>
        <v>8</v>
      </c>
      <c r="I32" s="58">
        <f>IFERROR(__xludf.DUMMYFUNCTION("""COMPUTED_VALUE"""),1.0)</f>
        <v>1</v>
      </c>
      <c r="J32" s="59">
        <f>IFERROR(__xludf.DUMMYFUNCTION("""COMPUTED_VALUE"""),8.0)</f>
        <v>8</v>
      </c>
      <c r="K32" s="51"/>
      <c r="L32" s="61">
        <f>IFERROR(__xludf.DUMMYFUNCTION("""COMPUTED_VALUE"""),8.0)</f>
        <v>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IFERROR(__xludf.DUMMYFUNCTION("""COMPUTED_VALUE"""),"FINKENTHAL")</f>
        <v>FINKENTHAL</v>
      </c>
      <c r="C33" s="52" t="str">
        <f>IFERROR(__xludf.DUMMYFUNCTION("""COMPUTED_VALUE"""),"RAMIREZ")</f>
        <v>RAMIREZ</v>
      </c>
      <c r="D33" s="54" t="str">
        <f>IFERROR(__xludf.DUMMYFUNCTION("""COMPUTED_VALUE"""),"ALENKA")</f>
        <v>ALENKA</v>
      </c>
      <c r="E33" s="55">
        <f>IFERROR(__xludf.DUMMYFUNCTION("""COMPUTED_VALUE"""),8.0)</f>
        <v>8</v>
      </c>
      <c r="F33" s="55">
        <f>IFERROR(__xludf.DUMMYFUNCTION("""COMPUTED_VALUE"""),2.0)</f>
        <v>2</v>
      </c>
      <c r="G33" s="56"/>
      <c r="H33" s="57">
        <f>IFERROR(__xludf.DUMMYFUNCTION("""COMPUTED_VALUE"""),10.0)</f>
        <v>10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IFERROR(__xludf.DUMMYFUNCTION("""COMPUTED_VALUE"""),"FLORES")</f>
        <v>FLORES</v>
      </c>
      <c r="C34" s="52" t="str">
        <f>IFERROR(__xludf.DUMMYFUNCTION("""COMPUTED_VALUE"""),"PEREZ")</f>
        <v>PEREZ</v>
      </c>
      <c r="D34" s="54" t="str">
        <f>IFERROR(__xludf.DUMMYFUNCTION("""COMPUTED_VALUE"""),"ROBERTO")</f>
        <v>ROBERTO</v>
      </c>
      <c r="E34" s="56">
        <f>IFERROR(__xludf.DUMMYFUNCTION("""COMPUTED_VALUE"""),8.0)</f>
        <v>8</v>
      </c>
      <c r="F34" s="55">
        <f>IFERROR(__xludf.DUMMYFUNCTION("""COMPUTED_VALUE"""),0.0)</f>
        <v>0</v>
      </c>
      <c r="G34" s="56"/>
      <c r="H34" s="57">
        <f>IFERROR(__xludf.DUMMYFUNCTION("""COMPUTED_VALUE"""),8.0)</f>
        <v>8</v>
      </c>
      <c r="I34" s="58">
        <f>IFERROR(__xludf.DUMMYFUNCTION("""COMPUTED_VALUE"""),0.0)</f>
        <v>0</v>
      </c>
      <c r="J34" s="59">
        <f>IFERROR(__xludf.DUMMYFUNCTION("""COMPUTED_VALUE"""),8.0)</f>
        <v>8</v>
      </c>
      <c r="K34" s="51"/>
      <c r="L34" s="61">
        <f>IFERROR(__xludf.DUMMYFUNCTION("""COMPUTED_VALUE"""),8.0)</f>
        <v>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IFERROR(__xludf.DUMMYFUNCTION("""COMPUTED_VALUE"""),"FLORES")</f>
        <v>FLORES</v>
      </c>
      <c r="C35" s="52" t="str">
        <f>IFERROR(__xludf.DUMMYFUNCTION("""COMPUTED_VALUE"""),"RODRIGUEZ")</f>
        <v>RODRIGUEZ</v>
      </c>
      <c r="D35" s="54" t="str">
        <f>IFERROR(__xludf.DUMMYFUNCTION("""COMPUTED_VALUE"""),"FRANCISCO ISAAC")</f>
        <v>FRANCISCO ISAAC</v>
      </c>
      <c r="E35" s="55">
        <f>IFERROR(__xludf.DUMMYFUNCTION("""COMPUTED_VALUE"""),8.0)</f>
        <v>8</v>
      </c>
      <c r="F35" s="55">
        <f>IFERROR(__xludf.DUMMYFUNCTION("""COMPUTED_VALUE"""),0.0)</f>
        <v>0</v>
      </c>
      <c r="G35" s="56"/>
      <c r="H35" s="57">
        <f>IFERROR(__xludf.DUMMYFUNCTION("""COMPUTED_VALUE"""),8.0)</f>
        <v>8</v>
      </c>
      <c r="I35" s="58">
        <f>IFERROR(__xludf.DUMMYFUNCTION("""COMPUTED_VALUE"""),0.0)</f>
        <v>0</v>
      </c>
      <c r="J35" s="59">
        <f>IFERROR(__xludf.DUMMYFUNCTION("""COMPUTED_VALUE"""),8.0)</f>
        <v>8</v>
      </c>
      <c r="K35" s="51"/>
      <c r="L35" s="61">
        <f>IFERROR(__xludf.DUMMYFUNCTION("""COMPUTED_VALUE"""),8.0)</f>
        <v>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IFERROR(__xludf.DUMMYFUNCTION("""COMPUTED_VALUE"""),"GONZALEZ")</f>
        <v>GONZALEZ</v>
      </c>
      <c r="C36" s="52" t="str">
        <f>IFERROR(__xludf.DUMMYFUNCTION("""COMPUTED_VALUE"""),"GONZALEZ")</f>
        <v>GONZALEZ</v>
      </c>
      <c r="D36" s="54" t="str">
        <f>IFERROR(__xludf.DUMMYFUNCTION("""COMPUTED_VALUE"""),"ANGELA PAULINA")</f>
        <v>ANGELA PAULINA</v>
      </c>
      <c r="E36" s="55">
        <f>IFERROR(__xludf.DUMMYFUNCTION("""COMPUTED_VALUE"""),8.0)</f>
        <v>8</v>
      </c>
      <c r="F36" s="55">
        <f>IFERROR(__xludf.DUMMYFUNCTION("""COMPUTED_VALUE"""),2.0)</f>
        <v>2</v>
      </c>
      <c r="G36" s="56"/>
      <c r="H36" s="57">
        <f>IFERROR(__xludf.DUMMYFUNCTION("""COMPUTED_VALUE"""),10.0)</f>
        <v>10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IFERROR(__xludf.DUMMYFUNCTION("""COMPUTED_VALUE"""),"GONZALEZ")</f>
        <v>GONZALEZ</v>
      </c>
      <c r="C37" s="52" t="str">
        <f>IFERROR(__xludf.DUMMYFUNCTION("""COMPUTED_VALUE"""),"TREJO")</f>
        <v>TREJO</v>
      </c>
      <c r="D37" s="54" t="str">
        <f>IFERROR(__xludf.DUMMYFUNCTION("""COMPUTED_VALUE"""),"LESLIE XIMENA")</f>
        <v>LESLIE XIMENA</v>
      </c>
      <c r="E37" s="56">
        <f>IFERROR(__xludf.DUMMYFUNCTION("""COMPUTED_VALUE"""),6.0)</f>
        <v>6</v>
      </c>
      <c r="F37" s="55">
        <f>IFERROR(__xludf.DUMMYFUNCTION("""COMPUTED_VALUE"""),2.0)</f>
        <v>2</v>
      </c>
      <c r="G37" s="56"/>
      <c r="H37" s="57">
        <f>IFERROR(__xludf.DUMMYFUNCTION("""COMPUTED_VALUE"""),8.0)</f>
        <v>8</v>
      </c>
      <c r="I37" s="58">
        <f>IFERROR(__xludf.DUMMYFUNCTION("""COMPUTED_VALUE"""),0.0)</f>
        <v>0</v>
      </c>
      <c r="J37" s="59">
        <f>IFERROR(__xludf.DUMMYFUNCTION("""COMPUTED_VALUE"""),8.0)</f>
        <v>8</v>
      </c>
      <c r="K37" s="51"/>
      <c r="L37" s="61">
        <f>IFERROR(__xludf.DUMMYFUNCTION("""COMPUTED_VALUE"""),8.0)</f>
        <v>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IFERROR(__xludf.DUMMYFUNCTION("""COMPUTED_VALUE"""),"HERNANDEZ")</f>
        <v>HERNANDEZ</v>
      </c>
      <c r="C38" s="52" t="str">
        <f>IFERROR(__xludf.DUMMYFUNCTION("""COMPUTED_VALUE"""),"GARCIA")</f>
        <v>GARCIA</v>
      </c>
      <c r="D38" s="54" t="str">
        <f>IFERROR(__xludf.DUMMYFUNCTION("""COMPUTED_VALUE"""),"EMILY")</f>
        <v>EMILY</v>
      </c>
      <c r="E38" s="55">
        <f>IFERROR(__xludf.DUMMYFUNCTION("""COMPUTED_VALUE"""),8.0)</f>
        <v>8</v>
      </c>
      <c r="F38" s="55">
        <f>IFERROR(__xludf.DUMMYFUNCTION("""COMPUTED_VALUE"""),2.0)</f>
        <v>2</v>
      </c>
      <c r="G38" s="56"/>
      <c r="H38" s="57">
        <f>IFERROR(__xludf.DUMMYFUNCTION("""COMPUTED_VALUE"""),10.0)</f>
        <v>10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IFERROR(__xludf.DUMMYFUNCTION("""COMPUTED_VALUE"""),"HERNANDEZ")</f>
        <v>HERNANDEZ</v>
      </c>
      <c r="C39" s="52" t="str">
        <f>IFERROR(__xludf.DUMMYFUNCTION("""COMPUTED_VALUE"""),"GARCIA")</f>
        <v>GARCIA</v>
      </c>
      <c r="D39" s="54" t="str">
        <f>IFERROR(__xludf.DUMMYFUNCTION("""COMPUTED_VALUE"""),"SAMANTA")</f>
        <v>SAMANTA</v>
      </c>
      <c r="E39" s="55">
        <f>IFERROR(__xludf.DUMMYFUNCTION("""COMPUTED_VALUE"""),6.0)</f>
        <v>6</v>
      </c>
      <c r="F39" s="55">
        <f>IFERROR(__xludf.DUMMYFUNCTION("""COMPUTED_VALUE"""),0.0)</f>
        <v>0</v>
      </c>
      <c r="G39" s="56"/>
      <c r="H39" s="57">
        <f>IFERROR(__xludf.DUMMYFUNCTION("""COMPUTED_VALUE"""),6.0)</f>
        <v>6</v>
      </c>
      <c r="I39" s="58">
        <f>IFERROR(__xludf.DUMMYFUNCTION("""COMPUTED_VALUE"""),1.0)</f>
        <v>1</v>
      </c>
      <c r="J39" s="59">
        <f>IFERROR(__xludf.DUMMYFUNCTION("""COMPUTED_VALUE"""),6.0)</f>
        <v>6</v>
      </c>
      <c r="K39" s="51"/>
      <c r="L39" s="61">
        <f>IFERROR(__xludf.DUMMYFUNCTION("""COMPUTED_VALUE"""),6.0)</f>
        <v>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IFERROR(__xludf.DUMMYFUNCTION("""COMPUTED_VALUE"""),"HERRERA")</f>
        <v>HERRERA</v>
      </c>
      <c r="C40" s="52" t="str">
        <f>IFERROR(__xludf.DUMMYFUNCTION("""COMPUTED_VALUE"""),"JIMENEZ")</f>
        <v>JIMENEZ</v>
      </c>
      <c r="D40" s="54" t="str">
        <f>IFERROR(__xludf.DUMMYFUNCTION("""COMPUTED_VALUE"""),"JOSUE ABISAI")</f>
        <v>JOSUE ABISAI</v>
      </c>
      <c r="E40" s="55">
        <f>IFERROR(__xludf.DUMMYFUNCTION("""COMPUTED_VALUE"""),7.0)</f>
        <v>7</v>
      </c>
      <c r="F40" s="55">
        <f>IFERROR(__xludf.DUMMYFUNCTION("""COMPUTED_VALUE"""),0.0)</f>
        <v>0</v>
      </c>
      <c r="G40" s="56"/>
      <c r="H40" s="57">
        <f>IFERROR(__xludf.DUMMYFUNCTION("""COMPUTED_VALUE"""),7.0)</f>
        <v>7</v>
      </c>
      <c r="I40" s="58">
        <f>IFERROR(__xludf.DUMMYFUNCTION("""COMPUTED_VALUE"""),0.0)</f>
        <v>0</v>
      </c>
      <c r="J40" s="59">
        <f>IFERROR(__xludf.DUMMYFUNCTION("""COMPUTED_VALUE"""),7.0)</f>
        <v>7</v>
      </c>
      <c r="K40" s="51"/>
      <c r="L40" s="61">
        <f>IFERROR(__xludf.DUMMYFUNCTION("""COMPUTED_VALUE"""),7.0)</f>
        <v>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IFERROR(__xludf.DUMMYFUNCTION("""COMPUTED_VALUE"""),"HERNANDEZ")</f>
        <v>HERNANDEZ</v>
      </c>
      <c r="C41" s="52" t="str">
        <f>IFERROR(__xludf.DUMMYFUNCTION("""COMPUTED_VALUE"""),"PALLARES")</f>
        <v>PALLARES</v>
      </c>
      <c r="D41" s="54" t="str">
        <f>IFERROR(__xludf.DUMMYFUNCTION("""COMPUTED_VALUE"""),"IVAN")</f>
        <v>IVAN</v>
      </c>
      <c r="E41" s="55">
        <f>IFERROR(__xludf.DUMMYFUNCTION("""COMPUTED_VALUE"""),6.0)</f>
        <v>6</v>
      </c>
      <c r="F41" s="55">
        <f>IFERROR(__xludf.DUMMYFUNCTION("""COMPUTED_VALUE"""),0.0)</f>
        <v>0</v>
      </c>
      <c r="G41" s="56"/>
      <c r="H41" s="57">
        <f>IFERROR(__xludf.DUMMYFUNCTION("""COMPUTED_VALUE"""),6.0)</f>
        <v>6</v>
      </c>
      <c r="I41" s="58">
        <f>IFERROR(__xludf.DUMMYFUNCTION("""COMPUTED_VALUE"""),2.0)</f>
        <v>2</v>
      </c>
      <c r="J41" s="59">
        <f>IFERROR(__xludf.DUMMYFUNCTION("""COMPUTED_VALUE"""),6.0)</f>
        <v>6</v>
      </c>
      <c r="K41" s="51"/>
      <c r="L41" s="61">
        <f>IFERROR(__xludf.DUMMYFUNCTION("""COMPUTED_VALUE"""),6.0)</f>
        <v>6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IFERROR(__xludf.DUMMYFUNCTION("""COMPUTED_VALUE"""),"JIMENEZ")</f>
        <v>JIMENEZ</v>
      </c>
      <c r="C42" s="52" t="str">
        <f>IFERROR(__xludf.DUMMYFUNCTION("""COMPUTED_VALUE"""),"PACHUCA")</f>
        <v>PACHUCA</v>
      </c>
      <c r="D42" s="54" t="str">
        <f>IFERROR(__xludf.DUMMYFUNCTION("""COMPUTED_VALUE"""),"LUIS ANTONIO")</f>
        <v>LUIS ANTONIO</v>
      </c>
      <c r="E42" s="55">
        <f>IFERROR(__xludf.DUMMYFUNCTION("""COMPUTED_VALUE"""),8.0)</f>
        <v>8</v>
      </c>
      <c r="F42" s="55">
        <f>IFERROR(__xludf.DUMMYFUNCTION("""COMPUTED_VALUE"""),1.0)</f>
        <v>1</v>
      </c>
      <c r="G42" s="56"/>
      <c r="H42" s="57">
        <f>IFERROR(__xludf.DUMMYFUNCTION("""COMPUTED_VALUE"""),9.0)</f>
        <v>9</v>
      </c>
      <c r="I42" s="58">
        <f>IFERROR(__xludf.DUMMYFUNCTION("""COMPUTED_VALUE"""),0.0)</f>
        <v>0</v>
      </c>
      <c r="J42" s="59">
        <f>IFERROR(__xludf.DUMMYFUNCTION("""COMPUTED_VALUE"""),9.0)</f>
        <v>9</v>
      </c>
      <c r="K42" s="51"/>
      <c r="L42" s="61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IFERROR(__xludf.DUMMYFUNCTION("""COMPUTED_VALUE"""),"LEGORRETA")</f>
        <v>LEGORRETA</v>
      </c>
      <c r="C43" s="52" t="str">
        <f>IFERROR(__xludf.DUMMYFUNCTION("""COMPUTED_VALUE"""),"HERNANDEZ")</f>
        <v>HERNANDEZ</v>
      </c>
      <c r="D43" s="54" t="str">
        <f>IFERROR(__xludf.DUMMYFUNCTION("""COMPUTED_VALUE"""),"LILIANA")</f>
        <v>LILIANA</v>
      </c>
      <c r="E43" s="55">
        <f>IFERROR(__xludf.DUMMYFUNCTION("""COMPUTED_VALUE"""),6.0)</f>
        <v>6</v>
      </c>
      <c r="F43" s="55">
        <f>IFERROR(__xludf.DUMMYFUNCTION("""COMPUTED_VALUE"""),0.0)</f>
        <v>0</v>
      </c>
      <c r="G43" s="56"/>
      <c r="H43" s="57">
        <f>IFERROR(__xludf.DUMMYFUNCTION("""COMPUTED_VALUE"""),6.0)</f>
        <v>6</v>
      </c>
      <c r="I43" s="58">
        <f>IFERROR(__xludf.DUMMYFUNCTION("""COMPUTED_VALUE"""),0.0)</f>
        <v>0</v>
      </c>
      <c r="J43" s="59">
        <f>IFERROR(__xludf.DUMMYFUNCTION("""COMPUTED_VALUE"""),6.0)</f>
        <v>6</v>
      </c>
      <c r="K43" s="51"/>
      <c r="L43" s="61">
        <f>IFERROR(__xludf.DUMMYFUNCTION("""COMPUTED_VALUE"""),6.0)</f>
        <v>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IFERROR(__xludf.DUMMYFUNCTION("""COMPUTED_VALUE"""),"LOPEZ")</f>
        <v>LOPEZ</v>
      </c>
      <c r="C44" s="52" t="str">
        <f>IFERROR(__xludf.DUMMYFUNCTION("""COMPUTED_VALUE"""),"HERNANDEZ")</f>
        <v>HERNANDEZ</v>
      </c>
      <c r="D44" s="54" t="str">
        <f>IFERROR(__xludf.DUMMYFUNCTION("""COMPUTED_VALUE"""),"KARINA")</f>
        <v>KARINA</v>
      </c>
      <c r="E44" s="55">
        <f>IFERROR(__xludf.DUMMYFUNCTION("""COMPUTED_VALUE"""),7.0)</f>
        <v>7</v>
      </c>
      <c r="F44" s="55">
        <f>IFERROR(__xludf.DUMMYFUNCTION("""COMPUTED_VALUE"""),0.0)</f>
        <v>0</v>
      </c>
      <c r="G44" s="56"/>
      <c r="H44" s="57">
        <f>IFERROR(__xludf.DUMMYFUNCTION("""COMPUTED_VALUE"""),7.0)</f>
        <v>7</v>
      </c>
      <c r="I44" s="58">
        <f>IFERROR(__xludf.DUMMYFUNCTION("""COMPUTED_VALUE"""),0.0)</f>
        <v>0</v>
      </c>
      <c r="J44" s="59">
        <f>IFERROR(__xludf.DUMMYFUNCTION("""COMPUTED_VALUE"""),7.0)</f>
        <v>7</v>
      </c>
      <c r="K44" s="51"/>
      <c r="L44" s="61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IFERROR(__xludf.DUMMYFUNCTION("""COMPUTED_VALUE"""),"LUGO")</f>
        <v>LUGO</v>
      </c>
      <c r="C45" s="52" t="str">
        <f>IFERROR(__xludf.DUMMYFUNCTION("""COMPUTED_VALUE"""),"SOLARES")</f>
        <v>SOLARES</v>
      </c>
      <c r="D45" s="54" t="str">
        <f>IFERROR(__xludf.DUMMYFUNCTION("""COMPUTED_VALUE"""),"YAIR EMILIANO")</f>
        <v>YAIR EMILIANO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/>
      <c r="H45" s="57">
        <f>IFERROR(__xludf.DUMMYFUNCTION("""COMPUTED_VALUE"""),10.0)</f>
        <v>10</v>
      </c>
      <c r="I45" s="58">
        <f>IFERROR(__xludf.DUMMYFUNCTION("""COMPUTED_VALUE"""),0.0)</f>
        <v>0</v>
      </c>
      <c r="J45" s="59">
        <f>IFERROR(__xludf.DUMMYFUNCTION("""COMPUTED_VALUE"""),10.0)</f>
        <v>10</v>
      </c>
      <c r="K45" s="51"/>
      <c r="L45" s="61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IFERROR(__xludf.DUMMYFUNCTION("""COMPUTED_VALUE"""),"LUNA")</f>
        <v>LUNA</v>
      </c>
      <c r="C46" s="52" t="str">
        <f>IFERROR(__xludf.DUMMYFUNCTION("""COMPUTED_VALUE"""),"FRANCISCO")</f>
        <v>FRANCISCO</v>
      </c>
      <c r="D46" s="54" t="str">
        <f>IFERROR(__xludf.DUMMYFUNCTION("""COMPUTED_VALUE"""),"SAMANTHA ITZEL")</f>
        <v>SAMANTHA ITZEL</v>
      </c>
      <c r="E46" s="55">
        <f>IFERROR(__xludf.DUMMYFUNCTION("""COMPUTED_VALUE"""),6.0)</f>
        <v>6</v>
      </c>
      <c r="F46" s="55">
        <f>IFERROR(__xludf.DUMMYFUNCTION("""COMPUTED_VALUE"""),0.0)</f>
        <v>0</v>
      </c>
      <c r="G46" s="56"/>
      <c r="H46" s="57">
        <f>IFERROR(__xludf.DUMMYFUNCTION("""COMPUTED_VALUE"""),6.0)</f>
        <v>6</v>
      </c>
      <c r="I46" s="58">
        <f>IFERROR(__xludf.DUMMYFUNCTION("""COMPUTED_VALUE"""),1.0)</f>
        <v>1</v>
      </c>
      <c r="J46" s="59">
        <f>IFERROR(__xludf.DUMMYFUNCTION("""COMPUTED_VALUE"""),6.0)</f>
        <v>6</v>
      </c>
      <c r="K46" s="51"/>
      <c r="L46" s="61">
        <f>IFERROR(__xludf.DUMMYFUNCTION("""COMPUTED_VALUE"""),6.0)</f>
        <v>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IFERROR(__xludf.DUMMYFUNCTION("""COMPUTED_VALUE"""),"MARENTES")</f>
        <v>MARENTES</v>
      </c>
      <c r="C47" s="62" t="str">
        <f>IFERROR(__xludf.DUMMYFUNCTION("""COMPUTED_VALUE"""),"ROBLES")</f>
        <v>ROBLES</v>
      </c>
      <c r="D47" s="63" t="str">
        <f>IFERROR(__xludf.DUMMYFUNCTION("""COMPUTED_VALUE"""),"LUZ NATALIA")</f>
        <v>LUZ NATALIA</v>
      </c>
      <c r="E47" s="55">
        <f>IFERROR(__xludf.DUMMYFUNCTION("""COMPUTED_VALUE"""),7.0)</f>
        <v>7</v>
      </c>
      <c r="F47" s="55">
        <f>IFERROR(__xludf.DUMMYFUNCTION("""COMPUTED_VALUE"""),2.0)</f>
        <v>2</v>
      </c>
      <c r="G47" s="56"/>
      <c r="H47" s="57">
        <f>IFERROR(__xludf.DUMMYFUNCTION("""COMPUTED_VALUE"""),9.0)</f>
        <v>9</v>
      </c>
      <c r="I47" s="58">
        <f>IFERROR(__xludf.DUMMYFUNCTION("""COMPUTED_VALUE"""),0.0)</f>
        <v>0</v>
      </c>
      <c r="J47" s="59">
        <f>IFERROR(__xludf.DUMMYFUNCTION("""COMPUTED_VALUE"""),9.0)</f>
        <v>9</v>
      </c>
      <c r="K47" s="51"/>
      <c r="L47" s="61">
        <f>IFERROR(__xludf.DUMMYFUNCTION("""COMPUTED_VALUE"""),9.0)</f>
        <v>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IFERROR(__xludf.DUMMYFUNCTION("""COMPUTED_VALUE"""),"MARTINEZ")</f>
        <v>MARTINEZ</v>
      </c>
      <c r="C48" s="52" t="str">
        <f>IFERROR(__xludf.DUMMYFUNCTION("""COMPUTED_VALUE"""),"IBARRA")</f>
        <v>IBARRA</v>
      </c>
      <c r="D48" s="54" t="str">
        <f>IFERROR(__xludf.DUMMYFUNCTION("""COMPUTED_VALUE"""),"JOHAN ISAI")</f>
        <v>JOHAN ISAI</v>
      </c>
      <c r="E48" s="55">
        <f>IFERROR(__xludf.DUMMYFUNCTION("""COMPUTED_VALUE"""),8.0)</f>
        <v>8</v>
      </c>
      <c r="F48" s="55">
        <f>IFERROR(__xludf.DUMMYFUNCTION("""COMPUTED_VALUE"""),2.0)</f>
        <v>2</v>
      </c>
      <c r="G48" s="56"/>
      <c r="H48" s="57">
        <f>IFERROR(__xludf.DUMMYFUNCTION("""COMPUTED_VALUE"""),10.0)</f>
        <v>10</v>
      </c>
      <c r="I48" s="58">
        <f>IFERROR(__xludf.DUMMYFUNCTION("""COMPUTED_VALUE"""),0.0)</f>
        <v>0</v>
      </c>
      <c r="J48" s="59">
        <f>IFERROR(__xludf.DUMMYFUNCTION("""COMPUTED_VALUE"""),10.0)</f>
        <v>10</v>
      </c>
      <c r="K48" s="51"/>
      <c r="L48" s="61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IFERROR(__xludf.DUMMYFUNCTION("""COMPUTED_VALUE"""),"MARTINEZ")</f>
        <v>MARTINEZ</v>
      </c>
      <c r="C49" s="52" t="str">
        <f>IFERROR(__xludf.DUMMYFUNCTION("""COMPUTED_VALUE"""),"MANCILLA")</f>
        <v>MANCILLA</v>
      </c>
      <c r="D49" s="54" t="str">
        <f>IFERROR(__xludf.DUMMYFUNCTION("""COMPUTED_VALUE"""),"ZIT ZURIEL")</f>
        <v>ZIT ZURIEL</v>
      </c>
      <c r="E49" s="55">
        <f>IFERROR(__xludf.DUMMYFUNCTION("""COMPUTED_VALUE"""),7.0)</f>
        <v>7</v>
      </c>
      <c r="F49" s="55">
        <f>IFERROR(__xludf.DUMMYFUNCTION("""COMPUTED_VALUE"""),0.0)</f>
        <v>0</v>
      </c>
      <c r="G49" s="56"/>
      <c r="H49" s="57">
        <f>IFERROR(__xludf.DUMMYFUNCTION("""COMPUTED_VALUE"""),7.0)</f>
        <v>7</v>
      </c>
      <c r="I49" s="58">
        <f>IFERROR(__xludf.DUMMYFUNCTION("""COMPUTED_VALUE"""),0.0)</f>
        <v>0</v>
      </c>
      <c r="J49" s="59">
        <f>IFERROR(__xludf.DUMMYFUNCTION("""COMPUTED_VALUE"""),7.0)</f>
        <v>7</v>
      </c>
      <c r="K49" s="51"/>
      <c r="L49" s="61">
        <f>IFERROR(__xludf.DUMMYFUNCTION("""COMPUTED_VALUE"""),7.0)</f>
        <v>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IFERROR(__xludf.DUMMYFUNCTION("""COMPUTED_VALUE"""),"MORALES")</f>
        <v>MORALES</v>
      </c>
      <c r="C50" s="52" t="str">
        <f>IFERROR(__xludf.DUMMYFUNCTION("""COMPUTED_VALUE"""),"LORANCA")</f>
        <v>LORANCA</v>
      </c>
      <c r="D50" s="54" t="str">
        <f>IFERROR(__xludf.DUMMYFUNCTION("""COMPUTED_VALUE"""),"MATIAS DANIEL")</f>
        <v>MATIAS DANIEL</v>
      </c>
      <c r="E50" s="55">
        <f>IFERROR(__xludf.DUMMYFUNCTION("""COMPUTED_VALUE"""),6.0)</f>
        <v>6</v>
      </c>
      <c r="F50" s="55">
        <f>IFERROR(__xludf.DUMMYFUNCTION("""COMPUTED_VALUE"""),2.0)</f>
        <v>2</v>
      </c>
      <c r="G50" s="56"/>
      <c r="H50" s="57">
        <f>IFERROR(__xludf.DUMMYFUNCTION("""COMPUTED_VALUE"""),8.0)</f>
        <v>8</v>
      </c>
      <c r="I50" s="58">
        <f>IFERROR(__xludf.DUMMYFUNCTION("""COMPUTED_VALUE"""),1.0)</f>
        <v>1</v>
      </c>
      <c r="J50" s="59">
        <f>IFERROR(__xludf.DUMMYFUNCTION("""COMPUTED_VALUE"""),8.0)</f>
        <v>8</v>
      </c>
      <c r="K50" s="51"/>
      <c r="L50" s="61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IFERROR(__xludf.DUMMYFUNCTION("""COMPUTED_VALUE"""),"MORALES")</f>
        <v>MORALES</v>
      </c>
      <c r="C51" s="52" t="str">
        <f>IFERROR(__xludf.DUMMYFUNCTION("""COMPUTED_VALUE"""),"PIÑON")</f>
        <v>PIÑON</v>
      </c>
      <c r="D51" s="54" t="str">
        <f>IFERROR(__xludf.DUMMYFUNCTION("""COMPUTED_VALUE"""),"NATALIA ABRIL")</f>
        <v>NATALIA ABRIL</v>
      </c>
      <c r="E51" s="55">
        <f>IFERROR(__xludf.DUMMYFUNCTION("""COMPUTED_VALUE"""),7.0)</f>
        <v>7</v>
      </c>
      <c r="F51" s="55">
        <f>IFERROR(__xludf.DUMMYFUNCTION("""COMPUTED_VALUE"""),0.0)</f>
        <v>0</v>
      </c>
      <c r="G51" s="56"/>
      <c r="H51" s="57">
        <f>IFERROR(__xludf.DUMMYFUNCTION("""COMPUTED_VALUE"""),7.0)</f>
        <v>7</v>
      </c>
      <c r="I51" s="58">
        <f>IFERROR(__xludf.DUMMYFUNCTION("""COMPUTED_VALUE"""),2.0)</f>
        <v>2</v>
      </c>
      <c r="J51" s="59">
        <f>IFERROR(__xludf.DUMMYFUNCTION("""COMPUTED_VALUE"""),7.0)</f>
        <v>7</v>
      </c>
      <c r="K51" s="51"/>
      <c r="L51" s="61">
        <f>IFERROR(__xludf.DUMMYFUNCTION("""COMPUTED_VALUE"""),7.0)</f>
        <v>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IFERROR(__xludf.DUMMYFUNCTION("""COMPUTED_VALUE"""),"NAVARRO")</f>
        <v>NAVARRO</v>
      </c>
      <c r="C52" s="52" t="str">
        <f>IFERROR(__xludf.DUMMYFUNCTION("""COMPUTED_VALUE"""),"ROMO")</f>
        <v>ROMO</v>
      </c>
      <c r="D52" s="54" t="str">
        <f>IFERROR(__xludf.DUMMYFUNCTION("""COMPUTED_VALUE"""),"MARCO ARIEL")</f>
        <v>MARCO ARIEL</v>
      </c>
      <c r="E52" s="55">
        <f>IFERROR(__xludf.DUMMYFUNCTION("""COMPUTED_VALUE"""),6.0)</f>
        <v>6</v>
      </c>
      <c r="F52" s="55">
        <f>IFERROR(__xludf.DUMMYFUNCTION("""COMPUTED_VALUE"""),2.0)</f>
        <v>2</v>
      </c>
      <c r="G52" s="56"/>
      <c r="H52" s="57">
        <f>IFERROR(__xludf.DUMMYFUNCTION("""COMPUTED_VALUE"""),8.0)</f>
        <v>8</v>
      </c>
      <c r="I52" s="58">
        <f>IFERROR(__xludf.DUMMYFUNCTION("""COMPUTED_VALUE"""),0.0)</f>
        <v>0</v>
      </c>
      <c r="J52" s="59">
        <f>IFERROR(__xludf.DUMMYFUNCTION("""COMPUTED_VALUE"""),8.0)</f>
        <v>8</v>
      </c>
      <c r="K52" s="51"/>
      <c r="L52" s="60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IFERROR(__xludf.DUMMYFUNCTION("""COMPUTED_VALUE"""),"OLVERA")</f>
        <v>OLVERA</v>
      </c>
      <c r="C53" s="52" t="str">
        <f>IFERROR(__xludf.DUMMYFUNCTION("""COMPUTED_VALUE"""),"VALLE")</f>
        <v>VALLE</v>
      </c>
      <c r="D53" s="54" t="str">
        <f>IFERROR(__xludf.DUMMYFUNCTION("""COMPUTED_VALUE"""),"LAILA MELISA")</f>
        <v>LAILA MELISA</v>
      </c>
      <c r="E53" s="55">
        <f>IFERROR(__xludf.DUMMYFUNCTION("""COMPUTED_VALUE"""),6.0)</f>
        <v>6</v>
      </c>
      <c r="F53" s="55">
        <f>IFERROR(__xludf.DUMMYFUNCTION("""COMPUTED_VALUE"""),0.0)</f>
        <v>0</v>
      </c>
      <c r="G53" s="56"/>
      <c r="H53" s="57">
        <f>IFERROR(__xludf.DUMMYFUNCTION("""COMPUTED_VALUE"""),6.0)</f>
        <v>6</v>
      </c>
      <c r="I53" s="58">
        <f>IFERROR(__xludf.DUMMYFUNCTION("""COMPUTED_VALUE"""),1.0)</f>
        <v>1</v>
      </c>
      <c r="J53" s="59">
        <f>IFERROR(__xludf.DUMMYFUNCTION("""COMPUTED_VALUE"""),6.0)</f>
        <v>6</v>
      </c>
      <c r="K53" s="51"/>
      <c r="L53" s="60">
        <f>IFERROR(__xludf.DUMMYFUNCTION("""COMPUTED_VALUE"""),6.0)</f>
        <v>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IFERROR(__xludf.DUMMYFUNCTION("""COMPUTED_VALUE"""),"ORTIZ")</f>
        <v>ORTIZ</v>
      </c>
      <c r="C54" s="52" t="str">
        <f>IFERROR(__xludf.DUMMYFUNCTION("""COMPUTED_VALUE"""),"CARRILLO")</f>
        <v>CARRILLO</v>
      </c>
      <c r="D54" s="54" t="str">
        <f>IFERROR(__xludf.DUMMYFUNCTION("""COMPUTED_VALUE"""),"DORIAN ELIAS")</f>
        <v>DORIAN ELIAS</v>
      </c>
      <c r="E54" s="55">
        <f>IFERROR(__xludf.DUMMYFUNCTION("""COMPUTED_VALUE"""),8.0)</f>
        <v>8</v>
      </c>
      <c r="F54" s="55">
        <f>IFERROR(__xludf.DUMMYFUNCTION("""COMPUTED_VALUE"""),2.0)</f>
        <v>2</v>
      </c>
      <c r="G54" s="56"/>
      <c r="H54" s="57">
        <f>IFERROR(__xludf.DUMMYFUNCTION("""COMPUTED_VALUE"""),10.0)</f>
        <v>10</v>
      </c>
      <c r="I54" s="58">
        <f>IFERROR(__xludf.DUMMYFUNCTION("""COMPUTED_VALUE"""),0.0)</f>
        <v>0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IFERROR(__xludf.DUMMYFUNCTION("""COMPUTED_VALUE"""),"PEREA")</f>
        <v>PEREA</v>
      </c>
      <c r="C55" s="52" t="str">
        <f>IFERROR(__xludf.DUMMYFUNCTION("""COMPUTED_VALUE"""),"SALDAÑA")</f>
        <v>SALDAÑA</v>
      </c>
      <c r="D55" s="54" t="str">
        <f>IFERROR(__xludf.DUMMYFUNCTION("""COMPUTED_VALUE"""),"ASTRA TAMARA")</f>
        <v>ASTRA TAMARA</v>
      </c>
      <c r="E55" s="55">
        <f>IFERROR(__xludf.DUMMYFUNCTION("""COMPUTED_VALUE"""),8.0)</f>
        <v>8</v>
      </c>
      <c r="F55" s="55">
        <f>IFERROR(__xludf.DUMMYFUNCTION("""COMPUTED_VALUE"""),0.0)</f>
        <v>0</v>
      </c>
      <c r="G55" s="56"/>
      <c r="H55" s="57">
        <f>IFERROR(__xludf.DUMMYFUNCTION("""COMPUTED_VALUE"""),8.0)</f>
        <v>8</v>
      </c>
      <c r="I55" s="64">
        <f>IFERROR(__xludf.DUMMYFUNCTION("""COMPUTED_VALUE"""),1.0)</f>
        <v>1</v>
      </c>
      <c r="J55" s="59">
        <f>IFERROR(__xludf.DUMMYFUNCTION("""COMPUTED_VALUE"""),8.0)</f>
        <v>8</v>
      </c>
      <c r="K55" s="51"/>
      <c r="L55" s="60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IFERROR(__xludf.DUMMYFUNCTION("""COMPUTED_VALUE"""),"PEREZ")</f>
        <v>PEREZ</v>
      </c>
      <c r="C56" s="52" t="str">
        <f>IFERROR(__xludf.DUMMYFUNCTION("""COMPUTED_VALUE"""),"HERNANDEZ")</f>
        <v>HERNANDEZ</v>
      </c>
      <c r="D56" s="54" t="str">
        <f>IFERROR(__xludf.DUMMYFUNCTION("""COMPUTED_VALUE"""),"EDGAR ALEJANDRO")</f>
        <v>EDGAR ALEJANDRO</v>
      </c>
      <c r="E56" s="55">
        <f>IFERROR(__xludf.DUMMYFUNCTION("""COMPUTED_VALUE"""),7.0)</f>
        <v>7</v>
      </c>
      <c r="F56" s="55">
        <f>IFERROR(__xludf.DUMMYFUNCTION("""COMPUTED_VALUE"""),2.0)</f>
        <v>2</v>
      </c>
      <c r="G56" s="56"/>
      <c r="H56" s="57">
        <f>IFERROR(__xludf.DUMMYFUNCTION("""COMPUTED_VALUE"""),9.0)</f>
        <v>9</v>
      </c>
      <c r="I56" s="64">
        <f>IFERROR(__xludf.DUMMYFUNCTION("""COMPUTED_VALUE"""),1.0)</f>
        <v>1</v>
      </c>
      <c r="J56" s="59">
        <f>IFERROR(__xludf.DUMMYFUNCTION("""COMPUTED_VALUE"""),9.0)</f>
        <v>9</v>
      </c>
      <c r="K56" s="51"/>
      <c r="L56" s="60">
        <f>IFERROR(__xludf.DUMMYFUNCTION("""COMPUTED_VALUE"""),9.0)</f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IFERROR(__xludf.DUMMYFUNCTION("""COMPUTED_VALUE"""),"PLAZA")</f>
        <v>PLAZA</v>
      </c>
      <c r="C57" s="62" t="str">
        <f>IFERROR(__xludf.DUMMYFUNCTION("""COMPUTED_VALUE"""),"LARA")</f>
        <v>LARA</v>
      </c>
      <c r="D57" s="63" t="str">
        <f>IFERROR(__xludf.DUMMYFUNCTION("""COMPUTED_VALUE"""),"IAN ALDAIR")</f>
        <v>IAN ALDAIR</v>
      </c>
      <c r="E57" s="55">
        <f>IFERROR(__xludf.DUMMYFUNCTION("""COMPUTED_VALUE"""),8.0)</f>
        <v>8</v>
      </c>
      <c r="F57" s="55">
        <f>IFERROR(__xludf.DUMMYFUNCTION("""COMPUTED_VALUE"""),1.0)</f>
        <v>1</v>
      </c>
      <c r="G57" s="56"/>
      <c r="H57" s="57">
        <f>IFERROR(__xludf.DUMMYFUNCTION("""COMPUTED_VALUE"""),9.0)</f>
        <v>9</v>
      </c>
      <c r="I57" s="64">
        <f>IFERROR(__xludf.DUMMYFUNCTION("""COMPUTED_VALUE"""),0.0)</f>
        <v>0</v>
      </c>
      <c r="J57" s="59">
        <f>IFERROR(__xludf.DUMMYFUNCTION("""COMPUTED_VALUE"""),9.0)</f>
        <v>9</v>
      </c>
      <c r="K57" s="51"/>
      <c r="L57" s="60">
        <f>IFERROR(__xludf.DUMMYFUNCTION("""COMPUTED_VALUE"""),9.0)</f>
        <v>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IFERROR(__xludf.DUMMYFUNCTION("""COMPUTED_VALUE"""),"RAMIREZ")</f>
        <v>RAMIREZ</v>
      </c>
      <c r="C58" s="52" t="str">
        <f>IFERROR(__xludf.DUMMYFUNCTION("""COMPUTED_VALUE"""),"DIAZ")</f>
        <v>DIAZ</v>
      </c>
      <c r="D58" s="54" t="str">
        <f>IFERROR(__xludf.DUMMYFUNCTION("""COMPUTED_VALUE"""),"OMEGA VALENTINA")</f>
        <v>OMEGA VALENTINA</v>
      </c>
      <c r="E58" s="55">
        <f>IFERROR(__xludf.DUMMYFUNCTION("""COMPUTED_VALUE"""),8.0)</f>
        <v>8</v>
      </c>
      <c r="F58" s="55">
        <f>IFERROR(__xludf.DUMMYFUNCTION("""COMPUTED_VALUE"""),2.0)</f>
        <v>2</v>
      </c>
      <c r="G58" s="56"/>
      <c r="H58" s="57">
        <f>IFERROR(__xludf.DUMMYFUNCTION("""COMPUTED_VALUE"""),10.0)</f>
        <v>10</v>
      </c>
      <c r="I58" s="64">
        <f>IFERROR(__xludf.DUMMYFUNCTION("""COMPUTED_VALUE"""),0.0)</f>
        <v>0</v>
      </c>
      <c r="J58" s="59">
        <f>IFERROR(__xludf.DUMMYFUNCTION("""COMPUTED_VALUE"""),10.0)</f>
        <v>10</v>
      </c>
      <c r="K58" s="51"/>
      <c r="L58" s="60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IFERROR(__xludf.DUMMYFUNCTION("""COMPUTED_VALUE"""),"RAMIREZ")</f>
        <v>RAMIREZ</v>
      </c>
      <c r="C59" s="62" t="str">
        <f>IFERROR(__xludf.DUMMYFUNCTION("""COMPUTED_VALUE"""),"TORRES")</f>
        <v>TORRES</v>
      </c>
      <c r="D59" s="63" t="str">
        <f>IFERROR(__xludf.DUMMYFUNCTION("""COMPUTED_VALUE"""),"PERCIVAL GABRIEL")</f>
        <v>PERCIVAL GABRIEL</v>
      </c>
      <c r="E59" s="55">
        <f>IFERROR(__xludf.DUMMYFUNCTION("""COMPUTED_VALUE"""),6.0)</f>
        <v>6</v>
      </c>
      <c r="F59" s="55">
        <f>IFERROR(__xludf.DUMMYFUNCTION("""COMPUTED_VALUE"""),1.0)</f>
        <v>1</v>
      </c>
      <c r="G59" s="56"/>
      <c r="H59" s="57">
        <f>IFERROR(__xludf.DUMMYFUNCTION("""COMPUTED_VALUE"""),7.0)</f>
        <v>7</v>
      </c>
      <c r="I59" s="64">
        <f>IFERROR(__xludf.DUMMYFUNCTION("""COMPUTED_VALUE"""),1.0)</f>
        <v>1</v>
      </c>
      <c r="J59" s="59">
        <f>IFERROR(__xludf.DUMMYFUNCTION("""COMPUTED_VALUE"""),7.0)</f>
        <v>7</v>
      </c>
      <c r="K59" s="51"/>
      <c r="L59" s="60">
        <f>IFERROR(__xludf.DUMMYFUNCTION("""COMPUTED_VALUE"""),7.0)</f>
        <v>7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IFERROR(__xludf.DUMMYFUNCTION("""COMPUTED_VALUE"""),"RANGEL")</f>
        <v>RANGEL</v>
      </c>
      <c r="C60" s="62" t="str">
        <f>IFERROR(__xludf.DUMMYFUNCTION("""COMPUTED_VALUE"""),"JIMENEZ")</f>
        <v>JIMENEZ</v>
      </c>
      <c r="D60" s="63" t="str">
        <f>IFERROR(__xludf.DUMMYFUNCTION("""COMPUTED_VALUE"""),"PAOLA ALEJANDRA")</f>
        <v>PAOLA ALEJANDRA</v>
      </c>
      <c r="E60" s="55">
        <f>IFERROR(__xludf.DUMMYFUNCTION("""COMPUTED_VALUE"""),8.0)</f>
        <v>8</v>
      </c>
      <c r="F60" s="55">
        <f>IFERROR(__xludf.DUMMYFUNCTION("""COMPUTED_VALUE"""),2.0)</f>
        <v>2</v>
      </c>
      <c r="G60" s="56"/>
      <c r="H60" s="57">
        <f>IFERROR(__xludf.DUMMYFUNCTION("""COMPUTED_VALUE"""),10.0)</f>
        <v>10</v>
      </c>
      <c r="I60" s="64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IFERROR(__xludf.DUMMYFUNCTION("""COMPUTED_VALUE"""),"RIVERA")</f>
        <v>RIVERA</v>
      </c>
      <c r="C61" s="62" t="str">
        <f>IFERROR(__xludf.DUMMYFUNCTION("""COMPUTED_VALUE"""),"GARCIA")</f>
        <v>GARCIA</v>
      </c>
      <c r="D61" s="63" t="str">
        <f>IFERROR(__xludf.DUMMYFUNCTION("""COMPUTED_VALUE"""),"ASTRID MICHELLE")</f>
        <v>ASTRID MICHELLE</v>
      </c>
      <c r="E61" s="55">
        <f>IFERROR(__xludf.DUMMYFUNCTION("""COMPUTED_VALUE"""),8.0)</f>
        <v>8</v>
      </c>
      <c r="F61" s="55">
        <f>IFERROR(__xludf.DUMMYFUNCTION("""COMPUTED_VALUE"""),1.0)</f>
        <v>1</v>
      </c>
      <c r="G61" s="56"/>
      <c r="H61" s="57">
        <f>IFERROR(__xludf.DUMMYFUNCTION("""COMPUTED_VALUE"""),9.0)</f>
        <v>9</v>
      </c>
      <c r="I61" s="64">
        <f>IFERROR(__xludf.DUMMYFUNCTION("""COMPUTED_VALUE"""),1.0)</f>
        <v>1</v>
      </c>
      <c r="J61" s="59">
        <f>IFERROR(__xludf.DUMMYFUNCTION("""COMPUTED_VALUE"""),9.0)</f>
        <v>9</v>
      </c>
      <c r="K61" s="51"/>
      <c r="L61" s="60">
        <f>IFERROR(__xludf.DUMMYFUNCTION("""COMPUTED_VALUE"""),9.0)</f>
        <v>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IFERROR(__xludf.DUMMYFUNCTION("""COMPUTED_VALUE"""),"RODRIGUEZ")</f>
        <v>RODRIGUEZ</v>
      </c>
      <c r="C62" s="62" t="str">
        <f>IFERROR(__xludf.DUMMYFUNCTION("""COMPUTED_VALUE"""),"CAMACHO")</f>
        <v>CAMACHO</v>
      </c>
      <c r="D62" s="63" t="str">
        <f>IFERROR(__xludf.DUMMYFUNCTION("""COMPUTED_VALUE"""),"ENRIQUE SALVADOR")</f>
        <v>ENRIQUE SALVADOR</v>
      </c>
      <c r="E62" s="55">
        <f>IFERROR(__xludf.DUMMYFUNCTION("""COMPUTED_VALUE"""),6.0)</f>
        <v>6</v>
      </c>
      <c r="F62" s="55">
        <f>IFERROR(__xludf.DUMMYFUNCTION("""COMPUTED_VALUE"""),1.0)</f>
        <v>1</v>
      </c>
      <c r="G62" s="56"/>
      <c r="H62" s="57">
        <f>IFERROR(__xludf.DUMMYFUNCTION("""COMPUTED_VALUE"""),7.0)</f>
        <v>7</v>
      </c>
      <c r="I62" s="55">
        <f>IFERROR(__xludf.DUMMYFUNCTION("""COMPUTED_VALUE"""),1.0)</f>
        <v>1</v>
      </c>
      <c r="J62" s="59">
        <f>IFERROR(__xludf.DUMMYFUNCTION("""COMPUTED_VALUE"""),7.0)</f>
        <v>7</v>
      </c>
      <c r="K62" s="51"/>
      <c r="L62" s="60">
        <f>IFERROR(__xludf.DUMMYFUNCTION("""COMPUTED_VALUE"""),7.0)</f>
        <v>7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IFERROR(__xludf.DUMMYFUNCTION("""COMPUTED_VALUE"""),"RODRIGUEZ")</f>
        <v>RODRIGUEZ</v>
      </c>
      <c r="C63" s="62" t="str">
        <f>IFERROR(__xludf.DUMMYFUNCTION("""COMPUTED_VALUE"""),"ROSAS")</f>
        <v>ROSAS</v>
      </c>
      <c r="D63" s="63" t="str">
        <f>IFERROR(__xludf.DUMMYFUNCTION("""COMPUTED_VALUE"""),"QUETZALI")</f>
        <v>QUETZALI</v>
      </c>
      <c r="E63" s="55">
        <f>IFERROR(__xludf.DUMMYFUNCTION("""COMPUTED_VALUE"""),7.0)</f>
        <v>7</v>
      </c>
      <c r="F63" s="55">
        <f>IFERROR(__xludf.DUMMYFUNCTION("""COMPUTED_VALUE"""),2.0)</f>
        <v>2</v>
      </c>
      <c r="G63" s="56"/>
      <c r="H63" s="57">
        <f>IFERROR(__xludf.DUMMYFUNCTION("""COMPUTED_VALUE"""),9.0)</f>
        <v>9</v>
      </c>
      <c r="I63" s="55">
        <f>IFERROR(__xludf.DUMMYFUNCTION("""COMPUTED_VALUE"""),0.0)</f>
        <v>0</v>
      </c>
      <c r="J63" s="59">
        <f>IFERROR(__xludf.DUMMYFUNCTION("""COMPUTED_VALUE"""),9.0)</f>
        <v>9</v>
      </c>
      <c r="K63" s="51"/>
      <c r="L63" s="60">
        <f>IFERROR(__xludf.DUMMYFUNCTION("""COMPUTED_VALUE"""),9.0)</f>
        <v>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IFERROR(__xludf.DUMMYFUNCTION("""COMPUTED_VALUE"""),"SANCHEZ")</f>
        <v>SANCHEZ</v>
      </c>
      <c r="C64" s="62" t="str">
        <f>IFERROR(__xludf.DUMMYFUNCTION("""COMPUTED_VALUE"""),"BERMUDEZ")</f>
        <v>BERMUDEZ</v>
      </c>
      <c r="D64" s="63" t="str">
        <f>IFERROR(__xludf.DUMMYFUNCTION("""COMPUTED_VALUE"""),"JORGE")</f>
        <v>JORGE</v>
      </c>
      <c r="E64" s="55">
        <f>IFERROR(__xludf.DUMMYFUNCTION("""COMPUTED_VALUE"""),8.0)</f>
        <v>8</v>
      </c>
      <c r="F64" s="55">
        <f>IFERROR(__xludf.DUMMYFUNCTION("""COMPUTED_VALUE"""),2.0)</f>
        <v>2</v>
      </c>
      <c r="G64" s="56"/>
      <c r="H64" s="57">
        <f>IFERROR(__xludf.DUMMYFUNCTION("""COMPUTED_VALUE"""),10.0)</f>
        <v>10</v>
      </c>
      <c r="I64" s="64">
        <f>IFERROR(__xludf.DUMMYFUNCTION("""COMPUTED_VALUE"""),1.0)</f>
        <v>1</v>
      </c>
      <c r="J64" s="59">
        <f>IFERROR(__xludf.DUMMYFUNCTION("""COMPUTED_VALUE"""),10.0)</f>
        <v>10</v>
      </c>
      <c r="K64" s="51"/>
      <c r="L64" s="60">
        <f>IFERROR(__xludf.DUMMYFUNCTION("""COMPUTED_VALUE"""),10.0)</f>
        <v>10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IFERROR(__xludf.DUMMYFUNCTION("""COMPUTED_VALUE"""),"VELAZQUEZ")</f>
        <v>VELAZQUEZ</v>
      </c>
      <c r="D65" s="66" t="str">
        <f>IFERROR(__xludf.DUMMYFUNCTION("""COMPUTED_VALUE"""),"RENATA VICTORIA")</f>
        <v>RENATA VICTORIA</v>
      </c>
      <c r="E65" s="55">
        <f>IFERROR(__xludf.DUMMYFUNCTION("""COMPUTED_VALUE"""),8.0)</f>
        <v>8</v>
      </c>
      <c r="F65" s="55">
        <f>IFERROR(__xludf.DUMMYFUNCTION("""COMPUTED_VALUE"""),2.0)</f>
        <v>2</v>
      </c>
      <c r="G65" s="56"/>
      <c r="H65" s="57">
        <f>IFERROR(__xludf.DUMMYFUNCTION("""COMPUTED_VALUE"""),10.0)</f>
        <v>10</v>
      </c>
      <c r="I65" s="55">
        <f>IFERROR(__xludf.DUMMYFUNCTION("""COMPUTED_VALUE"""),0.0)</f>
        <v>0</v>
      </c>
      <c r="J65" s="59">
        <f>IFERROR(__xludf.DUMMYFUNCTION("""COMPUTED_VALUE"""),10.0)</f>
        <v>10</v>
      </c>
      <c r="K65" s="51"/>
      <c r="L65" s="60">
        <f>IFERROR(__xludf.DUMMYFUNCTION("""COMPUTED_VALUE"""),10.0)</f>
        <v>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IFERROR(__xludf.DUMMYFUNCTION("""COMPUTED_VALUE"""),"TREJO")</f>
        <v>TREJO</v>
      </c>
      <c r="C66" s="62" t="str">
        <f>IFERROR(__xludf.DUMMYFUNCTION("""COMPUTED_VALUE"""),"PERAL")</f>
        <v>PERAL</v>
      </c>
      <c r="D66" s="66" t="str">
        <f>IFERROR(__xludf.DUMMYFUNCTION("""COMPUTED_VALUE"""),"AIKO REGINA")</f>
        <v>AIKO REGINA</v>
      </c>
      <c r="E66" s="55">
        <f>IFERROR(__xludf.DUMMYFUNCTION("""COMPUTED_VALUE"""),6.0)</f>
        <v>6</v>
      </c>
      <c r="F66" s="55">
        <f>IFERROR(__xludf.DUMMYFUNCTION("""COMPUTED_VALUE"""),0.0)</f>
        <v>0</v>
      </c>
      <c r="G66" s="56"/>
      <c r="H66" s="57">
        <f>IFERROR(__xludf.DUMMYFUNCTION("""COMPUTED_VALUE"""),6.0)</f>
        <v>6</v>
      </c>
      <c r="I66" s="55">
        <f>IFERROR(__xludf.DUMMYFUNCTION("""COMPUTED_VALUE"""),2.0)</f>
        <v>2</v>
      </c>
      <c r="J66" s="59">
        <f>IFERROR(__xludf.DUMMYFUNCTION("""COMPUTED_VALUE"""),6.0)</f>
        <v>6</v>
      </c>
      <c r="K66" s="51"/>
      <c r="L66" s="60">
        <f>IFERROR(__xludf.DUMMYFUNCTION("""COMPUTED_VALUE"""),6.0)</f>
        <v>6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IFERROR(__xludf.DUMMYFUNCTION("""COMPUTED_VALUE"""),"TREJO")</f>
        <v>TREJO</v>
      </c>
      <c r="C67" s="62" t="str">
        <f>IFERROR(__xludf.DUMMYFUNCTION("""COMPUTED_VALUE"""),"PEREZ")</f>
        <v>PEREZ</v>
      </c>
      <c r="D67" s="67" t="str">
        <f>IFERROR(__xludf.DUMMYFUNCTION("""COMPUTED_VALUE"""),"ANGEL SANTIAGO")</f>
        <v>ANGEL SANTIAGO</v>
      </c>
      <c r="E67" s="55">
        <f>IFERROR(__xludf.DUMMYFUNCTION("""COMPUTED_VALUE"""),8.0)</f>
        <v>8</v>
      </c>
      <c r="F67" s="55">
        <f>IFERROR(__xludf.DUMMYFUNCTION("""COMPUTED_VALUE"""),2.0)</f>
        <v>2</v>
      </c>
      <c r="G67" s="56"/>
      <c r="H67" s="57">
        <f>IFERROR(__xludf.DUMMYFUNCTION("""COMPUTED_VALUE"""),10.0)</f>
        <v>10</v>
      </c>
      <c r="I67" s="55">
        <f>IFERROR(__xludf.DUMMYFUNCTION("""COMPUTED_VALUE"""),0.0)</f>
        <v>0</v>
      </c>
      <c r="J67" s="59">
        <f>IFERROR(__xludf.DUMMYFUNCTION("""COMPUTED_VALUE"""),10.0)</f>
        <v>10</v>
      </c>
      <c r="K67" s="51"/>
      <c r="L67" s="60">
        <f>IFERROR(__xludf.DUMMYFUNCTION("""COMPUTED_VALUE"""),10.0)</f>
        <v>10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IFERROR(__xludf.DUMMYFUNCTION("""COMPUTED_VALUE"""),"VAZQUEZ")</f>
        <v>VAZQUEZ</v>
      </c>
      <c r="C68" s="62" t="str">
        <f>IFERROR(__xludf.DUMMYFUNCTION("""COMPUTED_VALUE"""),"FABILA")</f>
        <v>FABILA</v>
      </c>
      <c r="D68" s="67" t="str">
        <f>IFERROR(__xludf.DUMMYFUNCTION("""COMPUTED_VALUE"""),"LUZ MARIANA")</f>
        <v>LUZ MARIANA</v>
      </c>
      <c r="E68" s="55">
        <f>IFERROR(__xludf.DUMMYFUNCTION("""COMPUTED_VALUE"""),7.0)</f>
        <v>7</v>
      </c>
      <c r="F68" s="55">
        <f>IFERROR(__xludf.DUMMYFUNCTION("""COMPUTED_VALUE"""),2.0)</f>
        <v>2</v>
      </c>
      <c r="G68" s="56"/>
      <c r="H68" s="57">
        <f>IFERROR(__xludf.DUMMYFUNCTION("""COMPUTED_VALUE"""),9.0)</f>
        <v>9</v>
      </c>
      <c r="I68" s="55">
        <f>IFERROR(__xludf.DUMMYFUNCTION("""COMPUTED_VALUE"""),0.0)</f>
        <v>0</v>
      </c>
      <c r="J68" s="59">
        <f>IFERROR(__xludf.DUMMYFUNCTION("""COMPUTED_VALUE"""),9.0)</f>
        <v>9</v>
      </c>
      <c r="K68" s="51"/>
      <c r="L68" s="60">
        <f>IFERROR(__xludf.DUMMYFUNCTION("""COMPUTED_VALUE"""),9.0)</f>
        <v>9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IFERROR(__xludf.DUMMYFUNCTION("""COMPUTED_VALUE"""),"VILLEGAS")</f>
        <v>VILLEGAS</v>
      </c>
      <c r="C69" s="62" t="str">
        <f>IFERROR(__xludf.DUMMYFUNCTION("""COMPUTED_VALUE"""),"SANCHEZ")</f>
        <v>SANCHEZ</v>
      </c>
      <c r="D69" s="66" t="str">
        <f>IFERROR(__xludf.DUMMYFUNCTION("""COMPUTED_VALUE"""),"FATIMA ANAHI")</f>
        <v>FATIMA ANAHI</v>
      </c>
      <c r="E69" s="55">
        <f>IFERROR(__xludf.DUMMYFUNCTION("""COMPUTED_VALUE"""),8.0)</f>
        <v>8</v>
      </c>
      <c r="F69" s="55">
        <f>IFERROR(__xludf.DUMMYFUNCTION("""COMPUTED_VALUE"""),0.0)</f>
        <v>0</v>
      </c>
      <c r="G69" s="56"/>
      <c r="H69" s="57">
        <f>IFERROR(__xludf.DUMMYFUNCTION("""COMPUTED_VALUE"""),8.0)</f>
        <v>8</v>
      </c>
      <c r="I69" s="64">
        <f>IFERROR(__xludf.DUMMYFUNCTION("""COMPUTED_VALUE"""),0.0)</f>
        <v>0</v>
      </c>
      <c r="J69" s="59">
        <f>IFERROR(__xludf.DUMMYFUNCTION("""COMPUTED_VALUE"""),8.0)</f>
        <v>8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IFERROR(__xludf.DUMMYFUNCTION("""COMPUTED_VALUE"""),"ZAMORA")</f>
        <v>ZAMORA</v>
      </c>
      <c r="C70" s="62" t="str">
        <f>IFERROR(__xludf.DUMMYFUNCTION("""COMPUTED_VALUE"""),"REYES")</f>
        <v>REYES</v>
      </c>
      <c r="D70" s="66" t="str">
        <f>IFERROR(__xludf.DUMMYFUNCTION("""COMPUTED_VALUE"""),"SANTIAGO")</f>
        <v>SANTIAGO</v>
      </c>
      <c r="E70" s="55">
        <f>IFERROR(__xludf.DUMMYFUNCTION("""COMPUTED_VALUE"""),8.0)</f>
        <v>8</v>
      </c>
      <c r="F70" s="55">
        <f>IFERROR(__xludf.DUMMYFUNCTION("""COMPUTED_VALUE"""),0.0)</f>
        <v>0</v>
      </c>
      <c r="G70" s="56"/>
      <c r="H70" s="57">
        <f>IFERROR(__xludf.DUMMYFUNCTION("""COMPUTED_VALUE"""),8.0)</f>
        <v>8</v>
      </c>
      <c r="I70" s="55">
        <f>IFERROR(__xludf.DUMMYFUNCTION("""COMPUTED_VALUE"""),1.0)</f>
        <v>1</v>
      </c>
      <c r="J70" s="59">
        <f>IFERROR(__xludf.DUMMYFUNCTION("""COMPUTED_VALUE"""),8.0)</f>
        <v>8</v>
      </c>
      <c r="K70" s="51"/>
      <c r="L70" s="6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6"/>
      <c r="B71" s="69"/>
      <c r="C71" s="69"/>
      <c r="D71" s="69"/>
      <c r="E71" s="70"/>
      <c r="F71" s="69"/>
      <c r="G71" s="69"/>
      <c r="H71" s="69"/>
      <c r="I71" s="69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71"/>
      <c r="B72" s="72" t="str">
        <f>IFERROR(__xludf.DUMMYFUNCTION("""COMPUTED_VALUE"""),"No. DE ALUMNOS INSCRITOS")</f>
        <v>No. DE ALUMNOS INSCRITOS</v>
      </c>
      <c r="C72" s="73"/>
      <c r="D72" s="115">
        <f>IFERROR(__xludf.DUMMYFUNCTION("""COMPUTED_VALUE"""),54.0)</f>
        <v>54</v>
      </c>
      <c r="E72" s="69"/>
      <c r="F72" s="116" t="str">
        <f>IFERROR(__xludf.DUMMYFUNCTION("""COMPUTED_VALUE"""),"FIRMA DEL PROFESOR")</f>
        <v>FIRMA DEL PROFESOR</v>
      </c>
      <c r="G72" s="75"/>
      <c r="H72" s="116" t="str">
        <f>IFERROR(__xludf.DUMMYFUNCTION("""COMPUTED_VALUE"""),"FIRMA DEL ORIENTADOR")</f>
        <v>FIRMA DEL ORIENTADOR</v>
      </c>
      <c r="J72" s="117" t="str">
        <f>IFERROR(__xludf.DUMMYFUNCTION("""COMPUTED_VALUE"""),"Vo. Bo. SUBDIRECCIÓN ESCOLAR")</f>
        <v>Vo. Bo. SUBDIRECCIÓN ESCOLAR</v>
      </c>
      <c r="K72" s="77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78" t="str">
        <f>IFERROR(__xludf.DUMMYFUNCTION("""COMPUTED_VALUE"""),"BAJAS DURANTE EL SEMESTRE")</f>
        <v>BAJAS DURANTE EL SEMESTRE</v>
      </c>
      <c r="C73" s="79"/>
      <c r="D73" s="114">
        <f>IFERROR(__xludf.DUMMYFUNCTION("""COMPUTED_VALUE"""),0.0)</f>
        <v>0</v>
      </c>
      <c r="E73" s="69"/>
      <c r="G73" s="75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1"/>
      <c r="B74" s="78" t="str">
        <f>IFERROR(__xludf.DUMMYFUNCTION("""COMPUTED_VALUE"""),"EXISTENCIA")</f>
        <v>EXISTENCIA</v>
      </c>
      <c r="C74" s="79"/>
      <c r="D74" s="81">
        <f>IFERROR(__xludf.DUMMYFUNCTION("""COMPUTED_VALUE"""),54.0)</f>
        <v>54</v>
      </c>
      <c r="E74" s="69"/>
      <c r="F74" s="82"/>
      <c r="G74" s="83"/>
      <c r="H74" s="82"/>
      <c r="I74" s="82"/>
      <c r="J74" s="84"/>
      <c r="K74" s="8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1"/>
      <c r="B75" s="78" t="str">
        <f>IFERROR(__xludf.DUMMYFUNCTION("""COMPUTED_VALUE"""),"No. DE ALUMNOS APROBADOS")</f>
        <v>No. DE ALUMNOS APROBADOS</v>
      </c>
      <c r="C75" s="79"/>
      <c r="D75" s="81">
        <f>IFERROR(__xludf.DUMMYFUNCTION("""COMPUTED_VALUE"""),54.0)</f>
        <v>54</v>
      </c>
      <c r="E75" s="69"/>
      <c r="F75" s="82"/>
      <c r="G75" s="83"/>
      <c r="H75" s="82"/>
      <c r="I75" s="82"/>
      <c r="J75" s="84"/>
      <c r="K75" s="8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1"/>
      <c r="B76" s="78" t="str">
        <f>IFERROR(__xludf.DUMMYFUNCTION("""COMPUTED_VALUE"""),"No. DE ALUMNOS REPROBADOS")</f>
        <v>No. DE ALUMNOS REPROBADOS</v>
      </c>
      <c r="C76" s="79"/>
      <c r="D76" s="81">
        <f>IFERROR(__xludf.DUMMYFUNCTION("""COMPUTED_VALUE"""),0.0)</f>
        <v>0</v>
      </c>
      <c r="E76" s="69"/>
      <c r="F76" s="86"/>
      <c r="G76" s="83"/>
      <c r="H76" s="86"/>
      <c r="I76" s="86"/>
      <c r="J76" s="87"/>
      <c r="K76" s="8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1"/>
      <c r="B77" s="78" t="str">
        <f>IFERROR(__xludf.DUMMYFUNCTION("""COMPUTED_VALUE"""),"% DE APROBADOS")</f>
        <v>% DE APROBADOS</v>
      </c>
      <c r="C77" s="79"/>
      <c r="D77" s="89">
        <f>IFERROR(__xludf.DUMMYFUNCTION("""COMPUTED_VALUE"""),100.0)</f>
        <v>100</v>
      </c>
      <c r="E77" s="69"/>
      <c r="F77" s="90" t="str">
        <f>IFERROR(__xludf.DUMMYFUNCTION("""COMPUTED_VALUE"""),"PROFR. ")</f>
        <v>PROFR. </v>
      </c>
      <c r="G77" s="91"/>
      <c r="H77" s="92" t="str">
        <f>IFERROR(__xludf.DUMMYFUNCTION("""COMPUTED_VALUE"""),"PROFR. JOSÉ EDGAR SALAZAR ZÚÑIGA")</f>
        <v>PROFR. JOSÉ EDGAR SALAZAR ZÚÑIGA</v>
      </c>
      <c r="J77" s="93" t="str">
        <f>IFERROR(__xludf.DUMMYFUNCTION("""COMPUTED_VALUE"""),"PROFR. OCTAVIO VÁZQUEZ BARRETO")</f>
        <v>PROFR. OCTAVIO VÁZQUEZ BARRETO</v>
      </c>
      <c r="K77" s="94" t="str">
        <f>IFERROR(__xludf.DUMMYFUNCTION("""COMPUTED_VALUE"""),"PROFR. ROBERTO PALOMARES MEJÍA ")</f>
        <v>PROFR. ROBERTO PALOMARES MEJÍA </v>
      </c>
      <c r="L77" s="9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71"/>
      <c r="B78" s="96" t="str">
        <f>IFERROR(__xludf.DUMMYFUNCTION("""COMPUTED_VALUE"""),"PROMEDIO")</f>
        <v>PROMEDIO</v>
      </c>
      <c r="C78" s="97"/>
      <c r="D78" s="98">
        <f>IFERROR(__xludf.DUMMYFUNCTION("""COMPUTED_VALUE"""),8.37037037037037)</f>
        <v>8.37037037</v>
      </c>
      <c r="E78" s="69"/>
      <c r="G78" s="91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99"/>
      <c r="B80" s="100"/>
      <c r="C80" s="101"/>
      <c r="D80" s="101"/>
      <c r="E80" s="69"/>
      <c r="G80" s="7"/>
      <c r="H80" s="7"/>
      <c r="I80" s="7"/>
      <c r="J80" s="7"/>
      <c r="K80" s="102"/>
      <c r="L80" s="10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4"/>
      <c r="B81" s="69"/>
      <c r="C81" s="69"/>
      <c r="D81" s="69"/>
      <c r="E81" s="7"/>
      <c r="F81" s="1"/>
      <c r="G81" s="1"/>
      <c r="H81" s="1"/>
      <c r="I81" s="1"/>
      <c r="J81" s="1"/>
      <c r="K81" s="8"/>
      <c r="L81" s="10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4"/>
      <c r="B82" s="69"/>
      <c r="C82" s="69"/>
      <c r="D82" s="69"/>
      <c r="E82" s="7"/>
      <c r="F82" s="1"/>
      <c r="G82" s="1"/>
      <c r="H82" s="1"/>
      <c r="I82" s="1"/>
      <c r="J82" s="1"/>
      <c r="K82" s="8"/>
      <c r="L82" s="10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6"/>
      <c r="B83" s="107"/>
      <c r="C83" s="107"/>
      <c r="D83" s="107"/>
      <c r="E83" s="108"/>
      <c r="F83" s="109"/>
      <c r="G83" s="109"/>
      <c r="H83" s="109"/>
      <c r="I83" s="109"/>
      <c r="J83" s="109"/>
      <c r="K83" s="110"/>
      <c r="L83" s="10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12"/>
      <c r="K84" s="112"/>
      <c r="L84" s="11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12"/>
      <c r="K85" s="112"/>
      <c r="L85" s="11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12"/>
      <c r="K86" s="112"/>
      <c r="L86" s="11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12"/>
      <c r="K87" s="112"/>
      <c r="L87" s="11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1"/>
      <c r="C89" s="111"/>
      <c r="D89" s="111"/>
      <c r="E89" s="111"/>
      <c r="F89" s="1"/>
      <c r="G89" s="1"/>
      <c r="H89" s="1"/>
      <c r="I89" s="1"/>
      <c r="J89" s="1"/>
      <c r="K89" s="11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1"/>
      <c r="C90" s="111"/>
      <c r="D90" s="111"/>
      <c r="E90" s="11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1"/>
      <c r="C91" s="111"/>
      <c r="D91" s="111"/>
      <c r="E91" s="11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1"/>
      <c r="C92" s="111"/>
      <c r="D92" s="111"/>
      <c r="E92" s="11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1"/>
      <c r="C93" s="111"/>
      <c r="D93" s="111"/>
      <c r="E93" s="11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1"/>
      <c r="C94" s="111"/>
      <c r="D94" s="111"/>
      <c r="E94" s="11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1"/>
      <c r="C95" s="111"/>
      <c r="D95" s="111"/>
      <c r="E95" s="11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IFERROR(__xludf.DUMMYFUNCTION("IMPORTRANGE(""https://docs.google.com/spreadsheets/d/1nD9uWST3bppTVmlWOrMXpAxxcPKaqeIaymVAUHtXDd8/edit?gid=1411965046#gid=1411965046"",""1-2 educacion para la salud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IFERROR(__xludf.DUMMYFUNCTION("""COMPUTED_VALUE"""),"Marlene García Monzalvo")</f>
        <v>Marlene García Monzalvo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IFERROR(__xludf.DUMMYFUNCTION("""COMPUTED_VALUE"""),"EDUCACIÓN PARA LA SALUD II")</f>
        <v>EDUCACIÓN PARA LA SALUD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119" t="str">
        <f>IFERROR(__xludf.DUMMYFUNCTION("""COMPUTED_VALUE"""),"AMBROSIO")</f>
        <v>AMBROSIO</v>
      </c>
      <c r="C17" s="120" t="str">
        <f>IFERROR(__xludf.DUMMYFUNCTION("""COMPUTED_VALUE"""),"RAMIREZ")</f>
        <v>RAMIREZ</v>
      </c>
      <c r="D17" s="121" t="str">
        <f>IFERROR(__xludf.DUMMYFUNCTION("""COMPUTED_VALUE"""),"ALEXANDRA")</f>
        <v>ALEXANDRA</v>
      </c>
      <c r="E17" s="55">
        <f>IFERROR(__xludf.DUMMYFUNCTION("""COMPUTED_VALUE"""),55.0)</f>
        <v>55</v>
      </c>
      <c r="F17" s="55">
        <f>IFERROR(__xludf.DUMMYFUNCTION("""COMPUTED_VALUE"""),10.0)</f>
        <v>10</v>
      </c>
      <c r="G17" s="56"/>
      <c r="H17" s="57">
        <f>IFERROR(__xludf.DUMMYFUNCTION("""COMPUTED_VALUE"""),65.0)</f>
        <v>65</v>
      </c>
      <c r="I17" s="58">
        <f>IFERROR(__xludf.DUMMYFUNCTION("""COMPUTED_VALUE"""),0.0)</f>
        <v>0</v>
      </c>
      <c r="J17" s="59">
        <f>IFERROR(__xludf.DUMMYFUNCTION("""COMPUTED_VALUE"""),7.0)</f>
        <v>7</v>
      </c>
      <c r="K17" s="60"/>
      <c r="L17" s="61">
        <f>IFERROR(__xludf.DUMMYFUNCTION("""COMPUTED_VALUE"""),65.0)</f>
        <v>65</v>
      </c>
      <c r="M17" s="1" t="str">
        <f>IFERROR(__xludf.DUMMYFUNCTION("""COMPUTED_VALUE"""),"Febrero")</f>
        <v>Febrero</v>
      </c>
      <c r="N17" s="1">
        <f>IFERROR(__xludf.DUMMYFUNCTION("""COMPUTED_VALUE"""),4.0)</f>
        <v>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120" t="str">
        <f>IFERROR(__xludf.DUMMYFUNCTION("""COMPUTED_VALUE"""),"AVILA")</f>
        <v>AVILA</v>
      </c>
      <c r="C18" s="119" t="str">
        <f>IFERROR(__xludf.DUMMYFUNCTION("""COMPUTED_VALUE"""),"MORALES")</f>
        <v>MORALES</v>
      </c>
      <c r="D18" s="121" t="str">
        <f>IFERROR(__xludf.DUMMYFUNCTION("""COMPUTED_VALUE"""),"EDWIN ADAHIR")</f>
        <v>EDWIN ADAHIR</v>
      </c>
      <c r="E18" s="55">
        <f>IFERROR(__xludf.DUMMYFUNCTION("""COMPUTED_VALUE"""),60.0)</f>
        <v>60</v>
      </c>
      <c r="F18" s="55">
        <f>IFERROR(__xludf.DUMMYFUNCTION("""COMPUTED_VALUE"""),20.0)</f>
        <v>20</v>
      </c>
      <c r="G18" s="56"/>
      <c r="H18" s="57">
        <f>IFERROR(__xludf.DUMMYFUNCTION("""COMPUTED_VALUE"""),80.0)</f>
        <v>80</v>
      </c>
      <c r="I18" s="58">
        <f>IFERROR(__xludf.DUMMYFUNCTION("""COMPUTED_VALUE"""),1.0)</f>
        <v>1</v>
      </c>
      <c r="J18" s="59">
        <f>IFERROR(__xludf.DUMMYFUNCTION("""COMPUTED_VALUE"""),8.0)</f>
        <v>8</v>
      </c>
      <c r="K18" s="51"/>
      <c r="L18" s="61">
        <f>IFERROR(__xludf.DUMMYFUNCTION("""COMPUTED_VALUE"""),80.0)</f>
        <v>80</v>
      </c>
      <c r="M18" s="1" t="str">
        <f>IFERROR(__xludf.DUMMYFUNCTION("""COMPUTED_VALUE"""),"Marzo")</f>
        <v>Marzo</v>
      </c>
      <c r="N18" s="1">
        <f>IFERROR(__xludf.DUMMYFUNCTION("""COMPUTED_VALUE"""),8.0)</f>
        <v>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120" t="str">
        <f>IFERROR(__xludf.DUMMYFUNCTION("""COMPUTED_VALUE"""),"AVILA")</f>
        <v>AVILA</v>
      </c>
      <c r="C19" s="119" t="str">
        <f>IFERROR(__xludf.DUMMYFUNCTION("""COMPUTED_VALUE"""),"RAMIREZ")</f>
        <v>RAMIREZ</v>
      </c>
      <c r="D19" s="121" t="str">
        <f>IFERROR(__xludf.DUMMYFUNCTION("""COMPUTED_VALUE"""),"SANTIAGO")</f>
        <v>SANTIAGO</v>
      </c>
      <c r="E19" s="56">
        <f>IFERROR(__xludf.DUMMYFUNCTION("""COMPUTED_VALUE"""),50.0)</f>
        <v>50</v>
      </c>
      <c r="F19" s="55">
        <f>IFERROR(__xludf.DUMMYFUNCTION("""COMPUTED_VALUE"""),20.0)</f>
        <v>20</v>
      </c>
      <c r="G19" s="56"/>
      <c r="H19" s="57">
        <f>IFERROR(__xludf.DUMMYFUNCTION("""COMPUTED_VALUE"""),70.0)</f>
        <v>70</v>
      </c>
      <c r="I19" s="58">
        <f>IFERROR(__xludf.DUMMYFUNCTION("""COMPUTED_VALUE"""),0.0)</f>
        <v>0</v>
      </c>
      <c r="J19" s="59">
        <f>IFERROR(__xludf.DUMMYFUNCTION("""COMPUTED_VALUE"""),7.0)</f>
        <v>7</v>
      </c>
      <c r="K19" s="51"/>
      <c r="L19" s="61">
        <f>IFERROR(__xludf.DUMMYFUNCTION("""COMPUTED_VALUE"""),70.0)</f>
        <v>70</v>
      </c>
      <c r="M19" s="1" t="str">
        <f>IFERROR(__xludf.DUMMYFUNCTION("""COMPUTED_VALUE"""),"Abril")</f>
        <v>Abril</v>
      </c>
      <c r="N19" s="1">
        <f>IFERROR(__xludf.DUMMYFUNCTION("""COMPUTED_VALUE"""),6.0)</f>
        <v>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120" t="str">
        <f>IFERROR(__xludf.DUMMYFUNCTION("""COMPUTED_VALUE"""),"BARRAZA")</f>
        <v>BARRAZA</v>
      </c>
      <c r="C20" s="119" t="str">
        <f>IFERROR(__xludf.DUMMYFUNCTION("""COMPUTED_VALUE"""),"MONTELONGO")</f>
        <v>MONTELONGO</v>
      </c>
      <c r="D20" s="121" t="str">
        <f>IFERROR(__xludf.DUMMYFUNCTION("""COMPUTED_VALUE"""),"STEFANY YANELI")</f>
        <v>STEFANY YANELI</v>
      </c>
      <c r="E20" s="55">
        <f>IFERROR(__xludf.DUMMYFUNCTION("""COMPUTED_VALUE"""),80.0)</f>
        <v>80</v>
      </c>
      <c r="F20" s="55">
        <f>IFERROR(__xludf.DUMMYFUNCTION("""COMPUTED_VALUE"""),20.0)</f>
        <v>20</v>
      </c>
      <c r="G20" s="56"/>
      <c r="H20" s="57">
        <f>IFERROR(__xludf.DUMMYFUNCTION("""COMPUTED_VALUE"""),100.0)</f>
        <v>100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IFERROR(__xludf.DUMMYFUNCTION("""COMPUTED_VALUE"""),100.0)</f>
        <v>100</v>
      </c>
      <c r="M20" s="1" t="str">
        <f>IFERROR(__xludf.DUMMYFUNCTION("""COMPUTED_VALUE"""),"Mayo")</f>
        <v>Mayo</v>
      </c>
      <c r="N20" s="1">
        <f>IFERROR(__xludf.DUMMYFUNCTION("""COMPUTED_VALUE"""),8.0)</f>
        <v>8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120" t="str">
        <f>IFERROR(__xludf.DUMMYFUNCTION("""COMPUTED_VALUE"""),"BECERRA")</f>
        <v>BECERRA</v>
      </c>
      <c r="C21" s="119" t="str">
        <f>IFERROR(__xludf.DUMMYFUNCTION("""COMPUTED_VALUE"""),"FLORES")</f>
        <v>FLORES</v>
      </c>
      <c r="D21" s="121" t="str">
        <f>IFERROR(__xludf.DUMMYFUNCTION("""COMPUTED_VALUE"""),"HADE JETZABEL")</f>
        <v>HADE JETZABEL</v>
      </c>
      <c r="E21" s="55">
        <f>IFERROR(__xludf.DUMMYFUNCTION("""COMPUTED_VALUE"""),55.0)</f>
        <v>55</v>
      </c>
      <c r="F21" s="55">
        <f>IFERROR(__xludf.DUMMYFUNCTION("""COMPUTED_VALUE"""),20.0)</f>
        <v>20</v>
      </c>
      <c r="G21" s="56"/>
      <c r="H21" s="57">
        <f>IFERROR(__xludf.DUMMYFUNCTION("""COMPUTED_VALUE"""),75.0)</f>
        <v>75</v>
      </c>
      <c r="I21" s="58">
        <f>IFERROR(__xludf.DUMMYFUNCTION("""COMPUTED_VALUE"""),0.0)</f>
        <v>0</v>
      </c>
      <c r="J21" s="59">
        <f>IFERROR(__xludf.DUMMYFUNCTION("""COMPUTED_VALUE"""),8.0)</f>
        <v>8</v>
      </c>
      <c r="K21" s="51"/>
      <c r="L21" s="61">
        <f>IFERROR(__xludf.DUMMYFUNCTION("""COMPUTED_VALUE"""),75.0)</f>
        <v>75</v>
      </c>
      <c r="M21" s="1" t="str">
        <f>IFERROR(__xludf.DUMMYFUNCTION("""COMPUTED_VALUE"""),"Junio")</f>
        <v>Junio</v>
      </c>
      <c r="N21" s="1">
        <f>IFERROR(__xludf.DUMMYFUNCTION("""COMPUTED_VALUE"""),10.0)</f>
        <v>10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120" t="str">
        <f>IFERROR(__xludf.DUMMYFUNCTION("""COMPUTED_VALUE"""),"BELLO")</f>
        <v>BELLO</v>
      </c>
      <c r="C22" s="119" t="str">
        <f>IFERROR(__xludf.DUMMYFUNCTION("""COMPUTED_VALUE"""),"CHAVEZ")</f>
        <v>CHAVEZ</v>
      </c>
      <c r="D22" s="121" t="str">
        <f>IFERROR(__xludf.DUMMYFUNCTION("""COMPUTED_VALUE"""),"EMILIO SEBASTIAN")</f>
        <v>EMILIO SEBASTIAN</v>
      </c>
      <c r="E22" s="55">
        <f>IFERROR(__xludf.DUMMYFUNCTION("""COMPUTED_VALUE"""),45.0)</f>
        <v>45</v>
      </c>
      <c r="F22" s="55">
        <f>IFERROR(__xludf.DUMMYFUNCTION("""COMPUTED_VALUE"""),20.0)</f>
        <v>20</v>
      </c>
      <c r="G22" s="56"/>
      <c r="H22" s="57">
        <f>IFERROR(__xludf.DUMMYFUNCTION("""COMPUTED_VALUE"""),65.0)</f>
        <v>65</v>
      </c>
      <c r="I22" s="58">
        <f>IFERROR(__xludf.DUMMYFUNCTION("""COMPUTED_VALUE"""),0.0)</f>
        <v>0</v>
      </c>
      <c r="J22" s="59">
        <f>IFERROR(__xludf.DUMMYFUNCTION("""COMPUTED_VALUE"""),7.0)</f>
        <v>7</v>
      </c>
      <c r="K22" s="51"/>
      <c r="L22" s="61">
        <f>IFERROR(__xludf.DUMMYFUNCTION("""COMPUTED_VALUE"""),65.0)</f>
        <v>65</v>
      </c>
      <c r="M22" s="1" t="str">
        <f>IFERROR(__xludf.DUMMYFUNCTION("""COMPUTED_VALUE"""),"Julio")</f>
        <v>Julio</v>
      </c>
      <c r="N22" s="1">
        <f>IFERROR(__xludf.DUMMYFUNCTION("""COMPUTED_VALUE"""),4.0)</f>
        <v>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120" t="str">
        <f>IFERROR(__xludf.DUMMYFUNCTION("""COMPUTED_VALUE"""),"CASAS")</f>
        <v>CASAS</v>
      </c>
      <c r="C23" s="119" t="str">
        <f>IFERROR(__xludf.DUMMYFUNCTION("""COMPUTED_VALUE"""),"GARCIA")</f>
        <v>GARCIA</v>
      </c>
      <c r="D23" s="121" t="str">
        <f>IFERROR(__xludf.DUMMYFUNCTION("""COMPUTED_VALUE"""),"ZEUS ANTHUAN")</f>
        <v>ZEUS ANTHUAN</v>
      </c>
      <c r="E23" s="55">
        <f>IFERROR(__xludf.DUMMYFUNCTION("""COMPUTED_VALUE"""),80.0)</f>
        <v>80</v>
      </c>
      <c r="F23" s="55">
        <f>IFERROR(__xludf.DUMMYFUNCTION("""COMPUTED_VALUE"""),20.0)</f>
        <v>20</v>
      </c>
      <c r="G23" s="56"/>
      <c r="H23" s="57">
        <f>IFERROR(__xludf.DUMMYFUNCTION("""COMPUTED_VALUE"""),100.0)</f>
        <v>100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IFERROR(__xludf.DUMMYFUNCTION("""COMPUTED_VALUE"""),100.0)</f>
        <v>100</v>
      </c>
      <c r="M23" s="1" t="str">
        <f>IFERROR(__xludf.DUMMYFUNCTION("""COMPUTED_VALUE"""),"TOTAL")</f>
        <v>TOTAL</v>
      </c>
      <c r="N23" s="1">
        <f>IFERROR(__xludf.DUMMYFUNCTION("""COMPUTED_VALUE"""),40.0)</f>
        <v>40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120" t="str">
        <f>IFERROR(__xludf.DUMMYFUNCTION("""COMPUTED_VALUE"""),"CHICO")</f>
        <v>CHICO</v>
      </c>
      <c r="C24" s="119" t="str">
        <f>IFERROR(__xludf.DUMMYFUNCTION("""COMPUTED_VALUE"""),"ORTIZ")</f>
        <v>ORTIZ</v>
      </c>
      <c r="D24" s="121" t="str">
        <f>IFERROR(__xludf.DUMMYFUNCTION("""COMPUTED_VALUE"""),"ALAN")</f>
        <v>ALAN</v>
      </c>
      <c r="E24" s="56">
        <f>IFERROR(__xludf.DUMMYFUNCTION("""COMPUTED_VALUE"""),49.0)</f>
        <v>49</v>
      </c>
      <c r="F24" s="55">
        <f>IFERROR(__xludf.DUMMYFUNCTION("""COMPUTED_VALUE"""),20.0)</f>
        <v>20</v>
      </c>
      <c r="G24" s="56"/>
      <c r="H24" s="57">
        <f>IFERROR(__xludf.DUMMYFUNCTION("""COMPUTED_VALUE"""),69.0)</f>
        <v>69</v>
      </c>
      <c r="I24" s="58">
        <f>IFERROR(__xludf.DUMMYFUNCTION("""COMPUTED_VALUE"""),0.0)</f>
        <v>0</v>
      </c>
      <c r="J24" s="59">
        <f>IFERROR(__xludf.DUMMYFUNCTION("""COMPUTED_VALUE"""),7.0)</f>
        <v>7</v>
      </c>
      <c r="K24" s="51"/>
      <c r="L24" s="61">
        <f>IFERROR(__xludf.DUMMYFUNCTION("""COMPUTED_VALUE"""),69.0)</f>
        <v>69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120" t="str">
        <f>IFERROR(__xludf.DUMMYFUNCTION("""COMPUTED_VALUE"""),"COLIN")</f>
        <v>COLIN</v>
      </c>
      <c r="C25" s="119" t="str">
        <f>IFERROR(__xludf.DUMMYFUNCTION("""COMPUTED_VALUE"""),"GARCIA")</f>
        <v>GARCIA</v>
      </c>
      <c r="D25" s="121" t="str">
        <f>IFERROR(__xludf.DUMMYFUNCTION("""COMPUTED_VALUE"""),"DONOBAN RODRIGO")</f>
        <v>DONOBAN RODRIGO</v>
      </c>
      <c r="E25" s="55">
        <f>IFERROR(__xludf.DUMMYFUNCTION("""COMPUTED_VALUE"""),80.0)</f>
        <v>80</v>
      </c>
      <c r="F25" s="55">
        <f>IFERROR(__xludf.DUMMYFUNCTION("""COMPUTED_VALUE"""),20.0)</f>
        <v>20</v>
      </c>
      <c r="G25" s="56"/>
      <c r="H25" s="57">
        <f>IFERROR(__xludf.DUMMYFUNCTION("""COMPUTED_VALUE"""),100.0)</f>
        <v>100</v>
      </c>
      <c r="I25" s="58">
        <f>IFERROR(__xludf.DUMMYFUNCTION("""COMPUTED_VALUE"""),0.0)</f>
        <v>0</v>
      </c>
      <c r="J25" s="59">
        <f>IFERROR(__xludf.DUMMYFUNCTION("""COMPUTED_VALUE"""),10.0)</f>
        <v>10</v>
      </c>
      <c r="K25" s="51"/>
      <c r="L25" s="61">
        <f>IFERROR(__xludf.DUMMYFUNCTION("""COMPUTED_VALUE"""),100.0)</f>
        <v>100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120" t="str">
        <f>IFERROR(__xludf.DUMMYFUNCTION("""COMPUTED_VALUE"""),"CONTRERAS")</f>
        <v>CONTRERAS</v>
      </c>
      <c r="C26" s="119" t="str">
        <f>IFERROR(__xludf.DUMMYFUNCTION("""COMPUTED_VALUE"""),"QUIJADA")</f>
        <v>QUIJADA</v>
      </c>
      <c r="D26" s="119" t="str">
        <f>IFERROR(__xludf.DUMMYFUNCTION("""COMPUTED_VALUE"""),"LEONARDO")</f>
        <v>LEONARDO</v>
      </c>
      <c r="E26" s="56">
        <f>IFERROR(__xludf.DUMMYFUNCTION("""COMPUTED_VALUE"""),45.0)</f>
        <v>45</v>
      </c>
      <c r="F26" s="55">
        <f>IFERROR(__xludf.DUMMYFUNCTION("""COMPUTED_VALUE"""),20.0)</f>
        <v>20</v>
      </c>
      <c r="G26" s="56"/>
      <c r="H26" s="57">
        <f>IFERROR(__xludf.DUMMYFUNCTION("""COMPUTED_VALUE"""),65.0)</f>
        <v>65</v>
      </c>
      <c r="I26" s="58">
        <f>IFERROR(__xludf.DUMMYFUNCTION("""COMPUTED_VALUE"""),0.0)</f>
        <v>0</v>
      </c>
      <c r="J26" s="59">
        <f>IFERROR(__xludf.DUMMYFUNCTION("""COMPUTED_VALUE"""),7.0)</f>
        <v>7</v>
      </c>
      <c r="K26" s="51"/>
      <c r="L26" s="61">
        <f>IFERROR(__xludf.DUMMYFUNCTION("""COMPUTED_VALUE"""),65.0)</f>
        <v>65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120" t="str">
        <f>IFERROR(__xludf.DUMMYFUNCTION("""COMPUTED_VALUE"""),"COVARRUBIAS")</f>
        <v>COVARRUBIAS</v>
      </c>
      <c r="C27" s="119" t="str">
        <f>IFERROR(__xludf.DUMMYFUNCTION("""COMPUTED_VALUE"""),"ACOSTA")</f>
        <v>ACOSTA</v>
      </c>
      <c r="D27" s="121" t="str">
        <f>IFERROR(__xludf.DUMMYFUNCTION("""COMPUTED_VALUE"""),"SAMANTHA ANGELINE")</f>
        <v>SAMANTHA ANGELINE</v>
      </c>
      <c r="E27" s="55">
        <f>IFERROR(__xludf.DUMMYFUNCTION("""COMPUTED_VALUE"""),75.0)</f>
        <v>75</v>
      </c>
      <c r="F27" s="55">
        <f>IFERROR(__xludf.DUMMYFUNCTION("""COMPUTED_VALUE"""),20.0)</f>
        <v>20</v>
      </c>
      <c r="G27" s="56"/>
      <c r="H27" s="57">
        <f>IFERROR(__xludf.DUMMYFUNCTION("""COMPUTED_VALUE"""),95.0)</f>
        <v>95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IFERROR(__xludf.DUMMYFUNCTION("""COMPUTED_VALUE"""),95.0)</f>
        <v>95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120" t="str">
        <f>IFERROR(__xludf.DUMMYFUNCTION("""COMPUTED_VALUE"""),"CRUZ")</f>
        <v>CRUZ</v>
      </c>
      <c r="C28" s="119" t="str">
        <f>IFERROR(__xludf.DUMMYFUNCTION("""COMPUTED_VALUE"""),"GALVEZ")</f>
        <v>GALVEZ</v>
      </c>
      <c r="D28" s="121" t="str">
        <f>IFERROR(__xludf.DUMMYFUNCTION("""COMPUTED_VALUE"""),"PARIS EMILIANO")</f>
        <v>PARIS EMILIANO</v>
      </c>
      <c r="E28" s="55">
        <f>IFERROR(__xludf.DUMMYFUNCTION("""COMPUTED_VALUE"""),80.0)</f>
        <v>80</v>
      </c>
      <c r="F28" s="55">
        <f>IFERROR(__xludf.DUMMYFUNCTION("""COMPUTED_VALUE"""),20.0)</f>
        <v>20</v>
      </c>
      <c r="G28" s="56"/>
      <c r="H28" s="57">
        <f>IFERROR(__xludf.DUMMYFUNCTION("""COMPUTED_VALUE"""),100.0)</f>
        <v>100</v>
      </c>
      <c r="I28" s="58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IFERROR(__xludf.DUMMYFUNCTION("""COMPUTED_VALUE"""),100.0)</f>
        <v>100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120" t="str">
        <f>IFERROR(__xludf.DUMMYFUNCTION("""COMPUTED_VALUE"""),"CRUZ")</f>
        <v>CRUZ</v>
      </c>
      <c r="C29" s="119" t="str">
        <f>IFERROR(__xludf.DUMMYFUNCTION("""COMPUTED_VALUE"""),"OROPEZA")</f>
        <v>OROPEZA</v>
      </c>
      <c r="D29" s="121" t="str">
        <f>IFERROR(__xludf.DUMMYFUNCTION("""COMPUTED_VALUE"""),"REBECA JANELLE")</f>
        <v>REBECA JANELLE</v>
      </c>
      <c r="E29" s="55">
        <f>IFERROR(__xludf.DUMMYFUNCTION("""COMPUTED_VALUE"""),80.0)</f>
        <v>80</v>
      </c>
      <c r="F29" s="55">
        <f>IFERROR(__xludf.DUMMYFUNCTION("""COMPUTED_VALUE"""),20.0)</f>
        <v>20</v>
      </c>
      <c r="G29" s="56"/>
      <c r="H29" s="57">
        <f>IFERROR(__xludf.DUMMYFUNCTION("""COMPUTED_VALUE"""),100.0)</f>
        <v>100</v>
      </c>
      <c r="I29" s="58">
        <f>IFERROR(__xludf.DUMMYFUNCTION("""COMPUTED_VALUE"""),0.0)</f>
        <v>0</v>
      </c>
      <c r="J29" s="59">
        <f>IFERROR(__xludf.DUMMYFUNCTION("""COMPUTED_VALUE"""),10.0)</f>
        <v>10</v>
      </c>
      <c r="K29" s="51"/>
      <c r="L29" s="61">
        <f>IFERROR(__xludf.DUMMYFUNCTION("""COMPUTED_VALUE"""),100.0)</f>
        <v>100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120" t="str">
        <f>IFERROR(__xludf.DUMMYFUNCTION("""COMPUTED_VALUE"""),"ELIZALDE")</f>
        <v>ELIZALDE</v>
      </c>
      <c r="C30" s="119" t="str">
        <f>IFERROR(__xludf.DUMMYFUNCTION("""COMPUTED_VALUE"""),"MOLINA")</f>
        <v>MOLINA</v>
      </c>
      <c r="D30" s="121" t="str">
        <f>IFERROR(__xludf.DUMMYFUNCTION("""COMPUTED_VALUE"""),"BARBARA SOFIA")</f>
        <v>BARBARA SOFIA</v>
      </c>
      <c r="E30" s="56">
        <f>IFERROR(__xludf.DUMMYFUNCTION("""COMPUTED_VALUE"""),80.0)</f>
        <v>80</v>
      </c>
      <c r="F30" s="55">
        <f>IFERROR(__xludf.DUMMYFUNCTION("""COMPUTED_VALUE"""),20.0)</f>
        <v>20</v>
      </c>
      <c r="G30" s="56"/>
      <c r="H30" s="57">
        <f>IFERROR(__xludf.DUMMYFUNCTION("""COMPUTED_VALUE"""),100.0)</f>
        <v>100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IFERROR(__xludf.DUMMYFUNCTION("""COMPUTED_VALUE"""),100.0)</f>
        <v>100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120" t="str">
        <f>IFERROR(__xludf.DUMMYFUNCTION("""COMPUTED_VALUE"""),"ENCINAS")</f>
        <v>ENCINAS</v>
      </c>
      <c r="C31" s="119" t="str">
        <f>IFERROR(__xludf.DUMMYFUNCTION("""COMPUTED_VALUE"""),"RODRIGUEZ")</f>
        <v>RODRIGUEZ</v>
      </c>
      <c r="D31" s="121" t="str">
        <f>IFERROR(__xludf.DUMMYFUNCTION("""COMPUTED_VALUE"""),"CESAR ROBERTO")</f>
        <v>CESAR ROBERTO</v>
      </c>
      <c r="E31" s="56">
        <f>IFERROR(__xludf.DUMMYFUNCTION("""COMPUTED_VALUE"""),75.0)</f>
        <v>75</v>
      </c>
      <c r="F31" s="55">
        <f>IFERROR(__xludf.DUMMYFUNCTION("""COMPUTED_VALUE"""),20.0)</f>
        <v>20</v>
      </c>
      <c r="G31" s="56"/>
      <c r="H31" s="57">
        <f>IFERROR(__xludf.DUMMYFUNCTION("""COMPUTED_VALUE"""),95.0)</f>
        <v>95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IFERROR(__xludf.DUMMYFUNCTION("""COMPUTED_VALUE"""),95.0)</f>
        <v>95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120" t="str">
        <f>IFERROR(__xludf.DUMMYFUNCTION("""COMPUTED_VALUE"""),"ESTRADA")</f>
        <v>ESTRADA</v>
      </c>
      <c r="C32" s="119" t="str">
        <f>IFERROR(__xludf.DUMMYFUNCTION("""COMPUTED_VALUE"""),"VARGAS")</f>
        <v>VARGAS</v>
      </c>
      <c r="D32" s="121" t="str">
        <f>IFERROR(__xludf.DUMMYFUNCTION("""COMPUTED_VALUE"""),"JESUS SANTIAGO")</f>
        <v>JESUS SANTIAGO</v>
      </c>
      <c r="E32" s="55">
        <f>IFERROR(__xludf.DUMMYFUNCTION("""COMPUTED_VALUE"""),45.0)</f>
        <v>45</v>
      </c>
      <c r="F32" s="55">
        <f>IFERROR(__xludf.DUMMYFUNCTION("""COMPUTED_VALUE"""),20.0)</f>
        <v>20</v>
      </c>
      <c r="G32" s="56"/>
      <c r="H32" s="57">
        <f>IFERROR(__xludf.DUMMYFUNCTION("""COMPUTED_VALUE"""),65.0)</f>
        <v>65</v>
      </c>
      <c r="I32" s="58">
        <f>IFERROR(__xludf.DUMMYFUNCTION("""COMPUTED_VALUE"""),0.0)</f>
        <v>0</v>
      </c>
      <c r="J32" s="59">
        <f>IFERROR(__xludf.DUMMYFUNCTION("""COMPUTED_VALUE"""),7.0)</f>
        <v>7</v>
      </c>
      <c r="K32" s="51"/>
      <c r="L32" s="61">
        <f>IFERROR(__xludf.DUMMYFUNCTION("""COMPUTED_VALUE"""),65.0)</f>
        <v>65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120" t="str">
        <f>IFERROR(__xludf.DUMMYFUNCTION("""COMPUTED_VALUE"""),"FINKENTHAL")</f>
        <v>FINKENTHAL</v>
      </c>
      <c r="C33" s="119" t="str">
        <f>IFERROR(__xludf.DUMMYFUNCTION("""COMPUTED_VALUE"""),"RAMIREZ")</f>
        <v>RAMIREZ</v>
      </c>
      <c r="D33" s="121" t="str">
        <f>IFERROR(__xludf.DUMMYFUNCTION("""COMPUTED_VALUE"""),"ALENKA")</f>
        <v>ALENKA</v>
      </c>
      <c r="E33" s="55">
        <f>IFERROR(__xludf.DUMMYFUNCTION("""COMPUTED_VALUE"""),80.0)</f>
        <v>80</v>
      </c>
      <c r="F33" s="55">
        <f>IFERROR(__xludf.DUMMYFUNCTION("""COMPUTED_VALUE"""),20.0)</f>
        <v>20</v>
      </c>
      <c r="G33" s="56"/>
      <c r="H33" s="57">
        <f>IFERROR(__xludf.DUMMYFUNCTION("""COMPUTED_VALUE"""),100.0)</f>
        <v>100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IFERROR(__xludf.DUMMYFUNCTION("""COMPUTED_VALUE"""),100.0)</f>
        <v>100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120" t="str">
        <f>IFERROR(__xludf.DUMMYFUNCTION("""COMPUTED_VALUE"""),"FLORES")</f>
        <v>FLORES</v>
      </c>
      <c r="C34" s="119" t="str">
        <f>IFERROR(__xludf.DUMMYFUNCTION("""COMPUTED_VALUE"""),"PEREZ")</f>
        <v>PEREZ</v>
      </c>
      <c r="D34" s="121" t="str">
        <f>IFERROR(__xludf.DUMMYFUNCTION("""COMPUTED_VALUE"""),"ROBERTO")</f>
        <v>ROBERTO</v>
      </c>
      <c r="E34" s="56">
        <f>IFERROR(__xludf.DUMMYFUNCTION("""COMPUTED_VALUE"""),50.0)</f>
        <v>50</v>
      </c>
      <c r="F34" s="55">
        <f>IFERROR(__xludf.DUMMYFUNCTION("""COMPUTED_VALUE"""),20.0)</f>
        <v>20</v>
      </c>
      <c r="G34" s="56"/>
      <c r="H34" s="57">
        <f>IFERROR(__xludf.DUMMYFUNCTION("""COMPUTED_VALUE"""),70.0)</f>
        <v>70</v>
      </c>
      <c r="I34" s="58">
        <f>IFERROR(__xludf.DUMMYFUNCTION("""COMPUTED_VALUE"""),0.0)</f>
        <v>0</v>
      </c>
      <c r="J34" s="59">
        <f>IFERROR(__xludf.DUMMYFUNCTION("""COMPUTED_VALUE"""),7.0)</f>
        <v>7</v>
      </c>
      <c r="K34" s="51"/>
      <c r="L34" s="61">
        <f>IFERROR(__xludf.DUMMYFUNCTION("""COMPUTED_VALUE"""),70.0)</f>
        <v>70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120" t="str">
        <f>IFERROR(__xludf.DUMMYFUNCTION("""COMPUTED_VALUE"""),"FLORES")</f>
        <v>FLORES</v>
      </c>
      <c r="C35" s="119" t="str">
        <f>IFERROR(__xludf.DUMMYFUNCTION("""COMPUTED_VALUE"""),"RODRIGUEZ")</f>
        <v>RODRIGUEZ</v>
      </c>
      <c r="D35" s="121" t="str">
        <f>IFERROR(__xludf.DUMMYFUNCTION("""COMPUTED_VALUE"""),"FRANCISCO ISAAC")</f>
        <v>FRANCISCO ISAAC</v>
      </c>
      <c r="E35" s="55">
        <f>IFERROR(__xludf.DUMMYFUNCTION("""COMPUTED_VALUE"""),40.0)</f>
        <v>40</v>
      </c>
      <c r="F35" s="55">
        <f>IFERROR(__xludf.DUMMYFUNCTION("""COMPUTED_VALUE"""),20.0)</f>
        <v>20</v>
      </c>
      <c r="G35" s="56"/>
      <c r="H35" s="57">
        <f>IFERROR(__xludf.DUMMYFUNCTION("""COMPUTED_VALUE"""),60.0)</f>
        <v>60</v>
      </c>
      <c r="I35" s="58">
        <f>IFERROR(__xludf.DUMMYFUNCTION("""COMPUTED_VALUE"""),0.0)</f>
        <v>0</v>
      </c>
      <c r="J35" s="59">
        <f>IFERROR(__xludf.DUMMYFUNCTION("""COMPUTED_VALUE"""),6.0)</f>
        <v>6</v>
      </c>
      <c r="K35" s="51"/>
      <c r="L35" s="61">
        <f>IFERROR(__xludf.DUMMYFUNCTION("""COMPUTED_VALUE"""),60.0)</f>
        <v>60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120" t="str">
        <f>IFERROR(__xludf.DUMMYFUNCTION("""COMPUTED_VALUE"""),"GONZALEZ")</f>
        <v>GONZALEZ</v>
      </c>
      <c r="C36" s="119" t="str">
        <f>IFERROR(__xludf.DUMMYFUNCTION("""COMPUTED_VALUE"""),"GONZALEZ")</f>
        <v>GONZALEZ</v>
      </c>
      <c r="D36" s="121" t="str">
        <f>IFERROR(__xludf.DUMMYFUNCTION("""COMPUTED_VALUE"""),"ANGELA PAULINA")</f>
        <v>ANGELA PAULINA</v>
      </c>
      <c r="E36" s="55">
        <f>IFERROR(__xludf.DUMMYFUNCTION("""COMPUTED_VALUE"""),80.0)</f>
        <v>80</v>
      </c>
      <c r="F36" s="55">
        <f>IFERROR(__xludf.DUMMYFUNCTION("""COMPUTED_VALUE"""),20.0)</f>
        <v>20</v>
      </c>
      <c r="G36" s="56"/>
      <c r="H36" s="57">
        <f>IFERROR(__xludf.DUMMYFUNCTION("""COMPUTED_VALUE"""),100.0)</f>
        <v>100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IFERROR(__xludf.DUMMYFUNCTION("""COMPUTED_VALUE"""),100.0)</f>
        <v>100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120" t="str">
        <f>IFERROR(__xludf.DUMMYFUNCTION("""COMPUTED_VALUE"""),"GONZALEZ")</f>
        <v>GONZALEZ</v>
      </c>
      <c r="C37" s="119" t="str">
        <f>IFERROR(__xludf.DUMMYFUNCTION("""COMPUTED_VALUE"""),"TREJO")</f>
        <v>TREJO</v>
      </c>
      <c r="D37" s="121" t="str">
        <f>IFERROR(__xludf.DUMMYFUNCTION("""COMPUTED_VALUE"""),"LESLIE XIMENA")</f>
        <v>LESLIE XIMENA</v>
      </c>
      <c r="E37" s="56">
        <f>IFERROR(__xludf.DUMMYFUNCTION("""COMPUTED_VALUE"""),80.0)</f>
        <v>80</v>
      </c>
      <c r="F37" s="55">
        <f>IFERROR(__xludf.DUMMYFUNCTION("""COMPUTED_VALUE"""),20.0)</f>
        <v>20</v>
      </c>
      <c r="G37" s="56"/>
      <c r="H37" s="57">
        <f>IFERROR(__xludf.DUMMYFUNCTION("""COMPUTED_VALUE"""),100.0)</f>
        <v>100</v>
      </c>
      <c r="I37" s="58">
        <f>IFERROR(__xludf.DUMMYFUNCTION("""COMPUTED_VALUE"""),0.0)</f>
        <v>0</v>
      </c>
      <c r="J37" s="59">
        <f>IFERROR(__xludf.DUMMYFUNCTION("""COMPUTED_VALUE"""),10.0)</f>
        <v>10</v>
      </c>
      <c r="K37" s="51"/>
      <c r="L37" s="61">
        <f>IFERROR(__xludf.DUMMYFUNCTION("""COMPUTED_VALUE"""),100.0)</f>
        <v>100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120" t="str">
        <f>IFERROR(__xludf.DUMMYFUNCTION("""COMPUTED_VALUE"""),"HERNANDEZ")</f>
        <v>HERNANDEZ</v>
      </c>
      <c r="C38" s="119" t="str">
        <f>IFERROR(__xludf.DUMMYFUNCTION("""COMPUTED_VALUE"""),"GARCIA")</f>
        <v>GARCIA</v>
      </c>
      <c r="D38" s="121" t="str">
        <f>IFERROR(__xludf.DUMMYFUNCTION("""COMPUTED_VALUE"""),"EMILY")</f>
        <v>EMILY</v>
      </c>
      <c r="E38" s="55">
        <f>IFERROR(__xludf.DUMMYFUNCTION("""COMPUTED_VALUE"""),75.0)</f>
        <v>75</v>
      </c>
      <c r="F38" s="55">
        <f>IFERROR(__xludf.DUMMYFUNCTION("""COMPUTED_VALUE"""),20.0)</f>
        <v>20</v>
      </c>
      <c r="G38" s="56"/>
      <c r="H38" s="57">
        <f>IFERROR(__xludf.DUMMYFUNCTION("""COMPUTED_VALUE"""),95.0)</f>
        <v>95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IFERROR(__xludf.DUMMYFUNCTION("""COMPUTED_VALUE"""),95.0)</f>
        <v>95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120" t="str">
        <f>IFERROR(__xludf.DUMMYFUNCTION("""COMPUTED_VALUE"""),"HERNANDEZ")</f>
        <v>HERNANDEZ</v>
      </c>
      <c r="C39" s="119" t="str">
        <f>IFERROR(__xludf.DUMMYFUNCTION("""COMPUTED_VALUE"""),"GARCIA")</f>
        <v>GARCIA</v>
      </c>
      <c r="D39" s="121" t="str">
        <f>IFERROR(__xludf.DUMMYFUNCTION("""COMPUTED_VALUE"""),"SAMANTA")</f>
        <v>SAMANTA</v>
      </c>
      <c r="E39" s="55">
        <f>IFERROR(__xludf.DUMMYFUNCTION("""COMPUTED_VALUE"""),20.0)</f>
        <v>20</v>
      </c>
      <c r="F39" s="55">
        <f>IFERROR(__xludf.DUMMYFUNCTION("""COMPUTED_VALUE"""),20.0)</f>
        <v>20</v>
      </c>
      <c r="G39" s="56"/>
      <c r="H39" s="57">
        <f>IFERROR(__xludf.DUMMYFUNCTION("""COMPUTED_VALUE"""),40.0)</f>
        <v>40</v>
      </c>
      <c r="I39" s="58">
        <f>IFERROR(__xludf.DUMMYFUNCTION("""COMPUTED_VALUE"""),1.0)</f>
        <v>1</v>
      </c>
      <c r="J39" s="59">
        <f>IFERROR(__xludf.DUMMYFUNCTION("""COMPUTED_VALUE"""),5.0)</f>
        <v>5</v>
      </c>
      <c r="K39" s="51"/>
      <c r="L39" s="61">
        <f>IFERROR(__xludf.DUMMYFUNCTION("""COMPUTED_VALUE"""),40.0)</f>
        <v>40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120" t="str">
        <f>IFERROR(__xludf.DUMMYFUNCTION("""COMPUTED_VALUE"""),"HERRERA")</f>
        <v>HERRERA</v>
      </c>
      <c r="C40" s="119" t="str">
        <f>IFERROR(__xludf.DUMMYFUNCTION("""COMPUTED_VALUE"""),"JIMENEZ")</f>
        <v>JIMENEZ</v>
      </c>
      <c r="D40" s="121" t="str">
        <f>IFERROR(__xludf.DUMMYFUNCTION("""COMPUTED_VALUE"""),"JOSUE ABISAI")</f>
        <v>JOSUE ABISAI</v>
      </c>
      <c r="E40" s="55">
        <f>IFERROR(__xludf.DUMMYFUNCTION("""COMPUTED_VALUE"""),60.0)</f>
        <v>60</v>
      </c>
      <c r="F40" s="55">
        <f>IFERROR(__xludf.DUMMYFUNCTION("""COMPUTED_VALUE"""),20.0)</f>
        <v>20</v>
      </c>
      <c r="G40" s="56"/>
      <c r="H40" s="57">
        <f>IFERROR(__xludf.DUMMYFUNCTION("""COMPUTED_VALUE"""),80.0)</f>
        <v>80</v>
      </c>
      <c r="I40" s="58">
        <f>IFERROR(__xludf.DUMMYFUNCTION("""COMPUTED_VALUE"""),0.0)</f>
        <v>0</v>
      </c>
      <c r="J40" s="59">
        <f>IFERROR(__xludf.DUMMYFUNCTION("""COMPUTED_VALUE"""),8.0)</f>
        <v>8</v>
      </c>
      <c r="K40" s="51"/>
      <c r="L40" s="61">
        <f>IFERROR(__xludf.DUMMYFUNCTION("""COMPUTED_VALUE"""),80.0)</f>
        <v>80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120" t="str">
        <f>IFERROR(__xludf.DUMMYFUNCTION("""COMPUTED_VALUE"""),"HERNANDEZ")</f>
        <v>HERNANDEZ</v>
      </c>
      <c r="C41" s="119" t="str">
        <f>IFERROR(__xludf.DUMMYFUNCTION("""COMPUTED_VALUE"""),"PALLARES")</f>
        <v>PALLARES</v>
      </c>
      <c r="D41" s="121" t="str">
        <f>IFERROR(__xludf.DUMMYFUNCTION("""COMPUTED_VALUE"""),"IVAN")</f>
        <v>IVAN</v>
      </c>
      <c r="E41" s="55">
        <f>IFERROR(__xludf.DUMMYFUNCTION("""COMPUTED_VALUE"""),10.0)</f>
        <v>10</v>
      </c>
      <c r="F41" s="55">
        <f>IFERROR(__xludf.DUMMYFUNCTION("""COMPUTED_VALUE"""),0.0)</f>
        <v>0</v>
      </c>
      <c r="G41" s="56"/>
      <c r="H41" s="57">
        <f>IFERROR(__xludf.DUMMYFUNCTION("""COMPUTED_VALUE"""),10.0)</f>
        <v>10</v>
      </c>
      <c r="I41" s="58">
        <f>IFERROR(__xludf.DUMMYFUNCTION("""COMPUTED_VALUE"""),1.0)</f>
        <v>1</v>
      </c>
      <c r="J41" s="59">
        <f>IFERROR(__xludf.DUMMYFUNCTION("""COMPUTED_VALUE"""),5.0)</f>
        <v>5</v>
      </c>
      <c r="K41" s="51"/>
      <c r="L41" s="61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120" t="str">
        <f>IFERROR(__xludf.DUMMYFUNCTION("""COMPUTED_VALUE"""),"JIMENEZ")</f>
        <v>JIMENEZ</v>
      </c>
      <c r="C42" s="119" t="str">
        <f>IFERROR(__xludf.DUMMYFUNCTION("""COMPUTED_VALUE"""),"PACHUCA")</f>
        <v>PACHUCA</v>
      </c>
      <c r="D42" s="121" t="str">
        <f>IFERROR(__xludf.DUMMYFUNCTION("""COMPUTED_VALUE"""),"LUIS ANTONIO")</f>
        <v>LUIS ANTONIO</v>
      </c>
      <c r="E42" s="55">
        <f>IFERROR(__xludf.DUMMYFUNCTION("""COMPUTED_VALUE"""),80.0)</f>
        <v>80</v>
      </c>
      <c r="F42" s="55">
        <f>IFERROR(__xludf.DUMMYFUNCTION("""COMPUTED_VALUE"""),20.0)</f>
        <v>20</v>
      </c>
      <c r="G42" s="56"/>
      <c r="H42" s="57">
        <f>IFERROR(__xludf.DUMMYFUNCTION("""COMPUTED_VALUE"""),100.0)</f>
        <v>100</v>
      </c>
      <c r="I42" s="58">
        <f>IFERROR(__xludf.DUMMYFUNCTION("""COMPUTED_VALUE"""),0.0)</f>
        <v>0</v>
      </c>
      <c r="J42" s="59">
        <f>IFERROR(__xludf.DUMMYFUNCTION("""COMPUTED_VALUE"""),10.0)</f>
        <v>10</v>
      </c>
      <c r="K42" s="51"/>
      <c r="L42" s="61">
        <f>IFERROR(__xludf.DUMMYFUNCTION("""COMPUTED_VALUE"""),100.0)</f>
        <v>100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120" t="str">
        <f>IFERROR(__xludf.DUMMYFUNCTION("""COMPUTED_VALUE"""),"LEGORRETA")</f>
        <v>LEGORRETA</v>
      </c>
      <c r="C43" s="119" t="str">
        <f>IFERROR(__xludf.DUMMYFUNCTION("""COMPUTED_VALUE"""),"HERNANDEZ")</f>
        <v>HERNANDEZ</v>
      </c>
      <c r="D43" s="121" t="str">
        <f>IFERROR(__xludf.DUMMYFUNCTION("""COMPUTED_VALUE"""),"LILIANA")</f>
        <v>LILIANA</v>
      </c>
      <c r="E43" s="55">
        <f>IFERROR(__xludf.DUMMYFUNCTION("""COMPUTED_VALUE"""),50.0)</f>
        <v>50</v>
      </c>
      <c r="F43" s="55">
        <f>IFERROR(__xludf.DUMMYFUNCTION("""COMPUTED_VALUE"""),20.0)</f>
        <v>20</v>
      </c>
      <c r="G43" s="56"/>
      <c r="H43" s="57">
        <f>IFERROR(__xludf.DUMMYFUNCTION("""COMPUTED_VALUE"""),70.0)</f>
        <v>70</v>
      </c>
      <c r="I43" s="58">
        <f>IFERROR(__xludf.DUMMYFUNCTION("""COMPUTED_VALUE"""),0.0)</f>
        <v>0</v>
      </c>
      <c r="J43" s="59">
        <f>IFERROR(__xludf.DUMMYFUNCTION("""COMPUTED_VALUE"""),7.0)</f>
        <v>7</v>
      </c>
      <c r="K43" s="51"/>
      <c r="L43" s="61">
        <f>IFERROR(__xludf.DUMMYFUNCTION("""COMPUTED_VALUE"""),70.0)</f>
        <v>70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120" t="str">
        <f>IFERROR(__xludf.DUMMYFUNCTION("""COMPUTED_VALUE"""),"LOPEZ")</f>
        <v>LOPEZ</v>
      </c>
      <c r="C44" s="119" t="str">
        <f>IFERROR(__xludf.DUMMYFUNCTION("""COMPUTED_VALUE"""),"HERNANDEZ")</f>
        <v>HERNANDEZ</v>
      </c>
      <c r="D44" s="121" t="str">
        <f>IFERROR(__xludf.DUMMYFUNCTION("""COMPUTED_VALUE"""),"KARINA")</f>
        <v>KARINA</v>
      </c>
      <c r="E44" s="55">
        <f>IFERROR(__xludf.DUMMYFUNCTION("""COMPUTED_VALUE"""),45.0)</f>
        <v>45</v>
      </c>
      <c r="F44" s="55">
        <f>IFERROR(__xludf.DUMMYFUNCTION("""COMPUTED_VALUE"""),20.0)</f>
        <v>20</v>
      </c>
      <c r="G44" s="56"/>
      <c r="H44" s="57">
        <f>IFERROR(__xludf.DUMMYFUNCTION("""COMPUTED_VALUE"""),65.0)</f>
        <v>65</v>
      </c>
      <c r="I44" s="58">
        <f>IFERROR(__xludf.DUMMYFUNCTION("""COMPUTED_VALUE"""),0.0)</f>
        <v>0</v>
      </c>
      <c r="J44" s="59">
        <f>IFERROR(__xludf.DUMMYFUNCTION("""COMPUTED_VALUE"""),7.0)</f>
        <v>7</v>
      </c>
      <c r="K44" s="51"/>
      <c r="L44" s="61">
        <f>IFERROR(__xludf.DUMMYFUNCTION("""COMPUTED_VALUE"""),65.0)</f>
        <v>65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120" t="str">
        <f>IFERROR(__xludf.DUMMYFUNCTION("""COMPUTED_VALUE"""),"LUGO")</f>
        <v>LUGO</v>
      </c>
      <c r="C45" s="119" t="str">
        <f>IFERROR(__xludf.DUMMYFUNCTION("""COMPUTED_VALUE"""),"SOLARES")</f>
        <v>SOLARES</v>
      </c>
      <c r="D45" s="121" t="str">
        <f>IFERROR(__xludf.DUMMYFUNCTION("""COMPUTED_VALUE"""),"YAIR EMILIANO")</f>
        <v>YAIR EMILIANO</v>
      </c>
      <c r="E45" s="55">
        <f>IFERROR(__xludf.DUMMYFUNCTION("""COMPUTED_VALUE"""),80.0)</f>
        <v>80</v>
      </c>
      <c r="F45" s="55">
        <f>IFERROR(__xludf.DUMMYFUNCTION("""COMPUTED_VALUE"""),20.0)</f>
        <v>20</v>
      </c>
      <c r="G45" s="56"/>
      <c r="H45" s="57">
        <f>IFERROR(__xludf.DUMMYFUNCTION("""COMPUTED_VALUE"""),100.0)</f>
        <v>100</v>
      </c>
      <c r="I45" s="58">
        <f>IFERROR(__xludf.DUMMYFUNCTION("""COMPUTED_VALUE"""),0.0)</f>
        <v>0</v>
      </c>
      <c r="J45" s="59">
        <f>IFERROR(__xludf.DUMMYFUNCTION("""COMPUTED_VALUE"""),10.0)</f>
        <v>10</v>
      </c>
      <c r="K45" s="51"/>
      <c r="L45" s="61">
        <f>IFERROR(__xludf.DUMMYFUNCTION("""COMPUTED_VALUE"""),100.0)</f>
        <v>100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120" t="str">
        <f>IFERROR(__xludf.DUMMYFUNCTION("""COMPUTED_VALUE"""),"LUNA")</f>
        <v>LUNA</v>
      </c>
      <c r="C46" s="119" t="str">
        <f>IFERROR(__xludf.DUMMYFUNCTION("""COMPUTED_VALUE"""),"FRANCISCO")</f>
        <v>FRANCISCO</v>
      </c>
      <c r="D46" s="121" t="str">
        <f>IFERROR(__xludf.DUMMYFUNCTION("""COMPUTED_VALUE"""),"SAMANTHA ITZEL")</f>
        <v>SAMANTHA ITZEL</v>
      </c>
      <c r="E46" s="55">
        <f>IFERROR(__xludf.DUMMYFUNCTION("""COMPUTED_VALUE"""),40.0)</f>
        <v>40</v>
      </c>
      <c r="F46" s="55">
        <f>IFERROR(__xludf.DUMMYFUNCTION("""COMPUTED_VALUE"""),20.0)</f>
        <v>20</v>
      </c>
      <c r="G46" s="56"/>
      <c r="H46" s="57">
        <f>IFERROR(__xludf.DUMMYFUNCTION("""COMPUTED_VALUE"""),60.0)</f>
        <v>60</v>
      </c>
      <c r="I46" s="58">
        <f>IFERROR(__xludf.DUMMYFUNCTION("""COMPUTED_VALUE"""),0.0)</f>
        <v>0</v>
      </c>
      <c r="J46" s="59">
        <f>IFERROR(__xludf.DUMMYFUNCTION("""COMPUTED_VALUE"""),6.0)</f>
        <v>6</v>
      </c>
      <c r="K46" s="51"/>
      <c r="L46" s="61">
        <f>IFERROR(__xludf.DUMMYFUNCTION("""COMPUTED_VALUE"""),60.0)</f>
        <v>60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120" t="str">
        <f>IFERROR(__xludf.DUMMYFUNCTION("""COMPUTED_VALUE"""),"MARENTES")</f>
        <v>MARENTES</v>
      </c>
      <c r="C47" s="120" t="str">
        <f>IFERROR(__xludf.DUMMYFUNCTION("""COMPUTED_VALUE"""),"ROBLES")</f>
        <v>ROBLES</v>
      </c>
      <c r="D47" s="121" t="str">
        <f>IFERROR(__xludf.DUMMYFUNCTION("""COMPUTED_VALUE"""),"LUZ NATALIA")</f>
        <v>LUZ NATALIA</v>
      </c>
      <c r="E47" s="55">
        <f>IFERROR(__xludf.DUMMYFUNCTION("""COMPUTED_VALUE"""),80.0)</f>
        <v>80</v>
      </c>
      <c r="F47" s="55">
        <f>IFERROR(__xludf.DUMMYFUNCTION("""COMPUTED_VALUE"""),20.0)</f>
        <v>20</v>
      </c>
      <c r="G47" s="56"/>
      <c r="H47" s="57">
        <f>IFERROR(__xludf.DUMMYFUNCTION("""COMPUTED_VALUE"""),100.0)</f>
        <v>100</v>
      </c>
      <c r="I47" s="58">
        <f>IFERROR(__xludf.DUMMYFUNCTION("""COMPUTED_VALUE"""),0.0)</f>
        <v>0</v>
      </c>
      <c r="J47" s="59">
        <f>IFERROR(__xludf.DUMMYFUNCTION("""COMPUTED_VALUE"""),10.0)</f>
        <v>10</v>
      </c>
      <c r="K47" s="51"/>
      <c r="L47" s="61">
        <f>IFERROR(__xludf.DUMMYFUNCTION("""COMPUTED_VALUE"""),100.0)</f>
        <v>100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120" t="str">
        <f>IFERROR(__xludf.DUMMYFUNCTION("""COMPUTED_VALUE"""),"MARTINEZ")</f>
        <v>MARTINEZ</v>
      </c>
      <c r="C48" s="119" t="str">
        <f>IFERROR(__xludf.DUMMYFUNCTION("""COMPUTED_VALUE"""),"IBARRA")</f>
        <v>IBARRA</v>
      </c>
      <c r="D48" s="121" t="str">
        <f>IFERROR(__xludf.DUMMYFUNCTION("""COMPUTED_VALUE"""),"JOHAN ISAI")</f>
        <v>JOHAN ISAI</v>
      </c>
      <c r="E48" s="55">
        <f>IFERROR(__xludf.DUMMYFUNCTION("""COMPUTED_VALUE"""),45.0)</f>
        <v>45</v>
      </c>
      <c r="F48" s="55">
        <f>IFERROR(__xludf.DUMMYFUNCTION("""COMPUTED_VALUE"""),20.0)</f>
        <v>20</v>
      </c>
      <c r="G48" s="56"/>
      <c r="H48" s="57">
        <f>IFERROR(__xludf.DUMMYFUNCTION("""COMPUTED_VALUE"""),65.0)</f>
        <v>65</v>
      </c>
      <c r="I48" s="58">
        <f>IFERROR(__xludf.DUMMYFUNCTION("""COMPUTED_VALUE"""),0.0)</f>
        <v>0</v>
      </c>
      <c r="J48" s="59">
        <f>IFERROR(__xludf.DUMMYFUNCTION("""COMPUTED_VALUE"""),7.0)</f>
        <v>7</v>
      </c>
      <c r="K48" s="51"/>
      <c r="L48" s="61">
        <f>IFERROR(__xludf.DUMMYFUNCTION("""COMPUTED_VALUE"""),65.0)</f>
        <v>65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120" t="str">
        <f>IFERROR(__xludf.DUMMYFUNCTION("""COMPUTED_VALUE"""),"MARTINEZ")</f>
        <v>MARTINEZ</v>
      </c>
      <c r="C49" s="119" t="str">
        <f>IFERROR(__xludf.DUMMYFUNCTION("""COMPUTED_VALUE"""),"MANCILLA")</f>
        <v>MANCILLA</v>
      </c>
      <c r="D49" s="121" t="str">
        <f>IFERROR(__xludf.DUMMYFUNCTION("""COMPUTED_VALUE"""),"ZIT ZURIEL")</f>
        <v>ZIT ZURIEL</v>
      </c>
      <c r="E49" s="55">
        <f>IFERROR(__xludf.DUMMYFUNCTION("""COMPUTED_VALUE"""),65.0)</f>
        <v>65</v>
      </c>
      <c r="F49" s="55">
        <f>IFERROR(__xludf.DUMMYFUNCTION("""COMPUTED_VALUE"""),20.0)</f>
        <v>20</v>
      </c>
      <c r="G49" s="56"/>
      <c r="H49" s="57">
        <f>IFERROR(__xludf.DUMMYFUNCTION("""COMPUTED_VALUE"""),85.0)</f>
        <v>85</v>
      </c>
      <c r="I49" s="58">
        <f>IFERROR(__xludf.DUMMYFUNCTION("""COMPUTED_VALUE"""),0.0)</f>
        <v>0</v>
      </c>
      <c r="J49" s="59">
        <f>IFERROR(__xludf.DUMMYFUNCTION("""COMPUTED_VALUE"""),9.0)</f>
        <v>9</v>
      </c>
      <c r="K49" s="51"/>
      <c r="L49" s="61">
        <f>IFERROR(__xludf.DUMMYFUNCTION("""COMPUTED_VALUE"""),85.0)</f>
        <v>85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120" t="str">
        <f>IFERROR(__xludf.DUMMYFUNCTION("""COMPUTED_VALUE"""),"MORALES")</f>
        <v>MORALES</v>
      </c>
      <c r="C50" s="119" t="str">
        <f>IFERROR(__xludf.DUMMYFUNCTION("""COMPUTED_VALUE"""),"LORANCA")</f>
        <v>LORANCA</v>
      </c>
      <c r="D50" s="121" t="str">
        <f>IFERROR(__xludf.DUMMYFUNCTION("""COMPUTED_VALUE"""),"MATIAS DANIEL")</f>
        <v>MATIAS DANIEL</v>
      </c>
      <c r="E50" s="55">
        <f>IFERROR(__xludf.DUMMYFUNCTION("""COMPUTED_VALUE"""),35.0)</f>
        <v>35</v>
      </c>
      <c r="F50" s="55">
        <f>IFERROR(__xludf.DUMMYFUNCTION("""COMPUTED_VALUE"""),0.0)</f>
        <v>0</v>
      </c>
      <c r="G50" s="56"/>
      <c r="H50" s="57">
        <f>IFERROR(__xludf.DUMMYFUNCTION("""COMPUTED_VALUE"""),35.0)</f>
        <v>35</v>
      </c>
      <c r="I50" s="58">
        <f>IFERROR(__xludf.DUMMYFUNCTION("""COMPUTED_VALUE"""),0.0)</f>
        <v>0</v>
      </c>
      <c r="J50" s="59">
        <f>IFERROR(__xludf.DUMMYFUNCTION("""COMPUTED_VALUE"""),5.0)</f>
        <v>5</v>
      </c>
      <c r="K50" s="51"/>
      <c r="L50" s="61">
        <f>IFERROR(__xludf.DUMMYFUNCTION("""COMPUTED_VALUE"""),35.0)</f>
        <v>35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120" t="str">
        <f>IFERROR(__xludf.DUMMYFUNCTION("""COMPUTED_VALUE"""),"MORALES")</f>
        <v>MORALES</v>
      </c>
      <c r="C51" s="119" t="str">
        <f>IFERROR(__xludf.DUMMYFUNCTION("""COMPUTED_VALUE"""),"PIÑON")</f>
        <v>PIÑON</v>
      </c>
      <c r="D51" s="121" t="str">
        <f>IFERROR(__xludf.DUMMYFUNCTION("""COMPUTED_VALUE"""),"NATALIA ABRIL")</f>
        <v>NATALIA ABRIL</v>
      </c>
      <c r="E51" s="55">
        <f>IFERROR(__xludf.DUMMYFUNCTION("""COMPUTED_VALUE"""),50.0)</f>
        <v>50</v>
      </c>
      <c r="F51" s="55">
        <f>IFERROR(__xludf.DUMMYFUNCTION("""COMPUTED_VALUE"""),20.0)</f>
        <v>20</v>
      </c>
      <c r="G51" s="56"/>
      <c r="H51" s="57">
        <f>IFERROR(__xludf.DUMMYFUNCTION("""COMPUTED_VALUE"""),70.0)</f>
        <v>70</v>
      </c>
      <c r="I51" s="58">
        <f>IFERROR(__xludf.DUMMYFUNCTION("""COMPUTED_VALUE"""),1.0)</f>
        <v>1</v>
      </c>
      <c r="J51" s="59">
        <f>IFERROR(__xludf.DUMMYFUNCTION("""COMPUTED_VALUE"""),7.0)</f>
        <v>7</v>
      </c>
      <c r="K51" s="51"/>
      <c r="L51" s="61">
        <f>IFERROR(__xludf.DUMMYFUNCTION("""COMPUTED_VALUE"""),70.0)</f>
        <v>70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120" t="str">
        <f>IFERROR(__xludf.DUMMYFUNCTION("""COMPUTED_VALUE"""),"NAVARRO")</f>
        <v>NAVARRO</v>
      </c>
      <c r="C52" s="119" t="str">
        <f>IFERROR(__xludf.DUMMYFUNCTION("""COMPUTED_VALUE"""),"ROMO")</f>
        <v>ROMO</v>
      </c>
      <c r="D52" s="121" t="str">
        <f>IFERROR(__xludf.DUMMYFUNCTION("""COMPUTED_VALUE"""),"MARCO ARIEL")</f>
        <v>MARCO ARIEL</v>
      </c>
      <c r="E52" s="55">
        <f>IFERROR(__xludf.DUMMYFUNCTION("""COMPUTED_VALUE"""),55.0)</f>
        <v>55</v>
      </c>
      <c r="F52" s="55">
        <f>IFERROR(__xludf.DUMMYFUNCTION("""COMPUTED_VALUE"""),20.0)</f>
        <v>20</v>
      </c>
      <c r="G52" s="56"/>
      <c r="H52" s="57">
        <f>IFERROR(__xludf.DUMMYFUNCTION("""COMPUTED_VALUE"""),75.0)</f>
        <v>75</v>
      </c>
      <c r="I52" s="58">
        <f>IFERROR(__xludf.DUMMYFUNCTION("""COMPUTED_VALUE"""),0.0)</f>
        <v>0</v>
      </c>
      <c r="J52" s="59">
        <f>IFERROR(__xludf.DUMMYFUNCTION("""COMPUTED_VALUE"""),8.0)</f>
        <v>8</v>
      </c>
      <c r="K52" s="51"/>
      <c r="L52" s="60">
        <f>IFERROR(__xludf.DUMMYFUNCTION("""COMPUTED_VALUE"""),75.0)</f>
        <v>75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120" t="str">
        <f>IFERROR(__xludf.DUMMYFUNCTION("""COMPUTED_VALUE"""),"OLVERA")</f>
        <v>OLVERA</v>
      </c>
      <c r="C53" s="119" t="str">
        <f>IFERROR(__xludf.DUMMYFUNCTION("""COMPUTED_VALUE"""),"VALLE")</f>
        <v>VALLE</v>
      </c>
      <c r="D53" s="121" t="str">
        <f>IFERROR(__xludf.DUMMYFUNCTION("""COMPUTED_VALUE"""),"LAILA MELISA")</f>
        <v>LAILA MELISA</v>
      </c>
      <c r="E53" s="55">
        <f>IFERROR(__xludf.DUMMYFUNCTION("""COMPUTED_VALUE"""),50.0)</f>
        <v>50</v>
      </c>
      <c r="F53" s="55">
        <f>IFERROR(__xludf.DUMMYFUNCTION("""COMPUTED_VALUE"""),20.0)</f>
        <v>20</v>
      </c>
      <c r="G53" s="56"/>
      <c r="H53" s="57">
        <f>IFERROR(__xludf.DUMMYFUNCTION("""COMPUTED_VALUE"""),70.0)</f>
        <v>70</v>
      </c>
      <c r="I53" s="58">
        <f>IFERROR(__xludf.DUMMYFUNCTION("""COMPUTED_VALUE"""),0.0)</f>
        <v>0</v>
      </c>
      <c r="J53" s="59">
        <f>IFERROR(__xludf.DUMMYFUNCTION("""COMPUTED_VALUE"""),7.0)</f>
        <v>7</v>
      </c>
      <c r="K53" s="51"/>
      <c r="L53" s="60">
        <f>IFERROR(__xludf.DUMMYFUNCTION("""COMPUTED_VALUE"""),70.0)</f>
        <v>70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120" t="str">
        <f>IFERROR(__xludf.DUMMYFUNCTION("""COMPUTED_VALUE"""),"ORTIZ")</f>
        <v>ORTIZ</v>
      </c>
      <c r="C54" s="119" t="str">
        <f>IFERROR(__xludf.DUMMYFUNCTION("""COMPUTED_VALUE"""),"CARRILLO")</f>
        <v>CARRILLO</v>
      </c>
      <c r="D54" s="121" t="str">
        <f>IFERROR(__xludf.DUMMYFUNCTION("""COMPUTED_VALUE"""),"DORIAN ELIAS")</f>
        <v>DORIAN ELIAS</v>
      </c>
      <c r="E54" s="55">
        <f>IFERROR(__xludf.DUMMYFUNCTION("""COMPUTED_VALUE"""),80.0)</f>
        <v>80</v>
      </c>
      <c r="F54" s="55">
        <f>IFERROR(__xludf.DUMMYFUNCTION("""COMPUTED_VALUE"""),20.0)</f>
        <v>20</v>
      </c>
      <c r="G54" s="56"/>
      <c r="H54" s="57">
        <f>IFERROR(__xludf.DUMMYFUNCTION("""COMPUTED_VALUE"""),100.0)</f>
        <v>100</v>
      </c>
      <c r="I54" s="58">
        <f>IFERROR(__xludf.DUMMYFUNCTION("""COMPUTED_VALUE"""),0.0)</f>
        <v>0</v>
      </c>
      <c r="J54" s="59">
        <f>IFERROR(__xludf.DUMMYFUNCTION("""COMPUTED_VALUE"""),10.0)</f>
        <v>10</v>
      </c>
      <c r="K54" s="51"/>
      <c r="L54" s="60">
        <f>IFERROR(__xludf.DUMMYFUNCTION("""COMPUTED_VALUE"""),100.0)</f>
        <v>100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120" t="str">
        <f>IFERROR(__xludf.DUMMYFUNCTION("""COMPUTED_VALUE"""),"PEREA")</f>
        <v>PEREA</v>
      </c>
      <c r="C55" s="119" t="str">
        <f>IFERROR(__xludf.DUMMYFUNCTION("""COMPUTED_VALUE"""),"SALDAÑA")</f>
        <v>SALDAÑA</v>
      </c>
      <c r="D55" s="121" t="str">
        <f>IFERROR(__xludf.DUMMYFUNCTION("""COMPUTED_VALUE"""),"ASTRA TAMARA")</f>
        <v>ASTRA TAMARA</v>
      </c>
      <c r="E55" s="55">
        <f>IFERROR(__xludf.DUMMYFUNCTION("""COMPUTED_VALUE"""),62.0)</f>
        <v>62</v>
      </c>
      <c r="F55" s="55">
        <f>IFERROR(__xludf.DUMMYFUNCTION("""COMPUTED_VALUE"""),20.0)</f>
        <v>20</v>
      </c>
      <c r="G55" s="56"/>
      <c r="H55" s="57">
        <f>IFERROR(__xludf.DUMMYFUNCTION("""COMPUTED_VALUE"""),82.0)</f>
        <v>82</v>
      </c>
      <c r="I55" s="64">
        <f>IFERROR(__xludf.DUMMYFUNCTION("""COMPUTED_VALUE"""),0.0)</f>
        <v>0</v>
      </c>
      <c r="J55" s="59">
        <f>IFERROR(__xludf.DUMMYFUNCTION("""COMPUTED_VALUE"""),8.0)</f>
        <v>8</v>
      </c>
      <c r="K55" s="51"/>
      <c r="L55" s="60">
        <f>IFERROR(__xludf.DUMMYFUNCTION("""COMPUTED_VALUE"""),82.0)</f>
        <v>82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120" t="str">
        <f>IFERROR(__xludf.DUMMYFUNCTION("""COMPUTED_VALUE"""),"PEREZ")</f>
        <v>PEREZ</v>
      </c>
      <c r="C56" s="119" t="str">
        <f>IFERROR(__xludf.DUMMYFUNCTION("""COMPUTED_VALUE"""),"HERNANDEZ")</f>
        <v>HERNANDEZ</v>
      </c>
      <c r="D56" s="121" t="str">
        <f>IFERROR(__xludf.DUMMYFUNCTION("""COMPUTED_VALUE"""),"EDGAR ALEJANDRO")</f>
        <v>EDGAR ALEJANDRO</v>
      </c>
      <c r="E56" s="55">
        <f>IFERROR(__xludf.DUMMYFUNCTION("""COMPUTED_VALUE"""),80.0)</f>
        <v>80</v>
      </c>
      <c r="F56" s="55">
        <f>IFERROR(__xludf.DUMMYFUNCTION("""COMPUTED_VALUE"""),20.0)</f>
        <v>20</v>
      </c>
      <c r="G56" s="56"/>
      <c r="H56" s="57">
        <f>IFERROR(__xludf.DUMMYFUNCTION("""COMPUTED_VALUE"""),100.0)</f>
        <v>100</v>
      </c>
      <c r="I56" s="64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IFERROR(__xludf.DUMMYFUNCTION("""COMPUTED_VALUE"""),100.0)</f>
        <v>100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120" t="str">
        <f>IFERROR(__xludf.DUMMYFUNCTION("""COMPUTED_VALUE"""),"PLAZA")</f>
        <v>PLAZA</v>
      </c>
      <c r="C57" s="120" t="str">
        <f>IFERROR(__xludf.DUMMYFUNCTION("""COMPUTED_VALUE"""),"LARA")</f>
        <v>LARA</v>
      </c>
      <c r="D57" s="121" t="str">
        <f>IFERROR(__xludf.DUMMYFUNCTION("""COMPUTED_VALUE"""),"IAN ALDAIR")</f>
        <v>IAN ALDAIR</v>
      </c>
      <c r="E57" s="55">
        <f>IFERROR(__xludf.DUMMYFUNCTION("""COMPUTED_VALUE"""),65.0)</f>
        <v>65</v>
      </c>
      <c r="F57" s="55">
        <f>IFERROR(__xludf.DUMMYFUNCTION("""COMPUTED_VALUE"""),20.0)</f>
        <v>20</v>
      </c>
      <c r="G57" s="56"/>
      <c r="H57" s="57">
        <f>IFERROR(__xludf.DUMMYFUNCTION("""COMPUTED_VALUE"""),85.0)</f>
        <v>85</v>
      </c>
      <c r="I57" s="64">
        <f>IFERROR(__xludf.DUMMYFUNCTION("""COMPUTED_VALUE"""),0.0)</f>
        <v>0</v>
      </c>
      <c r="J57" s="59">
        <f>IFERROR(__xludf.DUMMYFUNCTION("""COMPUTED_VALUE"""),9.0)</f>
        <v>9</v>
      </c>
      <c r="K57" s="51"/>
      <c r="L57" s="60">
        <f>IFERROR(__xludf.DUMMYFUNCTION("""COMPUTED_VALUE"""),85.0)</f>
        <v>85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120" t="str">
        <f>IFERROR(__xludf.DUMMYFUNCTION("""COMPUTED_VALUE"""),"RAMIREZ")</f>
        <v>RAMIREZ</v>
      </c>
      <c r="C58" s="119" t="str">
        <f>IFERROR(__xludf.DUMMYFUNCTION("""COMPUTED_VALUE"""),"DIAZ")</f>
        <v>DIAZ</v>
      </c>
      <c r="D58" s="121" t="str">
        <f>IFERROR(__xludf.DUMMYFUNCTION("""COMPUTED_VALUE"""),"OMEGA VALENTINA")</f>
        <v>OMEGA VALENTINA</v>
      </c>
      <c r="E58" s="55">
        <f>IFERROR(__xludf.DUMMYFUNCTION("""COMPUTED_VALUE"""),80.0)</f>
        <v>80</v>
      </c>
      <c r="F58" s="55">
        <f>IFERROR(__xludf.DUMMYFUNCTION("""COMPUTED_VALUE"""),20.0)</f>
        <v>20</v>
      </c>
      <c r="G58" s="56"/>
      <c r="H58" s="57">
        <f>IFERROR(__xludf.DUMMYFUNCTION("""COMPUTED_VALUE"""),100.0)</f>
        <v>100</v>
      </c>
      <c r="I58" s="64">
        <f>IFERROR(__xludf.DUMMYFUNCTION("""COMPUTED_VALUE"""),0.0)</f>
        <v>0</v>
      </c>
      <c r="J58" s="59">
        <f>IFERROR(__xludf.DUMMYFUNCTION("""COMPUTED_VALUE"""),10.0)</f>
        <v>10</v>
      </c>
      <c r="K58" s="51"/>
      <c r="L58" s="60">
        <f>IFERROR(__xludf.DUMMYFUNCTION("""COMPUTED_VALUE"""),100.0)</f>
        <v>100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120" t="str">
        <f>IFERROR(__xludf.DUMMYFUNCTION("""COMPUTED_VALUE"""),"RAMIREZ")</f>
        <v>RAMIREZ</v>
      </c>
      <c r="C59" s="120" t="str">
        <f>IFERROR(__xludf.DUMMYFUNCTION("""COMPUTED_VALUE"""),"TORRES")</f>
        <v>TORRES</v>
      </c>
      <c r="D59" s="121" t="str">
        <f>IFERROR(__xludf.DUMMYFUNCTION("""COMPUTED_VALUE"""),"PERCIVAL GABRIEL")</f>
        <v>PERCIVAL GABRIEL</v>
      </c>
      <c r="E59" s="55">
        <f>IFERROR(__xludf.DUMMYFUNCTION("""COMPUTED_VALUE"""),45.0)</f>
        <v>45</v>
      </c>
      <c r="F59" s="55">
        <f>IFERROR(__xludf.DUMMYFUNCTION("""COMPUTED_VALUE"""),20.0)</f>
        <v>20</v>
      </c>
      <c r="G59" s="56"/>
      <c r="H59" s="57">
        <f>IFERROR(__xludf.DUMMYFUNCTION("""COMPUTED_VALUE"""),65.0)</f>
        <v>65</v>
      </c>
      <c r="I59" s="64">
        <f>IFERROR(__xludf.DUMMYFUNCTION("""COMPUTED_VALUE"""),1.0)</f>
        <v>1</v>
      </c>
      <c r="J59" s="59">
        <f>IFERROR(__xludf.DUMMYFUNCTION("""COMPUTED_VALUE"""),7.0)</f>
        <v>7</v>
      </c>
      <c r="K59" s="51"/>
      <c r="L59" s="60">
        <f>IFERROR(__xludf.DUMMYFUNCTION("""COMPUTED_VALUE"""),65.0)</f>
        <v>65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120" t="str">
        <f>IFERROR(__xludf.DUMMYFUNCTION("""COMPUTED_VALUE"""),"RANGEL")</f>
        <v>RANGEL</v>
      </c>
      <c r="C60" s="120" t="str">
        <f>IFERROR(__xludf.DUMMYFUNCTION("""COMPUTED_VALUE"""),"JIMENEZ")</f>
        <v>JIMENEZ</v>
      </c>
      <c r="D60" s="121" t="str">
        <f>IFERROR(__xludf.DUMMYFUNCTION("""COMPUTED_VALUE"""),"PAOLA ALEJANDRA")</f>
        <v>PAOLA ALEJANDRA</v>
      </c>
      <c r="E60" s="55">
        <f>IFERROR(__xludf.DUMMYFUNCTION("""COMPUTED_VALUE"""),80.0)</f>
        <v>80</v>
      </c>
      <c r="F60" s="55">
        <f>IFERROR(__xludf.DUMMYFUNCTION("""COMPUTED_VALUE"""),20.0)</f>
        <v>20</v>
      </c>
      <c r="G60" s="56"/>
      <c r="H60" s="57">
        <f>IFERROR(__xludf.DUMMYFUNCTION("""COMPUTED_VALUE"""),100.0)</f>
        <v>100</v>
      </c>
      <c r="I60" s="64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IFERROR(__xludf.DUMMYFUNCTION("""COMPUTED_VALUE"""),100.0)</f>
        <v>100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120" t="str">
        <f>IFERROR(__xludf.DUMMYFUNCTION("""COMPUTED_VALUE"""),"RIVERA")</f>
        <v>RIVERA</v>
      </c>
      <c r="C61" s="120" t="str">
        <f>IFERROR(__xludf.DUMMYFUNCTION("""COMPUTED_VALUE"""),"GARCIA")</f>
        <v>GARCIA</v>
      </c>
      <c r="D61" s="121" t="str">
        <f>IFERROR(__xludf.DUMMYFUNCTION("""COMPUTED_VALUE"""),"ASTRID MICHELLE")</f>
        <v>ASTRID MICHELLE</v>
      </c>
      <c r="E61" s="55">
        <f>IFERROR(__xludf.DUMMYFUNCTION("""COMPUTED_VALUE"""),80.0)</f>
        <v>80</v>
      </c>
      <c r="F61" s="55">
        <f>IFERROR(__xludf.DUMMYFUNCTION("""COMPUTED_VALUE"""),20.0)</f>
        <v>20</v>
      </c>
      <c r="G61" s="56"/>
      <c r="H61" s="57">
        <f>IFERROR(__xludf.DUMMYFUNCTION("""COMPUTED_VALUE"""),100.0)</f>
        <v>100</v>
      </c>
      <c r="I61" s="64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IFERROR(__xludf.DUMMYFUNCTION("""COMPUTED_VALUE"""),100.0)</f>
        <v>100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120" t="str">
        <f>IFERROR(__xludf.DUMMYFUNCTION("""COMPUTED_VALUE"""),"RODRIGUEZ")</f>
        <v>RODRIGUEZ</v>
      </c>
      <c r="C62" s="120" t="str">
        <f>IFERROR(__xludf.DUMMYFUNCTION("""COMPUTED_VALUE"""),"CAMACHO")</f>
        <v>CAMACHO</v>
      </c>
      <c r="D62" s="121" t="str">
        <f>IFERROR(__xludf.DUMMYFUNCTION("""COMPUTED_VALUE"""),"ENRIQUE SALVADOR")</f>
        <v>ENRIQUE SALVADOR</v>
      </c>
      <c r="E62" s="55">
        <f>IFERROR(__xludf.DUMMYFUNCTION("""COMPUTED_VALUE"""),40.0)</f>
        <v>40</v>
      </c>
      <c r="F62" s="55">
        <f>IFERROR(__xludf.DUMMYFUNCTION("""COMPUTED_VALUE"""),20.0)</f>
        <v>20</v>
      </c>
      <c r="G62" s="56"/>
      <c r="H62" s="57">
        <f>IFERROR(__xludf.DUMMYFUNCTION("""COMPUTED_VALUE"""),60.0)</f>
        <v>60</v>
      </c>
      <c r="I62" s="55">
        <f>IFERROR(__xludf.DUMMYFUNCTION("""COMPUTED_VALUE"""),0.0)</f>
        <v>0</v>
      </c>
      <c r="J62" s="59">
        <f>IFERROR(__xludf.DUMMYFUNCTION("""COMPUTED_VALUE"""),6.0)</f>
        <v>6</v>
      </c>
      <c r="K62" s="51"/>
      <c r="L62" s="60">
        <f>IFERROR(__xludf.DUMMYFUNCTION("""COMPUTED_VALUE"""),60.0)</f>
        <v>60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120" t="str">
        <f>IFERROR(__xludf.DUMMYFUNCTION("""COMPUTED_VALUE"""),"RODRIGUEZ")</f>
        <v>RODRIGUEZ</v>
      </c>
      <c r="C63" s="120" t="str">
        <f>IFERROR(__xludf.DUMMYFUNCTION("""COMPUTED_VALUE"""),"ROSAS")</f>
        <v>ROSAS</v>
      </c>
      <c r="D63" s="121" t="str">
        <f>IFERROR(__xludf.DUMMYFUNCTION("""COMPUTED_VALUE"""),"QUETZALI")</f>
        <v>QUETZALI</v>
      </c>
      <c r="E63" s="55">
        <f>IFERROR(__xludf.DUMMYFUNCTION("""COMPUTED_VALUE"""),80.0)</f>
        <v>80</v>
      </c>
      <c r="F63" s="55">
        <f>IFERROR(__xludf.DUMMYFUNCTION("""COMPUTED_VALUE"""),20.0)</f>
        <v>20</v>
      </c>
      <c r="G63" s="56"/>
      <c r="H63" s="57">
        <f>IFERROR(__xludf.DUMMYFUNCTION("""COMPUTED_VALUE"""),100.0)</f>
        <v>100</v>
      </c>
      <c r="I63" s="55">
        <f>IFERROR(__xludf.DUMMYFUNCTION("""COMPUTED_VALUE"""),0.0)</f>
        <v>0</v>
      </c>
      <c r="J63" s="59">
        <f>IFERROR(__xludf.DUMMYFUNCTION("""COMPUTED_VALUE"""),10.0)</f>
        <v>10</v>
      </c>
      <c r="K63" s="51"/>
      <c r="L63" s="60">
        <f>IFERROR(__xludf.DUMMYFUNCTION("""COMPUTED_VALUE"""),100.0)</f>
        <v>100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120" t="str">
        <f>IFERROR(__xludf.DUMMYFUNCTION("""COMPUTED_VALUE"""),"SANCHEZ")</f>
        <v>SANCHEZ</v>
      </c>
      <c r="C64" s="120" t="str">
        <f>IFERROR(__xludf.DUMMYFUNCTION("""COMPUTED_VALUE"""),"BERMUDEZ")</f>
        <v>BERMUDEZ</v>
      </c>
      <c r="D64" s="121" t="str">
        <f>IFERROR(__xludf.DUMMYFUNCTION("""COMPUTED_VALUE"""),"JORGE")</f>
        <v>JORGE</v>
      </c>
      <c r="E64" s="55">
        <f>IFERROR(__xludf.DUMMYFUNCTION("""COMPUTED_VALUE"""),65.0)</f>
        <v>65</v>
      </c>
      <c r="F64" s="55">
        <f>IFERROR(__xludf.DUMMYFUNCTION("""COMPUTED_VALUE"""),20.0)</f>
        <v>20</v>
      </c>
      <c r="G64" s="56"/>
      <c r="H64" s="57">
        <f>IFERROR(__xludf.DUMMYFUNCTION("""COMPUTED_VALUE"""),85.0)</f>
        <v>85</v>
      </c>
      <c r="I64" s="64">
        <f>IFERROR(__xludf.DUMMYFUNCTION("""COMPUTED_VALUE"""),0.0)</f>
        <v>0</v>
      </c>
      <c r="J64" s="59">
        <f>IFERROR(__xludf.DUMMYFUNCTION("""COMPUTED_VALUE"""),9.0)</f>
        <v>9</v>
      </c>
      <c r="K64" s="51"/>
      <c r="L64" s="60">
        <f>IFERROR(__xludf.DUMMYFUNCTION("""COMPUTED_VALUE"""),85.0)</f>
        <v>85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120" t="str">
        <f>IFERROR(__xludf.DUMMYFUNCTION("""COMPUTED_VALUE"""),"SANCHEZ")</f>
        <v>SANCHEZ</v>
      </c>
      <c r="C65" s="120" t="str">
        <f>IFERROR(__xludf.DUMMYFUNCTION("""COMPUTED_VALUE"""),"VELAZQUEZ")</f>
        <v>VELAZQUEZ</v>
      </c>
      <c r="D65" s="119" t="str">
        <f>IFERROR(__xludf.DUMMYFUNCTION("""COMPUTED_VALUE"""),"RENATA VICTORIA")</f>
        <v>RENATA VICTORIA</v>
      </c>
      <c r="E65" s="55">
        <f>IFERROR(__xludf.DUMMYFUNCTION("""COMPUTED_VALUE"""),50.0)</f>
        <v>50</v>
      </c>
      <c r="F65" s="55">
        <f>IFERROR(__xludf.DUMMYFUNCTION("""COMPUTED_VALUE"""),20.0)</f>
        <v>20</v>
      </c>
      <c r="G65" s="56"/>
      <c r="H65" s="57">
        <f>IFERROR(__xludf.DUMMYFUNCTION("""COMPUTED_VALUE"""),70.0)</f>
        <v>70</v>
      </c>
      <c r="I65" s="55">
        <f>IFERROR(__xludf.DUMMYFUNCTION("""COMPUTED_VALUE"""),0.0)</f>
        <v>0</v>
      </c>
      <c r="J65" s="59">
        <f>IFERROR(__xludf.DUMMYFUNCTION("""COMPUTED_VALUE"""),7.0)</f>
        <v>7</v>
      </c>
      <c r="K65" s="51"/>
      <c r="L65" s="60">
        <f>IFERROR(__xludf.DUMMYFUNCTION("""COMPUTED_VALUE"""),70.0)</f>
        <v>70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120" t="str">
        <f>IFERROR(__xludf.DUMMYFUNCTION("""COMPUTED_VALUE"""),"TREJO")</f>
        <v>TREJO</v>
      </c>
      <c r="C66" s="120" t="str">
        <f>IFERROR(__xludf.DUMMYFUNCTION("""COMPUTED_VALUE"""),"PERAL")</f>
        <v>PERAL</v>
      </c>
      <c r="D66" s="119" t="str">
        <f>IFERROR(__xludf.DUMMYFUNCTION("""COMPUTED_VALUE"""),"AIKO REGINA")</f>
        <v>AIKO REGINA</v>
      </c>
      <c r="E66" s="55">
        <f>IFERROR(__xludf.DUMMYFUNCTION("""COMPUTED_VALUE"""),60.0)</f>
        <v>60</v>
      </c>
      <c r="F66" s="55">
        <f>IFERROR(__xludf.DUMMYFUNCTION("""COMPUTED_VALUE"""),20.0)</f>
        <v>20</v>
      </c>
      <c r="G66" s="56"/>
      <c r="H66" s="57">
        <f>IFERROR(__xludf.DUMMYFUNCTION("""COMPUTED_VALUE"""),80.0)</f>
        <v>80</v>
      </c>
      <c r="I66" s="55">
        <f>IFERROR(__xludf.DUMMYFUNCTION("""COMPUTED_VALUE"""),0.0)</f>
        <v>0</v>
      </c>
      <c r="J66" s="59">
        <f>IFERROR(__xludf.DUMMYFUNCTION("""COMPUTED_VALUE"""),8.0)</f>
        <v>8</v>
      </c>
      <c r="K66" s="51"/>
      <c r="L66" s="60">
        <f>IFERROR(__xludf.DUMMYFUNCTION("""COMPUTED_VALUE"""),80.0)</f>
        <v>80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120" t="str">
        <f>IFERROR(__xludf.DUMMYFUNCTION("""COMPUTED_VALUE"""),"TREJO")</f>
        <v>TREJO</v>
      </c>
      <c r="C67" s="120" t="str">
        <f>IFERROR(__xludf.DUMMYFUNCTION("""COMPUTED_VALUE"""),"PEREZ")</f>
        <v>PEREZ</v>
      </c>
      <c r="D67" s="122" t="str">
        <f>IFERROR(__xludf.DUMMYFUNCTION("""COMPUTED_VALUE"""),"ANGEL SANTIAGO")</f>
        <v>ANGEL SANTIAGO</v>
      </c>
      <c r="E67" s="55">
        <f>IFERROR(__xludf.DUMMYFUNCTION("""COMPUTED_VALUE"""),80.0)</f>
        <v>80</v>
      </c>
      <c r="F67" s="55">
        <f>IFERROR(__xludf.DUMMYFUNCTION("""COMPUTED_VALUE"""),20.0)</f>
        <v>20</v>
      </c>
      <c r="G67" s="56"/>
      <c r="H67" s="57">
        <f>IFERROR(__xludf.DUMMYFUNCTION("""COMPUTED_VALUE"""),100.0)</f>
        <v>100</v>
      </c>
      <c r="I67" s="55">
        <f>IFERROR(__xludf.DUMMYFUNCTION("""COMPUTED_VALUE"""),0.0)</f>
        <v>0</v>
      </c>
      <c r="J67" s="59">
        <f>IFERROR(__xludf.DUMMYFUNCTION("""COMPUTED_VALUE"""),10.0)</f>
        <v>10</v>
      </c>
      <c r="K67" s="51"/>
      <c r="L67" s="60">
        <f>IFERROR(__xludf.DUMMYFUNCTION("""COMPUTED_VALUE"""),100.0)</f>
        <v>100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120" t="str">
        <f>IFERROR(__xludf.DUMMYFUNCTION("""COMPUTED_VALUE"""),"VAZQUEZ")</f>
        <v>VAZQUEZ</v>
      </c>
      <c r="C68" s="120" t="str">
        <f>IFERROR(__xludf.DUMMYFUNCTION("""COMPUTED_VALUE"""),"FABILA")</f>
        <v>FABILA</v>
      </c>
      <c r="D68" s="122" t="str">
        <f>IFERROR(__xludf.DUMMYFUNCTION("""COMPUTED_VALUE"""),"LUZ MARIANA")</f>
        <v>LUZ MARIANA</v>
      </c>
      <c r="E68" s="55">
        <f>IFERROR(__xludf.DUMMYFUNCTION("""COMPUTED_VALUE"""),40.0)</f>
        <v>40</v>
      </c>
      <c r="F68" s="55">
        <f>IFERROR(__xludf.DUMMYFUNCTION("""COMPUTED_VALUE"""),20.0)</f>
        <v>20</v>
      </c>
      <c r="G68" s="56"/>
      <c r="H68" s="57">
        <f>IFERROR(__xludf.DUMMYFUNCTION("""COMPUTED_VALUE"""),60.0)</f>
        <v>60</v>
      </c>
      <c r="I68" s="55">
        <f>IFERROR(__xludf.DUMMYFUNCTION("""COMPUTED_VALUE"""),0.0)</f>
        <v>0</v>
      </c>
      <c r="J68" s="59">
        <f>IFERROR(__xludf.DUMMYFUNCTION("""COMPUTED_VALUE"""),6.0)</f>
        <v>6</v>
      </c>
      <c r="K68" s="51"/>
      <c r="L68" s="60">
        <f>IFERROR(__xludf.DUMMYFUNCTION("""COMPUTED_VALUE"""),60.0)</f>
        <v>60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120" t="str">
        <f>IFERROR(__xludf.DUMMYFUNCTION("""COMPUTED_VALUE"""),"VILLEGAS")</f>
        <v>VILLEGAS</v>
      </c>
      <c r="C69" s="120" t="str">
        <f>IFERROR(__xludf.DUMMYFUNCTION("""COMPUTED_VALUE"""),"SANCHEZ")</f>
        <v>SANCHEZ</v>
      </c>
      <c r="D69" s="119" t="str">
        <f>IFERROR(__xludf.DUMMYFUNCTION("""COMPUTED_VALUE"""),"FATIMA ANAHI")</f>
        <v>FATIMA ANAHI</v>
      </c>
      <c r="E69" s="55">
        <f>IFERROR(__xludf.DUMMYFUNCTION("""COMPUTED_VALUE"""),40.0)</f>
        <v>40</v>
      </c>
      <c r="F69" s="55">
        <f>IFERROR(__xludf.DUMMYFUNCTION("""COMPUTED_VALUE"""),20.0)</f>
        <v>20</v>
      </c>
      <c r="G69" s="56"/>
      <c r="H69" s="57">
        <f>IFERROR(__xludf.DUMMYFUNCTION("""COMPUTED_VALUE"""),60.0)</f>
        <v>60</v>
      </c>
      <c r="I69" s="64">
        <f>IFERROR(__xludf.DUMMYFUNCTION("""COMPUTED_VALUE"""),0.0)</f>
        <v>0</v>
      </c>
      <c r="J69" s="59">
        <f>IFERROR(__xludf.DUMMYFUNCTION("""COMPUTED_VALUE"""),6.0)</f>
        <v>6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120" t="str">
        <f>IFERROR(__xludf.DUMMYFUNCTION("""COMPUTED_VALUE"""),"ZAMORA")</f>
        <v>ZAMORA</v>
      </c>
      <c r="C70" s="120" t="str">
        <f>IFERROR(__xludf.DUMMYFUNCTION("""COMPUTED_VALUE"""),"REYES")</f>
        <v>REYES</v>
      </c>
      <c r="D70" s="119" t="str">
        <f>IFERROR(__xludf.DUMMYFUNCTION("""COMPUTED_VALUE"""),"SANTIAGO")</f>
        <v>SANTIAGO</v>
      </c>
      <c r="E70" s="55">
        <f>IFERROR(__xludf.DUMMYFUNCTION("""COMPUTED_VALUE"""),41.0)</f>
        <v>41</v>
      </c>
      <c r="F70" s="55">
        <f>IFERROR(__xludf.DUMMYFUNCTION("""COMPUTED_VALUE"""),20.0)</f>
        <v>20</v>
      </c>
      <c r="G70" s="56"/>
      <c r="H70" s="57">
        <f>IFERROR(__xludf.DUMMYFUNCTION("""COMPUTED_VALUE"""),61.0)</f>
        <v>61</v>
      </c>
      <c r="I70" s="55">
        <f>IFERROR(__xludf.DUMMYFUNCTION("""COMPUTED_VALUE"""),0.0)</f>
        <v>0</v>
      </c>
      <c r="J70" s="59">
        <f>IFERROR(__xludf.DUMMYFUNCTION("""COMPUTED_VALUE"""),6.0)</f>
        <v>6</v>
      </c>
      <c r="K70" s="51"/>
      <c r="L70" s="6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3.25" customHeight="1">
      <c r="A71" s="6"/>
      <c r="B71" s="69"/>
      <c r="C71" s="69"/>
      <c r="D71" s="69"/>
      <c r="E71" s="70"/>
      <c r="F71" s="69"/>
      <c r="G71" s="69"/>
      <c r="H71" s="69"/>
      <c r="I71" s="69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71"/>
      <c r="B72" s="72" t="str">
        <f>IFERROR(__xludf.DUMMYFUNCTION("""COMPUTED_VALUE"""),"No. DE ALUMNOS INSCRITOS")</f>
        <v>No. DE ALUMNOS INSCRITOS</v>
      </c>
      <c r="C72" s="73"/>
      <c r="D72" s="115">
        <f>IFERROR(__xludf.DUMMYFUNCTION("""COMPUTED_VALUE"""),54.0)</f>
        <v>54</v>
      </c>
      <c r="E72" s="69"/>
      <c r="F72" s="116" t="str">
        <f>IFERROR(__xludf.DUMMYFUNCTION("""COMPUTED_VALUE"""),"FIRMA DEL PROFESOR")</f>
        <v>FIRMA DEL PROFESOR</v>
      </c>
      <c r="G72" s="75"/>
      <c r="H72" s="116" t="str">
        <f>IFERROR(__xludf.DUMMYFUNCTION("""COMPUTED_VALUE"""),"FIRMA DEL ORIENTADOR")</f>
        <v>FIRMA DEL ORIENTADOR</v>
      </c>
      <c r="J72" s="117" t="str">
        <f>IFERROR(__xludf.DUMMYFUNCTION("""COMPUTED_VALUE"""),"Vo. Bo. SUBDIRECCIÓN ESCOLAR")</f>
        <v>Vo. Bo. SUBDIRECCIÓN ESCOLAR</v>
      </c>
      <c r="K72" s="77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78" t="str">
        <f>IFERROR(__xludf.DUMMYFUNCTION("""COMPUTED_VALUE"""),"BAJAS DURANTE EL SEMESTRE")</f>
        <v>BAJAS DURANTE EL SEMESTRE</v>
      </c>
      <c r="C73" s="79"/>
      <c r="D73" s="114">
        <f>IFERROR(__xludf.DUMMYFUNCTION("""COMPUTED_VALUE"""),0.0)</f>
        <v>0</v>
      </c>
      <c r="E73" s="69"/>
      <c r="G73" s="75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1"/>
      <c r="B74" s="78" t="str">
        <f>IFERROR(__xludf.DUMMYFUNCTION("""COMPUTED_VALUE"""),"EXISTENCIA")</f>
        <v>EXISTENCIA</v>
      </c>
      <c r="C74" s="79"/>
      <c r="D74" s="81">
        <f>IFERROR(__xludf.DUMMYFUNCTION("""COMPUTED_VALUE"""),54.0)</f>
        <v>54</v>
      </c>
      <c r="E74" s="69"/>
      <c r="F74" s="82"/>
      <c r="G74" s="83"/>
      <c r="H74" s="82"/>
      <c r="I74" s="82"/>
      <c r="J74" s="84"/>
      <c r="K74" s="8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1"/>
      <c r="B75" s="78" t="str">
        <f>IFERROR(__xludf.DUMMYFUNCTION("""COMPUTED_VALUE"""),"No. DE ALUMNOS APROBADOS")</f>
        <v>No. DE ALUMNOS APROBADOS</v>
      </c>
      <c r="C75" s="79"/>
      <c r="D75" s="81">
        <f>IFERROR(__xludf.DUMMYFUNCTION("""COMPUTED_VALUE"""),51.0)</f>
        <v>51</v>
      </c>
      <c r="E75" s="69"/>
      <c r="F75" s="82"/>
      <c r="G75" s="83"/>
      <c r="H75" s="82"/>
      <c r="I75" s="82"/>
      <c r="J75" s="84"/>
      <c r="K75" s="8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1"/>
      <c r="B76" s="78" t="str">
        <f>IFERROR(__xludf.DUMMYFUNCTION("""COMPUTED_VALUE"""),"No. DE ALUMNOS REPROBADOS")</f>
        <v>No. DE ALUMNOS REPROBADOS</v>
      </c>
      <c r="C76" s="79"/>
      <c r="D76" s="81">
        <f>IFERROR(__xludf.DUMMYFUNCTION("""COMPUTED_VALUE"""),3.0)</f>
        <v>3</v>
      </c>
      <c r="E76" s="69"/>
      <c r="F76" s="86"/>
      <c r="G76" s="83"/>
      <c r="H76" s="86"/>
      <c r="I76" s="86"/>
      <c r="J76" s="87"/>
      <c r="K76" s="8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1"/>
      <c r="B77" s="78" t="str">
        <f>IFERROR(__xludf.DUMMYFUNCTION("""COMPUTED_VALUE"""),"% DE APROBADOS")</f>
        <v>% DE APROBADOS</v>
      </c>
      <c r="C77" s="79"/>
      <c r="D77" s="89">
        <f>IFERROR(__xludf.DUMMYFUNCTION("""COMPUTED_VALUE"""),94.44444444444444)</f>
        <v>94.44444444</v>
      </c>
      <c r="E77" s="69"/>
      <c r="F77" s="90" t="str">
        <f>IFERROR(__xludf.DUMMYFUNCTION("""COMPUTED_VALUE"""),"PROFR. MARLENE GARCÌA MONZALVO")</f>
        <v>PROFR. MARLENE GARCÌA MONZALVO</v>
      </c>
      <c r="G77" s="91"/>
      <c r="H77" s="93" t="str">
        <f>IFERROR(__xludf.DUMMYFUNCTION("""COMPUTED_VALUE"""),"PROFR. JOSÉ EDGAR SALAZAR ZÚÑIGA")</f>
        <v>PROFR. JOSÉ EDGAR SALAZAR ZÚÑIGA</v>
      </c>
      <c r="J77" s="93" t="str">
        <f>IFERROR(__xludf.DUMMYFUNCTION("""COMPUTED_VALUE"""),"PROFR. OCTAVIO VÁZQUEZ BARRETO")</f>
        <v>PROFR. OCTAVIO VÁZQUEZ BARRETO</v>
      </c>
      <c r="K77" s="94" t="str">
        <f>IFERROR(__xludf.DUMMYFUNCTION("""COMPUTED_VALUE"""),"PROFR. ROBERTO PALOMARES MEJÍA ")</f>
        <v>PROFR. ROBERTO PALOMARES MEJÍA </v>
      </c>
      <c r="L77" s="9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71"/>
      <c r="B78" s="96" t="str">
        <f>IFERROR(__xludf.DUMMYFUNCTION("""COMPUTED_VALUE"""),"PROMEDIO")</f>
        <v>PROMEDIO</v>
      </c>
      <c r="C78" s="97"/>
      <c r="D78" s="98">
        <f>IFERROR(__xludf.DUMMYFUNCTION("""COMPUTED_VALUE"""),8.222222222222221)</f>
        <v>8.222222222</v>
      </c>
      <c r="E78" s="69"/>
      <c r="G78" s="91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99"/>
      <c r="B80" s="100"/>
      <c r="C80" s="101"/>
      <c r="D80" s="101"/>
      <c r="E80" s="69"/>
      <c r="G80" s="7"/>
      <c r="H80" s="7"/>
      <c r="I80" s="7"/>
      <c r="J80" s="7"/>
      <c r="K80" s="102"/>
      <c r="L80" s="10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4"/>
      <c r="B81" s="69"/>
      <c r="C81" s="69"/>
      <c r="D81" s="69"/>
      <c r="E81" s="7"/>
      <c r="F81" s="1"/>
      <c r="G81" s="1"/>
      <c r="H81" s="1"/>
      <c r="I81" s="1"/>
      <c r="J81" s="1"/>
      <c r="K81" s="8"/>
      <c r="L81" s="10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4"/>
      <c r="B82" s="69"/>
      <c r="C82" s="69"/>
      <c r="D82" s="69"/>
      <c r="E82" s="7"/>
      <c r="F82" s="1"/>
      <c r="G82" s="1"/>
      <c r="H82" s="1"/>
      <c r="I82" s="1"/>
      <c r="J82" s="1"/>
      <c r="K82" s="8"/>
      <c r="L82" s="10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6"/>
      <c r="B83" s="107"/>
      <c r="C83" s="107"/>
      <c r="D83" s="107"/>
      <c r="E83" s="108"/>
      <c r="F83" s="109"/>
      <c r="G83" s="109"/>
      <c r="H83" s="109"/>
      <c r="I83" s="109"/>
      <c r="J83" s="109"/>
      <c r="K83" s="110"/>
      <c r="L83" s="10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12"/>
      <c r="K84" s="112"/>
      <c r="L84" s="11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12"/>
      <c r="K85" s="112"/>
      <c r="L85" s="11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12"/>
      <c r="K86" s="112"/>
      <c r="L86" s="11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12"/>
      <c r="K87" s="112"/>
      <c r="L87" s="11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1"/>
      <c r="C89" s="111"/>
      <c r="D89" s="111"/>
      <c r="E89" s="111"/>
      <c r="F89" s="1"/>
      <c r="G89" s="1"/>
      <c r="H89" s="1"/>
      <c r="I89" s="1"/>
      <c r="J89" s="1"/>
      <c r="K89" s="11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1"/>
      <c r="C90" s="111"/>
      <c r="D90" s="111"/>
      <c r="E90" s="11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1"/>
      <c r="C91" s="111"/>
      <c r="D91" s="111"/>
      <c r="E91" s="11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1"/>
      <c r="C92" s="111"/>
      <c r="D92" s="111"/>
      <c r="E92" s="11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1"/>
      <c r="C93" s="111"/>
      <c r="D93" s="111"/>
      <c r="E93" s="11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1"/>
      <c r="C94" s="111"/>
      <c r="D94" s="111"/>
      <c r="E94" s="11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1"/>
      <c r="C95" s="111"/>
      <c r="D95" s="111"/>
      <c r="E95" s="11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70 K18:K70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IFERROR(__xludf.DUMMYFUNCTION("IMPORTRANGE(""https://docs.google.com/spreadsheets/d/1dfd1cx1erILPMHbE5AVYb1ULzyUXSbPBzy_olmDN2Lo/edit?gid=1156520723#gid=1156520723"",""1-2 temas selectos de igualdad y derechos humanos!A1:Q85"")"),"")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IFERROR(__xludf.DUMMYFUNCTION("""COMPUTED_VALUE"""),"NOHEMI BLANCA MATA SOLIS ")</f>
        <v>NOHEMI BLANCA MATA SOLIS 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IGUALDAD Y DEERECHIS HUMANOS II")</f>
        <v>TEMAS SELECTOS DE IGUALDAD Y DEERECHIS HUMANOS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119" t="str">
        <f>IFERROR(__xludf.DUMMYFUNCTION("""COMPUTED_VALUE"""),"AMBROSIO")</f>
        <v>AMBROSIO</v>
      </c>
      <c r="C17" s="120" t="str">
        <f>IFERROR(__xludf.DUMMYFUNCTION("""COMPUTED_VALUE"""),"RAMIREZ")</f>
        <v>RAMIREZ</v>
      </c>
      <c r="D17" s="121" t="str">
        <f>IFERROR(__xludf.DUMMYFUNCTION("""COMPUTED_VALUE"""),"ALEXANDRA")</f>
        <v>ALEXANDRA</v>
      </c>
      <c r="E17" s="55">
        <f>IFERROR(__xludf.DUMMYFUNCTION("""COMPUTED_VALUE"""),6.0)</f>
        <v>6</v>
      </c>
      <c r="F17" s="55">
        <f>IFERROR(__xludf.DUMMYFUNCTION("""COMPUTED_VALUE"""),2.0)</f>
        <v>2</v>
      </c>
      <c r="G17" s="56"/>
      <c r="H17" s="57">
        <f>IFERROR(__xludf.DUMMYFUNCTION("""COMPUTED_VALUE"""),8.0)</f>
        <v>8</v>
      </c>
      <c r="I17" s="58"/>
      <c r="J17" s="59">
        <f>IFERROR(__xludf.DUMMYFUNCTION("""COMPUTED_VALUE"""),8.0)</f>
        <v>8</v>
      </c>
      <c r="K17" s="60"/>
      <c r="L17" s="61">
        <f>IFERROR(__xludf.DUMMYFUNCTION("""COMPUTED_VALUE"""),8.0)</f>
        <v>8</v>
      </c>
      <c r="M17" s="1" t="str">
        <f>IFERROR(__xludf.DUMMYFUNCTION("""COMPUTED_VALUE"""),"Febrero")</f>
        <v>Febrero</v>
      </c>
      <c r="N17" s="1">
        <f>IFERROR(__xludf.DUMMYFUNCTION("""COMPUTED_VALUE"""),3.0)</f>
        <v>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120" t="str">
        <f>IFERROR(__xludf.DUMMYFUNCTION("""COMPUTED_VALUE"""),"AVILA")</f>
        <v>AVILA</v>
      </c>
      <c r="C18" s="119" t="str">
        <f>IFERROR(__xludf.DUMMYFUNCTION("""COMPUTED_VALUE"""),"MORALES")</f>
        <v>MORALES</v>
      </c>
      <c r="D18" s="121" t="str">
        <f>IFERROR(__xludf.DUMMYFUNCTION("""COMPUTED_VALUE"""),"EDWIN ADAHIR")</f>
        <v>EDWIN ADAHIR</v>
      </c>
      <c r="E18" s="55">
        <f>IFERROR(__xludf.DUMMYFUNCTION("""COMPUTED_VALUE"""),4.0)</f>
        <v>4</v>
      </c>
      <c r="F18" s="55">
        <f>IFERROR(__xludf.DUMMYFUNCTION("""COMPUTED_VALUE"""),2.0)</f>
        <v>2</v>
      </c>
      <c r="G18" s="56"/>
      <c r="H18" s="57">
        <f>IFERROR(__xludf.DUMMYFUNCTION("""COMPUTED_VALUE"""),6.0)</f>
        <v>6</v>
      </c>
      <c r="I18" s="58">
        <f>IFERROR(__xludf.DUMMYFUNCTION("""COMPUTED_VALUE"""),1.0)</f>
        <v>1</v>
      </c>
      <c r="J18" s="59">
        <f>IFERROR(__xludf.DUMMYFUNCTION("""COMPUTED_VALUE"""),6.0)</f>
        <v>6</v>
      </c>
      <c r="K18" s="51"/>
      <c r="L18" s="61">
        <f>IFERROR(__xludf.DUMMYFUNCTION("""COMPUTED_VALUE"""),6.0)</f>
        <v>6</v>
      </c>
      <c r="M18" s="1" t="str">
        <f>IFERROR(__xludf.DUMMYFUNCTION("""COMPUTED_VALUE"""),"Marzo")</f>
        <v>Marzo</v>
      </c>
      <c r="N18" s="1">
        <f>IFERROR(__xludf.DUMMYFUNCTION("""COMPUTED_VALUE"""),3.0)</f>
        <v>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120" t="str">
        <f>IFERROR(__xludf.DUMMYFUNCTION("""COMPUTED_VALUE"""),"AVILA")</f>
        <v>AVILA</v>
      </c>
      <c r="C19" s="119" t="str">
        <f>IFERROR(__xludf.DUMMYFUNCTION("""COMPUTED_VALUE"""),"RAMIREZ")</f>
        <v>RAMIREZ</v>
      </c>
      <c r="D19" s="121" t="str">
        <f>IFERROR(__xludf.DUMMYFUNCTION("""COMPUTED_VALUE"""),"SANTIAGO")</f>
        <v>SANTIAGO</v>
      </c>
      <c r="E19" s="56">
        <f>IFERROR(__xludf.DUMMYFUNCTION("""COMPUTED_VALUE"""),7.0)</f>
        <v>7</v>
      </c>
      <c r="F19" s="55">
        <f>IFERROR(__xludf.DUMMYFUNCTION("""COMPUTED_VALUE"""),2.0)</f>
        <v>2</v>
      </c>
      <c r="G19" s="56"/>
      <c r="H19" s="57">
        <f>IFERROR(__xludf.DUMMYFUNCTION("""COMPUTED_VALUE"""),9.0)</f>
        <v>9</v>
      </c>
      <c r="I19" s="58">
        <f>IFERROR(__xludf.DUMMYFUNCTION("""COMPUTED_VALUE"""),1.0)</f>
        <v>1</v>
      </c>
      <c r="J19" s="59">
        <f>IFERROR(__xludf.DUMMYFUNCTION("""COMPUTED_VALUE"""),9.0)</f>
        <v>9</v>
      </c>
      <c r="K19" s="51"/>
      <c r="L19" s="61">
        <f>IFERROR(__xludf.DUMMYFUNCTION("""COMPUTED_VALUE"""),9.0)</f>
        <v>9</v>
      </c>
      <c r="M19" s="1" t="str">
        <f>IFERROR(__xludf.DUMMYFUNCTION("""COMPUTED_VALUE"""),"Abril")</f>
        <v>Abril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120" t="str">
        <f>IFERROR(__xludf.DUMMYFUNCTION("""COMPUTED_VALUE"""),"BARRAZA")</f>
        <v>BARRAZA</v>
      </c>
      <c r="C20" s="119" t="str">
        <f>IFERROR(__xludf.DUMMYFUNCTION("""COMPUTED_VALUE"""),"MONTELONGO")</f>
        <v>MONTELONGO</v>
      </c>
      <c r="D20" s="121" t="str">
        <f>IFERROR(__xludf.DUMMYFUNCTION("""COMPUTED_VALUE"""),"STEFANY YANELI")</f>
        <v>STEFANY YANELI</v>
      </c>
      <c r="E20" s="55">
        <f>IFERROR(__xludf.DUMMYFUNCTION("""COMPUTED_VALUE"""),7.0)</f>
        <v>7</v>
      </c>
      <c r="F20" s="55">
        <f>IFERROR(__xludf.DUMMYFUNCTION("""COMPUTED_VALUE"""),2.0)</f>
        <v>2</v>
      </c>
      <c r="G20" s="56">
        <f>IFERROR(__xludf.DUMMYFUNCTION("""COMPUTED_VALUE"""),1.0)</f>
        <v>1</v>
      </c>
      <c r="H20" s="57">
        <f>IFERROR(__xludf.DUMMYFUNCTION("""COMPUTED_VALUE"""),10.0)</f>
        <v>10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IFERROR(__xludf.DUMMYFUNCTION("""COMPUTED_VALUE"""),"Mayo")</f>
        <v>Mayo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120" t="str">
        <f>IFERROR(__xludf.DUMMYFUNCTION("""COMPUTED_VALUE"""),"BECERRA")</f>
        <v>BECERRA</v>
      </c>
      <c r="C21" s="119" t="str">
        <f>IFERROR(__xludf.DUMMYFUNCTION("""COMPUTED_VALUE"""),"FLORES")</f>
        <v>FLORES</v>
      </c>
      <c r="D21" s="121" t="str">
        <f>IFERROR(__xludf.DUMMYFUNCTION("""COMPUTED_VALUE"""),"HADE JETZABEL")</f>
        <v>HADE JETZABEL</v>
      </c>
      <c r="E21" s="55">
        <f>IFERROR(__xludf.DUMMYFUNCTION("""COMPUTED_VALUE"""),7.0)</f>
        <v>7</v>
      </c>
      <c r="F21" s="55">
        <f>IFERROR(__xludf.DUMMYFUNCTION("""COMPUTED_VALUE"""),2.0)</f>
        <v>2</v>
      </c>
      <c r="G21" s="56">
        <f>IFERROR(__xludf.DUMMYFUNCTION("""COMPUTED_VALUE"""),1.0)</f>
        <v>1</v>
      </c>
      <c r="H21" s="57">
        <f>IFERROR(__xludf.DUMMYFUNCTION("""COMPUTED_VALUE"""),10.0)</f>
        <v>10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IFERROR(__xludf.DUMMYFUNCTION("""COMPUTED_VALUE"""),"Junio")</f>
        <v>Junio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120" t="str">
        <f>IFERROR(__xludf.DUMMYFUNCTION("""COMPUTED_VALUE"""),"BELLO")</f>
        <v>BELLO</v>
      </c>
      <c r="C22" s="119" t="str">
        <f>IFERROR(__xludf.DUMMYFUNCTION("""COMPUTED_VALUE"""),"CHAVEZ")</f>
        <v>CHAVEZ</v>
      </c>
      <c r="D22" s="121" t="str">
        <f>IFERROR(__xludf.DUMMYFUNCTION("""COMPUTED_VALUE"""),"EMILIO SEBASTIAN")</f>
        <v>EMILIO SEBASTIAN</v>
      </c>
      <c r="E22" s="55">
        <f>IFERROR(__xludf.DUMMYFUNCTION("""COMPUTED_VALUE"""),7.0)</f>
        <v>7</v>
      </c>
      <c r="F22" s="55">
        <f>IFERROR(__xludf.DUMMYFUNCTION("""COMPUTED_VALUE"""),2.0)</f>
        <v>2</v>
      </c>
      <c r="G22" s="56"/>
      <c r="H22" s="57">
        <f>IFERROR(__xludf.DUMMYFUNCTION("""COMPUTED_VALUE"""),9.0)</f>
        <v>9</v>
      </c>
      <c r="I22" s="58">
        <f>IFERROR(__xludf.DUMMYFUNCTION("""COMPUTED_VALUE"""),0.0)</f>
        <v>0</v>
      </c>
      <c r="J22" s="59">
        <f>IFERROR(__xludf.DUMMYFUNCTION("""COMPUTED_VALUE"""),9.0)</f>
        <v>9</v>
      </c>
      <c r="K22" s="51"/>
      <c r="L22" s="61">
        <f>IFERROR(__xludf.DUMMYFUNCTION("""COMPUTED_VALUE"""),9.0)</f>
        <v>9</v>
      </c>
      <c r="M22" s="1" t="str">
        <f>IFERROR(__xludf.DUMMYFUNCTION("""COMPUTED_VALUE"""),"Julio")</f>
        <v>Julio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120" t="str">
        <f>IFERROR(__xludf.DUMMYFUNCTION("""COMPUTED_VALUE"""),"CASAS")</f>
        <v>CASAS</v>
      </c>
      <c r="C23" s="119" t="str">
        <f>IFERROR(__xludf.DUMMYFUNCTION("""COMPUTED_VALUE"""),"GARCIA")</f>
        <v>GARCIA</v>
      </c>
      <c r="D23" s="121" t="str">
        <f>IFERROR(__xludf.DUMMYFUNCTION("""COMPUTED_VALUE"""),"ZEUS ANTHUAN")</f>
        <v>ZEUS ANTHUAN</v>
      </c>
      <c r="E23" s="55">
        <f>IFERROR(__xludf.DUMMYFUNCTION("""COMPUTED_VALUE"""),6.0)</f>
        <v>6</v>
      </c>
      <c r="F23" s="55">
        <f>IFERROR(__xludf.DUMMYFUNCTION("""COMPUTED_VALUE"""),2.0)</f>
        <v>2</v>
      </c>
      <c r="G23" s="56"/>
      <c r="H23" s="57">
        <f>IFERROR(__xludf.DUMMYFUNCTION("""COMPUTED_VALUE"""),8.0)</f>
        <v>8</v>
      </c>
      <c r="I23" s="58">
        <f>IFERROR(__xludf.DUMMYFUNCTION("""COMPUTED_VALUE"""),0.0)</f>
        <v>0</v>
      </c>
      <c r="J23" s="59">
        <f>IFERROR(__xludf.DUMMYFUNCTION("""COMPUTED_VALUE"""),8.0)</f>
        <v>8</v>
      </c>
      <c r="K23" s="51"/>
      <c r="L23" s="61">
        <f>IFERROR(__xludf.DUMMYFUNCTION("""COMPUTED_VALUE"""),8.0)</f>
        <v>8</v>
      </c>
      <c r="M23" s="1" t="str">
        <f>IFERROR(__xludf.DUMMYFUNCTION("""COMPUTED_VALUE"""),"TOTAL")</f>
        <v>TOTAL</v>
      </c>
      <c r="N23" s="1">
        <f>IFERROR(__xludf.DUMMYFUNCTION("""COMPUTED_VALUE"""),6.0)</f>
        <v>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120" t="str">
        <f>IFERROR(__xludf.DUMMYFUNCTION("""COMPUTED_VALUE"""),"CHICO")</f>
        <v>CHICO</v>
      </c>
      <c r="C24" s="119" t="str">
        <f>IFERROR(__xludf.DUMMYFUNCTION("""COMPUTED_VALUE"""),"ORTIZ")</f>
        <v>ORTIZ</v>
      </c>
      <c r="D24" s="121" t="str">
        <f>IFERROR(__xludf.DUMMYFUNCTION("""COMPUTED_VALUE"""),"ALAN")</f>
        <v>ALAN</v>
      </c>
      <c r="E24" s="56">
        <f>IFERROR(__xludf.DUMMYFUNCTION("""COMPUTED_VALUE"""),8.0)</f>
        <v>8</v>
      </c>
      <c r="F24" s="55">
        <f>IFERROR(__xludf.DUMMYFUNCTION("""COMPUTED_VALUE"""),2.0)</f>
        <v>2</v>
      </c>
      <c r="G24" s="56"/>
      <c r="H24" s="57">
        <f>IFERROR(__xludf.DUMMYFUNCTION("""COMPUTED_VALUE"""),10.0)</f>
        <v>10</v>
      </c>
      <c r="I24" s="58">
        <f>IFERROR(__xludf.DUMMYFUNCTION("""COMPUTED_VALUE"""),0.0)</f>
        <v>0</v>
      </c>
      <c r="J24" s="59">
        <f>IFERROR(__xludf.DUMMYFUNCTION("""COMPUTED_VALUE"""),10.0)</f>
        <v>10</v>
      </c>
      <c r="K24" s="51"/>
      <c r="L24" s="61">
        <f>IFERROR(__xludf.DUMMYFUNCTION("""COMPUTED_VALUE"""),10.0)</f>
        <v>10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120" t="str">
        <f>IFERROR(__xludf.DUMMYFUNCTION("""COMPUTED_VALUE"""),"COLIN")</f>
        <v>COLIN</v>
      </c>
      <c r="C25" s="119" t="str">
        <f>IFERROR(__xludf.DUMMYFUNCTION("""COMPUTED_VALUE"""),"GARCIA")</f>
        <v>GARCIA</v>
      </c>
      <c r="D25" s="121" t="str">
        <f>IFERROR(__xludf.DUMMYFUNCTION("""COMPUTED_VALUE"""),"DONOBAN RODRIGO")</f>
        <v>DONOBAN RODRIGO</v>
      </c>
      <c r="E25" s="55">
        <f>IFERROR(__xludf.DUMMYFUNCTION("""COMPUTED_VALUE"""),4.0)</f>
        <v>4</v>
      </c>
      <c r="F25" s="55">
        <f>IFERROR(__xludf.DUMMYFUNCTION("""COMPUTED_VALUE"""),2.0)</f>
        <v>2</v>
      </c>
      <c r="G25" s="56">
        <f>IFERROR(__xludf.DUMMYFUNCTION("""COMPUTED_VALUE"""),1.0)</f>
        <v>1</v>
      </c>
      <c r="H25" s="57">
        <f>IFERROR(__xludf.DUMMYFUNCTION("""COMPUTED_VALUE"""),7.0)</f>
        <v>7</v>
      </c>
      <c r="I25" s="58">
        <f>IFERROR(__xludf.DUMMYFUNCTION("""COMPUTED_VALUE"""),0.0)</f>
        <v>0</v>
      </c>
      <c r="J25" s="59">
        <f>IFERROR(__xludf.DUMMYFUNCTION("""COMPUTED_VALUE"""),7.0)</f>
        <v>7</v>
      </c>
      <c r="K25" s="51"/>
      <c r="L25" s="61">
        <f>IFERROR(__xludf.DUMMYFUNCTION("""COMPUTED_VALUE"""),7.0)</f>
        <v>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120" t="str">
        <f>IFERROR(__xludf.DUMMYFUNCTION("""COMPUTED_VALUE"""),"CONTRERAS")</f>
        <v>CONTRERAS</v>
      </c>
      <c r="C26" s="119" t="str">
        <f>IFERROR(__xludf.DUMMYFUNCTION("""COMPUTED_VALUE"""),"QUIJADA")</f>
        <v>QUIJADA</v>
      </c>
      <c r="D26" s="119" t="str">
        <f>IFERROR(__xludf.DUMMYFUNCTION("""COMPUTED_VALUE"""),"LEONARDO")</f>
        <v>LEONARDO</v>
      </c>
      <c r="E26" s="56">
        <f>IFERROR(__xludf.DUMMYFUNCTION("""COMPUTED_VALUE"""),4.0)</f>
        <v>4</v>
      </c>
      <c r="F26" s="55">
        <f>IFERROR(__xludf.DUMMYFUNCTION("""COMPUTED_VALUE"""),2.0)</f>
        <v>2</v>
      </c>
      <c r="G26" s="56"/>
      <c r="H26" s="57">
        <f>IFERROR(__xludf.DUMMYFUNCTION("""COMPUTED_VALUE"""),6.0)</f>
        <v>6</v>
      </c>
      <c r="I26" s="58">
        <f>IFERROR(__xludf.DUMMYFUNCTION("""COMPUTED_VALUE"""),1.0)</f>
        <v>1</v>
      </c>
      <c r="J26" s="59">
        <f>IFERROR(__xludf.DUMMYFUNCTION("""COMPUTED_VALUE"""),6.0)</f>
        <v>6</v>
      </c>
      <c r="K26" s="51"/>
      <c r="L26" s="61">
        <f>IFERROR(__xludf.DUMMYFUNCTION("""COMPUTED_VALUE"""),6.0)</f>
        <v>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120" t="str">
        <f>IFERROR(__xludf.DUMMYFUNCTION("""COMPUTED_VALUE"""),"COVARRUBIAS")</f>
        <v>COVARRUBIAS</v>
      </c>
      <c r="C27" s="119" t="str">
        <f>IFERROR(__xludf.DUMMYFUNCTION("""COMPUTED_VALUE"""),"ACOSTA")</f>
        <v>ACOSTA</v>
      </c>
      <c r="D27" s="121" t="str">
        <f>IFERROR(__xludf.DUMMYFUNCTION("""COMPUTED_VALUE"""),"SAMANTHA ANGELINE")</f>
        <v>SAMANTHA ANGELINE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/>
      <c r="H27" s="57">
        <f>IFERROR(__xludf.DUMMYFUNCTION("""COMPUTED_VALUE"""),10.0)</f>
        <v>10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120" t="str">
        <f>IFERROR(__xludf.DUMMYFUNCTION("""COMPUTED_VALUE"""),"CRUZ")</f>
        <v>CRUZ</v>
      </c>
      <c r="C28" s="119" t="str">
        <f>IFERROR(__xludf.DUMMYFUNCTION("""COMPUTED_VALUE"""),"GALVEZ")</f>
        <v>GALVEZ</v>
      </c>
      <c r="D28" s="121" t="str">
        <f>IFERROR(__xludf.DUMMYFUNCTION("""COMPUTED_VALUE"""),"PARIS EMILIANO")</f>
        <v>PARIS EMILIANO</v>
      </c>
      <c r="E28" s="55">
        <f>IFERROR(__xludf.DUMMYFUNCTION("""COMPUTED_VALUE"""),8.0)</f>
        <v>8</v>
      </c>
      <c r="F28" s="55">
        <f>IFERROR(__xludf.DUMMYFUNCTION("""COMPUTED_VALUE"""),2.0)</f>
        <v>2</v>
      </c>
      <c r="G28" s="56"/>
      <c r="H28" s="57">
        <f>IFERROR(__xludf.DUMMYFUNCTION("""COMPUTED_VALUE"""),10.0)</f>
        <v>10</v>
      </c>
      <c r="I28" s="58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120" t="str">
        <f>IFERROR(__xludf.DUMMYFUNCTION("""COMPUTED_VALUE"""),"CRUZ")</f>
        <v>CRUZ</v>
      </c>
      <c r="C29" s="119" t="str">
        <f>IFERROR(__xludf.DUMMYFUNCTION("""COMPUTED_VALUE"""),"OROPEZA")</f>
        <v>OROPEZA</v>
      </c>
      <c r="D29" s="121" t="str">
        <f>IFERROR(__xludf.DUMMYFUNCTION("""COMPUTED_VALUE"""),"REBECA JANELLE")</f>
        <v>REBECA JANELLE</v>
      </c>
      <c r="E29" s="55">
        <f>IFERROR(__xludf.DUMMYFUNCTION("""COMPUTED_VALUE"""),7.0)</f>
        <v>7</v>
      </c>
      <c r="F29" s="55">
        <f>IFERROR(__xludf.DUMMYFUNCTION("""COMPUTED_VALUE"""),2.0)</f>
        <v>2</v>
      </c>
      <c r="G29" s="56"/>
      <c r="H29" s="57">
        <f>IFERROR(__xludf.DUMMYFUNCTION("""COMPUTED_VALUE"""),9.0)</f>
        <v>9</v>
      </c>
      <c r="I29" s="58">
        <f>IFERROR(__xludf.DUMMYFUNCTION("""COMPUTED_VALUE"""),0.0)</f>
        <v>0</v>
      </c>
      <c r="J29" s="59">
        <f>IFERROR(__xludf.DUMMYFUNCTION("""COMPUTED_VALUE"""),9.0)</f>
        <v>9</v>
      </c>
      <c r="K29" s="51"/>
      <c r="L29" s="61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120" t="str">
        <f>IFERROR(__xludf.DUMMYFUNCTION("""COMPUTED_VALUE"""),"ELIZALDE")</f>
        <v>ELIZALDE</v>
      </c>
      <c r="C30" s="119" t="str">
        <f>IFERROR(__xludf.DUMMYFUNCTION("""COMPUTED_VALUE"""),"MOLINA")</f>
        <v>MOLINA</v>
      </c>
      <c r="D30" s="121" t="str">
        <f>IFERROR(__xludf.DUMMYFUNCTION("""COMPUTED_VALUE"""),"BARBARA SOFIA")</f>
        <v>BARBARA SOFIA</v>
      </c>
      <c r="E30" s="56">
        <f>IFERROR(__xludf.DUMMYFUNCTION("""COMPUTED_VALUE"""),7.0)</f>
        <v>7</v>
      </c>
      <c r="F30" s="55">
        <f>IFERROR(__xludf.DUMMYFUNCTION("""COMPUTED_VALUE"""),2.0)</f>
        <v>2</v>
      </c>
      <c r="G30" s="56">
        <f>IFERROR(__xludf.DUMMYFUNCTION("""COMPUTED_VALUE"""),1.0)</f>
        <v>1</v>
      </c>
      <c r="H30" s="57">
        <f>IFERROR(__xludf.DUMMYFUNCTION("""COMPUTED_VALUE"""),10.0)</f>
        <v>10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120" t="str">
        <f>IFERROR(__xludf.DUMMYFUNCTION("""COMPUTED_VALUE"""),"ENCINAS")</f>
        <v>ENCINAS</v>
      </c>
      <c r="C31" s="119" t="str">
        <f>IFERROR(__xludf.DUMMYFUNCTION("""COMPUTED_VALUE"""),"RODRIGUEZ")</f>
        <v>RODRIGUEZ</v>
      </c>
      <c r="D31" s="121" t="str">
        <f>IFERROR(__xludf.DUMMYFUNCTION("""COMPUTED_VALUE"""),"CESAR ROBERTO")</f>
        <v>CESAR ROBERTO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/>
      <c r="H31" s="57">
        <f>IFERROR(__xludf.DUMMYFUNCTION("""COMPUTED_VALUE"""),10.0)</f>
        <v>10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120" t="str">
        <f>IFERROR(__xludf.DUMMYFUNCTION("""COMPUTED_VALUE"""),"ESTRADA")</f>
        <v>ESTRADA</v>
      </c>
      <c r="C32" s="119" t="str">
        <f>IFERROR(__xludf.DUMMYFUNCTION("""COMPUTED_VALUE"""),"VARGAS")</f>
        <v>VARGAS</v>
      </c>
      <c r="D32" s="121" t="str">
        <f>IFERROR(__xludf.DUMMYFUNCTION("""COMPUTED_VALUE"""),"JESUS SANTIAGO")</f>
        <v>JESUS SANTIAGO</v>
      </c>
      <c r="E32" s="55">
        <f>IFERROR(__xludf.DUMMYFUNCTION("""COMPUTED_VALUE"""),5.0)</f>
        <v>5</v>
      </c>
      <c r="F32" s="55">
        <f>IFERROR(__xludf.DUMMYFUNCTION("""COMPUTED_VALUE"""),2.0)</f>
        <v>2</v>
      </c>
      <c r="G32" s="56"/>
      <c r="H32" s="57">
        <f>IFERROR(__xludf.DUMMYFUNCTION("""COMPUTED_VALUE"""),7.0)</f>
        <v>7</v>
      </c>
      <c r="I32" s="58">
        <f>IFERROR(__xludf.DUMMYFUNCTION("""COMPUTED_VALUE"""),0.0)</f>
        <v>0</v>
      </c>
      <c r="J32" s="59">
        <f>IFERROR(__xludf.DUMMYFUNCTION("""COMPUTED_VALUE"""),7.0)</f>
        <v>7</v>
      </c>
      <c r="K32" s="51"/>
      <c r="L32" s="61">
        <f>IFERROR(__xludf.DUMMYFUNCTION("""COMPUTED_VALUE"""),7.0)</f>
        <v>7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120" t="str">
        <f>IFERROR(__xludf.DUMMYFUNCTION("""COMPUTED_VALUE"""),"FINKENTHAL")</f>
        <v>FINKENTHAL</v>
      </c>
      <c r="C33" s="119" t="str">
        <f>IFERROR(__xludf.DUMMYFUNCTION("""COMPUTED_VALUE"""),"RAMIREZ")</f>
        <v>RAMIREZ</v>
      </c>
      <c r="D33" s="121" t="str">
        <f>IFERROR(__xludf.DUMMYFUNCTION("""COMPUTED_VALUE"""),"ALENKA")</f>
        <v>ALENKA</v>
      </c>
      <c r="E33" s="55">
        <f>IFERROR(__xludf.DUMMYFUNCTION("""COMPUTED_VALUE"""),7.0)</f>
        <v>7</v>
      </c>
      <c r="F33" s="55">
        <f>IFERROR(__xludf.DUMMYFUNCTION("""COMPUTED_VALUE"""),2.0)</f>
        <v>2</v>
      </c>
      <c r="G33" s="56">
        <f>IFERROR(__xludf.DUMMYFUNCTION("""COMPUTED_VALUE"""),1.0)</f>
        <v>1</v>
      </c>
      <c r="H33" s="57">
        <f>IFERROR(__xludf.DUMMYFUNCTION("""COMPUTED_VALUE"""),10.0)</f>
        <v>10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120" t="str">
        <f>IFERROR(__xludf.DUMMYFUNCTION("""COMPUTED_VALUE"""),"FLORES")</f>
        <v>FLORES</v>
      </c>
      <c r="C34" s="119" t="str">
        <f>IFERROR(__xludf.DUMMYFUNCTION("""COMPUTED_VALUE"""),"PEREZ")</f>
        <v>PEREZ</v>
      </c>
      <c r="D34" s="121" t="str">
        <f>IFERROR(__xludf.DUMMYFUNCTION("""COMPUTED_VALUE"""),"ROBERTO")</f>
        <v>ROBERTO</v>
      </c>
      <c r="E34" s="56">
        <f>IFERROR(__xludf.DUMMYFUNCTION("""COMPUTED_VALUE"""),5.0)</f>
        <v>5</v>
      </c>
      <c r="F34" s="55">
        <f>IFERROR(__xludf.DUMMYFUNCTION("""COMPUTED_VALUE"""),2.0)</f>
        <v>2</v>
      </c>
      <c r="G34" s="56"/>
      <c r="H34" s="57">
        <f>IFERROR(__xludf.DUMMYFUNCTION("""COMPUTED_VALUE"""),7.0)</f>
        <v>7</v>
      </c>
      <c r="I34" s="58">
        <f>IFERROR(__xludf.DUMMYFUNCTION("""COMPUTED_VALUE"""),0.0)</f>
        <v>0</v>
      </c>
      <c r="J34" s="59">
        <f>IFERROR(__xludf.DUMMYFUNCTION("""COMPUTED_VALUE"""),7.0)</f>
        <v>7</v>
      </c>
      <c r="K34" s="51"/>
      <c r="L34" s="61">
        <f>IFERROR(__xludf.DUMMYFUNCTION("""COMPUTED_VALUE"""),7.0)</f>
        <v>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120" t="str">
        <f>IFERROR(__xludf.DUMMYFUNCTION("""COMPUTED_VALUE"""),"FLORES")</f>
        <v>FLORES</v>
      </c>
      <c r="C35" s="119" t="str">
        <f>IFERROR(__xludf.DUMMYFUNCTION("""COMPUTED_VALUE"""),"RODRIGUEZ")</f>
        <v>RODRIGUEZ</v>
      </c>
      <c r="D35" s="121" t="str">
        <f>IFERROR(__xludf.DUMMYFUNCTION("""COMPUTED_VALUE"""),"FRANCISCO ISAAC")</f>
        <v>FRANCISCO ISAAC</v>
      </c>
      <c r="E35" s="55">
        <f>IFERROR(__xludf.DUMMYFUNCTION("""COMPUTED_VALUE"""),6.0)</f>
        <v>6</v>
      </c>
      <c r="F35" s="55">
        <f>IFERROR(__xludf.DUMMYFUNCTION("""COMPUTED_VALUE"""),2.0)</f>
        <v>2</v>
      </c>
      <c r="G35" s="56">
        <f>IFERROR(__xludf.DUMMYFUNCTION("""COMPUTED_VALUE"""),1.0)</f>
        <v>1</v>
      </c>
      <c r="H35" s="57">
        <f>IFERROR(__xludf.DUMMYFUNCTION("""COMPUTED_VALUE"""),9.0)</f>
        <v>9</v>
      </c>
      <c r="I35" s="58">
        <f>IFERROR(__xludf.DUMMYFUNCTION("""COMPUTED_VALUE"""),0.0)</f>
        <v>0</v>
      </c>
      <c r="J35" s="59">
        <f>IFERROR(__xludf.DUMMYFUNCTION("""COMPUTED_VALUE"""),9.0)</f>
        <v>9</v>
      </c>
      <c r="K35" s="51"/>
      <c r="L35" s="61">
        <f>IFERROR(__xludf.DUMMYFUNCTION("""COMPUTED_VALUE"""),9.0)</f>
        <v>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120" t="str">
        <f>IFERROR(__xludf.DUMMYFUNCTION("""COMPUTED_VALUE"""),"GONZALEZ")</f>
        <v>GONZALEZ</v>
      </c>
      <c r="C36" s="119" t="str">
        <f>IFERROR(__xludf.DUMMYFUNCTION("""COMPUTED_VALUE"""),"GONZALEZ")</f>
        <v>GONZALEZ</v>
      </c>
      <c r="D36" s="121" t="str">
        <f>IFERROR(__xludf.DUMMYFUNCTION("""COMPUTED_VALUE"""),"ANGELA PAULINA")</f>
        <v>ANGELA PAULINA</v>
      </c>
      <c r="E36" s="55">
        <f>IFERROR(__xludf.DUMMYFUNCTION("""COMPUTED_VALUE"""),7.0)</f>
        <v>7</v>
      </c>
      <c r="F36" s="55">
        <f>IFERROR(__xludf.DUMMYFUNCTION("""COMPUTED_VALUE"""),2.0)</f>
        <v>2</v>
      </c>
      <c r="G36" s="56">
        <f>IFERROR(__xludf.DUMMYFUNCTION("""COMPUTED_VALUE"""),1.0)</f>
        <v>1</v>
      </c>
      <c r="H36" s="57">
        <f>IFERROR(__xludf.DUMMYFUNCTION("""COMPUTED_VALUE"""),10.0)</f>
        <v>10</v>
      </c>
      <c r="I36" s="58">
        <f>IFERROR(__xludf.DUMMYFUNCTION("""COMPUTED_VALUE"""),1.0)</f>
        <v>1</v>
      </c>
      <c r="J36" s="59">
        <f>IFERROR(__xludf.DUMMYFUNCTION("""COMPUTED_VALUE"""),10.0)</f>
        <v>10</v>
      </c>
      <c r="K36" s="51"/>
      <c r="L36" s="61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120" t="str">
        <f>IFERROR(__xludf.DUMMYFUNCTION("""COMPUTED_VALUE"""),"GONZALEZ")</f>
        <v>GONZALEZ</v>
      </c>
      <c r="C37" s="119" t="str">
        <f>IFERROR(__xludf.DUMMYFUNCTION("""COMPUTED_VALUE"""),"TREJO")</f>
        <v>TREJO</v>
      </c>
      <c r="D37" s="121" t="str">
        <f>IFERROR(__xludf.DUMMYFUNCTION("""COMPUTED_VALUE"""),"LESLIE XIMENA")</f>
        <v>LESLIE XIMENA</v>
      </c>
      <c r="E37" s="56">
        <f>IFERROR(__xludf.DUMMYFUNCTION("""COMPUTED_VALUE"""),7.0)</f>
        <v>7</v>
      </c>
      <c r="F37" s="55">
        <f>IFERROR(__xludf.DUMMYFUNCTION("""COMPUTED_VALUE"""),2.0)</f>
        <v>2</v>
      </c>
      <c r="G37" s="56">
        <f>IFERROR(__xludf.DUMMYFUNCTION("""COMPUTED_VALUE"""),1.0)</f>
        <v>1</v>
      </c>
      <c r="H37" s="57">
        <f>IFERROR(__xludf.DUMMYFUNCTION("""COMPUTED_VALUE"""),10.0)</f>
        <v>10</v>
      </c>
      <c r="I37" s="58">
        <f>IFERROR(__xludf.DUMMYFUNCTION("""COMPUTED_VALUE"""),0.0)</f>
        <v>0</v>
      </c>
      <c r="J37" s="59">
        <f>IFERROR(__xludf.DUMMYFUNCTION("""COMPUTED_VALUE"""),10.0)</f>
        <v>10</v>
      </c>
      <c r="K37" s="51"/>
      <c r="L37" s="61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120" t="str">
        <f>IFERROR(__xludf.DUMMYFUNCTION("""COMPUTED_VALUE"""),"HERNANDEZ")</f>
        <v>HERNANDEZ</v>
      </c>
      <c r="C38" s="119" t="str">
        <f>IFERROR(__xludf.DUMMYFUNCTION("""COMPUTED_VALUE"""),"GARCIA")</f>
        <v>GARCIA</v>
      </c>
      <c r="D38" s="121" t="str">
        <f>IFERROR(__xludf.DUMMYFUNCTION("""COMPUTED_VALUE"""),"EMILY")</f>
        <v>EMILY</v>
      </c>
      <c r="E38" s="55">
        <f>IFERROR(__xludf.DUMMYFUNCTION("""COMPUTED_VALUE"""),8.0)</f>
        <v>8</v>
      </c>
      <c r="F38" s="55">
        <f>IFERROR(__xludf.DUMMYFUNCTION("""COMPUTED_VALUE"""),2.0)</f>
        <v>2</v>
      </c>
      <c r="G38" s="56"/>
      <c r="H38" s="57">
        <f>IFERROR(__xludf.DUMMYFUNCTION("""COMPUTED_VALUE"""),10.0)</f>
        <v>10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120" t="str">
        <f>IFERROR(__xludf.DUMMYFUNCTION("""COMPUTED_VALUE"""),"HERNANDEZ")</f>
        <v>HERNANDEZ</v>
      </c>
      <c r="C39" s="119" t="str">
        <f>IFERROR(__xludf.DUMMYFUNCTION("""COMPUTED_VALUE"""),"GARCIA")</f>
        <v>GARCIA</v>
      </c>
      <c r="D39" s="121" t="str">
        <f>IFERROR(__xludf.DUMMYFUNCTION("""COMPUTED_VALUE"""),"SAMANTA")</f>
        <v>SAMANTA</v>
      </c>
      <c r="E39" s="55">
        <f>IFERROR(__xludf.DUMMYFUNCTION("""COMPUTED_VALUE"""),4.0)</f>
        <v>4</v>
      </c>
      <c r="F39" s="55">
        <f>IFERROR(__xludf.DUMMYFUNCTION("""COMPUTED_VALUE"""),2.0)</f>
        <v>2</v>
      </c>
      <c r="G39" s="56"/>
      <c r="H39" s="57">
        <f>IFERROR(__xludf.DUMMYFUNCTION("""COMPUTED_VALUE"""),6.0)</f>
        <v>6</v>
      </c>
      <c r="I39" s="58">
        <f>IFERROR(__xludf.DUMMYFUNCTION("""COMPUTED_VALUE"""),1.0)</f>
        <v>1</v>
      </c>
      <c r="J39" s="59">
        <f>IFERROR(__xludf.DUMMYFUNCTION("""COMPUTED_VALUE"""),6.0)</f>
        <v>6</v>
      </c>
      <c r="K39" s="51"/>
      <c r="L39" s="61">
        <f>IFERROR(__xludf.DUMMYFUNCTION("""COMPUTED_VALUE"""),6.0)</f>
        <v>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120" t="str">
        <f>IFERROR(__xludf.DUMMYFUNCTION("""COMPUTED_VALUE"""),"HERRERA")</f>
        <v>HERRERA</v>
      </c>
      <c r="C40" s="119" t="str">
        <f>IFERROR(__xludf.DUMMYFUNCTION("""COMPUTED_VALUE"""),"JIMENEZ")</f>
        <v>JIMENEZ</v>
      </c>
      <c r="D40" s="121" t="str">
        <f>IFERROR(__xludf.DUMMYFUNCTION("""COMPUTED_VALUE"""),"JOSUE ABISAI")</f>
        <v>JOSUE ABISAI</v>
      </c>
      <c r="E40" s="55">
        <f>IFERROR(__xludf.DUMMYFUNCTION("""COMPUTED_VALUE"""),5.0)</f>
        <v>5</v>
      </c>
      <c r="F40" s="55">
        <f>IFERROR(__xludf.DUMMYFUNCTION("""COMPUTED_VALUE"""),2.0)</f>
        <v>2</v>
      </c>
      <c r="G40" s="56"/>
      <c r="H40" s="57">
        <f>IFERROR(__xludf.DUMMYFUNCTION("""COMPUTED_VALUE"""),7.0)</f>
        <v>7</v>
      </c>
      <c r="I40" s="58">
        <f>IFERROR(__xludf.DUMMYFUNCTION("""COMPUTED_VALUE"""),0.0)</f>
        <v>0</v>
      </c>
      <c r="J40" s="59">
        <f>IFERROR(__xludf.DUMMYFUNCTION("""COMPUTED_VALUE"""),7.0)</f>
        <v>7</v>
      </c>
      <c r="K40" s="51"/>
      <c r="L40" s="61">
        <f>IFERROR(__xludf.DUMMYFUNCTION("""COMPUTED_VALUE"""),7.0)</f>
        <v>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120" t="str">
        <f>IFERROR(__xludf.DUMMYFUNCTION("""COMPUTED_VALUE"""),"HERNANDEZ")</f>
        <v>HERNANDEZ</v>
      </c>
      <c r="C41" s="119" t="str">
        <f>IFERROR(__xludf.DUMMYFUNCTION("""COMPUTED_VALUE"""),"PALLARES")</f>
        <v>PALLARES</v>
      </c>
      <c r="D41" s="121" t="str">
        <f>IFERROR(__xludf.DUMMYFUNCTION("""COMPUTED_VALUE"""),"IVAN")</f>
        <v>IVAN</v>
      </c>
      <c r="E41" s="55">
        <f>IFERROR(__xludf.DUMMYFUNCTION("""COMPUTED_VALUE"""),5.0)</f>
        <v>5</v>
      </c>
      <c r="F41" s="55">
        <f>IFERROR(__xludf.DUMMYFUNCTION("""COMPUTED_VALUE"""),0.0)</f>
        <v>0</v>
      </c>
      <c r="G41" s="56"/>
      <c r="H41" s="57">
        <f>IFERROR(__xludf.DUMMYFUNCTION("""COMPUTED_VALUE"""),5.0)</f>
        <v>5</v>
      </c>
      <c r="I41" s="58">
        <f>IFERROR(__xludf.DUMMYFUNCTION("""COMPUTED_VALUE"""),1.0)</f>
        <v>1</v>
      </c>
      <c r="J41" s="59">
        <f>IFERROR(__xludf.DUMMYFUNCTION("""COMPUTED_VALUE"""),5.0)</f>
        <v>5</v>
      </c>
      <c r="K41" s="51"/>
      <c r="L41" s="61">
        <f>IFERROR(__xludf.DUMMYFUNCTION("""COMPUTED_VALUE"""),5.0)</f>
        <v>5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120" t="str">
        <f>IFERROR(__xludf.DUMMYFUNCTION("""COMPUTED_VALUE"""),"JIMENEZ")</f>
        <v>JIMENEZ</v>
      </c>
      <c r="C42" s="119" t="str">
        <f>IFERROR(__xludf.DUMMYFUNCTION("""COMPUTED_VALUE"""),"PACHUCA")</f>
        <v>PACHUCA</v>
      </c>
      <c r="D42" s="121" t="str">
        <f>IFERROR(__xludf.DUMMYFUNCTION("""COMPUTED_VALUE"""),"LUIS ANTONIO")</f>
        <v>LUIS ANTONIO</v>
      </c>
      <c r="E42" s="55">
        <f>IFERROR(__xludf.DUMMYFUNCTION("""COMPUTED_VALUE"""),8.0)</f>
        <v>8</v>
      </c>
      <c r="F42" s="55">
        <f>IFERROR(__xludf.DUMMYFUNCTION("""COMPUTED_VALUE"""),2.0)</f>
        <v>2</v>
      </c>
      <c r="G42" s="56"/>
      <c r="H42" s="57">
        <f>IFERROR(__xludf.DUMMYFUNCTION("""COMPUTED_VALUE"""),10.0)</f>
        <v>10</v>
      </c>
      <c r="I42" s="58">
        <f>IFERROR(__xludf.DUMMYFUNCTION("""COMPUTED_VALUE"""),0.0)</f>
        <v>0</v>
      </c>
      <c r="J42" s="59">
        <f>IFERROR(__xludf.DUMMYFUNCTION("""COMPUTED_VALUE"""),10.0)</f>
        <v>10</v>
      </c>
      <c r="K42" s="51"/>
      <c r="L42" s="61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120" t="str">
        <f>IFERROR(__xludf.DUMMYFUNCTION("""COMPUTED_VALUE"""),"LEGORRETA")</f>
        <v>LEGORRETA</v>
      </c>
      <c r="C43" s="119" t="str">
        <f>IFERROR(__xludf.DUMMYFUNCTION("""COMPUTED_VALUE"""),"HERNANDEZ")</f>
        <v>HERNANDEZ</v>
      </c>
      <c r="D43" s="121" t="str">
        <f>IFERROR(__xludf.DUMMYFUNCTION("""COMPUTED_VALUE"""),"LILIANA")</f>
        <v>LILIANA</v>
      </c>
      <c r="E43" s="55">
        <f>IFERROR(__xludf.DUMMYFUNCTION("""COMPUTED_VALUE"""),5.0)</f>
        <v>5</v>
      </c>
      <c r="F43" s="55">
        <f>IFERROR(__xludf.DUMMYFUNCTION("""COMPUTED_VALUE"""),2.0)</f>
        <v>2</v>
      </c>
      <c r="G43" s="56"/>
      <c r="H43" s="57">
        <f>IFERROR(__xludf.DUMMYFUNCTION("""COMPUTED_VALUE"""),7.0)</f>
        <v>7</v>
      </c>
      <c r="I43" s="58">
        <f>IFERROR(__xludf.DUMMYFUNCTION("""COMPUTED_VALUE"""),0.0)</f>
        <v>0</v>
      </c>
      <c r="J43" s="59">
        <f>IFERROR(__xludf.DUMMYFUNCTION("""COMPUTED_VALUE"""),7.0)</f>
        <v>7</v>
      </c>
      <c r="K43" s="51"/>
      <c r="L43" s="61">
        <f>IFERROR(__xludf.DUMMYFUNCTION("""COMPUTED_VALUE"""),7.0)</f>
        <v>7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120" t="str">
        <f>IFERROR(__xludf.DUMMYFUNCTION("""COMPUTED_VALUE"""),"LOPEZ")</f>
        <v>LOPEZ</v>
      </c>
      <c r="C44" s="119" t="str">
        <f>IFERROR(__xludf.DUMMYFUNCTION("""COMPUTED_VALUE"""),"HERNANDEZ")</f>
        <v>HERNANDEZ</v>
      </c>
      <c r="D44" s="121" t="str">
        <f>IFERROR(__xludf.DUMMYFUNCTION("""COMPUTED_VALUE"""),"KARINA")</f>
        <v>KARINA</v>
      </c>
      <c r="E44" s="55">
        <f>IFERROR(__xludf.DUMMYFUNCTION("""COMPUTED_VALUE"""),8.0)</f>
        <v>8</v>
      </c>
      <c r="F44" s="55">
        <f>IFERROR(__xludf.DUMMYFUNCTION("""COMPUTED_VALUE"""),0.0)</f>
        <v>0</v>
      </c>
      <c r="G44" s="56"/>
      <c r="H44" s="57">
        <f>IFERROR(__xludf.DUMMYFUNCTION("""COMPUTED_VALUE"""),8.0)</f>
        <v>8</v>
      </c>
      <c r="I44" s="58">
        <f>IFERROR(__xludf.DUMMYFUNCTION("""COMPUTED_VALUE"""),0.0)</f>
        <v>0</v>
      </c>
      <c r="J44" s="59">
        <f>IFERROR(__xludf.DUMMYFUNCTION("""COMPUTED_VALUE"""),8.0)</f>
        <v>8</v>
      </c>
      <c r="K44" s="51"/>
      <c r="L44" s="61">
        <f>IFERROR(__xludf.DUMMYFUNCTION("""COMPUTED_VALUE"""),8.0)</f>
        <v>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120" t="str">
        <f>IFERROR(__xludf.DUMMYFUNCTION("""COMPUTED_VALUE"""),"LUGO")</f>
        <v>LUGO</v>
      </c>
      <c r="C45" s="119" t="str">
        <f>IFERROR(__xludf.DUMMYFUNCTION("""COMPUTED_VALUE"""),"SOLARES")</f>
        <v>SOLARES</v>
      </c>
      <c r="D45" s="121" t="str">
        <f>IFERROR(__xludf.DUMMYFUNCTION("""COMPUTED_VALUE"""),"YAIR EMILIANO")</f>
        <v>YAIR EMILIANO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/>
      <c r="H45" s="57">
        <f>IFERROR(__xludf.DUMMYFUNCTION("""COMPUTED_VALUE"""),10.0)</f>
        <v>10</v>
      </c>
      <c r="I45" s="58">
        <f>IFERROR(__xludf.DUMMYFUNCTION("""COMPUTED_VALUE"""),0.0)</f>
        <v>0</v>
      </c>
      <c r="J45" s="59">
        <f>IFERROR(__xludf.DUMMYFUNCTION("""COMPUTED_VALUE"""),10.0)</f>
        <v>10</v>
      </c>
      <c r="K45" s="51"/>
      <c r="L45" s="61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120" t="str">
        <f>IFERROR(__xludf.DUMMYFUNCTION("""COMPUTED_VALUE"""),"LUNA")</f>
        <v>LUNA</v>
      </c>
      <c r="C46" s="119" t="str">
        <f>IFERROR(__xludf.DUMMYFUNCTION("""COMPUTED_VALUE"""),"FRANCISCO")</f>
        <v>FRANCISCO</v>
      </c>
      <c r="D46" s="121" t="str">
        <f>IFERROR(__xludf.DUMMYFUNCTION("""COMPUTED_VALUE"""),"SAMANTHA ITZEL")</f>
        <v>SAMANTHA ITZEL</v>
      </c>
      <c r="E46" s="55">
        <f>IFERROR(__xludf.DUMMYFUNCTION("""COMPUTED_VALUE"""),5.0)</f>
        <v>5</v>
      </c>
      <c r="F46" s="55">
        <f>IFERROR(__xludf.DUMMYFUNCTION("""COMPUTED_VALUE"""),0.0)</f>
        <v>0</v>
      </c>
      <c r="G46" s="56"/>
      <c r="H46" s="57">
        <f>IFERROR(__xludf.DUMMYFUNCTION("""COMPUTED_VALUE"""),5.0)</f>
        <v>5</v>
      </c>
      <c r="I46" s="58">
        <f>IFERROR(__xludf.DUMMYFUNCTION("""COMPUTED_VALUE"""),2.0)</f>
        <v>2</v>
      </c>
      <c r="J46" s="59">
        <f>IFERROR(__xludf.DUMMYFUNCTION("""COMPUTED_VALUE"""),5.0)</f>
        <v>5</v>
      </c>
      <c r="K46" s="51"/>
      <c r="L46" s="61">
        <f>IFERROR(__xludf.DUMMYFUNCTION("""COMPUTED_VALUE"""),5.0)</f>
        <v>5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120" t="str">
        <f>IFERROR(__xludf.DUMMYFUNCTION("""COMPUTED_VALUE"""),"MARENTES")</f>
        <v>MARENTES</v>
      </c>
      <c r="C47" s="120" t="str">
        <f>IFERROR(__xludf.DUMMYFUNCTION("""COMPUTED_VALUE"""),"ROBLES")</f>
        <v>ROBLES</v>
      </c>
      <c r="D47" s="121" t="str">
        <f>IFERROR(__xludf.DUMMYFUNCTION("""COMPUTED_VALUE"""),"LUZ NATALIA")</f>
        <v>LUZ NATALIA</v>
      </c>
      <c r="E47" s="55">
        <f>IFERROR(__xludf.DUMMYFUNCTION("""COMPUTED_VALUE"""),6.0)</f>
        <v>6</v>
      </c>
      <c r="F47" s="55">
        <f>IFERROR(__xludf.DUMMYFUNCTION("""COMPUTED_VALUE"""),2.0)</f>
        <v>2</v>
      </c>
      <c r="G47" s="56"/>
      <c r="H47" s="57">
        <f>IFERROR(__xludf.DUMMYFUNCTION("""COMPUTED_VALUE"""),8.0)</f>
        <v>8</v>
      </c>
      <c r="I47" s="58">
        <f>IFERROR(__xludf.DUMMYFUNCTION("""COMPUTED_VALUE"""),0.0)</f>
        <v>0</v>
      </c>
      <c r="J47" s="59">
        <f>IFERROR(__xludf.DUMMYFUNCTION("""COMPUTED_VALUE"""),8.0)</f>
        <v>8</v>
      </c>
      <c r="K47" s="51"/>
      <c r="L47" s="61">
        <f>IFERROR(__xludf.DUMMYFUNCTION("""COMPUTED_VALUE"""),8.0)</f>
        <v>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120" t="str">
        <f>IFERROR(__xludf.DUMMYFUNCTION("""COMPUTED_VALUE"""),"MARTINEZ")</f>
        <v>MARTINEZ</v>
      </c>
      <c r="C48" s="119" t="str">
        <f>IFERROR(__xludf.DUMMYFUNCTION("""COMPUTED_VALUE"""),"IBARRA")</f>
        <v>IBARRA</v>
      </c>
      <c r="D48" s="121" t="str">
        <f>IFERROR(__xludf.DUMMYFUNCTION("""COMPUTED_VALUE"""),"JOHAN ISAI")</f>
        <v>JOHAN ISAI</v>
      </c>
      <c r="E48" s="55">
        <f>IFERROR(__xludf.DUMMYFUNCTION("""COMPUTED_VALUE"""),5.0)</f>
        <v>5</v>
      </c>
      <c r="F48" s="55">
        <f>IFERROR(__xludf.DUMMYFUNCTION("""COMPUTED_VALUE"""),2.0)</f>
        <v>2</v>
      </c>
      <c r="G48" s="56"/>
      <c r="H48" s="57">
        <f>IFERROR(__xludf.DUMMYFUNCTION("""COMPUTED_VALUE"""),7.0)</f>
        <v>7</v>
      </c>
      <c r="I48" s="58">
        <f>IFERROR(__xludf.DUMMYFUNCTION("""COMPUTED_VALUE"""),1.0)</f>
        <v>1</v>
      </c>
      <c r="J48" s="59">
        <f>IFERROR(__xludf.DUMMYFUNCTION("""COMPUTED_VALUE"""),7.0)</f>
        <v>7</v>
      </c>
      <c r="K48" s="51"/>
      <c r="L48" s="61">
        <f>IFERROR(__xludf.DUMMYFUNCTION("""COMPUTED_VALUE"""),7.0)</f>
        <v>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120" t="str">
        <f>IFERROR(__xludf.DUMMYFUNCTION("""COMPUTED_VALUE"""),"MARTINEZ")</f>
        <v>MARTINEZ</v>
      </c>
      <c r="C49" s="119" t="str">
        <f>IFERROR(__xludf.DUMMYFUNCTION("""COMPUTED_VALUE"""),"MANCILLA")</f>
        <v>MANCILLA</v>
      </c>
      <c r="D49" s="121" t="str">
        <f>IFERROR(__xludf.DUMMYFUNCTION("""COMPUTED_VALUE"""),"ZIT ZURIEL")</f>
        <v>ZIT ZURIEL</v>
      </c>
      <c r="E49" s="55">
        <f>IFERROR(__xludf.DUMMYFUNCTION("""COMPUTED_VALUE"""),5.0)</f>
        <v>5</v>
      </c>
      <c r="F49" s="55">
        <f>IFERROR(__xludf.DUMMYFUNCTION("""COMPUTED_VALUE"""),0.0)</f>
        <v>0</v>
      </c>
      <c r="G49" s="56"/>
      <c r="H49" s="57">
        <f>IFERROR(__xludf.DUMMYFUNCTION("""COMPUTED_VALUE"""),5.0)</f>
        <v>5</v>
      </c>
      <c r="I49" s="58">
        <f>IFERROR(__xludf.DUMMYFUNCTION("""COMPUTED_VALUE"""),1.0)</f>
        <v>1</v>
      </c>
      <c r="J49" s="59">
        <f>IFERROR(__xludf.DUMMYFUNCTION("""COMPUTED_VALUE"""),5.0)</f>
        <v>5</v>
      </c>
      <c r="K49" s="51"/>
      <c r="L49" s="61">
        <f>IFERROR(__xludf.DUMMYFUNCTION("""COMPUTED_VALUE"""),5.0)</f>
        <v>5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120" t="str">
        <f>IFERROR(__xludf.DUMMYFUNCTION("""COMPUTED_VALUE"""),"MORALES")</f>
        <v>MORALES</v>
      </c>
      <c r="C50" s="119" t="str">
        <f>IFERROR(__xludf.DUMMYFUNCTION("""COMPUTED_VALUE"""),"LORANCA")</f>
        <v>LORANCA</v>
      </c>
      <c r="D50" s="121" t="str">
        <f>IFERROR(__xludf.DUMMYFUNCTION("""COMPUTED_VALUE"""),"MATIAS DANIEL")</f>
        <v>MATIAS DANIEL</v>
      </c>
      <c r="E50" s="55">
        <f>IFERROR(__xludf.DUMMYFUNCTION("""COMPUTED_VALUE"""),5.0)</f>
        <v>5</v>
      </c>
      <c r="F50" s="55">
        <f>IFERROR(__xludf.DUMMYFUNCTION("""COMPUTED_VALUE"""),0.0)</f>
        <v>0</v>
      </c>
      <c r="G50" s="56"/>
      <c r="H50" s="57">
        <f>IFERROR(__xludf.DUMMYFUNCTION("""COMPUTED_VALUE"""),5.0)</f>
        <v>5</v>
      </c>
      <c r="I50" s="58">
        <f>IFERROR(__xludf.DUMMYFUNCTION("""COMPUTED_VALUE"""),1.0)</f>
        <v>1</v>
      </c>
      <c r="J50" s="59">
        <f>IFERROR(__xludf.DUMMYFUNCTION("""COMPUTED_VALUE"""),5.0)</f>
        <v>5</v>
      </c>
      <c r="K50" s="51"/>
      <c r="L50" s="61">
        <f>IFERROR(__xludf.DUMMYFUNCTION("""COMPUTED_VALUE"""),5.0)</f>
        <v>5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120" t="str">
        <f>IFERROR(__xludf.DUMMYFUNCTION("""COMPUTED_VALUE"""),"MORALES")</f>
        <v>MORALES</v>
      </c>
      <c r="C51" s="119" t="str">
        <f>IFERROR(__xludf.DUMMYFUNCTION("""COMPUTED_VALUE"""),"PIÑON")</f>
        <v>PIÑON</v>
      </c>
      <c r="D51" s="121" t="str">
        <f>IFERROR(__xludf.DUMMYFUNCTION("""COMPUTED_VALUE"""),"NATALIA ABRIL")</f>
        <v>NATALIA ABRIL</v>
      </c>
      <c r="E51" s="55">
        <f>IFERROR(__xludf.DUMMYFUNCTION("""COMPUTED_VALUE"""),5.0)</f>
        <v>5</v>
      </c>
      <c r="F51" s="55">
        <f>IFERROR(__xludf.DUMMYFUNCTION("""COMPUTED_VALUE"""),2.0)</f>
        <v>2</v>
      </c>
      <c r="G51" s="56"/>
      <c r="H51" s="57">
        <f>IFERROR(__xludf.DUMMYFUNCTION("""COMPUTED_VALUE"""),7.0)</f>
        <v>7</v>
      </c>
      <c r="I51" s="58">
        <f>IFERROR(__xludf.DUMMYFUNCTION("""COMPUTED_VALUE"""),1.0)</f>
        <v>1</v>
      </c>
      <c r="J51" s="59">
        <f>IFERROR(__xludf.DUMMYFUNCTION("""COMPUTED_VALUE"""),7.0)</f>
        <v>7</v>
      </c>
      <c r="K51" s="51"/>
      <c r="L51" s="61">
        <f>IFERROR(__xludf.DUMMYFUNCTION("""COMPUTED_VALUE"""),7.0)</f>
        <v>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120" t="str">
        <f>IFERROR(__xludf.DUMMYFUNCTION("""COMPUTED_VALUE"""),"NAVARRO")</f>
        <v>NAVARRO</v>
      </c>
      <c r="C52" s="119" t="str">
        <f>IFERROR(__xludf.DUMMYFUNCTION("""COMPUTED_VALUE"""),"ROMO")</f>
        <v>ROMO</v>
      </c>
      <c r="D52" s="121" t="str">
        <f>IFERROR(__xludf.DUMMYFUNCTION("""COMPUTED_VALUE"""),"MARCO ARIEL")</f>
        <v>MARCO ARIEL</v>
      </c>
      <c r="E52" s="55">
        <f>IFERROR(__xludf.DUMMYFUNCTION("""COMPUTED_VALUE"""),4.0)</f>
        <v>4</v>
      </c>
      <c r="F52" s="55">
        <f>IFERROR(__xludf.DUMMYFUNCTION("""COMPUTED_VALUE"""),2.0)</f>
        <v>2</v>
      </c>
      <c r="G52" s="56"/>
      <c r="H52" s="57">
        <f>IFERROR(__xludf.DUMMYFUNCTION("""COMPUTED_VALUE"""),6.0)</f>
        <v>6</v>
      </c>
      <c r="I52" s="58">
        <f>IFERROR(__xludf.DUMMYFUNCTION("""COMPUTED_VALUE"""),0.0)</f>
        <v>0</v>
      </c>
      <c r="J52" s="59">
        <f>IFERROR(__xludf.DUMMYFUNCTION("""COMPUTED_VALUE"""),6.0)</f>
        <v>6</v>
      </c>
      <c r="K52" s="51"/>
      <c r="L52" s="60">
        <f>IFERROR(__xludf.DUMMYFUNCTION("""COMPUTED_VALUE"""),6.0)</f>
        <v>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120" t="str">
        <f>IFERROR(__xludf.DUMMYFUNCTION("""COMPUTED_VALUE"""),"OLVERA")</f>
        <v>OLVERA</v>
      </c>
      <c r="C53" s="119" t="str">
        <f>IFERROR(__xludf.DUMMYFUNCTION("""COMPUTED_VALUE"""),"VALLE")</f>
        <v>VALLE</v>
      </c>
      <c r="D53" s="121" t="str">
        <f>IFERROR(__xludf.DUMMYFUNCTION("""COMPUTED_VALUE"""),"LAILA MELISA")</f>
        <v>LAILA MELISA</v>
      </c>
      <c r="E53" s="55">
        <f>IFERROR(__xludf.DUMMYFUNCTION("""COMPUTED_VALUE"""),4.0)</f>
        <v>4</v>
      </c>
      <c r="F53" s="55">
        <f>IFERROR(__xludf.DUMMYFUNCTION("""COMPUTED_VALUE"""),2.0)</f>
        <v>2</v>
      </c>
      <c r="G53" s="56">
        <f>IFERROR(__xludf.DUMMYFUNCTION("""COMPUTED_VALUE"""),1.0)</f>
        <v>1</v>
      </c>
      <c r="H53" s="57">
        <f>IFERROR(__xludf.DUMMYFUNCTION("""COMPUTED_VALUE"""),7.0)</f>
        <v>7</v>
      </c>
      <c r="I53" s="58">
        <f>IFERROR(__xludf.DUMMYFUNCTION("""COMPUTED_VALUE"""),0.0)</f>
        <v>0</v>
      </c>
      <c r="J53" s="59">
        <f>IFERROR(__xludf.DUMMYFUNCTION("""COMPUTED_VALUE"""),7.0)</f>
        <v>7</v>
      </c>
      <c r="K53" s="51"/>
      <c r="L53" s="60">
        <f>IFERROR(__xludf.DUMMYFUNCTION("""COMPUTED_VALUE"""),7.0)</f>
        <v>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120" t="str">
        <f>IFERROR(__xludf.DUMMYFUNCTION("""COMPUTED_VALUE"""),"ORTIZ")</f>
        <v>ORTIZ</v>
      </c>
      <c r="C54" s="119" t="str">
        <f>IFERROR(__xludf.DUMMYFUNCTION("""COMPUTED_VALUE"""),"CARRILLO")</f>
        <v>CARRILLO</v>
      </c>
      <c r="D54" s="121" t="str">
        <f>IFERROR(__xludf.DUMMYFUNCTION("""COMPUTED_VALUE"""),"DORIAN ELIAS")</f>
        <v>DORIAN ELIAS</v>
      </c>
      <c r="E54" s="55">
        <f>IFERROR(__xludf.DUMMYFUNCTION("""COMPUTED_VALUE"""),7.0)</f>
        <v>7</v>
      </c>
      <c r="F54" s="55">
        <f>IFERROR(__xludf.DUMMYFUNCTION("""COMPUTED_VALUE"""),2.0)</f>
        <v>2</v>
      </c>
      <c r="G54" s="56">
        <f>IFERROR(__xludf.DUMMYFUNCTION("""COMPUTED_VALUE"""),1.0)</f>
        <v>1</v>
      </c>
      <c r="H54" s="57">
        <f>IFERROR(__xludf.DUMMYFUNCTION("""COMPUTED_VALUE"""),10.0)</f>
        <v>10</v>
      </c>
      <c r="I54" s="58">
        <f>IFERROR(__xludf.DUMMYFUNCTION("""COMPUTED_VALUE"""),0.0)</f>
        <v>0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120" t="str">
        <f>IFERROR(__xludf.DUMMYFUNCTION("""COMPUTED_VALUE"""),"PEREA")</f>
        <v>PEREA</v>
      </c>
      <c r="C55" s="119" t="str">
        <f>IFERROR(__xludf.DUMMYFUNCTION("""COMPUTED_VALUE"""),"SALDAÑA")</f>
        <v>SALDAÑA</v>
      </c>
      <c r="D55" s="121" t="str">
        <f>IFERROR(__xludf.DUMMYFUNCTION("""COMPUTED_VALUE"""),"ASTRA TAMARA")</f>
        <v>ASTRA TAMARA</v>
      </c>
      <c r="E55" s="55">
        <f>IFERROR(__xludf.DUMMYFUNCTION("""COMPUTED_VALUE"""),6.0)</f>
        <v>6</v>
      </c>
      <c r="F55" s="55">
        <f>IFERROR(__xludf.DUMMYFUNCTION("""COMPUTED_VALUE"""),2.0)</f>
        <v>2</v>
      </c>
      <c r="G55" s="56"/>
      <c r="H55" s="57">
        <f>IFERROR(__xludf.DUMMYFUNCTION("""COMPUTED_VALUE"""),8.0)</f>
        <v>8</v>
      </c>
      <c r="I55" s="64">
        <f>IFERROR(__xludf.DUMMYFUNCTION("""COMPUTED_VALUE"""),0.0)</f>
        <v>0</v>
      </c>
      <c r="J55" s="59">
        <f>IFERROR(__xludf.DUMMYFUNCTION("""COMPUTED_VALUE"""),8.0)</f>
        <v>8</v>
      </c>
      <c r="K55" s="51"/>
      <c r="L55" s="60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120" t="str">
        <f>IFERROR(__xludf.DUMMYFUNCTION("""COMPUTED_VALUE"""),"PEREZ")</f>
        <v>PEREZ</v>
      </c>
      <c r="C56" s="119" t="str">
        <f>IFERROR(__xludf.DUMMYFUNCTION("""COMPUTED_VALUE"""),"HERNANDEZ")</f>
        <v>HERNANDEZ</v>
      </c>
      <c r="D56" s="121" t="str">
        <f>IFERROR(__xludf.DUMMYFUNCTION("""COMPUTED_VALUE"""),"EDGAR ALEJANDRO")</f>
        <v>EDGAR ALEJANDRO</v>
      </c>
      <c r="E56" s="55">
        <f>IFERROR(__xludf.DUMMYFUNCTION("""COMPUTED_VALUE"""),8.0)</f>
        <v>8</v>
      </c>
      <c r="F56" s="55">
        <f>IFERROR(__xludf.DUMMYFUNCTION("""COMPUTED_VALUE"""),2.0)</f>
        <v>2</v>
      </c>
      <c r="G56" s="56"/>
      <c r="H56" s="57">
        <f>IFERROR(__xludf.DUMMYFUNCTION("""COMPUTED_VALUE"""),10.0)</f>
        <v>10</v>
      </c>
      <c r="I56" s="64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120" t="str">
        <f>IFERROR(__xludf.DUMMYFUNCTION("""COMPUTED_VALUE"""),"PLAZA")</f>
        <v>PLAZA</v>
      </c>
      <c r="C57" s="120" t="str">
        <f>IFERROR(__xludf.DUMMYFUNCTION("""COMPUTED_VALUE"""),"LARA")</f>
        <v>LARA</v>
      </c>
      <c r="D57" s="121" t="str">
        <f>IFERROR(__xludf.DUMMYFUNCTION("""COMPUTED_VALUE"""),"IAN ALDAIR")</f>
        <v>IAN ALDAIR</v>
      </c>
      <c r="E57" s="55">
        <f>IFERROR(__xludf.DUMMYFUNCTION("""COMPUTED_VALUE"""),6.0)</f>
        <v>6</v>
      </c>
      <c r="F57" s="55">
        <f>IFERROR(__xludf.DUMMYFUNCTION("""COMPUTED_VALUE"""),0.0)</f>
        <v>0</v>
      </c>
      <c r="G57" s="56"/>
      <c r="H57" s="57">
        <f>IFERROR(__xludf.DUMMYFUNCTION("""COMPUTED_VALUE"""),6.0)</f>
        <v>6</v>
      </c>
      <c r="I57" s="64">
        <f>IFERROR(__xludf.DUMMYFUNCTION("""COMPUTED_VALUE"""),0.0)</f>
        <v>0</v>
      </c>
      <c r="J57" s="59">
        <f>IFERROR(__xludf.DUMMYFUNCTION("""COMPUTED_VALUE"""),6.0)</f>
        <v>6</v>
      </c>
      <c r="K57" s="51"/>
      <c r="L57" s="60">
        <f>IFERROR(__xludf.DUMMYFUNCTION("""COMPUTED_VALUE"""),6.0)</f>
        <v>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120" t="str">
        <f>IFERROR(__xludf.DUMMYFUNCTION("""COMPUTED_VALUE"""),"RAMIREZ")</f>
        <v>RAMIREZ</v>
      </c>
      <c r="C58" s="119" t="str">
        <f>IFERROR(__xludf.DUMMYFUNCTION("""COMPUTED_VALUE"""),"DIAZ")</f>
        <v>DIAZ</v>
      </c>
      <c r="D58" s="121" t="str">
        <f>IFERROR(__xludf.DUMMYFUNCTION("""COMPUTED_VALUE"""),"OMEGA VALENTINA")</f>
        <v>OMEGA VALENTINA</v>
      </c>
      <c r="E58" s="55">
        <f>IFERROR(__xludf.DUMMYFUNCTION("""COMPUTED_VALUE"""),7.0)</f>
        <v>7</v>
      </c>
      <c r="F58" s="55">
        <f>IFERROR(__xludf.DUMMYFUNCTION("""COMPUTED_VALUE"""),2.0)</f>
        <v>2</v>
      </c>
      <c r="G58" s="56">
        <f>IFERROR(__xludf.DUMMYFUNCTION("""COMPUTED_VALUE"""),1.0)</f>
        <v>1</v>
      </c>
      <c r="H58" s="57">
        <f>IFERROR(__xludf.DUMMYFUNCTION("""COMPUTED_VALUE"""),10.0)</f>
        <v>10</v>
      </c>
      <c r="I58" s="64">
        <f>IFERROR(__xludf.DUMMYFUNCTION("""COMPUTED_VALUE"""),0.0)</f>
        <v>0</v>
      </c>
      <c r="J58" s="59">
        <f>IFERROR(__xludf.DUMMYFUNCTION("""COMPUTED_VALUE"""),10.0)</f>
        <v>10</v>
      </c>
      <c r="K58" s="51"/>
      <c r="L58" s="60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120" t="str">
        <f>IFERROR(__xludf.DUMMYFUNCTION("""COMPUTED_VALUE"""),"RAMIREZ")</f>
        <v>RAMIREZ</v>
      </c>
      <c r="C59" s="120" t="str">
        <f>IFERROR(__xludf.DUMMYFUNCTION("""COMPUTED_VALUE"""),"TORRES")</f>
        <v>TORRES</v>
      </c>
      <c r="D59" s="121" t="str">
        <f>IFERROR(__xludf.DUMMYFUNCTION("""COMPUTED_VALUE"""),"PERCIVAL GABRIEL")</f>
        <v>PERCIVAL GABRIEL</v>
      </c>
      <c r="E59" s="55">
        <f>IFERROR(__xludf.DUMMYFUNCTION("""COMPUTED_VALUE"""),5.0)</f>
        <v>5</v>
      </c>
      <c r="F59" s="55">
        <f>IFERROR(__xludf.DUMMYFUNCTION("""COMPUTED_VALUE"""),0.0)</f>
        <v>0</v>
      </c>
      <c r="G59" s="56"/>
      <c r="H59" s="57">
        <f>IFERROR(__xludf.DUMMYFUNCTION("""COMPUTED_VALUE"""),5.0)</f>
        <v>5</v>
      </c>
      <c r="I59" s="64">
        <f>IFERROR(__xludf.DUMMYFUNCTION("""COMPUTED_VALUE"""),0.0)</f>
        <v>0</v>
      </c>
      <c r="J59" s="59">
        <f>IFERROR(__xludf.DUMMYFUNCTION("""COMPUTED_VALUE"""),5.0)</f>
        <v>5</v>
      </c>
      <c r="K59" s="51"/>
      <c r="L59" s="60">
        <f>IFERROR(__xludf.DUMMYFUNCTION("""COMPUTED_VALUE"""),5.0)</f>
        <v>5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120" t="str">
        <f>IFERROR(__xludf.DUMMYFUNCTION("""COMPUTED_VALUE"""),"RANGEL")</f>
        <v>RANGEL</v>
      </c>
      <c r="C60" s="120" t="str">
        <f>IFERROR(__xludf.DUMMYFUNCTION("""COMPUTED_VALUE"""),"JIMENEZ")</f>
        <v>JIMENEZ</v>
      </c>
      <c r="D60" s="121" t="str">
        <f>IFERROR(__xludf.DUMMYFUNCTION("""COMPUTED_VALUE"""),"PAOLA ALEJANDRA")</f>
        <v>PAOLA ALEJANDRA</v>
      </c>
      <c r="E60" s="55">
        <f>IFERROR(__xludf.DUMMYFUNCTION("""COMPUTED_VALUE"""),7.0)</f>
        <v>7</v>
      </c>
      <c r="F60" s="55">
        <f>IFERROR(__xludf.DUMMYFUNCTION("""COMPUTED_VALUE"""),2.0)</f>
        <v>2</v>
      </c>
      <c r="G60" s="56">
        <f>IFERROR(__xludf.DUMMYFUNCTION("""COMPUTED_VALUE"""),1.0)</f>
        <v>1</v>
      </c>
      <c r="H60" s="57">
        <f>IFERROR(__xludf.DUMMYFUNCTION("""COMPUTED_VALUE"""),10.0)</f>
        <v>10</v>
      </c>
      <c r="I60" s="64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120" t="str">
        <f>IFERROR(__xludf.DUMMYFUNCTION("""COMPUTED_VALUE"""),"RIVERA")</f>
        <v>RIVERA</v>
      </c>
      <c r="C61" s="120" t="str">
        <f>IFERROR(__xludf.DUMMYFUNCTION("""COMPUTED_VALUE"""),"GARCIA")</f>
        <v>GARCIA</v>
      </c>
      <c r="D61" s="121" t="str">
        <f>IFERROR(__xludf.DUMMYFUNCTION("""COMPUTED_VALUE"""),"ASTRID MICHELLE")</f>
        <v>ASTRID MICHELLE</v>
      </c>
      <c r="E61" s="55">
        <f>IFERROR(__xludf.DUMMYFUNCTION("""COMPUTED_VALUE"""),5.0)</f>
        <v>5</v>
      </c>
      <c r="F61" s="55">
        <f>IFERROR(__xludf.DUMMYFUNCTION("""COMPUTED_VALUE"""),0.0)</f>
        <v>0</v>
      </c>
      <c r="G61" s="56"/>
      <c r="H61" s="57">
        <f>IFERROR(__xludf.DUMMYFUNCTION("""COMPUTED_VALUE"""),5.0)</f>
        <v>5</v>
      </c>
      <c r="I61" s="64">
        <f>IFERROR(__xludf.DUMMYFUNCTION("""COMPUTED_VALUE"""),0.0)</f>
        <v>0</v>
      </c>
      <c r="J61" s="59">
        <f>IFERROR(__xludf.DUMMYFUNCTION("""COMPUTED_VALUE"""),5.0)</f>
        <v>5</v>
      </c>
      <c r="K61" s="51"/>
      <c r="L61" s="60">
        <f>IFERROR(__xludf.DUMMYFUNCTION("""COMPUTED_VALUE"""),5.0)</f>
        <v>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120" t="str">
        <f>IFERROR(__xludf.DUMMYFUNCTION("""COMPUTED_VALUE"""),"RODRIGUEZ")</f>
        <v>RODRIGUEZ</v>
      </c>
      <c r="C62" s="120" t="str">
        <f>IFERROR(__xludf.DUMMYFUNCTION("""COMPUTED_VALUE"""),"CAMACHO")</f>
        <v>CAMACHO</v>
      </c>
      <c r="D62" s="121" t="str">
        <f>IFERROR(__xludf.DUMMYFUNCTION("""COMPUTED_VALUE"""),"ENRIQUE SALVADOR")</f>
        <v>ENRIQUE SALVADOR</v>
      </c>
      <c r="E62" s="55">
        <f>IFERROR(__xludf.DUMMYFUNCTION("""COMPUTED_VALUE"""),5.0)</f>
        <v>5</v>
      </c>
      <c r="F62" s="55">
        <f>IFERROR(__xludf.DUMMYFUNCTION("""COMPUTED_VALUE"""),0.0)</f>
        <v>0</v>
      </c>
      <c r="G62" s="56"/>
      <c r="H62" s="57">
        <f>IFERROR(__xludf.DUMMYFUNCTION("""COMPUTED_VALUE"""),5.0)</f>
        <v>5</v>
      </c>
      <c r="I62" s="55">
        <f>IFERROR(__xludf.DUMMYFUNCTION("""COMPUTED_VALUE"""),0.0)</f>
        <v>0</v>
      </c>
      <c r="J62" s="59">
        <f>IFERROR(__xludf.DUMMYFUNCTION("""COMPUTED_VALUE"""),5.0)</f>
        <v>5</v>
      </c>
      <c r="K62" s="51"/>
      <c r="L62" s="60">
        <f>IFERROR(__xludf.DUMMYFUNCTION("""COMPUTED_VALUE"""),5.0)</f>
        <v>5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120" t="str">
        <f>IFERROR(__xludf.DUMMYFUNCTION("""COMPUTED_VALUE"""),"RODRIGUEZ")</f>
        <v>RODRIGUEZ</v>
      </c>
      <c r="C63" s="120" t="str">
        <f>IFERROR(__xludf.DUMMYFUNCTION("""COMPUTED_VALUE"""),"ROSAS")</f>
        <v>ROSAS</v>
      </c>
      <c r="D63" s="121" t="str">
        <f>IFERROR(__xludf.DUMMYFUNCTION("""COMPUTED_VALUE"""),"QUETZALI")</f>
        <v>QUETZALI</v>
      </c>
      <c r="E63" s="55">
        <f>IFERROR(__xludf.DUMMYFUNCTION("""COMPUTED_VALUE"""),7.0)</f>
        <v>7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IFERROR(__xludf.DUMMYFUNCTION("""COMPUTED_VALUE"""),10.0)</f>
        <v>10</v>
      </c>
      <c r="I63" s="55">
        <f>IFERROR(__xludf.DUMMYFUNCTION("""COMPUTED_VALUE"""),0.0)</f>
        <v>0</v>
      </c>
      <c r="J63" s="59">
        <f>IFERROR(__xludf.DUMMYFUNCTION("""COMPUTED_VALUE"""),10.0)</f>
        <v>10</v>
      </c>
      <c r="K63" s="51"/>
      <c r="L63" s="60">
        <f>IFERROR(__xludf.DUMMYFUNCTION("""COMPUTED_VALUE"""),10.0)</f>
        <v>10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120" t="str">
        <f>IFERROR(__xludf.DUMMYFUNCTION("""COMPUTED_VALUE"""),"SANCHEZ")</f>
        <v>SANCHEZ</v>
      </c>
      <c r="C64" s="120" t="str">
        <f>IFERROR(__xludf.DUMMYFUNCTION("""COMPUTED_VALUE"""),"BERMUDEZ")</f>
        <v>BERMUDEZ</v>
      </c>
      <c r="D64" s="121" t="str">
        <f>IFERROR(__xludf.DUMMYFUNCTION("""COMPUTED_VALUE"""),"JORGE")</f>
        <v>JORGE</v>
      </c>
      <c r="E64" s="55">
        <f>IFERROR(__xludf.DUMMYFUNCTION("""COMPUTED_VALUE"""),6.0)</f>
        <v>6</v>
      </c>
      <c r="F64" s="55">
        <f>IFERROR(__xludf.DUMMYFUNCTION("""COMPUTED_VALUE"""),2.0)</f>
        <v>2</v>
      </c>
      <c r="G64" s="56"/>
      <c r="H64" s="57">
        <f>IFERROR(__xludf.DUMMYFUNCTION("""COMPUTED_VALUE"""),8.0)</f>
        <v>8</v>
      </c>
      <c r="I64" s="64">
        <f>IFERROR(__xludf.DUMMYFUNCTION("""COMPUTED_VALUE"""),0.0)</f>
        <v>0</v>
      </c>
      <c r="J64" s="59">
        <f>IFERROR(__xludf.DUMMYFUNCTION("""COMPUTED_VALUE"""),8.0)</f>
        <v>8</v>
      </c>
      <c r="K64" s="51"/>
      <c r="L64" s="60">
        <f>IFERROR(__xludf.DUMMYFUNCTION("""COMPUTED_VALUE"""),8.0)</f>
        <v>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120" t="str">
        <f>IFERROR(__xludf.DUMMYFUNCTION("""COMPUTED_VALUE"""),"SANCHEZ")</f>
        <v>SANCHEZ</v>
      </c>
      <c r="C65" s="120" t="str">
        <f>IFERROR(__xludf.DUMMYFUNCTION("""COMPUTED_VALUE"""),"VELAZQUEZ")</f>
        <v>VELAZQUEZ</v>
      </c>
      <c r="D65" s="119" t="str">
        <f>IFERROR(__xludf.DUMMYFUNCTION("""COMPUTED_VALUE"""),"RENATA VICTORIA")</f>
        <v>RENATA VICTORIA</v>
      </c>
      <c r="E65" s="55">
        <f>IFERROR(__xludf.DUMMYFUNCTION("""COMPUTED_VALUE"""),8.0)</f>
        <v>8</v>
      </c>
      <c r="F65" s="55">
        <f>IFERROR(__xludf.DUMMYFUNCTION("""COMPUTED_VALUE"""),2.0)</f>
        <v>2</v>
      </c>
      <c r="G65" s="56"/>
      <c r="H65" s="57">
        <f>IFERROR(__xludf.DUMMYFUNCTION("""COMPUTED_VALUE"""),10.0)</f>
        <v>10</v>
      </c>
      <c r="I65" s="55">
        <f>IFERROR(__xludf.DUMMYFUNCTION("""COMPUTED_VALUE"""),0.0)</f>
        <v>0</v>
      </c>
      <c r="J65" s="59">
        <f>IFERROR(__xludf.DUMMYFUNCTION("""COMPUTED_VALUE"""),10.0)</f>
        <v>10</v>
      </c>
      <c r="K65" s="51"/>
      <c r="L65" s="60">
        <f>IFERROR(__xludf.DUMMYFUNCTION("""COMPUTED_VALUE"""),10.0)</f>
        <v>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120" t="str">
        <f>IFERROR(__xludf.DUMMYFUNCTION("""COMPUTED_VALUE"""),"TREJO")</f>
        <v>TREJO</v>
      </c>
      <c r="C66" s="120" t="str">
        <f>IFERROR(__xludf.DUMMYFUNCTION("""COMPUTED_VALUE"""),"PERAL")</f>
        <v>PERAL</v>
      </c>
      <c r="D66" s="119" t="str">
        <f>IFERROR(__xludf.DUMMYFUNCTION("""COMPUTED_VALUE"""),"AIKO REGINA")</f>
        <v>AIKO REGINA</v>
      </c>
      <c r="E66" s="55">
        <f>IFERROR(__xludf.DUMMYFUNCTION("""COMPUTED_VALUE"""),4.0)</f>
        <v>4</v>
      </c>
      <c r="F66" s="55">
        <f>IFERROR(__xludf.DUMMYFUNCTION("""COMPUTED_VALUE"""),2.0)</f>
        <v>2</v>
      </c>
      <c r="G66" s="56"/>
      <c r="H66" s="57">
        <f>IFERROR(__xludf.DUMMYFUNCTION("""COMPUTED_VALUE"""),6.0)</f>
        <v>6</v>
      </c>
      <c r="I66" s="55">
        <f>IFERROR(__xludf.DUMMYFUNCTION("""COMPUTED_VALUE"""),0.0)</f>
        <v>0</v>
      </c>
      <c r="J66" s="59">
        <f>IFERROR(__xludf.DUMMYFUNCTION("""COMPUTED_VALUE"""),6.0)</f>
        <v>6</v>
      </c>
      <c r="K66" s="51"/>
      <c r="L66" s="60">
        <f>IFERROR(__xludf.DUMMYFUNCTION("""COMPUTED_VALUE"""),6.0)</f>
        <v>6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120" t="str">
        <f>IFERROR(__xludf.DUMMYFUNCTION("""COMPUTED_VALUE"""),"TREJO")</f>
        <v>TREJO</v>
      </c>
      <c r="C67" s="120" t="str">
        <f>IFERROR(__xludf.DUMMYFUNCTION("""COMPUTED_VALUE"""),"PEREZ")</f>
        <v>PEREZ</v>
      </c>
      <c r="D67" s="122" t="str">
        <f>IFERROR(__xludf.DUMMYFUNCTION("""COMPUTED_VALUE"""),"ANGEL SANTIAGO")</f>
        <v>ANGEL SANTIAGO</v>
      </c>
      <c r="E67" s="55">
        <f>IFERROR(__xludf.DUMMYFUNCTION("""COMPUTED_VALUE"""),7.0)</f>
        <v>7</v>
      </c>
      <c r="F67" s="55">
        <f>IFERROR(__xludf.DUMMYFUNCTION("""COMPUTED_VALUE"""),2.0)</f>
        <v>2</v>
      </c>
      <c r="G67" s="56">
        <f>IFERROR(__xludf.DUMMYFUNCTION("""COMPUTED_VALUE"""),1.0)</f>
        <v>1</v>
      </c>
      <c r="H67" s="57">
        <f>IFERROR(__xludf.DUMMYFUNCTION("""COMPUTED_VALUE"""),10.0)</f>
        <v>10</v>
      </c>
      <c r="I67" s="55">
        <f>IFERROR(__xludf.DUMMYFUNCTION("""COMPUTED_VALUE"""),0.0)</f>
        <v>0</v>
      </c>
      <c r="J67" s="59">
        <f>IFERROR(__xludf.DUMMYFUNCTION("""COMPUTED_VALUE"""),10.0)</f>
        <v>10</v>
      </c>
      <c r="K67" s="51"/>
      <c r="L67" s="60">
        <f>IFERROR(__xludf.DUMMYFUNCTION("""COMPUTED_VALUE"""),10.0)</f>
        <v>10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120" t="str">
        <f>IFERROR(__xludf.DUMMYFUNCTION("""COMPUTED_VALUE"""),"VAZQUEZ")</f>
        <v>VAZQUEZ</v>
      </c>
      <c r="C68" s="120" t="str">
        <f>IFERROR(__xludf.DUMMYFUNCTION("""COMPUTED_VALUE"""),"FABILA")</f>
        <v>FABILA</v>
      </c>
      <c r="D68" s="119" t="str">
        <f>IFERROR(__xludf.DUMMYFUNCTION("""COMPUTED_VALUE"""),"LUZ MARIANA")</f>
        <v>LUZ MARIANA</v>
      </c>
      <c r="E68" s="55">
        <f>IFERROR(__xludf.DUMMYFUNCTION("""COMPUTED_VALUE"""),5.0)</f>
        <v>5</v>
      </c>
      <c r="F68" s="55">
        <f>IFERROR(__xludf.DUMMYFUNCTION("""COMPUTED_VALUE"""),2.0)</f>
        <v>2</v>
      </c>
      <c r="G68" s="56"/>
      <c r="H68" s="57">
        <f>IFERROR(__xludf.DUMMYFUNCTION("""COMPUTED_VALUE"""),7.0)</f>
        <v>7</v>
      </c>
      <c r="I68" s="55">
        <f>IFERROR(__xludf.DUMMYFUNCTION("""COMPUTED_VALUE"""),0.0)</f>
        <v>0</v>
      </c>
      <c r="J68" s="59">
        <f>IFERROR(__xludf.DUMMYFUNCTION("""COMPUTED_VALUE"""),7.0)</f>
        <v>7</v>
      </c>
      <c r="K68" s="51"/>
      <c r="L68" s="60">
        <f>IFERROR(__xludf.DUMMYFUNCTION("""COMPUTED_VALUE"""),7.0)</f>
        <v>7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120" t="str">
        <f>IFERROR(__xludf.DUMMYFUNCTION("""COMPUTED_VALUE"""),"VILLEGAS")</f>
        <v>VILLEGAS</v>
      </c>
      <c r="C69" s="120" t="str">
        <f>IFERROR(__xludf.DUMMYFUNCTION("""COMPUTED_VALUE"""),"SANCHEZ")</f>
        <v>SANCHEZ</v>
      </c>
      <c r="D69" s="119" t="str">
        <f>IFERROR(__xludf.DUMMYFUNCTION("""COMPUTED_VALUE"""),"FATIMA ANAHI")</f>
        <v>FATIMA ANAHI</v>
      </c>
      <c r="E69" s="55">
        <f>IFERROR(__xludf.DUMMYFUNCTION("""COMPUTED_VALUE"""),5.0)</f>
        <v>5</v>
      </c>
      <c r="F69" s="55">
        <f>IFERROR(__xludf.DUMMYFUNCTION("""COMPUTED_VALUE"""),2.0)</f>
        <v>2</v>
      </c>
      <c r="G69" s="56"/>
      <c r="H69" s="57">
        <f>IFERROR(__xludf.DUMMYFUNCTION("""COMPUTED_VALUE"""),7.0)</f>
        <v>7</v>
      </c>
      <c r="I69" s="64">
        <f>IFERROR(__xludf.DUMMYFUNCTION("""COMPUTED_VALUE"""),2.0)</f>
        <v>2</v>
      </c>
      <c r="J69" s="59">
        <f>IFERROR(__xludf.DUMMYFUNCTION("""COMPUTED_VALUE"""),7.0)</f>
        <v>7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120" t="str">
        <f>IFERROR(__xludf.DUMMYFUNCTION("""COMPUTED_VALUE"""),"ZAMORA")</f>
        <v>ZAMORA</v>
      </c>
      <c r="C70" s="120" t="str">
        <f>IFERROR(__xludf.DUMMYFUNCTION("""COMPUTED_VALUE"""),"REYES")</f>
        <v>REYES</v>
      </c>
      <c r="D70" s="122" t="str">
        <f>IFERROR(__xludf.DUMMYFUNCTION("""COMPUTED_VALUE"""),"SANTIAGO")</f>
        <v>SANTIAGO</v>
      </c>
      <c r="E70" s="55">
        <f>IFERROR(__xludf.DUMMYFUNCTION("""COMPUTED_VALUE"""),4.0)</f>
        <v>4</v>
      </c>
      <c r="F70" s="55">
        <f>IFERROR(__xludf.DUMMYFUNCTION("""COMPUTED_VALUE"""),2.0)</f>
        <v>2</v>
      </c>
      <c r="G70" s="56"/>
      <c r="H70" s="57">
        <f>IFERROR(__xludf.DUMMYFUNCTION("""COMPUTED_VALUE"""),6.0)</f>
        <v>6</v>
      </c>
      <c r="I70" s="55">
        <f>IFERROR(__xludf.DUMMYFUNCTION("""COMPUTED_VALUE"""),1.0)</f>
        <v>1</v>
      </c>
      <c r="J70" s="59">
        <f>IFERROR(__xludf.DUMMYFUNCTION("""COMPUTED_VALUE"""),6.0)</f>
        <v>6</v>
      </c>
      <c r="K70" s="51"/>
      <c r="L70" s="6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69"/>
      <c r="C71" s="69"/>
      <c r="D71" s="69"/>
      <c r="E71" s="70"/>
      <c r="F71" s="69"/>
      <c r="G71" s="69"/>
      <c r="H71" s="69"/>
      <c r="I71" s="69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71"/>
      <c r="B72" s="72" t="str">
        <f>IFERROR(__xludf.DUMMYFUNCTION("""COMPUTED_VALUE"""),"No. DE ALUMNOS INSCRITOS")</f>
        <v>No. DE ALUMNOS INSCRITOS</v>
      </c>
      <c r="C72" s="73"/>
      <c r="D72" s="115">
        <f>IFERROR(__xludf.DUMMYFUNCTION("""COMPUTED_VALUE"""),54.0)</f>
        <v>54</v>
      </c>
      <c r="E72" s="69"/>
      <c r="F72" s="116" t="str">
        <f>IFERROR(__xludf.DUMMYFUNCTION("""COMPUTED_VALUE"""),"FIRMA DEL PROFESOR")</f>
        <v>FIRMA DEL PROFESOR</v>
      </c>
      <c r="G72" s="75"/>
      <c r="H72" s="116" t="str">
        <f>IFERROR(__xludf.DUMMYFUNCTION("""COMPUTED_VALUE"""),"FIRMA DEL ORIENTADOR")</f>
        <v>FIRMA DEL ORIENTADOR</v>
      </c>
      <c r="J72" s="117" t="str">
        <f>IFERROR(__xludf.DUMMYFUNCTION("""COMPUTED_VALUE"""),"Vo. Bo. SUBDIRECCIÓN ESCOLAR")</f>
        <v>Vo. Bo. SUBDIRECCIÓN ESCOLAR</v>
      </c>
      <c r="K72" s="77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78" t="str">
        <f>IFERROR(__xludf.DUMMYFUNCTION("""COMPUTED_VALUE"""),"BAJAS DURANTE EL SEMESTRE")</f>
        <v>BAJAS DURANTE EL SEMESTRE</v>
      </c>
      <c r="C73" s="79"/>
      <c r="D73" s="114">
        <f>IFERROR(__xludf.DUMMYFUNCTION("""COMPUTED_VALUE"""),0.0)</f>
        <v>0</v>
      </c>
      <c r="E73" s="69"/>
      <c r="G73" s="75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1"/>
      <c r="B74" s="78" t="str">
        <f>IFERROR(__xludf.DUMMYFUNCTION("""COMPUTED_VALUE"""),"EXISTENCIA")</f>
        <v>EXISTENCIA</v>
      </c>
      <c r="C74" s="79"/>
      <c r="D74" s="81">
        <f>IFERROR(__xludf.DUMMYFUNCTION("""COMPUTED_VALUE"""),54.0)</f>
        <v>54</v>
      </c>
      <c r="E74" s="69"/>
      <c r="F74" s="82"/>
      <c r="G74" s="83"/>
      <c r="H74" s="82"/>
      <c r="I74" s="82"/>
      <c r="J74" s="84"/>
      <c r="K74" s="8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1"/>
      <c r="B75" s="78" t="str">
        <f>IFERROR(__xludf.DUMMYFUNCTION("""COMPUTED_VALUE"""),"No. DE ALUMNOS APROBADOS")</f>
        <v>No. DE ALUMNOS APROBADOS</v>
      </c>
      <c r="C75" s="79"/>
      <c r="D75" s="81">
        <f>IFERROR(__xludf.DUMMYFUNCTION("""COMPUTED_VALUE"""),47.0)</f>
        <v>47</v>
      </c>
      <c r="E75" s="69"/>
      <c r="F75" s="82"/>
      <c r="G75" s="83"/>
      <c r="H75" s="82"/>
      <c r="I75" s="82"/>
      <c r="J75" s="84"/>
      <c r="K75" s="8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1"/>
      <c r="B76" s="78" t="str">
        <f>IFERROR(__xludf.DUMMYFUNCTION("""COMPUTED_VALUE"""),"No. DE ALUMNOS REPROBADOS")</f>
        <v>No. DE ALUMNOS REPROBADOS</v>
      </c>
      <c r="C76" s="79"/>
      <c r="D76" s="81">
        <f>IFERROR(__xludf.DUMMYFUNCTION("""COMPUTED_VALUE"""),7.0)</f>
        <v>7</v>
      </c>
      <c r="E76" s="69"/>
      <c r="F76" s="86"/>
      <c r="G76" s="83"/>
      <c r="H76" s="86"/>
      <c r="I76" s="86"/>
      <c r="J76" s="87"/>
      <c r="K76" s="8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1"/>
      <c r="B77" s="78" t="str">
        <f>IFERROR(__xludf.DUMMYFUNCTION("""COMPUTED_VALUE"""),"% DE APROBADOS")</f>
        <v>% DE APROBADOS</v>
      </c>
      <c r="C77" s="79"/>
      <c r="D77" s="89">
        <f>IFERROR(__xludf.DUMMYFUNCTION("""COMPUTED_VALUE"""),87.03703703703704)</f>
        <v>87.03703704</v>
      </c>
      <c r="E77" s="69"/>
      <c r="F77" s="90" t="str">
        <f>IFERROR(__xludf.DUMMYFUNCTION("""COMPUTED_VALUE"""),"PROFR. ")</f>
        <v>PROFR. </v>
      </c>
      <c r="G77" s="91"/>
      <c r="H77" s="93" t="str">
        <f>IFERROR(__xludf.DUMMYFUNCTION("""COMPUTED_VALUE"""),"PROFR. JOSÉ EDGAR SALAZAR ZÚÑIGA")</f>
        <v>PROFR. JOSÉ EDGAR SALAZAR ZÚÑIGA</v>
      </c>
      <c r="J77" s="93" t="str">
        <f>IFERROR(__xludf.DUMMYFUNCTION("""COMPUTED_VALUE"""),"PROFR. OCTAVIO VÁZQUEZ BARRETO")</f>
        <v>PROFR. OCTAVIO VÁZQUEZ BARRETO</v>
      </c>
      <c r="K77" s="94" t="str">
        <f>IFERROR(__xludf.DUMMYFUNCTION("""COMPUTED_VALUE"""),"PROFR. ROBERTO PALOMARES MEJÍA ")</f>
        <v>PROFR. ROBERTO PALOMARES MEJÍA </v>
      </c>
      <c r="L77" s="9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71"/>
      <c r="B78" s="96" t="str">
        <f>IFERROR(__xludf.DUMMYFUNCTION("""COMPUTED_VALUE"""),"PROMEDIO")</f>
        <v>PROMEDIO</v>
      </c>
      <c r="C78" s="97"/>
      <c r="D78" s="98">
        <f>IFERROR(__xludf.DUMMYFUNCTION("""COMPUTED_VALUE"""),7.981481481481482)</f>
        <v>7.981481481</v>
      </c>
      <c r="E78" s="69"/>
      <c r="G78" s="91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99"/>
      <c r="B80" s="100"/>
      <c r="C80" s="101"/>
      <c r="D80" s="101"/>
      <c r="E80" s="69"/>
      <c r="G80" s="7"/>
      <c r="H80" s="7"/>
      <c r="I80" s="7"/>
      <c r="J80" s="7"/>
      <c r="K80" s="102"/>
      <c r="L80" s="10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4"/>
      <c r="B81" s="69"/>
      <c r="C81" s="69"/>
      <c r="D81" s="69"/>
      <c r="E81" s="7"/>
      <c r="F81" s="1"/>
      <c r="G81" s="1"/>
      <c r="H81" s="1"/>
      <c r="I81" s="1"/>
      <c r="J81" s="1"/>
      <c r="K81" s="8"/>
      <c r="L81" s="10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4"/>
      <c r="B82" s="69"/>
      <c r="C82" s="69"/>
      <c r="D82" s="69"/>
      <c r="E82" s="7"/>
      <c r="F82" s="1"/>
      <c r="G82" s="1"/>
      <c r="H82" s="1"/>
      <c r="I82" s="1"/>
      <c r="J82" s="1"/>
      <c r="K82" s="8"/>
      <c r="L82" s="10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6"/>
      <c r="B83" s="107"/>
      <c r="C83" s="107"/>
      <c r="D83" s="107"/>
      <c r="E83" s="108"/>
      <c r="F83" s="109"/>
      <c r="G83" s="109"/>
      <c r="H83" s="109"/>
      <c r="I83" s="109"/>
      <c r="J83" s="109"/>
      <c r="K83" s="110"/>
      <c r="L83" s="10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12"/>
      <c r="K84" s="112"/>
      <c r="L84" s="11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12"/>
      <c r="K85" s="112"/>
      <c r="L85" s="11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12"/>
      <c r="K86" s="112"/>
      <c r="L86" s="11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12"/>
      <c r="K87" s="112"/>
      <c r="L87" s="11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1"/>
      <c r="C89" s="111"/>
      <c r="D89" s="111"/>
      <c r="E89" s="111"/>
      <c r="F89" s="1"/>
      <c r="G89" s="1"/>
      <c r="H89" s="1"/>
      <c r="I89" s="1"/>
      <c r="J89" s="1"/>
      <c r="K89" s="11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1"/>
      <c r="C90" s="111"/>
      <c r="D90" s="111"/>
      <c r="E90" s="11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1"/>
      <c r="C91" s="111"/>
      <c r="D91" s="111"/>
      <c r="E91" s="11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1"/>
      <c r="C92" s="111"/>
      <c r="D92" s="111"/>
      <c r="E92" s="11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1"/>
      <c r="C93" s="111"/>
      <c r="D93" s="111"/>
      <c r="E93" s="11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1"/>
      <c r="C94" s="111"/>
      <c r="D94" s="111"/>
      <c r="E94" s="11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1"/>
      <c r="C95" s="111"/>
      <c r="D95" s="111"/>
      <c r="E95" s="11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70 K18:K70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