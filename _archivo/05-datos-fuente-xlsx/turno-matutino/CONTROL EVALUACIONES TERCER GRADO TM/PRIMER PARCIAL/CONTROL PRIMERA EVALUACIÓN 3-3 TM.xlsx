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3 ciencias de la comunicación" sheetId="1" r:id="rId5"/>
    <sheet state="visible" name="3-3 temas selectos de ingles ii" sheetId="2" r:id="rId6"/>
    <sheet state="visible" name="3-3 temas selectos de matematic" sheetId="3" r:id="rId7"/>
    <sheet state="visible" name="3-3 conciencia historica iii" sheetId="4" r:id="rId8"/>
    <sheet state="visible" name="3-3 organismos" sheetId="5" r:id="rId9"/>
    <sheet state="visible" name="3-3 temas selectos de filosofia" sheetId="6" r:id="rId10"/>
    <sheet state="visible" name="3-3 economia i" sheetId="7" r:id="rId11"/>
    <sheet state="visible" name="3-3 paginas web" sheetId="8" r:id="rId12"/>
    <sheet state="visible" name="3-3 diseño digital" sheetId="9" r:id="rId13"/>
    <sheet state="visible" name="3-3 actividades artisticas y cu" sheetId="10" r:id="rId14"/>
    <sheet state="visible" name="3-3 practica y colaboracion ciu" sheetId="11" r:id="rId15"/>
    <sheet state="visible" name="3-3 temas selectos de igualdad " sheetId="12" r:id="rId1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5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2" numFmtId="1" xfId="0" applyAlignment="1" applyBorder="1" applyFill="1" applyFont="1" applyNumberFormat="1">
      <alignment readingOrder="0" shrinkToFit="0" vertical="bottom" wrapText="0"/>
    </xf>
    <xf borderId="23" fillId="3" fontId="12" numFmtId="0" xfId="0" applyAlignment="1" applyBorder="1" applyFont="1">
      <alignment readingOrder="0" shrinkToFit="0" vertical="bottom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5" numFmtId="0" xfId="0" applyFont="1"/>
    <xf borderId="29" fillId="0" fontId="16" numFmtId="1" xfId="0" applyAlignment="1" applyBorder="1" applyFont="1" applyNumberFormat="1">
      <alignment horizontal="right" readingOrder="0" shrinkToFit="1" vertical="center" wrapText="0"/>
    </xf>
    <xf borderId="30" fillId="0" fontId="3" numFmtId="0" xfId="0" applyBorder="1" applyFont="1"/>
    <xf borderId="31" fillId="0" fontId="17" numFmtId="2" xfId="0" applyAlignment="1" applyBorder="1" applyFont="1" applyNumberFormat="1">
      <alignment shrinkToFit="1" vertical="center" wrapText="0"/>
    </xf>
    <xf borderId="0" fillId="0" fontId="18" numFmtId="164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1" xfId="0" applyAlignment="1" applyFont="1" applyNumberForma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32" fillId="0" fontId="16" numFmtId="1" xfId="0" applyAlignment="1" applyBorder="1" applyFont="1" applyNumberFormat="1">
      <alignment horizontal="right" readingOrder="0" shrinkToFit="1" vertical="center" wrapText="0"/>
    </xf>
    <xf borderId="33" fillId="0" fontId="3" numFmtId="0" xfId="0" applyBorder="1" applyFont="1"/>
    <xf borderId="34" fillId="0" fontId="17" numFmtId="2" xfId="0" applyAlignment="1" applyBorder="1" applyFont="1" applyNumberFormat="1">
      <alignment shrinkToFit="1" vertical="center" wrapText="0"/>
    </xf>
    <xf borderId="32" fillId="0" fontId="20" numFmtId="1" xfId="0" applyAlignment="1" applyBorder="1" applyFont="1" applyNumberFormat="1">
      <alignment horizontal="right" shrinkToFit="1" vertical="center" wrapText="0"/>
    </xf>
    <xf borderId="35" fillId="0" fontId="17" numFmtId="2" xfId="0" applyAlignment="1" applyBorder="1" applyFont="1" applyNumberFormat="1">
      <alignment shrinkToFit="1" vertical="center" wrapText="0"/>
    </xf>
    <xf borderId="0" fillId="0" fontId="20" numFmtId="0" xfId="0" applyAlignment="1" applyFont="1">
      <alignment shrinkToFit="1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Font="1"/>
    <xf borderId="5" fillId="0" fontId="20" numFmtId="0" xfId="0" applyBorder="1" applyFont="1"/>
    <xf borderId="35" fillId="0" fontId="17" numFmtId="1" xfId="0" applyAlignment="1" applyBorder="1" applyFont="1" applyNumberFormat="1">
      <alignment shrinkToFit="1" vertical="center" wrapText="0"/>
    </xf>
    <xf borderId="20" fillId="0" fontId="20" numFmtId="0" xfId="0" applyAlignment="1" applyBorder="1" applyFont="1">
      <alignment shrinkToFit="1" vertical="center" wrapText="0"/>
    </xf>
    <xf borderId="20" fillId="0" fontId="20" numFmtId="0" xfId="0" applyBorder="1" applyFont="1"/>
    <xf borderId="21" fillId="0" fontId="20" numFmtId="0" xfId="0" applyBorder="1" applyFont="1"/>
    <xf borderId="36" fillId="0" fontId="5" numFmtId="164" xfId="0" applyAlignment="1" applyBorder="1" applyFont="1" applyNumberFormat="1">
      <alignment horizontal="center" readingOrder="0" shrinkToFit="0" vertical="top" wrapText="1"/>
    </xf>
    <xf borderId="0" fillId="0" fontId="20" numFmtId="0" xfId="0" applyAlignment="1" applyFont="1">
      <alignment horizontal="center" vertical="top"/>
    </xf>
    <xf borderId="0" fillId="0" fontId="5" numFmtId="164" xfId="0" applyAlignment="1" applyFont="1" applyNumberFormat="1">
      <alignment horizontal="center" readingOrder="0" shrinkToFit="0" vertical="top" wrapText="1"/>
    </xf>
    <xf borderId="0" fillId="0" fontId="7" numFmtId="1" xfId="0" applyAlignment="1" applyFont="1" applyNumberForma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18" numFmtId="0" xfId="0" applyFont="1"/>
    <xf borderId="37" fillId="0" fontId="16" numFmtId="1" xfId="0" applyAlignment="1" applyBorder="1" applyFont="1" applyNumberFormat="1">
      <alignment horizontal="right" readingOrder="0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4" fontId="1" numFmtId="0" xfId="0" applyAlignment="1" applyBorder="1" applyFill="1" applyFont="1">
      <alignment vertical="center"/>
    </xf>
    <xf borderId="41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2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3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31" fillId="0" fontId="17" numFmtId="0" xfId="0" applyAlignment="1" applyBorder="1" applyFont="1">
      <alignment shrinkToFit="1" vertical="center" wrapText="0"/>
    </xf>
    <xf borderId="34" fillId="0" fontId="17" numFmtId="0" xfId="0" applyAlignment="1" applyBorder="1" applyFont="1">
      <alignment shrinkToFit="1" vertical="center" wrapText="0"/>
    </xf>
    <xf borderId="35" fillId="0" fontId="17" numFmtId="0" xfId="0" applyAlignment="1" applyBorder="1" applyFont="1">
      <alignment shrinkToFit="1" vertical="center" wrapText="0"/>
    </xf>
    <xf borderId="0" fillId="0" fontId="11" numFmtId="0" xfId="0" applyAlignment="1" applyFont="1">
      <alignment vertical="bottom"/>
    </xf>
    <xf borderId="23" fillId="0" fontId="13" numFmtId="1" xfId="0" applyAlignment="1" applyBorder="1" applyFont="1" applyNumberFormat="1">
      <alignment horizontal="center" readingOrder="0" vertical="center"/>
    </xf>
    <xf borderId="0" fillId="0" fontId="24" numFmtId="164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71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69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133350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71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69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71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70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69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71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69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71</xdr:row>
      <xdr:rowOff>85725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70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71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69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71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457200</xdr:colOff>
      <xdr:row>71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69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71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1762125</xdr:colOff>
      <xdr:row>71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71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69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 t="str">
        <f>IFERROR(__xludf.DUMMYFUNCTION("IMPORTRANGE(""https://docs.google.com/spreadsheets/d/1HyJQPE8UhSXt6kBHpJleJL1wdX-2zqVRG3865i1SYkA/edit?gid=1683827128#gid=1683827128"",""3-3 ciencias de la comunicación 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IFERROR(__xludf.DUMMYFUNCTION("""COMPUTED_VALUE"""),"CLAUDIA MELENDEZ ABAD")</f>
        <v>CLAUDIA MELENDEZ ABAD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DE LA COMUNICACIÓN I")</f>
        <v>CIENCIAS DE LA COMUNICACIÓN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/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IFERROR(__xludf.DUMMYFUNCTION("""COMPUTED_VALUE"""),8.0)</f>
        <v>8</v>
      </c>
      <c r="F19" s="54">
        <f>IFERROR(__xludf.DUMMYFUNCTION("""COMPUTED_VALUE"""),2.0)</f>
        <v>2</v>
      </c>
      <c r="G19" s="55"/>
      <c r="H19" s="56">
        <f>IFERROR(__xludf.DUMMYFUNCTION("""COMPUTED_VALUE"""),10.0)</f>
        <v>10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IFERROR(__xludf.DUMMYFUNCTION("""COMPUTED_VALUE"""),11.0)</f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IFERROR(__xludf.DUMMYFUNCTION("""COMPUTED_VALUE"""),9.0)</f>
        <v>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IFERROR(__xludf.DUMMYFUNCTION("""COMPUTED_VALUE"""),7.0)</f>
        <v>7</v>
      </c>
      <c r="F22" s="54">
        <f>IFERROR(__xludf.DUMMYFUNCTION("""COMPUTED_VALUE"""),2.0)</f>
        <v>2</v>
      </c>
      <c r="G22" s="55">
        <f>IFERROR(__xludf.DUMMYFUNCTION("""COMPUTED_VALUE"""),0.5)</f>
        <v>0.5</v>
      </c>
      <c r="H22" s="56">
        <f>IFERROR(__xludf.DUMMYFUNCTION("""COMPUTED_VALUE"""),9.5)</f>
        <v>9.5</v>
      </c>
      <c r="I22" s="57">
        <f>IFERROR(__xludf.DUMMYFUNCTION("""COMPUTED_VALUE"""),0.0)</f>
        <v>0</v>
      </c>
      <c r="J22" s="58">
        <f>IFERROR(__xludf.DUMMYFUNCTION("""COMPUTED_VALUE"""),10.0)</f>
        <v>10</v>
      </c>
      <c r="K22" s="51"/>
      <c r="L22" s="60">
        <f>IFERROR(__xludf.DUMMYFUNCTION("""COMPUTED_VALUE"""),10.0)</f>
        <v>10</v>
      </c>
      <c r="M22" s="1" t="str">
        <f>IFERROR(__xludf.DUMMYFUNCTION("""COMPUTED_VALUE"""),"Junio")</f>
        <v>Junio</v>
      </c>
      <c r="N22" s="1">
        <f>IFERROR(__xludf.DUMMYFUNCTION("""COMPUTED_VALUE"""),13.0)</f>
        <v>13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IFERROR(__xludf.DUMMYFUNCTION("""COMPUTED_VALUE"""),7.0)</f>
        <v>7</v>
      </c>
      <c r="F23" s="54">
        <f>IFERROR(__xludf.DUMMYFUNCTION("""COMPUTED_VALUE"""),2.0)</f>
        <v>2</v>
      </c>
      <c r="G23" s="55"/>
      <c r="H23" s="56">
        <f>IFERROR(__xludf.DUMMYFUNCTION("""COMPUTED_VALUE"""),9.0)</f>
        <v>9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IFERROR(__xludf.DUMMYFUNCTION("""COMPUTED_VALUE"""),8.0)</f>
        <v>8</v>
      </c>
      <c r="F24" s="54">
        <f>IFERROR(__xludf.DUMMYFUNCTION("""COMPUTED_VALUE"""),2.0)</f>
        <v>2</v>
      </c>
      <c r="G24" s="55"/>
      <c r="H24" s="56">
        <f>IFERROR(__xludf.DUMMYFUNCTION("""COMPUTED_VALUE"""),10.0)</f>
        <v>10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IFERROR(__xludf.DUMMYFUNCTION("""COMPUTED_VALUE"""),56.0)</f>
        <v>56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/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IFERROR(__xludf.DUMMYFUNCTION("""COMPUTED_VALUE"""),6.0)</f>
        <v>6</v>
      </c>
      <c r="F26" s="54">
        <f>IFERROR(__xludf.DUMMYFUNCTION("""COMPUTED_VALUE"""),0.0)</f>
        <v>0</v>
      </c>
      <c r="G26" s="55"/>
      <c r="H26" s="56">
        <f>IFERROR(__xludf.DUMMYFUNCTION("""COMPUTED_VALUE"""),6.0)</f>
        <v>6</v>
      </c>
      <c r="I26" s="57">
        <f>IFERROR(__xludf.DUMMYFUNCTION("""COMPUTED_VALUE"""),0.0)</f>
        <v>0</v>
      </c>
      <c r="J26" s="58">
        <f>IFERROR(__xludf.DUMMYFUNCTION("""COMPUTED_VALUE"""),6.0)</f>
        <v>6</v>
      </c>
      <c r="K26" s="51"/>
      <c r="L26" s="60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/>
      <c r="H27" s="56">
        <f>IFERROR(__xludf.DUMMYFUNCTION("""COMPUTED_VALUE"""),10.0)</f>
        <v>10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IFERROR(__xludf.DUMMYFUNCTION("""COMPUTED_VALUE"""),8.0)</f>
        <v>8</v>
      </c>
      <c r="F30" s="54">
        <f>IFERROR(__xludf.DUMMYFUNCTION("""COMPUTED_VALUE"""),2.0)</f>
        <v>2</v>
      </c>
      <c r="G30" s="55"/>
      <c r="H30" s="56">
        <f>IFERROR(__xludf.DUMMYFUNCTION("""COMPUTED_VALUE"""),10.0)</f>
        <v>10</v>
      </c>
      <c r="I30" s="57">
        <f>IFERROR(__xludf.DUMMYFUNCTION("""COMPUTED_VALUE"""),0.0)</f>
        <v>0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IFERROR(__xludf.DUMMYFUNCTION("""COMPUTED_VALUE"""),7.0)</f>
        <v>7</v>
      </c>
      <c r="F33" s="54">
        <f>IFERROR(__xludf.DUMMYFUNCTION("""COMPUTED_VALUE"""),2.0)</f>
        <v>2</v>
      </c>
      <c r="G33" s="55"/>
      <c r="H33" s="56">
        <f>IFERROR(__xludf.DUMMYFUNCTION("""COMPUTED_VALUE"""),9.0)</f>
        <v>9</v>
      </c>
      <c r="I33" s="57">
        <f>IFERROR(__xludf.DUMMYFUNCTION("""COMPUTED_VALUE"""),0.0)</f>
        <v>0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/>
      <c r="H34" s="56">
        <f>IFERROR(__xludf.DUMMYFUNCTION("""COMPUTED_VALUE"""),10.0)</f>
        <v>10</v>
      </c>
      <c r="I34" s="57">
        <f>IFERROR(__xludf.DUMMYFUNCTION("""COMPUTED_VALUE"""),0.0)</f>
        <v>0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IFERROR(__xludf.DUMMYFUNCTION("""COMPUTED_VALUE"""),5.6)</f>
        <v>5.6</v>
      </c>
      <c r="F35" s="54">
        <f>IFERROR(__xludf.DUMMYFUNCTION("""COMPUTED_VALUE"""),2.0)</f>
        <v>2</v>
      </c>
      <c r="G35" s="55"/>
      <c r="H35" s="56">
        <f>IFERROR(__xludf.DUMMYFUNCTION("""COMPUTED_VALUE"""),7.6)</f>
        <v>7.6</v>
      </c>
      <c r="I35" s="57">
        <f>IFERROR(__xludf.DUMMYFUNCTION("""COMPUTED_VALUE"""),0.0)</f>
        <v>0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IFERROR(__xludf.DUMMYFUNCTION("""COMPUTED_VALUE"""),6.0)</f>
        <v>6</v>
      </c>
      <c r="F36" s="54">
        <f>IFERROR(__xludf.DUMMYFUNCTION("""COMPUTED_VALUE"""),0.0)</f>
        <v>0</v>
      </c>
      <c r="G36" s="55"/>
      <c r="H36" s="56">
        <f>IFERROR(__xludf.DUMMYFUNCTION("""COMPUTED_VALUE"""),6.0)</f>
        <v>6</v>
      </c>
      <c r="I36" s="57">
        <f>IFERROR(__xludf.DUMMYFUNCTION("""COMPUTED_VALUE"""),0.0)</f>
        <v>0</v>
      </c>
      <c r="J36" s="58">
        <f>IFERROR(__xludf.DUMMYFUNCTION("""COMPUTED_VALUE"""),6.0)</f>
        <v>6</v>
      </c>
      <c r="K36" s="51"/>
      <c r="L36" s="60">
        <f>IFERROR(__xludf.DUMMYFUNCTION("""COMPUTED_VALUE"""),6.0)</f>
        <v>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IFERROR(__xludf.DUMMYFUNCTION("""COMPUTED_VALUE"""),4.0)</f>
        <v>4</v>
      </c>
      <c r="F37" s="54">
        <f>IFERROR(__xludf.DUMMYFUNCTION("""COMPUTED_VALUE"""),2.0)</f>
        <v>2</v>
      </c>
      <c r="G37" s="55"/>
      <c r="H37" s="56">
        <f>IFERROR(__xludf.DUMMYFUNCTION("""COMPUTED_VALUE"""),6.0)</f>
        <v>6</v>
      </c>
      <c r="I37" s="57">
        <f>IFERROR(__xludf.DUMMYFUNCTION("""COMPUTED_VALUE"""),0.0)</f>
        <v>0</v>
      </c>
      <c r="J37" s="58">
        <f>IFERROR(__xludf.DUMMYFUNCTION("""COMPUTED_VALUE"""),6.0)</f>
        <v>6</v>
      </c>
      <c r="K37" s="51"/>
      <c r="L37" s="60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IFERROR(__xludf.DUMMYFUNCTION("""COMPUTED_VALUE"""),7.0)</f>
        <v>7</v>
      </c>
      <c r="F38" s="54">
        <f>IFERROR(__xludf.DUMMYFUNCTION("""COMPUTED_VALUE"""),0.0)</f>
        <v>0</v>
      </c>
      <c r="G38" s="55"/>
      <c r="H38" s="56">
        <f>IFERROR(__xludf.DUMMYFUNCTION("""COMPUTED_VALUE"""),7.0)</f>
        <v>7</v>
      </c>
      <c r="I38" s="57">
        <f>IFERROR(__xludf.DUMMYFUNCTION("""COMPUTED_VALUE"""),0.0)</f>
        <v>0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/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IFERROR(__xludf.DUMMYFUNCTION("""COMPUTED_VALUE"""),0.0)</f>
        <v>0</v>
      </c>
      <c r="F44" s="54">
        <f>IFERROR(__xludf.DUMMYFUNCTION("""COMPUTED_VALUE"""),2.0)</f>
        <v>2</v>
      </c>
      <c r="G44" s="55"/>
      <c r="H44" s="56">
        <f>IFERROR(__xludf.DUMMYFUNCTION("""COMPUTED_VALUE"""),2.0)</f>
        <v>2</v>
      </c>
      <c r="I44" s="57">
        <f>IFERROR(__xludf.DUMMYFUNCTION("""COMPUTED_VALUE"""),0.0)</f>
        <v>0</v>
      </c>
      <c r="J44" s="58">
        <f>IFERROR(__xludf.DUMMYFUNCTION("""COMPUTED_VALUE"""),5.0)</f>
        <v>5</v>
      </c>
      <c r="K44" s="51"/>
      <c r="L44" s="60">
        <f>IFERROR(__xludf.DUMMYFUNCTION("""COMPUTED_VALUE"""),2.0)</f>
        <v>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IFERROR(__xludf.DUMMYFUNCTION("""COMPUTED_VALUE"""),4.0)</f>
        <v>4</v>
      </c>
      <c r="F46" s="54">
        <f>IFERROR(__xludf.DUMMYFUNCTION("""COMPUTED_VALUE"""),2.0)</f>
        <v>2</v>
      </c>
      <c r="G46" s="55"/>
      <c r="H46" s="56">
        <f>IFERROR(__xludf.DUMMYFUNCTION("""COMPUTED_VALUE"""),6.0)</f>
        <v>6</v>
      </c>
      <c r="I46" s="57">
        <f>IFERROR(__xludf.DUMMYFUNCTION("""COMPUTED_VALUE"""),0.0)</f>
        <v>0</v>
      </c>
      <c r="J46" s="58">
        <f>IFERROR(__xludf.DUMMYFUNCTION("""COMPUTED_VALUE"""),6.0)</f>
        <v>6</v>
      </c>
      <c r="K46" s="51"/>
      <c r="L46" s="60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IFERROR(__xludf.DUMMYFUNCTION("""COMPUTED_VALUE"""),7.0)</f>
        <v>7</v>
      </c>
      <c r="F47" s="54">
        <f>IFERROR(__xludf.DUMMYFUNCTION("""COMPUTED_VALUE"""),2.0)</f>
        <v>2</v>
      </c>
      <c r="G47" s="55">
        <f>IFERROR(__xludf.DUMMYFUNCTION("""COMPUTED_VALUE"""),0.5)</f>
        <v>0.5</v>
      </c>
      <c r="H47" s="56">
        <f>IFERROR(__xludf.DUMMYFUNCTION("""COMPUTED_VALUE"""),9.5)</f>
        <v>9.5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IFERROR(__xludf.DUMMYFUNCTION("""COMPUTED_VALUE"""),5.0)</f>
        <v>5</v>
      </c>
      <c r="F48" s="54">
        <f>IFERROR(__xludf.DUMMYFUNCTION("""COMPUTED_VALUE"""),2.0)</f>
        <v>2</v>
      </c>
      <c r="G48" s="55"/>
      <c r="H48" s="56">
        <f>IFERROR(__xludf.DUMMYFUNCTION("""COMPUTED_VALUE"""),7.0)</f>
        <v>7</v>
      </c>
      <c r="I48" s="57">
        <f>IFERROR(__xludf.DUMMYFUNCTION("""COMPUTED_VALUE"""),0.0)</f>
        <v>0</v>
      </c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IFERROR(__xludf.DUMMYFUNCTION("""COMPUTED_VALUE"""),7.0)</f>
        <v>7</v>
      </c>
      <c r="F49" s="54">
        <f>IFERROR(__xludf.DUMMYFUNCTION("""COMPUTED_VALUE"""),2.0)</f>
        <v>2</v>
      </c>
      <c r="G49" s="55"/>
      <c r="H49" s="56">
        <f>IFERROR(__xludf.DUMMYFUNCTION("""COMPUTED_VALUE"""),9.0)</f>
        <v>9</v>
      </c>
      <c r="I49" s="57">
        <f>IFERROR(__xludf.DUMMYFUNCTION("""COMPUTED_VALUE"""),0.0)</f>
        <v>0</v>
      </c>
      <c r="J49" s="58">
        <f>IFERROR(__xludf.DUMMYFUNCTION("""COMPUTED_VALUE"""),9.0)</f>
        <v>9</v>
      </c>
      <c r="K49" s="51"/>
      <c r="L49" s="60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IFERROR(__xludf.DUMMYFUNCTION("""COMPUTED_VALUE"""),7.0)</f>
        <v>7</v>
      </c>
      <c r="F50" s="54">
        <f>IFERROR(__xludf.DUMMYFUNCTION("""COMPUTED_VALUE"""),2.0)</f>
        <v>2</v>
      </c>
      <c r="G50" s="55"/>
      <c r="H50" s="56">
        <f>IFERROR(__xludf.DUMMYFUNCTION("""COMPUTED_VALUE"""),9.0)</f>
        <v>9</v>
      </c>
      <c r="I50" s="57">
        <f>IFERROR(__xludf.DUMMYFUNCTION("""COMPUTED_VALUE"""),0.0)</f>
        <v>0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IFERROR(__xludf.DUMMYFUNCTION("""COMPUTED_VALUE"""),7.0)</f>
        <v>7</v>
      </c>
      <c r="F52" s="54">
        <f>IFERROR(__xludf.DUMMYFUNCTION("""COMPUTED_VALUE"""),2.0)</f>
        <v>2</v>
      </c>
      <c r="G52" s="55"/>
      <c r="H52" s="56">
        <f>IFERROR(__xludf.DUMMYFUNCTION("""COMPUTED_VALUE"""),9.0)</f>
        <v>9</v>
      </c>
      <c r="I52" s="57">
        <f>IFERROR(__xludf.DUMMYFUNCTION("""COMPUTED_VALUE"""),0.0)</f>
        <v>0</v>
      </c>
      <c r="J52" s="58">
        <f>IFERROR(__xludf.DUMMYFUNCTION("""COMPUTED_VALUE"""),9.0)</f>
        <v>9</v>
      </c>
      <c r="K52" s="51"/>
      <c r="L52" s="59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IFERROR(__xludf.DUMMYFUNCTION("""COMPUTED_VALUE"""),4.0)</f>
        <v>4</v>
      </c>
      <c r="F54" s="54">
        <f>IFERROR(__xludf.DUMMYFUNCTION("""COMPUTED_VALUE"""),2.0)</f>
        <v>2</v>
      </c>
      <c r="G54" s="55"/>
      <c r="H54" s="56">
        <f>IFERROR(__xludf.DUMMYFUNCTION("""COMPUTED_VALUE"""),6.0)</f>
        <v>6</v>
      </c>
      <c r="I54" s="57">
        <f>IFERROR(__xludf.DUMMYFUNCTION("""COMPUTED_VALUE"""),0.0)</f>
        <v>0</v>
      </c>
      <c r="J54" s="58">
        <f>IFERROR(__xludf.DUMMYFUNCTION("""COMPUTED_VALUE"""),6.0)</f>
        <v>6</v>
      </c>
      <c r="K54" s="51"/>
      <c r="L54" s="59">
        <f>IFERROR(__xludf.DUMMYFUNCTION("""COMPUTED_VALUE"""),6.0)</f>
        <v>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IFERROR(__xludf.DUMMYFUNCTION("""COMPUTED_VALUE"""),8.0)</f>
        <v>8</v>
      </c>
      <c r="F55" s="54">
        <f>IFERROR(__xludf.DUMMYFUNCTION("""COMPUTED_VALUE"""),2.0)</f>
        <v>2</v>
      </c>
      <c r="G55" s="55"/>
      <c r="H55" s="56">
        <f>IFERROR(__xludf.DUMMYFUNCTION("""COMPUTED_VALUE"""),10.0)</f>
        <v>10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IFERROR(__xludf.DUMMYFUNCTION("""COMPUTED_VALUE"""),7.0)</f>
        <v>7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IFERROR(__xludf.DUMMYFUNCTION("""COMPUTED_VALUE"""),10.0)</f>
        <v>10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IFERROR(__xludf.DUMMYFUNCTION("""COMPUTED_VALUE"""),7.0)</f>
        <v>7</v>
      </c>
      <c r="F57" s="54">
        <f>IFERROR(__xludf.DUMMYFUNCTION("""COMPUTED_VALUE"""),2.0)</f>
        <v>2</v>
      </c>
      <c r="G57" s="55"/>
      <c r="H57" s="56">
        <f>IFERROR(__xludf.DUMMYFUNCTION("""COMPUTED_VALUE"""),9.0)</f>
        <v>9</v>
      </c>
      <c r="I57" s="61">
        <f>IFERROR(__xludf.DUMMYFUNCTION("""COMPUTED_VALUE"""),0.0)</f>
        <v>0</v>
      </c>
      <c r="J57" s="58">
        <f>IFERROR(__xludf.DUMMYFUNCTION("""COMPUTED_VALUE"""),9.0)</f>
        <v>9</v>
      </c>
      <c r="K57" s="51"/>
      <c r="L57" s="59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IFERROR(__xludf.DUMMYFUNCTION("""COMPUTED_VALUE"""),5.6)</f>
        <v>5.6</v>
      </c>
      <c r="F58" s="54">
        <f>IFERROR(__xludf.DUMMYFUNCTION("""COMPUTED_VALUE"""),2.0)</f>
        <v>2</v>
      </c>
      <c r="G58" s="55"/>
      <c r="H58" s="56">
        <f>IFERROR(__xludf.DUMMYFUNCTION("""COMPUTED_VALUE"""),7.6)</f>
        <v>7.6</v>
      </c>
      <c r="I58" s="61">
        <f>IFERROR(__xludf.DUMMYFUNCTION("""COMPUTED_VALUE"""),0.0)</f>
        <v>0</v>
      </c>
      <c r="J58" s="58">
        <f>IFERROR(__xludf.DUMMYFUNCTION("""COMPUTED_VALUE"""),8.0)</f>
        <v>8</v>
      </c>
      <c r="K58" s="51"/>
      <c r="L58" s="59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IFERROR(__xludf.DUMMYFUNCTION("""COMPUTED_VALUE"""),6.0)</f>
        <v>6</v>
      </c>
      <c r="F59" s="54">
        <f>IFERROR(__xludf.DUMMYFUNCTION("""COMPUTED_VALUE"""),0.0)</f>
        <v>0</v>
      </c>
      <c r="G59" s="55"/>
      <c r="H59" s="56">
        <f>IFERROR(__xludf.DUMMYFUNCTION("""COMPUTED_VALUE"""),6.0)</f>
        <v>6</v>
      </c>
      <c r="I59" s="54">
        <f>IFERROR(__xludf.DUMMYFUNCTION("""COMPUTED_VALUE"""),1.0)</f>
        <v>1</v>
      </c>
      <c r="J59" s="58">
        <f>IFERROR(__xludf.DUMMYFUNCTION("""COMPUTED_VALUE"""),6.0)</f>
        <v>6</v>
      </c>
      <c r="K59" s="51"/>
      <c r="L59" s="59">
        <f>IFERROR(__xludf.DUMMYFUNCTION("""COMPUTED_VALUE"""),6.0)</f>
        <v>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IFERROR(__xludf.DUMMYFUNCTION("""COMPUTED_VALUE"""),8.0)</f>
        <v>8</v>
      </c>
      <c r="F61" s="54">
        <f>IFERROR(__xludf.DUMMYFUNCTION("""COMPUTED_VALUE"""),2.0)</f>
        <v>2</v>
      </c>
      <c r="G61" s="55"/>
      <c r="H61" s="56">
        <f>IFERROR(__xludf.DUMMYFUNCTION("""COMPUTED_VALUE"""),10.0)</f>
        <v>10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IFERROR(__xludf.DUMMYFUNCTION("""COMPUTED_VALUE"""),44.0)</f>
        <v>44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IFERROR(__xludf.DUMMYFUNCTION("""COMPUTED_VALUE"""),1.0)</f>
        <v>1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IFERROR(__xludf.DUMMYFUNCTION("""COMPUTED_VALUE"""),97.77777777777777)</f>
        <v>97.77777778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IFERROR(__xludf.DUMMYFUNCTION("""COMPUTED_VALUE"""),9.0)</f>
        <v>9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1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IFERROR(__xludf.DUMMYFUNCTION("IMPORTRANGE(""https://docs.google.com/spreadsheets/d/1JF8gv5DcLMX--4Xu4Aiyk880fwdvD6ewZLBLvH-qBOs/edit?gid=513784876#gid=513784876"",""3-3 temas selectos de ingles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IFERROR(__xludf.DUMMYFUNCTION("""COMPUTED_VALUE"""),"Marco Antonio Velez Salazar")</f>
        <v>Marco Antonio Velez Salazar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INGLÉS II")</f>
        <v>TEMAS SELECTOS DE INGLÉS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IFERROR(__xludf.DUMMYFUNCTION("""COMPUTED_VALUE"""),1.0)</f>
        <v>1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/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IFERROR(__xludf.DUMMYFUNCTION("""COMPUTED_VALUE"""),8.0)</f>
        <v>8</v>
      </c>
      <c r="F19" s="54">
        <f>IFERROR(__xludf.DUMMYFUNCTION("""COMPUTED_VALUE"""),2.0)</f>
        <v>2</v>
      </c>
      <c r="G19" s="55"/>
      <c r="H19" s="56">
        <f>IFERROR(__xludf.DUMMYFUNCTION("""COMPUTED_VALUE"""),10.0)</f>
        <v>10</v>
      </c>
      <c r="I19" s="57"/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IFERROR(__xludf.DUMMYFUNCTION("""COMPUTED_VALUE"""),1.0)</f>
        <v>1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/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IFERROR(__xludf.DUMMYFUNCTION("""COMPUTED_VALUE"""),6.0)</f>
        <v>6</v>
      </c>
      <c r="F22" s="54">
        <f>IFERROR(__xludf.DUMMYFUNCTION("""COMPUTED_VALUE"""),2.0)</f>
        <v>2</v>
      </c>
      <c r="G22" s="55"/>
      <c r="H22" s="56">
        <f>IFERROR(__xludf.DUMMYFUNCTION("""COMPUTED_VALUE"""),8.0)</f>
        <v>8</v>
      </c>
      <c r="I22" s="57">
        <f>IFERROR(__xludf.DUMMYFUNCTION("""COMPUTED_VALUE"""),2.0)</f>
        <v>2</v>
      </c>
      <c r="J22" s="58">
        <f>IFERROR(__xludf.DUMMYFUNCTION("""COMPUTED_VALUE"""),8.0)</f>
        <v>8</v>
      </c>
      <c r="K22" s="51"/>
      <c r="L22" s="60">
        <f>IFERROR(__xludf.DUMMYFUNCTION("""COMPUTED_VALUE"""),8.0)</f>
        <v>8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IFERROR(__xludf.DUMMYFUNCTION("""COMPUTED_VALUE"""),6.0)</f>
        <v>6</v>
      </c>
      <c r="F23" s="54">
        <f>IFERROR(__xludf.DUMMYFUNCTION("""COMPUTED_VALUE"""),2.0)</f>
        <v>2</v>
      </c>
      <c r="G23" s="55"/>
      <c r="H23" s="56">
        <f>IFERROR(__xludf.DUMMYFUNCTION("""COMPUTED_VALUE"""),8.0)</f>
        <v>8</v>
      </c>
      <c r="I23" s="57">
        <f>IFERROR(__xludf.DUMMYFUNCTION("""COMPUTED_VALUE"""),3.0)</f>
        <v>3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IFERROR(__xludf.DUMMYFUNCTION("""COMPUTED_VALUE"""),8.0)</f>
        <v>8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IFERROR(__xludf.DUMMYFUNCTION("""COMPUTED_VALUE"""),11.0)</f>
        <v>11</v>
      </c>
      <c r="I24" s="57"/>
      <c r="J24" s="58">
        <f>IFERROR(__xludf.DUMMYFUNCTION("""COMPUTED_VALUE"""),10.0)</f>
        <v>10</v>
      </c>
      <c r="K24" s="51"/>
      <c r="L24" s="60">
        <f>IFERROR(__xludf.DUMMYFUNCTION("""COMPUTED_VALUE"""),11.0)</f>
        <v>11</v>
      </c>
      <c r="M24" s="1" t="str">
        <f>IFERROR(__xludf.DUMMYFUNCTION("""COMPUTED_VALUE"""),"TOTAL")</f>
        <v>TOTAL</v>
      </c>
      <c r="N24" s="1">
        <f>IFERROR(__xludf.DUMMYFUNCTION("""COMPUTED_VALUE"""),19.0)</f>
        <v>19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IFERROR(__xludf.DUMMYFUNCTION("""COMPUTED_VALUE"""),7.0)</f>
        <v>7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IFERROR(__xludf.DUMMYFUNCTION("""COMPUTED_VALUE"""),10.0)</f>
        <v>10</v>
      </c>
      <c r="I25" s="57">
        <f>IFERROR(__xludf.DUMMYFUNCTION("""COMPUTED_VALUE"""),1.0)</f>
        <v>1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IFERROR(__xludf.DUMMYFUNCTION("""COMPUTED_VALUE"""),6.0)</f>
        <v>6</v>
      </c>
      <c r="F26" s="54">
        <f>IFERROR(__xludf.DUMMYFUNCTION("""COMPUTED_VALUE"""),2.0)</f>
        <v>2</v>
      </c>
      <c r="G26" s="55"/>
      <c r="H26" s="56">
        <f>IFERROR(__xludf.DUMMYFUNCTION("""COMPUTED_VALUE"""),8.0)</f>
        <v>8</v>
      </c>
      <c r="I26" s="57"/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IFERROR(__xludf.DUMMYFUNCTION("""COMPUTED_VALUE"""),7.0)</f>
        <v>7</v>
      </c>
      <c r="F27" s="54">
        <f>IFERROR(__xludf.DUMMYFUNCTION("""COMPUTED_VALUE"""),2.0)</f>
        <v>2</v>
      </c>
      <c r="G27" s="55"/>
      <c r="H27" s="56">
        <f>IFERROR(__xludf.DUMMYFUNCTION("""COMPUTED_VALUE"""),9.0)</f>
        <v>9</v>
      </c>
      <c r="I27" s="57"/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IFERROR(__xludf.DUMMYFUNCTION("""COMPUTED_VALUE"""),11.0)</f>
        <v>11</v>
      </c>
      <c r="I28" s="57"/>
      <c r="J28" s="58">
        <f>IFERROR(__xludf.DUMMYFUNCTION("""COMPUTED_VALUE"""),10.0)</f>
        <v>10</v>
      </c>
      <c r="K28" s="51"/>
      <c r="L28" s="60">
        <f>IFERROR(__xludf.DUMMYFUNCTION("""COMPUTED_VALUE"""),11.0)</f>
        <v>11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IFERROR(__xludf.DUMMYFUNCTION("""COMPUTED_VALUE"""),1.0)</f>
        <v>1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IFERROR(__xludf.DUMMYFUNCTION("""COMPUTED_VALUE"""),5.0)</f>
        <v>5</v>
      </c>
      <c r="F30" s="54">
        <f>IFERROR(__xludf.DUMMYFUNCTION("""COMPUTED_VALUE"""),2.0)</f>
        <v>2</v>
      </c>
      <c r="G30" s="55"/>
      <c r="H30" s="56">
        <f>IFERROR(__xludf.DUMMYFUNCTION("""COMPUTED_VALUE"""),7.0)</f>
        <v>7</v>
      </c>
      <c r="I30" s="57">
        <f>IFERROR(__xludf.DUMMYFUNCTION("""COMPUTED_VALUE"""),2.0)</f>
        <v>2</v>
      </c>
      <c r="J30" s="58">
        <f>IFERROR(__xludf.DUMMYFUNCTION("""COMPUTED_VALUE"""),7.0)</f>
        <v>7</v>
      </c>
      <c r="K30" s="51"/>
      <c r="L30" s="60">
        <f>IFERROR(__xludf.DUMMYFUNCTION("""COMPUTED_VALUE"""),7.0)</f>
        <v>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IFERROR(__xludf.DUMMYFUNCTION("""COMPUTED_VALUE"""),1.0)</f>
        <v>1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IFERROR(__xludf.DUMMYFUNCTION("""COMPUTED_VALUE"""),1.0)</f>
        <v>1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IFERROR(__xludf.DUMMYFUNCTION("""COMPUTED_VALUE"""),6.0)</f>
        <v>6</v>
      </c>
      <c r="F33" s="54">
        <f>IFERROR(__xludf.DUMMYFUNCTION("""COMPUTED_VALUE"""),2.0)</f>
        <v>2</v>
      </c>
      <c r="G33" s="55"/>
      <c r="H33" s="56">
        <f>IFERROR(__xludf.DUMMYFUNCTION("""COMPUTED_VALUE"""),8.0)</f>
        <v>8</v>
      </c>
      <c r="I33" s="57">
        <f>IFERROR(__xludf.DUMMYFUNCTION("""COMPUTED_VALUE"""),2.0)</f>
        <v>2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/>
      <c r="H34" s="56">
        <f>IFERROR(__xludf.DUMMYFUNCTION("""COMPUTED_VALUE"""),10.0)</f>
        <v>10</v>
      </c>
      <c r="I34" s="57"/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IFERROR(__xludf.DUMMYFUNCTION("""COMPUTED_VALUE"""),7.0)</f>
        <v>7</v>
      </c>
      <c r="F35" s="54">
        <f>IFERROR(__xludf.DUMMYFUNCTION("""COMPUTED_VALUE"""),2.0)</f>
        <v>2</v>
      </c>
      <c r="G35" s="55"/>
      <c r="H35" s="56">
        <f>IFERROR(__xludf.DUMMYFUNCTION("""COMPUTED_VALUE"""),9.0)</f>
        <v>9</v>
      </c>
      <c r="I35" s="57">
        <f>IFERROR(__xludf.DUMMYFUNCTION("""COMPUTED_VALUE"""),1.0)</f>
        <v>1</v>
      </c>
      <c r="J35" s="58">
        <f>IFERROR(__xludf.DUMMYFUNCTION("""COMPUTED_VALUE"""),9.0)</f>
        <v>9</v>
      </c>
      <c r="K35" s="51"/>
      <c r="L35" s="60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IFERROR(__xludf.DUMMYFUNCTION("""COMPUTED_VALUE"""),5.0)</f>
        <v>5</v>
      </c>
      <c r="F36" s="54">
        <f>IFERROR(__xludf.DUMMYFUNCTION("""COMPUTED_VALUE"""),2.0)</f>
        <v>2</v>
      </c>
      <c r="G36" s="55"/>
      <c r="H36" s="56">
        <f>IFERROR(__xludf.DUMMYFUNCTION("""COMPUTED_VALUE"""),7.0)</f>
        <v>7</v>
      </c>
      <c r="I36" s="57">
        <f>IFERROR(__xludf.DUMMYFUNCTION("""COMPUTED_VALUE"""),1.0)</f>
        <v>1</v>
      </c>
      <c r="J36" s="58">
        <f>IFERROR(__xludf.DUMMYFUNCTION("""COMPUTED_VALUE"""),7.0)</f>
        <v>7</v>
      </c>
      <c r="K36" s="51"/>
      <c r="L36" s="60">
        <f>IFERROR(__xludf.DUMMYFUNCTION("""COMPUTED_VALUE"""),7.0)</f>
        <v>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IFERROR(__xludf.DUMMYFUNCTION("""COMPUTED_VALUE"""),5.0)</f>
        <v>5</v>
      </c>
      <c r="F37" s="54">
        <f>IFERROR(__xludf.DUMMYFUNCTION("""COMPUTED_VALUE"""),2.0)</f>
        <v>2</v>
      </c>
      <c r="G37" s="55"/>
      <c r="H37" s="56">
        <f>IFERROR(__xludf.DUMMYFUNCTION("""COMPUTED_VALUE"""),7.0)</f>
        <v>7</v>
      </c>
      <c r="I37" s="57">
        <f>IFERROR(__xludf.DUMMYFUNCTION("""COMPUTED_VALUE"""),2.0)</f>
        <v>2</v>
      </c>
      <c r="J37" s="58">
        <f>IFERROR(__xludf.DUMMYFUNCTION("""COMPUTED_VALUE"""),7.0)</f>
        <v>7</v>
      </c>
      <c r="K37" s="51"/>
      <c r="L37" s="60">
        <f>IFERROR(__xludf.DUMMYFUNCTION("""COMPUTED_VALUE"""),7.0)</f>
        <v>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IFERROR(__xludf.DUMMYFUNCTION("""COMPUTED_VALUE"""),5.0)</f>
        <v>5</v>
      </c>
      <c r="F38" s="54">
        <f>IFERROR(__xludf.DUMMYFUNCTION("""COMPUTED_VALUE"""),2.0)</f>
        <v>2</v>
      </c>
      <c r="G38" s="55"/>
      <c r="H38" s="56">
        <f>IFERROR(__xludf.DUMMYFUNCTION("""COMPUTED_VALUE"""),7.0)</f>
        <v>7</v>
      </c>
      <c r="I38" s="57">
        <f>IFERROR(__xludf.DUMMYFUNCTION("""COMPUTED_VALUE"""),2.0)</f>
        <v>2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IFERROR(__xludf.DUMMYFUNCTION("""COMPUTED_VALUE"""),7.0)</f>
        <v>7</v>
      </c>
      <c r="F39" s="54">
        <f>IFERROR(__xludf.DUMMYFUNCTION("""COMPUTED_VALUE"""),2.0)</f>
        <v>2</v>
      </c>
      <c r="G39" s="55">
        <f>IFERROR(__xludf.DUMMYFUNCTION("""COMPUTED_VALUE"""),1.0)</f>
        <v>1</v>
      </c>
      <c r="H39" s="56">
        <f>IFERROR(__xludf.DUMMYFUNCTION("""COMPUTED_VALUE"""),10.0)</f>
        <v>10</v>
      </c>
      <c r="I39" s="57">
        <f>IFERROR(__xludf.DUMMYFUNCTION("""COMPUTED_VALUE"""),1.0)</f>
        <v>1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IFERROR(__xludf.DUMMYFUNCTION("""COMPUTED_VALUE"""),2.0)</f>
        <v>2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/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/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>
        <f>IFERROR(__xludf.DUMMYFUNCTION("""COMPUTED_VALUE"""),1.0)</f>
        <v>1</v>
      </c>
      <c r="H43" s="56">
        <f>IFERROR(__xludf.DUMMYFUNCTION("""COMPUTED_VALUE"""),11.0)</f>
        <v>11</v>
      </c>
      <c r="I43" s="57"/>
      <c r="J43" s="58">
        <f>IFERROR(__xludf.DUMMYFUNCTION("""COMPUTED_VALUE"""),10.0)</f>
        <v>10</v>
      </c>
      <c r="K43" s="51"/>
      <c r="L43" s="60">
        <f>IFERROR(__xludf.DUMMYFUNCTION("""COMPUTED_VALUE"""),11.0)</f>
        <v>11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IFERROR(__xludf.DUMMYFUNCTION("""COMPUTED_VALUE"""),5.0)</f>
        <v>5</v>
      </c>
      <c r="F44" s="54">
        <f>IFERROR(__xludf.DUMMYFUNCTION("""COMPUTED_VALUE"""),2.0)</f>
        <v>2</v>
      </c>
      <c r="G44" s="55"/>
      <c r="H44" s="56">
        <f>IFERROR(__xludf.DUMMYFUNCTION("""COMPUTED_VALUE"""),7.0)</f>
        <v>7</v>
      </c>
      <c r="I44" s="57">
        <f>IFERROR(__xludf.DUMMYFUNCTION("""COMPUTED_VALUE"""),2.0)</f>
        <v>2</v>
      </c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IFERROR(__xludf.DUMMYFUNCTION("""COMPUTED_VALUE"""),2.0)</f>
        <v>2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IFERROR(__xludf.DUMMYFUNCTION("""COMPUTED_VALUE"""),6.0)</f>
        <v>6</v>
      </c>
      <c r="F46" s="54">
        <f>IFERROR(__xludf.DUMMYFUNCTION("""COMPUTED_VALUE"""),2.0)</f>
        <v>2</v>
      </c>
      <c r="G46" s="55"/>
      <c r="H46" s="56">
        <f>IFERROR(__xludf.DUMMYFUNCTION("""COMPUTED_VALUE"""),8.0)</f>
        <v>8</v>
      </c>
      <c r="I46" s="57"/>
      <c r="J46" s="58">
        <f>IFERROR(__xludf.DUMMYFUNCTION("""COMPUTED_VALUE"""),8.0)</f>
        <v>8</v>
      </c>
      <c r="K46" s="51"/>
      <c r="L46" s="60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IFERROR(__xludf.DUMMYFUNCTION("""COMPUTED_VALUE"""),5.0)</f>
        <v>5</v>
      </c>
      <c r="F47" s="54">
        <f>IFERROR(__xludf.DUMMYFUNCTION("""COMPUTED_VALUE"""),2.0)</f>
        <v>2</v>
      </c>
      <c r="G47" s="55"/>
      <c r="H47" s="56">
        <f>IFERROR(__xludf.DUMMYFUNCTION("""COMPUTED_VALUE"""),7.0)</f>
        <v>7</v>
      </c>
      <c r="I47" s="57">
        <f>IFERROR(__xludf.DUMMYFUNCTION("""COMPUTED_VALUE"""),1.0)</f>
        <v>1</v>
      </c>
      <c r="J47" s="58">
        <f>IFERROR(__xludf.DUMMYFUNCTION("""COMPUTED_VALUE"""),7.0)</f>
        <v>7</v>
      </c>
      <c r="K47" s="51"/>
      <c r="L47" s="60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IFERROR(__xludf.DUMMYFUNCTION("""COMPUTED_VALUE"""),5.0)</f>
        <v>5</v>
      </c>
      <c r="F48" s="54">
        <f>IFERROR(__xludf.DUMMYFUNCTION("""COMPUTED_VALUE"""),2.0)</f>
        <v>2</v>
      </c>
      <c r="G48" s="55"/>
      <c r="H48" s="56">
        <f>IFERROR(__xludf.DUMMYFUNCTION("""COMPUTED_VALUE"""),7.0)</f>
        <v>7</v>
      </c>
      <c r="I48" s="57"/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/>
      <c r="H49" s="56">
        <f>IFERROR(__xludf.DUMMYFUNCTION("""COMPUTED_VALUE"""),10.0)</f>
        <v>10</v>
      </c>
      <c r="I49" s="57">
        <f>IFERROR(__xludf.DUMMYFUNCTION("""COMPUTED_VALUE"""),1.0)</f>
        <v>1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IFERROR(__xludf.DUMMYFUNCTION("""COMPUTED_VALUE"""),7.0)</f>
        <v>7</v>
      </c>
      <c r="F50" s="54">
        <f>IFERROR(__xludf.DUMMYFUNCTION("""COMPUTED_VALUE"""),2.0)</f>
        <v>2</v>
      </c>
      <c r="G50" s="55"/>
      <c r="H50" s="56">
        <f>IFERROR(__xludf.DUMMYFUNCTION("""COMPUTED_VALUE"""),9.0)</f>
        <v>9</v>
      </c>
      <c r="I50" s="57">
        <f>IFERROR(__xludf.DUMMYFUNCTION("""COMPUTED_VALUE"""),1.0)</f>
        <v>1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IFERROR(__xludf.DUMMYFUNCTION("""COMPUTED_VALUE"""),11.0)</f>
        <v>11</v>
      </c>
      <c r="I51" s="57"/>
      <c r="J51" s="58">
        <f>IFERROR(__xludf.DUMMYFUNCTION("""COMPUTED_VALUE"""),10.0)</f>
        <v>10</v>
      </c>
      <c r="K51" s="51"/>
      <c r="L51" s="60">
        <f>IFERROR(__xludf.DUMMYFUNCTION("""COMPUTED_VALUE"""),11.0)</f>
        <v>11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IFERROR(__xludf.DUMMYFUNCTION("""COMPUTED_VALUE"""),5.0)</f>
        <v>5</v>
      </c>
      <c r="F52" s="54">
        <f>IFERROR(__xludf.DUMMYFUNCTION("""COMPUTED_VALUE"""),2.0)</f>
        <v>2</v>
      </c>
      <c r="G52" s="55"/>
      <c r="H52" s="56">
        <f>IFERROR(__xludf.DUMMYFUNCTION("""COMPUTED_VALUE"""),7.0)</f>
        <v>7</v>
      </c>
      <c r="I52" s="57">
        <f>IFERROR(__xludf.DUMMYFUNCTION("""COMPUTED_VALUE"""),2.0)</f>
        <v>2</v>
      </c>
      <c r="J52" s="58">
        <f>IFERROR(__xludf.DUMMYFUNCTION("""COMPUTED_VALUE"""),7.0)</f>
        <v>7</v>
      </c>
      <c r="K52" s="51"/>
      <c r="L52" s="59">
        <f>IFERROR(__xludf.DUMMYFUNCTION("""COMPUTED_VALUE"""),7.0)</f>
        <v>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/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IFERROR(__xludf.DUMMYFUNCTION("""COMPUTED_VALUE"""),8.0)</f>
        <v>8</v>
      </c>
      <c r="F54" s="54">
        <f>IFERROR(__xludf.DUMMYFUNCTION("""COMPUTED_VALUE"""),2.0)</f>
        <v>2</v>
      </c>
      <c r="G54" s="55"/>
      <c r="H54" s="56">
        <f>IFERROR(__xludf.DUMMYFUNCTION("""COMPUTED_VALUE"""),10.0)</f>
        <v>10</v>
      </c>
      <c r="I54" s="57">
        <f>IFERROR(__xludf.DUMMYFUNCTION("""COMPUTED_VALUE"""),2.0)</f>
        <v>2</v>
      </c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IFERROR(__xludf.DUMMYFUNCTION("""COMPUTED_VALUE"""),6.0)</f>
        <v>6</v>
      </c>
      <c r="F55" s="54">
        <f>IFERROR(__xludf.DUMMYFUNCTION("""COMPUTED_VALUE"""),2.0)</f>
        <v>2</v>
      </c>
      <c r="G55" s="55"/>
      <c r="H55" s="56">
        <f>IFERROR(__xludf.DUMMYFUNCTION("""COMPUTED_VALUE"""),8.0)</f>
        <v>8</v>
      </c>
      <c r="I55" s="61">
        <f>IFERROR(__xludf.DUMMYFUNCTION("""COMPUTED_VALUE"""),1.0)</f>
        <v>1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IFERROR(__xludf.DUMMYFUNCTION("""COMPUTED_VALUE"""),11.0)</f>
        <v>11</v>
      </c>
      <c r="I56" s="61"/>
      <c r="J56" s="58">
        <f>IFERROR(__xludf.DUMMYFUNCTION("""COMPUTED_VALUE"""),10.0)</f>
        <v>10</v>
      </c>
      <c r="K56" s="51"/>
      <c r="L56" s="59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IFERROR(__xludf.DUMMYFUNCTION("""COMPUTED_VALUE"""),4.0)</f>
        <v>4</v>
      </c>
      <c r="F57" s="54">
        <f>IFERROR(__xludf.DUMMYFUNCTION("""COMPUTED_VALUE"""),2.0)</f>
        <v>2</v>
      </c>
      <c r="G57" s="55"/>
      <c r="H57" s="56">
        <f>IFERROR(__xludf.DUMMYFUNCTION("""COMPUTED_VALUE"""),6.0)</f>
        <v>6</v>
      </c>
      <c r="I57" s="61">
        <f>IFERROR(__xludf.DUMMYFUNCTION("""COMPUTED_VALUE"""),1.0)</f>
        <v>1</v>
      </c>
      <c r="J57" s="58">
        <f>IFERROR(__xludf.DUMMYFUNCTION("""COMPUTED_VALUE"""),6.0)</f>
        <v>6</v>
      </c>
      <c r="K57" s="51"/>
      <c r="L57" s="59">
        <f>IFERROR(__xludf.DUMMYFUNCTION("""COMPUTED_VALUE"""),6.0)</f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IFERROR(__xludf.DUMMYFUNCTION("""COMPUTED_VALUE"""),6.0)</f>
        <v>6</v>
      </c>
      <c r="F58" s="54">
        <f>IFERROR(__xludf.DUMMYFUNCTION("""COMPUTED_VALUE"""),2.0)</f>
        <v>2</v>
      </c>
      <c r="G58" s="55"/>
      <c r="H58" s="56">
        <f>IFERROR(__xludf.DUMMYFUNCTION("""COMPUTED_VALUE"""),8.0)</f>
        <v>8</v>
      </c>
      <c r="I58" s="54">
        <f>IFERROR(__xludf.DUMMYFUNCTION("""COMPUTED_VALUE"""),3.0)</f>
        <v>3</v>
      </c>
      <c r="J58" s="58">
        <f>IFERROR(__xludf.DUMMYFUNCTION("""COMPUTED_VALUE"""),8.0)</f>
        <v>8</v>
      </c>
      <c r="K58" s="51"/>
      <c r="L58" s="59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IFERROR(__xludf.DUMMYFUNCTION("""COMPUTED_VALUE"""),6.0)</f>
        <v>6</v>
      </c>
      <c r="F59" s="54">
        <f>IFERROR(__xludf.DUMMYFUNCTION("""COMPUTED_VALUE"""),2.0)</f>
        <v>2</v>
      </c>
      <c r="G59" s="55"/>
      <c r="H59" s="56">
        <f>IFERROR(__xludf.DUMMYFUNCTION("""COMPUTED_VALUE"""),8.0)</f>
        <v>8</v>
      </c>
      <c r="I59" s="54">
        <f>IFERROR(__xludf.DUMMYFUNCTION("""COMPUTED_VALUE"""),1.0)</f>
        <v>1</v>
      </c>
      <c r="J59" s="58">
        <f>IFERROR(__xludf.DUMMYFUNCTION("""COMPUTED_VALUE"""),8.0)</f>
        <v>8</v>
      </c>
      <c r="K59" s="51"/>
      <c r="L59" s="59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IFERROR(__xludf.DUMMYFUNCTION("""COMPUTED_VALUE"""),7.0)</f>
        <v>7</v>
      </c>
      <c r="F60" s="54">
        <f>IFERROR(__xludf.DUMMYFUNCTION("""COMPUTED_VALUE"""),2.0)</f>
        <v>2</v>
      </c>
      <c r="G60" s="55">
        <f>IFERROR(__xludf.DUMMYFUNCTION("""COMPUTED_VALUE"""),1.0)</f>
        <v>1</v>
      </c>
      <c r="H60" s="56">
        <f>IFERROR(__xludf.DUMMYFUNCTION("""COMPUTED_VALUE"""),10.0)</f>
        <v>10</v>
      </c>
      <c r="I60" s="61">
        <f>IFERROR(__xludf.DUMMYFUNCTION("""COMPUTED_VALUE"""),2.0)</f>
        <v>2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IFERROR(__xludf.DUMMYFUNCTION("""COMPUTED_VALUE"""),5.0)</f>
        <v>5</v>
      </c>
      <c r="F61" s="54">
        <f>IFERROR(__xludf.DUMMYFUNCTION("""COMPUTED_VALUE"""),2.0)</f>
        <v>2</v>
      </c>
      <c r="G61" s="55"/>
      <c r="H61" s="56">
        <f>IFERROR(__xludf.DUMMYFUNCTION("""COMPUTED_VALUE"""),7.0)</f>
        <v>7</v>
      </c>
      <c r="I61" s="61">
        <f>IFERROR(__xludf.DUMMYFUNCTION("""COMPUTED_VALUE"""),2.0)</f>
        <v>2</v>
      </c>
      <c r="J61" s="58">
        <f>IFERROR(__xludf.DUMMYFUNCTION("""COMPUTED_VALUE"""),7.0)</f>
        <v>7</v>
      </c>
      <c r="K61" s="51"/>
      <c r="L61" s="59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IFERROR(__xludf.DUMMYFUNCTION("""COMPUTED_VALUE"""),45.0)</f>
        <v>45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IFERROR(__xludf.DUMMYFUNCTION("""COMPUTED_VALUE"""),0.0)</f>
        <v>0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IFERROR(__xludf.DUMMYFUNCTION("""COMPUTED_VALUE"""),100.0)</f>
        <v>100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IFERROR(__xludf.DUMMYFUNCTION("""COMPUTED_VALUE"""),8.88888888888889)</f>
        <v>8.888888889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IFERROR(__xludf.DUMMYFUNCTION("IMPORTRANGE(""https://docs.google.com/spreadsheets/d/1Ut9hYHDWfils99AJzCl7NeUFWEqn_iFSWGKnw6Twjk4/edit?gid=283467956#gid=283467956"",""3-3 temas selectos de matemáticas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/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MATEMÁTICAS II")</f>
        <v>TEMAS SELECTOS DE MATEMÁTICAS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/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IFERROR(__xludf.DUMMYFUNCTION("""COMPUTED_VALUE"""),8.0)</f>
        <v>8</v>
      </c>
      <c r="F19" s="54">
        <f>IFERROR(__xludf.DUMMYFUNCTION("""COMPUTED_VALUE"""),2.0)</f>
        <v>2</v>
      </c>
      <c r="G19" s="55"/>
      <c r="H19" s="56">
        <f>IFERROR(__xludf.DUMMYFUNCTION("""COMPUTED_VALUE"""),10.0)</f>
        <v>10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IFERROR(__xludf.DUMMYFUNCTION("""COMPUTED_VALUE"""),14.0)</f>
        <v>14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IFERROR(__xludf.DUMMYFUNCTION("""COMPUTED_VALUE"""),8.0)</f>
        <v>8</v>
      </c>
      <c r="F22" s="54">
        <f>IFERROR(__xludf.DUMMYFUNCTION("""COMPUTED_VALUE"""),2.0)</f>
        <v>2</v>
      </c>
      <c r="G22" s="55"/>
      <c r="H22" s="56">
        <f>IFERROR(__xludf.DUMMYFUNCTION("""COMPUTED_VALUE"""),10.0)</f>
        <v>10</v>
      </c>
      <c r="I22" s="57">
        <f>IFERROR(__xludf.DUMMYFUNCTION("""COMPUTED_VALUE"""),0.0)</f>
        <v>0</v>
      </c>
      <c r="J22" s="58">
        <f>IFERROR(__xludf.DUMMYFUNCTION("""COMPUTED_VALUE"""),10.0)</f>
        <v>10</v>
      </c>
      <c r="K22" s="51"/>
      <c r="L22" s="60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IFERROR(__xludf.DUMMYFUNCTION("""COMPUTED_VALUE"""),6.0)</f>
        <v>6</v>
      </c>
      <c r="F23" s="54">
        <f>IFERROR(__xludf.DUMMYFUNCTION("""COMPUTED_VALUE"""),2.0)</f>
        <v>2</v>
      </c>
      <c r="G23" s="55"/>
      <c r="H23" s="56">
        <f>IFERROR(__xludf.DUMMYFUNCTION("""COMPUTED_VALUE"""),8.0)</f>
        <v>8</v>
      </c>
      <c r="I23" s="57">
        <f>IFERROR(__xludf.DUMMYFUNCTION("""COMPUTED_VALUE"""),0.0)</f>
        <v>0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IFERROR(__xludf.DUMMYFUNCTION("""COMPUTED_VALUE"""),8.0)</f>
        <v>8</v>
      </c>
      <c r="F24" s="54">
        <f>IFERROR(__xludf.DUMMYFUNCTION("""COMPUTED_VALUE"""),2.0)</f>
        <v>2</v>
      </c>
      <c r="G24" s="55"/>
      <c r="H24" s="56">
        <f>IFERROR(__xludf.DUMMYFUNCTION("""COMPUTED_VALUE"""),10.0)</f>
        <v>10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IFERROR(__xludf.DUMMYFUNCTION("""COMPUTED_VALUE"""),22.0)</f>
        <v>22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/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IFERROR(__xludf.DUMMYFUNCTION("""COMPUTED_VALUE"""),7.0)</f>
        <v>7</v>
      </c>
      <c r="F26" s="54">
        <f>IFERROR(__xludf.DUMMYFUNCTION("""COMPUTED_VALUE"""),2.0)</f>
        <v>2</v>
      </c>
      <c r="G26" s="55"/>
      <c r="H26" s="56">
        <f>IFERROR(__xludf.DUMMYFUNCTION("""COMPUTED_VALUE"""),9.0)</f>
        <v>9</v>
      </c>
      <c r="I26" s="57">
        <f>IFERROR(__xludf.DUMMYFUNCTION("""COMPUTED_VALUE"""),0.0)</f>
        <v>0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/>
      <c r="H27" s="56">
        <f>IFERROR(__xludf.DUMMYFUNCTION("""COMPUTED_VALUE"""),10.0)</f>
        <v>10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/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IFERROR(__xludf.DUMMYFUNCTION("""COMPUTED_VALUE"""),7.0)</f>
        <v>7</v>
      </c>
      <c r="F30" s="54">
        <f>IFERROR(__xludf.DUMMYFUNCTION("""COMPUTED_VALUE"""),2.0)</f>
        <v>2</v>
      </c>
      <c r="G30" s="55"/>
      <c r="H30" s="56">
        <f>IFERROR(__xludf.DUMMYFUNCTION("""COMPUTED_VALUE"""),9.0)</f>
        <v>9</v>
      </c>
      <c r="I30" s="57">
        <f>IFERROR(__xludf.DUMMYFUNCTION("""COMPUTED_VALUE"""),0.0)</f>
        <v>0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IFERROR(__xludf.DUMMYFUNCTION("""COMPUTED_VALUE"""),8.0)</f>
        <v>8</v>
      </c>
      <c r="F33" s="54">
        <f>IFERROR(__xludf.DUMMYFUNCTION("""COMPUTED_VALUE"""),2.0)</f>
        <v>2</v>
      </c>
      <c r="G33" s="55"/>
      <c r="H33" s="56">
        <f>IFERROR(__xludf.DUMMYFUNCTION("""COMPUTED_VALUE"""),10.0)</f>
        <v>10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/>
      <c r="H34" s="56">
        <f>IFERROR(__xludf.DUMMYFUNCTION("""COMPUTED_VALUE"""),10.0)</f>
        <v>10</v>
      </c>
      <c r="I34" s="57">
        <f>IFERROR(__xludf.DUMMYFUNCTION("""COMPUTED_VALUE"""),0.0)</f>
        <v>0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IFERROR(__xludf.DUMMYFUNCTION("""COMPUTED_VALUE"""),8.0)</f>
        <v>8</v>
      </c>
      <c r="F35" s="54">
        <f>IFERROR(__xludf.DUMMYFUNCTION("""COMPUTED_VALUE"""),2.0)</f>
        <v>2</v>
      </c>
      <c r="G35" s="55"/>
      <c r="H35" s="56">
        <f>IFERROR(__xludf.DUMMYFUNCTION("""COMPUTED_VALUE"""),10.0)</f>
        <v>10</v>
      </c>
      <c r="I35" s="57">
        <f>IFERROR(__xludf.DUMMYFUNCTION("""COMPUTED_VALUE"""),0.0)</f>
        <v>0</v>
      </c>
      <c r="J35" s="58">
        <f>IFERROR(__xludf.DUMMYFUNCTION("""COMPUTED_VALUE"""),10.0)</f>
        <v>10</v>
      </c>
      <c r="K35" s="51"/>
      <c r="L35" s="60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IFERROR(__xludf.DUMMYFUNCTION("""COMPUTED_VALUE"""),7.0)</f>
        <v>7</v>
      </c>
      <c r="F36" s="54">
        <f>IFERROR(__xludf.DUMMYFUNCTION("""COMPUTED_VALUE"""),2.0)</f>
        <v>2</v>
      </c>
      <c r="G36" s="55"/>
      <c r="H36" s="56">
        <f>IFERROR(__xludf.DUMMYFUNCTION("""COMPUTED_VALUE"""),9.0)</f>
        <v>9</v>
      </c>
      <c r="I36" s="57">
        <f>IFERROR(__xludf.DUMMYFUNCTION("""COMPUTED_VALUE"""),0.0)</f>
        <v>0</v>
      </c>
      <c r="J36" s="58">
        <f>IFERROR(__xludf.DUMMYFUNCTION("""COMPUTED_VALUE"""),9.0)</f>
        <v>9</v>
      </c>
      <c r="K36" s="51"/>
      <c r="L36" s="60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IFERROR(__xludf.DUMMYFUNCTION("""COMPUTED_VALUE"""),7.0)</f>
        <v>7</v>
      </c>
      <c r="F37" s="54">
        <f>IFERROR(__xludf.DUMMYFUNCTION("""COMPUTED_VALUE"""),2.0)</f>
        <v>2</v>
      </c>
      <c r="G37" s="55"/>
      <c r="H37" s="56">
        <f>IFERROR(__xludf.DUMMYFUNCTION("""COMPUTED_VALUE"""),9.0)</f>
        <v>9</v>
      </c>
      <c r="I37" s="57">
        <f>IFERROR(__xludf.DUMMYFUNCTION("""COMPUTED_VALUE"""),0.0)</f>
        <v>0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/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IFERROR(__xludf.DUMMYFUNCTION("""COMPUTED_VALUE"""),7.0)</f>
        <v>7</v>
      </c>
      <c r="F44" s="54">
        <f>IFERROR(__xludf.DUMMYFUNCTION("""COMPUTED_VALUE"""),2.0)</f>
        <v>2</v>
      </c>
      <c r="G44" s="55"/>
      <c r="H44" s="56">
        <f>IFERROR(__xludf.DUMMYFUNCTION("""COMPUTED_VALUE"""),9.0)</f>
        <v>9</v>
      </c>
      <c r="I44" s="57">
        <f>IFERROR(__xludf.DUMMYFUNCTION("""COMPUTED_VALUE"""),0.0)</f>
        <v>0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IFERROR(__xludf.DUMMYFUNCTION("""COMPUTED_VALUE"""),6.0)</f>
        <v>6</v>
      </c>
      <c r="F46" s="54">
        <f>IFERROR(__xludf.DUMMYFUNCTION("""COMPUTED_VALUE"""),2.0)</f>
        <v>2</v>
      </c>
      <c r="G46" s="55"/>
      <c r="H46" s="56">
        <f>IFERROR(__xludf.DUMMYFUNCTION("""COMPUTED_VALUE"""),8.0)</f>
        <v>8</v>
      </c>
      <c r="I46" s="57">
        <f>IFERROR(__xludf.DUMMYFUNCTION("""COMPUTED_VALUE"""),0.0)</f>
        <v>0</v>
      </c>
      <c r="J46" s="58">
        <f>IFERROR(__xludf.DUMMYFUNCTION("""COMPUTED_VALUE"""),8.0)</f>
        <v>8</v>
      </c>
      <c r="K46" s="51"/>
      <c r="L46" s="60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IFERROR(__xludf.DUMMYFUNCTION("""COMPUTED_VALUE"""),8.0)</f>
        <v>8</v>
      </c>
      <c r="F47" s="54">
        <f>IFERROR(__xludf.DUMMYFUNCTION("""COMPUTED_VALUE"""),2.0)</f>
        <v>2</v>
      </c>
      <c r="G47" s="55"/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/>
      <c r="H48" s="56">
        <f>IFERROR(__xludf.DUMMYFUNCTION("""COMPUTED_VALUE"""),10.0)</f>
        <v>10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/>
      <c r="H49" s="56">
        <f>IFERROR(__xludf.DUMMYFUNCTION("""COMPUTED_VALUE"""),10.0)</f>
        <v>10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IFERROR(__xludf.DUMMYFUNCTION("""COMPUTED_VALUE"""),8.0)</f>
        <v>8</v>
      </c>
      <c r="F50" s="54">
        <f>IFERROR(__xludf.DUMMYFUNCTION("""COMPUTED_VALUE"""),2.0)</f>
        <v>2</v>
      </c>
      <c r="G50" s="55"/>
      <c r="H50" s="56">
        <f>IFERROR(__xludf.DUMMYFUNCTION("""COMPUTED_VALUE"""),10.0)</f>
        <v>10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IFERROR(__xludf.DUMMYFUNCTION("""COMPUTED_VALUE"""),8.0)</f>
        <v>8</v>
      </c>
      <c r="F54" s="54">
        <f>IFERROR(__xludf.DUMMYFUNCTION("""COMPUTED_VALUE"""),2.0)</f>
        <v>2</v>
      </c>
      <c r="G54" s="55"/>
      <c r="H54" s="56">
        <f>IFERROR(__xludf.DUMMYFUNCTION("""COMPUTED_VALUE"""),10.0)</f>
        <v>10</v>
      </c>
      <c r="I54" s="57">
        <f>IFERROR(__xludf.DUMMYFUNCTION("""COMPUTED_VALUE"""),0.0)</f>
        <v>0</v>
      </c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IFERROR(__xludf.DUMMYFUNCTION("""COMPUTED_VALUE"""),8.0)</f>
        <v>8</v>
      </c>
      <c r="F55" s="54">
        <f>IFERROR(__xludf.DUMMYFUNCTION("""COMPUTED_VALUE"""),2.0)</f>
        <v>2</v>
      </c>
      <c r="G55" s="55"/>
      <c r="H55" s="56">
        <f>IFERROR(__xludf.DUMMYFUNCTION("""COMPUTED_VALUE"""),10.0)</f>
        <v>10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/>
      <c r="H56" s="56">
        <f>IFERROR(__xludf.DUMMYFUNCTION("""COMPUTED_VALUE"""),10.0)</f>
        <v>10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IFERROR(__xludf.DUMMYFUNCTION("""COMPUTED_VALUE"""),7.0)</f>
        <v>7</v>
      </c>
      <c r="F57" s="54">
        <f>IFERROR(__xludf.DUMMYFUNCTION("""COMPUTED_VALUE"""),2.0)</f>
        <v>2</v>
      </c>
      <c r="G57" s="55"/>
      <c r="H57" s="56">
        <f>IFERROR(__xludf.DUMMYFUNCTION("""COMPUTED_VALUE"""),9.0)</f>
        <v>9</v>
      </c>
      <c r="I57" s="61">
        <f>IFERROR(__xludf.DUMMYFUNCTION("""COMPUTED_VALUE"""),0.0)</f>
        <v>0</v>
      </c>
      <c r="J57" s="58">
        <f>IFERROR(__xludf.DUMMYFUNCTION("""COMPUTED_VALUE"""),9.0)</f>
        <v>9</v>
      </c>
      <c r="K57" s="51"/>
      <c r="L57" s="59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IFERROR(__xludf.DUMMYFUNCTION("""COMPUTED_VALUE"""),6.0)</f>
        <v>6</v>
      </c>
      <c r="F58" s="54">
        <f>IFERROR(__xludf.DUMMYFUNCTION("""COMPUTED_VALUE"""),2.0)</f>
        <v>2</v>
      </c>
      <c r="G58" s="55"/>
      <c r="H58" s="56">
        <f>IFERROR(__xludf.DUMMYFUNCTION("""COMPUTED_VALUE"""),8.0)</f>
        <v>8</v>
      </c>
      <c r="I58" s="61">
        <f>IFERROR(__xludf.DUMMYFUNCTION("""COMPUTED_VALUE"""),0.0)</f>
        <v>0</v>
      </c>
      <c r="J58" s="58">
        <f>IFERROR(__xludf.DUMMYFUNCTION("""COMPUTED_VALUE"""),8.0)</f>
        <v>8</v>
      </c>
      <c r="K58" s="51"/>
      <c r="L58" s="59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IFERROR(__xludf.DUMMYFUNCTION("""COMPUTED_VALUE"""),8.0)</f>
        <v>8</v>
      </c>
      <c r="F59" s="54">
        <f>IFERROR(__xludf.DUMMYFUNCTION("""COMPUTED_VALUE"""),2.0)</f>
        <v>2</v>
      </c>
      <c r="G59" s="55"/>
      <c r="H59" s="56">
        <f>IFERROR(__xludf.DUMMYFUNCTION("""COMPUTED_VALUE"""),10.0)</f>
        <v>10</v>
      </c>
      <c r="I59" s="61">
        <f>IFERROR(__xludf.DUMMYFUNCTION("""COMPUTED_VALUE"""),0.0)</f>
        <v>0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3" t="str">
        <f>IFERROR(__xludf.DUMMYFUNCTION("""COMPUTED_VALUE"""),"ENRIQUE SEBASTIAN")</f>
        <v>ENRIQUE SEBASTIAN</v>
      </c>
      <c r="E61" s="54">
        <f>IFERROR(__xludf.DUMMYFUNCTION("""COMPUTED_VALUE"""),8.0)</f>
        <v>8</v>
      </c>
      <c r="F61" s="54">
        <f>IFERROR(__xludf.DUMMYFUNCTION("""COMPUTED_VALUE"""),2.0)</f>
        <v>2</v>
      </c>
      <c r="G61" s="55"/>
      <c r="H61" s="56">
        <f>IFERROR(__xludf.DUMMYFUNCTION("""COMPUTED_VALUE"""),10.0)</f>
        <v>10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109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110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111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IFERROR(__xludf.DUMMYFUNCTION("""COMPUTED_VALUE"""),45.0)</f>
        <v>45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IFERROR(__xludf.DUMMYFUNCTION("""COMPUTED_VALUE"""),0.0)</f>
        <v>0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IFERROR(__xludf.DUMMYFUNCTION("""COMPUTED_VALUE"""),100.0)</f>
        <v>100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IFERROR(__xludf.DUMMYFUNCTION("""COMPUTED_VALUE"""),9.733333333333333)</f>
        <v>9.733333333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IFERROR(__xludf.DUMMYFUNCTION("IMPORTRANGE(""https://docs.google.com/spreadsheets/d/1bZI5kqCg3yPRIT4r2IGIK_i3Ird9iEHS5XGKGNUq-b4/edit?gid=844678059#gid=844678059"",""3-3 conciencia historica iii!A1:Q85"")"),"")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IFERROR(__xludf.DUMMYFUNCTION("""COMPUTED_VALUE"""),"Lizette Martínez Pérez")</f>
        <v>Lizette Martínez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IFERROR(__xludf.DUMMYFUNCTION("""COMPUTED_VALUE"""),"CONCIENCIA HISTÓRICA III")</f>
        <v>CONCIENCIA HISTÓRICA III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IFERROR(__xludf.DUMMYFUNCTION("""COMPUTED_VALUE"""),7.0)</f>
        <v>7</v>
      </c>
      <c r="F17" s="54">
        <f>IFERROR(__xludf.DUMMYFUNCTION("""COMPUTED_VALUE"""),2.0)</f>
        <v>2</v>
      </c>
      <c r="G17" s="55"/>
      <c r="H17" s="56">
        <f>IFERROR(__xludf.DUMMYFUNCTION("""COMPUTED_VALUE"""),9.0)</f>
        <v>9</v>
      </c>
      <c r="I17" s="57">
        <f>IFERROR(__xludf.DUMMYFUNCTION("""COMPUTED_VALUE"""),1.0)</f>
        <v>1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IFERROR(__xludf.DUMMYFUNCTION("""COMPUTED_VALUE"""),8.0)</f>
        <v>8</v>
      </c>
      <c r="F18" s="54">
        <f>IFERROR(__xludf.DUMMYFUNCTION("""COMPUTED_VALUE"""),1.0)</f>
        <v>1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IFERROR(__xludf.DUMMYFUNCTION("""COMPUTED_VALUE"""),6.0)</f>
        <v>6</v>
      </c>
      <c r="F19" s="54">
        <f>IFERROR(__xludf.DUMMYFUNCTION("""COMPUTED_VALUE"""),2.0)</f>
        <v>2</v>
      </c>
      <c r="G19" s="55"/>
      <c r="H19" s="56">
        <f>IFERROR(__xludf.DUMMYFUNCTION("""COMPUTED_VALUE"""),8.0)</f>
        <v>8</v>
      </c>
      <c r="I19" s="57">
        <f>IFERROR(__xludf.DUMMYFUNCTION("""COMPUTED_VALUE"""),0.0)</f>
        <v>0</v>
      </c>
      <c r="J19" s="58">
        <f>IFERROR(__xludf.DUMMYFUNCTION("""COMPUTED_VALUE"""),8.0)</f>
        <v>8</v>
      </c>
      <c r="K19" s="51"/>
      <c r="L19" s="60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IFERROR(__xludf.DUMMYFUNCTION("""COMPUTED_VALUE"""),1.0)</f>
        <v>1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IFERROR(__xludf.DUMMYFUNCTION("""COMPUTED_VALUE"""),4.0)</f>
        <v>4</v>
      </c>
      <c r="F22" s="54">
        <f>IFERROR(__xludf.DUMMYFUNCTION("""COMPUTED_VALUE"""),2.0)</f>
        <v>2</v>
      </c>
      <c r="G22" s="55"/>
      <c r="H22" s="56">
        <f>IFERROR(__xludf.DUMMYFUNCTION("""COMPUTED_VALUE"""),6.0)</f>
        <v>6</v>
      </c>
      <c r="I22" s="57">
        <f>IFERROR(__xludf.DUMMYFUNCTION("""COMPUTED_VALUE"""),0.0)</f>
        <v>0</v>
      </c>
      <c r="J22" s="58">
        <f>IFERROR(__xludf.DUMMYFUNCTION("""COMPUTED_VALUE"""),6.0)</f>
        <v>6</v>
      </c>
      <c r="K22" s="51"/>
      <c r="L22" s="60">
        <f>IFERROR(__xludf.DUMMYFUNCTION("""COMPUTED_VALUE"""),6.0)</f>
        <v>6</v>
      </c>
      <c r="M22" s="1" t="str">
        <f>IFERROR(__xludf.DUMMYFUNCTION("""COMPUTED_VALUE"""),"Junio")</f>
        <v>Junio</v>
      </c>
      <c r="N22" s="1">
        <f>IFERROR(__xludf.DUMMYFUNCTION("""COMPUTED_VALUE"""),12.0)</f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IFERROR(__xludf.DUMMYFUNCTION("""COMPUTED_VALUE"""),5.0)</f>
        <v>5</v>
      </c>
      <c r="F23" s="54">
        <f>IFERROR(__xludf.DUMMYFUNCTION("""COMPUTED_VALUE"""),2.0)</f>
        <v>2</v>
      </c>
      <c r="G23" s="55"/>
      <c r="H23" s="56">
        <f>IFERROR(__xludf.DUMMYFUNCTION("""COMPUTED_VALUE"""),7.0)</f>
        <v>7</v>
      </c>
      <c r="I23" s="57">
        <f>IFERROR(__xludf.DUMMYFUNCTION("""COMPUTED_VALUE"""),2.0)</f>
        <v>2</v>
      </c>
      <c r="J23" s="58">
        <f>IFERROR(__xludf.DUMMYFUNCTION("""COMPUTED_VALUE"""),7.0)</f>
        <v>7</v>
      </c>
      <c r="K23" s="51"/>
      <c r="L23" s="60">
        <f>IFERROR(__xludf.DUMMYFUNCTION("""COMPUTED_VALUE"""),7.0)</f>
        <v>7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IFERROR(__xludf.DUMMYFUNCTION("""COMPUTED_VALUE"""),8.0)</f>
        <v>8</v>
      </c>
      <c r="F24" s="54">
        <f>IFERROR(__xludf.DUMMYFUNCTION("""COMPUTED_VALUE"""),1.0)</f>
        <v>1</v>
      </c>
      <c r="G24" s="55">
        <f>IFERROR(__xludf.DUMMYFUNCTION("""COMPUTED_VALUE"""),1.0)</f>
        <v>1</v>
      </c>
      <c r="H24" s="56">
        <f>IFERROR(__xludf.DUMMYFUNCTION("""COMPUTED_VALUE"""),10.0)</f>
        <v>10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IFERROR(__xludf.DUMMYFUNCTION("""COMPUTED_VALUE"""),60.0)</f>
        <v>60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IFERROR(__xludf.DUMMYFUNCTION("""COMPUTED_VALUE"""),6.0)</f>
        <v>6</v>
      </c>
      <c r="F25" s="54">
        <f>IFERROR(__xludf.DUMMYFUNCTION("""COMPUTED_VALUE"""),1.0)</f>
        <v>1</v>
      </c>
      <c r="G25" s="55">
        <f>IFERROR(__xludf.DUMMYFUNCTION("""COMPUTED_VALUE"""),1.0)</f>
        <v>1</v>
      </c>
      <c r="H25" s="56">
        <f>IFERROR(__xludf.DUMMYFUNCTION("""COMPUTED_VALUE"""),8.0)</f>
        <v>8</v>
      </c>
      <c r="I25" s="57">
        <f>IFERROR(__xludf.DUMMYFUNCTION("""COMPUTED_VALUE"""),2.0)</f>
        <v>2</v>
      </c>
      <c r="J25" s="58">
        <f>IFERROR(__xludf.DUMMYFUNCTION("""COMPUTED_VALUE"""),8.0)</f>
        <v>8</v>
      </c>
      <c r="K25" s="51"/>
      <c r="L25" s="60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IFERROR(__xludf.DUMMYFUNCTION("""COMPUTED_VALUE"""),7.0)</f>
        <v>7</v>
      </c>
      <c r="F26" s="54">
        <f>IFERROR(__xludf.DUMMYFUNCTION("""COMPUTED_VALUE"""),2.0)</f>
        <v>2</v>
      </c>
      <c r="G26" s="55"/>
      <c r="H26" s="56">
        <f>IFERROR(__xludf.DUMMYFUNCTION("""COMPUTED_VALUE"""),9.0)</f>
        <v>9</v>
      </c>
      <c r="I26" s="57">
        <f>IFERROR(__xludf.DUMMYFUNCTION("""COMPUTED_VALUE"""),4.0)</f>
        <v>4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IFERROR(__xludf.DUMMYFUNCTION("""COMPUTED_VALUE"""),6.0)</f>
        <v>6</v>
      </c>
      <c r="F27" s="54">
        <f>IFERROR(__xludf.DUMMYFUNCTION("""COMPUTED_VALUE"""),1.0)</f>
        <v>1</v>
      </c>
      <c r="G27" s="55"/>
      <c r="H27" s="56">
        <f>IFERROR(__xludf.DUMMYFUNCTION("""COMPUTED_VALUE"""),7.0)</f>
        <v>7</v>
      </c>
      <c r="I27" s="57">
        <f>IFERROR(__xludf.DUMMYFUNCTION("""COMPUTED_VALUE"""),0.0)</f>
        <v>0</v>
      </c>
      <c r="J27" s="58">
        <f>IFERROR(__xludf.DUMMYFUNCTION("""COMPUTED_VALUE"""),7.0)</f>
        <v>7</v>
      </c>
      <c r="K27" s="51"/>
      <c r="L27" s="60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IFERROR(__xludf.DUMMYFUNCTION("""COMPUTED_VALUE"""),8.0)</f>
        <v>8</v>
      </c>
      <c r="F28" s="54">
        <f>IFERROR(__xludf.DUMMYFUNCTION("""COMPUTED_VALUE"""),1.0)</f>
        <v>1</v>
      </c>
      <c r="G28" s="55">
        <f>IFERROR(__xludf.DUMMYFUNCTION("""COMPUTED_VALUE"""),1.0)</f>
        <v>1</v>
      </c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IFERROR(__xludf.DUMMYFUNCTION("""COMPUTED_VALUE"""),7.0)</f>
        <v>7</v>
      </c>
      <c r="F29" s="54">
        <f>IFERROR(__xludf.DUMMYFUNCTION("""COMPUTED_VALUE"""),2.0)</f>
        <v>2</v>
      </c>
      <c r="G29" s="55"/>
      <c r="H29" s="56">
        <f>IFERROR(__xludf.DUMMYFUNCTION("""COMPUTED_VALUE"""),9.0)</f>
        <v>9</v>
      </c>
      <c r="I29" s="57">
        <f>IFERROR(__xludf.DUMMYFUNCTION("""COMPUTED_VALUE"""),0.0)</f>
        <v>0</v>
      </c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IFERROR(__xludf.DUMMYFUNCTION("""COMPUTED_VALUE"""),5.0)</f>
        <v>5</v>
      </c>
      <c r="F30" s="54">
        <f>IFERROR(__xludf.DUMMYFUNCTION("""COMPUTED_VALUE"""),2.0)</f>
        <v>2</v>
      </c>
      <c r="G30" s="55"/>
      <c r="H30" s="56">
        <f>IFERROR(__xludf.DUMMYFUNCTION("""COMPUTED_VALUE"""),7.0)</f>
        <v>7</v>
      </c>
      <c r="I30" s="57">
        <f>IFERROR(__xludf.DUMMYFUNCTION("""COMPUTED_VALUE"""),4.0)</f>
        <v>4</v>
      </c>
      <c r="J30" s="58">
        <f>IFERROR(__xludf.DUMMYFUNCTION("""COMPUTED_VALUE"""),7.0)</f>
        <v>7</v>
      </c>
      <c r="K30" s="51"/>
      <c r="L30" s="60">
        <f>IFERROR(__xludf.DUMMYFUNCTION("""COMPUTED_VALUE"""),7.0)</f>
        <v>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IFERROR(__xludf.DUMMYFUNCTION("""COMPUTED_VALUE"""),1.0)</f>
        <v>1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IFERROR(__xludf.DUMMYFUNCTION("""COMPUTED_VALUE"""),7.0)</f>
        <v>7</v>
      </c>
      <c r="F33" s="54">
        <f>IFERROR(__xludf.DUMMYFUNCTION("""COMPUTED_VALUE"""),2.0)</f>
        <v>2</v>
      </c>
      <c r="G33" s="55"/>
      <c r="H33" s="56">
        <f>IFERROR(__xludf.DUMMYFUNCTION("""COMPUTED_VALUE"""),9.0)</f>
        <v>9</v>
      </c>
      <c r="I33" s="57">
        <f>IFERROR(__xludf.DUMMYFUNCTION("""COMPUTED_VALUE"""),0.0)</f>
        <v>0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/>
      <c r="H34" s="56">
        <f>IFERROR(__xludf.DUMMYFUNCTION("""COMPUTED_VALUE"""),10.0)</f>
        <v>10</v>
      </c>
      <c r="I34" s="57">
        <f>IFERROR(__xludf.DUMMYFUNCTION("""COMPUTED_VALUE"""),0.0)</f>
        <v>0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IFERROR(__xludf.DUMMYFUNCTION("""COMPUTED_VALUE"""),7.0)</f>
        <v>7</v>
      </c>
      <c r="F35" s="54">
        <f>IFERROR(__xludf.DUMMYFUNCTION("""COMPUTED_VALUE"""),1.0)</f>
        <v>1</v>
      </c>
      <c r="G35" s="55"/>
      <c r="H35" s="56">
        <f>IFERROR(__xludf.DUMMYFUNCTION("""COMPUTED_VALUE"""),8.0)</f>
        <v>8</v>
      </c>
      <c r="I35" s="57">
        <f>IFERROR(__xludf.DUMMYFUNCTION("""COMPUTED_VALUE"""),0.0)</f>
        <v>0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IFERROR(__xludf.DUMMYFUNCTION("""COMPUTED_VALUE"""),5.0)</f>
        <v>5</v>
      </c>
      <c r="F36" s="54">
        <f>IFERROR(__xludf.DUMMYFUNCTION("""COMPUTED_VALUE"""),1.0)</f>
        <v>1</v>
      </c>
      <c r="G36" s="55"/>
      <c r="H36" s="56">
        <f>IFERROR(__xludf.DUMMYFUNCTION("""COMPUTED_VALUE"""),6.0)</f>
        <v>6</v>
      </c>
      <c r="I36" s="57">
        <f>IFERROR(__xludf.DUMMYFUNCTION("""COMPUTED_VALUE"""),0.0)</f>
        <v>0</v>
      </c>
      <c r="J36" s="58">
        <f>IFERROR(__xludf.DUMMYFUNCTION("""COMPUTED_VALUE"""),6.0)</f>
        <v>6</v>
      </c>
      <c r="K36" s="51"/>
      <c r="L36" s="60">
        <f>IFERROR(__xludf.DUMMYFUNCTION("""COMPUTED_VALUE"""),6.0)</f>
        <v>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IFERROR(__xludf.DUMMYFUNCTION("""COMPUTED_VALUE"""),6.0)</f>
        <v>6</v>
      </c>
      <c r="F37" s="54">
        <f>IFERROR(__xludf.DUMMYFUNCTION("""COMPUTED_VALUE"""),2.0)</f>
        <v>2</v>
      </c>
      <c r="G37" s="55"/>
      <c r="H37" s="56">
        <f>IFERROR(__xludf.DUMMYFUNCTION("""COMPUTED_VALUE"""),8.0)</f>
        <v>8</v>
      </c>
      <c r="I37" s="57">
        <f>IFERROR(__xludf.DUMMYFUNCTION("""COMPUTED_VALUE"""),0.0)</f>
        <v>0</v>
      </c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IFERROR(__xludf.DUMMYFUNCTION("""COMPUTED_VALUE"""),6.0)</f>
        <v>6</v>
      </c>
      <c r="F38" s="54">
        <f>IFERROR(__xludf.DUMMYFUNCTION("""COMPUTED_VALUE"""),2.0)</f>
        <v>2</v>
      </c>
      <c r="G38" s="55"/>
      <c r="H38" s="56">
        <f>IFERROR(__xludf.DUMMYFUNCTION("""COMPUTED_VALUE"""),8.0)</f>
        <v>8</v>
      </c>
      <c r="I38" s="57">
        <f>IFERROR(__xludf.DUMMYFUNCTION("""COMPUTED_VALUE"""),0.0)</f>
        <v>0</v>
      </c>
      <c r="J38" s="58">
        <f>IFERROR(__xludf.DUMMYFUNCTION("""COMPUTED_VALUE"""),8.0)</f>
        <v>8</v>
      </c>
      <c r="K38" s="51"/>
      <c r="L38" s="60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IFERROR(__xludf.DUMMYFUNCTION("""COMPUTED_VALUE"""),8.0)</f>
        <v>8</v>
      </c>
      <c r="F39" s="54">
        <f>IFERROR(__xludf.DUMMYFUNCTION("""COMPUTED_VALUE"""),1.0)</f>
        <v>1</v>
      </c>
      <c r="G39" s="55">
        <f>IFERROR(__xludf.DUMMYFUNCTION("""COMPUTED_VALUE"""),1.0)</f>
        <v>1</v>
      </c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IFERROR(__xludf.DUMMYFUNCTION("""COMPUTED_VALUE"""),1.0)</f>
        <v>1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IFERROR(__xludf.DUMMYFUNCTION("""COMPUTED_VALUE"""),7.0)</f>
        <v>7</v>
      </c>
      <c r="F43" s="54">
        <f>IFERROR(__xludf.DUMMYFUNCTION("""COMPUTED_VALUE"""),1.0)</f>
        <v>1</v>
      </c>
      <c r="G43" s="55">
        <f>IFERROR(__xludf.DUMMYFUNCTION("""COMPUTED_VALUE"""),1.0)</f>
        <v>1</v>
      </c>
      <c r="H43" s="56">
        <f>IFERROR(__xludf.DUMMYFUNCTION("""COMPUTED_VALUE"""),9.0)</f>
        <v>9</v>
      </c>
      <c r="I43" s="57">
        <f>IFERROR(__xludf.DUMMYFUNCTION("""COMPUTED_VALUE"""),2.0)</f>
        <v>2</v>
      </c>
      <c r="J43" s="58">
        <f>IFERROR(__xludf.DUMMYFUNCTION("""COMPUTED_VALUE"""),9.0)</f>
        <v>9</v>
      </c>
      <c r="K43" s="51"/>
      <c r="L43" s="60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IFERROR(__xludf.DUMMYFUNCTION("""COMPUTED_VALUE"""),5.0)</f>
        <v>5</v>
      </c>
      <c r="F44" s="54">
        <f>IFERROR(__xludf.DUMMYFUNCTION("""COMPUTED_VALUE"""),1.0)</f>
        <v>1</v>
      </c>
      <c r="G44" s="55"/>
      <c r="H44" s="56">
        <f>IFERROR(__xludf.DUMMYFUNCTION("""COMPUTED_VALUE"""),6.0)</f>
        <v>6</v>
      </c>
      <c r="I44" s="57">
        <f>IFERROR(__xludf.DUMMYFUNCTION("""COMPUTED_VALUE"""),1.0)</f>
        <v>1</v>
      </c>
      <c r="J44" s="58">
        <f>IFERROR(__xludf.DUMMYFUNCTION("""COMPUTED_VALUE"""),6.0)</f>
        <v>6</v>
      </c>
      <c r="K44" s="51"/>
      <c r="L44" s="60">
        <f>IFERROR(__xludf.DUMMYFUNCTION("""COMPUTED_VALUE"""),6.0)</f>
        <v>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IFERROR(__xludf.DUMMYFUNCTION("""COMPUTED_VALUE"""),5.0)</f>
        <v>5</v>
      </c>
      <c r="F45" s="54">
        <f>IFERROR(__xludf.DUMMYFUNCTION("""COMPUTED_VALUE"""),2.0)</f>
        <v>2</v>
      </c>
      <c r="G45" s="55"/>
      <c r="H45" s="56">
        <f>IFERROR(__xludf.DUMMYFUNCTION("""COMPUTED_VALUE"""),7.0)</f>
        <v>7</v>
      </c>
      <c r="I45" s="57">
        <f>IFERROR(__xludf.DUMMYFUNCTION("""COMPUTED_VALUE"""),0.0)</f>
        <v>0</v>
      </c>
      <c r="J45" s="58">
        <f>IFERROR(__xludf.DUMMYFUNCTION("""COMPUTED_VALUE"""),7.0)</f>
        <v>7</v>
      </c>
      <c r="K45" s="51"/>
      <c r="L45" s="60">
        <f>IFERROR(__xludf.DUMMYFUNCTION("""COMPUTED_VALUE"""),7.0)</f>
        <v>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IFERROR(__xludf.DUMMYFUNCTION("""COMPUTED_VALUE"""),5.0)</f>
        <v>5</v>
      </c>
      <c r="F46" s="54">
        <f>IFERROR(__xludf.DUMMYFUNCTION("""COMPUTED_VALUE"""),2.0)</f>
        <v>2</v>
      </c>
      <c r="G46" s="55"/>
      <c r="H46" s="56">
        <f>IFERROR(__xludf.DUMMYFUNCTION("""COMPUTED_VALUE"""),7.0)</f>
        <v>7</v>
      </c>
      <c r="I46" s="57">
        <f>IFERROR(__xludf.DUMMYFUNCTION("""COMPUTED_VALUE"""),1.0)</f>
        <v>1</v>
      </c>
      <c r="J46" s="58">
        <f>IFERROR(__xludf.DUMMYFUNCTION("""COMPUTED_VALUE"""),7.0)</f>
        <v>7</v>
      </c>
      <c r="K46" s="51"/>
      <c r="L46" s="60">
        <f>IFERROR(__xludf.DUMMYFUNCTION("""COMPUTED_VALUE"""),7.0)</f>
        <v>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IFERROR(__xludf.DUMMYFUNCTION("""COMPUTED_VALUE"""),7.0)</f>
        <v>7</v>
      </c>
      <c r="F47" s="54">
        <f>IFERROR(__xludf.DUMMYFUNCTION("""COMPUTED_VALUE"""),1.0)</f>
        <v>1</v>
      </c>
      <c r="G47" s="55"/>
      <c r="H47" s="56">
        <f>IFERROR(__xludf.DUMMYFUNCTION("""COMPUTED_VALUE"""),8.0)</f>
        <v>8</v>
      </c>
      <c r="I47" s="57">
        <f>IFERROR(__xludf.DUMMYFUNCTION("""COMPUTED_VALUE"""),1.0)</f>
        <v>1</v>
      </c>
      <c r="J47" s="58">
        <f>IFERROR(__xludf.DUMMYFUNCTION("""COMPUTED_VALUE"""),8.0)</f>
        <v>8</v>
      </c>
      <c r="K47" s="51"/>
      <c r="L47" s="60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IFERROR(__xludf.DUMMYFUNCTION("""COMPUTED_VALUE"""),7.0)</f>
        <v>7</v>
      </c>
      <c r="F48" s="54">
        <f>IFERROR(__xludf.DUMMYFUNCTION("""COMPUTED_VALUE"""),1.0)</f>
        <v>1</v>
      </c>
      <c r="G48" s="55"/>
      <c r="H48" s="56">
        <f>IFERROR(__xludf.DUMMYFUNCTION("""COMPUTED_VALUE"""),8.0)</f>
        <v>8</v>
      </c>
      <c r="I48" s="57">
        <f>IFERROR(__xludf.DUMMYFUNCTION("""COMPUTED_VALUE"""),1.0)</f>
        <v>1</v>
      </c>
      <c r="J48" s="58">
        <f>IFERROR(__xludf.DUMMYFUNCTION("""COMPUTED_VALUE"""),8.0)</f>
        <v>8</v>
      </c>
      <c r="K48" s="51"/>
      <c r="L48" s="60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IFERROR(__xludf.DUMMYFUNCTION("""COMPUTED_VALUE"""),5.0)</f>
        <v>5</v>
      </c>
      <c r="F49" s="54">
        <f>IFERROR(__xludf.DUMMYFUNCTION("""COMPUTED_VALUE"""),2.0)</f>
        <v>2</v>
      </c>
      <c r="G49" s="55"/>
      <c r="H49" s="56">
        <f>IFERROR(__xludf.DUMMYFUNCTION("""COMPUTED_VALUE"""),7.0)</f>
        <v>7</v>
      </c>
      <c r="I49" s="57">
        <f>IFERROR(__xludf.DUMMYFUNCTION("""COMPUTED_VALUE"""),0.0)</f>
        <v>0</v>
      </c>
      <c r="J49" s="58">
        <f>IFERROR(__xludf.DUMMYFUNCTION("""COMPUTED_VALUE"""),7.0)</f>
        <v>7</v>
      </c>
      <c r="K49" s="51"/>
      <c r="L49" s="60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IFERROR(__xludf.DUMMYFUNCTION("""COMPUTED_VALUE"""),5.0)</f>
        <v>5</v>
      </c>
      <c r="F50" s="54">
        <f>IFERROR(__xludf.DUMMYFUNCTION("""COMPUTED_VALUE"""),2.0)</f>
        <v>2</v>
      </c>
      <c r="G50" s="55"/>
      <c r="H50" s="56">
        <f>IFERROR(__xludf.DUMMYFUNCTION("""COMPUTED_VALUE"""),7.0)</f>
        <v>7</v>
      </c>
      <c r="I50" s="57">
        <f>IFERROR(__xludf.DUMMYFUNCTION("""COMPUTED_VALUE"""),3.0)</f>
        <v>3</v>
      </c>
      <c r="J50" s="58">
        <f>IFERROR(__xludf.DUMMYFUNCTION("""COMPUTED_VALUE"""),7.0)</f>
        <v>7</v>
      </c>
      <c r="K50" s="51"/>
      <c r="L50" s="60">
        <f>IFERROR(__xludf.DUMMYFUNCTION("""COMPUTED_VALUE"""),7.0)</f>
        <v>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IFERROR(__xludf.DUMMYFUNCTION("""COMPUTED_VALUE"""),8.0)</f>
        <v>8</v>
      </c>
      <c r="F51" s="54">
        <f>IFERROR(__xludf.DUMMYFUNCTION("""COMPUTED_VALUE"""),1.0)</f>
        <v>1</v>
      </c>
      <c r="G51" s="55">
        <f>IFERROR(__xludf.DUMMYFUNCTION("""COMPUTED_VALUE"""),1.0)</f>
        <v>1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IFERROR(__xludf.DUMMYFUNCTION("""COMPUTED_VALUE"""),5.0)</f>
        <v>5</v>
      </c>
      <c r="F52" s="54">
        <f>IFERROR(__xludf.DUMMYFUNCTION("""COMPUTED_VALUE"""),2.0)</f>
        <v>2</v>
      </c>
      <c r="G52" s="55"/>
      <c r="H52" s="56">
        <f>IFERROR(__xludf.DUMMYFUNCTION("""COMPUTED_VALUE"""),7.0)</f>
        <v>7</v>
      </c>
      <c r="I52" s="57">
        <f>IFERROR(__xludf.DUMMYFUNCTION("""COMPUTED_VALUE"""),1.0)</f>
        <v>1</v>
      </c>
      <c r="J52" s="58">
        <f>IFERROR(__xludf.DUMMYFUNCTION("""COMPUTED_VALUE"""),7.0)</f>
        <v>7</v>
      </c>
      <c r="K52" s="51"/>
      <c r="L52" s="59">
        <f>IFERROR(__xludf.DUMMYFUNCTION("""COMPUTED_VALUE"""),7.0)</f>
        <v>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IFERROR(__xludf.DUMMYFUNCTION("""COMPUTED_VALUE"""),7.0)</f>
        <v>7</v>
      </c>
      <c r="F54" s="54">
        <f>IFERROR(__xludf.DUMMYFUNCTION("""COMPUTED_VALUE"""),2.0)</f>
        <v>2</v>
      </c>
      <c r="G54" s="55"/>
      <c r="H54" s="56">
        <f>IFERROR(__xludf.DUMMYFUNCTION("""COMPUTED_VALUE"""),9.0)</f>
        <v>9</v>
      </c>
      <c r="I54" s="57">
        <f>IFERROR(__xludf.DUMMYFUNCTION("""COMPUTED_VALUE"""),0.0)</f>
        <v>0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IFERROR(__xludf.DUMMYFUNCTION("""COMPUTED_VALUE"""),7.0)</f>
        <v>7</v>
      </c>
      <c r="F55" s="54">
        <f>IFERROR(__xludf.DUMMYFUNCTION("""COMPUTED_VALUE"""),1.0)</f>
        <v>1</v>
      </c>
      <c r="G55" s="55"/>
      <c r="H55" s="56">
        <f>IFERROR(__xludf.DUMMYFUNCTION("""COMPUTED_VALUE"""),8.0)</f>
        <v>8</v>
      </c>
      <c r="I55" s="61">
        <f>IFERROR(__xludf.DUMMYFUNCTION("""COMPUTED_VALUE"""),0.0)</f>
        <v>0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IFERROR(__xludf.DUMMYFUNCTION("""COMPUTED_VALUE"""),6.0)</f>
        <v>6</v>
      </c>
      <c r="F56" s="54">
        <f>IFERROR(__xludf.DUMMYFUNCTION("""COMPUTED_VALUE"""),1.0)</f>
        <v>1</v>
      </c>
      <c r="G56" s="55">
        <f>IFERROR(__xludf.DUMMYFUNCTION("""COMPUTED_VALUE"""),1.0)</f>
        <v>1</v>
      </c>
      <c r="H56" s="56">
        <f>IFERROR(__xludf.DUMMYFUNCTION("""COMPUTED_VALUE"""),8.0)</f>
        <v>8</v>
      </c>
      <c r="I56" s="61">
        <f>IFERROR(__xludf.DUMMYFUNCTION("""COMPUTED_VALUE"""),1.0)</f>
        <v>1</v>
      </c>
      <c r="J56" s="58">
        <f>IFERROR(__xludf.DUMMYFUNCTION("""COMPUTED_VALUE"""),8.0)</f>
        <v>8</v>
      </c>
      <c r="K56" s="51"/>
      <c r="L56" s="59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IFERROR(__xludf.DUMMYFUNCTION("""COMPUTED_VALUE"""),7.0)</f>
        <v>7</v>
      </c>
      <c r="F57" s="54">
        <f>IFERROR(__xludf.DUMMYFUNCTION("""COMPUTED_VALUE"""),1.0)</f>
        <v>1</v>
      </c>
      <c r="G57" s="55"/>
      <c r="H57" s="56">
        <f>IFERROR(__xludf.DUMMYFUNCTION("""COMPUTED_VALUE"""),8.0)</f>
        <v>8</v>
      </c>
      <c r="I57" s="61">
        <f>IFERROR(__xludf.DUMMYFUNCTION("""COMPUTED_VALUE"""),0.0)</f>
        <v>0</v>
      </c>
      <c r="J57" s="58">
        <f>IFERROR(__xludf.DUMMYFUNCTION("""COMPUTED_VALUE"""),8.0)</f>
        <v>8</v>
      </c>
      <c r="K57" s="51"/>
      <c r="L57" s="59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IFERROR(__xludf.DUMMYFUNCTION("""COMPUTED_VALUE"""),7.0)</f>
        <v>7</v>
      </c>
      <c r="F58" s="54">
        <f>IFERROR(__xludf.DUMMYFUNCTION("""COMPUTED_VALUE"""),2.0)</f>
        <v>2</v>
      </c>
      <c r="G58" s="55"/>
      <c r="H58" s="56">
        <f>IFERROR(__xludf.DUMMYFUNCTION("""COMPUTED_VALUE"""),9.0)</f>
        <v>9</v>
      </c>
      <c r="I58" s="61">
        <f>IFERROR(__xludf.DUMMYFUNCTION("""COMPUTED_VALUE"""),0.0)</f>
        <v>0</v>
      </c>
      <c r="J58" s="58">
        <f>IFERROR(__xludf.DUMMYFUNCTION("""COMPUTED_VALUE"""),9.0)</f>
        <v>9</v>
      </c>
      <c r="K58" s="51"/>
      <c r="L58" s="59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IFERROR(__xludf.DUMMYFUNCTION("""COMPUTED_VALUE"""),5.0)</f>
        <v>5</v>
      </c>
      <c r="F59" s="54">
        <f>IFERROR(__xludf.DUMMYFUNCTION("""COMPUTED_VALUE"""),2.0)</f>
        <v>2</v>
      </c>
      <c r="G59" s="55"/>
      <c r="H59" s="56">
        <f>IFERROR(__xludf.DUMMYFUNCTION("""COMPUTED_VALUE"""),7.0)</f>
        <v>7</v>
      </c>
      <c r="I59" s="61">
        <f>IFERROR(__xludf.DUMMYFUNCTION("""COMPUTED_VALUE"""),2.0)</f>
        <v>2</v>
      </c>
      <c r="J59" s="58">
        <f>IFERROR(__xludf.DUMMYFUNCTION("""COMPUTED_VALUE"""),7.0)</f>
        <v>7</v>
      </c>
      <c r="K59" s="51"/>
      <c r="L59" s="59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IFERROR(__xludf.DUMMYFUNCTION("""COMPUTED_VALUE"""),8.0)</f>
        <v>8</v>
      </c>
      <c r="F61" s="54">
        <f>IFERROR(__xludf.DUMMYFUNCTION("""COMPUTED_VALUE"""),1.0)</f>
        <v>1</v>
      </c>
      <c r="G61" s="55">
        <f>IFERROR(__xludf.DUMMYFUNCTION("""COMPUTED_VALUE"""),1.0)</f>
        <v>1</v>
      </c>
      <c r="H61" s="56">
        <f>IFERROR(__xludf.DUMMYFUNCTION("""COMPUTED_VALUE"""),10.0)</f>
        <v>10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IFERROR(__xludf.DUMMYFUNCTION("""COMPUTED_VALUE"""),45.0)</f>
        <v>45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IFERROR(__xludf.DUMMYFUNCTION("""COMPUTED_VALUE"""),0.0)</f>
        <v>0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IFERROR(__xludf.DUMMYFUNCTION("""COMPUTED_VALUE"""),100.0)</f>
        <v>100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IFERROR(__xludf.DUMMYFUNCTION("""COMPUTED_VALUE"""),8.533333333333333)</f>
        <v>8.533333333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IFERROR(__xludf.DUMMYFUNCTION("IMPORTRANGE(""https://docs.google.com/spreadsheets/d/1FzXi7RyoYG1GfH6ZQa4ZJAwut3yfUjsE2trjXNRxIhI/edit?gid=35613427#gid=35613427"",""3-3 organismos!A1:Q85"")"),"")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IFERROR(__xludf.DUMMYFUNCTION("""COMPUTED_VALUE"""),"JORGE ISRAEL BARRERA ARGUELLES ")</f>
        <v>JORGE ISRAEL BARRERA ARGUELLES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IFERROR(__xludf.DUMMYFUNCTION("""COMPUTED_VALUE"""),"ORGANISMOS")</f>
        <v>ORGANISMOS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>
        <f>IFERROR(__xludf.DUMMYFUNCTION("""COMPUTED_VALUE"""),0.0)</f>
        <v>0</v>
      </c>
      <c r="H17" s="56">
        <f>IFERROR(__xludf.DUMMYFUNCTION("""COMPUTED_VALUE"""),10.0)</f>
        <v>10</v>
      </c>
      <c r="I17" s="57">
        <f>IFERROR(__xludf.DUMMYFUNCTION("""COMPUTED_VALUE"""),1.0)</f>
        <v>1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IFERROR(__xludf.DUMMYFUNCTION("""COMPUTED_VALUE"""),11.0)</f>
        <v>11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IFERROR(__xludf.DUMMYFUNCTION("""COMPUTED_VALUE"""),11.0)</f>
        <v>11</v>
      </c>
      <c r="M18" s="1" t="str">
        <f>IFERROR(__xludf.DUMMYFUNCTION("""COMPUTED_VALUE"""),"Febrero")</f>
        <v>Febrero</v>
      </c>
      <c r="N18" s="1">
        <f>IFERROR(__xludf.DUMMYFUNCTION("""COMPUTED_VALUE"""),16.0)</f>
        <v>16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IFERROR(__xludf.DUMMYFUNCTION("""COMPUTED_VALUE"""),7.0)</f>
        <v>7</v>
      </c>
      <c r="F19" s="54">
        <f>IFERROR(__xludf.DUMMYFUNCTION("""COMPUTED_VALUE"""),2.0)</f>
        <v>2</v>
      </c>
      <c r="G19" s="55">
        <f>IFERROR(__xludf.DUMMYFUNCTION("""COMPUTED_VALUE"""),0.0)</f>
        <v>0</v>
      </c>
      <c r="H19" s="56">
        <f>IFERROR(__xludf.DUMMYFUNCTION("""COMPUTED_VALUE"""),9.0)</f>
        <v>9</v>
      </c>
      <c r="I19" s="57">
        <f>IFERROR(__xludf.DUMMYFUNCTION("""COMPUTED_VALUE"""),0.0)</f>
        <v>0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>
        <f>IFERROR(__xludf.DUMMYFUNCTION("""COMPUTED_VALUE"""),0.0)</f>
        <v>0</v>
      </c>
      <c r="H20" s="56">
        <f>IFERROR(__xludf.DUMMYFUNCTION("""COMPUTED_VALUE"""),10.0)</f>
        <v>10</v>
      </c>
      <c r="I20" s="57">
        <f>IFERROR(__xludf.DUMMYFUNCTION("""COMPUTED_VALUE"""),2.0)</f>
        <v>2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IFERROR(__xludf.DUMMYFUNCTION("""COMPUTED_VALUE"""),7.6)</f>
        <v>7.6</v>
      </c>
      <c r="F21" s="54">
        <f>IFERROR(__xludf.DUMMYFUNCTION("""COMPUTED_VALUE"""),2.0)</f>
        <v>2</v>
      </c>
      <c r="G21" s="55">
        <f>IFERROR(__xludf.DUMMYFUNCTION("""COMPUTED_VALUE"""),0.0)</f>
        <v>0</v>
      </c>
      <c r="H21" s="56">
        <f>IFERROR(__xludf.DUMMYFUNCTION("""COMPUTED_VALUE"""),9.6)</f>
        <v>9.6</v>
      </c>
      <c r="I21" s="57">
        <f>IFERROR(__xludf.DUMMYFUNCTION("""COMPUTED_VALUE"""),2.0)</f>
        <v>2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IFERROR(__xludf.DUMMYFUNCTION("""COMPUTED_VALUE"""),8.0)</f>
        <v>8</v>
      </c>
      <c r="F22" s="54">
        <f>IFERROR(__xludf.DUMMYFUNCTION("""COMPUTED_VALUE"""),1.6)</f>
        <v>1.6</v>
      </c>
      <c r="G22" s="55">
        <f>IFERROR(__xludf.DUMMYFUNCTION("""COMPUTED_VALUE"""),0.0)</f>
        <v>0</v>
      </c>
      <c r="H22" s="56">
        <f>IFERROR(__xludf.DUMMYFUNCTION("""COMPUTED_VALUE"""),9.6)</f>
        <v>9.6</v>
      </c>
      <c r="I22" s="57">
        <f>IFERROR(__xludf.DUMMYFUNCTION("""COMPUTED_VALUE"""),3.0)</f>
        <v>3</v>
      </c>
      <c r="J22" s="58">
        <f>IFERROR(__xludf.DUMMYFUNCTION("""COMPUTED_VALUE"""),10.0)</f>
        <v>10</v>
      </c>
      <c r="K22" s="51"/>
      <c r="L22" s="60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IFERROR(__xludf.DUMMYFUNCTION("""COMPUTED_VALUE"""),6.0)</f>
        <v>6</v>
      </c>
      <c r="F23" s="54">
        <f>IFERROR(__xludf.DUMMYFUNCTION("""COMPUTED_VALUE"""),2.0)</f>
        <v>2</v>
      </c>
      <c r="G23" s="55">
        <f>IFERROR(__xludf.DUMMYFUNCTION("""COMPUTED_VALUE"""),0.0)</f>
        <v>0</v>
      </c>
      <c r="H23" s="56">
        <f>IFERROR(__xludf.DUMMYFUNCTION("""COMPUTED_VALUE"""),8.0)</f>
        <v>8</v>
      </c>
      <c r="I23" s="57">
        <f>IFERROR(__xludf.DUMMYFUNCTION("""COMPUTED_VALUE"""),3.0)</f>
        <v>3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IFERROR(__xludf.DUMMYFUNCTION("""COMPUTED_VALUE"""),8.0)</f>
        <v>8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IFERROR(__xludf.DUMMYFUNCTION("""COMPUTED_VALUE"""),11.0)</f>
        <v>11</v>
      </c>
      <c r="I24" s="57">
        <f>IFERROR(__xludf.DUMMYFUNCTION("""COMPUTED_VALUE"""),1.0)</f>
        <v>1</v>
      </c>
      <c r="J24" s="58">
        <f>IFERROR(__xludf.DUMMYFUNCTION("""COMPUTED_VALUE"""),10.0)</f>
        <v>10</v>
      </c>
      <c r="K24" s="51"/>
      <c r="L24" s="60">
        <f>IFERROR(__xludf.DUMMYFUNCTION("""COMPUTED_VALUE"""),11.0)</f>
        <v>11</v>
      </c>
      <c r="M24" s="1" t="str">
        <f>IFERROR(__xludf.DUMMYFUNCTION("""COMPUTED_VALUE"""),"TOTAL")</f>
        <v>TOTAL</v>
      </c>
      <c r="N24" s="1">
        <f>IFERROR(__xludf.DUMMYFUNCTION("""COMPUTED_VALUE"""),32.0)</f>
        <v>32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IFERROR(__xludf.DUMMYFUNCTION("""COMPUTED_VALUE"""),11.0)</f>
        <v>11</v>
      </c>
      <c r="I25" s="57">
        <f>IFERROR(__xludf.DUMMYFUNCTION("""COMPUTED_VALUE"""),1.0)</f>
        <v>1</v>
      </c>
      <c r="J25" s="58">
        <f>IFERROR(__xludf.DUMMYFUNCTION("""COMPUTED_VALUE"""),10.0)</f>
        <v>10</v>
      </c>
      <c r="K25" s="51"/>
      <c r="L25" s="60">
        <f>IFERROR(__xludf.DUMMYFUNCTION("""COMPUTED_VALUE"""),11.0)</f>
        <v>11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>
        <f>IFERROR(__xludf.DUMMYFUNCTION("""COMPUTED_VALUE"""),0.0)</f>
        <v>0</v>
      </c>
      <c r="H26" s="56">
        <f>IFERROR(__xludf.DUMMYFUNCTION("""COMPUTED_VALUE"""),10.0)</f>
        <v>10</v>
      </c>
      <c r="I26" s="57">
        <f>IFERROR(__xludf.DUMMYFUNCTION("""COMPUTED_VALUE"""),2.0)</f>
        <v>2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IFERROR(__xludf.DUMMYFUNCTION("""COMPUTED_VALUE"""),10.0)</f>
        <v>10</v>
      </c>
      <c r="I27" s="57">
        <f>IFERROR(__xludf.DUMMYFUNCTION("""COMPUTED_VALUE"""),1.0)</f>
        <v>1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IFERROR(__xludf.DUMMYFUNCTION("""COMPUTED_VALUE"""),11.0)</f>
        <v>11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IFERROR(__xludf.DUMMYFUNCTION("""COMPUTED_VALUE"""),11.0)</f>
        <v>11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>
        <f>IFERROR(__xludf.DUMMYFUNCTION("""COMPUTED_VALUE"""),0.0)</f>
        <v>0</v>
      </c>
      <c r="H29" s="56">
        <f>IFERROR(__xludf.DUMMYFUNCTION("""COMPUTED_VALUE"""),10.0)</f>
        <v>10</v>
      </c>
      <c r="I29" s="57">
        <f>IFERROR(__xludf.DUMMYFUNCTION("""COMPUTED_VALUE"""),1.0)</f>
        <v>1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IFERROR(__xludf.DUMMYFUNCTION("""COMPUTED_VALUE"""),6.0)</f>
        <v>6</v>
      </c>
      <c r="F30" s="54">
        <f>IFERROR(__xludf.DUMMYFUNCTION("""COMPUTED_VALUE"""),0.0)</f>
        <v>0</v>
      </c>
      <c r="G30" s="55">
        <f>IFERROR(__xludf.DUMMYFUNCTION("""COMPUTED_VALUE"""),0.0)</f>
        <v>0</v>
      </c>
      <c r="H30" s="56">
        <f>IFERROR(__xludf.DUMMYFUNCTION("""COMPUTED_VALUE"""),6.0)</f>
        <v>6</v>
      </c>
      <c r="I30" s="57">
        <f>IFERROR(__xludf.DUMMYFUNCTION("""COMPUTED_VALUE"""),4.0)</f>
        <v>4</v>
      </c>
      <c r="J30" s="58">
        <f>IFERROR(__xludf.DUMMYFUNCTION("""COMPUTED_VALUE"""),6.0)</f>
        <v>6</v>
      </c>
      <c r="K30" s="51"/>
      <c r="L30" s="60">
        <f>IFERROR(__xludf.DUMMYFUNCTION("""COMPUTED_VALUE"""),6.0)</f>
        <v>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>
        <f>IFERROR(__xludf.DUMMYFUNCTION("""COMPUTED_VALUE"""),0.0)</f>
        <v>0</v>
      </c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IFERROR(__xludf.DUMMYFUNCTION("""COMPUTED_VALUE"""),8.0)</f>
        <v>8</v>
      </c>
      <c r="F33" s="54">
        <f>IFERROR(__xludf.DUMMYFUNCTION("""COMPUTED_VALUE"""),2.0)</f>
        <v>2</v>
      </c>
      <c r="G33" s="55">
        <f>IFERROR(__xludf.DUMMYFUNCTION("""COMPUTED_VALUE"""),0.0)</f>
        <v>0</v>
      </c>
      <c r="H33" s="56">
        <f>IFERROR(__xludf.DUMMYFUNCTION("""COMPUTED_VALUE"""),10.0)</f>
        <v>10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>
        <f>IFERROR(__xludf.DUMMYFUNCTION("""COMPUTED_VALUE"""),0.0)</f>
        <v>0</v>
      </c>
      <c r="H34" s="56">
        <f>IFERROR(__xludf.DUMMYFUNCTION("""COMPUTED_VALUE"""),10.0)</f>
        <v>10</v>
      </c>
      <c r="I34" s="57">
        <f>IFERROR(__xludf.DUMMYFUNCTION("""COMPUTED_VALUE"""),1.0)</f>
        <v>1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IFERROR(__xludf.DUMMYFUNCTION("""COMPUTED_VALUE"""),6.0)</f>
        <v>6</v>
      </c>
      <c r="F35" s="54">
        <f>IFERROR(__xludf.DUMMYFUNCTION("""COMPUTED_VALUE"""),0.0)</f>
        <v>0</v>
      </c>
      <c r="G35" s="55">
        <f>IFERROR(__xludf.DUMMYFUNCTION("""COMPUTED_VALUE"""),0.0)</f>
        <v>0</v>
      </c>
      <c r="H35" s="56">
        <f>IFERROR(__xludf.DUMMYFUNCTION("""COMPUTED_VALUE"""),6.0)</f>
        <v>6</v>
      </c>
      <c r="I35" s="57">
        <f>IFERROR(__xludf.DUMMYFUNCTION("""COMPUTED_VALUE"""),2.0)</f>
        <v>2</v>
      </c>
      <c r="J35" s="58">
        <f>IFERROR(__xludf.DUMMYFUNCTION("""COMPUTED_VALUE"""),6.0)</f>
        <v>6</v>
      </c>
      <c r="K35" s="51"/>
      <c r="L35" s="60">
        <f>IFERROR(__xludf.DUMMYFUNCTION("""COMPUTED_VALUE"""),6.0)</f>
        <v>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IFERROR(__xludf.DUMMYFUNCTION("""COMPUTED_VALUE"""),8.0)</f>
        <v>8</v>
      </c>
      <c r="F36" s="54">
        <f>IFERROR(__xludf.DUMMYFUNCTION("""COMPUTED_VALUE"""),0.0)</f>
        <v>0</v>
      </c>
      <c r="G36" s="55">
        <f>IFERROR(__xludf.DUMMYFUNCTION("""COMPUTED_VALUE"""),0.0)</f>
        <v>0</v>
      </c>
      <c r="H36" s="56">
        <f>IFERROR(__xludf.DUMMYFUNCTION("""COMPUTED_VALUE"""),8.0)</f>
        <v>8</v>
      </c>
      <c r="I36" s="57">
        <f>IFERROR(__xludf.DUMMYFUNCTION("""COMPUTED_VALUE"""),1.0)</f>
        <v>1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IFERROR(__xludf.DUMMYFUNCTION("""COMPUTED_VALUE"""),4.0)</f>
        <v>4</v>
      </c>
      <c r="F37" s="54">
        <f>IFERROR(__xludf.DUMMYFUNCTION("""COMPUTED_VALUE"""),2.0)</f>
        <v>2</v>
      </c>
      <c r="G37" s="55">
        <f>IFERROR(__xludf.DUMMYFUNCTION("""COMPUTED_VALUE"""),0.0)</f>
        <v>0</v>
      </c>
      <c r="H37" s="56">
        <f>IFERROR(__xludf.DUMMYFUNCTION("""COMPUTED_VALUE"""),6.0)</f>
        <v>6</v>
      </c>
      <c r="I37" s="57">
        <f>IFERROR(__xludf.DUMMYFUNCTION("""COMPUTED_VALUE"""),2.0)</f>
        <v>2</v>
      </c>
      <c r="J37" s="58">
        <f>IFERROR(__xludf.DUMMYFUNCTION("""COMPUTED_VALUE"""),6.0)</f>
        <v>6</v>
      </c>
      <c r="K37" s="51"/>
      <c r="L37" s="60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>
        <f>IFERROR(__xludf.DUMMYFUNCTION("""COMPUTED_VALUE"""),0.0)</f>
        <v>0</v>
      </c>
      <c r="H38" s="56">
        <f>IFERROR(__xludf.DUMMYFUNCTION("""COMPUTED_VALUE"""),10.0)</f>
        <v>10</v>
      </c>
      <c r="I38" s="57">
        <f>IFERROR(__xludf.DUMMYFUNCTION("""COMPUTED_VALUE"""),1.0)</f>
        <v>1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>
        <f>IFERROR(__xludf.DUMMYFUNCTION("""COMPUTED_VALUE"""),1.0)</f>
        <v>1</v>
      </c>
      <c r="H39" s="56">
        <f>IFERROR(__xludf.DUMMYFUNCTION("""COMPUTED_VALUE"""),11.0)</f>
        <v>11</v>
      </c>
      <c r="I39" s="57">
        <f>IFERROR(__xludf.DUMMYFUNCTION("""COMPUTED_VALUE"""),2.0)</f>
        <v>2</v>
      </c>
      <c r="J39" s="58">
        <f>IFERROR(__xludf.DUMMYFUNCTION("""COMPUTED_VALUE"""),10.0)</f>
        <v>10</v>
      </c>
      <c r="K39" s="51"/>
      <c r="L39" s="60">
        <f>IFERROR(__xludf.DUMMYFUNCTION("""COMPUTED_VALUE"""),11.0)</f>
        <v>11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IFERROR(__xludf.DUMMYFUNCTION("""COMPUTED_VALUE"""),10.0)</f>
        <v>10</v>
      </c>
      <c r="I40" s="57">
        <f>IFERROR(__xludf.DUMMYFUNCTION("""COMPUTED_VALUE"""),3.0)</f>
        <v>3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>
        <f>IFERROR(__xludf.DUMMYFUNCTION("""COMPUTED_VALUE"""),0.0)</f>
        <v>0</v>
      </c>
      <c r="H41" s="56">
        <f>IFERROR(__xludf.DUMMYFUNCTION("""COMPUTED_VALUE"""),10.0)</f>
        <v>10</v>
      </c>
      <c r="I41" s="57">
        <f>IFERROR(__xludf.DUMMYFUNCTION("""COMPUTED_VALUE"""),1.0)</f>
        <v>1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>
        <f>IFERROR(__xludf.DUMMYFUNCTION("""COMPUTED_VALUE"""),0.0)</f>
        <v>0</v>
      </c>
      <c r="H42" s="56">
        <f>IFERROR(__xludf.DUMMYFUNCTION("""COMPUTED_VALUE"""),10.0)</f>
        <v>10</v>
      </c>
      <c r="I42" s="57">
        <f>IFERROR(__xludf.DUMMYFUNCTION("""COMPUTED_VALUE"""),2.0)</f>
        <v>2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>
        <f>IFERROR(__xludf.DUMMYFUNCTION("""COMPUTED_VALUE"""),1.0)</f>
        <v>1</v>
      </c>
      <c r="H43" s="56">
        <f>IFERROR(__xludf.DUMMYFUNCTION("""COMPUTED_VALUE"""),11.0)</f>
        <v>11</v>
      </c>
      <c r="I43" s="57">
        <f>IFERROR(__xludf.DUMMYFUNCTION("""COMPUTED_VALUE"""),1.0)</f>
        <v>1</v>
      </c>
      <c r="J43" s="58">
        <f>IFERROR(__xludf.DUMMYFUNCTION("""COMPUTED_VALUE"""),10.0)</f>
        <v>10</v>
      </c>
      <c r="K43" s="51"/>
      <c r="L43" s="60">
        <f>IFERROR(__xludf.DUMMYFUNCTION("""COMPUTED_VALUE"""),11.0)</f>
        <v>11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IFERROR(__xludf.DUMMYFUNCTION("""COMPUTED_VALUE"""),8.0)</f>
        <v>8</v>
      </c>
      <c r="F44" s="54">
        <f>IFERROR(__xludf.DUMMYFUNCTION("""COMPUTED_VALUE"""),0.0)</f>
        <v>0</v>
      </c>
      <c r="G44" s="55">
        <f>IFERROR(__xludf.DUMMYFUNCTION("""COMPUTED_VALUE"""),0.0)</f>
        <v>0</v>
      </c>
      <c r="H44" s="56">
        <f>IFERROR(__xludf.DUMMYFUNCTION("""COMPUTED_VALUE"""),8.0)</f>
        <v>8</v>
      </c>
      <c r="I44" s="57">
        <f>IFERROR(__xludf.DUMMYFUNCTION("""COMPUTED_VALUE"""),4.0)</f>
        <v>4</v>
      </c>
      <c r="J44" s="58">
        <f>IFERROR(__xludf.DUMMYFUNCTION("""COMPUTED_VALUE"""),8.0)</f>
        <v>8</v>
      </c>
      <c r="K44" s="51"/>
      <c r="L44" s="60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>
        <f>IFERROR(__xludf.DUMMYFUNCTION("""COMPUTED_VALUE"""),0.0)</f>
        <v>0</v>
      </c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IFERROR(__xludf.DUMMYFUNCTION("""COMPUTED_VALUE"""),6.0)</f>
        <v>6</v>
      </c>
      <c r="F46" s="54">
        <f>IFERROR(__xludf.DUMMYFUNCTION("""COMPUTED_VALUE"""),0.0)</f>
        <v>0</v>
      </c>
      <c r="G46" s="55">
        <f>IFERROR(__xludf.DUMMYFUNCTION("""COMPUTED_VALUE"""),0.0)</f>
        <v>0</v>
      </c>
      <c r="H46" s="56">
        <f>IFERROR(__xludf.DUMMYFUNCTION("""COMPUTED_VALUE"""),6.0)</f>
        <v>6</v>
      </c>
      <c r="I46" s="57">
        <f>IFERROR(__xludf.DUMMYFUNCTION("""COMPUTED_VALUE"""),5.0)</f>
        <v>5</v>
      </c>
      <c r="J46" s="58">
        <f>IFERROR(__xludf.DUMMYFUNCTION("""COMPUTED_VALUE"""),6.0)</f>
        <v>6</v>
      </c>
      <c r="K46" s="51"/>
      <c r="L46" s="60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IFERROR(__xludf.DUMMYFUNCTION("""COMPUTED_VALUE"""),8.0)</f>
        <v>8</v>
      </c>
      <c r="F47" s="54">
        <f>IFERROR(__xludf.DUMMYFUNCTION("""COMPUTED_VALUE"""),2.0)</f>
        <v>2</v>
      </c>
      <c r="G47" s="55">
        <f>IFERROR(__xludf.DUMMYFUNCTION("""COMPUTED_VALUE"""),0.0)</f>
        <v>0</v>
      </c>
      <c r="H47" s="56">
        <f>IFERROR(__xludf.DUMMYFUNCTION("""COMPUTED_VALUE"""),10.0)</f>
        <v>10</v>
      </c>
      <c r="I47" s="57">
        <f>IFERROR(__xludf.DUMMYFUNCTION("""COMPUTED_VALUE"""),1.0)</f>
        <v>1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>
        <f>IFERROR(__xludf.DUMMYFUNCTION("""COMPUTED_VALUE"""),0.0)</f>
        <v>0</v>
      </c>
      <c r="H48" s="56">
        <f>IFERROR(__xludf.DUMMYFUNCTION("""COMPUTED_VALUE"""),10.0)</f>
        <v>10</v>
      </c>
      <c r="I48" s="57">
        <f>IFERROR(__xludf.DUMMYFUNCTION("""COMPUTED_VALUE"""),1.0)</f>
        <v>1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>
        <f>IFERROR(__xludf.DUMMYFUNCTION("""COMPUTED_VALUE"""),0.0)</f>
        <v>0</v>
      </c>
      <c r="H49" s="56">
        <f>IFERROR(__xludf.DUMMYFUNCTION("""COMPUTED_VALUE"""),10.0)</f>
        <v>10</v>
      </c>
      <c r="I49" s="57">
        <f>IFERROR(__xludf.DUMMYFUNCTION("""COMPUTED_VALUE"""),1.0)</f>
        <v>1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IFERROR(__xludf.DUMMYFUNCTION("""COMPUTED_VALUE"""),7.6)</f>
        <v>7.6</v>
      </c>
      <c r="F50" s="54">
        <f>IFERROR(__xludf.DUMMYFUNCTION("""COMPUTED_VALUE"""),2.0)</f>
        <v>2</v>
      </c>
      <c r="G50" s="55">
        <f>IFERROR(__xludf.DUMMYFUNCTION("""COMPUTED_VALUE"""),0.0)</f>
        <v>0</v>
      </c>
      <c r="H50" s="56">
        <f>IFERROR(__xludf.DUMMYFUNCTION("""COMPUTED_VALUE"""),9.6)</f>
        <v>9.6</v>
      </c>
      <c r="I50" s="57">
        <f>IFERROR(__xludf.DUMMYFUNCTION("""COMPUTED_VALUE"""),1.0)</f>
        <v>1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IFERROR(__xludf.DUMMYFUNCTION("""COMPUTED_VALUE"""),7.6)</f>
        <v>7.6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IFERROR(__xludf.DUMMYFUNCTION("""COMPUTED_VALUE"""),10.6)</f>
        <v>10.6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IFERROR(__xludf.DUMMYFUNCTION("""COMPUTED_VALUE"""),11.0)</f>
        <v>11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IFERROR(__xludf.DUMMYFUNCTION("""COMPUTED_VALUE"""),6.0)</f>
        <v>6</v>
      </c>
      <c r="F52" s="54">
        <f>IFERROR(__xludf.DUMMYFUNCTION("""COMPUTED_VALUE"""),2.0)</f>
        <v>2</v>
      </c>
      <c r="G52" s="55">
        <f>IFERROR(__xludf.DUMMYFUNCTION("""COMPUTED_VALUE"""),0.0)</f>
        <v>0</v>
      </c>
      <c r="H52" s="56">
        <f>IFERROR(__xludf.DUMMYFUNCTION("""COMPUTED_VALUE"""),8.0)</f>
        <v>8</v>
      </c>
      <c r="I52" s="57">
        <f>IFERROR(__xludf.DUMMYFUNCTION("""COMPUTED_VALUE"""),4.0)</f>
        <v>4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>
        <f>IFERROR(__xludf.DUMMYFUNCTION("""COMPUTED_VALUE"""),0.0)</f>
        <v>0</v>
      </c>
      <c r="H53" s="56">
        <f>IFERROR(__xludf.DUMMYFUNCTION("""COMPUTED_VALUE"""),10.0)</f>
        <v>10</v>
      </c>
      <c r="I53" s="57">
        <f>IFERROR(__xludf.DUMMYFUNCTION("""COMPUTED_VALUE"""),1.0)</f>
        <v>1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IFERROR(__xludf.DUMMYFUNCTION("""COMPUTED_VALUE"""),8.0)</f>
        <v>8</v>
      </c>
      <c r="F54" s="54">
        <f>IFERROR(__xludf.DUMMYFUNCTION("""COMPUTED_VALUE"""),2.0)</f>
        <v>2</v>
      </c>
      <c r="G54" s="55">
        <f>IFERROR(__xludf.DUMMYFUNCTION("""COMPUTED_VALUE"""),0.0)</f>
        <v>0</v>
      </c>
      <c r="H54" s="56">
        <f>IFERROR(__xludf.DUMMYFUNCTION("""COMPUTED_VALUE"""),10.0)</f>
        <v>10</v>
      </c>
      <c r="I54" s="57">
        <f>IFERROR(__xludf.DUMMYFUNCTION("""COMPUTED_VALUE"""),1.0)</f>
        <v>1</v>
      </c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IFERROR(__xludf.DUMMYFUNCTION("""COMPUTED_VALUE"""),8.0)</f>
        <v>8</v>
      </c>
      <c r="F55" s="54">
        <f>IFERROR(__xludf.DUMMYFUNCTION("""COMPUTED_VALUE"""),2.0)</f>
        <v>2</v>
      </c>
      <c r="G55" s="55">
        <f>IFERROR(__xludf.DUMMYFUNCTION("""COMPUTED_VALUE"""),0.0)</f>
        <v>0</v>
      </c>
      <c r="H55" s="56">
        <f>IFERROR(__xludf.DUMMYFUNCTION("""COMPUTED_VALUE"""),10.0)</f>
        <v>10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IFERROR(__xludf.DUMMYFUNCTION("""COMPUTED_VALUE"""),11.0)</f>
        <v>11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IFERROR(__xludf.DUMMYFUNCTION("""COMPUTED_VALUE"""),8.0)</f>
        <v>8</v>
      </c>
      <c r="F57" s="54">
        <f>IFERROR(__xludf.DUMMYFUNCTION("""COMPUTED_VALUE"""),2.0)</f>
        <v>2</v>
      </c>
      <c r="G57" s="55">
        <f>IFERROR(__xludf.DUMMYFUNCTION("""COMPUTED_VALUE"""),0.0)</f>
        <v>0</v>
      </c>
      <c r="H57" s="56">
        <f>IFERROR(__xludf.DUMMYFUNCTION("""COMPUTED_VALUE"""),10.0)</f>
        <v>10</v>
      </c>
      <c r="I57" s="61">
        <f>IFERROR(__xludf.DUMMYFUNCTION("""COMPUTED_VALUE"""),2.0)</f>
        <v>2</v>
      </c>
      <c r="J57" s="58">
        <f>IFERROR(__xludf.DUMMYFUNCTION("""COMPUTED_VALUE"""),10.0)</f>
        <v>10</v>
      </c>
      <c r="K57" s="51"/>
      <c r="L57" s="59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IFERROR(__xludf.DUMMYFUNCTION("""COMPUTED_VALUE"""),8.0)</f>
        <v>8</v>
      </c>
      <c r="F58" s="54">
        <f>IFERROR(__xludf.DUMMYFUNCTION("""COMPUTED_VALUE"""),2.0)</f>
        <v>2</v>
      </c>
      <c r="G58" s="55">
        <f>IFERROR(__xludf.DUMMYFUNCTION("""COMPUTED_VALUE"""),0.0)</f>
        <v>0</v>
      </c>
      <c r="H58" s="56">
        <f>IFERROR(__xludf.DUMMYFUNCTION("""COMPUTED_VALUE"""),10.0)</f>
        <v>10</v>
      </c>
      <c r="I58" s="54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IFERROR(__xludf.DUMMYFUNCTION("""COMPUTED_VALUE"""),6.0)</f>
        <v>6</v>
      </c>
      <c r="F59" s="54">
        <f>IFERROR(__xludf.DUMMYFUNCTION("""COMPUTED_VALUE"""),1.6)</f>
        <v>1.6</v>
      </c>
      <c r="G59" s="55">
        <f>IFERROR(__xludf.DUMMYFUNCTION("""COMPUTED_VALUE"""),0.0)</f>
        <v>0</v>
      </c>
      <c r="H59" s="56">
        <f>IFERROR(__xludf.DUMMYFUNCTION("""COMPUTED_VALUE"""),7.6)</f>
        <v>7.6</v>
      </c>
      <c r="I59" s="54">
        <f>IFERROR(__xludf.DUMMYFUNCTION("""COMPUTED_VALUE"""),7.0)</f>
        <v>7</v>
      </c>
      <c r="J59" s="58">
        <f>IFERROR(__xludf.DUMMYFUNCTION("""COMPUTED_VALUE"""),8.0)</f>
        <v>8</v>
      </c>
      <c r="K59" s="51"/>
      <c r="L59" s="59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>
        <f>IFERROR(__xludf.DUMMYFUNCTION("""COMPUTED_VALUE"""),0.0)</f>
        <v>0</v>
      </c>
      <c r="H60" s="56">
        <f>IFERROR(__xludf.DUMMYFUNCTION("""COMPUTED_VALUE"""),10.0)</f>
        <v>10</v>
      </c>
      <c r="I60" s="61">
        <f>IFERROR(__xludf.DUMMYFUNCTION("""COMPUTED_VALUE"""),1.0)</f>
        <v>1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IFERROR(__xludf.DUMMYFUNCTION("""COMPUTED_VALUE"""),8.0)</f>
        <v>8</v>
      </c>
      <c r="F61" s="54">
        <f>IFERROR(__xludf.DUMMYFUNCTION("""COMPUTED_VALUE"""),2.0)</f>
        <v>2</v>
      </c>
      <c r="G61" s="55">
        <f>IFERROR(__xludf.DUMMYFUNCTION("""COMPUTED_VALUE"""),1.0)</f>
        <v>1</v>
      </c>
      <c r="H61" s="56">
        <f>IFERROR(__xludf.DUMMYFUNCTION("""COMPUTED_VALUE"""),11.0)</f>
        <v>11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IFERROR(__xludf.DUMMYFUNCTION("""COMPUTED_VALUE"""),11.0)</f>
        <v>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IFERROR(__xludf.DUMMYFUNCTION("""COMPUTED_VALUE"""),45.0)</f>
        <v>45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IFERROR(__xludf.DUMMYFUNCTION("""COMPUTED_VALUE"""),0.0)</f>
        <v>0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IFERROR(__xludf.DUMMYFUNCTION("""COMPUTED_VALUE"""),100.0)</f>
        <v>100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IFERROR(__xludf.DUMMYFUNCTION("""COMPUTED_VALUE"""),9.4)</f>
        <v>9.4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IFERROR(__xludf.DUMMYFUNCTION("IMPORTRANGE(""https://docs.google.com/spreadsheets/d/1dfd1cx1erILPMHbE5AVYb1ULzyUXSbPBzy_olmDN2Lo/edit?gid=2133214819#gid=2133214819"",""3-3 temas selectos de filosofia 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IFERROR(__xludf.DUMMYFUNCTION("""COMPUTED_VALUE"""),"NOHEMI BLANCA MATA SOLIS")</f>
        <v>NOHEMI BLANCA MATA SOLIS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FILOSOFÍA ")</f>
        <v>TEMAS SELECTOS DE FILOSOFÍA 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IFERROR(__xludf.DUMMYFUNCTION("""COMPUTED_VALUE"""),6.0)</f>
        <v>6</v>
      </c>
      <c r="F19" s="54">
        <f>IFERROR(__xludf.DUMMYFUNCTION("""COMPUTED_VALUE"""),2.0)</f>
        <v>2</v>
      </c>
      <c r="G19" s="55"/>
      <c r="H19" s="56">
        <f>IFERROR(__xludf.DUMMYFUNCTION("""COMPUTED_VALUE"""),8.0)</f>
        <v>8</v>
      </c>
      <c r="I19" s="57">
        <f>IFERROR(__xludf.DUMMYFUNCTION("""COMPUTED_VALUE"""),0.0)</f>
        <v>0</v>
      </c>
      <c r="J19" s="58">
        <f>IFERROR(__xludf.DUMMYFUNCTION("""COMPUTED_VALUE"""),8.0)</f>
        <v>8</v>
      </c>
      <c r="K19" s="51"/>
      <c r="L19" s="60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IFERROR(__xludf.DUMMYFUNCTION("""COMPUTED_VALUE"""),9.0)</f>
        <v>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IFERROR(__xludf.DUMMYFUNCTION("""COMPUTED_VALUE"""),8.0)</f>
        <v>8</v>
      </c>
      <c r="F22" s="54">
        <f>IFERROR(__xludf.DUMMYFUNCTION("""COMPUTED_VALUE"""),2.0)</f>
        <v>2</v>
      </c>
      <c r="G22" s="55"/>
      <c r="H22" s="56">
        <f>IFERROR(__xludf.DUMMYFUNCTION("""COMPUTED_VALUE"""),10.0)</f>
        <v>10</v>
      </c>
      <c r="I22" s="57">
        <f>IFERROR(__xludf.DUMMYFUNCTION("""COMPUTED_VALUE"""),0.0)</f>
        <v>0</v>
      </c>
      <c r="J22" s="58">
        <f>IFERROR(__xludf.DUMMYFUNCTION("""COMPUTED_VALUE"""),10.0)</f>
        <v>10</v>
      </c>
      <c r="K22" s="51"/>
      <c r="L22" s="60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IFERROR(__xludf.DUMMYFUNCTION("""COMPUTED_VALUE"""),5.0)</f>
        <v>5</v>
      </c>
      <c r="F23" s="54">
        <f>IFERROR(__xludf.DUMMYFUNCTION("""COMPUTED_VALUE"""),2.0)</f>
        <v>2</v>
      </c>
      <c r="G23" s="55"/>
      <c r="H23" s="56">
        <f>IFERROR(__xludf.DUMMYFUNCTION("""COMPUTED_VALUE"""),7.0)</f>
        <v>7</v>
      </c>
      <c r="I23" s="57">
        <f>IFERROR(__xludf.DUMMYFUNCTION("""COMPUTED_VALUE"""),1.0)</f>
        <v>1</v>
      </c>
      <c r="J23" s="58">
        <f>IFERROR(__xludf.DUMMYFUNCTION("""COMPUTED_VALUE"""),7.0)</f>
        <v>7</v>
      </c>
      <c r="K23" s="51"/>
      <c r="L23" s="60">
        <f>IFERROR(__xludf.DUMMYFUNCTION("""COMPUTED_VALUE"""),7.0)</f>
        <v>7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IFERROR(__xludf.DUMMYFUNCTION("""COMPUTED_VALUE"""),7.0)</f>
        <v>7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IFERROR(__xludf.DUMMYFUNCTION("""COMPUTED_VALUE"""),10.0)</f>
        <v>10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IFERROR(__xludf.DUMMYFUNCTION("""COMPUTED_VALUE"""),18.0)</f>
        <v>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IFERROR(__xludf.DUMMYFUNCTION("""COMPUTED_VALUE"""),7.0)</f>
        <v>7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/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/>
      <c r="H27" s="56">
        <f>IFERROR(__xludf.DUMMYFUNCTION("""COMPUTED_VALUE"""),10.0)</f>
        <v>10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/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IFERROR(__xludf.DUMMYFUNCTION("""COMPUTED_VALUE"""),7.0)</f>
        <v>7</v>
      </c>
      <c r="F30" s="54">
        <f>IFERROR(__xludf.DUMMYFUNCTION("""COMPUTED_VALUE"""),2.0)</f>
        <v>2</v>
      </c>
      <c r="G30" s="55"/>
      <c r="H30" s="56">
        <f>IFERROR(__xludf.DUMMYFUNCTION("""COMPUTED_VALUE"""),9.0)</f>
        <v>9</v>
      </c>
      <c r="I30" s="57">
        <f>IFERROR(__xludf.DUMMYFUNCTION("""COMPUTED_VALUE"""),1.0)</f>
        <v>1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IFERROR(__xludf.DUMMYFUNCTION("""COMPUTED_VALUE"""),7.0)</f>
        <v>7</v>
      </c>
      <c r="F33" s="54">
        <f>IFERROR(__xludf.DUMMYFUNCTION("""COMPUTED_VALUE"""),2.0)</f>
        <v>2</v>
      </c>
      <c r="G33" s="55"/>
      <c r="H33" s="56">
        <f>IFERROR(__xludf.DUMMYFUNCTION("""COMPUTED_VALUE"""),9.0)</f>
        <v>9</v>
      </c>
      <c r="I33" s="57">
        <f>IFERROR(__xludf.DUMMYFUNCTION("""COMPUTED_VALUE"""),0.0)</f>
        <v>0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/>
      <c r="H34" s="56">
        <f>IFERROR(__xludf.DUMMYFUNCTION("""COMPUTED_VALUE"""),10.0)</f>
        <v>10</v>
      </c>
      <c r="I34" s="57">
        <f>IFERROR(__xludf.DUMMYFUNCTION("""COMPUTED_VALUE"""),1.0)</f>
        <v>1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IFERROR(__xludf.DUMMYFUNCTION("""COMPUTED_VALUE"""),5.0)</f>
        <v>5</v>
      </c>
      <c r="F35" s="54">
        <f>IFERROR(__xludf.DUMMYFUNCTION("""COMPUTED_VALUE"""),2.0)</f>
        <v>2</v>
      </c>
      <c r="G35" s="55"/>
      <c r="H35" s="56">
        <f>IFERROR(__xludf.DUMMYFUNCTION("""COMPUTED_VALUE"""),7.0)</f>
        <v>7</v>
      </c>
      <c r="I35" s="57">
        <f>IFERROR(__xludf.DUMMYFUNCTION("""COMPUTED_VALUE"""),0.0)</f>
        <v>0</v>
      </c>
      <c r="J35" s="58">
        <f>IFERROR(__xludf.DUMMYFUNCTION("""COMPUTED_VALUE"""),7.0)</f>
        <v>7</v>
      </c>
      <c r="K35" s="51"/>
      <c r="L35" s="60">
        <f>IFERROR(__xludf.DUMMYFUNCTION("""COMPUTED_VALUE"""),7.0)</f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IFERROR(__xludf.DUMMYFUNCTION("""COMPUTED_VALUE"""),6.0)</f>
        <v>6</v>
      </c>
      <c r="F36" s="54">
        <f>IFERROR(__xludf.DUMMYFUNCTION("""COMPUTED_VALUE"""),2.0)</f>
        <v>2</v>
      </c>
      <c r="G36" s="55"/>
      <c r="H36" s="56">
        <f>IFERROR(__xludf.DUMMYFUNCTION("""COMPUTED_VALUE"""),8.0)</f>
        <v>8</v>
      </c>
      <c r="I36" s="57">
        <f>IFERROR(__xludf.DUMMYFUNCTION("""COMPUTED_VALUE"""),0.0)</f>
        <v>0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IFERROR(__xludf.DUMMYFUNCTION("""COMPUTED_VALUE"""),6.0)</f>
        <v>6</v>
      </c>
      <c r="F37" s="54">
        <f>IFERROR(__xludf.DUMMYFUNCTION("""COMPUTED_VALUE"""),0.0)</f>
        <v>0</v>
      </c>
      <c r="G37" s="55"/>
      <c r="H37" s="56">
        <f>IFERROR(__xludf.DUMMYFUNCTION("""COMPUTED_VALUE"""),6.0)</f>
        <v>6</v>
      </c>
      <c r="I37" s="57">
        <f>IFERROR(__xludf.DUMMYFUNCTION("""COMPUTED_VALUE"""),1.0)</f>
        <v>1</v>
      </c>
      <c r="J37" s="58">
        <f>IFERROR(__xludf.DUMMYFUNCTION("""COMPUTED_VALUE"""),6.0)</f>
        <v>6</v>
      </c>
      <c r="K37" s="51"/>
      <c r="L37" s="60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IFERROR(__xludf.DUMMYFUNCTION("""COMPUTED_VALUE"""),5.0)</f>
        <v>5</v>
      </c>
      <c r="F38" s="54">
        <f>IFERROR(__xludf.DUMMYFUNCTION("""COMPUTED_VALUE"""),2.0)</f>
        <v>2</v>
      </c>
      <c r="G38" s="55"/>
      <c r="H38" s="56">
        <f>IFERROR(__xludf.DUMMYFUNCTION("""COMPUTED_VALUE"""),7.0)</f>
        <v>7</v>
      </c>
      <c r="I38" s="57">
        <f>IFERROR(__xludf.DUMMYFUNCTION("""COMPUTED_VALUE"""),1.0)</f>
        <v>1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IFERROR(__xludf.DUMMYFUNCTION("""COMPUTED_VALUE"""),7.0)</f>
        <v>7</v>
      </c>
      <c r="F39" s="54">
        <f>IFERROR(__xludf.DUMMYFUNCTION("""COMPUTED_VALUE"""),2.0)</f>
        <v>2</v>
      </c>
      <c r="G39" s="55">
        <f>IFERROR(__xludf.DUMMYFUNCTION("""COMPUTED_VALUE"""),1.0)</f>
        <v>1</v>
      </c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IFERROR(__xludf.DUMMYFUNCTION("""COMPUTED_VALUE"""),7.0)</f>
        <v>7</v>
      </c>
      <c r="F43" s="54">
        <f>IFERROR(__xludf.DUMMYFUNCTION("""COMPUTED_VALUE"""),2.0)</f>
        <v>2</v>
      </c>
      <c r="G43" s="55">
        <f>IFERROR(__xludf.DUMMYFUNCTION("""COMPUTED_VALUE"""),1.0)</f>
        <v>1</v>
      </c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IFERROR(__xludf.DUMMYFUNCTION("""COMPUTED_VALUE"""),6.0)</f>
        <v>6</v>
      </c>
      <c r="F44" s="54">
        <f>IFERROR(__xludf.DUMMYFUNCTION("""COMPUTED_VALUE"""),0.0)</f>
        <v>0</v>
      </c>
      <c r="G44" s="55"/>
      <c r="H44" s="56">
        <f>IFERROR(__xludf.DUMMYFUNCTION("""COMPUTED_VALUE"""),6.0)</f>
        <v>6</v>
      </c>
      <c r="I44" s="57">
        <f>IFERROR(__xludf.DUMMYFUNCTION("""COMPUTED_VALUE"""),2.0)</f>
        <v>2</v>
      </c>
      <c r="J44" s="58">
        <f>IFERROR(__xludf.DUMMYFUNCTION("""COMPUTED_VALUE"""),6.0)</f>
        <v>6</v>
      </c>
      <c r="K44" s="51"/>
      <c r="L44" s="60">
        <f>IFERROR(__xludf.DUMMYFUNCTION("""COMPUTED_VALUE"""),6.0)</f>
        <v>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IFERROR(__xludf.DUMMYFUNCTION("""COMPUTED_VALUE"""),6.0)</f>
        <v>6</v>
      </c>
      <c r="F45" s="54">
        <f>IFERROR(__xludf.DUMMYFUNCTION("""COMPUTED_VALUE"""),2.0)</f>
        <v>2</v>
      </c>
      <c r="G45" s="55"/>
      <c r="H45" s="56">
        <f>IFERROR(__xludf.DUMMYFUNCTION("""COMPUTED_VALUE"""),8.0)</f>
        <v>8</v>
      </c>
      <c r="I45" s="57">
        <f>IFERROR(__xludf.DUMMYFUNCTION("""COMPUTED_VALUE"""),0.0)</f>
        <v>0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IFERROR(__xludf.DUMMYFUNCTION("""COMPUTED_VALUE"""),5.0)</f>
        <v>5</v>
      </c>
      <c r="F46" s="54">
        <f>IFERROR(__xludf.DUMMYFUNCTION("""COMPUTED_VALUE"""),2.0)</f>
        <v>2</v>
      </c>
      <c r="G46" s="55"/>
      <c r="H46" s="56">
        <f>IFERROR(__xludf.DUMMYFUNCTION("""COMPUTED_VALUE"""),7.0)</f>
        <v>7</v>
      </c>
      <c r="I46" s="57">
        <f>IFERROR(__xludf.DUMMYFUNCTION("""COMPUTED_VALUE"""),0.0)</f>
        <v>0</v>
      </c>
      <c r="J46" s="58">
        <f>IFERROR(__xludf.DUMMYFUNCTION("""COMPUTED_VALUE"""),7.0)</f>
        <v>7</v>
      </c>
      <c r="K46" s="51"/>
      <c r="L46" s="60">
        <f>IFERROR(__xludf.DUMMYFUNCTION("""COMPUTED_VALUE"""),7.0)</f>
        <v>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IFERROR(__xludf.DUMMYFUNCTION("""COMPUTED_VALUE"""),6.0)</f>
        <v>6</v>
      </c>
      <c r="F47" s="54">
        <f>IFERROR(__xludf.DUMMYFUNCTION("""COMPUTED_VALUE"""),2.0)</f>
        <v>2</v>
      </c>
      <c r="G47" s="55"/>
      <c r="H47" s="56">
        <f>IFERROR(__xludf.DUMMYFUNCTION("""COMPUTED_VALUE"""),8.0)</f>
        <v>8</v>
      </c>
      <c r="I47" s="57">
        <f>IFERROR(__xludf.DUMMYFUNCTION("""COMPUTED_VALUE"""),0.0)</f>
        <v>0</v>
      </c>
      <c r="J47" s="58">
        <f>IFERROR(__xludf.DUMMYFUNCTION("""COMPUTED_VALUE"""),8.0)</f>
        <v>8</v>
      </c>
      <c r="K47" s="51"/>
      <c r="L47" s="60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IFERROR(__xludf.DUMMYFUNCTION("""COMPUTED_VALUE"""),6.0)</f>
        <v>6</v>
      </c>
      <c r="F48" s="54">
        <f>IFERROR(__xludf.DUMMYFUNCTION("""COMPUTED_VALUE"""),2.0)</f>
        <v>2</v>
      </c>
      <c r="G48" s="55"/>
      <c r="H48" s="56">
        <f>IFERROR(__xludf.DUMMYFUNCTION("""COMPUTED_VALUE"""),8.0)</f>
        <v>8</v>
      </c>
      <c r="I48" s="57">
        <f>IFERROR(__xludf.DUMMYFUNCTION("""COMPUTED_VALUE"""),1.0)</f>
        <v>1</v>
      </c>
      <c r="J48" s="58">
        <f>IFERROR(__xludf.DUMMYFUNCTION("""COMPUTED_VALUE"""),8.0)</f>
        <v>8</v>
      </c>
      <c r="K48" s="51"/>
      <c r="L48" s="60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/>
      <c r="H49" s="56">
        <f>IFERROR(__xludf.DUMMYFUNCTION("""COMPUTED_VALUE"""),10.0)</f>
        <v>10</v>
      </c>
      <c r="I49" s="57">
        <f>IFERROR(__xludf.DUMMYFUNCTION("""COMPUTED_VALUE"""),1.0)</f>
        <v>1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IFERROR(__xludf.DUMMYFUNCTION("""COMPUTED_VALUE"""),6.0)</f>
        <v>6</v>
      </c>
      <c r="F50" s="54">
        <f>IFERROR(__xludf.DUMMYFUNCTION("""COMPUTED_VALUE"""),2.0)</f>
        <v>2</v>
      </c>
      <c r="G50" s="55"/>
      <c r="H50" s="56">
        <f>IFERROR(__xludf.DUMMYFUNCTION("""COMPUTED_VALUE"""),8.0)</f>
        <v>8</v>
      </c>
      <c r="I50" s="57">
        <f>IFERROR(__xludf.DUMMYFUNCTION("""COMPUTED_VALUE"""),0.0)</f>
        <v>0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IFERROR(__xludf.DUMMYFUNCTION("""COMPUTED_VALUE"""),7.0)</f>
        <v>7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IFERROR(__xludf.DUMMYFUNCTION("""COMPUTED_VALUE"""),7.0)</f>
        <v>7</v>
      </c>
      <c r="F52" s="54">
        <f>IFERROR(__xludf.DUMMYFUNCTION("""COMPUTED_VALUE"""),2.0)</f>
        <v>2</v>
      </c>
      <c r="G52" s="55"/>
      <c r="H52" s="56">
        <f>IFERROR(__xludf.DUMMYFUNCTION("""COMPUTED_VALUE"""),9.0)</f>
        <v>9</v>
      </c>
      <c r="I52" s="57">
        <f>IFERROR(__xludf.DUMMYFUNCTION("""COMPUTED_VALUE"""),0.0)</f>
        <v>0</v>
      </c>
      <c r="J52" s="58">
        <f>IFERROR(__xludf.DUMMYFUNCTION("""COMPUTED_VALUE"""),9.0)</f>
        <v>9</v>
      </c>
      <c r="K52" s="51"/>
      <c r="L52" s="59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/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IFERROR(__xludf.DUMMYFUNCTION("""COMPUTED_VALUE"""),6.0)</f>
        <v>6</v>
      </c>
      <c r="F55" s="54">
        <f>IFERROR(__xludf.DUMMYFUNCTION("""COMPUTED_VALUE"""),2.0)</f>
        <v>2</v>
      </c>
      <c r="G55" s="55"/>
      <c r="H55" s="56">
        <f>IFERROR(__xludf.DUMMYFUNCTION("""COMPUTED_VALUE"""),8.0)</f>
        <v>8</v>
      </c>
      <c r="I55" s="61">
        <f>IFERROR(__xludf.DUMMYFUNCTION("""COMPUTED_VALUE"""),1.0)</f>
        <v>1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IFERROR(__xludf.DUMMYFUNCTION("""COMPUTED_VALUE"""),7.0)</f>
        <v>7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IFERROR(__xludf.DUMMYFUNCTION("""COMPUTED_VALUE"""),10.0)</f>
        <v>10</v>
      </c>
      <c r="I56" s="61">
        <f>IFERROR(__xludf.DUMMYFUNCTION("""COMPUTED_VALUE"""),1.0)</f>
        <v>1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IFERROR(__xludf.DUMMYFUNCTION("""COMPUTED_VALUE"""),6.0)</f>
        <v>6</v>
      </c>
      <c r="F57" s="54">
        <f>IFERROR(__xludf.DUMMYFUNCTION("""COMPUTED_VALUE"""),0.0)</f>
        <v>0</v>
      </c>
      <c r="G57" s="55"/>
      <c r="H57" s="56">
        <f>IFERROR(__xludf.DUMMYFUNCTION("""COMPUTED_VALUE"""),6.0)</f>
        <v>6</v>
      </c>
      <c r="I57" s="61">
        <f>IFERROR(__xludf.DUMMYFUNCTION("""COMPUTED_VALUE"""),1.0)</f>
        <v>1</v>
      </c>
      <c r="J57" s="58">
        <f>IFERROR(__xludf.DUMMYFUNCTION("""COMPUTED_VALUE"""),6.0)</f>
        <v>6</v>
      </c>
      <c r="K57" s="51"/>
      <c r="L57" s="59">
        <f>IFERROR(__xludf.DUMMYFUNCTION("""COMPUTED_VALUE"""),6.0)</f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IFERROR(__xludf.DUMMYFUNCTION("""COMPUTED_VALUE"""),8.0)</f>
        <v>8</v>
      </c>
      <c r="F58" s="54">
        <f>IFERROR(__xludf.DUMMYFUNCTION("""COMPUTED_VALUE"""),2.0)</f>
        <v>2</v>
      </c>
      <c r="G58" s="55"/>
      <c r="H58" s="56">
        <f>IFERROR(__xludf.DUMMYFUNCTION("""COMPUTED_VALUE"""),10.0)</f>
        <v>10</v>
      </c>
      <c r="I58" s="54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IFERROR(__xludf.DUMMYFUNCTION("""COMPUTED_VALUE"""),6.0)</f>
        <v>6</v>
      </c>
      <c r="F59" s="54">
        <f>IFERROR(__xludf.DUMMYFUNCTION("""COMPUTED_VALUE"""),2.0)</f>
        <v>2</v>
      </c>
      <c r="G59" s="55"/>
      <c r="H59" s="56">
        <f>IFERROR(__xludf.DUMMYFUNCTION("""COMPUTED_VALUE"""),8.0)</f>
        <v>8</v>
      </c>
      <c r="I59" s="54">
        <f>IFERROR(__xludf.DUMMYFUNCTION("""COMPUTED_VALUE"""),0.0)</f>
        <v>0</v>
      </c>
      <c r="J59" s="58">
        <f>IFERROR(__xludf.DUMMYFUNCTION("""COMPUTED_VALUE"""),8.0)</f>
        <v>8</v>
      </c>
      <c r="K59" s="51"/>
      <c r="L59" s="59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IFERROR(__xludf.DUMMYFUNCTION("""COMPUTED_VALUE"""),7.0)</f>
        <v>7</v>
      </c>
      <c r="F61" s="54">
        <f>IFERROR(__xludf.DUMMYFUNCTION("""COMPUTED_VALUE"""),2.0)</f>
        <v>2</v>
      </c>
      <c r="G61" s="55">
        <f>IFERROR(__xludf.DUMMYFUNCTION("""COMPUTED_VALUE"""),1.0)</f>
        <v>1</v>
      </c>
      <c r="H61" s="56">
        <f>IFERROR(__xludf.DUMMYFUNCTION("""COMPUTED_VALUE"""),10.0)</f>
        <v>10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IFERROR(__xludf.DUMMYFUNCTION("""COMPUTED_VALUE"""),45.0)</f>
        <v>45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IFERROR(__xludf.DUMMYFUNCTION("""COMPUTED_VALUE"""),0.0)</f>
        <v>0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IFERROR(__xludf.DUMMYFUNCTION("""COMPUTED_VALUE"""),100.0)</f>
        <v>100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IFERROR(__xludf.DUMMYFUNCTION("""COMPUTED_VALUE"""),9.0)</f>
        <v>9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IFERROR(__xludf.DUMMYFUNCTION("IMPORTRANGE(""https://docs.google.com/spreadsheets/d/1fKGazNVpBpa9ayL3aPl10gt6zPqOsT3bnK5RQC4-Tp8/edit?gid=459130879#gid=459130879"",""3-3 economia 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IFERROR(__xludf.DUMMYFUNCTION("""COMPUTED_VALUE"""),"IVÁN HERNÁNDEZ PÉREZ")</f>
        <v>IVÁN HERNÁNDEZ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IFERROR(__xludf.DUMMYFUNCTION("""COMPUTED_VALUE"""),"ECONOMÍA I")</f>
        <v>ECONOMÍA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IFERROR(__xludf.DUMMYFUNCTION("""COMPUTED_VALUE"""),6.5)</f>
        <v>6.5</v>
      </c>
      <c r="F17" s="54">
        <f>IFERROR(__xludf.DUMMYFUNCTION("""COMPUTED_VALUE"""),2.0)</f>
        <v>2</v>
      </c>
      <c r="G17" s="55">
        <f>IFERROR(__xludf.DUMMYFUNCTION("""COMPUTED_VALUE"""),0.0)</f>
        <v>0</v>
      </c>
      <c r="H17" s="56">
        <f>IFERROR(__xludf.DUMMYFUNCTION("""COMPUTED_VALUE"""),8.5)</f>
        <v>8.5</v>
      </c>
      <c r="I17" s="57">
        <f>IFERROR(__xludf.DUMMYFUNCTION("""COMPUTED_VALUE"""),0.0)</f>
        <v>0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IFERROR(__xludf.DUMMYFUNCTION("""COMPUTED_VALUE"""),8.8)</f>
        <v>8.8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IFERROR(__xludf.DUMMYFUNCTION("""COMPUTED_VALUE"""),11.8)</f>
        <v>11.8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IFERROR(__xludf.DUMMYFUNCTION("""COMPUTED_VALUE"""),12.0)</f>
        <v>12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IFERROR(__xludf.DUMMYFUNCTION("""COMPUTED_VALUE"""),7.7)</f>
        <v>7.7</v>
      </c>
      <c r="F19" s="54">
        <f>IFERROR(__xludf.DUMMYFUNCTION("""COMPUTED_VALUE"""),2.0)</f>
        <v>2</v>
      </c>
      <c r="G19" s="55">
        <f>IFERROR(__xludf.DUMMYFUNCTION("""COMPUTED_VALUE"""),0.0)</f>
        <v>0</v>
      </c>
      <c r="H19" s="56">
        <f>IFERROR(__xludf.DUMMYFUNCTION("""COMPUTED_VALUE"""),9.7)</f>
        <v>9.7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IFERROR(__xludf.DUMMYFUNCTION("""COMPUTED_VALUE"""),7.7)</f>
        <v>7.7</v>
      </c>
      <c r="F20" s="54">
        <f>IFERROR(__xludf.DUMMYFUNCTION("""COMPUTED_VALUE"""),2.0)</f>
        <v>2</v>
      </c>
      <c r="G20" s="55">
        <f>IFERROR(__xludf.DUMMYFUNCTION("""COMPUTED_VALUE"""),0.0)</f>
        <v>0</v>
      </c>
      <c r="H20" s="56">
        <f>IFERROR(__xludf.DUMMYFUNCTION("""COMPUTED_VALUE"""),9.7)</f>
        <v>9.7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IFERROR(__xludf.DUMMYFUNCTION("""COMPUTED_VALUE"""),7.9)</f>
        <v>7.9</v>
      </c>
      <c r="F21" s="54">
        <f>IFERROR(__xludf.DUMMYFUNCTION("""COMPUTED_VALUE"""),2.0)</f>
        <v>2</v>
      </c>
      <c r="G21" s="55">
        <f>IFERROR(__xludf.DUMMYFUNCTION("""COMPUTED_VALUE"""),0.0)</f>
        <v>0</v>
      </c>
      <c r="H21" s="56">
        <f>IFERROR(__xludf.DUMMYFUNCTION("""COMPUTED_VALUE"""),9.9)</f>
        <v>9.9</v>
      </c>
      <c r="I21" s="57">
        <f>IFERROR(__xludf.DUMMYFUNCTION("""COMPUTED_VALUE"""),1.0)</f>
        <v>1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IFERROR(__xludf.DUMMYFUNCTION("""COMPUTED_VALUE"""),5.3)</f>
        <v>5.3</v>
      </c>
      <c r="F22" s="54">
        <f>IFERROR(__xludf.DUMMYFUNCTION("""COMPUTED_VALUE"""),0.0)</f>
        <v>0</v>
      </c>
      <c r="G22" s="55">
        <f>IFERROR(__xludf.DUMMYFUNCTION("""COMPUTED_VALUE"""),0.0)</f>
        <v>0</v>
      </c>
      <c r="H22" s="56">
        <f>IFERROR(__xludf.DUMMYFUNCTION("""COMPUTED_VALUE"""),5.3)</f>
        <v>5.3</v>
      </c>
      <c r="I22" s="57">
        <f>IFERROR(__xludf.DUMMYFUNCTION("""COMPUTED_VALUE"""),0.0)</f>
        <v>0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IFERROR(__xludf.DUMMYFUNCTION("""COMPUTED_VALUE"""),"Junio")</f>
        <v>Junio</v>
      </c>
      <c r="N22" s="1">
        <f>IFERROR(__xludf.DUMMYFUNCTION("""COMPUTED_VALUE"""),12.0)</f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IFERROR(__xludf.DUMMYFUNCTION("""COMPUTED_VALUE"""),5.5)</f>
        <v>5.5</v>
      </c>
      <c r="F23" s="54">
        <f>IFERROR(__xludf.DUMMYFUNCTION("""COMPUTED_VALUE"""),0.0)</f>
        <v>0</v>
      </c>
      <c r="G23" s="55">
        <f>IFERROR(__xludf.DUMMYFUNCTION("""COMPUTED_VALUE"""),0.0)</f>
        <v>0</v>
      </c>
      <c r="H23" s="56">
        <f>IFERROR(__xludf.DUMMYFUNCTION("""COMPUTED_VALUE"""),5.5)</f>
        <v>5.5</v>
      </c>
      <c r="I23" s="57">
        <f>IFERROR(__xludf.DUMMYFUNCTION("""COMPUTED_VALUE"""),1.0)</f>
        <v>1</v>
      </c>
      <c r="J23" s="58">
        <f>IFERROR(__xludf.DUMMYFUNCTION("""COMPUTED_VALUE"""),5.0)</f>
        <v>5</v>
      </c>
      <c r="K23" s="51"/>
      <c r="L23" s="60">
        <f>IFERROR(__xludf.DUMMYFUNCTION("""COMPUTED_VALUE"""),5.0)</f>
        <v>5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IFERROR(__xludf.DUMMYFUNCTION("""COMPUTED_VALUE"""),8.4)</f>
        <v>8.4</v>
      </c>
      <c r="F24" s="54">
        <f>IFERROR(__xludf.DUMMYFUNCTION("""COMPUTED_VALUE"""),0.0)</f>
        <v>0</v>
      </c>
      <c r="G24" s="55">
        <f>IFERROR(__xludf.DUMMYFUNCTION("""COMPUTED_VALUE"""),1.0)</f>
        <v>1</v>
      </c>
      <c r="H24" s="56">
        <f>IFERROR(__xludf.DUMMYFUNCTION("""COMPUTED_VALUE"""),9.4)</f>
        <v>9.4</v>
      </c>
      <c r="I24" s="57">
        <f>IFERROR(__xludf.DUMMYFUNCTION("""COMPUTED_VALUE"""),0.0)</f>
        <v>0</v>
      </c>
      <c r="J24" s="58">
        <f>IFERROR(__xludf.DUMMYFUNCTION("""COMPUTED_VALUE"""),9.0)</f>
        <v>9</v>
      </c>
      <c r="K24" s="51"/>
      <c r="L24" s="60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IFERROR(__xludf.DUMMYFUNCTION("""COMPUTED_VALUE"""),60.0)</f>
        <v>60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IFERROR(__xludf.DUMMYFUNCTION("""COMPUTED_VALUE"""),7.9)</f>
        <v>7.9</v>
      </c>
      <c r="F25" s="54">
        <f>IFERROR(__xludf.DUMMYFUNCTION("""COMPUTED_VALUE"""),0.0)</f>
        <v>0</v>
      </c>
      <c r="G25" s="55">
        <f>IFERROR(__xludf.DUMMYFUNCTION("""COMPUTED_VALUE"""),1.0)</f>
        <v>1</v>
      </c>
      <c r="H25" s="56">
        <f>IFERROR(__xludf.DUMMYFUNCTION("""COMPUTED_VALUE"""),8.9)</f>
        <v>8.9</v>
      </c>
      <c r="I25" s="57">
        <f>IFERROR(__xludf.DUMMYFUNCTION("""COMPUTED_VALUE"""),1.0)</f>
        <v>1</v>
      </c>
      <c r="J25" s="58">
        <f>IFERROR(__xludf.DUMMYFUNCTION("""COMPUTED_VALUE"""),9.0)</f>
        <v>9</v>
      </c>
      <c r="K25" s="51"/>
      <c r="L25" s="60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IFERROR(__xludf.DUMMYFUNCTION("""COMPUTED_VALUE"""),7.6)</f>
        <v>7.6</v>
      </c>
      <c r="F26" s="54">
        <f>IFERROR(__xludf.DUMMYFUNCTION("""COMPUTED_VALUE"""),0.0)</f>
        <v>0</v>
      </c>
      <c r="G26" s="55">
        <f>IFERROR(__xludf.DUMMYFUNCTION("""COMPUTED_VALUE"""),0.0)</f>
        <v>0</v>
      </c>
      <c r="H26" s="56">
        <f>IFERROR(__xludf.DUMMYFUNCTION("""COMPUTED_VALUE"""),7.6)</f>
        <v>7.6</v>
      </c>
      <c r="I26" s="57">
        <f>IFERROR(__xludf.DUMMYFUNCTION("""COMPUTED_VALUE"""),0.0)</f>
        <v>0</v>
      </c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IFERROR(__xludf.DUMMYFUNCTION("""COMPUTED_VALUE"""),7.2)</f>
        <v>7.2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IFERROR(__xludf.DUMMYFUNCTION("""COMPUTED_VALUE"""),9.2)</f>
        <v>9.2</v>
      </c>
      <c r="I27" s="57">
        <f>IFERROR(__xludf.DUMMYFUNCTION("""COMPUTED_VALUE"""),0.0)</f>
        <v>0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IFERROR(__xludf.DUMMYFUNCTION("""COMPUTED_VALUE"""),7.1)</f>
        <v>7.1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IFERROR(__xludf.DUMMYFUNCTION("""COMPUTED_VALUE"""),10.1)</f>
        <v>10.1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IFERROR(__xludf.DUMMYFUNCTION("""COMPUTED_VALUE"""),7.2)</f>
        <v>7.2</v>
      </c>
      <c r="F29" s="54">
        <f>IFERROR(__xludf.DUMMYFUNCTION("""COMPUTED_VALUE"""),2.0)</f>
        <v>2</v>
      </c>
      <c r="G29" s="55">
        <f>IFERROR(__xludf.DUMMYFUNCTION("""COMPUTED_VALUE"""),0.0)</f>
        <v>0</v>
      </c>
      <c r="H29" s="56">
        <f>IFERROR(__xludf.DUMMYFUNCTION("""COMPUTED_VALUE"""),9.2)</f>
        <v>9.2</v>
      </c>
      <c r="I29" s="57">
        <f>IFERROR(__xludf.DUMMYFUNCTION("""COMPUTED_VALUE"""),0.0)</f>
        <v>0</v>
      </c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IFERROR(__xludf.DUMMYFUNCTION("""COMPUTED_VALUE"""),6.8)</f>
        <v>6.8</v>
      </c>
      <c r="F30" s="54">
        <f>IFERROR(__xludf.DUMMYFUNCTION("""COMPUTED_VALUE"""),0.0)</f>
        <v>0</v>
      </c>
      <c r="G30" s="55">
        <f>IFERROR(__xludf.DUMMYFUNCTION("""COMPUTED_VALUE"""),0.0)</f>
        <v>0</v>
      </c>
      <c r="H30" s="56">
        <f>IFERROR(__xludf.DUMMYFUNCTION("""COMPUTED_VALUE"""),6.8)</f>
        <v>6.8</v>
      </c>
      <c r="I30" s="57">
        <f>IFERROR(__xludf.DUMMYFUNCTION("""COMPUTED_VALUE"""),3.0)</f>
        <v>3</v>
      </c>
      <c r="J30" s="58">
        <f>IFERROR(__xludf.DUMMYFUNCTION("""COMPUTED_VALUE"""),7.0)</f>
        <v>7</v>
      </c>
      <c r="K30" s="51"/>
      <c r="L30" s="60">
        <f>IFERROR(__xludf.DUMMYFUNCTION("""COMPUTED_VALUE"""),7.0)</f>
        <v>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IFERROR(__xludf.DUMMYFUNCTION("""COMPUTED_VALUE"""),7.2)</f>
        <v>7.2</v>
      </c>
      <c r="F31" s="54">
        <f>IFERROR(__xludf.DUMMYFUNCTION("""COMPUTED_VALUE"""),0.0)</f>
        <v>0</v>
      </c>
      <c r="G31" s="55">
        <f>IFERROR(__xludf.DUMMYFUNCTION("""COMPUTED_VALUE"""),0.0)</f>
        <v>0</v>
      </c>
      <c r="H31" s="56">
        <f>IFERROR(__xludf.DUMMYFUNCTION("""COMPUTED_VALUE"""),7.2)</f>
        <v>7.2</v>
      </c>
      <c r="I31" s="57">
        <f>IFERROR(__xludf.DUMMYFUNCTION("""COMPUTED_VALUE"""),0.0)</f>
        <v>0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IFERROR(__xludf.DUMMYFUNCTION("""COMPUTED_VALUE"""),7.3)</f>
        <v>7.3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IFERROR(__xludf.DUMMYFUNCTION("""COMPUTED_VALUE"""),9.3)</f>
        <v>9.3</v>
      </c>
      <c r="I32" s="57">
        <f>IFERROR(__xludf.DUMMYFUNCTION("""COMPUTED_VALUE"""),0.0)</f>
        <v>0</v>
      </c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IFERROR(__xludf.DUMMYFUNCTION("""COMPUTED_VALUE"""),6.3)</f>
        <v>6.3</v>
      </c>
      <c r="F33" s="54">
        <f>IFERROR(__xludf.DUMMYFUNCTION("""COMPUTED_VALUE"""),0.0)</f>
        <v>0</v>
      </c>
      <c r="G33" s="55">
        <f>IFERROR(__xludf.DUMMYFUNCTION("""COMPUTED_VALUE"""),0.0)</f>
        <v>0</v>
      </c>
      <c r="H33" s="56">
        <f>IFERROR(__xludf.DUMMYFUNCTION("""COMPUTED_VALUE"""),6.3)</f>
        <v>6.3</v>
      </c>
      <c r="I33" s="57">
        <f>IFERROR(__xludf.DUMMYFUNCTION("""COMPUTED_VALUE"""),0.0)</f>
        <v>0</v>
      </c>
      <c r="J33" s="58">
        <f>IFERROR(__xludf.DUMMYFUNCTION("""COMPUTED_VALUE"""),6.0)</f>
        <v>6</v>
      </c>
      <c r="K33" s="51"/>
      <c r="L33" s="60">
        <f>IFERROR(__xludf.DUMMYFUNCTION("""COMPUTED_VALUE"""),6.0)</f>
        <v>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IFERROR(__xludf.DUMMYFUNCTION("""COMPUTED_VALUE"""),7.7)</f>
        <v>7.7</v>
      </c>
      <c r="F34" s="54">
        <f>IFERROR(__xludf.DUMMYFUNCTION("""COMPUTED_VALUE"""),0.0)</f>
        <v>0</v>
      </c>
      <c r="G34" s="55">
        <f>IFERROR(__xludf.DUMMYFUNCTION("""COMPUTED_VALUE"""),0.0)</f>
        <v>0</v>
      </c>
      <c r="H34" s="56">
        <f>IFERROR(__xludf.DUMMYFUNCTION("""COMPUTED_VALUE"""),7.7)</f>
        <v>7.7</v>
      </c>
      <c r="I34" s="57">
        <f>IFERROR(__xludf.DUMMYFUNCTION("""COMPUTED_VALUE"""),0.0)</f>
        <v>0</v>
      </c>
      <c r="J34" s="58">
        <f>IFERROR(__xludf.DUMMYFUNCTION("""COMPUTED_VALUE"""),8.0)</f>
        <v>8</v>
      </c>
      <c r="K34" s="51"/>
      <c r="L34" s="60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IFERROR(__xludf.DUMMYFUNCTION("""COMPUTED_VALUE"""),6.2)</f>
        <v>6.2</v>
      </c>
      <c r="F35" s="54">
        <f>IFERROR(__xludf.DUMMYFUNCTION("""COMPUTED_VALUE"""),2.0)</f>
        <v>2</v>
      </c>
      <c r="G35" s="55">
        <f>IFERROR(__xludf.DUMMYFUNCTION("""COMPUTED_VALUE"""),0.0)</f>
        <v>0</v>
      </c>
      <c r="H35" s="56">
        <f>IFERROR(__xludf.DUMMYFUNCTION("""COMPUTED_VALUE"""),8.2)</f>
        <v>8.2</v>
      </c>
      <c r="I35" s="57">
        <f>IFERROR(__xludf.DUMMYFUNCTION("""COMPUTED_VALUE"""),0.0)</f>
        <v>0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IFERROR(__xludf.DUMMYFUNCTION("""COMPUTED_VALUE"""),4.0)</f>
        <v>4</v>
      </c>
      <c r="F36" s="54">
        <f>IFERROR(__xludf.DUMMYFUNCTION("""COMPUTED_VALUE"""),0.0)</f>
        <v>0</v>
      </c>
      <c r="G36" s="55">
        <f>IFERROR(__xludf.DUMMYFUNCTION("""COMPUTED_VALUE"""),0.0)</f>
        <v>0</v>
      </c>
      <c r="H36" s="56">
        <f>IFERROR(__xludf.DUMMYFUNCTION("""COMPUTED_VALUE"""),4.0)</f>
        <v>4</v>
      </c>
      <c r="I36" s="57">
        <f>IFERROR(__xludf.DUMMYFUNCTION("""COMPUTED_VALUE"""),2.0)</f>
        <v>2</v>
      </c>
      <c r="J36" s="58">
        <f>IFERROR(__xludf.DUMMYFUNCTION("""COMPUTED_VALUE"""),5.0)</f>
        <v>5</v>
      </c>
      <c r="K36" s="51"/>
      <c r="L36" s="60">
        <f>IFERROR(__xludf.DUMMYFUNCTION("""COMPUTED_VALUE"""),4.0)</f>
        <v>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IFERROR(__xludf.DUMMYFUNCTION("""COMPUTED_VALUE"""),5.8)</f>
        <v>5.8</v>
      </c>
      <c r="F37" s="54">
        <f>IFERROR(__xludf.DUMMYFUNCTION("""COMPUTED_VALUE"""),2.0)</f>
        <v>2</v>
      </c>
      <c r="G37" s="55">
        <f>IFERROR(__xludf.DUMMYFUNCTION("""COMPUTED_VALUE"""),0.0)</f>
        <v>0</v>
      </c>
      <c r="H37" s="56">
        <f>IFERROR(__xludf.DUMMYFUNCTION("""COMPUTED_VALUE"""),7.8)</f>
        <v>7.8</v>
      </c>
      <c r="I37" s="57">
        <f>IFERROR(__xludf.DUMMYFUNCTION("""COMPUTED_VALUE"""),0.0)</f>
        <v>0</v>
      </c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IFERROR(__xludf.DUMMYFUNCTION("""COMPUTED_VALUE"""),6.3)</f>
        <v>6.3</v>
      </c>
      <c r="F38" s="54">
        <f>IFERROR(__xludf.DUMMYFUNCTION("""COMPUTED_VALUE"""),0.0)</f>
        <v>0</v>
      </c>
      <c r="G38" s="55">
        <f>IFERROR(__xludf.DUMMYFUNCTION("""COMPUTED_VALUE"""),0.0)</f>
        <v>0</v>
      </c>
      <c r="H38" s="56">
        <f>IFERROR(__xludf.DUMMYFUNCTION("""COMPUTED_VALUE"""),6.3)</f>
        <v>6.3</v>
      </c>
      <c r="I38" s="57">
        <f>IFERROR(__xludf.DUMMYFUNCTION("""COMPUTED_VALUE"""),0.0)</f>
        <v>0</v>
      </c>
      <c r="J38" s="58">
        <f>IFERROR(__xludf.DUMMYFUNCTION("""COMPUTED_VALUE"""),6.0)</f>
        <v>6</v>
      </c>
      <c r="K38" s="51"/>
      <c r="L38" s="60">
        <f>IFERROR(__xludf.DUMMYFUNCTION("""COMPUTED_VALUE"""),6.0)</f>
        <v>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IFERROR(__xludf.DUMMYFUNCTION("""COMPUTED_VALUE"""),8.4)</f>
        <v>8.4</v>
      </c>
      <c r="F39" s="54">
        <f>IFERROR(__xludf.DUMMYFUNCTION("""COMPUTED_VALUE"""),0.0)</f>
        <v>0</v>
      </c>
      <c r="G39" s="55">
        <f>IFERROR(__xludf.DUMMYFUNCTION("""COMPUTED_VALUE"""),1.0)</f>
        <v>1</v>
      </c>
      <c r="H39" s="56">
        <f>IFERROR(__xludf.DUMMYFUNCTION("""COMPUTED_VALUE"""),9.4)</f>
        <v>9.4</v>
      </c>
      <c r="I39" s="57">
        <f>IFERROR(__xludf.DUMMYFUNCTION("""COMPUTED_VALUE"""),0.0)</f>
        <v>0</v>
      </c>
      <c r="J39" s="58">
        <f>IFERROR(__xludf.DUMMYFUNCTION("""COMPUTED_VALUE"""),9.0)</f>
        <v>9</v>
      </c>
      <c r="K39" s="51"/>
      <c r="L39" s="60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IFERROR(__xludf.DUMMYFUNCTION("""COMPUTED_VALUE"""),7.1)</f>
        <v>7.1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IFERROR(__xludf.DUMMYFUNCTION("""COMPUTED_VALUE"""),9.1)</f>
        <v>9.1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IFERROR(__xludf.DUMMYFUNCTION("""COMPUTED_VALUE"""),7.3)</f>
        <v>7.3</v>
      </c>
      <c r="F41" s="54">
        <f>IFERROR(__xludf.DUMMYFUNCTION("""COMPUTED_VALUE"""),2.0)</f>
        <v>2</v>
      </c>
      <c r="G41" s="55">
        <f>IFERROR(__xludf.DUMMYFUNCTION("""COMPUTED_VALUE"""),0.0)</f>
        <v>0</v>
      </c>
      <c r="H41" s="56">
        <f>IFERROR(__xludf.DUMMYFUNCTION("""COMPUTED_VALUE"""),9.3)</f>
        <v>9.3</v>
      </c>
      <c r="I41" s="57">
        <f>IFERROR(__xludf.DUMMYFUNCTION("""COMPUTED_VALUE"""),0.0)</f>
        <v>0</v>
      </c>
      <c r="J41" s="58">
        <f>IFERROR(__xludf.DUMMYFUNCTION("""COMPUTED_VALUE"""),9.0)</f>
        <v>9</v>
      </c>
      <c r="K41" s="51"/>
      <c r="L41" s="60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IFERROR(__xludf.DUMMYFUNCTION("""COMPUTED_VALUE"""),7.5)</f>
        <v>7.5</v>
      </c>
      <c r="F42" s="54">
        <f>IFERROR(__xludf.DUMMYFUNCTION("""COMPUTED_VALUE"""),2.0)</f>
        <v>2</v>
      </c>
      <c r="G42" s="55">
        <f>IFERROR(__xludf.DUMMYFUNCTION("""COMPUTED_VALUE"""),0.0)</f>
        <v>0</v>
      </c>
      <c r="H42" s="56">
        <f>IFERROR(__xludf.DUMMYFUNCTION("""COMPUTED_VALUE"""),9.5)</f>
        <v>9.5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IFERROR(__xludf.DUMMYFUNCTION("""COMPUTED_VALUE"""),8.8)</f>
        <v>8.8</v>
      </c>
      <c r="F43" s="54">
        <f>IFERROR(__xludf.DUMMYFUNCTION("""COMPUTED_VALUE"""),0.0)</f>
        <v>0</v>
      </c>
      <c r="G43" s="55">
        <f>IFERROR(__xludf.DUMMYFUNCTION("""COMPUTED_VALUE"""),1.0)</f>
        <v>1</v>
      </c>
      <c r="H43" s="56">
        <f>IFERROR(__xludf.DUMMYFUNCTION("""COMPUTED_VALUE"""),9.8)</f>
        <v>9.8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IFERROR(__xludf.DUMMYFUNCTION("""COMPUTED_VALUE"""),5.6)</f>
        <v>5.6</v>
      </c>
      <c r="F44" s="54">
        <f>IFERROR(__xludf.DUMMYFUNCTION("""COMPUTED_VALUE"""),0.0)</f>
        <v>0</v>
      </c>
      <c r="G44" s="55">
        <f>IFERROR(__xludf.DUMMYFUNCTION("""COMPUTED_VALUE"""),0.0)</f>
        <v>0</v>
      </c>
      <c r="H44" s="56">
        <f>IFERROR(__xludf.DUMMYFUNCTION("""COMPUTED_VALUE"""),5.6)</f>
        <v>5.6</v>
      </c>
      <c r="I44" s="57">
        <f>IFERROR(__xludf.DUMMYFUNCTION("""COMPUTED_VALUE"""),1.0)</f>
        <v>1</v>
      </c>
      <c r="J44" s="58">
        <f>IFERROR(__xludf.DUMMYFUNCTION("""COMPUTED_VALUE"""),5.0)</f>
        <v>5</v>
      </c>
      <c r="K44" s="51"/>
      <c r="L44" s="60">
        <f>IFERROR(__xludf.DUMMYFUNCTION("""COMPUTED_VALUE"""),5.0)</f>
        <v>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IFERROR(__xludf.DUMMYFUNCTION("""COMPUTED_VALUE"""),7.5)</f>
        <v>7.5</v>
      </c>
      <c r="F45" s="54">
        <f>IFERROR(__xludf.DUMMYFUNCTION("""COMPUTED_VALUE"""),0.0)</f>
        <v>0</v>
      </c>
      <c r="G45" s="55">
        <f>IFERROR(__xludf.DUMMYFUNCTION("""COMPUTED_VALUE"""),0.0)</f>
        <v>0</v>
      </c>
      <c r="H45" s="56">
        <f>IFERROR(__xludf.DUMMYFUNCTION("""COMPUTED_VALUE"""),7.5)</f>
        <v>7.5</v>
      </c>
      <c r="I45" s="57">
        <f>IFERROR(__xludf.DUMMYFUNCTION("""COMPUTED_VALUE"""),0.0)</f>
        <v>0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IFERROR(__xludf.DUMMYFUNCTION("""COMPUTED_VALUE"""),7.8)</f>
        <v>7.8</v>
      </c>
      <c r="F46" s="54">
        <f>IFERROR(__xludf.DUMMYFUNCTION("""COMPUTED_VALUE"""),2.0)</f>
        <v>2</v>
      </c>
      <c r="G46" s="55">
        <f>IFERROR(__xludf.DUMMYFUNCTION("""COMPUTED_VALUE"""),0.0)</f>
        <v>0</v>
      </c>
      <c r="H46" s="56">
        <f>IFERROR(__xludf.DUMMYFUNCTION("""COMPUTED_VALUE"""),9.8)</f>
        <v>9.8</v>
      </c>
      <c r="I46" s="57">
        <f>IFERROR(__xludf.DUMMYFUNCTION("""COMPUTED_VALUE"""),1.0)</f>
        <v>1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IFERROR(__xludf.DUMMYFUNCTION("""COMPUTED_VALUE"""),5.3)</f>
        <v>5.3</v>
      </c>
      <c r="F47" s="54">
        <f>IFERROR(__xludf.DUMMYFUNCTION("""COMPUTED_VALUE"""),2.0)</f>
        <v>2</v>
      </c>
      <c r="G47" s="55">
        <f>IFERROR(__xludf.DUMMYFUNCTION("""COMPUTED_VALUE"""),0.0)</f>
        <v>0</v>
      </c>
      <c r="H47" s="56">
        <f>IFERROR(__xludf.DUMMYFUNCTION("""COMPUTED_VALUE"""),7.3)</f>
        <v>7.3</v>
      </c>
      <c r="I47" s="57">
        <f>IFERROR(__xludf.DUMMYFUNCTION("""COMPUTED_VALUE"""),1.0)</f>
        <v>1</v>
      </c>
      <c r="J47" s="58">
        <f>IFERROR(__xludf.DUMMYFUNCTION("""COMPUTED_VALUE"""),7.0)</f>
        <v>7</v>
      </c>
      <c r="K47" s="51"/>
      <c r="L47" s="60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IFERROR(__xludf.DUMMYFUNCTION("""COMPUTED_VALUE"""),7.5)</f>
        <v>7.5</v>
      </c>
      <c r="F48" s="54">
        <f>IFERROR(__xludf.DUMMYFUNCTION("""COMPUTED_VALUE"""),2.0)</f>
        <v>2</v>
      </c>
      <c r="G48" s="55">
        <f>IFERROR(__xludf.DUMMYFUNCTION("""COMPUTED_VALUE"""),0.0)</f>
        <v>0</v>
      </c>
      <c r="H48" s="56">
        <f>IFERROR(__xludf.DUMMYFUNCTION("""COMPUTED_VALUE"""),9.5)</f>
        <v>9.5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IFERROR(__xludf.DUMMYFUNCTION("""COMPUTED_VALUE"""),5.7)</f>
        <v>5.7</v>
      </c>
      <c r="F49" s="54">
        <f>IFERROR(__xludf.DUMMYFUNCTION("""COMPUTED_VALUE"""),0.0)</f>
        <v>0</v>
      </c>
      <c r="G49" s="55">
        <f>IFERROR(__xludf.DUMMYFUNCTION("""COMPUTED_VALUE"""),0.0)</f>
        <v>0</v>
      </c>
      <c r="H49" s="56">
        <f>IFERROR(__xludf.DUMMYFUNCTION("""COMPUTED_VALUE"""),5.7)</f>
        <v>5.7</v>
      </c>
      <c r="I49" s="57">
        <f>IFERROR(__xludf.DUMMYFUNCTION("""COMPUTED_VALUE"""),0.0)</f>
        <v>0</v>
      </c>
      <c r="J49" s="58">
        <f>IFERROR(__xludf.DUMMYFUNCTION("""COMPUTED_VALUE"""),5.0)</f>
        <v>5</v>
      </c>
      <c r="K49" s="51"/>
      <c r="L49" s="60">
        <f>IFERROR(__xludf.DUMMYFUNCTION("""COMPUTED_VALUE"""),5.0)</f>
        <v>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IFERROR(__xludf.DUMMYFUNCTION("""COMPUTED_VALUE"""),4.2)</f>
        <v>4.2</v>
      </c>
      <c r="F50" s="54">
        <f>IFERROR(__xludf.DUMMYFUNCTION("""COMPUTED_VALUE"""),0.0)</f>
        <v>0</v>
      </c>
      <c r="G50" s="55">
        <f>IFERROR(__xludf.DUMMYFUNCTION("""COMPUTED_VALUE"""),0.0)</f>
        <v>0</v>
      </c>
      <c r="H50" s="56">
        <f>IFERROR(__xludf.DUMMYFUNCTION("""COMPUTED_VALUE"""),4.2)</f>
        <v>4.2</v>
      </c>
      <c r="I50" s="57">
        <f>IFERROR(__xludf.DUMMYFUNCTION("""COMPUTED_VALUE"""),1.0)</f>
        <v>1</v>
      </c>
      <c r="J50" s="58">
        <f>IFERROR(__xludf.DUMMYFUNCTION("""COMPUTED_VALUE"""),5.0)</f>
        <v>5</v>
      </c>
      <c r="K50" s="51"/>
      <c r="L50" s="60">
        <f>IFERROR(__xludf.DUMMYFUNCTION("""COMPUTED_VALUE"""),4.0)</f>
        <v>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IFERROR(__xludf.DUMMYFUNCTION("""COMPUTED_VALUE"""),8.2)</f>
        <v>8.2</v>
      </c>
      <c r="F51" s="54">
        <f>IFERROR(__xludf.DUMMYFUNCTION("""COMPUTED_VALUE"""),0.0)</f>
        <v>0</v>
      </c>
      <c r="G51" s="55">
        <f>IFERROR(__xludf.DUMMYFUNCTION("""COMPUTED_VALUE"""),1.0)</f>
        <v>1</v>
      </c>
      <c r="H51" s="56">
        <f>IFERROR(__xludf.DUMMYFUNCTION("""COMPUTED_VALUE"""),9.2)</f>
        <v>9.2</v>
      </c>
      <c r="I51" s="57">
        <f>IFERROR(__xludf.DUMMYFUNCTION("""COMPUTED_VALUE"""),0.0)</f>
        <v>0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IFERROR(__xludf.DUMMYFUNCTION("""COMPUTED_VALUE"""),5.9)</f>
        <v>5.9</v>
      </c>
      <c r="F52" s="54">
        <f>IFERROR(__xludf.DUMMYFUNCTION("""COMPUTED_VALUE"""),0.0)</f>
        <v>0</v>
      </c>
      <c r="G52" s="55">
        <f>IFERROR(__xludf.DUMMYFUNCTION("""COMPUTED_VALUE"""),0.0)</f>
        <v>0</v>
      </c>
      <c r="H52" s="56">
        <f>IFERROR(__xludf.DUMMYFUNCTION("""COMPUTED_VALUE"""),5.9)</f>
        <v>5.9</v>
      </c>
      <c r="I52" s="57">
        <f>IFERROR(__xludf.DUMMYFUNCTION("""COMPUTED_VALUE"""),0.0)</f>
        <v>0</v>
      </c>
      <c r="J52" s="58">
        <f>IFERROR(__xludf.DUMMYFUNCTION("""COMPUTED_VALUE"""),5.0)</f>
        <v>5</v>
      </c>
      <c r="K52" s="51"/>
      <c r="L52" s="59">
        <f>IFERROR(__xludf.DUMMYFUNCTION("""COMPUTED_VALUE"""),5.0)</f>
        <v>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IFERROR(__xludf.DUMMYFUNCTION("""COMPUTED_VALUE"""),7.7)</f>
        <v>7.7</v>
      </c>
      <c r="F53" s="54">
        <f>IFERROR(__xludf.DUMMYFUNCTION("""COMPUTED_VALUE"""),2.0)</f>
        <v>2</v>
      </c>
      <c r="G53" s="55">
        <f>IFERROR(__xludf.DUMMYFUNCTION("""COMPUTED_VALUE"""),0.0)</f>
        <v>0</v>
      </c>
      <c r="H53" s="56">
        <f>IFERROR(__xludf.DUMMYFUNCTION("""COMPUTED_VALUE"""),9.7)</f>
        <v>9.7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IFERROR(__xludf.DUMMYFUNCTION("""COMPUTED_VALUE"""),7.6)</f>
        <v>7.6</v>
      </c>
      <c r="F54" s="54">
        <f>IFERROR(__xludf.DUMMYFUNCTION("""COMPUTED_VALUE"""),0.0)</f>
        <v>0</v>
      </c>
      <c r="G54" s="55">
        <f>IFERROR(__xludf.DUMMYFUNCTION("""COMPUTED_VALUE"""),0.0)</f>
        <v>0</v>
      </c>
      <c r="H54" s="56">
        <f>IFERROR(__xludf.DUMMYFUNCTION("""COMPUTED_VALUE"""),7.6)</f>
        <v>7.6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IFERROR(__xludf.DUMMYFUNCTION("""COMPUTED_VALUE"""),7.2)</f>
        <v>7.2</v>
      </c>
      <c r="F55" s="54">
        <f>IFERROR(__xludf.DUMMYFUNCTION("""COMPUTED_VALUE"""),2.0)</f>
        <v>2</v>
      </c>
      <c r="G55" s="55">
        <f>IFERROR(__xludf.DUMMYFUNCTION("""COMPUTED_VALUE"""),0.0)</f>
        <v>0</v>
      </c>
      <c r="H55" s="56">
        <f>IFERROR(__xludf.DUMMYFUNCTION("""COMPUTED_VALUE"""),9.2)</f>
        <v>9.2</v>
      </c>
      <c r="I55" s="61">
        <f>IFERROR(__xludf.DUMMYFUNCTION("""COMPUTED_VALUE"""),0.0)</f>
        <v>0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IFERROR(__xludf.DUMMYFUNCTION("""COMPUTED_VALUE"""),6.6)</f>
        <v>6.6</v>
      </c>
      <c r="F56" s="54">
        <f>IFERROR(__xludf.DUMMYFUNCTION("""COMPUTED_VALUE"""),0.0)</f>
        <v>0</v>
      </c>
      <c r="G56" s="55">
        <f>IFERROR(__xludf.DUMMYFUNCTION("""COMPUTED_VALUE"""),1.0)</f>
        <v>1</v>
      </c>
      <c r="H56" s="56">
        <f>IFERROR(__xludf.DUMMYFUNCTION("""COMPUTED_VALUE"""),7.6)</f>
        <v>7.6</v>
      </c>
      <c r="I56" s="61">
        <f>IFERROR(__xludf.DUMMYFUNCTION("""COMPUTED_VALUE"""),0.0)</f>
        <v>0</v>
      </c>
      <c r="J56" s="58">
        <f>IFERROR(__xludf.DUMMYFUNCTION("""COMPUTED_VALUE"""),8.0)</f>
        <v>8</v>
      </c>
      <c r="K56" s="51"/>
      <c r="L56" s="59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IFERROR(__xludf.DUMMYFUNCTION("""COMPUTED_VALUE"""),4.7)</f>
        <v>4.7</v>
      </c>
      <c r="F57" s="54">
        <f>IFERROR(__xludf.DUMMYFUNCTION("""COMPUTED_VALUE"""),0.0)</f>
        <v>0</v>
      </c>
      <c r="G57" s="55">
        <f>IFERROR(__xludf.DUMMYFUNCTION("""COMPUTED_VALUE"""),0.0)</f>
        <v>0</v>
      </c>
      <c r="H57" s="56">
        <f>IFERROR(__xludf.DUMMYFUNCTION("""COMPUTED_VALUE"""),4.7)</f>
        <v>4.7</v>
      </c>
      <c r="I57" s="61">
        <f>IFERROR(__xludf.DUMMYFUNCTION("""COMPUTED_VALUE"""),0.0)</f>
        <v>0</v>
      </c>
      <c r="J57" s="58">
        <f>IFERROR(__xludf.DUMMYFUNCTION("""COMPUTED_VALUE"""),5.0)</f>
        <v>5</v>
      </c>
      <c r="K57" s="51"/>
      <c r="L57" s="59">
        <f>IFERROR(__xludf.DUMMYFUNCTION("""COMPUTED_VALUE"""),4.0)</f>
        <v>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IFERROR(__xludf.DUMMYFUNCTION("""COMPUTED_VALUE"""),7.2)</f>
        <v>7.2</v>
      </c>
      <c r="F58" s="54">
        <f>IFERROR(__xludf.DUMMYFUNCTION("""COMPUTED_VALUE"""),0.0)</f>
        <v>0</v>
      </c>
      <c r="G58" s="55">
        <f>IFERROR(__xludf.DUMMYFUNCTION("""COMPUTED_VALUE"""),0.0)</f>
        <v>0</v>
      </c>
      <c r="H58" s="56">
        <f>IFERROR(__xludf.DUMMYFUNCTION("""COMPUTED_VALUE"""),7.2)</f>
        <v>7.2</v>
      </c>
      <c r="I58" s="61">
        <f>IFERROR(__xludf.DUMMYFUNCTION("""COMPUTED_VALUE"""),0.0)</f>
        <v>0</v>
      </c>
      <c r="J58" s="58">
        <f>IFERROR(__xludf.DUMMYFUNCTION("""COMPUTED_VALUE"""),7.0)</f>
        <v>7</v>
      </c>
      <c r="K58" s="51"/>
      <c r="L58" s="59">
        <f>IFERROR(__xludf.DUMMYFUNCTION("""COMPUTED_VALUE"""),7.0)</f>
        <v>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IFERROR(__xludf.DUMMYFUNCTION("""COMPUTED_VALUE"""),4.6)</f>
        <v>4.6</v>
      </c>
      <c r="F59" s="54">
        <f>IFERROR(__xludf.DUMMYFUNCTION("""COMPUTED_VALUE"""),0.0)</f>
        <v>0</v>
      </c>
      <c r="G59" s="55">
        <f>IFERROR(__xludf.DUMMYFUNCTION("""COMPUTED_VALUE"""),0.0)</f>
        <v>0</v>
      </c>
      <c r="H59" s="56">
        <f>IFERROR(__xludf.DUMMYFUNCTION("""COMPUTED_VALUE"""),4.6)</f>
        <v>4.6</v>
      </c>
      <c r="I59" s="61">
        <f>IFERROR(__xludf.DUMMYFUNCTION("""COMPUTED_VALUE"""),1.0)</f>
        <v>1</v>
      </c>
      <c r="J59" s="58">
        <f>IFERROR(__xludf.DUMMYFUNCTION("""COMPUTED_VALUE"""),5.0)</f>
        <v>5</v>
      </c>
      <c r="K59" s="51"/>
      <c r="L59" s="59">
        <f>IFERROR(__xludf.DUMMYFUNCTION("""COMPUTED_VALUE"""),4.0)</f>
        <v>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IFERROR(__xludf.DUMMYFUNCTION("""COMPUTED_VALUE"""),6.9)</f>
        <v>6.9</v>
      </c>
      <c r="F60" s="54">
        <f>IFERROR(__xludf.DUMMYFUNCTION("""COMPUTED_VALUE"""),2.0)</f>
        <v>2</v>
      </c>
      <c r="G60" s="55">
        <f>IFERROR(__xludf.DUMMYFUNCTION("""COMPUTED_VALUE"""),0.0)</f>
        <v>0</v>
      </c>
      <c r="H60" s="56">
        <f>IFERROR(__xludf.DUMMYFUNCTION("""COMPUTED_VALUE"""),8.9)</f>
        <v>8.9</v>
      </c>
      <c r="I60" s="61">
        <f>IFERROR(__xludf.DUMMYFUNCTION("""COMPUTED_VALUE"""),0.0)</f>
        <v>0</v>
      </c>
      <c r="J60" s="58">
        <f>IFERROR(__xludf.DUMMYFUNCTION("""COMPUTED_VALUE"""),9.0)</f>
        <v>9</v>
      </c>
      <c r="K60" s="51"/>
      <c r="L60" s="59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IFERROR(__xludf.DUMMYFUNCTION("""COMPUTED_VALUE"""),8.7)</f>
        <v>8.7</v>
      </c>
      <c r="F61" s="54">
        <f>IFERROR(__xludf.DUMMYFUNCTION("""COMPUTED_VALUE"""),0.0)</f>
        <v>0</v>
      </c>
      <c r="G61" s="55">
        <f>IFERROR(__xludf.DUMMYFUNCTION("""COMPUTED_VALUE"""),1.0)</f>
        <v>1</v>
      </c>
      <c r="H61" s="56">
        <f>IFERROR(__xludf.DUMMYFUNCTION("""COMPUTED_VALUE"""),9.7)</f>
        <v>9.7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IFERROR(__xludf.DUMMYFUNCTION("""COMPUTED_VALUE"""),36.0)</f>
        <v>36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IFERROR(__xludf.DUMMYFUNCTION("""COMPUTED_VALUE"""),9.0)</f>
        <v>9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IFERROR(__xludf.DUMMYFUNCTION("""COMPUTED_VALUE"""),80.0)</f>
        <v>80</v>
      </c>
      <c r="E68" s="62"/>
      <c r="F68" s="85" t="str">
        <f>IFERROR(__xludf.DUMMYFUNCTION("""COMPUTED_VALUE"""),"PROFR. IVÁN HERNÁNDEZ PÉREZ")</f>
        <v>PROFR. IVÁN HERNÁNDEZ PÉREZ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IFERROR(__xludf.DUMMYFUNCTION("""COMPUTED_VALUE"""),7.977777777777778)</f>
        <v>7.977777778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IFERROR(__xludf.DUMMYFUNCTION("IMPORTRANGE(""https://docs.google.com/spreadsheets/d/1oczZkBB4J1AhkTffmv-aGacdvcTpVfBb7fURSv7sJlk/edit?gid=41505556#gid=41505556"",""3-3 paginas web!a1:q85"")"),"")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IFERROR(__xludf.DUMMYFUNCTION("""COMPUTED_VALUE"""),"MIGUEL ANGEL SERRANO ESTRADA")</f>
        <v>MIGUEL ANGEL SERRANO ESTRADA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IFERROR(__xludf.DUMMYFUNCTION("""COMPUTED_VALUE"""),"PÁGINAS WEB")</f>
        <v>PÁGINAS WEB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>
        <f>IFERROR(__xludf.DUMMYFUNCTION("""COMPUTED_VALUE"""),2.0)</f>
        <v>2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IFERROR(__xludf.DUMMYFUNCTION("""COMPUTED_VALUE"""),5.0)</f>
        <v>5</v>
      </c>
      <c r="F19" s="54">
        <f>IFERROR(__xludf.DUMMYFUNCTION("""COMPUTED_VALUE"""),2.0)</f>
        <v>2</v>
      </c>
      <c r="G19" s="55"/>
      <c r="H19" s="56">
        <f>IFERROR(__xludf.DUMMYFUNCTION("""COMPUTED_VALUE"""),7.0)</f>
        <v>7</v>
      </c>
      <c r="I19" s="57">
        <f>IFERROR(__xludf.DUMMYFUNCTION("""COMPUTED_VALUE"""),0.0)</f>
        <v>0</v>
      </c>
      <c r="J19" s="58">
        <f>IFERROR(__xludf.DUMMYFUNCTION("""COMPUTED_VALUE"""),7.0)</f>
        <v>7</v>
      </c>
      <c r="K19" s="51"/>
      <c r="L19" s="60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IFERROR(__xludf.DUMMYFUNCTION("""COMPUTED_VALUE"""),10.0)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IFERROR(__xludf.DUMMYFUNCTION("""COMPUTED_VALUE"""),1.0)</f>
        <v>1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IFERROR(__xludf.DUMMYFUNCTION("""COMPUTED_VALUE"""),10.0)</f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IFERROR(__xludf.DUMMYFUNCTION("""COMPUTED_VALUE"""),4.0)</f>
        <v>4</v>
      </c>
      <c r="F22" s="54">
        <f>IFERROR(__xludf.DUMMYFUNCTION("""COMPUTED_VALUE"""),2.0)</f>
        <v>2</v>
      </c>
      <c r="G22" s="55"/>
      <c r="H22" s="56">
        <f>IFERROR(__xludf.DUMMYFUNCTION("""COMPUTED_VALUE"""),6.0)</f>
        <v>6</v>
      </c>
      <c r="I22" s="57">
        <f>IFERROR(__xludf.DUMMYFUNCTION("""COMPUTED_VALUE"""),1.0)</f>
        <v>1</v>
      </c>
      <c r="J22" s="58">
        <f>IFERROR(__xludf.DUMMYFUNCTION("""COMPUTED_VALUE"""),6.0)</f>
        <v>6</v>
      </c>
      <c r="K22" s="51"/>
      <c r="L22" s="60">
        <f>IFERROR(__xludf.DUMMYFUNCTION("""COMPUTED_VALUE"""),6.0)</f>
        <v>6</v>
      </c>
      <c r="M22" s="1" t="str">
        <f>IFERROR(__xludf.DUMMYFUNCTION("""COMPUTED_VALUE"""),"Junio")</f>
        <v>Junio</v>
      </c>
      <c r="N22" s="1">
        <f>IFERROR(__xludf.DUMMYFUNCTION("""COMPUTED_VALUE"""),14.0)</f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IFERROR(__xludf.DUMMYFUNCTION("""COMPUTED_VALUE"""),7.0)</f>
        <v>7</v>
      </c>
      <c r="F23" s="54">
        <f>IFERROR(__xludf.DUMMYFUNCTION("""COMPUTED_VALUE"""),2.0)</f>
        <v>2</v>
      </c>
      <c r="G23" s="55"/>
      <c r="H23" s="56">
        <f>IFERROR(__xludf.DUMMYFUNCTION("""COMPUTED_VALUE"""),9.0)</f>
        <v>9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IFERROR(__xludf.DUMMYFUNCTION("""COMPUTED_VALUE"""),7.0)</f>
        <v>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IFERROR(__xludf.DUMMYFUNCTION("""COMPUTED_VALUE"""),7.0)</f>
        <v>7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IFERROR(__xludf.DUMMYFUNCTION("""COMPUTED_VALUE"""),10.0)</f>
        <v>10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IFERROR(__xludf.DUMMYFUNCTION("""COMPUTED_VALUE"""),57.0)</f>
        <v>57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IFERROR(__xludf.DUMMYFUNCTION("""COMPUTED_VALUE"""),7.0)</f>
        <v>7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IFERROR(__xludf.DUMMYFUNCTION("""COMPUTED_VALUE"""),4.0)</f>
        <v>4</v>
      </c>
      <c r="F26" s="54">
        <f>IFERROR(__xludf.DUMMYFUNCTION("""COMPUTED_VALUE"""),2.0)</f>
        <v>2</v>
      </c>
      <c r="G26" s="55"/>
      <c r="H26" s="56">
        <f>IFERROR(__xludf.DUMMYFUNCTION("""COMPUTED_VALUE"""),6.0)</f>
        <v>6</v>
      </c>
      <c r="I26" s="57">
        <f>IFERROR(__xludf.DUMMYFUNCTION("""COMPUTED_VALUE"""),1.0)</f>
        <v>1</v>
      </c>
      <c r="J26" s="58">
        <f>IFERROR(__xludf.DUMMYFUNCTION("""COMPUTED_VALUE"""),6.0)</f>
        <v>6</v>
      </c>
      <c r="K26" s="51"/>
      <c r="L26" s="60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IFERROR(__xludf.DUMMYFUNCTION("""COMPUTED_VALUE"""),7.0)</f>
        <v>7</v>
      </c>
      <c r="F27" s="54">
        <f>IFERROR(__xludf.DUMMYFUNCTION("""COMPUTED_VALUE"""),2.0)</f>
        <v>2</v>
      </c>
      <c r="G27" s="55"/>
      <c r="H27" s="56">
        <f>IFERROR(__xludf.DUMMYFUNCTION("""COMPUTED_VALUE"""),9.0)</f>
        <v>9</v>
      </c>
      <c r="I27" s="57">
        <f>IFERROR(__xludf.DUMMYFUNCTION("""COMPUTED_VALUE"""),1.0)</f>
        <v>1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IFERROR(__xludf.DUMMYFUNCTION("""COMPUTED_VALUE"""),7.0)</f>
        <v>7</v>
      </c>
      <c r="F30" s="54">
        <f>IFERROR(__xludf.DUMMYFUNCTION("""COMPUTED_VALUE"""),2.0)</f>
        <v>2</v>
      </c>
      <c r="G30" s="55"/>
      <c r="H30" s="56">
        <f>IFERROR(__xludf.DUMMYFUNCTION("""COMPUTED_VALUE"""),9.0)</f>
        <v>9</v>
      </c>
      <c r="I30" s="57">
        <f>IFERROR(__xludf.DUMMYFUNCTION("""COMPUTED_VALUE"""),1.0)</f>
        <v>1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IFERROR(__xludf.DUMMYFUNCTION("""COMPUTED_VALUE"""),5.0)</f>
        <v>5</v>
      </c>
      <c r="F33" s="54">
        <f>IFERROR(__xludf.DUMMYFUNCTION("""COMPUTED_VALUE"""),2.0)</f>
        <v>2</v>
      </c>
      <c r="G33" s="55"/>
      <c r="H33" s="56">
        <f>IFERROR(__xludf.DUMMYFUNCTION("""COMPUTED_VALUE"""),7.0)</f>
        <v>7</v>
      </c>
      <c r="I33" s="57">
        <f>IFERROR(__xludf.DUMMYFUNCTION("""COMPUTED_VALUE"""),0.0)</f>
        <v>0</v>
      </c>
      <c r="J33" s="58">
        <f>IFERROR(__xludf.DUMMYFUNCTION("""COMPUTED_VALUE"""),7.0)</f>
        <v>7</v>
      </c>
      <c r="K33" s="51"/>
      <c r="L33" s="60">
        <f>IFERROR(__xludf.DUMMYFUNCTION("""COMPUTED_VALUE"""),7.0)</f>
        <v>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IFERROR(__xludf.DUMMYFUNCTION("""COMPUTED_VALUE"""),5.0)</f>
        <v>5</v>
      </c>
      <c r="F34" s="54">
        <f>IFERROR(__xludf.DUMMYFUNCTION("""COMPUTED_VALUE"""),2.0)</f>
        <v>2</v>
      </c>
      <c r="G34" s="55"/>
      <c r="H34" s="56">
        <f>IFERROR(__xludf.DUMMYFUNCTION("""COMPUTED_VALUE"""),7.0)</f>
        <v>7</v>
      </c>
      <c r="I34" s="57">
        <f>IFERROR(__xludf.DUMMYFUNCTION("""COMPUTED_VALUE"""),1.0)</f>
        <v>1</v>
      </c>
      <c r="J34" s="58">
        <f>IFERROR(__xludf.DUMMYFUNCTION("""COMPUTED_VALUE"""),7.0)</f>
        <v>7</v>
      </c>
      <c r="K34" s="51"/>
      <c r="L34" s="60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IFERROR(__xludf.DUMMYFUNCTION("""COMPUTED_VALUE"""),5.0)</f>
        <v>5</v>
      </c>
      <c r="F35" s="54">
        <f>IFERROR(__xludf.DUMMYFUNCTION("""COMPUTED_VALUE"""),2.0)</f>
        <v>2</v>
      </c>
      <c r="G35" s="55"/>
      <c r="H35" s="56">
        <f>IFERROR(__xludf.DUMMYFUNCTION("""COMPUTED_VALUE"""),7.0)</f>
        <v>7</v>
      </c>
      <c r="I35" s="57">
        <f>IFERROR(__xludf.DUMMYFUNCTION("""COMPUTED_VALUE"""),0.0)</f>
        <v>0</v>
      </c>
      <c r="J35" s="58">
        <f>IFERROR(__xludf.DUMMYFUNCTION("""COMPUTED_VALUE"""),7.0)</f>
        <v>7</v>
      </c>
      <c r="K35" s="51"/>
      <c r="L35" s="60">
        <f>IFERROR(__xludf.DUMMYFUNCTION("""COMPUTED_VALUE"""),7.0)</f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IFERROR(__xludf.DUMMYFUNCTION("""COMPUTED_VALUE"""),7.0)</f>
        <v>7</v>
      </c>
      <c r="F36" s="54">
        <f>IFERROR(__xludf.DUMMYFUNCTION("""COMPUTED_VALUE"""),2.0)</f>
        <v>2</v>
      </c>
      <c r="G36" s="55"/>
      <c r="H36" s="56">
        <f>IFERROR(__xludf.DUMMYFUNCTION("""COMPUTED_VALUE"""),9.0)</f>
        <v>9</v>
      </c>
      <c r="I36" s="57">
        <f>IFERROR(__xludf.DUMMYFUNCTION("""COMPUTED_VALUE"""),2.0)</f>
        <v>2</v>
      </c>
      <c r="J36" s="58">
        <f>IFERROR(__xludf.DUMMYFUNCTION("""COMPUTED_VALUE"""),9.0)</f>
        <v>9</v>
      </c>
      <c r="K36" s="51"/>
      <c r="L36" s="60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IFERROR(__xludf.DUMMYFUNCTION("""COMPUTED_VALUE"""),6.0)</f>
        <v>6</v>
      </c>
      <c r="F37" s="54">
        <f>IFERROR(__xludf.DUMMYFUNCTION("""COMPUTED_VALUE"""),2.0)</f>
        <v>2</v>
      </c>
      <c r="G37" s="55"/>
      <c r="H37" s="56">
        <f>IFERROR(__xludf.DUMMYFUNCTION("""COMPUTED_VALUE"""),8.0)</f>
        <v>8</v>
      </c>
      <c r="I37" s="57">
        <f>IFERROR(__xludf.DUMMYFUNCTION("""COMPUTED_VALUE"""),1.0)</f>
        <v>1</v>
      </c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IFERROR(__xludf.DUMMYFUNCTION("""COMPUTED_VALUE"""),5.0)</f>
        <v>5</v>
      </c>
      <c r="F38" s="54">
        <f>IFERROR(__xludf.DUMMYFUNCTION("""COMPUTED_VALUE"""),2.0)</f>
        <v>2</v>
      </c>
      <c r="G38" s="55"/>
      <c r="H38" s="56">
        <f>IFERROR(__xludf.DUMMYFUNCTION("""COMPUTED_VALUE"""),7.0)</f>
        <v>7</v>
      </c>
      <c r="I38" s="57">
        <f>IFERROR(__xludf.DUMMYFUNCTION("""COMPUTED_VALUE"""),0.0)</f>
        <v>0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IFERROR(__xludf.DUMMYFUNCTION("""COMPUTED_VALUE"""),7.0)</f>
        <v>7</v>
      </c>
      <c r="F39" s="54">
        <f>IFERROR(__xludf.DUMMYFUNCTION("""COMPUTED_VALUE"""),2.0)</f>
        <v>2</v>
      </c>
      <c r="G39" s="55">
        <f>IFERROR(__xludf.DUMMYFUNCTION("""COMPUTED_VALUE"""),1.0)</f>
        <v>1</v>
      </c>
      <c r="H39" s="56">
        <f>IFERROR(__xludf.DUMMYFUNCTION("""COMPUTED_VALUE"""),10.0)</f>
        <v>10</v>
      </c>
      <c r="I39" s="57">
        <f>IFERROR(__xludf.DUMMYFUNCTION("""COMPUTED_VALUE"""),2.0)</f>
        <v>2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IFERROR(__xludf.DUMMYFUNCTION("""COMPUTED_VALUE"""),1.0)</f>
        <v>1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IFERROR(__xludf.DUMMYFUNCTION("""COMPUTED_VALUE"""),1.0)</f>
        <v>1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IFERROR(__xludf.DUMMYFUNCTION("""COMPUTED_VALUE"""),1.0)</f>
        <v>1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IFERROR(__xludf.DUMMYFUNCTION("""COMPUTED_VALUE"""),7.0)</f>
        <v>7</v>
      </c>
      <c r="F43" s="54">
        <f>IFERROR(__xludf.DUMMYFUNCTION("""COMPUTED_VALUE"""),2.0)</f>
        <v>2</v>
      </c>
      <c r="G43" s="55">
        <f>IFERROR(__xludf.DUMMYFUNCTION("""COMPUTED_VALUE"""),1.0)</f>
        <v>1</v>
      </c>
      <c r="H43" s="56">
        <f>IFERROR(__xludf.DUMMYFUNCTION("""COMPUTED_VALUE"""),10.0)</f>
        <v>10</v>
      </c>
      <c r="I43" s="57">
        <f>IFERROR(__xludf.DUMMYFUNCTION("""COMPUTED_VALUE"""),1.0)</f>
        <v>1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IFERROR(__xludf.DUMMYFUNCTION("""COMPUTED_VALUE"""),5.0)</f>
        <v>5</v>
      </c>
      <c r="F44" s="54">
        <f>IFERROR(__xludf.DUMMYFUNCTION("""COMPUTED_VALUE"""),2.0)</f>
        <v>2</v>
      </c>
      <c r="G44" s="55"/>
      <c r="H44" s="56">
        <f>IFERROR(__xludf.DUMMYFUNCTION("""COMPUTED_VALUE"""),7.0)</f>
        <v>7</v>
      </c>
      <c r="I44" s="57">
        <f>IFERROR(__xludf.DUMMYFUNCTION("""COMPUTED_VALUE"""),1.0)</f>
        <v>1</v>
      </c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IFERROR(__xludf.DUMMYFUNCTION("""COMPUTED_VALUE"""),7.0)</f>
        <v>7</v>
      </c>
      <c r="F45" s="54">
        <f>IFERROR(__xludf.DUMMYFUNCTION("""COMPUTED_VALUE"""),2.0)</f>
        <v>2</v>
      </c>
      <c r="G45" s="55"/>
      <c r="H45" s="56">
        <f>IFERROR(__xludf.DUMMYFUNCTION("""COMPUTED_VALUE"""),9.0)</f>
        <v>9</v>
      </c>
      <c r="I45" s="57">
        <f>IFERROR(__xludf.DUMMYFUNCTION("""COMPUTED_VALUE"""),0.0)</f>
        <v>0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IFERROR(__xludf.DUMMYFUNCTION("""COMPUTED_VALUE"""),8.0)</f>
        <v>8</v>
      </c>
      <c r="F46" s="54">
        <f>IFERROR(__xludf.DUMMYFUNCTION("""COMPUTED_VALUE"""),2.0)</f>
        <v>2</v>
      </c>
      <c r="G46" s="55"/>
      <c r="H46" s="56">
        <f>IFERROR(__xludf.DUMMYFUNCTION("""COMPUTED_VALUE"""),10.0)</f>
        <v>10</v>
      </c>
      <c r="I46" s="57">
        <f>IFERROR(__xludf.DUMMYFUNCTION("""COMPUTED_VALUE"""),2.0)</f>
        <v>2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IFERROR(__xludf.DUMMYFUNCTION("""COMPUTED_VALUE"""),5.0)</f>
        <v>5</v>
      </c>
      <c r="F47" s="54">
        <f>IFERROR(__xludf.DUMMYFUNCTION("""COMPUTED_VALUE"""),2.0)</f>
        <v>2</v>
      </c>
      <c r="G47" s="55"/>
      <c r="H47" s="56">
        <f>IFERROR(__xludf.DUMMYFUNCTION("""COMPUTED_VALUE"""),7.0)</f>
        <v>7</v>
      </c>
      <c r="I47" s="57">
        <f>IFERROR(__xludf.DUMMYFUNCTION("""COMPUTED_VALUE"""),4.0)</f>
        <v>4</v>
      </c>
      <c r="J47" s="58">
        <f>IFERROR(__xludf.DUMMYFUNCTION("""COMPUTED_VALUE"""),7.0)</f>
        <v>7</v>
      </c>
      <c r="K47" s="51"/>
      <c r="L47" s="60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/>
      <c r="H48" s="56">
        <f>IFERROR(__xludf.DUMMYFUNCTION("""COMPUTED_VALUE"""),10.0)</f>
        <v>10</v>
      </c>
      <c r="I48" s="57">
        <f>IFERROR(__xludf.DUMMYFUNCTION("""COMPUTED_VALUE"""),3.0)</f>
        <v>3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IFERROR(__xludf.DUMMYFUNCTION("""COMPUTED_VALUE"""),4.0)</f>
        <v>4</v>
      </c>
      <c r="F49" s="54">
        <f>IFERROR(__xludf.DUMMYFUNCTION("""COMPUTED_VALUE"""),2.0)</f>
        <v>2</v>
      </c>
      <c r="G49" s="55"/>
      <c r="H49" s="56">
        <f>IFERROR(__xludf.DUMMYFUNCTION("""COMPUTED_VALUE"""),6.0)</f>
        <v>6</v>
      </c>
      <c r="I49" s="57">
        <f>IFERROR(__xludf.DUMMYFUNCTION("""COMPUTED_VALUE"""),0.0)</f>
        <v>0</v>
      </c>
      <c r="J49" s="58">
        <f>IFERROR(__xludf.DUMMYFUNCTION("""COMPUTED_VALUE"""),6.0)</f>
        <v>6</v>
      </c>
      <c r="K49" s="51"/>
      <c r="L49" s="60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IFERROR(__xludf.DUMMYFUNCTION("""COMPUTED_VALUE"""),6.0)</f>
        <v>6</v>
      </c>
      <c r="F50" s="54">
        <f>IFERROR(__xludf.DUMMYFUNCTION("""COMPUTED_VALUE"""),2.0)</f>
        <v>2</v>
      </c>
      <c r="G50" s="55"/>
      <c r="H50" s="56">
        <f>IFERROR(__xludf.DUMMYFUNCTION("""COMPUTED_VALUE"""),8.0)</f>
        <v>8</v>
      </c>
      <c r="I50" s="57">
        <f>IFERROR(__xludf.DUMMYFUNCTION("""COMPUTED_VALUE"""),2.0)</f>
        <v>2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>
        <f>IFERROR(__xludf.DUMMYFUNCTION("""COMPUTED_VALUE"""),1.0)</f>
        <v>1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IFERROR(__xludf.DUMMYFUNCTION("""COMPUTED_VALUE"""),1.0)</f>
        <v>1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>
        <f>IFERROR(__xludf.DUMMYFUNCTION("""COMPUTED_VALUE"""),1.0)</f>
        <v>1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/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IFERROR(__xludf.DUMMYFUNCTION("""COMPUTED_VALUE"""),7.0)</f>
        <v>7</v>
      </c>
      <c r="F55" s="54">
        <f>IFERROR(__xludf.DUMMYFUNCTION("""COMPUTED_VALUE"""),2.0)</f>
        <v>2</v>
      </c>
      <c r="G55" s="55"/>
      <c r="H55" s="56">
        <f>IFERROR(__xludf.DUMMYFUNCTION("""COMPUTED_VALUE"""),9.0)</f>
        <v>9</v>
      </c>
      <c r="I55" s="61">
        <f>IFERROR(__xludf.DUMMYFUNCTION("""COMPUTED_VALUE"""),1.0)</f>
        <v>1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IFERROR(__xludf.DUMMYFUNCTION("""COMPUTED_VALUE"""),7.0)</f>
        <v>7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IFERROR(__xludf.DUMMYFUNCTION("""COMPUTED_VALUE"""),10.0)</f>
        <v>10</v>
      </c>
      <c r="I56" s="61">
        <f>IFERROR(__xludf.DUMMYFUNCTION("""COMPUTED_VALUE"""),1.0)</f>
        <v>1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IFERROR(__xludf.DUMMYFUNCTION("""COMPUTED_VALUE"""),8.0)</f>
        <v>8</v>
      </c>
      <c r="F57" s="54">
        <f>IFERROR(__xludf.DUMMYFUNCTION("""COMPUTED_VALUE"""),2.0)</f>
        <v>2</v>
      </c>
      <c r="G57" s="55"/>
      <c r="H57" s="56">
        <f>IFERROR(__xludf.DUMMYFUNCTION("""COMPUTED_VALUE"""),10.0)</f>
        <v>10</v>
      </c>
      <c r="I57" s="61">
        <f>IFERROR(__xludf.DUMMYFUNCTION("""COMPUTED_VALUE"""),0.0)</f>
        <v>0</v>
      </c>
      <c r="J57" s="58">
        <f>IFERROR(__xludf.DUMMYFUNCTION("""COMPUTED_VALUE"""),10.0)</f>
        <v>10</v>
      </c>
      <c r="K57" s="51"/>
      <c r="L57" s="59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IFERROR(__xludf.DUMMYFUNCTION("""COMPUTED_VALUE"""),7.0)</f>
        <v>7</v>
      </c>
      <c r="F58" s="54">
        <f>IFERROR(__xludf.DUMMYFUNCTION("""COMPUTED_VALUE"""),2.0)</f>
        <v>2</v>
      </c>
      <c r="G58" s="55"/>
      <c r="H58" s="56">
        <f>IFERROR(__xludf.DUMMYFUNCTION("""COMPUTED_VALUE"""),9.0)</f>
        <v>9</v>
      </c>
      <c r="I58" s="61">
        <f>IFERROR(__xludf.DUMMYFUNCTION("""COMPUTED_VALUE"""),0.0)</f>
        <v>0</v>
      </c>
      <c r="J58" s="58">
        <f>IFERROR(__xludf.DUMMYFUNCTION("""COMPUTED_VALUE"""),9.0)</f>
        <v>9</v>
      </c>
      <c r="K58" s="51"/>
      <c r="L58" s="59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IFERROR(__xludf.DUMMYFUNCTION("""COMPUTED_VALUE"""),6.0)</f>
        <v>6</v>
      </c>
      <c r="F59" s="54">
        <f>IFERROR(__xludf.DUMMYFUNCTION("""COMPUTED_VALUE"""),2.0)</f>
        <v>2</v>
      </c>
      <c r="G59" s="55"/>
      <c r="H59" s="56">
        <f>IFERROR(__xludf.DUMMYFUNCTION("""COMPUTED_VALUE"""),8.0)</f>
        <v>8</v>
      </c>
      <c r="I59" s="61">
        <f>IFERROR(__xludf.DUMMYFUNCTION("""COMPUTED_VALUE"""),3.0)</f>
        <v>3</v>
      </c>
      <c r="J59" s="58">
        <f>IFERROR(__xludf.DUMMYFUNCTION("""COMPUTED_VALUE"""),8.0)</f>
        <v>8</v>
      </c>
      <c r="K59" s="51"/>
      <c r="L59" s="59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3" t="str">
        <f>IFERROR(__xludf.DUMMYFUNCTION("""COMPUTED_VALUE"""),"ENRIQUE SEBASTIAN")</f>
        <v>ENRIQUE SEBASTIAN</v>
      </c>
      <c r="E61" s="54">
        <f>IFERROR(__xludf.DUMMYFUNCTION("""COMPUTED_VALUE"""),7.0)</f>
        <v>7</v>
      </c>
      <c r="F61" s="54">
        <f>IFERROR(__xludf.DUMMYFUNCTION("""COMPUTED_VALUE"""),2.0)</f>
        <v>2</v>
      </c>
      <c r="G61" s="55">
        <f>IFERROR(__xludf.DUMMYFUNCTION("""COMPUTED_VALUE"""),1.0)</f>
        <v>1</v>
      </c>
      <c r="H61" s="56">
        <f>IFERROR(__xludf.DUMMYFUNCTION("""COMPUTED_VALUE"""),10.0)</f>
        <v>10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109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110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111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IFERROR(__xludf.DUMMYFUNCTION("""COMPUTED_VALUE"""),45.0)</f>
        <v>45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IFERROR(__xludf.DUMMYFUNCTION("""COMPUTED_VALUE"""),0.0)</f>
        <v>0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IFERROR(__xludf.DUMMYFUNCTION("""COMPUTED_VALUE"""),100.0)</f>
        <v>100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IFERROR(__xludf.DUMMYFUNCTION("""COMPUTED_VALUE"""),8.933333333333334)</f>
        <v>8.933333333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</row>
    <row r="1009" ht="15.75" customHeight="1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</row>
    <row r="1010" ht="15.75" customHeight="1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IFERROR(__xludf.DUMMYFUNCTION("IMPORTRANGE(""https://docs.google.com/spreadsheets/d/1Ggu00VW922tLGbyIEOu4GFMxFoUoQ4O-ziVzg8amnZc/edit?gid=796572139#gid=796572139"",""3-3 diseño digital!a1:q85"")"),"")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IFERROR(__xludf.DUMMYFUNCTION("""COMPUTED_VALUE"""),"FRANCISCO  JESUS CRUZ GARCIA ")</f>
        <v>FRANCISCO  JESUS CRUZ GARCIA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IFERROR(__xludf.DUMMYFUNCTION("""COMPUTED_VALUE"""),"DISEÑO DIGITAL")</f>
        <v>DISEÑO DIGITAL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IFERROR(__xludf.DUMMYFUNCTION("""COMPUTED_VALUE"""),1.0)</f>
        <v>1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IFERROR(__xludf.DUMMYFUNCTION("""COMPUTED_VALUE"""),7.0)</f>
        <v>7</v>
      </c>
      <c r="F19" s="54">
        <f>IFERROR(__xludf.DUMMYFUNCTION("""COMPUTED_VALUE"""),2.0)</f>
        <v>2</v>
      </c>
      <c r="G19" s="55"/>
      <c r="H19" s="56">
        <f>IFERROR(__xludf.DUMMYFUNCTION("""COMPUTED_VALUE"""),9.0)</f>
        <v>9</v>
      </c>
      <c r="I19" s="57">
        <f>IFERROR(__xludf.DUMMYFUNCTION("""COMPUTED_VALUE"""),0.0)</f>
        <v>0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IFERROR(__xludf.DUMMYFUNCTION("""COMPUTED_VALUE"""),1.0)</f>
        <v>1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IFERROR(__xludf.DUMMYFUNCTION("""COMPUTED_VALUE"""),7.0)</f>
        <v>7</v>
      </c>
      <c r="F22" s="54">
        <f>IFERROR(__xludf.DUMMYFUNCTION("""COMPUTED_VALUE"""),2.0)</f>
        <v>2</v>
      </c>
      <c r="G22" s="55"/>
      <c r="H22" s="56">
        <f>IFERROR(__xludf.DUMMYFUNCTION("""COMPUTED_VALUE"""),9.0)</f>
        <v>9</v>
      </c>
      <c r="I22" s="57">
        <f>IFERROR(__xludf.DUMMYFUNCTION("""COMPUTED_VALUE"""),2.0)</f>
        <v>2</v>
      </c>
      <c r="J22" s="58">
        <f>IFERROR(__xludf.DUMMYFUNCTION("""COMPUTED_VALUE"""),9.0)</f>
        <v>9</v>
      </c>
      <c r="K22" s="51"/>
      <c r="L22" s="60">
        <f>IFERROR(__xludf.DUMMYFUNCTION("""COMPUTED_VALUE"""),9.0)</f>
        <v>9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IFERROR(__xludf.DUMMYFUNCTION("""COMPUTED_VALUE"""),7.0)</f>
        <v>7</v>
      </c>
      <c r="F23" s="54">
        <f>IFERROR(__xludf.DUMMYFUNCTION("""COMPUTED_VALUE"""),1.0)</f>
        <v>1</v>
      </c>
      <c r="G23" s="55"/>
      <c r="H23" s="56">
        <f>IFERROR(__xludf.DUMMYFUNCTION("""COMPUTED_VALUE"""),8.0)</f>
        <v>8</v>
      </c>
      <c r="I23" s="57">
        <f>IFERROR(__xludf.DUMMYFUNCTION("""COMPUTED_VALUE"""),2.0)</f>
        <v>2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IFERROR(__xludf.DUMMYFUNCTION("""COMPUTED_VALUE"""),8.0)</f>
        <v>8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IFERROR(__xludf.DUMMYFUNCTION("""COMPUTED_VALUE"""),11.0)</f>
        <v>11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IFERROR(__xludf.DUMMYFUNCTION("""COMPUTED_VALUE"""),11.0)</f>
        <v>11</v>
      </c>
      <c r="M24" s="1" t="str">
        <f>IFERROR(__xludf.DUMMYFUNCTION("""COMPUTED_VALUE"""),"TOTAL")</f>
        <v>TOTAL</v>
      </c>
      <c r="N24" s="1">
        <f>IFERROR(__xludf.DUMMYFUNCTION("""COMPUTED_VALUE"""),24.0)</f>
        <v>24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IFERROR(__xludf.DUMMYFUNCTION("""COMPUTED_VALUE"""),8.0)</f>
        <v>8</v>
      </c>
      <c r="F25" s="54">
        <f>IFERROR(__xludf.DUMMYFUNCTION("""COMPUTED_VALUE"""),1.0)</f>
        <v>1</v>
      </c>
      <c r="G25" s="55">
        <f>IFERROR(__xludf.DUMMYFUNCTION("""COMPUTED_VALUE"""),1.0)</f>
        <v>1</v>
      </c>
      <c r="H25" s="56">
        <f>IFERROR(__xludf.DUMMYFUNCTION("""COMPUTED_VALUE"""),10.0)</f>
        <v>10</v>
      </c>
      <c r="I25" s="57">
        <f>IFERROR(__xludf.DUMMYFUNCTION("""COMPUTED_VALUE"""),1.0)</f>
        <v>1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IFERROR(__xludf.DUMMYFUNCTION("""COMPUTED_VALUE"""),8.0)</f>
        <v>8</v>
      </c>
      <c r="F26" s="54">
        <f>IFERROR(__xludf.DUMMYFUNCTION("""COMPUTED_VALUE"""),1.0)</f>
        <v>1</v>
      </c>
      <c r="G26" s="55"/>
      <c r="H26" s="56">
        <f>IFERROR(__xludf.DUMMYFUNCTION("""COMPUTED_VALUE"""),9.0)</f>
        <v>9</v>
      </c>
      <c r="I26" s="57">
        <f>IFERROR(__xludf.DUMMYFUNCTION("""COMPUTED_VALUE"""),1.0)</f>
        <v>1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/>
      <c r="H27" s="56">
        <f>IFERROR(__xludf.DUMMYFUNCTION("""COMPUTED_VALUE"""),10.0)</f>
        <v>10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IFERROR(__xludf.DUMMYFUNCTION("""COMPUTED_VALUE"""),10.0)</f>
        <v>10</v>
      </c>
      <c r="I28" s="57">
        <f>IFERROR(__xludf.DUMMYFUNCTION("""COMPUTED_VALUE"""),1.0)</f>
        <v>1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IFERROR(__xludf.DUMMYFUNCTION("""COMPUTED_VALUE"""),7.0)</f>
        <v>7</v>
      </c>
      <c r="F30" s="54">
        <f>IFERROR(__xludf.DUMMYFUNCTION("""COMPUTED_VALUE"""),2.0)</f>
        <v>2</v>
      </c>
      <c r="G30" s="55"/>
      <c r="H30" s="56">
        <f>IFERROR(__xludf.DUMMYFUNCTION("""COMPUTED_VALUE"""),9.0)</f>
        <v>9</v>
      </c>
      <c r="I30" s="57">
        <f>IFERROR(__xludf.DUMMYFUNCTION("""COMPUTED_VALUE"""),2.0)</f>
        <v>2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IFERROR(__xludf.DUMMYFUNCTION("""COMPUTED_VALUE"""),7.0)</f>
        <v>7</v>
      </c>
      <c r="F33" s="54">
        <f>IFERROR(__xludf.DUMMYFUNCTION("""COMPUTED_VALUE"""),2.0)</f>
        <v>2</v>
      </c>
      <c r="G33" s="55"/>
      <c r="H33" s="56">
        <f>IFERROR(__xludf.DUMMYFUNCTION("""COMPUTED_VALUE"""),9.0)</f>
        <v>9</v>
      </c>
      <c r="I33" s="57">
        <f>IFERROR(__xludf.DUMMYFUNCTION("""COMPUTED_VALUE"""),2.0)</f>
        <v>2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IFERROR(__xludf.DUMMYFUNCTION("""COMPUTED_VALUE"""),7.0)</f>
        <v>7</v>
      </c>
      <c r="F34" s="54">
        <f>IFERROR(__xludf.DUMMYFUNCTION("""COMPUTED_VALUE"""),2.0)</f>
        <v>2</v>
      </c>
      <c r="G34" s="55"/>
      <c r="H34" s="56">
        <f>IFERROR(__xludf.DUMMYFUNCTION("""COMPUTED_VALUE"""),9.0)</f>
        <v>9</v>
      </c>
      <c r="I34" s="57">
        <f>IFERROR(__xludf.DUMMYFUNCTION("""COMPUTED_VALUE"""),2.0)</f>
        <v>2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IFERROR(__xludf.DUMMYFUNCTION("""COMPUTED_VALUE"""),7.0)</f>
        <v>7</v>
      </c>
      <c r="F35" s="54">
        <f>IFERROR(__xludf.DUMMYFUNCTION("""COMPUTED_VALUE"""),2.0)</f>
        <v>2</v>
      </c>
      <c r="G35" s="55"/>
      <c r="H35" s="56">
        <f>IFERROR(__xludf.DUMMYFUNCTION("""COMPUTED_VALUE"""),9.0)</f>
        <v>9</v>
      </c>
      <c r="I35" s="57">
        <f>IFERROR(__xludf.DUMMYFUNCTION("""COMPUTED_VALUE"""),2.0)</f>
        <v>2</v>
      </c>
      <c r="J35" s="58">
        <f>IFERROR(__xludf.DUMMYFUNCTION("""COMPUTED_VALUE"""),9.0)</f>
        <v>9</v>
      </c>
      <c r="K35" s="51"/>
      <c r="L35" s="60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IFERROR(__xludf.DUMMYFUNCTION("""COMPUTED_VALUE"""),8.0)</f>
        <v>8</v>
      </c>
      <c r="F36" s="54">
        <f>IFERROR(__xludf.DUMMYFUNCTION("""COMPUTED_VALUE"""),1.0)</f>
        <v>1</v>
      </c>
      <c r="G36" s="55"/>
      <c r="H36" s="56">
        <f>IFERROR(__xludf.DUMMYFUNCTION("""COMPUTED_VALUE"""),9.0)</f>
        <v>9</v>
      </c>
      <c r="I36" s="57">
        <f>IFERROR(__xludf.DUMMYFUNCTION("""COMPUTED_VALUE"""),0.0)</f>
        <v>0</v>
      </c>
      <c r="J36" s="58">
        <f>IFERROR(__xludf.DUMMYFUNCTION("""COMPUTED_VALUE"""),9.0)</f>
        <v>9</v>
      </c>
      <c r="K36" s="51"/>
      <c r="L36" s="60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IFERROR(__xludf.DUMMYFUNCTION("""COMPUTED_VALUE"""),6.0)</f>
        <v>6</v>
      </c>
      <c r="F37" s="54">
        <f>IFERROR(__xludf.DUMMYFUNCTION("""COMPUTED_VALUE"""),1.0)</f>
        <v>1</v>
      </c>
      <c r="G37" s="55"/>
      <c r="H37" s="56">
        <f>IFERROR(__xludf.DUMMYFUNCTION("""COMPUTED_VALUE"""),7.0)</f>
        <v>7</v>
      </c>
      <c r="I37" s="57">
        <f>IFERROR(__xludf.DUMMYFUNCTION("""COMPUTED_VALUE"""),2.0)</f>
        <v>2</v>
      </c>
      <c r="J37" s="58">
        <f>IFERROR(__xludf.DUMMYFUNCTION("""COMPUTED_VALUE"""),7.0)</f>
        <v>7</v>
      </c>
      <c r="K37" s="51"/>
      <c r="L37" s="60">
        <f>IFERROR(__xludf.DUMMYFUNCTION("""COMPUTED_VALUE"""),7.0)</f>
        <v>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IFERROR(__xludf.DUMMYFUNCTION("""COMPUTED_VALUE"""),6.0)</f>
        <v>6</v>
      </c>
      <c r="F38" s="54">
        <f>IFERROR(__xludf.DUMMYFUNCTION("""COMPUTED_VALUE"""),1.0)</f>
        <v>1</v>
      </c>
      <c r="G38" s="55"/>
      <c r="H38" s="56">
        <f>IFERROR(__xludf.DUMMYFUNCTION("""COMPUTED_VALUE"""),7.0)</f>
        <v>7</v>
      </c>
      <c r="I38" s="57">
        <f>IFERROR(__xludf.DUMMYFUNCTION("""COMPUTED_VALUE"""),0.0)</f>
        <v>0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IFERROR(__xludf.DUMMYFUNCTION("""COMPUTED_VALUE"""),8.0)</f>
        <v>8</v>
      </c>
      <c r="F39" s="54">
        <f>IFERROR(__xludf.DUMMYFUNCTION("""COMPUTED_VALUE"""),1.0)</f>
        <v>1</v>
      </c>
      <c r="G39" s="55">
        <f>IFERROR(__xludf.DUMMYFUNCTION("""COMPUTED_VALUE"""),1.0)</f>
        <v>1</v>
      </c>
      <c r="H39" s="56">
        <f>IFERROR(__xludf.DUMMYFUNCTION("""COMPUTED_VALUE"""),10.0)</f>
        <v>10</v>
      </c>
      <c r="I39" s="57">
        <f>IFERROR(__xludf.DUMMYFUNCTION("""COMPUTED_VALUE"""),2.0)</f>
        <v>2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IFERROR(__xludf.DUMMYFUNCTION("""COMPUTED_VALUE"""),2.0)</f>
        <v>2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IFERROR(__xludf.DUMMYFUNCTION("""COMPUTED_VALUE"""),2.0)</f>
        <v>2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>
        <f>IFERROR(__xludf.DUMMYFUNCTION("""COMPUTED_VALUE"""),1.0)</f>
        <v>1</v>
      </c>
      <c r="H43" s="56">
        <f>IFERROR(__xludf.DUMMYFUNCTION("""COMPUTED_VALUE"""),11.0)</f>
        <v>11</v>
      </c>
      <c r="I43" s="57">
        <f>IFERROR(__xludf.DUMMYFUNCTION("""COMPUTED_VALUE"""),2.0)</f>
        <v>2</v>
      </c>
      <c r="J43" s="58">
        <f>IFERROR(__xludf.DUMMYFUNCTION("""COMPUTED_VALUE"""),10.0)</f>
        <v>10</v>
      </c>
      <c r="K43" s="51"/>
      <c r="L43" s="60">
        <f>IFERROR(__xludf.DUMMYFUNCTION("""COMPUTED_VALUE"""),11.0)</f>
        <v>11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IFERROR(__xludf.DUMMYFUNCTION("""COMPUTED_VALUE"""),6.0)</f>
        <v>6</v>
      </c>
      <c r="F44" s="54">
        <f>IFERROR(__xludf.DUMMYFUNCTION("""COMPUTED_VALUE"""),2.0)</f>
        <v>2</v>
      </c>
      <c r="G44" s="55"/>
      <c r="H44" s="56">
        <f>IFERROR(__xludf.DUMMYFUNCTION("""COMPUTED_VALUE"""),8.0)</f>
        <v>8</v>
      </c>
      <c r="I44" s="57">
        <f>IFERROR(__xludf.DUMMYFUNCTION("""COMPUTED_VALUE"""),3.0)</f>
        <v>3</v>
      </c>
      <c r="J44" s="58">
        <f>IFERROR(__xludf.DUMMYFUNCTION("""COMPUTED_VALUE"""),8.0)</f>
        <v>8</v>
      </c>
      <c r="K44" s="51"/>
      <c r="L44" s="60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IFERROR(__xludf.DUMMYFUNCTION("""COMPUTED_VALUE"""),7.0)</f>
        <v>7</v>
      </c>
      <c r="F45" s="54">
        <f>IFERROR(__xludf.DUMMYFUNCTION("""COMPUTED_VALUE"""),2.0)</f>
        <v>2</v>
      </c>
      <c r="G45" s="55"/>
      <c r="H45" s="56">
        <f>IFERROR(__xludf.DUMMYFUNCTION("""COMPUTED_VALUE"""),9.0)</f>
        <v>9</v>
      </c>
      <c r="I45" s="57">
        <f>IFERROR(__xludf.DUMMYFUNCTION("""COMPUTED_VALUE"""),2.0)</f>
        <v>2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IFERROR(__xludf.DUMMYFUNCTION("""COMPUTED_VALUE"""),3.0)</f>
        <v>3</v>
      </c>
      <c r="F46" s="54">
        <f>IFERROR(__xludf.DUMMYFUNCTION("""COMPUTED_VALUE"""),2.0)</f>
        <v>2</v>
      </c>
      <c r="G46" s="55"/>
      <c r="H46" s="56">
        <f>IFERROR(__xludf.DUMMYFUNCTION("""COMPUTED_VALUE"""),5.0)</f>
        <v>5</v>
      </c>
      <c r="I46" s="57">
        <f>IFERROR(__xludf.DUMMYFUNCTION("""COMPUTED_VALUE"""),2.0)</f>
        <v>2</v>
      </c>
      <c r="J46" s="58">
        <f>IFERROR(__xludf.DUMMYFUNCTION("""COMPUTED_VALUE"""),5.0)</f>
        <v>5</v>
      </c>
      <c r="K46" s="51"/>
      <c r="L46" s="60">
        <f>IFERROR(__xludf.DUMMYFUNCTION("""COMPUTED_VALUE"""),5.0)</f>
        <v>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IFERROR(__xludf.DUMMYFUNCTION("""COMPUTED_VALUE"""),8.0)</f>
        <v>8</v>
      </c>
      <c r="F47" s="54">
        <f>IFERROR(__xludf.DUMMYFUNCTION("""COMPUTED_VALUE"""),1.0)</f>
        <v>1</v>
      </c>
      <c r="G47" s="55"/>
      <c r="H47" s="56">
        <f>IFERROR(__xludf.DUMMYFUNCTION("""COMPUTED_VALUE"""),9.0)</f>
        <v>9</v>
      </c>
      <c r="I47" s="57">
        <f>IFERROR(__xludf.DUMMYFUNCTION("""COMPUTED_VALUE"""),0.0)</f>
        <v>0</v>
      </c>
      <c r="J47" s="58">
        <f>IFERROR(__xludf.DUMMYFUNCTION("""COMPUTED_VALUE"""),9.0)</f>
        <v>9</v>
      </c>
      <c r="K47" s="51"/>
      <c r="L47" s="60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/>
      <c r="H48" s="56">
        <f>IFERROR(__xludf.DUMMYFUNCTION("""COMPUTED_VALUE"""),10.0)</f>
        <v>10</v>
      </c>
      <c r="I48" s="57">
        <f>IFERROR(__xludf.DUMMYFUNCTION("""COMPUTED_VALUE"""),2.0)</f>
        <v>2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IFERROR(__xludf.DUMMYFUNCTION("""COMPUTED_VALUE"""),6.0)</f>
        <v>6</v>
      </c>
      <c r="F49" s="54">
        <f>IFERROR(__xludf.DUMMYFUNCTION("""COMPUTED_VALUE"""),2.0)</f>
        <v>2</v>
      </c>
      <c r="G49" s="55"/>
      <c r="H49" s="56">
        <f>IFERROR(__xludf.DUMMYFUNCTION("""COMPUTED_VALUE"""),8.0)</f>
        <v>8</v>
      </c>
      <c r="I49" s="57">
        <f>IFERROR(__xludf.DUMMYFUNCTION("""COMPUTED_VALUE"""),2.0)</f>
        <v>2</v>
      </c>
      <c r="J49" s="58">
        <f>IFERROR(__xludf.DUMMYFUNCTION("""COMPUTED_VALUE"""),8.0)</f>
        <v>8</v>
      </c>
      <c r="K49" s="51"/>
      <c r="L49" s="60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IFERROR(__xludf.DUMMYFUNCTION("""COMPUTED_VALUE"""),8.0)</f>
        <v>8</v>
      </c>
      <c r="F50" s="54">
        <f>IFERROR(__xludf.DUMMYFUNCTION("""COMPUTED_VALUE"""),1.0)</f>
        <v>1</v>
      </c>
      <c r="G50" s="55"/>
      <c r="H50" s="56">
        <f>IFERROR(__xludf.DUMMYFUNCTION("""COMPUTED_VALUE"""),9.0)</f>
        <v>9</v>
      </c>
      <c r="I50" s="57">
        <f>IFERROR(__xludf.DUMMYFUNCTION("""COMPUTED_VALUE"""),2.0)</f>
        <v>2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IFERROR(__xludf.DUMMYFUNCTION("""COMPUTED_VALUE"""),7.0)</f>
        <v>7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IFERROR(__xludf.DUMMYFUNCTION("""COMPUTED_VALUE"""),6.0)</f>
        <v>6</v>
      </c>
      <c r="F52" s="54">
        <f>IFERROR(__xludf.DUMMYFUNCTION("""COMPUTED_VALUE"""),2.0)</f>
        <v>2</v>
      </c>
      <c r="G52" s="55"/>
      <c r="H52" s="56">
        <f>IFERROR(__xludf.DUMMYFUNCTION("""COMPUTED_VALUE"""),8.0)</f>
        <v>8</v>
      </c>
      <c r="I52" s="57">
        <f>IFERROR(__xludf.DUMMYFUNCTION("""COMPUTED_VALUE"""),2.0)</f>
        <v>2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/>
      <c r="H54" s="56">
        <f>IFERROR(__xludf.DUMMYFUNCTION("""COMPUTED_VALUE"""),8.0)</f>
        <v>8</v>
      </c>
      <c r="I54" s="57">
        <f>IFERROR(__xludf.DUMMYFUNCTION("""COMPUTED_VALUE"""),2.0)</f>
        <v>2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IFERROR(__xludf.DUMMYFUNCTION("""COMPUTED_VALUE"""),8.0)</f>
        <v>8</v>
      </c>
      <c r="F55" s="54">
        <f>IFERROR(__xludf.DUMMYFUNCTION("""COMPUTED_VALUE"""),1.0)</f>
        <v>1</v>
      </c>
      <c r="G55" s="55"/>
      <c r="H55" s="56">
        <f>IFERROR(__xludf.DUMMYFUNCTION("""COMPUTED_VALUE"""),9.0)</f>
        <v>9</v>
      </c>
      <c r="I55" s="61">
        <f>IFERROR(__xludf.DUMMYFUNCTION("""COMPUTED_VALUE"""),0.0)</f>
        <v>0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IFERROR(__xludf.DUMMYFUNCTION("""COMPUTED_VALUE"""),8.0)</f>
        <v>8</v>
      </c>
      <c r="F56" s="54">
        <f>IFERROR(__xludf.DUMMYFUNCTION("""COMPUTED_VALUE"""),1.0)</f>
        <v>1</v>
      </c>
      <c r="G56" s="55">
        <f>IFERROR(__xludf.DUMMYFUNCTION("""COMPUTED_VALUE"""),1.0)</f>
        <v>1</v>
      </c>
      <c r="H56" s="56">
        <f>IFERROR(__xludf.DUMMYFUNCTION("""COMPUTED_VALUE"""),10.0)</f>
        <v>10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IFERROR(__xludf.DUMMYFUNCTION("""COMPUTED_VALUE"""),8.0)</f>
        <v>8</v>
      </c>
      <c r="F57" s="54">
        <f>IFERROR(__xludf.DUMMYFUNCTION("""COMPUTED_VALUE"""),1.0)</f>
        <v>1</v>
      </c>
      <c r="G57" s="55"/>
      <c r="H57" s="56">
        <f>IFERROR(__xludf.DUMMYFUNCTION("""COMPUTED_VALUE"""),9.0)</f>
        <v>9</v>
      </c>
      <c r="I57" s="61">
        <f>IFERROR(__xludf.DUMMYFUNCTION("""COMPUTED_VALUE"""),0.0)</f>
        <v>0</v>
      </c>
      <c r="J57" s="58">
        <f>IFERROR(__xludf.DUMMYFUNCTION("""COMPUTED_VALUE"""),9.0)</f>
        <v>9</v>
      </c>
      <c r="K57" s="51"/>
      <c r="L57" s="59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IFERROR(__xludf.DUMMYFUNCTION("""COMPUTED_VALUE"""),7.0)</f>
        <v>7</v>
      </c>
      <c r="F58" s="54">
        <f>IFERROR(__xludf.DUMMYFUNCTION("""COMPUTED_VALUE"""),1.0)</f>
        <v>1</v>
      </c>
      <c r="G58" s="55"/>
      <c r="H58" s="56">
        <f>IFERROR(__xludf.DUMMYFUNCTION("""COMPUTED_VALUE"""),8.0)</f>
        <v>8</v>
      </c>
      <c r="I58" s="113">
        <f>IFERROR(__xludf.DUMMYFUNCTION("""COMPUTED_VALUE"""),1.0)</f>
        <v>1</v>
      </c>
      <c r="J58" s="58">
        <f>IFERROR(__xludf.DUMMYFUNCTION("""COMPUTED_VALUE"""),8.0)</f>
        <v>8</v>
      </c>
      <c r="K58" s="51"/>
      <c r="L58" s="59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IFERROR(__xludf.DUMMYFUNCTION("""COMPUTED_VALUE"""),6.0)</f>
        <v>6</v>
      </c>
      <c r="F59" s="54">
        <f>IFERROR(__xludf.DUMMYFUNCTION("""COMPUTED_VALUE"""),1.0)</f>
        <v>1</v>
      </c>
      <c r="G59" s="55"/>
      <c r="H59" s="56">
        <f>IFERROR(__xludf.DUMMYFUNCTION("""COMPUTED_VALUE"""),7.0)</f>
        <v>7</v>
      </c>
      <c r="I59" s="113">
        <f>IFERROR(__xludf.DUMMYFUNCTION("""COMPUTED_VALUE"""),4.0)</f>
        <v>4</v>
      </c>
      <c r="J59" s="58">
        <f>IFERROR(__xludf.DUMMYFUNCTION("""COMPUTED_VALUE"""),7.0)</f>
        <v>7</v>
      </c>
      <c r="K59" s="51"/>
      <c r="L59" s="59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IFERROR(__xludf.DUMMYFUNCTION("""COMPUTED_VALUE"""),2.0)</f>
        <v>2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IFERROR(__xludf.DUMMYFUNCTION("""COMPUTED_VALUE"""),7.0)</f>
        <v>7</v>
      </c>
      <c r="F61" s="54">
        <f>IFERROR(__xludf.DUMMYFUNCTION("""COMPUTED_VALUE"""),2.0)</f>
        <v>2</v>
      </c>
      <c r="G61" s="55">
        <f>IFERROR(__xludf.DUMMYFUNCTION("""COMPUTED_VALUE"""),1.0)</f>
        <v>1</v>
      </c>
      <c r="H61" s="56">
        <f>IFERROR(__xludf.DUMMYFUNCTION("""COMPUTED_VALUE"""),10.0)</f>
        <v>10</v>
      </c>
      <c r="I61" s="61">
        <f>IFERROR(__xludf.DUMMYFUNCTION("""COMPUTED_VALUE"""),2.0)</f>
        <v>2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IFERROR(__xludf.DUMMYFUNCTION("""COMPUTED_VALUE"""),44.0)</f>
        <v>44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IFERROR(__xludf.DUMMYFUNCTION("""COMPUTED_VALUE"""),1.0)</f>
        <v>1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IFERROR(__xludf.DUMMYFUNCTION("""COMPUTED_VALUE"""),97.77777777777777)</f>
        <v>97.77777778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IFERROR(__xludf.DUMMYFUNCTION("""COMPUTED_VALUE"""),9.133333333333333)</f>
        <v>9.133333333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</row>
    <row r="1009" ht="15.75" customHeight="1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</row>
    <row r="1010" ht="15.75" customHeight="1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IFERROR(__xludf.DUMMYFUNCTION("IMPORTRANGE(""https://docs.google.com/spreadsheets/d/1G21Rae1HEvKyziJfdvU9KNUk-9v3MIQn0XxsBZDk7Uk/edit?gid=1351230360#gid=1351230360"",""3-3 actividades artisticas y culturales iii 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IFERROR(__xludf.DUMMYFUNCTION("""COMPUTED_VALUE"""),"Claudia Ivone Torres Moreno	")</f>
        <v>Claudia Ivone Torres Moreno	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DE LA COMUNICACIÓN I")</f>
        <v>CIENCIAS DE LA COMUNICACIÓN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IFERROR(__xludf.DUMMYFUNCTION("""COMPUTED_VALUE"""),7.0)</f>
        <v>7</v>
      </c>
      <c r="F17" s="54">
        <f>IFERROR(__xludf.DUMMYFUNCTION("""COMPUTED_VALUE"""),2.0)</f>
        <v>2</v>
      </c>
      <c r="G17" s="55"/>
      <c r="H17" s="56">
        <f>IFERROR(__xludf.DUMMYFUNCTION("""COMPUTED_VALUE"""),9.0)</f>
        <v>9</v>
      </c>
      <c r="I17" s="57">
        <f>IFERROR(__xludf.DUMMYFUNCTION("""COMPUTED_VALUE"""),1.0)</f>
        <v>1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IFERROR(__xludf.DUMMYFUNCTION("""COMPUTED_VALUE"""),7.6)</f>
        <v>7.6</v>
      </c>
      <c r="F18" s="54">
        <f>IFERROR(__xludf.DUMMYFUNCTION("""COMPUTED_VALUE"""),2.0)</f>
        <v>2</v>
      </c>
      <c r="G18" s="55"/>
      <c r="H18" s="56">
        <f>IFERROR(__xludf.DUMMYFUNCTION("""COMPUTED_VALUE"""),9.6)</f>
        <v>9.6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IFERROR(__xludf.DUMMYFUNCTION("""COMPUTED_VALUE"""),7.6)</f>
        <v>7.6</v>
      </c>
      <c r="F19" s="54">
        <f>IFERROR(__xludf.DUMMYFUNCTION("""COMPUTED_VALUE"""),2.0)</f>
        <v>2</v>
      </c>
      <c r="G19" s="55"/>
      <c r="H19" s="56">
        <f>IFERROR(__xludf.DUMMYFUNCTION("""COMPUTED_VALUE"""),9.6)</f>
        <v>9.6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IFERROR(__xludf.DUMMYFUNCTION("""COMPUTED_VALUE"""),4.0)</f>
        <v>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IFERROR(__xludf.DUMMYFUNCTION("""COMPUTED_VALUE"""),7.5)</f>
        <v>7.5</v>
      </c>
      <c r="F21" s="54">
        <f>IFERROR(__xludf.DUMMYFUNCTION("""COMPUTED_VALUE"""),2.0)</f>
        <v>2</v>
      </c>
      <c r="G21" s="55"/>
      <c r="H21" s="56">
        <f>IFERROR(__xludf.DUMMYFUNCTION("""COMPUTED_VALUE"""),9.5)</f>
        <v>9.5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IFERROR(__xludf.DUMMYFUNCTION("""COMPUTED_VALUE"""),8.0)</f>
        <v>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IFERROR(__xludf.DUMMYFUNCTION("""COMPUTED_VALUE"""),4.5)</f>
        <v>4.5</v>
      </c>
      <c r="F22" s="54">
        <f>IFERROR(__xludf.DUMMYFUNCTION("""COMPUTED_VALUE"""),2.0)</f>
        <v>2</v>
      </c>
      <c r="G22" s="55"/>
      <c r="H22" s="56">
        <f>IFERROR(__xludf.DUMMYFUNCTION("""COMPUTED_VALUE"""),6.5)</f>
        <v>6.5</v>
      </c>
      <c r="I22" s="57">
        <f>IFERROR(__xludf.DUMMYFUNCTION("""COMPUTED_VALUE"""),0.0)</f>
        <v>0</v>
      </c>
      <c r="J22" s="58">
        <f>IFERROR(__xludf.DUMMYFUNCTION("""COMPUTED_VALUE"""),7.0)</f>
        <v>7</v>
      </c>
      <c r="K22" s="51"/>
      <c r="L22" s="60">
        <f>IFERROR(__xludf.DUMMYFUNCTION("""COMPUTED_VALUE"""),7.0)</f>
        <v>7</v>
      </c>
      <c r="M22" s="1" t="str">
        <f>IFERROR(__xludf.DUMMYFUNCTION("""COMPUTED_VALUE"""),"Junio")</f>
        <v>Junio</v>
      </c>
      <c r="N22" s="1">
        <f>IFERROR(__xludf.DUMMYFUNCTION("""COMPUTED_VALUE"""),8.0)</f>
        <v>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IFERROR(__xludf.DUMMYFUNCTION("""COMPUTED_VALUE"""),7.0)</f>
        <v>7</v>
      </c>
      <c r="F23" s="54">
        <f>IFERROR(__xludf.DUMMYFUNCTION("""COMPUTED_VALUE"""),2.0)</f>
        <v>2</v>
      </c>
      <c r="G23" s="55"/>
      <c r="H23" s="56">
        <f>IFERROR(__xludf.DUMMYFUNCTION("""COMPUTED_VALUE"""),9.0)</f>
        <v>9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IFERROR(__xludf.DUMMYFUNCTION("""COMPUTED_VALUE"""),4.0)</f>
        <v>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IFERROR(__xludf.DUMMYFUNCTION("""COMPUTED_VALUE"""),8.0)</f>
        <v>8</v>
      </c>
      <c r="F24" s="54">
        <f>IFERROR(__xludf.DUMMYFUNCTION("""COMPUTED_VALUE"""),2.0)</f>
        <v>2</v>
      </c>
      <c r="G24" s="55"/>
      <c r="H24" s="56">
        <f>IFERROR(__xludf.DUMMYFUNCTION("""COMPUTED_VALUE"""),10.0)</f>
        <v>10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IFERROR(__xludf.DUMMYFUNCTION("""COMPUTED_VALUE"""),34.0)</f>
        <v>34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/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IFERROR(__xludf.DUMMYFUNCTION("""COMPUTED_VALUE"""),5.5)</f>
        <v>5.5</v>
      </c>
      <c r="F26" s="54">
        <f>IFERROR(__xludf.DUMMYFUNCTION("""COMPUTED_VALUE"""),2.0)</f>
        <v>2</v>
      </c>
      <c r="G26" s="55"/>
      <c r="H26" s="56">
        <f>IFERROR(__xludf.DUMMYFUNCTION("""COMPUTED_VALUE"""),7.5)</f>
        <v>7.5</v>
      </c>
      <c r="I26" s="57">
        <f>IFERROR(__xludf.DUMMYFUNCTION("""COMPUTED_VALUE"""),1.0)</f>
        <v>1</v>
      </c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/>
      <c r="H27" s="56">
        <f>IFERROR(__xludf.DUMMYFUNCTION("""COMPUTED_VALUE"""),10.0)</f>
        <v>10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IFERROR(__xludf.DUMMYFUNCTION("""COMPUTED_VALUE"""),7.5)</f>
        <v>7.5</v>
      </c>
      <c r="F28" s="54">
        <f>IFERROR(__xludf.DUMMYFUNCTION("""COMPUTED_VALUE"""),2.0)</f>
        <v>2</v>
      </c>
      <c r="G28" s="55"/>
      <c r="H28" s="56">
        <f>IFERROR(__xludf.DUMMYFUNCTION("""COMPUTED_VALUE"""),9.5)</f>
        <v>9.5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IFERROR(__xludf.DUMMYFUNCTION("""COMPUTED_VALUE"""),4.0)</f>
        <v>4</v>
      </c>
      <c r="F30" s="54">
        <f>IFERROR(__xludf.DUMMYFUNCTION("""COMPUTED_VALUE"""),2.0)</f>
        <v>2</v>
      </c>
      <c r="G30" s="55"/>
      <c r="H30" s="56">
        <f>IFERROR(__xludf.DUMMYFUNCTION("""COMPUTED_VALUE"""),6.0)</f>
        <v>6</v>
      </c>
      <c r="I30" s="57">
        <f>IFERROR(__xludf.DUMMYFUNCTION("""COMPUTED_VALUE"""),0.0)</f>
        <v>0</v>
      </c>
      <c r="J30" s="58">
        <f>IFERROR(__xludf.DUMMYFUNCTION("""COMPUTED_VALUE"""),6.0)</f>
        <v>6</v>
      </c>
      <c r="K30" s="51"/>
      <c r="L30" s="60">
        <f>IFERROR(__xludf.DUMMYFUNCTION("""COMPUTED_VALUE"""),6.0)</f>
        <v>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IFERROR(__xludf.DUMMYFUNCTION("""COMPUTED_VALUE"""),5.5)</f>
        <v>5.5</v>
      </c>
      <c r="F31" s="54">
        <f>IFERROR(__xludf.DUMMYFUNCTION("""COMPUTED_VALUE"""),2.0)</f>
        <v>2</v>
      </c>
      <c r="G31" s="55"/>
      <c r="H31" s="56">
        <f>IFERROR(__xludf.DUMMYFUNCTION("""COMPUTED_VALUE"""),7.5)</f>
        <v>7.5</v>
      </c>
      <c r="I31" s="57">
        <f>IFERROR(__xludf.DUMMYFUNCTION("""COMPUTED_VALUE"""),0.0)</f>
        <v>0</v>
      </c>
      <c r="J31" s="58">
        <f>IFERROR(__xludf.DUMMYFUNCTION("""COMPUTED_VALUE"""),8.0)</f>
        <v>8</v>
      </c>
      <c r="K31" s="51"/>
      <c r="L31" s="60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IFERROR(__xludf.DUMMYFUNCTION("""COMPUTED_VALUE"""),8.0)</f>
        <v>8</v>
      </c>
      <c r="F33" s="54">
        <f>IFERROR(__xludf.DUMMYFUNCTION("""COMPUTED_VALUE"""),2.0)</f>
        <v>2</v>
      </c>
      <c r="G33" s="55"/>
      <c r="H33" s="56">
        <f>IFERROR(__xludf.DUMMYFUNCTION("""COMPUTED_VALUE"""),10.0)</f>
        <v>10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IFERROR(__xludf.DUMMYFUNCTION("""COMPUTED_VALUE"""),6.5)</f>
        <v>6.5</v>
      </c>
      <c r="F34" s="54">
        <f>IFERROR(__xludf.DUMMYFUNCTION("""COMPUTED_VALUE"""),2.0)</f>
        <v>2</v>
      </c>
      <c r="G34" s="55"/>
      <c r="H34" s="56">
        <f>IFERROR(__xludf.DUMMYFUNCTION("""COMPUTED_VALUE"""),8.5)</f>
        <v>8.5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IFERROR(__xludf.DUMMYFUNCTION("""COMPUTED_VALUE"""),4.0)</f>
        <v>4</v>
      </c>
      <c r="F35" s="54">
        <f>IFERROR(__xludf.DUMMYFUNCTION("""COMPUTED_VALUE"""),2.0)</f>
        <v>2</v>
      </c>
      <c r="G35" s="55"/>
      <c r="H35" s="56">
        <f>IFERROR(__xludf.DUMMYFUNCTION("""COMPUTED_VALUE"""),6.0)</f>
        <v>6</v>
      </c>
      <c r="I35" s="57">
        <f>IFERROR(__xludf.DUMMYFUNCTION("""COMPUTED_VALUE"""),2.0)</f>
        <v>2</v>
      </c>
      <c r="J35" s="58">
        <f>IFERROR(__xludf.DUMMYFUNCTION("""COMPUTED_VALUE"""),6.0)</f>
        <v>6</v>
      </c>
      <c r="K35" s="51"/>
      <c r="L35" s="60">
        <f>IFERROR(__xludf.DUMMYFUNCTION("""COMPUTED_VALUE"""),6.0)</f>
        <v>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IFERROR(__xludf.DUMMYFUNCTION("""COMPUTED_VALUE"""),4.0)</f>
        <v>4</v>
      </c>
      <c r="F36" s="54">
        <f>IFERROR(__xludf.DUMMYFUNCTION("""COMPUTED_VALUE"""),2.0)</f>
        <v>2</v>
      </c>
      <c r="G36" s="55"/>
      <c r="H36" s="56">
        <f>IFERROR(__xludf.DUMMYFUNCTION("""COMPUTED_VALUE"""),6.0)</f>
        <v>6</v>
      </c>
      <c r="I36" s="57">
        <f>IFERROR(__xludf.DUMMYFUNCTION("""COMPUTED_VALUE"""),2.0)</f>
        <v>2</v>
      </c>
      <c r="J36" s="58">
        <f>IFERROR(__xludf.DUMMYFUNCTION("""COMPUTED_VALUE"""),6.0)</f>
        <v>6</v>
      </c>
      <c r="K36" s="51"/>
      <c r="L36" s="60">
        <f>IFERROR(__xludf.DUMMYFUNCTION("""COMPUTED_VALUE"""),6.0)</f>
        <v>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IFERROR(__xludf.DUMMYFUNCTION("""COMPUTED_VALUE"""),4.5)</f>
        <v>4.5</v>
      </c>
      <c r="F37" s="54">
        <f>IFERROR(__xludf.DUMMYFUNCTION("""COMPUTED_VALUE"""),1.5)</f>
        <v>1.5</v>
      </c>
      <c r="G37" s="55"/>
      <c r="H37" s="56">
        <f>IFERROR(__xludf.DUMMYFUNCTION("""COMPUTED_VALUE"""),6.0)</f>
        <v>6</v>
      </c>
      <c r="I37" s="57">
        <f>IFERROR(__xludf.DUMMYFUNCTION("""COMPUTED_VALUE"""),0.0)</f>
        <v>0</v>
      </c>
      <c r="J37" s="58">
        <f>IFERROR(__xludf.DUMMYFUNCTION("""COMPUTED_VALUE"""),6.0)</f>
        <v>6</v>
      </c>
      <c r="K37" s="51"/>
      <c r="L37" s="60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IFERROR(__xludf.DUMMYFUNCTION("""COMPUTED_VALUE"""),7.5)</f>
        <v>7.5</v>
      </c>
      <c r="F38" s="54">
        <f>IFERROR(__xludf.DUMMYFUNCTION("""COMPUTED_VALUE"""),2.0)</f>
        <v>2</v>
      </c>
      <c r="G38" s="55"/>
      <c r="H38" s="56">
        <f>IFERROR(__xludf.DUMMYFUNCTION("""COMPUTED_VALUE"""),9.5)</f>
        <v>9.5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/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IFERROR(__xludf.DUMMYFUNCTION("""COMPUTED_VALUE"""),2.0)</f>
        <v>2</v>
      </c>
      <c r="F44" s="54">
        <f>IFERROR(__xludf.DUMMYFUNCTION("""COMPUTED_VALUE"""),1.0)</f>
        <v>1</v>
      </c>
      <c r="G44" s="55"/>
      <c r="H44" s="56">
        <f>IFERROR(__xludf.DUMMYFUNCTION("""COMPUTED_VALUE"""),3.0)</f>
        <v>3</v>
      </c>
      <c r="I44" s="57">
        <f>IFERROR(__xludf.DUMMYFUNCTION("""COMPUTED_VALUE"""),2.0)</f>
        <v>2</v>
      </c>
      <c r="J44" s="58">
        <f>IFERROR(__xludf.DUMMYFUNCTION("""COMPUTED_VALUE"""),5.0)</f>
        <v>5</v>
      </c>
      <c r="K44" s="51"/>
      <c r="L44" s="60">
        <f>IFERROR(__xludf.DUMMYFUNCTION("""COMPUTED_VALUE"""),3.0)</f>
        <v>3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IFERROR(__xludf.DUMMYFUNCTION("""COMPUTED_VALUE"""),5.5)</f>
        <v>5.5</v>
      </c>
      <c r="F45" s="54">
        <f>IFERROR(__xludf.DUMMYFUNCTION("""COMPUTED_VALUE"""),2.0)</f>
        <v>2</v>
      </c>
      <c r="G45" s="55"/>
      <c r="H45" s="56">
        <f>IFERROR(__xludf.DUMMYFUNCTION("""COMPUTED_VALUE"""),7.5)</f>
        <v>7.5</v>
      </c>
      <c r="I45" s="57">
        <f>IFERROR(__xludf.DUMMYFUNCTION("""COMPUTED_VALUE"""),0.0)</f>
        <v>0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IFERROR(__xludf.DUMMYFUNCTION("""COMPUTED_VALUE"""),4.0)</f>
        <v>4</v>
      </c>
      <c r="F46" s="54">
        <f>IFERROR(__xludf.DUMMYFUNCTION("""COMPUTED_VALUE"""),2.0)</f>
        <v>2</v>
      </c>
      <c r="G46" s="55"/>
      <c r="H46" s="56">
        <f>IFERROR(__xludf.DUMMYFUNCTION("""COMPUTED_VALUE"""),6.0)</f>
        <v>6</v>
      </c>
      <c r="I46" s="57">
        <f>IFERROR(__xludf.DUMMYFUNCTION("""COMPUTED_VALUE"""),2.0)</f>
        <v>2</v>
      </c>
      <c r="J46" s="58">
        <f>IFERROR(__xludf.DUMMYFUNCTION("""COMPUTED_VALUE"""),6.0)</f>
        <v>6</v>
      </c>
      <c r="K46" s="51"/>
      <c r="L46" s="60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IFERROR(__xludf.DUMMYFUNCTION("""COMPUTED_VALUE"""),7.5)</f>
        <v>7.5</v>
      </c>
      <c r="F47" s="54">
        <f>IFERROR(__xludf.DUMMYFUNCTION("""COMPUTED_VALUE"""),0.0)</f>
        <v>0</v>
      </c>
      <c r="G47" s="55"/>
      <c r="H47" s="56">
        <f>IFERROR(__xludf.DUMMYFUNCTION("""COMPUTED_VALUE"""),7.5)</f>
        <v>7.5</v>
      </c>
      <c r="I47" s="57">
        <f>IFERROR(__xludf.DUMMYFUNCTION("""COMPUTED_VALUE"""),0.0)</f>
        <v>0</v>
      </c>
      <c r="J47" s="58">
        <f>IFERROR(__xludf.DUMMYFUNCTION("""COMPUTED_VALUE"""),8.0)</f>
        <v>8</v>
      </c>
      <c r="K47" s="51"/>
      <c r="L47" s="60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IFERROR(__xludf.DUMMYFUNCTION("""COMPUTED_VALUE"""),5.5)</f>
        <v>5.5</v>
      </c>
      <c r="F48" s="54">
        <f>IFERROR(__xludf.DUMMYFUNCTION("""COMPUTED_VALUE"""),2.0)</f>
        <v>2</v>
      </c>
      <c r="G48" s="55"/>
      <c r="H48" s="56">
        <f>IFERROR(__xludf.DUMMYFUNCTION("""COMPUTED_VALUE"""),7.5)</f>
        <v>7.5</v>
      </c>
      <c r="I48" s="57">
        <f>IFERROR(__xludf.DUMMYFUNCTION("""COMPUTED_VALUE"""),0.0)</f>
        <v>0</v>
      </c>
      <c r="J48" s="58">
        <f>IFERROR(__xludf.DUMMYFUNCTION("""COMPUTED_VALUE"""),8.0)</f>
        <v>8</v>
      </c>
      <c r="K48" s="51"/>
      <c r="L48" s="60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IFERROR(__xludf.DUMMYFUNCTION("""COMPUTED_VALUE"""),6.0)</f>
        <v>6</v>
      </c>
      <c r="F49" s="54">
        <f>IFERROR(__xludf.DUMMYFUNCTION("""COMPUTED_VALUE"""),2.0)</f>
        <v>2</v>
      </c>
      <c r="G49" s="55"/>
      <c r="H49" s="56">
        <f>IFERROR(__xludf.DUMMYFUNCTION("""COMPUTED_VALUE"""),8.0)</f>
        <v>8</v>
      </c>
      <c r="I49" s="57">
        <f>IFERROR(__xludf.DUMMYFUNCTION("""COMPUTED_VALUE"""),0.0)</f>
        <v>0</v>
      </c>
      <c r="J49" s="58">
        <f>IFERROR(__xludf.DUMMYFUNCTION("""COMPUTED_VALUE"""),8.0)</f>
        <v>8</v>
      </c>
      <c r="K49" s="51"/>
      <c r="L49" s="60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IFERROR(__xludf.DUMMYFUNCTION("""COMPUTED_VALUE"""),7.5)</f>
        <v>7.5</v>
      </c>
      <c r="F50" s="54">
        <f>IFERROR(__xludf.DUMMYFUNCTION("""COMPUTED_VALUE"""),2.0)</f>
        <v>2</v>
      </c>
      <c r="G50" s="55"/>
      <c r="H50" s="56">
        <f>IFERROR(__xludf.DUMMYFUNCTION("""COMPUTED_VALUE"""),9.5)</f>
        <v>9.5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IFERROR(__xludf.DUMMYFUNCTION("""COMPUTED_VALUE"""),7.5)</f>
        <v>7.5</v>
      </c>
      <c r="F51" s="54">
        <f>IFERROR(__xludf.DUMMYFUNCTION("""COMPUTED_VALUE"""),2.0)</f>
        <v>2</v>
      </c>
      <c r="G51" s="55"/>
      <c r="H51" s="56">
        <f>IFERROR(__xludf.DUMMYFUNCTION("""COMPUTED_VALUE"""),9.5)</f>
        <v>9.5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IFERROR(__xludf.DUMMYFUNCTION("""COMPUTED_VALUE"""),5.5)</f>
        <v>5.5</v>
      </c>
      <c r="F52" s="54">
        <f>IFERROR(__xludf.DUMMYFUNCTION("""COMPUTED_VALUE"""),2.0)</f>
        <v>2</v>
      </c>
      <c r="G52" s="55"/>
      <c r="H52" s="56">
        <f>IFERROR(__xludf.DUMMYFUNCTION("""COMPUTED_VALUE"""),7.5)</f>
        <v>7.5</v>
      </c>
      <c r="I52" s="57">
        <f>IFERROR(__xludf.DUMMYFUNCTION("""COMPUTED_VALUE"""),0.0)</f>
        <v>0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IFERROR(__xludf.DUMMYFUNCTION("""COMPUTED_VALUE"""),7.5)</f>
        <v>7.5</v>
      </c>
      <c r="F53" s="54">
        <f>IFERROR(__xludf.DUMMYFUNCTION("""COMPUTED_VALUE"""),2.0)</f>
        <v>2</v>
      </c>
      <c r="G53" s="55"/>
      <c r="H53" s="56">
        <f>IFERROR(__xludf.DUMMYFUNCTION("""COMPUTED_VALUE"""),9.5)</f>
        <v>9.5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IFERROR(__xludf.DUMMYFUNCTION("""COMPUTED_VALUE"""),8.0)</f>
        <v>8</v>
      </c>
      <c r="F54" s="54">
        <f>IFERROR(__xludf.DUMMYFUNCTION("""COMPUTED_VALUE"""),2.0)</f>
        <v>2</v>
      </c>
      <c r="G54" s="55"/>
      <c r="H54" s="56">
        <f>IFERROR(__xludf.DUMMYFUNCTION("""COMPUTED_VALUE"""),10.0)</f>
        <v>10</v>
      </c>
      <c r="I54" s="57">
        <f>IFERROR(__xludf.DUMMYFUNCTION("""COMPUTED_VALUE"""),0.0)</f>
        <v>0</v>
      </c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IFERROR(__xludf.DUMMYFUNCTION("""COMPUTED_VALUE"""),7.5)</f>
        <v>7.5</v>
      </c>
      <c r="F55" s="54">
        <f>IFERROR(__xludf.DUMMYFUNCTION("""COMPUTED_VALUE"""),2.0)</f>
        <v>2</v>
      </c>
      <c r="G55" s="55"/>
      <c r="H55" s="56">
        <f>IFERROR(__xludf.DUMMYFUNCTION("""COMPUTED_VALUE"""),9.5)</f>
        <v>9.5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/>
      <c r="H56" s="56">
        <f>IFERROR(__xludf.DUMMYFUNCTION("""COMPUTED_VALUE"""),10.0)</f>
        <v>10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IFERROR(__xludf.DUMMYFUNCTION("""COMPUTED_VALUE"""),4.0)</f>
        <v>4</v>
      </c>
      <c r="F57" s="54">
        <f>IFERROR(__xludf.DUMMYFUNCTION("""COMPUTED_VALUE"""),2.0)</f>
        <v>2</v>
      </c>
      <c r="G57" s="55"/>
      <c r="H57" s="56">
        <f>IFERROR(__xludf.DUMMYFUNCTION("""COMPUTED_VALUE"""),6.0)</f>
        <v>6</v>
      </c>
      <c r="I57" s="61">
        <f>IFERROR(__xludf.DUMMYFUNCTION("""COMPUTED_VALUE"""),0.0)</f>
        <v>0</v>
      </c>
      <c r="J57" s="58">
        <f>IFERROR(__xludf.DUMMYFUNCTION("""COMPUTED_VALUE"""),6.0)</f>
        <v>6</v>
      </c>
      <c r="K57" s="51"/>
      <c r="L57" s="59">
        <f>IFERROR(__xludf.DUMMYFUNCTION("""COMPUTED_VALUE"""),6.0)</f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IFERROR(__xludf.DUMMYFUNCTION("""COMPUTED_VALUE"""),8.0)</f>
        <v>8</v>
      </c>
      <c r="F58" s="54">
        <f>IFERROR(__xludf.DUMMYFUNCTION("""COMPUTED_VALUE"""),2.0)</f>
        <v>2</v>
      </c>
      <c r="G58" s="55"/>
      <c r="H58" s="56">
        <f>IFERROR(__xludf.DUMMYFUNCTION("""COMPUTED_VALUE"""),10.0)</f>
        <v>10</v>
      </c>
      <c r="I58" s="54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IFERROR(__xludf.DUMMYFUNCTION("""COMPUTED_VALUE"""),4.5)</f>
        <v>4.5</v>
      </c>
      <c r="F59" s="54">
        <f>IFERROR(__xludf.DUMMYFUNCTION("""COMPUTED_VALUE"""),0.0)</f>
        <v>0</v>
      </c>
      <c r="G59" s="55"/>
      <c r="H59" s="56">
        <f>IFERROR(__xludf.DUMMYFUNCTION("""COMPUTED_VALUE"""),4.5)</f>
        <v>4.5</v>
      </c>
      <c r="I59" s="54">
        <f>IFERROR(__xludf.DUMMYFUNCTION("""COMPUTED_VALUE"""),4.0)</f>
        <v>4</v>
      </c>
      <c r="J59" s="58">
        <f>IFERROR(__xludf.DUMMYFUNCTION("""COMPUTED_VALUE"""),5.0)</f>
        <v>5</v>
      </c>
      <c r="K59" s="51"/>
      <c r="L59" s="59">
        <f>IFERROR(__xludf.DUMMYFUNCTION("""COMPUTED_VALUE"""),4.0)</f>
        <v>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IFERROR(__xludf.DUMMYFUNCTION("""COMPUTED_VALUE"""),7.0)</f>
        <v>7</v>
      </c>
      <c r="F61" s="54">
        <f>IFERROR(__xludf.DUMMYFUNCTION("""COMPUTED_VALUE"""),2.0)</f>
        <v>2</v>
      </c>
      <c r="G61" s="55"/>
      <c r="H61" s="56">
        <f>IFERROR(__xludf.DUMMYFUNCTION("""COMPUTED_VALUE"""),9.0)</f>
        <v>9</v>
      </c>
      <c r="I61" s="61">
        <f>IFERROR(__xludf.DUMMYFUNCTION("""COMPUTED_VALUE"""),0.0)</f>
        <v>0</v>
      </c>
      <c r="J61" s="58">
        <f>IFERROR(__xludf.DUMMYFUNCTION("""COMPUTED_VALUE"""),9.0)</f>
        <v>9</v>
      </c>
      <c r="K61" s="51"/>
      <c r="L61" s="59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IFERROR(__xludf.DUMMYFUNCTION("""COMPUTED_VALUE"""),43.0)</f>
        <v>43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IFERROR(__xludf.DUMMYFUNCTION("""COMPUTED_VALUE"""),2.0)</f>
        <v>2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IFERROR(__xludf.DUMMYFUNCTION("""COMPUTED_VALUE"""),95.55555555555556)</f>
        <v>95.55555556</v>
      </c>
      <c r="E68" s="62"/>
      <c r="F68" s="85" t="str">
        <f>IFERROR(__xludf.DUMMYFUNCTION("""COMPUTED_VALUE"""),"PROFR. ")</f>
        <v>PROFR. </v>
      </c>
      <c r="G68" s="86"/>
      <c r="H68" s="87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IFERROR(__xludf.DUMMYFUNCTION("""COMPUTED_VALUE"""),8.777777777777779)</f>
        <v>8.777777778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</row>
    <row r="1009" ht="15.75" customHeight="1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</row>
    <row r="1010" ht="15.75" customHeight="1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9 K18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IFERROR(__xludf.DUMMYFUNCTION("IMPORTRANGE(""https://docs.google.com/spreadsheets/d/1JF8gv5DcLMX--4Xu4Aiyk880fwdvD6ewZLBLvH-qBOs/edit?gid=1170723807#gid=1170723807"",""3-3 practica y colaboracion ciudadana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IFERROR(__xludf.DUMMYFUNCTION("""COMPUTED_VALUE"""),"Marco Antonio Velez Salazar")</f>
        <v>Marco Antonio Velez Salazar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IFERROR(__xludf.DUMMYFUNCTION("""COMPUTED_VALUE"""),"PRÁCTICA Y COLABORACIÓN CIUDADANA II")</f>
        <v>PRÁCTICA Y COLABORACIÓN CIUDADANA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IFERROR(__xludf.DUMMYFUNCTION("""COMPUTED_VALUE"""),6.8)</f>
        <v>6.8</v>
      </c>
      <c r="F17" s="54">
        <f>IFERROR(__xludf.DUMMYFUNCTION("""COMPUTED_VALUE"""),2.0)</f>
        <v>2</v>
      </c>
      <c r="G17" s="55"/>
      <c r="H17" s="56">
        <f>IFERROR(__xludf.DUMMYFUNCTION("""COMPUTED_VALUE"""),8.8)</f>
        <v>8.8</v>
      </c>
      <c r="I17" s="57"/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IFERROR(__xludf.DUMMYFUNCTION("""COMPUTED_VALUE"""),6.8)</f>
        <v>6.8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IFERROR(__xludf.DUMMYFUNCTION("""COMPUTED_VALUE"""),9.8)</f>
        <v>9.8</v>
      </c>
      <c r="I18" s="57">
        <f>IFERROR(__xludf.DUMMYFUNCTION("""COMPUTED_VALUE"""),1.0)</f>
        <v>1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IFERROR(__xludf.DUMMYFUNCTION("""COMPUTED_VALUE"""),3.0)</f>
        <v>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IFERROR(__xludf.DUMMYFUNCTION("""COMPUTED_VALUE"""),7.6)</f>
        <v>7.6</v>
      </c>
      <c r="F19" s="54">
        <f>IFERROR(__xludf.DUMMYFUNCTION("""COMPUTED_VALUE"""),2.0)</f>
        <v>2</v>
      </c>
      <c r="G19" s="55"/>
      <c r="H19" s="56">
        <f>IFERROR(__xludf.DUMMYFUNCTION("""COMPUTED_VALUE"""),9.6)</f>
        <v>9.6</v>
      </c>
      <c r="I19" s="57"/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IFERROR(__xludf.DUMMYFUNCTION("""COMPUTED_VALUE"""),7.6)</f>
        <v>7.6</v>
      </c>
      <c r="F20" s="54">
        <f>IFERROR(__xludf.DUMMYFUNCTION("""COMPUTED_VALUE"""),2.0)</f>
        <v>2</v>
      </c>
      <c r="G20" s="55"/>
      <c r="H20" s="56">
        <f>IFERROR(__xludf.DUMMYFUNCTION("""COMPUTED_VALUE"""),9.6)</f>
        <v>9.6</v>
      </c>
      <c r="I20" s="57">
        <f>IFERROR(__xludf.DUMMYFUNCTION("""COMPUTED_VALUE"""),1.0)</f>
        <v>1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IFERROR(__xludf.DUMMYFUNCTION("""COMPUTED_VALUE"""),7.6)</f>
        <v>7.6</v>
      </c>
      <c r="F21" s="54">
        <f>IFERROR(__xludf.DUMMYFUNCTION("""COMPUTED_VALUE"""),2.0)</f>
        <v>2</v>
      </c>
      <c r="G21" s="55"/>
      <c r="H21" s="56">
        <f>IFERROR(__xludf.DUMMYFUNCTION("""COMPUTED_VALUE"""),9.6)</f>
        <v>9.6</v>
      </c>
      <c r="I21" s="57"/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IFERROR(__xludf.DUMMYFUNCTION("""COMPUTED_VALUE"""),6.0)</f>
        <v>6</v>
      </c>
      <c r="F22" s="54">
        <f>IFERROR(__xludf.DUMMYFUNCTION("""COMPUTED_VALUE"""),2.0)</f>
        <v>2</v>
      </c>
      <c r="G22" s="55"/>
      <c r="H22" s="56">
        <f>IFERROR(__xludf.DUMMYFUNCTION("""COMPUTED_VALUE"""),8.0)</f>
        <v>8</v>
      </c>
      <c r="I22" s="57"/>
      <c r="J22" s="58">
        <f>IFERROR(__xludf.DUMMYFUNCTION("""COMPUTED_VALUE"""),8.0)</f>
        <v>8</v>
      </c>
      <c r="K22" s="51"/>
      <c r="L22" s="60">
        <f>IFERROR(__xludf.DUMMYFUNCTION("""COMPUTED_VALUE"""),8.0)</f>
        <v>8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IFERROR(__xludf.DUMMYFUNCTION("""COMPUTED_VALUE"""),7.2)</f>
        <v>7.2</v>
      </c>
      <c r="F23" s="54">
        <f>IFERROR(__xludf.DUMMYFUNCTION("""COMPUTED_VALUE"""),2.0)</f>
        <v>2</v>
      </c>
      <c r="G23" s="55"/>
      <c r="H23" s="56">
        <f>IFERROR(__xludf.DUMMYFUNCTION("""COMPUTED_VALUE"""),9.2)</f>
        <v>9.2</v>
      </c>
      <c r="I23" s="57"/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IFERROR(__xludf.DUMMYFUNCTION("""COMPUTED_VALUE"""),6.4)</f>
        <v>6.4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IFERROR(__xludf.DUMMYFUNCTION("""COMPUTED_VALUE"""),9.4)</f>
        <v>9.4</v>
      </c>
      <c r="I24" s="57"/>
      <c r="J24" s="58">
        <f>IFERROR(__xludf.DUMMYFUNCTION("""COMPUTED_VALUE"""),9.0)</f>
        <v>9</v>
      </c>
      <c r="K24" s="51"/>
      <c r="L24" s="60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IFERROR(__xludf.DUMMYFUNCTION("""COMPUTED_VALUE"""),7.0)</f>
        <v>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IFERROR(__xludf.DUMMYFUNCTION("""COMPUTED_VALUE"""),6.4)</f>
        <v>6.4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IFERROR(__xludf.DUMMYFUNCTION("""COMPUTED_VALUE"""),9.4)</f>
        <v>9.4</v>
      </c>
      <c r="I25" s="57"/>
      <c r="J25" s="58">
        <f>IFERROR(__xludf.DUMMYFUNCTION("""COMPUTED_VALUE"""),9.0)</f>
        <v>9</v>
      </c>
      <c r="K25" s="51"/>
      <c r="L25" s="60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IFERROR(__xludf.DUMMYFUNCTION("""COMPUTED_VALUE"""),4.0)</f>
        <v>4</v>
      </c>
      <c r="F26" s="54">
        <f>IFERROR(__xludf.DUMMYFUNCTION("""COMPUTED_VALUE"""),2.0)</f>
        <v>2</v>
      </c>
      <c r="G26" s="55"/>
      <c r="H26" s="56">
        <f>IFERROR(__xludf.DUMMYFUNCTION("""COMPUTED_VALUE"""),6.0)</f>
        <v>6</v>
      </c>
      <c r="I26" s="57">
        <f>IFERROR(__xludf.DUMMYFUNCTION("""COMPUTED_VALUE"""),1.0)</f>
        <v>1</v>
      </c>
      <c r="J26" s="58">
        <f>IFERROR(__xludf.DUMMYFUNCTION("""COMPUTED_VALUE"""),6.0)</f>
        <v>6</v>
      </c>
      <c r="K26" s="51"/>
      <c r="L26" s="60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IFERROR(__xludf.DUMMYFUNCTION("""COMPUTED_VALUE"""),6.4)</f>
        <v>6.4</v>
      </c>
      <c r="F27" s="54">
        <f>IFERROR(__xludf.DUMMYFUNCTION("""COMPUTED_VALUE"""),2.0)</f>
        <v>2</v>
      </c>
      <c r="G27" s="55"/>
      <c r="H27" s="56">
        <f>IFERROR(__xludf.DUMMYFUNCTION("""COMPUTED_VALUE"""),8.4)</f>
        <v>8.4</v>
      </c>
      <c r="I27" s="57"/>
      <c r="J27" s="58">
        <f>IFERROR(__xludf.DUMMYFUNCTION("""COMPUTED_VALUE"""),8.0)</f>
        <v>8</v>
      </c>
      <c r="K27" s="51"/>
      <c r="L27" s="60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IFERROR(__xludf.DUMMYFUNCTION("""COMPUTED_VALUE"""),5.6)</f>
        <v>5.6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IFERROR(__xludf.DUMMYFUNCTION("""COMPUTED_VALUE"""),8.6)</f>
        <v>8.6</v>
      </c>
      <c r="I28" s="57"/>
      <c r="J28" s="58">
        <f>IFERROR(__xludf.DUMMYFUNCTION("""COMPUTED_VALUE"""),9.0)</f>
        <v>9</v>
      </c>
      <c r="K28" s="51"/>
      <c r="L28" s="60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IFERROR(__xludf.DUMMYFUNCTION("""COMPUTED_VALUE"""),7.6)</f>
        <v>7.6</v>
      </c>
      <c r="F29" s="54">
        <f>IFERROR(__xludf.DUMMYFUNCTION("""COMPUTED_VALUE"""),2.0)</f>
        <v>2</v>
      </c>
      <c r="G29" s="55"/>
      <c r="H29" s="56">
        <f>IFERROR(__xludf.DUMMYFUNCTION("""COMPUTED_VALUE"""),9.6)</f>
        <v>9.6</v>
      </c>
      <c r="I29" s="57">
        <f>IFERROR(__xludf.DUMMYFUNCTION("""COMPUTED_VALUE"""),1.0)</f>
        <v>1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IFERROR(__xludf.DUMMYFUNCTION("""COMPUTED_VALUE"""),5.6)</f>
        <v>5.6</v>
      </c>
      <c r="F30" s="54">
        <f>IFERROR(__xludf.DUMMYFUNCTION("""COMPUTED_VALUE"""),2.0)</f>
        <v>2</v>
      </c>
      <c r="G30" s="55"/>
      <c r="H30" s="56">
        <f>IFERROR(__xludf.DUMMYFUNCTION("""COMPUTED_VALUE"""),7.6)</f>
        <v>7.6</v>
      </c>
      <c r="I30" s="57">
        <f>IFERROR(__xludf.DUMMYFUNCTION("""COMPUTED_VALUE"""),1.0)</f>
        <v>1</v>
      </c>
      <c r="J30" s="58">
        <f>IFERROR(__xludf.DUMMYFUNCTION("""COMPUTED_VALUE"""),8.0)</f>
        <v>8</v>
      </c>
      <c r="K30" s="51"/>
      <c r="L30" s="60">
        <f>IFERROR(__xludf.DUMMYFUNCTION("""COMPUTED_VALUE"""),8.0)</f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IFERROR(__xludf.DUMMYFUNCTION("""COMPUTED_VALUE"""),7.2)</f>
        <v>7.2</v>
      </c>
      <c r="F31" s="54">
        <f>IFERROR(__xludf.DUMMYFUNCTION("""COMPUTED_VALUE"""),2.0)</f>
        <v>2</v>
      </c>
      <c r="G31" s="55"/>
      <c r="H31" s="56">
        <f>IFERROR(__xludf.DUMMYFUNCTION("""COMPUTED_VALUE"""),9.2)</f>
        <v>9.2</v>
      </c>
      <c r="I31" s="57"/>
      <c r="J31" s="58">
        <f>IFERROR(__xludf.DUMMYFUNCTION("""COMPUTED_VALUE"""),9.0)</f>
        <v>9</v>
      </c>
      <c r="K31" s="51"/>
      <c r="L31" s="60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IFERROR(__xludf.DUMMYFUNCTION("""COMPUTED_VALUE"""),6.8)</f>
        <v>6.8</v>
      </c>
      <c r="F32" s="54">
        <f>IFERROR(__xludf.DUMMYFUNCTION("""COMPUTED_VALUE"""),2.0)</f>
        <v>2</v>
      </c>
      <c r="G32" s="55"/>
      <c r="H32" s="56">
        <f>IFERROR(__xludf.DUMMYFUNCTION("""COMPUTED_VALUE"""),8.8)</f>
        <v>8.8</v>
      </c>
      <c r="I32" s="57"/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IFERROR(__xludf.DUMMYFUNCTION("""COMPUTED_VALUE"""),7.2)</f>
        <v>7.2</v>
      </c>
      <c r="F33" s="54">
        <f>IFERROR(__xludf.DUMMYFUNCTION("""COMPUTED_VALUE"""),2.0)</f>
        <v>2</v>
      </c>
      <c r="G33" s="55"/>
      <c r="H33" s="56">
        <f>IFERROR(__xludf.DUMMYFUNCTION("""COMPUTED_VALUE"""),9.2)</f>
        <v>9.2</v>
      </c>
      <c r="I33" s="57"/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IFERROR(__xludf.DUMMYFUNCTION("""COMPUTED_VALUE"""),6.8)</f>
        <v>6.8</v>
      </c>
      <c r="F34" s="54">
        <f>IFERROR(__xludf.DUMMYFUNCTION("""COMPUTED_VALUE"""),2.0)</f>
        <v>2</v>
      </c>
      <c r="G34" s="55"/>
      <c r="H34" s="56">
        <f>IFERROR(__xludf.DUMMYFUNCTION("""COMPUTED_VALUE"""),8.8)</f>
        <v>8.8</v>
      </c>
      <c r="I34" s="57"/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IFERROR(__xludf.DUMMYFUNCTION("""COMPUTED_VALUE"""),4.0)</f>
        <v>4</v>
      </c>
      <c r="F35" s="54">
        <f>IFERROR(__xludf.DUMMYFUNCTION("""COMPUTED_VALUE"""),2.0)</f>
        <v>2</v>
      </c>
      <c r="G35" s="55"/>
      <c r="H35" s="56">
        <f>IFERROR(__xludf.DUMMYFUNCTION("""COMPUTED_VALUE"""),6.0)</f>
        <v>6</v>
      </c>
      <c r="I35" s="57"/>
      <c r="J35" s="58">
        <f>IFERROR(__xludf.DUMMYFUNCTION("""COMPUTED_VALUE"""),6.0)</f>
        <v>6</v>
      </c>
      <c r="K35" s="51"/>
      <c r="L35" s="60">
        <f>IFERROR(__xludf.DUMMYFUNCTION("""COMPUTED_VALUE"""),6.0)</f>
        <v>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IFERROR(__xludf.DUMMYFUNCTION("""COMPUTED_VALUE"""),4.8)</f>
        <v>4.8</v>
      </c>
      <c r="F36" s="54">
        <f>IFERROR(__xludf.DUMMYFUNCTION("""COMPUTED_VALUE"""),2.0)</f>
        <v>2</v>
      </c>
      <c r="G36" s="55"/>
      <c r="H36" s="56">
        <f>IFERROR(__xludf.DUMMYFUNCTION("""COMPUTED_VALUE"""),6.8)</f>
        <v>6.8</v>
      </c>
      <c r="I36" s="57"/>
      <c r="J36" s="58">
        <f>IFERROR(__xludf.DUMMYFUNCTION("""COMPUTED_VALUE"""),7.0)</f>
        <v>7</v>
      </c>
      <c r="K36" s="51"/>
      <c r="L36" s="60">
        <f>IFERROR(__xludf.DUMMYFUNCTION("""COMPUTED_VALUE"""),7.0)</f>
        <v>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IFERROR(__xludf.DUMMYFUNCTION("""COMPUTED_VALUE"""),6.0)</f>
        <v>6</v>
      </c>
      <c r="F37" s="54">
        <f>IFERROR(__xludf.DUMMYFUNCTION("""COMPUTED_VALUE"""),2.0)</f>
        <v>2</v>
      </c>
      <c r="G37" s="55"/>
      <c r="H37" s="56">
        <f>IFERROR(__xludf.DUMMYFUNCTION("""COMPUTED_VALUE"""),8.0)</f>
        <v>8</v>
      </c>
      <c r="I37" s="57"/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IFERROR(__xludf.DUMMYFUNCTION("""COMPUTED_VALUE"""),6.4)</f>
        <v>6.4</v>
      </c>
      <c r="F38" s="54">
        <f>IFERROR(__xludf.DUMMYFUNCTION("""COMPUTED_VALUE"""),2.0)</f>
        <v>2</v>
      </c>
      <c r="G38" s="55"/>
      <c r="H38" s="56">
        <f>IFERROR(__xludf.DUMMYFUNCTION("""COMPUTED_VALUE"""),8.4)</f>
        <v>8.4</v>
      </c>
      <c r="I38" s="57">
        <f>IFERROR(__xludf.DUMMYFUNCTION("""COMPUTED_VALUE"""),1.0)</f>
        <v>1</v>
      </c>
      <c r="J38" s="58">
        <f>IFERROR(__xludf.DUMMYFUNCTION("""COMPUTED_VALUE"""),8.0)</f>
        <v>8</v>
      </c>
      <c r="K38" s="51"/>
      <c r="L38" s="60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IFERROR(__xludf.DUMMYFUNCTION("""COMPUTED_VALUE"""),6.4)</f>
        <v>6.4</v>
      </c>
      <c r="F39" s="54">
        <f>IFERROR(__xludf.DUMMYFUNCTION("""COMPUTED_VALUE"""),2.0)</f>
        <v>2</v>
      </c>
      <c r="G39" s="55">
        <f>IFERROR(__xludf.DUMMYFUNCTION("""COMPUTED_VALUE"""),1.0)</f>
        <v>1</v>
      </c>
      <c r="H39" s="56">
        <f>IFERROR(__xludf.DUMMYFUNCTION("""COMPUTED_VALUE"""),9.4)</f>
        <v>9.4</v>
      </c>
      <c r="I39" s="57"/>
      <c r="J39" s="58">
        <f>IFERROR(__xludf.DUMMYFUNCTION("""COMPUTED_VALUE"""),9.0)</f>
        <v>9</v>
      </c>
      <c r="K39" s="51"/>
      <c r="L39" s="60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IFERROR(__xludf.DUMMYFUNCTION("""COMPUTED_VALUE"""),1.0)</f>
        <v>1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IFERROR(__xludf.DUMMYFUNCTION("""COMPUTED_VALUE"""),7.2)</f>
        <v>7.2</v>
      </c>
      <c r="F41" s="54">
        <f>IFERROR(__xludf.DUMMYFUNCTION("""COMPUTED_VALUE"""),2.0)</f>
        <v>2</v>
      </c>
      <c r="G41" s="55"/>
      <c r="H41" s="56">
        <f>IFERROR(__xludf.DUMMYFUNCTION("""COMPUTED_VALUE"""),9.2)</f>
        <v>9.2</v>
      </c>
      <c r="I41" s="57">
        <f>IFERROR(__xludf.DUMMYFUNCTION("""COMPUTED_VALUE"""),1.0)</f>
        <v>1</v>
      </c>
      <c r="J41" s="58">
        <f>IFERROR(__xludf.DUMMYFUNCTION("""COMPUTED_VALUE"""),9.0)</f>
        <v>9</v>
      </c>
      <c r="K41" s="51"/>
      <c r="L41" s="60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IFERROR(__xludf.DUMMYFUNCTION("""COMPUTED_VALUE"""),6.8)</f>
        <v>6.8</v>
      </c>
      <c r="F42" s="54">
        <f>IFERROR(__xludf.DUMMYFUNCTION("""COMPUTED_VALUE"""),2.0)</f>
        <v>2</v>
      </c>
      <c r="G42" s="55"/>
      <c r="H42" s="56">
        <f>IFERROR(__xludf.DUMMYFUNCTION("""COMPUTED_VALUE"""),8.8)</f>
        <v>8.8</v>
      </c>
      <c r="I42" s="57"/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IFERROR(__xludf.DUMMYFUNCTION("""COMPUTED_VALUE"""),5.4)</f>
        <v>5.4</v>
      </c>
      <c r="F43" s="54">
        <f>IFERROR(__xludf.DUMMYFUNCTION("""COMPUTED_VALUE"""),2.0)</f>
        <v>2</v>
      </c>
      <c r="G43" s="55">
        <f>IFERROR(__xludf.DUMMYFUNCTION("""COMPUTED_VALUE"""),1.0)</f>
        <v>1</v>
      </c>
      <c r="H43" s="56">
        <f>IFERROR(__xludf.DUMMYFUNCTION("""COMPUTED_VALUE"""),8.4)</f>
        <v>8.4</v>
      </c>
      <c r="I43" s="57"/>
      <c r="J43" s="58">
        <f>IFERROR(__xludf.DUMMYFUNCTION("""COMPUTED_VALUE"""),8.0)</f>
        <v>8</v>
      </c>
      <c r="K43" s="51"/>
      <c r="L43" s="60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IFERROR(__xludf.DUMMYFUNCTION("""COMPUTED_VALUE"""),5.0)</f>
        <v>5</v>
      </c>
      <c r="F44" s="54">
        <f>IFERROR(__xludf.DUMMYFUNCTION("""COMPUTED_VALUE"""),2.0)</f>
        <v>2</v>
      </c>
      <c r="G44" s="55"/>
      <c r="H44" s="56">
        <f>IFERROR(__xludf.DUMMYFUNCTION("""COMPUTED_VALUE"""),7.0)</f>
        <v>7</v>
      </c>
      <c r="I44" s="57"/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IFERROR(__xludf.DUMMYFUNCTION("""COMPUTED_VALUE"""),7.2)</f>
        <v>7.2</v>
      </c>
      <c r="F45" s="54">
        <f>IFERROR(__xludf.DUMMYFUNCTION("""COMPUTED_VALUE"""),2.0)</f>
        <v>2</v>
      </c>
      <c r="G45" s="55"/>
      <c r="H45" s="56">
        <f>IFERROR(__xludf.DUMMYFUNCTION("""COMPUTED_VALUE"""),9.2)</f>
        <v>9.2</v>
      </c>
      <c r="I45" s="57"/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IFERROR(__xludf.DUMMYFUNCTION("""COMPUTED_VALUE"""),5.0)</f>
        <v>5</v>
      </c>
      <c r="F46" s="54">
        <f>IFERROR(__xludf.DUMMYFUNCTION("""COMPUTED_VALUE"""),2.0)</f>
        <v>2</v>
      </c>
      <c r="G46" s="55"/>
      <c r="H46" s="56">
        <f>IFERROR(__xludf.DUMMYFUNCTION("""COMPUTED_VALUE"""),7.0)</f>
        <v>7</v>
      </c>
      <c r="I46" s="57"/>
      <c r="J46" s="58">
        <f>IFERROR(__xludf.DUMMYFUNCTION("""COMPUTED_VALUE"""),7.0)</f>
        <v>7</v>
      </c>
      <c r="K46" s="51"/>
      <c r="L46" s="60">
        <f>IFERROR(__xludf.DUMMYFUNCTION("""COMPUTED_VALUE"""),7.0)</f>
        <v>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IFERROR(__xludf.DUMMYFUNCTION("""COMPUTED_VALUE"""),5.0)</f>
        <v>5</v>
      </c>
      <c r="F47" s="54">
        <f>IFERROR(__xludf.DUMMYFUNCTION("""COMPUTED_VALUE"""),2.0)</f>
        <v>2</v>
      </c>
      <c r="G47" s="55"/>
      <c r="H47" s="56">
        <f>IFERROR(__xludf.DUMMYFUNCTION("""COMPUTED_VALUE"""),7.0)</f>
        <v>7</v>
      </c>
      <c r="I47" s="57"/>
      <c r="J47" s="58">
        <f>IFERROR(__xludf.DUMMYFUNCTION("""COMPUTED_VALUE"""),7.0)</f>
        <v>7</v>
      </c>
      <c r="K47" s="51"/>
      <c r="L47" s="60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IFERROR(__xludf.DUMMYFUNCTION("""COMPUTED_VALUE"""),7.2)</f>
        <v>7.2</v>
      </c>
      <c r="F48" s="54">
        <f>IFERROR(__xludf.DUMMYFUNCTION("""COMPUTED_VALUE"""),2.0)</f>
        <v>2</v>
      </c>
      <c r="G48" s="55"/>
      <c r="H48" s="56">
        <f>IFERROR(__xludf.DUMMYFUNCTION("""COMPUTED_VALUE"""),9.2)</f>
        <v>9.2</v>
      </c>
      <c r="I48" s="57"/>
      <c r="J48" s="58">
        <f>IFERROR(__xludf.DUMMYFUNCTION("""COMPUTED_VALUE"""),9.0)</f>
        <v>9</v>
      </c>
      <c r="K48" s="51"/>
      <c r="L48" s="60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IFERROR(__xludf.DUMMYFUNCTION("""COMPUTED_VALUE"""),5.2)</f>
        <v>5.2</v>
      </c>
      <c r="F49" s="54">
        <f>IFERROR(__xludf.DUMMYFUNCTION("""COMPUTED_VALUE"""),2.0)</f>
        <v>2</v>
      </c>
      <c r="G49" s="55"/>
      <c r="H49" s="56">
        <f>IFERROR(__xludf.DUMMYFUNCTION("""COMPUTED_VALUE"""),7.2)</f>
        <v>7.2</v>
      </c>
      <c r="I49" s="57">
        <f>IFERROR(__xludf.DUMMYFUNCTION("""COMPUTED_VALUE"""),1.0)</f>
        <v>1</v>
      </c>
      <c r="J49" s="58">
        <f>IFERROR(__xludf.DUMMYFUNCTION("""COMPUTED_VALUE"""),7.0)</f>
        <v>7</v>
      </c>
      <c r="K49" s="51"/>
      <c r="L49" s="60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IFERROR(__xludf.DUMMYFUNCTION("""COMPUTED_VALUE"""),6.4)</f>
        <v>6.4</v>
      </c>
      <c r="F50" s="54">
        <f>IFERROR(__xludf.DUMMYFUNCTION("""COMPUTED_VALUE"""),2.0)</f>
        <v>2</v>
      </c>
      <c r="G50" s="55"/>
      <c r="H50" s="56">
        <f>IFERROR(__xludf.DUMMYFUNCTION("""COMPUTED_VALUE"""),8.4)</f>
        <v>8.4</v>
      </c>
      <c r="I50" s="57"/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IFERROR(__xludf.DUMMYFUNCTION("""COMPUTED_VALUE"""),6.8)</f>
        <v>6.8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IFERROR(__xludf.DUMMYFUNCTION("""COMPUTED_VALUE"""),9.8)</f>
        <v>9.8</v>
      </c>
      <c r="I51" s="57"/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IFERROR(__xludf.DUMMYFUNCTION("""COMPUTED_VALUE"""),6.4)</f>
        <v>6.4</v>
      </c>
      <c r="F52" s="54">
        <f>IFERROR(__xludf.DUMMYFUNCTION("""COMPUTED_VALUE"""),2.0)</f>
        <v>2</v>
      </c>
      <c r="G52" s="55"/>
      <c r="H52" s="56">
        <f>IFERROR(__xludf.DUMMYFUNCTION("""COMPUTED_VALUE"""),8.4)</f>
        <v>8.4</v>
      </c>
      <c r="I52" s="57"/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IFERROR(__xludf.DUMMYFUNCTION("""COMPUTED_VALUE"""),7.2)</f>
        <v>7.2</v>
      </c>
      <c r="F53" s="54">
        <f>IFERROR(__xludf.DUMMYFUNCTION("""COMPUTED_VALUE"""),2.0)</f>
        <v>2</v>
      </c>
      <c r="G53" s="55"/>
      <c r="H53" s="56">
        <f>IFERROR(__xludf.DUMMYFUNCTION("""COMPUTED_VALUE"""),9.2)</f>
        <v>9.2</v>
      </c>
      <c r="I53" s="57">
        <f>IFERROR(__xludf.DUMMYFUNCTION("""COMPUTED_VALUE"""),1.0)</f>
        <v>1</v>
      </c>
      <c r="J53" s="58">
        <f>IFERROR(__xludf.DUMMYFUNCTION("""COMPUTED_VALUE"""),9.0)</f>
        <v>9</v>
      </c>
      <c r="K53" s="51"/>
      <c r="L53" s="59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/>
      <c r="H54" s="56">
        <f>IFERROR(__xludf.DUMMYFUNCTION("""COMPUTED_VALUE"""),8.0)</f>
        <v>8</v>
      </c>
      <c r="I54" s="57"/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IFERROR(__xludf.DUMMYFUNCTION("""COMPUTED_VALUE"""),4.8)</f>
        <v>4.8</v>
      </c>
      <c r="F55" s="54">
        <f>IFERROR(__xludf.DUMMYFUNCTION("""COMPUTED_VALUE"""),2.0)</f>
        <v>2</v>
      </c>
      <c r="G55" s="55"/>
      <c r="H55" s="56">
        <f>IFERROR(__xludf.DUMMYFUNCTION("""COMPUTED_VALUE"""),6.8)</f>
        <v>6.8</v>
      </c>
      <c r="I55" s="61"/>
      <c r="J55" s="58">
        <f>IFERROR(__xludf.DUMMYFUNCTION("""COMPUTED_VALUE"""),7.0)</f>
        <v>7</v>
      </c>
      <c r="K55" s="51"/>
      <c r="L55" s="59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IFERROR(__xludf.DUMMYFUNCTION("""COMPUTED_VALUE"""),7.6)</f>
        <v>7.6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IFERROR(__xludf.DUMMYFUNCTION("""COMPUTED_VALUE"""),10.6)</f>
        <v>10.6</v>
      </c>
      <c r="I56" s="61"/>
      <c r="J56" s="58">
        <f>IFERROR(__xludf.DUMMYFUNCTION("""COMPUTED_VALUE"""),10.0)</f>
        <v>10</v>
      </c>
      <c r="K56" s="51"/>
      <c r="L56" s="59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IFERROR(__xludf.DUMMYFUNCTION("""COMPUTED_VALUE"""),4.4)</f>
        <v>4.4</v>
      </c>
      <c r="F57" s="54">
        <f>IFERROR(__xludf.DUMMYFUNCTION("""COMPUTED_VALUE"""),2.0)</f>
        <v>2</v>
      </c>
      <c r="G57" s="55"/>
      <c r="H57" s="56">
        <f>IFERROR(__xludf.DUMMYFUNCTION("""COMPUTED_VALUE"""),6.4)</f>
        <v>6.4</v>
      </c>
      <c r="I57" s="61"/>
      <c r="J57" s="58">
        <f>IFERROR(__xludf.DUMMYFUNCTION("""COMPUTED_VALUE"""),6.0)</f>
        <v>6</v>
      </c>
      <c r="K57" s="51"/>
      <c r="L57" s="59">
        <f>IFERROR(__xludf.DUMMYFUNCTION("""COMPUTED_VALUE"""),6.0)</f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IFERROR(__xludf.DUMMYFUNCTION("""COMPUTED_VALUE"""),4.0)</f>
        <v>4</v>
      </c>
      <c r="F58" s="54">
        <f>IFERROR(__xludf.DUMMYFUNCTION("""COMPUTED_VALUE"""),2.0)</f>
        <v>2</v>
      </c>
      <c r="G58" s="55"/>
      <c r="H58" s="56">
        <f>IFERROR(__xludf.DUMMYFUNCTION("""COMPUTED_VALUE"""),6.0)</f>
        <v>6</v>
      </c>
      <c r="I58" s="61"/>
      <c r="J58" s="58">
        <f>IFERROR(__xludf.DUMMYFUNCTION("""COMPUTED_VALUE"""),6.0)</f>
        <v>6</v>
      </c>
      <c r="K58" s="51"/>
      <c r="L58" s="59">
        <f>IFERROR(__xludf.DUMMYFUNCTION("""COMPUTED_VALUE"""),6.0)</f>
        <v>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IFERROR(__xludf.DUMMYFUNCTION("""COMPUTED_VALUE"""),3.6)</f>
        <v>3.6</v>
      </c>
      <c r="F59" s="54">
        <f>IFERROR(__xludf.DUMMYFUNCTION("""COMPUTED_VALUE"""),2.0)</f>
        <v>2</v>
      </c>
      <c r="G59" s="55"/>
      <c r="H59" s="56">
        <f>IFERROR(__xludf.DUMMYFUNCTION("""COMPUTED_VALUE"""),5.6)</f>
        <v>5.6</v>
      </c>
      <c r="I59" s="54">
        <f>IFERROR(__xludf.DUMMYFUNCTION("""COMPUTED_VALUE"""),2.0)</f>
        <v>2</v>
      </c>
      <c r="J59" s="58">
        <f>IFERROR(__xludf.DUMMYFUNCTION("""COMPUTED_VALUE"""),5.0)</f>
        <v>5</v>
      </c>
      <c r="K59" s="51"/>
      <c r="L59" s="59">
        <f>IFERROR(__xludf.DUMMYFUNCTION("""COMPUTED_VALUE"""),5.0)</f>
        <v>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IFERROR(__xludf.DUMMYFUNCTION("""COMPUTED_VALUE"""),6.4)</f>
        <v>6.4</v>
      </c>
      <c r="F60" s="54">
        <f>IFERROR(__xludf.DUMMYFUNCTION("""COMPUTED_VALUE"""),2.0)</f>
        <v>2</v>
      </c>
      <c r="G60" s="55">
        <f>IFERROR(__xludf.DUMMYFUNCTION("""COMPUTED_VALUE"""),1.0)</f>
        <v>1</v>
      </c>
      <c r="H60" s="56">
        <f>IFERROR(__xludf.DUMMYFUNCTION("""COMPUTED_VALUE"""),9.4)</f>
        <v>9.4</v>
      </c>
      <c r="I60" s="61"/>
      <c r="J60" s="58">
        <f>IFERROR(__xludf.DUMMYFUNCTION("""COMPUTED_VALUE"""),9.0)</f>
        <v>9</v>
      </c>
      <c r="K60" s="51"/>
      <c r="L60" s="59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IFERROR(__xludf.DUMMYFUNCTION("""COMPUTED_VALUE"""),6.4)</f>
        <v>6.4</v>
      </c>
      <c r="F61" s="54">
        <f>IFERROR(__xludf.DUMMYFUNCTION("""COMPUTED_VALUE"""),2.0)</f>
        <v>2</v>
      </c>
      <c r="G61" s="55"/>
      <c r="H61" s="56">
        <f>IFERROR(__xludf.DUMMYFUNCTION("""COMPUTED_VALUE"""),8.4)</f>
        <v>8.4</v>
      </c>
      <c r="I61" s="61"/>
      <c r="J61" s="58">
        <f>IFERROR(__xludf.DUMMYFUNCTION("""COMPUTED_VALUE"""),8.0)</f>
        <v>8</v>
      </c>
      <c r="K61" s="51"/>
      <c r="L61" s="59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IFERROR(__xludf.DUMMYFUNCTION("""COMPUTED_VALUE"""),44.0)</f>
        <v>44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IFERROR(__xludf.DUMMYFUNCTION("""COMPUTED_VALUE"""),1.0)</f>
        <v>1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IFERROR(__xludf.DUMMYFUNCTION("""COMPUTED_VALUE"""),97.77777777777777)</f>
        <v>97.77777778</v>
      </c>
      <c r="E68" s="62"/>
      <c r="F68" s="85" t="str">
        <f>IFERROR(__xludf.DUMMYFUNCTION("""COMPUTED_VALUE"""),"PROFR. ")</f>
        <v>PROFR. </v>
      </c>
      <c r="G68" s="86"/>
      <c r="H68" s="114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IFERROR(__xludf.DUMMYFUNCTION("""COMPUTED_VALUE"""),8.333333333333334)</f>
        <v>8.333333333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</row>
    <row r="1009" ht="15.75" customHeight="1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</row>
    <row r="1010" ht="15.75" customHeight="1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9 K18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IFERROR(__xludf.DUMMYFUNCTION("IMPORTRANGE(""https://docs.google.com/spreadsheets/d/1fKGazNVpBpa9ayL3aPl10gt6zPqOsT3bnK5RQC4-Tp8/edit?gid=459130879#gid=459130879"",""3-3 temas selectos de igualdad y derechos humanos!A1:Q85"")"),"")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IFERROR(__xludf.DUMMYFUNCTION("""COMPUTED_VALUE"""),"IVÁN HERNÁNDEZ PÉREZ")</f>
        <v>IVÁN HERNÁNDEZ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IGUALDAD Y DERECHOS HUMANOS VI")</f>
        <v>TEMAS SELECTOS DE IGUALDAD Y DERECHOS HUMANOS VI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IFERROR(__xludf.DUMMYFUNCTION("""COMPUTED_VALUE"""),"ALVAREZ")</f>
        <v>ALVAREZ</v>
      </c>
      <c r="C17" s="52" t="str">
        <f>IFERROR(__xludf.DUMMYFUNCTION("""COMPUTED_VALUE"""),"CID DE LEON")</f>
        <v>CID DE LEON</v>
      </c>
      <c r="D17" s="53" t="str">
        <f>IFERROR(__xludf.DUMMYFUNCTION("""COMPUTED_VALUE"""),"DIEGO ALONSO")</f>
        <v>DIEGO ALONSO</v>
      </c>
      <c r="E17" s="54">
        <f>IFERROR(__xludf.DUMMYFUNCTION("""COMPUTED_VALUE"""),6.5)</f>
        <v>6.5</v>
      </c>
      <c r="F17" s="54">
        <f>IFERROR(__xludf.DUMMYFUNCTION("""COMPUTED_VALUE"""),0.0)</f>
        <v>0</v>
      </c>
      <c r="G17" s="55">
        <f>IFERROR(__xludf.DUMMYFUNCTION("""COMPUTED_VALUE"""),0.0)</f>
        <v>0</v>
      </c>
      <c r="H17" s="56">
        <f>IFERROR(__xludf.DUMMYFUNCTION("""COMPUTED_VALUE"""),6.5)</f>
        <v>6.5</v>
      </c>
      <c r="I17" s="57">
        <f>IFERROR(__xludf.DUMMYFUNCTION("""COMPUTED_VALUE"""),0.0)</f>
        <v>0</v>
      </c>
      <c r="J17" s="58">
        <f>IFERROR(__xludf.DUMMYFUNCTION("""COMPUTED_VALUE"""),7.0)</f>
        <v>7</v>
      </c>
      <c r="K17" s="59"/>
      <c r="L17" s="60">
        <f>IFERROR(__xludf.DUMMYFUNCTION("""COMPUTED_VALUE"""),7.0)</f>
        <v>7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IFERROR(__xludf.DUMMYFUNCTION("""COMPUTED_VALUE"""),"ANZALDO")</f>
        <v>ANZALDO</v>
      </c>
      <c r="C18" s="52" t="str">
        <f>IFERROR(__xludf.DUMMYFUNCTION("""COMPUTED_VALUE"""),"MARTINEZ")</f>
        <v>MARTINEZ</v>
      </c>
      <c r="D18" s="53" t="str">
        <f>IFERROR(__xludf.DUMMYFUNCTION("""COMPUTED_VALUE"""),"YOSGAR HAZAEL")</f>
        <v>YOSGAR HAZAEL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>
        <f>IFERROR(__xludf.DUMMYFUNCTION("""COMPUTED_VALUE"""),0.0)</f>
        <v>0</v>
      </c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IFERROR(__xludf.DUMMYFUNCTION("""COMPUTED_VALUE"""),2.0)</f>
        <v>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IFERROR(__xludf.DUMMYFUNCTION("""COMPUTED_VALUE"""),"BARRIENTOS")</f>
        <v>BARRIENTOS</v>
      </c>
      <c r="C19" s="52" t="str">
        <f>IFERROR(__xludf.DUMMYFUNCTION("""COMPUTED_VALUE"""),"LORENZANA")</f>
        <v>LORENZANA</v>
      </c>
      <c r="D19" s="53" t="str">
        <f>IFERROR(__xludf.DUMMYFUNCTION("""COMPUTED_VALUE"""),"ATTIS JOSUE")</f>
        <v>ATTIS JOSUE</v>
      </c>
      <c r="E19" s="55">
        <f>IFERROR(__xludf.DUMMYFUNCTION("""COMPUTED_VALUE"""),8.0)</f>
        <v>8</v>
      </c>
      <c r="F19" s="54">
        <f>IFERROR(__xludf.DUMMYFUNCTION("""COMPUTED_VALUE"""),2.0)</f>
        <v>2</v>
      </c>
      <c r="G19" s="55">
        <f>IFERROR(__xludf.DUMMYFUNCTION("""COMPUTED_VALUE"""),0.0)</f>
        <v>0</v>
      </c>
      <c r="H19" s="56">
        <f>IFERROR(__xludf.DUMMYFUNCTION("""COMPUTED_VALUE"""),10.0)</f>
        <v>10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IFERROR(__xludf.DUMMYFUNCTION("""COMPUTED_VALUE"""),"BASILIO")</f>
        <v>BASILIO</v>
      </c>
      <c r="C20" s="52" t="str">
        <f>IFERROR(__xludf.DUMMYFUNCTION("""COMPUTED_VALUE"""),"NAVARRETE")</f>
        <v>NAVARRETE</v>
      </c>
      <c r="D20" s="53" t="str">
        <f>IFERROR(__xludf.DUMMYFUNCTION("""COMPUTED_VALUE"""),"RICARDO")</f>
        <v>RICARDO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>
        <f>IFERROR(__xludf.DUMMYFUNCTION("""COMPUTED_VALUE"""),0.0)</f>
        <v>0</v>
      </c>
      <c r="H20" s="56">
        <f>IFERROR(__xludf.DUMMYFUNCTION("""COMPUTED_VALUE"""),10.0)</f>
        <v>10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IFERROR(__xludf.DUMMYFUNCTION("""COMPUTED_VALUE"""),3.0)</f>
        <v>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IFERROR(__xludf.DUMMYFUNCTION("""COMPUTED_VALUE"""),"BECERRIL")</f>
        <v>BECERRIL</v>
      </c>
      <c r="C21" s="52" t="str">
        <f>IFERROR(__xludf.DUMMYFUNCTION("""COMPUTED_VALUE"""),"MEZA")</f>
        <v>MEZA</v>
      </c>
      <c r="D21" s="53" t="str">
        <f>IFERROR(__xludf.DUMMYFUNCTION("""COMPUTED_VALUE"""),"RENATA SARAHI")</f>
        <v>RENATA SARAHI</v>
      </c>
      <c r="E21" s="54">
        <f>IFERROR(__xludf.DUMMYFUNCTION("""COMPUTED_VALUE"""),6.0)</f>
        <v>6</v>
      </c>
      <c r="F21" s="54">
        <f>IFERROR(__xludf.DUMMYFUNCTION("""COMPUTED_VALUE"""),2.0)</f>
        <v>2</v>
      </c>
      <c r="G21" s="55">
        <f>IFERROR(__xludf.DUMMYFUNCTION("""COMPUTED_VALUE"""),0.0)</f>
        <v>0</v>
      </c>
      <c r="H21" s="56">
        <f>IFERROR(__xludf.DUMMYFUNCTION("""COMPUTED_VALUE"""),8.0)</f>
        <v>8</v>
      </c>
      <c r="I21" s="57">
        <f>IFERROR(__xludf.DUMMYFUNCTION("""COMPUTED_VALUE"""),0.0)</f>
        <v>0</v>
      </c>
      <c r="J21" s="58">
        <f>IFERROR(__xludf.DUMMYFUNCTION("""COMPUTED_VALUE"""),8.0)</f>
        <v>8</v>
      </c>
      <c r="K21" s="51"/>
      <c r="L21" s="60">
        <f>IFERROR(__xludf.DUMMYFUNCTION("""COMPUTED_VALUE"""),8.0)</f>
        <v>8</v>
      </c>
      <c r="M21" s="1" t="str">
        <f>IFERROR(__xludf.DUMMYFUNCTION("""COMPUTED_VALUE"""),"Mayo")</f>
        <v>Mayo</v>
      </c>
      <c r="N21" s="1">
        <f>IFERROR(__xludf.DUMMYFUNCTION("""COMPUTED_VALUE"""),3.0)</f>
        <v>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IFERROR(__xludf.DUMMYFUNCTION("""COMPUTED_VALUE"""),"BERNADI")</f>
        <v>BERNADI</v>
      </c>
      <c r="C22" s="52" t="str">
        <f>IFERROR(__xludf.DUMMYFUNCTION("""COMPUTED_VALUE"""),"GARCÍA")</f>
        <v>GARCÍA</v>
      </c>
      <c r="D22" s="53" t="str">
        <f>IFERROR(__xludf.DUMMYFUNCTION("""COMPUTED_VALUE"""),"MATHIAS")</f>
        <v>MATHIAS</v>
      </c>
      <c r="E22" s="54">
        <f>IFERROR(__xludf.DUMMYFUNCTION("""COMPUTED_VALUE"""),3.5)</f>
        <v>3.5</v>
      </c>
      <c r="F22" s="54">
        <f>IFERROR(__xludf.DUMMYFUNCTION("""COMPUTED_VALUE"""),0.0)</f>
        <v>0</v>
      </c>
      <c r="G22" s="55">
        <f>IFERROR(__xludf.DUMMYFUNCTION("""COMPUTED_VALUE"""),0.0)</f>
        <v>0</v>
      </c>
      <c r="H22" s="56">
        <f>IFERROR(__xludf.DUMMYFUNCTION("""COMPUTED_VALUE"""),3.5)</f>
        <v>3.5</v>
      </c>
      <c r="I22" s="57">
        <f>IFERROR(__xludf.DUMMYFUNCTION("""COMPUTED_VALUE"""),0.0)</f>
        <v>0</v>
      </c>
      <c r="J22" s="58">
        <f>IFERROR(__xludf.DUMMYFUNCTION("""COMPUTED_VALUE"""),5.0)</f>
        <v>5</v>
      </c>
      <c r="K22" s="51"/>
      <c r="L22" s="60">
        <f>IFERROR(__xludf.DUMMYFUNCTION("""COMPUTED_VALUE"""),3.0)</f>
        <v>3</v>
      </c>
      <c r="M22" s="1" t="str">
        <f>IFERROR(__xludf.DUMMYFUNCTION("""COMPUTED_VALUE"""),"Junio")</f>
        <v>Junio</v>
      </c>
      <c r="N22" s="1">
        <f>IFERROR(__xludf.DUMMYFUNCTION("""COMPUTED_VALUE"""),5.0)</f>
        <v>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IFERROR(__xludf.DUMMYFUNCTION("""COMPUTED_VALUE"""),"BLANCAS")</f>
        <v>BLANCAS</v>
      </c>
      <c r="C23" s="52" t="str">
        <f>IFERROR(__xludf.DUMMYFUNCTION("""COMPUTED_VALUE"""),"REYES")</f>
        <v>REYES</v>
      </c>
      <c r="D23" s="53" t="str">
        <f>IFERROR(__xludf.DUMMYFUNCTION("""COMPUTED_VALUE"""),"AVRIL LIZBETH")</f>
        <v>AVRIL LIZBETH</v>
      </c>
      <c r="E23" s="54">
        <f>IFERROR(__xludf.DUMMYFUNCTION("""COMPUTED_VALUE"""),5.5)</f>
        <v>5.5</v>
      </c>
      <c r="F23" s="54">
        <f>IFERROR(__xludf.DUMMYFUNCTION("""COMPUTED_VALUE"""),2.0)</f>
        <v>2</v>
      </c>
      <c r="G23" s="55">
        <f>IFERROR(__xludf.DUMMYFUNCTION("""COMPUTED_VALUE"""),0.0)</f>
        <v>0</v>
      </c>
      <c r="H23" s="56">
        <f>IFERROR(__xludf.DUMMYFUNCTION("""COMPUTED_VALUE"""),7.5)</f>
        <v>7.5</v>
      </c>
      <c r="I23" s="57">
        <f>IFERROR(__xludf.DUMMYFUNCTION("""COMPUTED_VALUE"""),0.0)</f>
        <v>0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>
        <f>IFERROR(__xludf.DUMMYFUNCTION("""COMPUTED_VALUE"""),2.0)</f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IFERROR(__xludf.DUMMYFUNCTION("""COMPUTED_VALUE"""),"CANEDO")</f>
        <v>CANEDO</v>
      </c>
      <c r="C24" s="52" t="str">
        <f>IFERROR(__xludf.DUMMYFUNCTION("""COMPUTED_VALUE"""),"GONZALEZ")</f>
        <v>GONZALEZ</v>
      </c>
      <c r="D24" s="53" t="str">
        <f>IFERROR(__xludf.DUMMYFUNCTION("""COMPUTED_VALUE"""),"DIANA LAURA")</f>
        <v>DIANA LAURA</v>
      </c>
      <c r="E24" s="55">
        <f>IFERROR(__xludf.DUMMYFUNCTION("""COMPUTED_VALUE"""),8.0)</f>
        <v>8</v>
      </c>
      <c r="F24" s="54">
        <f>IFERROR(__xludf.DUMMYFUNCTION("""COMPUTED_VALUE"""),0.0)</f>
        <v>0</v>
      </c>
      <c r="G24" s="55">
        <f>IFERROR(__xludf.DUMMYFUNCTION("""COMPUTED_VALUE"""),0.0)</f>
        <v>0</v>
      </c>
      <c r="H24" s="56">
        <f>IFERROR(__xludf.DUMMYFUNCTION("""COMPUTED_VALUE"""),8.0)</f>
        <v>8</v>
      </c>
      <c r="I24" s="57">
        <f>IFERROR(__xludf.DUMMYFUNCTION("""COMPUTED_VALUE"""),0.0)</f>
        <v>0</v>
      </c>
      <c r="J24" s="58">
        <f>IFERROR(__xludf.DUMMYFUNCTION("""COMPUTED_VALUE"""),8.0)</f>
        <v>8</v>
      </c>
      <c r="K24" s="51"/>
      <c r="L24" s="60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IFERROR(__xludf.DUMMYFUNCTION("""COMPUTED_VALUE"""),19.0)</f>
        <v>19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IFERROR(__xludf.DUMMYFUNCTION("""COMPUTED_VALUE"""),"CARBAJAL")</f>
        <v>CARBAJAL</v>
      </c>
      <c r="C25" s="52" t="str">
        <f>IFERROR(__xludf.DUMMYFUNCTION("""COMPUTED_VALUE"""),"RODRIGUEZ")</f>
        <v>RODRIGUEZ</v>
      </c>
      <c r="D25" s="53" t="str">
        <f>IFERROR(__xludf.DUMMYFUNCTION("""COMPUTED_VALUE"""),"GERARDO")</f>
        <v>GERARDO</v>
      </c>
      <c r="E25" s="54">
        <f>IFERROR(__xludf.DUMMYFUNCTION("""COMPUTED_VALUE"""),5.8)</f>
        <v>5.8</v>
      </c>
      <c r="F25" s="54">
        <f>IFERROR(__xludf.DUMMYFUNCTION("""COMPUTED_VALUE"""),2.0)</f>
        <v>2</v>
      </c>
      <c r="G25" s="55">
        <f>IFERROR(__xludf.DUMMYFUNCTION("""COMPUTED_VALUE"""),0.0)</f>
        <v>0</v>
      </c>
      <c r="H25" s="56">
        <f>IFERROR(__xludf.DUMMYFUNCTION("""COMPUTED_VALUE"""),7.8)</f>
        <v>7.8</v>
      </c>
      <c r="I25" s="57">
        <f>IFERROR(__xludf.DUMMYFUNCTION("""COMPUTED_VALUE"""),0.0)</f>
        <v>0</v>
      </c>
      <c r="J25" s="58">
        <f>IFERROR(__xludf.DUMMYFUNCTION("""COMPUTED_VALUE"""),8.0)</f>
        <v>8</v>
      </c>
      <c r="K25" s="51"/>
      <c r="L25" s="60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IFERROR(__xludf.DUMMYFUNCTION("""COMPUTED_VALUE"""),"CRUZ")</f>
        <v>CRUZ</v>
      </c>
      <c r="C26" s="52" t="str">
        <f>IFERROR(__xludf.DUMMYFUNCTION("""COMPUTED_VALUE"""),"VELAZQUEZ")</f>
        <v>VELAZQUEZ</v>
      </c>
      <c r="D26" s="53" t="str">
        <f>IFERROR(__xludf.DUMMYFUNCTION("""COMPUTED_VALUE"""),"ANGEL ERNESTO")</f>
        <v>ANGEL ERNESTO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>
        <f>IFERROR(__xludf.DUMMYFUNCTION("""COMPUTED_VALUE"""),0.0)</f>
        <v>0</v>
      </c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IFERROR(__xludf.DUMMYFUNCTION("""COMPUTED_VALUE"""),"DALVEZ")</f>
        <v>DALVEZ</v>
      </c>
      <c r="C27" s="52" t="str">
        <f>IFERROR(__xludf.DUMMYFUNCTION("""COMPUTED_VALUE"""),"CASTAÑEDA")</f>
        <v>CASTAÑEDA</v>
      </c>
      <c r="D27" s="52" t="str">
        <f>IFERROR(__xludf.DUMMYFUNCTION("""COMPUTED_VALUE"""),"DUAN IBRANEL")</f>
        <v>DUAN IBRANEL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IFERROR(__xludf.DUMMYFUNCTION("""COMPUTED_VALUE"""),10.0)</f>
        <v>10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 POLANCO")</f>
        <v>DE POLANCO</v>
      </c>
      <c r="C28" s="52" t="str">
        <f>IFERROR(__xludf.DUMMYFUNCTION("""COMPUTED_VALUE"""),"PANAMA")</f>
        <v>PANAMA</v>
      </c>
      <c r="D28" s="53" t="str">
        <f>IFERROR(__xludf.DUMMYFUNCTION("""COMPUTED_VALUE"""),"BRENDA FERNANDA")</f>
        <v>BRENDA FERNANDA</v>
      </c>
      <c r="E28" s="54">
        <f>IFERROR(__xludf.DUMMYFUNCTION("""COMPUTED_VALUE"""),5.6)</f>
        <v>5.6</v>
      </c>
      <c r="F28" s="54">
        <f>IFERROR(__xludf.DUMMYFUNCTION("""COMPUTED_VALUE"""),2.0)</f>
        <v>2</v>
      </c>
      <c r="G28" s="55">
        <f>IFERROR(__xludf.DUMMYFUNCTION("""COMPUTED_VALUE"""),0.0)</f>
        <v>0</v>
      </c>
      <c r="H28" s="56">
        <f>IFERROR(__xludf.DUMMYFUNCTION("""COMPUTED_VALUE"""),7.6)</f>
        <v>7.6</v>
      </c>
      <c r="I28" s="57">
        <f>IFERROR(__xludf.DUMMYFUNCTION("""COMPUTED_VALUE"""),0.0)</f>
        <v>0</v>
      </c>
      <c r="J28" s="58">
        <f>IFERROR(__xludf.DUMMYFUNCTION("""COMPUTED_VALUE"""),8.0)</f>
        <v>8</v>
      </c>
      <c r="K28" s="51"/>
      <c r="L28" s="60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IFERROR(__xludf.DUMMYFUNCTION("""COMPUTED_VALUE"""),"LOPEZ")</f>
        <v>LOPEZ</v>
      </c>
      <c r="D29" s="53" t="str">
        <f>IFERROR(__xludf.DUMMYFUNCTION("""COMPUTED_VALUE"""),"BRISEIDA LEILANI")</f>
        <v>BRISEIDA LEILANI</v>
      </c>
      <c r="E29" s="54">
        <f>IFERROR(__xludf.DUMMYFUNCTION("""COMPUTED_VALUE"""),8.0)</f>
        <v>8</v>
      </c>
      <c r="F29" s="54">
        <f>IFERROR(__xludf.DUMMYFUNCTION("""COMPUTED_VALUE"""),0.0)</f>
        <v>0</v>
      </c>
      <c r="G29" s="55">
        <f>IFERROR(__xludf.DUMMYFUNCTION("""COMPUTED_VALUE"""),0.0)</f>
        <v>0</v>
      </c>
      <c r="H29" s="56">
        <f>IFERROR(__xludf.DUMMYFUNCTION("""COMPUTED_VALUE"""),8.0)</f>
        <v>8</v>
      </c>
      <c r="I29" s="57">
        <f>IFERROR(__xludf.DUMMYFUNCTION("""COMPUTED_VALUE"""),0.0)</f>
        <v>0</v>
      </c>
      <c r="J29" s="58">
        <f>IFERROR(__xludf.DUMMYFUNCTION("""COMPUTED_VALUE"""),8.0)</f>
        <v>8</v>
      </c>
      <c r="K29" s="51"/>
      <c r="L29" s="60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IFERROR(__xludf.DUMMYFUNCTION("""COMPUTED_VALUE"""),"GONZALEZ")</f>
        <v>GONZALEZ</v>
      </c>
      <c r="C30" s="52" t="str">
        <f>IFERROR(__xludf.DUMMYFUNCTION("""COMPUTED_VALUE"""),"RAMOS")</f>
        <v>RAMOS</v>
      </c>
      <c r="D30" s="53" t="str">
        <f>IFERROR(__xludf.DUMMYFUNCTION("""COMPUTED_VALUE"""),"ANGEL DAVID")</f>
        <v>ANGEL DAVID</v>
      </c>
      <c r="E30" s="55">
        <f>IFERROR(__xludf.DUMMYFUNCTION("""COMPUTED_VALUE"""),6.0)</f>
        <v>6</v>
      </c>
      <c r="F30" s="54">
        <f>IFERROR(__xludf.DUMMYFUNCTION("""COMPUTED_VALUE"""),0.0)</f>
        <v>0</v>
      </c>
      <c r="G30" s="55">
        <f>IFERROR(__xludf.DUMMYFUNCTION("""COMPUTED_VALUE"""),0.0)</f>
        <v>0</v>
      </c>
      <c r="H30" s="56">
        <f>IFERROR(__xludf.DUMMYFUNCTION("""COMPUTED_VALUE"""),6.0)</f>
        <v>6</v>
      </c>
      <c r="I30" s="57">
        <f>IFERROR(__xludf.DUMMYFUNCTION("""COMPUTED_VALUE"""),0.0)</f>
        <v>0</v>
      </c>
      <c r="J30" s="58">
        <f>IFERROR(__xludf.DUMMYFUNCTION("""COMPUTED_VALUE"""),6.0)</f>
        <v>6</v>
      </c>
      <c r="K30" s="51"/>
      <c r="L30" s="60">
        <f>IFERROR(__xludf.DUMMYFUNCTION("""COMPUTED_VALUE"""),6.0)</f>
        <v>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IFERROR(__xludf.DUMMYFUNCTION("""COMPUTED_VALUE"""),"GUZMAN")</f>
        <v>GUZMAN</v>
      </c>
      <c r="C31" s="52" t="str">
        <f>IFERROR(__xludf.DUMMYFUNCTION("""COMPUTED_VALUE"""),"VARGUEZ")</f>
        <v>VARGUEZ</v>
      </c>
      <c r="D31" s="53" t="str">
        <f>IFERROR(__xludf.DUMMYFUNCTION("""COMPUTED_VALUE"""),"JAHIR EMILIANO")</f>
        <v>JAHIR EMILIANO</v>
      </c>
      <c r="E31" s="55">
        <f>IFERROR(__xludf.DUMMYFUNCTION("""COMPUTED_VALUE"""),8.0)</f>
        <v>8</v>
      </c>
      <c r="F31" s="54">
        <f>IFERROR(__xludf.DUMMYFUNCTION("""COMPUTED_VALUE"""),0.0)</f>
        <v>0</v>
      </c>
      <c r="G31" s="55">
        <f>IFERROR(__xludf.DUMMYFUNCTION("""COMPUTED_VALUE"""),0.0)</f>
        <v>0</v>
      </c>
      <c r="H31" s="56">
        <f>IFERROR(__xludf.DUMMYFUNCTION("""COMPUTED_VALUE"""),8.0)</f>
        <v>8</v>
      </c>
      <c r="I31" s="57">
        <f>IFERROR(__xludf.DUMMYFUNCTION("""COMPUTED_VALUE"""),0.0)</f>
        <v>0</v>
      </c>
      <c r="J31" s="58">
        <f>IFERROR(__xludf.DUMMYFUNCTION("""COMPUTED_VALUE"""),8.0)</f>
        <v>8</v>
      </c>
      <c r="K31" s="51"/>
      <c r="L31" s="60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IFERROR(__xludf.DUMMYFUNCTION("""COMPUTED_VALUE"""),"HERNANDEZ")</f>
        <v>HERNANDEZ</v>
      </c>
      <c r="C32" s="52" t="str">
        <f>IFERROR(__xludf.DUMMYFUNCTION("""COMPUTED_VALUE"""),"GARCIA")</f>
        <v>GARCIA</v>
      </c>
      <c r="D32" s="53" t="str">
        <f>IFERROR(__xludf.DUMMYFUNCTION("""COMPUTED_VALUE"""),"ELSY")</f>
        <v>ELSY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IFERROR(__xludf.DUMMYFUNCTION("""COMPUTED_VALUE"""),"HERNANDEZ")</f>
        <v>HERNANDEZ</v>
      </c>
      <c r="C33" s="52" t="str">
        <f>IFERROR(__xludf.DUMMYFUNCTION("""COMPUTED_VALUE"""),"PADILLA")</f>
        <v>PADILLA</v>
      </c>
      <c r="D33" s="53" t="str">
        <f>IFERROR(__xludf.DUMMYFUNCTION("""COMPUTED_VALUE"""),"ESTEFANY NAOMI")</f>
        <v>ESTEFANY NAOMI</v>
      </c>
      <c r="E33" s="54">
        <f>IFERROR(__xludf.DUMMYFUNCTION("""COMPUTED_VALUE"""),8.0)</f>
        <v>8</v>
      </c>
      <c r="F33" s="54">
        <f>IFERROR(__xludf.DUMMYFUNCTION("""COMPUTED_VALUE"""),2.0)</f>
        <v>2</v>
      </c>
      <c r="G33" s="55">
        <f>IFERROR(__xludf.DUMMYFUNCTION("""COMPUTED_VALUE"""),0.0)</f>
        <v>0</v>
      </c>
      <c r="H33" s="56">
        <f>IFERROR(__xludf.DUMMYFUNCTION("""COMPUTED_VALUE"""),10.0)</f>
        <v>10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IFERROR(__xludf.DUMMYFUNCTION("""COMPUTED_VALUE"""),"HERNANDEZ")</f>
        <v>HERNANDEZ</v>
      </c>
      <c r="C34" s="52" t="str">
        <f>IFERROR(__xludf.DUMMYFUNCTION("""COMPUTED_VALUE"""),"RAYON")</f>
        <v>RAYON</v>
      </c>
      <c r="D34" s="53" t="str">
        <f>IFERROR(__xludf.DUMMYFUNCTION("""COMPUTED_VALUE"""),"VICTOR")</f>
        <v>VICTOR</v>
      </c>
      <c r="E34" s="55">
        <f>IFERROR(__xludf.DUMMYFUNCTION("""COMPUTED_VALUE"""),5.8)</f>
        <v>5.8</v>
      </c>
      <c r="F34" s="54">
        <f>IFERROR(__xludf.DUMMYFUNCTION("""COMPUTED_VALUE"""),0.0)</f>
        <v>0</v>
      </c>
      <c r="G34" s="55">
        <f>IFERROR(__xludf.DUMMYFUNCTION("""COMPUTED_VALUE"""),0.0)</f>
        <v>0</v>
      </c>
      <c r="H34" s="56">
        <f>IFERROR(__xludf.DUMMYFUNCTION("""COMPUTED_VALUE"""),5.8)</f>
        <v>5.8</v>
      </c>
      <c r="I34" s="57">
        <f>IFERROR(__xludf.DUMMYFUNCTION("""COMPUTED_VALUE"""),0.0)</f>
        <v>0</v>
      </c>
      <c r="J34" s="58">
        <f>IFERROR(__xludf.DUMMYFUNCTION("""COMPUTED_VALUE"""),5.0)</f>
        <v>5</v>
      </c>
      <c r="K34" s="51"/>
      <c r="L34" s="60">
        <f>IFERROR(__xludf.DUMMYFUNCTION("""COMPUTED_VALUE"""),5.0)</f>
        <v>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IFERROR(__xludf.DUMMYFUNCTION("""COMPUTED_VALUE"""),"JASSO")</f>
        <v>JASSO</v>
      </c>
      <c r="C35" s="52" t="str">
        <f>IFERROR(__xludf.DUMMYFUNCTION("""COMPUTED_VALUE"""),"CARDOSO")</f>
        <v>CARDOSO</v>
      </c>
      <c r="D35" s="53" t="str">
        <f>IFERROR(__xludf.DUMMYFUNCTION("""COMPUTED_VALUE"""),"OLIVER ALDO")</f>
        <v>OLIVER ALDO</v>
      </c>
      <c r="E35" s="54">
        <f>IFERROR(__xludf.DUMMYFUNCTION("""COMPUTED_VALUE"""),4.5)</f>
        <v>4.5</v>
      </c>
      <c r="F35" s="54">
        <f>IFERROR(__xludf.DUMMYFUNCTION("""COMPUTED_VALUE"""),2.0)</f>
        <v>2</v>
      </c>
      <c r="G35" s="55">
        <f>IFERROR(__xludf.DUMMYFUNCTION("""COMPUTED_VALUE"""),0.0)</f>
        <v>0</v>
      </c>
      <c r="H35" s="56">
        <f>IFERROR(__xludf.DUMMYFUNCTION("""COMPUTED_VALUE"""),6.5)</f>
        <v>6.5</v>
      </c>
      <c r="I35" s="57">
        <f>IFERROR(__xludf.DUMMYFUNCTION("""COMPUTED_VALUE"""),0.0)</f>
        <v>0</v>
      </c>
      <c r="J35" s="58">
        <f>IFERROR(__xludf.DUMMYFUNCTION("""COMPUTED_VALUE"""),7.0)</f>
        <v>7</v>
      </c>
      <c r="K35" s="51"/>
      <c r="L35" s="60">
        <f>IFERROR(__xludf.DUMMYFUNCTION("""COMPUTED_VALUE"""),7.0)</f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IFERROR(__xludf.DUMMYFUNCTION("""COMPUTED_VALUE"""),"LOPEZ")</f>
        <v>LOPEZ</v>
      </c>
      <c r="C36" s="52" t="str">
        <f>IFERROR(__xludf.DUMMYFUNCTION("""COMPUTED_VALUE"""),"CHIMAL")</f>
        <v>CHIMAL</v>
      </c>
      <c r="D36" s="53" t="str">
        <f>IFERROR(__xludf.DUMMYFUNCTION("""COMPUTED_VALUE"""),"RUBEN TSAHI")</f>
        <v>RUBEN TSAHI</v>
      </c>
      <c r="E36" s="54">
        <f>IFERROR(__xludf.DUMMYFUNCTION("""COMPUTED_VALUE"""),6.0)</f>
        <v>6</v>
      </c>
      <c r="F36" s="54">
        <f>IFERROR(__xludf.DUMMYFUNCTION("""COMPUTED_VALUE"""),0.0)</f>
        <v>0</v>
      </c>
      <c r="G36" s="55">
        <f>IFERROR(__xludf.DUMMYFUNCTION("""COMPUTED_VALUE"""),0.0)</f>
        <v>0</v>
      </c>
      <c r="H36" s="56">
        <f>IFERROR(__xludf.DUMMYFUNCTION("""COMPUTED_VALUE"""),6.0)</f>
        <v>6</v>
      </c>
      <c r="I36" s="57">
        <f>IFERROR(__xludf.DUMMYFUNCTION("""COMPUTED_VALUE"""),0.0)</f>
        <v>0</v>
      </c>
      <c r="J36" s="58">
        <f>IFERROR(__xludf.DUMMYFUNCTION("""COMPUTED_VALUE"""),6.0)</f>
        <v>6</v>
      </c>
      <c r="K36" s="51"/>
      <c r="L36" s="60">
        <f>IFERROR(__xludf.DUMMYFUNCTION("""COMPUTED_VALUE"""),6.0)</f>
        <v>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IFERROR(__xludf.DUMMYFUNCTION("""COMPUTED_VALUE"""),"LOPEZ")</f>
        <v>LOPEZ</v>
      </c>
      <c r="C37" s="52" t="str">
        <f>IFERROR(__xludf.DUMMYFUNCTION("""COMPUTED_VALUE"""),"VAZQUEZ")</f>
        <v>VAZQUEZ</v>
      </c>
      <c r="D37" s="53" t="str">
        <f>IFERROR(__xludf.DUMMYFUNCTION("""COMPUTED_VALUE"""),"DANIEL ALEJANDRO")</f>
        <v>DANIEL ALEJANDRO</v>
      </c>
      <c r="E37" s="55">
        <f>IFERROR(__xludf.DUMMYFUNCTION("""COMPUTED_VALUE"""),6.0)</f>
        <v>6</v>
      </c>
      <c r="F37" s="54">
        <f>IFERROR(__xludf.DUMMYFUNCTION("""COMPUTED_VALUE"""),0.0)</f>
        <v>0</v>
      </c>
      <c r="G37" s="55">
        <f>IFERROR(__xludf.DUMMYFUNCTION("""COMPUTED_VALUE"""),0.0)</f>
        <v>0</v>
      </c>
      <c r="H37" s="56">
        <f>IFERROR(__xludf.DUMMYFUNCTION("""COMPUTED_VALUE"""),6.0)</f>
        <v>6</v>
      </c>
      <c r="I37" s="57">
        <f>IFERROR(__xludf.DUMMYFUNCTION("""COMPUTED_VALUE"""),0.0)</f>
        <v>0</v>
      </c>
      <c r="J37" s="58">
        <f>IFERROR(__xludf.DUMMYFUNCTION("""COMPUTED_VALUE"""),6.0)</f>
        <v>6</v>
      </c>
      <c r="K37" s="51"/>
      <c r="L37" s="60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IFERROR(__xludf.DUMMYFUNCTION("""COMPUTED_VALUE"""),"MENDOZA")</f>
        <v>MENDOZA</v>
      </c>
      <c r="D38" s="53" t="str">
        <f>IFERROR(__xludf.DUMMYFUNCTION("""COMPUTED_VALUE"""),"PABLO")</f>
        <v>PABLO</v>
      </c>
      <c r="E38" s="54">
        <f>IFERROR(__xludf.DUMMYFUNCTION("""COMPUTED_VALUE"""),4.5)</f>
        <v>4.5</v>
      </c>
      <c r="F38" s="54">
        <f>IFERROR(__xludf.DUMMYFUNCTION("""COMPUTED_VALUE"""),2.0)</f>
        <v>2</v>
      </c>
      <c r="G38" s="55">
        <f>IFERROR(__xludf.DUMMYFUNCTION("""COMPUTED_VALUE"""),0.0)</f>
        <v>0</v>
      </c>
      <c r="H38" s="56">
        <f>IFERROR(__xludf.DUMMYFUNCTION("""COMPUTED_VALUE"""),6.5)</f>
        <v>6.5</v>
      </c>
      <c r="I38" s="57">
        <f>IFERROR(__xludf.DUMMYFUNCTION("""COMPUTED_VALUE"""),0.0)</f>
        <v>0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IFERROR(__xludf.DUMMYFUNCTION("""COMPUTED_VALUE"""),"MIJANGOS")</f>
        <v>MIJANGOS</v>
      </c>
      <c r="C39" s="52" t="str">
        <f>IFERROR(__xludf.DUMMYFUNCTION("""COMPUTED_VALUE"""),"ANTONIO")</f>
        <v>ANTONIO</v>
      </c>
      <c r="D39" s="53" t="str">
        <f>IFERROR(__xludf.DUMMYFUNCTION("""COMPUTED_VALUE"""),"RAFAEL")</f>
        <v>RAFAEL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>
        <f>IFERROR(__xludf.DUMMYFUNCTION("""COMPUTED_VALUE"""),0.0)</f>
        <v>0</v>
      </c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IFERROR(__xludf.DUMMYFUNCTION("""COMPUTED_VALUE"""),"MILLAN")</f>
        <v>MILLAN</v>
      </c>
      <c r="C40" s="52" t="str">
        <f>IFERROR(__xludf.DUMMYFUNCTION("""COMPUTED_VALUE"""),"VARGAS")</f>
        <v>VARGAS</v>
      </c>
      <c r="D40" s="53" t="str">
        <f>IFERROR(__xludf.DUMMYFUNCTION("""COMPUTED_VALUE"""),"HANNA VICTORIA")</f>
        <v>HANNA VICTORIA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IFERROR(__xludf.DUMMYFUNCTION("""COMPUTED_VALUE"""),"MORALES")</f>
        <v>MORALES</v>
      </c>
      <c r="C41" s="52" t="str">
        <f>IFERROR(__xludf.DUMMYFUNCTION("""COMPUTED_VALUE"""),"GARCIA")</f>
        <v>GARCIA</v>
      </c>
      <c r="D41" s="53" t="str">
        <f>IFERROR(__xludf.DUMMYFUNCTION("""COMPUTED_VALUE"""),"XIMENA")</f>
        <v>XIMENA</v>
      </c>
      <c r="E41" s="54">
        <f>IFERROR(__xludf.DUMMYFUNCTION("""COMPUTED_VALUE"""),6.0)</f>
        <v>6</v>
      </c>
      <c r="F41" s="54">
        <f>IFERROR(__xludf.DUMMYFUNCTION("""COMPUTED_VALUE"""),2.0)</f>
        <v>2</v>
      </c>
      <c r="G41" s="55">
        <f>IFERROR(__xludf.DUMMYFUNCTION("""COMPUTED_VALUE"""),0.0)</f>
        <v>0</v>
      </c>
      <c r="H41" s="56">
        <f>IFERROR(__xludf.DUMMYFUNCTION("""COMPUTED_VALUE"""),8.0)</f>
        <v>8</v>
      </c>
      <c r="I41" s="57">
        <f>IFERROR(__xludf.DUMMYFUNCTION("""COMPUTED_VALUE"""),0.0)</f>
        <v>0</v>
      </c>
      <c r="J41" s="58">
        <f>IFERROR(__xludf.DUMMYFUNCTION("""COMPUTED_VALUE"""),8.0)</f>
        <v>8</v>
      </c>
      <c r="K41" s="51"/>
      <c r="L41" s="60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IFERROR(__xludf.DUMMYFUNCTION("""COMPUTED_VALUE"""),"MORALES")</f>
        <v>MORALES</v>
      </c>
      <c r="C42" s="52" t="str">
        <f>IFERROR(__xludf.DUMMYFUNCTION("""COMPUTED_VALUE"""),"RODRIGUEZ")</f>
        <v>RODRIGUEZ</v>
      </c>
      <c r="D42" s="53" t="str">
        <f>IFERROR(__xludf.DUMMYFUNCTION("""COMPUTED_VALUE"""),"LUIS GAEL")</f>
        <v>LUIS GAEL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>
        <f>IFERROR(__xludf.DUMMYFUNCTION("""COMPUTED_VALUE"""),0.0)</f>
        <v>0</v>
      </c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IFERROR(__xludf.DUMMYFUNCTION("""COMPUTED_VALUE"""),"NORIEGA")</f>
        <v>NORIEGA</v>
      </c>
      <c r="C43" s="52" t="str">
        <f>IFERROR(__xludf.DUMMYFUNCTION("""COMPUTED_VALUE"""),"DORANTES")</f>
        <v>DORANTES</v>
      </c>
      <c r="D43" s="53" t="str">
        <f>IFERROR(__xludf.DUMMYFUNCTION("""COMPUTED_VALUE"""),"ANGELICA XIOMARA")</f>
        <v>ANGELICA XIOMARA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>
        <f>IFERROR(__xludf.DUMMYFUNCTION("""COMPUTED_VALUE"""),0.0)</f>
        <v>0</v>
      </c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IFERROR(__xludf.DUMMYFUNCTION("""COMPUTED_VALUE"""),"OROZCO")</f>
        <v>OROZCO</v>
      </c>
      <c r="C44" s="52" t="str">
        <f>IFERROR(__xludf.DUMMYFUNCTION("""COMPUTED_VALUE"""),"OSORNIO")</f>
        <v>OSORNIO</v>
      </c>
      <c r="D44" s="53" t="str">
        <f>IFERROR(__xludf.DUMMYFUNCTION("""COMPUTED_VALUE"""),"ANGEL RAFAEL")</f>
        <v>ANGEL RAFAEL</v>
      </c>
      <c r="E44" s="54">
        <f>IFERROR(__xludf.DUMMYFUNCTION("""COMPUTED_VALUE"""),3.5)</f>
        <v>3.5</v>
      </c>
      <c r="F44" s="54">
        <f>IFERROR(__xludf.DUMMYFUNCTION("""COMPUTED_VALUE"""),0.0)</f>
        <v>0</v>
      </c>
      <c r="G44" s="55">
        <f>IFERROR(__xludf.DUMMYFUNCTION("""COMPUTED_VALUE"""),0.0)</f>
        <v>0</v>
      </c>
      <c r="H44" s="56">
        <f>IFERROR(__xludf.DUMMYFUNCTION("""COMPUTED_VALUE"""),3.5)</f>
        <v>3.5</v>
      </c>
      <c r="I44" s="57">
        <f>IFERROR(__xludf.DUMMYFUNCTION("""COMPUTED_VALUE"""),0.0)</f>
        <v>0</v>
      </c>
      <c r="J44" s="58">
        <f>IFERROR(__xludf.DUMMYFUNCTION("""COMPUTED_VALUE"""),5.0)</f>
        <v>5</v>
      </c>
      <c r="K44" s="51"/>
      <c r="L44" s="60">
        <f>IFERROR(__xludf.DUMMYFUNCTION("""COMPUTED_VALUE"""),3.0)</f>
        <v>3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IFERROR(__xludf.DUMMYFUNCTION("""COMPUTED_VALUE"""),"PERALTA")</f>
        <v>PERALTA</v>
      </c>
      <c r="C45" s="52" t="str">
        <f>IFERROR(__xludf.DUMMYFUNCTION("""COMPUTED_VALUE"""),"CERON")</f>
        <v>CERON</v>
      </c>
      <c r="D45" s="53" t="str">
        <f>IFERROR(__xludf.DUMMYFUNCTION("""COMPUTED_VALUE"""),"DANA PAOLA")</f>
        <v>DANA PAOLA</v>
      </c>
      <c r="E45" s="54">
        <f>IFERROR(__xludf.DUMMYFUNCTION("""COMPUTED_VALUE"""),6.0)</f>
        <v>6</v>
      </c>
      <c r="F45" s="54">
        <f>IFERROR(__xludf.DUMMYFUNCTION("""COMPUTED_VALUE"""),0.0)</f>
        <v>0</v>
      </c>
      <c r="G45" s="55">
        <f>IFERROR(__xludf.DUMMYFUNCTION("""COMPUTED_VALUE"""),0.0)</f>
        <v>0</v>
      </c>
      <c r="H45" s="56">
        <f>IFERROR(__xludf.DUMMYFUNCTION("""COMPUTED_VALUE"""),6.0)</f>
        <v>6</v>
      </c>
      <c r="I45" s="57">
        <f>IFERROR(__xludf.DUMMYFUNCTION("""COMPUTED_VALUE"""),0.0)</f>
        <v>0</v>
      </c>
      <c r="J45" s="58">
        <f>IFERROR(__xludf.DUMMYFUNCTION("""COMPUTED_VALUE"""),6.0)</f>
        <v>6</v>
      </c>
      <c r="K45" s="51"/>
      <c r="L45" s="60">
        <f>IFERROR(__xludf.DUMMYFUNCTION("""COMPUTED_VALUE"""),6.0)</f>
        <v>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IFERROR(__xludf.DUMMYFUNCTION("""COMPUTED_VALUE"""),"PUC")</f>
        <v>PUC</v>
      </c>
      <c r="C46" s="52" t="str">
        <f>IFERROR(__xludf.DUMMYFUNCTION("""COMPUTED_VALUE"""),"VAZQUEZ")</f>
        <v>VAZQUEZ</v>
      </c>
      <c r="D46" s="53" t="str">
        <f>IFERROR(__xludf.DUMMYFUNCTION("""COMPUTED_VALUE"""),"DANTE EMILIANO")</f>
        <v>DANTE EMILIANO</v>
      </c>
      <c r="E46" s="54">
        <f>IFERROR(__xludf.DUMMYFUNCTION("""COMPUTED_VALUE"""),6.0)</f>
        <v>6</v>
      </c>
      <c r="F46" s="54">
        <f>IFERROR(__xludf.DUMMYFUNCTION("""COMPUTED_VALUE"""),0.0)</f>
        <v>0</v>
      </c>
      <c r="G46" s="55">
        <f>IFERROR(__xludf.DUMMYFUNCTION("""COMPUTED_VALUE"""),0.0)</f>
        <v>0</v>
      </c>
      <c r="H46" s="56">
        <f>IFERROR(__xludf.DUMMYFUNCTION("""COMPUTED_VALUE"""),6.0)</f>
        <v>6</v>
      </c>
      <c r="I46" s="57">
        <f>IFERROR(__xludf.DUMMYFUNCTION("""COMPUTED_VALUE"""),0.0)</f>
        <v>0</v>
      </c>
      <c r="J46" s="58">
        <f>IFERROR(__xludf.DUMMYFUNCTION("""COMPUTED_VALUE"""),6.0)</f>
        <v>6</v>
      </c>
      <c r="K46" s="51"/>
      <c r="L46" s="60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IFERROR(__xludf.DUMMYFUNCTION("""COMPUTED_VALUE"""),"GONZALEZ")</f>
        <v>GONZALEZ</v>
      </c>
      <c r="D47" s="53" t="str">
        <f>IFERROR(__xludf.DUMMYFUNCTION("""COMPUTED_VALUE"""),"HECTOR ALEJANDRO")</f>
        <v>HECTOR ALEJANDRO</v>
      </c>
      <c r="E47" s="54">
        <f>IFERROR(__xludf.DUMMYFUNCTION("""COMPUTED_VALUE"""),5.8)</f>
        <v>5.8</v>
      </c>
      <c r="F47" s="54">
        <f>IFERROR(__xludf.DUMMYFUNCTION("""COMPUTED_VALUE"""),0.0)</f>
        <v>0</v>
      </c>
      <c r="G47" s="55">
        <f>IFERROR(__xludf.DUMMYFUNCTION("""COMPUTED_VALUE"""),0.0)</f>
        <v>0</v>
      </c>
      <c r="H47" s="56">
        <f>IFERROR(__xludf.DUMMYFUNCTION("""COMPUTED_VALUE"""),5.8)</f>
        <v>5.8</v>
      </c>
      <c r="I47" s="57">
        <f>IFERROR(__xludf.DUMMYFUNCTION("""COMPUTED_VALUE"""),0.0)</f>
        <v>0</v>
      </c>
      <c r="J47" s="58">
        <f>IFERROR(__xludf.DUMMYFUNCTION("""COMPUTED_VALUE"""),5.0)</f>
        <v>5</v>
      </c>
      <c r="K47" s="51"/>
      <c r="L47" s="60">
        <f>IFERROR(__xludf.DUMMYFUNCTION("""COMPUTED_VALUE"""),5.0)</f>
        <v>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IFERROR(__xludf.DUMMYFUNCTION("""COMPUTED_VALUE"""),"ROMERO")</f>
        <v>ROMERO</v>
      </c>
      <c r="C48" s="52" t="str">
        <f>IFERROR(__xludf.DUMMYFUNCTION("""COMPUTED_VALUE"""),"RIVERA")</f>
        <v>RIVERA</v>
      </c>
      <c r="D48" s="53" t="str">
        <f>IFERROR(__xludf.DUMMYFUNCTION("""COMPUTED_VALUE"""),"MANUEL ALEJANDRO")</f>
        <v>MANUEL ALEJANDRO</v>
      </c>
      <c r="E48" s="54">
        <f>IFERROR(__xludf.DUMMYFUNCTION("""COMPUTED_VALUE"""),6.0)</f>
        <v>6</v>
      </c>
      <c r="F48" s="54">
        <f>IFERROR(__xludf.DUMMYFUNCTION("""COMPUTED_VALUE"""),2.0)</f>
        <v>2</v>
      </c>
      <c r="G48" s="55">
        <f>IFERROR(__xludf.DUMMYFUNCTION("""COMPUTED_VALUE"""),0.0)</f>
        <v>0</v>
      </c>
      <c r="H48" s="56">
        <f>IFERROR(__xludf.DUMMYFUNCTION("""COMPUTED_VALUE"""),8.0)</f>
        <v>8</v>
      </c>
      <c r="I48" s="57">
        <f>IFERROR(__xludf.DUMMYFUNCTION("""COMPUTED_VALUE"""),0.0)</f>
        <v>0</v>
      </c>
      <c r="J48" s="58">
        <f>IFERROR(__xludf.DUMMYFUNCTION("""COMPUTED_VALUE"""),8.0)</f>
        <v>8</v>
      </c>
      <c r="K48" s="51"/>
      <c r="L48" s="60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IFERROR(__xludf.DUMMYFUNCTION("""COMPUTED_VALUE"""),"ROMERO")</f>
        <v>ROMERO</v>
      </c>
      <c r="C49" s="52" t="str">
        <f>IFERROR(__xludf.DUMMYFUNCTION("""COMPUTED_VALUE"""),"ROJAS")</f>
        <v>ROJAS</v>
      </c>
      <c r="D49" s="53" t="str">
        <f>IFERROR(__xludf.DUMMYFUNCTION("""COMPUTED_VALUE"""),"NOHEMI")</f>
        <v>NOHEMI</v>
      </c>
      <c r="E49" s="54">
        <f>IFERROR(__xludf.DUMMYFUNCTION("""COMPUTED_VALUE"""),6.0)</f>
        <v>6</v>
      </c>
      <c r="F49" s="54">
        <f>IFERROR(__xludf.DUMMYFUNCTION("""COMPUTED_VALUE"""),0.0)</f>
        <v>0</v>
      </c>
      <c r="G49" s="55">
        <f>IFERROR(__xludf.DUMMYFUNCTION("""COMPUTED_VALUE"""),0.0)</f>
        <v>0</v>
      </c>
      <c r="H49" s="56">
        <f>IFERROR(__xludf.DUMMYFUNCTION("""COMPUTED_VALUE"""),6.0)</f>
        <v>6</v>
      </c>
      <c r="I49" s="57">
        <f>IFERROR(__xludf.DUMMYFUNCTION("""COMPUTED_VALUE"""),0.0)</f>
        <v>0</v>
      </c>
      <c r="J49" s="58">
        <f>IFERROR(__xludf.DUMMYFUNCTION("""COMPUTED_VALUE"""),6.0)</f>
        <v>6</v>
      </c>
      <c r="K49" s="51"/>
      <c r="L49" s="60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IFERROR(__xludf.DUMMYFUNCTION("""COMPUTED_VALUE"""),"SALGADO")</f>
        <v>SALGADO</v>
      </c>
      <c r="C50" s="52" t="str">
        <f>IFERROR(__xludf.DUMMYFUNCTION("""COMPUTED_VALUE"""),"MONTOYA")</f>
        <v>MONTOYA</v>
      </c>
      <c r="D50" s="53" t="str">
        <f>IFERROR(__xludf.DUMMYFUNCTION("""COMPUTED_VALUE"""),"ITZAYANA DANIELA")</f>
        <v>ITZAYANA DANIELA</v>
      </c>
      <c r="E50" s="54">
        <f>IFERROR(__xludf.DUMMYFUNCTION("""COMPUTED_VALUE"""),6.0)</f>
        <v>6</v>
      </c>
      <c r="F50" s="54">
        <f>IFERROR(__xludf.DUMMYFUNCTION("""COMPUTED_VALUE"""),2.0)</f>
        <v>2</v>
      </c>
      <c r="G50" s="55">
        <f>IFERROR(__xludf.DUMMYFUNCTION("""COMPUTED_VALUE"""),0.0)</f>
        <v>0</v>
      </c>
      <c r="H50" s="56">
        <f>IFERROR(__xludf.DUMMYFUNCTION("""COMPUTED_VALUE"""),8.0)</f>
        <v>8</v>
      </c>
      <c r="I50" s="57">
        <f>IFERROR(__xludf.DUMMYFUNCTION("""COMPUTED_VALUE"""),1.0)</f>
        <v>1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IFERROR(__xludf.DUMMYFUNCTION("""COMPUTED_VALUE"""),"SANCHEZ")</f>
        <v>SANCHEZ</v>
      </c>
      <c r="C51" s="52" t="str">
        <f>IFERROR(__xludf.DUMMYFUNCTION("""COMPUTED_VALUE"""),"ORTIZ")</f>
        <v>ORTIZ</v>
      </c>
      <c r="D51" s="53" t="str">
        <f>IFERROR(__xludf.DUMMYFUNCTION("""COMPUTED_VALUE"""),"AILIN VALERIA")</f>
        <v>AILIN VALERIA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>
        <f>IFERROR(__xludf.DUMMYFUNCTION("""COMPUTED_VALUE"""),0.0)</f>
        <v>0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IFERROR(__xludf.DUMMYFUNCTION("""COMPUTED_VALUE"""),"SANTILLAN")</f>
        <v>SANTILLAN</v>
      </c>
      <c r="C52" s="52" t="str">
        <f>IFERROR(__xludf.DUMMYFUNCTION("""COMPUTED_VALUE"""),"MARTINEZ")</f>
        <v>MARTINEZ</v>
      </c>
      <c r="D52" s="53" t="str">
        <f>IFERROR(__xludf.DUMMYFUNCTION("""COMPUTED_VALUE"""),"KEVIN IMANOL")</f>
        <v>KEVIN IMANOL</v>
      </c>
      <c r="E52" s="54">
        <f>IFERROR(__xludf.DUMMYFUNCTION("""COMPUTED_VALUE"""),8.0)</f>
        <v>8</v>
      </c>
      <c r="F52" s="54">
        <f>IFERROR(__xludf.DUMMYFUNCTION("""COMPUTED_VALUE"""),0.0)</f>
        <v>0</v>
      </c>
      <c r="G52" s="55">
        <f>IFERROR(__xludf.DUMMYFUNCTION("""COMPUTED_VALUE"""),0.0)</f>
        <v>0</v>
      </c>
      <c r="H52" s="56">
        <f>IFERROR(__xludf.DUMMYFUNCTION("""COMPUTED_VALUE"""),8.0)</f>
        <v>8</v>
      </c>
      <c r="I52" s="57">
        <f>IFERROR(__xludf.DUMMYFUNCTION("""COMPUTED_VALUE"""),0.0)</f>
        <v>0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IFERROR(__xludf.DUMMYFUNCTION("""COMPUTED_VALUE"""),"SANTOS")</f>
        <v>SANTOS</v>
      </c>
      <c r="C53" s="52" t="str">
        <f>IFERROR(__xludf.DUMMYFUNCTION("""COMPUTED_VALUE"""),"ABARCA")</f>
        <v>ABARCA</v>
      </c>
      <c r="D53" s="53" t="str">
        <f>IFERROR(__xludf.DUMMYFUNCTION("""COMPUTED_VALUE"""),"ANDREA")</f>
        <v>ANDREA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>
        <f>IFERROR(__xludf.DUMMYFUNCTION("""COMPUTED_VALUE"""),0.0)</f>
        <v>0</v>
      </c>
      <c r="H53" s="56">
        <f>IFERROR(__xludf.DUMMYFUNCTION("""COMPUTED_VALUE"""),10.0)</f>
        <v>10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IFERROR(__xludf.DUMMYFUNCTION("""COMPUTED_VALUE"""),"UGALDE")</f>
        <v>UGALDE</v>
      </c>
      <c r="C54" s="52" t="str">
        <f>IFERROR(__xludf.DUMMYFUNCTION("""COMPUTED_VALUE"""),"HERNANDEZ")</f>
        <v>HERNANDEZ</v>
      </c>
      <c r="D54" s="53" t="str">
        <f>IFERROR(__xludf.DUMMYFUNCTION("""COMPUTED_VALUE"""),"MONICA BETHEL")</f>
        <v>MONICA BETHEL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>
        <f>IFERROR(__xludf.DUMMYFUNCTION("""COMPUTED_VALUE"""),0.0)</f>
        <v>0</v>
      </c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IFERROR(__xludf.DUMMYFUNCTION("""COMPUTED_VALUE"""),"URIBE")</f>
        <v>URIBE</v>
      </c>
      <c r="C55" s="52" t="str">
        <f>IFERROR(__xludf.DUMMYFUNCTION("""COMPUTED_VALUE"""),"HUERTA")</f>
        <v>HUERTA</v>
      </c>
      <c r="D55" s="53" t="str">
        <f>IFERROR(__xludf.DUMMYFUNCTION("""COMPUTED_VALUE"""),"ELIHU HAZEL")</f>
        <v>ELIHU HAZEL</v>
      </c>
      <c r="E55" s="54">
        <f>IFERROR(__xludf.DUMMYFUNCTION("""COMPUTED_VALUE"""),7.8)</f>
        <v>7.8</v>
      </c>
      <c r="F55" s="54">
        <f>IFERROR(__xludf.DUMMYFUNCTION("""COMPUTED_VALUE"""),2.0)</f>
        <v>2</v>
      </c>
      <c r="G55" s="55">
        <f>IFERROR(__xludf.DUMMYFUNCTION("""COMPUTED_VALUE"""),0.0)</f>
        <v>0</v>
      </c>
      <c r="H55" s="56">
        <f>IFERROR(__xludf.DUMMYFUNCTION("""COMPUTED_VALUE"""),9.8)</f>
        <v>9.8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IFERROR(__xludf.DUMMYFUNCTION("""COMPUTED_VALUE"""),"VALDEZ")</f>
        <v>VALDEZ</v>
      </c>
      <c r="C56" s="52" t="str">
        <f>IFERROR(__xludf.DUMMYFUNCTION("""COMPUTED_VALUE"""),"JACOBO")</f>
        <v>JACOBO</v>
      </c>
      <c r="D56" s="53" t="str">
        <f>IFERROR(__xludf.DUMMYFUNCTION("""COMPUTED_VALUE"""),"BRENDA SARAI")</f>
        <v>BRENDA SARAI</v>
      </c>
      <c r="E56" s="54">
        <f>IFERROR(__xludf.DUMMYFUNCTION("""COMPUTED_VALUE"""),5.8)</f>
        <v>5.8</v>
      </c>
      <c r="F56" s="54">
        <f>IFERROR(__xludf.DUMMYFUNCTION("""COMPUTED_VALUE"""),0.0)</f>
        <v>0</v>
      </c>
      <c r="G56" s="55">
        <f>IFERROR(__xludf.DUMMYFUNCTION("""COMPUTED_VALUE"""),0.0)</f>
        <v>0</v>
      </c>
      <c r="H56" s="56">
        <f>IFERROR(__xludf.DUMMYFUNCTION("""COMPUTED_VALUE"""),5.8)</f>
        <v>5.8</v>
      </c>
      <c r="I56" s="61">
        <f>IFERROR(__xludf.DUMMYFUNCTION("""COMPUTED_VALUE"""),0.0)</f>
        <v>0</v>
      </c>
      <c r="J56" s="58">
        <f>IFERROR(__xludf.DUMMYFUNCTION("""COMPUTED_VALUE"""),5.0)</f>
        <v>5</v>
      </c>
      <c r="K56" s="51"/>
      <c r="L56" s="59">
        <f>IFERROR(__xludf.DUMMYFUNCTION("""COMPUTED_VALUE"""),5.0)</f>
        <v>5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IFERROR(__xludf.DUMMYFUNCTION("""COMPUTED_VALUE"""),"VAZQUEZ")</f>
        <v>VAZQUEZ</v>
      </c>
      <c r="C57" s="52" t="str">
        <f>IFERROR(__xludf.DUMMYFUNCTION("""COMPUTED_VALUE"""),"MUCIÑO")</f>
        <v>MUCIÑO</v>
      </c>
      <c r="D57" s="53" t="str">
        <f>IFERROR(__xludf.DUMMYFUNCTION("""COMPUTED_VALUE"""),"AMAURI JARED")</f>
        <v>AMAURI JARED</v>
      </c>
      <c r="E57" s="54">
        <f>IFERROR(__xludf.DUMMYFUNCTION("""COMPUTED_VALUE"""),3.5)</f>
        <v>3.5</v>
      </c>
      <c r="F57" s="54">
        <f>IFERROR(__xludf.DUMMYFUNCTION("""COMPUTED_VALUE"""),0.0)</f>
        <v>0</v>
      </c>
      <c r="G57" s="55">
        <f>IFERROR(__xludf.DUMMYFUNCTION("""COMPUTED_VALUE"""),0.0)</f>
        <v>0</v>
      </c>
      <c r="H57" s="56">
        <f>IFERROR(__xludf.DUMMYFUNCTION("""COMPUTED_VALUE"""),3.5)</f>
        <v>3.5</v>
      </c>
      <c r="I57" s="61">
        <f>IFERROR(__xludf.DUMMYFUNCTION("""COMPUTED_VALUE"""),0.0)</f>
        <v>0</v>
      </c>
      <c r="J57" s="58">
        <f>IFERROR(__xludf.DUMMYFUNCTION("""COMPUTED_VALUE"""),5.0)</f>
        <v>5</v>
      </c>
      <c r="K57" s="51"/>
      <c r="L57" s="59">
        <f>IFERROR(__xludf.DUMMYFUNCTION("""COMPUTED_VALUE"""),3.0)</f>
        <v>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IFERROR(__xludf.DUMMYFUNCTION("""COMPUTED_VALUE"""),"VILLEGAS")</f>
        <v>VILLEGAS</v>
      </c>
      <c r="C58" s="52" t="str">
        <f>IFERROR(__xludf.DUMMYFUNCTION("""COMPUTED_VALUE"""),"SANCHEZ")</f>
        <v>SANCHEZ</v>
      </c>
      <c r="D58" s="53" t="str">
        <f>IFERROR(__xludf.DUMMYFUNCTION("""COMPUTED_VALUE"""),"NADIA DONAJI")</f>
        <v>NADIA DONAJI</v>
      </c>
      <c r="E58" s="54">
        <f>IFERROR(__xludf.DUMMYFUNCTION("""COMPUTED_VALUE"""),3.5)</f>
        <v>3.5</v>
      </c>
      <c r="F58" s="54">
        <f>IFERROR(__xludf.DUMMYFUNCTION("""COMPUTED_VALUE"""),0.0)</f>
        <v>0</v>
      </c>
      <c r="G58" s="55">
        <f>IFERROR(__xludf.DUMMYFUNCTION("""COMPUTED_VALUE"""),0.0)</f>
        <v>0</v>
      </c>
      <c r="H58" s="56">
        <f>IFERROR(__xludf.DUMMYFUNCTION("""COMPUTED_VALUE"""),3.5)</f>
        <v>3.5</v>
      </c>
      <c r="I58" s="61">
        <f>IFERROR(__xludf.DUMMYFUNCTION("""COMPUTED_VALUE"""),0.0)</f>
        <v>0</v>
      </c>
      <c r="J58" s="58">
        <f>IFERROR(__xludf.DUMMYFUNCTION("""COMPUTED_VALUE"""),5.0)</f>
        <v>5</v>
      </c>
      <c r="K58" s="51"/>
      <c r="L58" s="59">
        <f>IFERROR(__xludf.DUMMYFUNCTION("""COMPUTED_VALUE"""),3.0)</f>
        <v>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IFERROR(__xludf.DUMMYFUNCTION("""COMPUTED_VALUE"""),"ZAMORA")</f>
        <v>ZAMORA</v>
      </c>
      <c r="C59" s="52" t="str">
        <f>IFERROR(__xludf.DUMMYFUNCTION("""COMPUTED_VALUE"""),"REYES")</f>
        <v>REYES</v>
      </c>
      <c r="D59" s="53" t="str">
        <f>IFERROR(__xludf.DUMMYFUNCTION("""COMPUTED_VALUE"""),"EMILIANO")</f>
        <v>EMILIANO</v>
      </c>
      <c r="E59" s="54">
        <f>IFERROR(__xludf.DUMMYFUNCTION("""COMPUTED_VALUE"""),5.1)</f>
        <v>5.1</v>
      </c>
      <c r="F59" s="54">
        <f>IFERROR(__xludf.DUMMYFUNCTION("""COMPUTED_VALUE"""),0.0)</f>
        <v>0</v>
      </c>
      <c r="G59" s="55">
        <f>IFERROR(__xludf.DUMMYFUNCTION("""COMPUTED_VALUE"""),0.0)</f>
        <v>0</v>
      </c>
      <c r="H59" s="56">
        <f>IFERROR(__xludf.DUMMYFUNCTION("""COMPUTED_VALUE"""),5.1)</f>
        <v>5.1</v>
      </c>
      <c r="I59" s="61">
        <f>IFERROR(__xludf.DUMMYFUNCTION("""COMPUTED_VALUE"""),1.0)</f>
        <v>1</v>
      </c>
      <c r="J59" s="58">
        <f>IFERROR(__xludf.DUMMYFUNCTION("""COMPUTED_VALUE"""),5.0)</f>
        <v>5</v>
      </c>
      <c r="K59" s="51"/>
      <c r="L59" s="59">
        <f>IFERROR(__xludf.DUMMYFUNCTION("""COMPUTED_VALUE"""),5.0)</f>
        <v>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IFERROR(__xludf.DUMMYFUNCTION("""COMPUTED_VALUE"""),"ZUÑIGA")</f>
        <v>ZUÑIGA</v>
      </c>
      <c r="C60" s="52" t="str">
        <f>IFERROR(__xludf.DUMMYFUNCTION("""COMPUTED_VALUE"""),"ROMERO")</f>
        <v>ROMERO</v>
      </c>
      <c r="D60" s="53" t="str">
        <f>IFERROR(__xludf.DUMMYFUNCTION("""COMPUTED_VALUE"""),"JESUS ALEJANDRO")</f>
        <v>JESUS ALEJANDRO</v>
      </c>
      <c r="E60" s="54">
        <f>IFERROR(__xludf.DUMMYFUNCTION("""COMPUTED_VALUE"""),6.5)</f>
        <v>6.5</v>
      </c>
      <c r="F60" s="54">
        <f>IFERROR(__xludf.DUMMYFUNCTION("""COMPUTED_VALUE"""),2.0)</f>
        <v>2</v>
      </c>
      <c r="G60" s="55">
        <f>IFERROR(__xludf.DUMMYFUNCTION("""COMPUTED_VALUE"""),0.0)</f>
        <v>0</v>
      </c>
      <c r="H60" s="56">
        <f>IFERROR(__xludf.DUMMYFUNCTION("""COMPUTED_VALUE"""),8.5)</f>
        <v>8.5</v>
      </c>
      <c r="I60" s="61">
        <f>IFERROR(__xludf.DUMMYFUNCTION("""COMPUTED_VALUE"""),0.0)</f>
        <v>0</v>
      </c>
      <c r="J60" s="58">
        <f>IFERROR(__xludf.DUMMYFUNCTION("""COMPUTED_VALUE"""),9.0)</f>
        <v>9</v>
      </c>
      <c r="K60" s="51"/>
      <c r="L60" s="59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IFERROR(__xludf.DUMMYFUNCTION("""COMPUTED_VALUE"""),"ZUÑIGA SOLORZANO")</f>
        <v>ZUÑIGA SOLORZANO</v>
      </c>
      <c r="C61" s="52" t="str">
        <f>IFERROR(__xludf.DUMMYFUNCTION("""COMPUTED_VALUE"""),"CASTRO")</f>
        <v>CASTRO</v>
      </c>
      <c r="D61" s="52" t="str">
        <f>IFERROR(__xludf.DUMMYFUNCTION("""COMPUTED_VALUE"""),"ENRIQUE SEBASTIAN")</f>
        <v>ENRIQUE SEBASTIAN</v>
      </c>
      <c r="E61" s="54">
        <f>IFERROR(__xludf.DUMMYFUNCTION("""COMPUTED_VALUE"""),8.0)</f>
        <v>8</v>
      </c>
      <c r="F61" s="54">
        <f>IFERROR(__xludf.DUMMYFUNCTION("""COMPUTED_VALUE"""),0.0)</f>
        <v>0</v>
      </c>
      <c r="G61" s="55">
        <f>IFERROR(__xludf.DUMMYFUNCTION("""COMPUTED_VALUE"""),0.0)</f>
        <v>0</v>
      </c>
      <c r="H61" s="56">
        <f>IFERROR(__xludf.DUMMYFUNCTION("""COMPUTED_VALUE"""),8.0)</f>
        <v>8</v>
      </c>
      <c r="I61" s="61">
        <f>IFERROR(__xludf.DUMMYFUNCTION("""COMPUTED_VALUE"""),0.0)</f>
        <v>0</v>
      </c>
      <c r="J61" s="58">
        <f>IFERROR(__xludf.DUMMYFUNCTION("""COMPUTED_VALUE"""),8.0)</f>
        <v>8</v>
      </c>
      <c r="K61" s="51"/>
      <c r="L61" s="59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2"/>
      <c r="C62" s="62"/>
      <c r="D62" s="62"/>
      <c r="E62" s="63"/>
      <c r="F62" s="62"/>
      <c r="G62" s="62"/>
      <c r="H62" s="62"/>
      <c r="I62" s="62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4"/>
      <c r="B63" s="65" t="str">
        <f>IFERROR(__xludf.DUMMYFUNCTION("""COMPUTED_VALUE"""),"No. DE ALUMNOS INSCRITOS")</f>
        <v>No. DE ALUMNOS INSCRITOS</v>
      </c>
      <c r="C63" s="66"/>
      <c r="D63" s="67">
        <f>IFERROR(__xludf.DUMMYFUNCTION("""COMPUTED_VALUE"""),45.0)</f>
        <v>45</v>
      </c>
      <c r="E63" s="62"/>
      <c r="F63" s="68" t="str">
        <f>IFERROR(__xludf.DUMMYFUNCTION("""COMPUTED_VALUE"""),"FIRMA DEL PROFESOR")</f>
        <v>FIRMA DEL PROFESOR</v>
      </c>
      <c r="G63" s="69"/>
      <c r="H63" s="68" t="str">
        <f>IFERROR(__xludf.DUMMYFUNCTION("""COMPUTED_VALUE"""),"FIRMA DEL ORIENTADOR")</f>
        <v>FIRMA DEL ORIENTADOR</v>
      </c>
      <c r="J63" s="70" t="str">
        <f>IFERROR(__xludf.DUMMYFUNCTION("""COMPUTED_VALUE"""),"Vo. Bo. SUBDIRECCIÓN ESCOLAR")</f>
        <v>Vo. Bo. SUBDIRECCIÓN ESCOLAR</v>
      </c>
      <c r="K63" s="71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72" t="str">
        <f>IFERROR(__xludf.DUMMYFUNCTION("""COMPUTED_VALUE"""),"BAJAS DURANTE EL SEMESTRE")</f>
        <v>BAJAS DURANTE EL SEMESTRE</v>
      </c>
      <c r="C64" s="73"/>
      <c r="D64" s="74">
        <f>IFERROR(__xludf.DUMMYFUNCTION("""COMPUTED_VALUE"""),0.0)</f>
        <v>0</v>
      </c>
      <c r="E64" s="62"/>
      <c r="G64" s="69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4"/>
      <c r="B65" s="75" t="str">
        <f>IFERROR(__xludf.DUMMYFUNCTION("""COMPUTED_VALUE"""),"EXISTENCIA")</f>
        <v>EXISTENCIA</v>
      </c>
      <c r="C65" s="73"/>
      <c r="D65" s="76">
        <f>IFERROR(__xludf.DUMMYFUNCTION("""COMPUTED_VALUE"""),45.0)</f>
        <v>45</v>
      </c>
      <c r="E65" s="62"/>
      <c r="F65" s="77"/>
      <c r="G65" s="78"/>
      <c r="H65" s="77"/>
      <c r="I65" s="77"/>
      <c r="J65" s="79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4"/>
      <c r="B66" s="75" t="str">
        <f>IFERROR(__xludf.DUMMYFUNCTION("""COMPUTED_VALUE"""),"No. DE ALUMNOS APROBADOS")</f>
        <v>No. DE ALUMNOS APROBADOS</v>
      </c>
      <c r="C66" s="73"/>
      <c r="D66" s="81">
        <f>IFERROR(__xludf.DUMMYFUNCTION("""COMPUTED_VALUE"""),37.0)</f>
        <v>37</v>
      </c>
      <c r="E66" s="62"/>
      <c r="F66" s="77"/>
      <c r="G66" s="78"/>
      <c r="H66" s="77"/>
      <c r="I66" s="77"/>
      <c r="J66" s="79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4"/>
      <c r="B67" s="75" t="str">
        <f>IFERROR(__xludf.DUMMYFUNCTION("""COMPUTED_VALUE"""),"No. DE ALUMNOS REPROBADOS")</f>
        <v>No. DE ALUMNOS REPROBADOS</v>
      </c>
      <c r="C67" s="73"/>
      <c r="D67" s="81">
        <f>IFERROR(__xludf.DUMMYFUNCTION("""COMPUTED_VALUE"""),8.0)</f>
        <v>8</v>
      </c>
      <c r="E67" s="62"/>
      <c r="F67" s="82"/>
      <c r="G67" s="78"/>
      <c r="H67" s="82"/>
      <c r="I67" s="82"/>
      <c r="J67" s="83"/>
      <c r="K67" s="8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4"/>
      <c r="B68" s="75" t="str">
        <f>IFERROR(__xludf.DUMMYFUNCTION("""COMPUTED_VALUE"""),"% DE APROBADOS")</f>
        <v>% DE APROBADOS</v>
      </c>
      <c r="C68" s="73"/>
      <c r="D68" s="76">
        <f>IFERROR(__xludf.DUMMYFUNCTION("""COMPUTED_VALUE"""),82.22222222222223)</f>
        <v>82.22222222</v>
      </c>
      <c r="E68" s="62"/>
      <c r="F68" s="85" t="str">
        <f>IFERROR(__xludf.DUMMYFUNCTION("""COMPUTED_VALUE"""),"PROFR. IVÁN HERNÁNDEZ PÉREZ")</f>
        <v>PROFR. IVÁN HERNÁNDEZ PÉREZ</v>
      </c>
      <c r="G68" s="86"/>
      <c r="H68" s="114" t="str">
        <f>IFERROR(__xludf.DUMMYFUNCTION("""COMPUTED_VALUE"""),"PROFRA. JUANA RANGEL PALACIOS")</f>
        <v>PROFRA. JUANA RANGEL PALACIOS</v>
      </c>
      <c r="J68" s="88" t="str">
        <f>IFERROR(__xludf.DUMMYFUNCTION("""COMPUTED_VALUE"""),"PROFR. OCTAVIO VÁZQUEZ BARRETO")</f>
        <v>PROFR. OCTAVIO VÁZQUEZ BARRETO</v>
      </c>
      <c r="K68" s="89" t="str">
        <f>IFERROR(__xludf.DUMMYFUNCTION("""COMPUTED_VALUE"""),"PROFR. ROBERTO PALOMARES MEJÍA ")</f>
        <v>PROFR. ROBERTO PALOMARES MEJÍA </v>
      </c>
      <c r="L68" s="9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4"/>
      <c r="B69" s="91" t="str">
        <f>IFERROR(__xludf.DUMMYFUNCTION("""COMPUTED_VALUE"""),"PROMEDIO")</f>
        <v>PROMEDIO</v>
      </c>
      <c r="C69" s="92"/>
      <c r="D69" s="93">
        <f>IFERROR(__xludf.DUMMYFUNCTION("""COMPUTED_VALUE"""),7.777777777777778)</f>
        <v>7.777777778</v>
      </c>
      <c r="E69" s="62"/>
      <c r="G69" s="86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4"/>
      <c r="B71" s="95"/>
      <c r="C71" s="96"/>
      <c r="D71" s="96"/>
      <c r="E71" s="62"/>
      <c r="G71" s="7"/>
      <c r="H71" s="7"/>
      <c r="I71" s="7"/>
      <c r="J71" s="7"/>
      <c r="K71" s="97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9"/>
      <c r="B72" s="62"/>
      <c r="C72" s="62"/>
      <c r="D72" s="62"/>
      <c r="E72" s="7"/>
      <c r="F72" s="1"/>
      <c r="G72" s="1"/>
      <c r="H72" s="1"/>
      <c r="I72" s="1"/>
      <c r="J72" s="1"/>
      <c r="K72" s="8"/>
      <c r="L72" s="10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2"/>
      <c r="C73" s="62"/>
      <c r="D73" s="62"/>
      <c r="E73" s="7"/>
      <c r="F73" s="1"/>
      <c r="G73" s="1"/>
      <c r="H73" s="1"/>
      <c r="I73" s="1"/>
      <c r="J73" s="1"/>
      <c r="K73" s="8"/>
      <c r="L73" s="10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1"/>
      <c r="B74" s="102"/>
      <c r="C74" s="102"/>
      <c r="D74" s="102"/>
      <c r="E74" s="103"/>
      <c r="F74" s="104"/>
      <c r="G74" s="104"/>
      <c r="H74" s="104"/>
      <c r="I74" s="104"/>
      <c r="J74" s="104"/>
      <c r="K74" s="105"/>
      <c r="L74" s="10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"/>
      <c r="G75" s="1"/>
      <c r="H75" s="1"/>
      <c r="I75" s="1"/>
      <c r="J75" s="107"/>
      <c r="K75" s="107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"/>
      <c r="G76" s="1"/>
      <c r="H76" s="1"/>
      <c r="I76" s="1"/>
      <c r="J76" s="107"/>
      <c r="K76" s="107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"/>
      <c r="G77" s="1"/>
      <c r="H77" s="1"/>
      <c r="I77" s="1"/>
      <c r="J77" s="107"/>
      <c r="K77" s="107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"/>
      <c r="G78" s="1"/>
      <c r="H78" s="1"/>
      <c r="I78" s="1"/>
      <c r="J78" s="107"/>
      <c r="K78" s="107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</row>
    <row r="1009" ht="15.75" customHeight="1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</row>
    <row r="1010" ht="15.75" customHeight="1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9 K18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