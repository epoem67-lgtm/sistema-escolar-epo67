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2 ciencias de la comunicación" sheetId="1" r:id="rId5"/>
    <sheet state="visible" name="3-2 temas selectos de ingles ii" sheetId="2" r:id="rId6"/>
    <sheet state="visible" name="3-2 temas selectos de matematic" sheetId="3" r:id="rId7"/>
    <sheet state="visible" name="3-2 conciencia historica iii" sheetId="4" r:id="rId8"/>
    <sheet state="visible" name="3-2 organismos" sheetId="5" r:id="rId9"/>
    <sheet state="visible" name="3-2 temas selectos de filosofia" sheetId="6" r:id="rId10"/>
    <sheet state="visible" name="3-2 economia i" sheetId="7" r:id="rId11"/>
    <sheet state="visible" name="3-2 paginas web" sheetId="8" r:id="rId12"/>
    <sheet state="visible" name="3-2 diseño digital" sheetId="9" r:id="rId13"/>
    <sheet state="visible" name="3-2 actividades artisticas y cu" sheetId="10" r:id="rId14"/>
    <sheet state="visible" name="3-2 practica y colaboracion ciu" sheetId="11" r:id="rId15"/>
    <sheet state="visible" name="3-2 temas selectos de igualdad " sheetId="12" r:id="rId1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4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&quot;Century Gothic&quot;"/>
    </font>
    <font>
      <sz val="11.0"/>
      <color theme="1"/>
      <name val="Arial"/>
    </font>
    <font>
      <b/>
      <sz val="12.0"/>
      <color theme="1"/>
      <name val="Gotham Book"/>
    </font>
    <font>
      <color theme="1"/>
      <name val="Calibri"/>
      <scheme val="minor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2" numFmtId="1" xfId="0" applyAlignment="1" applyBorder="1" applyFill="1" applyFont="1" applyNumberFormat="1">
      <alignment readingOrder="0" shrinkToFit="0" vertical="bottom" wrapText="0"/>
    </xf>
    <xf borderId="23" fillId="3" fontId="12" numFmtId="0" xfId="0" applyAlignment="1" applyBorder="1" applyFont="1">
      <alignment readingOrder="0" shrinkToFit="0" vertical="bottom" wrapText="0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5" numFmtId="0" xfId="0" applyFont="1"/>
    <xf borderId="29" fillId="0" fontId="16" numFmtId="1" xfId="0" applyAlignment="1" applyBorder="1" applyFont="1" applyNumberFormat="1">
      <alignment horizontal="right" readingOrder="0" shrinkToFit="1" vertical="center" wrapText="0"/>
    </xf>
    <xf borderId="30" fillId="0" fontId="3" numFmtId="0" xfId="0" applyBorder="1" applyFont="1"/>
    <xf borderId="31" fillId="0" fontId="17" numFmtId="0" xfId="0" applyAlignment="1" applyBorder="1" applyFont="1">
      <alignment shrinkToFit="1" vertical="center" wrapText="0"/>
    </xf>
    <xf borderId="0" fillId="0" fontId="18" numFmtId="164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1" xfId="0" applyAlignment="1" applyFont="1" applyNumberForma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32" fillId="0" fontId="16" numFmtId="1" xfId="0" applyAlignment="1" applyBorder="1" applyFont="1" applyNumberFormat="1">
      <alignment horizontal="right" readingOrder="0" shrinkToFit="1" vertical="center" wrapText="0"/>
    </xf>
    <xf borderId="33" fillId="0" fontId="3" numFmtId="0" xfId="0" applyBorder="1" applyFont="1"/>
    <xf borderId="34" fillId="0" fontId="17" numFmtId="0" xfId="0" applyAlignment="1" applyBorder="1" applyFont="1">
      <alignment shrinkToFit="1" vertical="center" wrapText="0"/>
    </xf>
    <xf borderId="32" fillId="0" fontId="20" numFmtId="1" xfId="0" applyAlignment="1" applyBorder="1" applyFont="1" applyNumberFormat="1">
      <alignment horizontal="right" shrinkToFit="1" vertical="center" wrapText="0"/>
    </xf>
    <xf borderId="35" fillId="0" fontId="17" numFmtId="0" xfId="0" applyAlignment="1" applyBorder="1" applyFont="1">
      <alignment shrinkToFit="1" vertical="center" wrapText="0"/>
    </xf>
    <xf borderId="0" fillId="0" fontId="20" numFmtId="0" xfId="0" applyAlignment="1" applyFont="1">
      <alignment shrinkToFit="1" vertical="center" wrapText="0"/>
    </xf>
    <xf borderId="0" fillId="0" fontId="20" numFmtId="0" xfId="0" applyAlignment="1" applyFont="1">
      <alignment horizontal="center" vertical="center"/>
    </xf>
    <xf borderId="0" fillId="0" fontId="20" numFmtId="0" xfId="0" applyFont="1"/>
    <xf borderId="5" fillId="0" fontId="20" numFmtId="0" xfId="0" applyBorder="1" applyFont="1"/>
    <xf borderId="35" fillId="0" fontId="17" numFmtId="1" xfId="0" applyAlignment="1" applyBorder="1" applyFont="1" applyNumberFormat="1">
      <alignment shrinkToFit="1" vertical="center" wrapText="0"/>
    </xf>
    <xf borderId="20" fillId="0" fontId="20" numFmtId="0" xfId="0" applyAlignment="1" applyBorder="1" applyFont="1">
      <alignment shrinkToFit="1" vertical="center" wrapText="0"/>
    </xf>
    <xf borderId="20" fillId="0" fontId="20" numFmtId="0" xfId="0" applyBorder="1" applyFont="1"/>
    <xf borderId="21" fillId="0" fontId="20" numFmtId="0" xfId="0" applyBorder="1" applyFont="1"/>
    <xf borderId="35" fillId="0" fontId="17" numFmtId="2" xfId="0" applyAlignment="1" applyBorder="1" applyFont="1" applyNumberFormat="1">
      <alignment shrinkToFit="1" vertical="center" wrapText="0"/>
    </xf>
    <xf borderId="36" fillId="0" fontId="5" numFmtId="164" xfId="0" applyAlignment="1" applyBorder="1" applyFont="1" applyNumberFormat="1">
      <alignment horizontal="center" readingOrder="0" shrinkToFit="0" vertical="top" wrapText="1"/>
    </xf>
    <xf borderId="0" fillId="0" fontId="20" numFmtId="0" xfId="0" applyAlignment="1" applyFont="1">
      <alignment horizontal="center" vertical="top"/>
    </xf>
    <xf borderId="0" fillId="0" fontId="5" numFmtId="164" xfId="0" applyAlignment="1" applyFont="1" applyNumberFormat="1">
      <alignment horizontal="center" readingOrder="0" shrinkToFit="0" vertical="top" wrapText="1"/>
    </xf>
    <xf borderId="0" fillId="0" fontId="7" numFmtId="1" xfId="0" applyAlignment="1" applyFont="1" applyNumberForma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18" numFmtId="0" xfId="0" applyFont="1"/>
    <xf borderId="37" fillId="0" fontId="16" numFmtId="1" xfId="0" applyAlignment="1" applyBorder="1" applyFont="1" applyNumberFormat="1">
      <alignment horizontal="right" readingOrder="0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4" fontId="1" numFmtId="0" xfId="0" applyAlignment="1" applyBorder="1" applyFill="1" applyFont="1">
      <alignment vertical="center"/>
    </xf>
    <xf borderId="41" fillId="4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2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3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0" fillId="0" fontId="1" numFmtId="164" xfId="0" applyAlignment="1" applyFont="1" applyNumberFormat="1">
      <alignment horizontal="center" vertical="center"/>
    </xf>
    <xf borderId="36" fillId="0" fontId="5" numFmtId="0" xfId="0" applyAlignment="1" applyBorder="1" applyFont="1">
      <alignment horizontal="center" readingOrder="0" shrinkToFit="0" vertical="top" wrapText="1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66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64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133350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66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64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66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64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1</xdr:row>
      <xdr:rowOff>190500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65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64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66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64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66</xdr:row>
      <xdr:rowOff>85725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65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66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64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66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64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457200</xdr:colOff>
      <xdr:row>66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64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66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64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1762125</xdr:colOff>
      <xdr:row>66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64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65</xdr:row>
      <xdr:rowOff>152400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64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5" width="10.71"/>
  </cols>
  <sheetData>
    <row r="1" ht="13.5" customHeight="1">
      <c r="A1" s="1" t="str">
        <f>IFERROR(__xludf.DUMMYFUNCTION("IMPORTRANGE(""https://docs.google.com/spreadsheets/d/1HyJQPE8UhSXt6kBHpJleJL1wdX-2zqVRG3865i1SYkA/edit?gid=1492229760#gid=1492229760"",""3-2 ciencias de la comunicación 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IFERROR(__xludf.DUMMYFUNCTION("""COMPUTED_VALUE"""),"CLAUDIA MELENDEZ ABAD")</f>
        <v>CLAUDIA MELENDEZ ABAD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IFERROR(__xludf.DUMMYFUNCTION("""COMPUTED_VALUE"""),"CIENCIAS DE LA COMUNICACIÓN I")</f>
        <v>CIENCIAS DE LA COMUNICACIÓN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IFERROR(__xludf.DUMMYFUNCTION("""COMPUTED_VALUE"""),4.8)</f>
        <v>4.8</v>
      </c>
      <c r="F18" s="54">
        <f>IFERROR(__xludf.DUMMYFUNCTION("""COMPUTED_VALUE"""),2.0)</f>
        <v>2</v>
      </c>
      <c r="G18" s="55"/>
      <c r="H18" s="56">
        <f>IFERROR(__xludf.DUMMYFUNCTION("""COMPUTED_VALUE"""),6.8)</f>
        <v>6.8</v>
      </c>
      <c r="I18" s="57">
        <f>IFERROR(__xludf.DUMMYFUNCTION("""COMPUTED_VALUE"""),0.0)</f>
        <v>0</v>
      </c>
      <c r="J18" s="58">
        <f>IFERROR(__xludf.DUMMYFUNCTION("""COMPUTED_VALUE"""),7.0)</f>
        <v>7</v>
      </c>
      <c r="K18" s="51"/>
      <c r="L18" s="60">
        <f>IFERROR(__xludf.DUMMYFUNCTION("""COMPUTED_VALUE"""),7.0)</f>
        <v>7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IFERROR(__xludf.DUMMYFUNCTION("""COMPUTED_VALUE"""),8.0)</f>
        <v>8</v>
      </c>
      <c r="F19" s="54">
        <f>IFERROR(__xludf.DUMMYFUNCTION("""COMPUTED_VALUE"""),2.0)</f>
        <v>2</v>
      </c>
      <c r="G19" s="55"/>
      <c r="H19" s="56">
        <f>IFERROR(__xludf.DUMMYFUNCTION("""COMPUTED_VALUE"""),10.0)</f>
        <v>10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IFERROR(__xludf.DUMMYFUNCTION("""COMPUTED_VALUE"""),10.0)</f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IFERROR(__xludf.DUMMYFUNCTION("""COMPUTED_VALUE"""),3.0)</f>
        <v>3</v>
      </c>
      <c r="F20" s="54">
        <f>IFERROR(__xludf.DUMMYFUNCTION("""COMPUTED_VALUE"""),2.0)</f>
        <v>2</v>
      </c>
      <c r="G20" s="55"/>
      <c r="H20" s="56">
        <f>IFERROR(__xludf.DUMMYFUNCTION("""COMPUTED_VALUE"""),5.0)</f>
        <v>5</v>
      </c>
      <c r="I20" s="57">
        <f>IFERROR(__xludf.DUMMYFUNCTION("""COMPUTED_VALUE"""),1.0)</f>
        <v>1</v>
      </c>
      <c r="J20" s="58">
        <f>IFERROR(__xludf.DUMMYFUNCTION("""COMPUTED_VALUE"""),5.0)</f>
        <v>5</v>
      </c>
      <c r="K20" s="51"/>
      <c r="L20" s="60">
        <f>IFERROR(__xludf.DUMMYFUNCTION("""COMPUTED_VALUE"""),5.0)</f>
        <v>5</v>
      </c>
      <c r="M20" s="1" t="str">
        <f>IFERROR(__xludf.DUMMYFUNCTION("""COMPUTED_VALUE"""),"Abril")</f>
        <v>Abril</v>
      </c>
      <c r="N20" s="1">
        <f>IFERROR(__xludf.DUMMYFUNCTION("""COMPUTED_VALUE"""),8.0)</f>
        <v>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IFERROR(__xludf.DUMMYFUNCTION("""COMPUTED_VALUE"""),7.0)</f>
        <v>7</v>
      </c>
      <c r="F21" s="54">
        <f>IFERROR(__xludf.DUMMYFUNCTION("""COMPUTED_VALUE"""),2.0)</f>
        <v>2</v>
      </c>
      <c r="G21" s="55"/>
      <c r="H21" s="56">
        <f>IFERROR(__xludf.DUMMYFUNCTION("""COMPUTED_VALUE"""),9.0)</f>
        <v>9</v>
      </c>
      <c r="I21" s="57">
        <f>IFERROR(__xludf.DUMMYFUNCTION("""COMPUTED_VALUE"""),0.0)</f>
        <v>0</v>
      </c>
      <c r="J21" s="58">
        <f>IFERROR(__xludf.DUMMYFUNCTION("""COMPUTED_VALUE"""),9.0)</f>
        <v>9</v>
      </c>
      <c r="K21" s="51"/>
      <c r="L21" s="60">
        <f>IFERROR(__xludf.DUMMYFUNCTION("""COMPUTED_VALUE"""),9.0)</f>
        <v>9</v>
      </c>
      <c r="M21" s="1" t="str">
        <f>IFERROR(__xludf.DUMMYFUNCTION("""COMPUTED_VALUE"""),"Mayo")</f>
        <v>Mayo</v>
      </c>
      <c r="N21" s="1">
        <f>IFERROR(__xludf.DUMMYFUNCTION("""COMPUTED_VALUE"""),9.0)</f>
        <v>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IFERROR(__xludf.DUMMYFUNCTION("""COMPUTED_VALUE"""),0.0)</f>
        <v>0</v>
      </c>
      <c r="F22" s="54">
        <f>IFERROR(__xludf.DUMMYFUNCTION("""COMPUTED_VALUE"""),0.0)</f>
        <v>0</v>
      </c>
      <c r="G22" s="55"/>
      <c r="H22" s="56">
        <f>IFERROR(__xludf.DUMMYFUNCTION("""COMPUTED_VALUE"""),0.0)</f>
        <v>0</v>
      </c>
      <c r="I22" s="57">
        <f>IFERROR(__xludf.DUMMYFUNCTION("""COMPUTED_VALUE"""),1.0)</f>
        <v>1</v>
      </c>
      <c r="J22" s="58">
        <f>IFERROR(__xludf.DUMMYFUNCTION("""COMPUTED_VALUE"""),5.0)</f>
        <v>5</v>
      </c>
      <c r="K22" s="51"/>
      <c r="L22" s="60">
        <f>IFERROR(__xludf.DUMMYFUNCTION("""COMPUTED_VALUE"""),0.0)</f>
        <v>0</v>
      </c>
      <c r="M22" s="1" t="str">
        <f>IFERROR(__xludf.DUMMYFUNCTION("""COMPUTED_VALUE"""),"Junio")</f>
        <v>Junio</v>
      </c>
      <c r="N22" s="1">
        <f>IFERROR(__xludf.DUMMYFUNCTION("""COMPUTED_VALUE"""),14.0)</f>
        <v>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IFERROR(__xludf.DUMMYFUNCTION("""COMPUTED_VALUE"""),8.0)</f>
        <v>8</v>
      </c>
      <c r="F23" s="54">
        <f>IFERROR(__xludf.DUMMYFUNCTION("""COMPUTED_VALUE"""),2.0)</f>
        <v>2</v>
      </c>
      <c r="G23" s="55"/>
      <c r="H23" s="56">
        <f>IFERROR(__xludf.DUMMYFUNCTION("""COMPUTED_VALUE"""),10.0)</f>
        <v>10</v>
      </c>
      <c r="I23" s="57">
        <f>IFERROR(__xludf.DUMMYFUNCTION("""COMPUTED_VALUE"""),0.0)</f>
        <v>0</v>
      </c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IFERROR(__xludf.DUMMYFUNCTION("""COMPUTED_VALUE"""),"Julio")</f>
        <v>Julio</v>
      </c>
      <c r="N23" s="1">
        <f>IFERROR(__xludf.DUMMYFUNCTION("""COMPUTED_VALUE"""),4.0)</f>
        <v>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IFERROR(__xludf.DUMMYFUNCTION("""COMPUTED_VALUE"""),5.0)</f>
        <v>5</v>
      </c>
      <c r="F24" s="54">
        <f>IFERROR(__xludf.DUMMYFUNCTION("""COMPUTED_VALUE"""),0.0)</f>
        <v>0</v>
      </c>
      <c r="G24" s="55"/>
      <c r="H24" s="56">
        <f>IFERROR(__xludf.DUMMYFUNCTION("""COMPUTED_VALUE"""),5.0)</f>
        <v>5</v>
      </c>
      <c r="I24" s="57">
        <f>IFERROR(__xludf.DUMMYFUNCTION("""COMPUTED_VALUE"""),0.0)</f>
        <v>0</v>
      </c>
      <c r="J24" s="58">
        <f>IFERROR(__xludf.DUMMYFUNCTION("""COMPUTED_VALUE"""),5.0)</f>
        <v>5</v>
      </c>
      <c r="K24" s="51"/>
      <c r="L24" s="60">
        <f>IFERROR(__xludf.DUMMYFUNCTION("""COMPUTED_VALUE"""),5.0)</f>
        <v>5</v>
      </c>
      <c r="M24" s="1" t="str">
        <f>IFERROR(__xludf.DUMMYFUNCTION("""COMPUTED_VALUE"""),"TOTAL")</f>
        <v>TOTAL</v>
      </c>
      <c r="N24" s="1">
        <f>IFERROR(__xludf.DUMMYFUNCTION("""COMPUTED_VALUE"""),52.0)</f>
        <v>52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/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IFERROR(__xludf.DUMMYFUNCTION("""COMPUTED_VALUE"""),6.5)</f>
        <v>6.5</v>
      </c>
      <c r="F26" s="54">
        <f>IFERROR(__xludf.DUMMYFUNCTION("""COMPUTED_VALUE"""),2.0)</f>
        <v>2</v>
      </c>
      <c r="G26" s="55"/>
      <c r="H26" s="56">
        <f>IFERROR(__xludf.DUMMYFUNCTION("""COMPUTED_VALUE"""),8.5)</f>
        <v>8.5</v>
      </c>
      <c r="I26" s="57">
        <f>IFERROR(__xludf.DUMMYFUNCTION("""COMPUTED_VALUE"""),0.0)</f>
        <v>0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IFERROR(__xludf.DUMMYFUNCTION("""COMPUTED_VALUE"""),6.5)</f>
        <v>6.5</v>
      </c>
      <c r="F27" s="54">
        <f>IFERROR(__xludf.DUMMYFUNCTION("""COMPUTED_VALUE"""),0.0)</f>
        <v>0</v>
      </c>
      <c r="G27" s="55"/>
      <c r="H27" s="56">
        <f>IFERROR(__xludf.DUMMYFUNCTION("""COMPUTED_VALUE"""),6.5)</f>
        <v>6.5</v>
      </c>
      <c r="I27" s="57">
        <f>IFERROR(__xludf.DUMMYFUNCTION("""COMPUTED_VALUE"""),0.0)</f>
        <v>0</v>
      </c>
      <c r="J27" s="58">
        <f>IFERROR(__xludf.DUMMYFUNCTION("""COMPUTED_VALUE"""),7.0)</f>
        <v>7</v>
      </c>
      <c r="K27" s="51"/>
      <c r="L27" s="60">
        <f>IFERROR(__xludf.DUMMYFUNCTION("""COMPUTED_VALUE"""),7.0)</f>
        <v>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/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IFERROR(__xludf.DUMMYFUNCTION("""COMPUTED_VALUE"""),8.0)</f>
        <v>8</v>
      </c>
      <c r="F30" s="54">
        <f>IFERROR(__xludf.DUMMYFUNCTION("""COMPUTED_VALUE"""),2.0)</f>
        <v>2</v>
      </c>
      <c r="G30" s="55"/>
      <c r="H30" s="56">
        <f>IFERROR(__xludf.DUMMYFUNCTION("""COMPUTED_VALUE"""),10.0)</f>
        <v>10</v>
      </c>
      <c r="I30" s="57">
        <f>IFERROR(__xludf.DUMMYFUNCTION("""COMPUTED_VALUE"""),0.0)</f>
        <v>0</v>
      </c>
      <c r="J30" s="58">
        <f>IFERROR(__xludf.DUMMYFUNCTION("""COMPUTED_VALUE"""),10.0)</f>
        <v>10</v>
      </c>
      <c r="K30" s="51"/>
      <c r="L30" s="60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IFERROR(__xludf.DUMMYFUNCTION("""COMPUTED_VALUE"""),8.0)</f>
        <v>8</v>
      </c>
      <c r="F31" s="54">
        <f>IFERROR(__xludf.DUMMYFUNCTION("""COMPUTED_VALUE"""),2.0)</f>
        <v>2</v>
      </c>
      <c r="G31" s="55"/>
      <c r="H31" s="56">
        <f>IFERROR(__xludf.DUMMYFUNCTION("""COMPUTED_VALUE"""),10.0)</f>
        <v>10</v>
      </c>
      <c r="I31" s="57">
        <f>IFERROR(__xludf.DUMMYFUNCTION("""COMPUTED_VALUE"""),0.0)</f>
        <v>0</v>
      </c>
      <c r="J31" s="58">
        <f>IFERROR(__xludf.DUMMYFUNCTION("""COMPUTED_VALUE"""),10.0)</f>
        <v>10</v>
      </c>
      <c r="K31" s="51"/>
      <c r="L31" s="60">
        <f>IFERROR(__xludf.DUMMYFUNCTION("""COMPUTED_VALUE"""),10.0)</f>
        <v>10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IFERROR(__xludf.DUMMYFUNCTION("""COMPUTED_VALUE"""),6.0)</f>
        <v>6</v>
      </c>
      <c r="F32" s="54">
        <f>IFERROR(__xludf.DUMMYFUNCTION("""COMPUTED_VALUE"""),2.0)</f>
        <v>2</v>
      </c>
      <c r="G32" s="55"/>
      <c r="H32" s="56">
        <f>IFERROR(__xludf.DUMMYFUNCTION("""COMPUTED_VALUE"""),8.0)</f>
        <v>8</v>
      </c>
      <c r="I32" s="57">
        <f>IFERROR(__xludf.DUMMYFUNCTION("""COMPUTED_VALUE"""),0.0)</f>
        <v>0</v>
      </c>
      <c r="J32" s="58">
        <f>IFERROR(__xludf.DUMMYFUNCTION("""COMPUTED_VALUE"""),8.0)</f>
        <v>8</v>
      </c>
      <c r="K32" s="51"/>
      <c r="L32" s="60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IFERROR(__xludf.DUMMYFUNCTION("""COMPUTED_VALUE"""),8.0)</f>
        <v>8</v>
      </c>
      <c r="F33" s="54">
        <f>IFERROR(__xludf.DUMMYFUNCTION("""COMPUTED_VALUE"""),2.0)</f>
        <v>2</v>
      </c>
      <c r="G33" s="55"/>
      <c r="H33" s="56">
        <f>IFERROR(__xludf.DUMMYFUNCTION("""COMPUTED_VALUE"""),10.0)</f>
        <v>10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IFERROR(__xludf.DUMMYFUNCTION("""COMPUTED_VALUE"""),6.5)</f>
        <v>6.5</v>
      </c>
      <c r="F34" s="54">
        <f>IFERROR(__xludf.DUMMYFUNCTION("""COMPUTED_VALUE"""),2.0)</f>
        <v>2</v>
      </c>
      <c r="G34" s="55"/>
      <c r="H34" s="56">
        <f>IFERROR(__xludf.DUMMYFUNCTION("""COMPUTED_VALUE"""),8.5)</f>
        <v>8.5</v>
      </c>
      <c r="I34" s="57">
        <f>IFERROR(__xludf.DUMMYFUNCTION("""COMPUTED_VALUE"""),0.0)</f>
        <v>0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IFERROR(__xludf.DUMMYFUNCTION("""COMPUTED_VALUE"""),0.0)</f>
        <v>0</v>
      </c>
      <c r="F35" s="54">
        <f>IFERROR(__xludf.DUMMYFUNCTION("""COMPUTED_VALUE"""),0.0)</f>
        <v>0</v>
      </c>
      <c r="G35" s="55"/>
      <c r="H35" s="56">
        <f>IFERROR(__xludf.DUMMYFUNCTION("""COMPUTED_VALUE"""),0.0)</f>
        <v>0</v>
      </c>
      <c r="I35" s="57">
        <f>IFERROR(__xludf.DUMMYFUNCTION("""COMPUTED_VALUE"""),2.0)</f>
        <v>2</v>
      </c>
      <c r="J35" s="58">
        <f>IFERROR(__xludf.DUMMYFUNCTION("""COMPUTED_VALUE"""),5.0)</f>
        <v>5</v>
      </c>
      <c r="K35" s="51"/>
      <c r="L35" s="60">
        <f>IFERROR(__xludf.DUMMYFUNCTION("""COMPUTED_VALUE"""),0.0)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IFERROR(__xludf.DUMMYFUNCTION("""COMPUTED_VALUE"""),8.0)</f>
        <v>8</v>
      </c>
      <c r="F36" s="54">
        <f>IFERROR(__xludf.DUMMYFUNCTION("""COMPUTED_VALUE"""),2.0)</f>
        <v>2</v>
      </c>
      <c r="G36" s="55"/>
      <c r="H36" s="56">
        <f>IFERROR(__xludf.DUMMYFUNCTION("""COMPUTED_VALUE"""),10.0)</f>
        <v>10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IFERROR(__xludf.DUMMYFUNCTION("""COMPUTED_VALUE"""),8.0)</f>
        <v>8</v>
      </c>
      <c r="F37" s="54">
        <f>IFERROR(__xludf.DUMMYFUNCTION("""COMPUTED_VALUE"""),2.0)</f>
        <v>2</v>
      </c>
      <c r="G37" s="55"/>
      <c r="H37" s="56">
        <f>IFERROR(__xludf.DUMMYFUNCTION("""COMPUTED_VALUE"""),10.0)</f>
        <v>10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IFERROR(__xludf.DUMMYFUNCTION("""COMPUTED_VALUE"""),6.0)</f>
        <v>6</v>
      </c>
      <c r="F40" s="54">
        <f>IFERROR(__xludf.DUMMYFUNCTION("""COMPUTED_VALUE"""),2.0)</f>
        <v>2</v>
      </c>
      <c r="G40" s="55"/>
      <c r="H40" s="56">
        <f>IFERROR(__xludf.DUMMYFUNCTION("""COMPUTED_VALUE"""),8.0)</f>
        <v>8</v>
      </c>
      <c r="I40" s="57">
        <f>IFERROR(__xludf.DUMMYFUNCTION("""COMPUTED_VALUE"""),0.0)</f>
        <v>0</v>
      </c>
      <c r="J40" s="58">
        <f>IFERROR(__xludf.DUMMYFUNCTION("""COMPUTED_VALUE"""),8.0)</f>
        <v>8</v>
      </c>
      <c r="K40" s="51"/>
      <c r="L40" s="60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/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IFERROR(__xludf.DUMMYFUNCTION("""COMPUTED_VALUE"""),8.0)</f>
        <v>8</v>
      </c>
      <c r="F44" s="54">
        <f>IFERROR(__xludf.DUMMYFUNCTION("""COMPUTED_VALUE"""),2.0)</f>
        <v>2</v>
      </c>
      <c r="G44" s="55"/>
      <c r="H44" s="56">
        <f>IFERROR(__xludf.DUMMYFUNCTION("""COMPUTED_VALUE"""),10.0)</f>
        <v>10</v>
      </c>
      <c r="I44" s="57">
        <f>IFERROR(__xludf.DUMMYFUNCTION("""COMPUTED_VALUE"""),0.0)</f>
        <v>0</v>
      </c>
      <c r="J44" s="58">
        <f>IFERROR(__xludf.DUMMYFUNCTION("""COMPUTED_VALUE"""),10.0)</f>
        <v>10</v>
      </c>
      <c r="K44" s="51"/>
      <c r="L44" s="60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>
        <f>IFERROR(__xludf.DUMMYFUNCTION("""COMPUTED_VALUE"""),2.0)</f>
        <v>2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IFERROR(__xludf.DUMMYFUNCTION("""COMPUTED_VALUE"""),8.0)</f>
        <v>8</v>
      </c>
      <c r="F46" s="54">
        <f>IFERROR(__xludf.DUMMYFUNCTION("""COMPUTED_VALUE"""),2.0)</f>
        <v>2</v>
      </c>
      <c r="G46" s="55"/>
      <c r="H46" s="56">
        <f>IFERROR(__xludf.DUMMYFUNCTION("""COMPUTED_VALUE"""),10.0)</f>
        <v>10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IFERROR(__xludf.DUMMYFUNCTION("""COMPUTED_VALUE"""),8.0)</f>
        <v>8</v>
      </c>
      <c r="F47" s="54">
        <f>IFERROR(__xludf.DUMMYFUNCTION("""COMPUTED_VALUE"""),2.0)</f>
        <v>2</v>
      </c>
      <c r="G47" s="55"/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IFERROR(__xludf.DUMMYFUNCTION("""COMPUTED_VALUE"""),8.0)</f>
        <v>8</v>
      </c>
      <c r="F48" s="54">
        <f>IFERROR(__xludf.DUMMYFUNCTION("""COMPUTED_VALUE"""),2.0)</f>
        <v>2</v>
      </c>
      <c r="G48" s="55"/>
      <c r="H48" s="56">
        <f>IFERROR(__xludf.DUMMYFUNCTION("""COMPUTED_VALUE"""),10.0)</f>
        <v>10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IFERROR(__xludf.DUMMYFUNCTION("""COMPUTED_VALUE"""),6.5)</f>
        <v>6.5</v>
      </c>
      <c r="F49" s="54">
        <f>IFERROR(__xludf.DUMMYFUNCTION("""COMPUTED_VALUE"""),2.0)</f>
        <v>2</v>
      </c>
      <c r="G49" s="55">
        <f>IFERROR(__xludf.DUMMYFUNCTION("""COMPUTED_VALUE"""),1.0)</f>
        <v>1</v>
      </c>
      <c r="H49" s="56">
        <f>IFERROR(__xludf.DUMMYFUNCTION("""COMPUTED_VALUE"""),9.5)</f>
        <v>9.5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IFERROR(__xludf.DUMMYFUNCTION("""COMPUTED_VALUE"""),8.0)</f>
        <v>8</v>
      </c>
      <c r="F50" s="54">
        <f>IFERROR(__xludf.DUMMYFUNCTION("""COMPUTED_VALUE"""),2.0)</f>
        <v>2</v>
      </c>
      <c r="G50" s="55"/>
      <c r="H50" s="56">
        <f>IFERROR(__xludf.DUMMYFUNCTION("""COMPUTED_VALUE"""),10.0)</f>
        <v>10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/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IFERROR(__xludf.DUMMYFUNCTION("""COMPUTED_VALUE"""),6.5)</f>
        <v>6.5</v>
      </c>
      <c r="F53" s="54">
        <f>IFERROR(__xludf.DUMMYFUNCTION("""COMPUTED_VALUE"""),2.0)</f>
        <v>2</v>
      </c>
      <c r="G53" s="55"/>
      <c r="H53" s="56">
        <f>IFERROR(__xludf.DUMMYFUNCTION("""COMPUTED_VALUE"""),8.5)</f>
        <v>8.5</v>
      </c>
      <c r="I53" s="57">
        <f>IFERROR(__xludf.DUMMYFUNCTION("""COMPUTED_VALUE"""),0.0)</f>
        <v>0</v>
      </c>
      <c r="J53" s="58">
        <f>IFERROR(__xludf.DUMMYFUNCTION("""COMPUTED_VALUE"""),9.0)</f>
        <v>9</v>
      </c>
      <c r="K53" s="51"/>
      <c r="L53" s="59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IFERROR(__xludf.DUMMYFUNCTION("""COMPUTED_VALUE"""),6.5)</f>
        <v>6.5</v>
      </c>
      <c r="F54" s="54">
        <f>IFERROR(__xludf.DUMMYFUNCTION("""COMPUTED_VALUE"""),2.0)</f>
        <v>2</v>
      </c>
      <c r="G54" s="55"/>
      <c r="H54" s="56">
        <f>IFERROR(__xludf.DUMMYFUNCTION("""COMPUTED_VALUE"""),8.5)</f>
        <v>8.5</v>
      </c>
      <c r="I54" s="57">
        <f>IFERROR(__xludf.DUMMYFUNCTION("""COMPUTED_VALUE"""),0.0)</f>
        <v>0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IFERROR(__xludf.DUMMYFUNCTION("""COMPUTED_VALUE"""),8.0)</f>
        <v>8</v>
      </c>
      <c r="F55" s="54">
        <f>IFERROR(__xludf.DUMMYFUNCTION("""COMPUTED_VALUE"""),2.0)</f>
        <v>2</v>
      </c>
      <c r="G55" s="55"/>
      <c r="H55" s="56">
        <f>IFERROR(__xludf.DUMMYFUNCTION("""COMPUTED_VALUE"""),10.0)</f>
        <v>10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IFERROR(__xludf.DUMMYFUNCTION("""COMPUTED_VALUE"""),8.0)</f>
        <v>8</v>
      </c>
      <c r="F56" s="54">
        <f>IFERROR(__xludf.DUMMYFUNCTION("""COMPUTED_VALUE"""),2.0)</f>
        <v>2</v>
      </c>
      <c r="G56" s="55"/>
      <c r="H56" s="56">
        <f>IFERROR(__xludf.DUMMYFUNCTION("""COMPUTED_VALUE"""),10.0)</f>
        <v>10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IFERROR(__xludf.DUMMYFUNCTION("""COMPUTED_VALUE"""),36.0)</f>
        <v>36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IFERROR(__xludf.DUMMYFUNCTION("""COMPUTED_VALUE"""),4.0)</f>
        <v>4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IFERROR(__xludf.DUMMYFUNCTION("""COMPUTED_VALUE"""),90.0)</f>
        <v>90</v>
      </c>
      <c r="E63" s="62"/>
      <c r="F63" s="86" t="str">
        <f>IFERROR(__xludf.DUMMYFUNCTION("""COMPUTED_VALUE"""),"PROFR. ")</f>
        <v>PROFR. 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IFERROR(__xludf.DUMMYFUNCTION("""COMPUTED_VALUE"""),9.125)</f>
        <v>9.125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56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IFERROR(__xludf.DUMMYFUNCTION("IMPORTRANGE(""https://docs.google.com/spreadsheets/d/1XEO5qOc1ULli8OYh8L9dVyXgf9n3IMd1IofEfRLvAEk/edit?gid=868681460#gid=868681460"",""3-2 temas selectos de ingles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IFERROR(__xludf.DUMMYFUNCTION("""COMPUTED_VALUE"""),"Jéssica Alcántara")</f>
        <v>Jéssica Alcántara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INGLES 2")</f>
        <v>TEMAS SELECTOS DE INGLES 2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IFERROR(__xludf.DUMMYFUNCTION("""COMPUTED_VALUE"""),4.3)</f>
        <v>4.3</v>
      </c>
      <c r="F17" s="54">
        <f>IFERROR(__xludf.DUMMYFUNCTION("""COMPUTED_VALUE"""),2.0)</f>
        <v>2</v>
      </c>
      <c r="G17" s="55"/>
      <c r="H17" s="56">
        <f>IFERROR(__xludf.DUMMYFUNCTION("""COMPUTED_VALUE"""),6.3)</f>
        <v>6.3</v>
      </c>
      <c r="I17" s="57">
        <f>IFERROR(__xludf.DUMMYFUNCTION("""COMPUTED_VALUE"""),1.0)</f>
        <v>1</v>
      </c>
      <c r="J17" s="58">
        <f>IFERROR(__xludf.DUMMYFUNCTION("""COMPUTED_VALUE"""),6.0)</f>
        <v>6</v>
      </c>
      <c r="K17" s="59"/>
      <c r="L17" s="60">
        <f>IFERROR(__xludf.DUMMYFUNCTION("""COMPUTED_VALUE"""),6.0)</f>
        <v>6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IFERROR(__xludf.DUMMYFUNCTION("""COMPUTED_VALUE"""),0.8)</f>
        <v>0.8</v>
      </c>
      <c r="F18" s="54">
        <f>IFERROR(__xludf.DUMMYFUNCTION("""COMPUTED_VALUE"""),1.0)</f>
        <v>1</v>
      </c>
      <c r="G18" s="55"/>
      <c r="H18" s="56">
        <f>IFERROR(__xludf.DUMMYFUNCTION("""COMPUTED_VALUE"""),1.8)</f>
        <v>1.8</v>
      </c>
      <c r="I18" s="57">
        <f>IFERROR(__xludf.DUMMYFUNCTION("""COMPUTED_VALUE"""),2.0)</f>
        <v>2</v>
      </c>
      <c r="J18" s="58">
        <f>IFERROR(__xludf.DUMMYFUNCTION("""COMPUTED_VALUE"""),5.0)</f>
        <v>5</v>
      </c>
      <c r="K18" s="51"/>
      <c r="L18" s="60">
        <f>IFERROR(__xludf.DUMMYFUNCTION("""COMPUTED_VALUE"""),1.0)</f>
        <v>1</v>
      </c>
      <c r="M18" s="1" t="str">
        <f>IFERROR(__xludf.DUMMYFUNCTION("""COMPUTED_VALUE"""),"Febrero")</f>
        <v>Febrero</v>
      </c>
      <c r="N18" s="1">
        <f>IFERROR(__xludf.DUMMYFUNCTION("""COMPUTED_VALUE"""),12.0)</f>
        <v>12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IFERROR(__xludf.DUMMYFUNCTION("""COMPUTED_VALUE"""),6.7)</f>
        <v>6.7</v>
      </c>
      <c r="F19" s="54">
        <f>IFERROR(__xludf.DUMMYFUNCTION("""COMPUTED_VALUE"""),1.8)</f>
        <v>1.8</v>
      </c>
      <c r="G19" s="55"/>
      <c r="H19" s="56">
        <f>IFERROR(__xludf.DUMMYFUNCTION("""COMPUTED_VALUE"""),8.5)</f>
        <v>8.5</v>
      </c>
      <c r="I19" s="57">
        <f>IFERROR(__xludf.DUMMYFUNCTION("""COMPUTED_VALUE"""),0.0)</f>
        <v>0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IFERROR(__xludf.DUMMYFUNCTION("""COMPUTED_VALUE"""),1.1)</f>
        <v>1.1</v>
      </c>
      <c r="F20" s="54">
        <f>IFERROR(__xludf.DUMMYFUNCTION("""COMPUTED_VALUE"""),0.0)</f>
        <v>0</v>
      </c>
      <c r="G20" s="55">
        <f>IFERROR(__xludf.DUMMYFUNCTION("""COMPUTED_VALUE"""),1.0)</f>
        <v>1</v>
      </c>
      <c r="H20" s="56">
        <f>IFERROR(__xludf.DUMMYFUNCTION("""COMPUTED_VALUE"""),2.1)</f>
        <v>2.1</v>
      </c>
      <c r="I20" s="57">
        <f>IFERROR(__xludf.DUMMYFUNCTION("""COMPUTED_VALUE"""),4.0)</f>
        <v>4</v>
      </c>
      <c r="J20" s="58">
        <f>IFERROR(__xludf.DUMMYFUNCTION("""COMPUTED_VALUE"""),5.0)</f>
        <v>5</v>
      </c>
      <c r="K20" s="51"/>
      <c r="L20" s="60">
        <f>IFERROR(__xludf.DUMMYFUNCTION("""COMPUTED_VALUE"""),2.0)</f>
        <v>2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IFERROR(__xludf.DUMMYFUNCTION("""COMPUTED_VALUE"""),6.9)</f>
        <v>6.9</v>
      </c>
      <c r="F21" s="54">
        <f>IFERROR(__xludf.DUMMYFUNCTION("""COMPUTED_VALUE"""),2.0)</f>
        <v>2</v>
      </c>
      <c r="G21" s="55"/>
      <c r="H21" s="56">
        <f>IFERROR(__xludf.DUMMYFUNCTION("""COMPUTED_VALUE"""),8.9)</f>
        <v>8.9</v>
      </c>
      <c r="I21" s="57">
        <f>IFERROR(__xludf.DUMMYFUNCTION("""COMPUTED_VALUE"""),0.0)</f>
        <v>0</v>
      </c>
      <c r="J21" s="58">
        <f>IFERROR(__xludf.DUMMYFUNCTION("""COMPUTED_VALUE"""),9.0)</f>
        <v>9</v>
      </c>
      <c r="K21" s="51"/>
      <c r="L21" s="60">
        <f>IFERROR(__xludf.DUMMYFUNCTION("""COMPUTED_VALUE"""),9.0)</f>
        <v>9</v>
      </c>
      <c r="M21" s="1" t="str">
        <f>IFERROR(__xludf.DUMMYFUNCTION("""COMPUTED_VALUE"""),"Mayo")</f>
        <v>Mayo</v>
      </c>
      <c r="N21" s="1">
        <f>IFERROR(__xludf.DUMMYFUNCTION("""COMPUTED_VALUE"""),12.0)</f>
        <v>12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IFERROR(__xludf.DUMMYFUNCTION("""COMPUTED_VALUE"""),3.4)</f>
        <v>3.4</v>
      </c>
      <c r="F22" s="54">
        <f>IFERROR(__xludf.DUMMYFUNCTION("""COMPUTED_VALUE"""),1.8)</f>
        <v>1.8</v>
      </c>
      <c r="G22" s="55"/>
      <c r="H22" s="56">
        <f>IFERROR(__xludf.DUMMYFUNCTION("""COMPUTED_VALUE"""),5.2)</f>
        <v>5.2</v>
      </c>
      <c r="I22" s="57">
        <f>IFERROR(__xludf.DUMMYFUNCTION("""COMPUTED_VALUE"""),3.0)</f>
        <v>3</v>
      </c>
      <c r="J22" s="58">
        <f>IFERROR(__xludf.DUMMYFUNCTION("""COMPUTED_VALUE"""),5.0)</f>
        <v>5</v>
      </c>
      <c r="K22" s="51"/>
      <c r="L22" s="60">
        <f>IFERROR(__xludf.DUMMYFUNCTION("""COMPUTED_VALUE"""),5.0)</f>
        <v>5</v>
      </c>
      <c r="M22" s="1" t="str">
        <f>IFERROR(__xludf.DUMMYFUNCTION("""COMPUTED_VALUE"""),"Junio")</f>
        <v>Junio</v>
      </c>
      <c r="N22" s="1">
        <f>IFERROR(__xludf.DUMMYFUNCTION("""COMPUTED_VALUE"""),14.0)</f>
        <v>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IFERROR(__xludf.DUMMYFUNCTION("""COMPUTED_VALUE"""),7.3)</f>
        <v>7.3</v>
      </c>
      <c r="F23" s="54">
        <f>IFERROR(__xludf.DUMMYFUNCTION("""COMPUTED_VALUE"""),1.8)</f>
        <v>1.8</v>
      </c>
      <c r="G23" s="55"/>
      <c r="H23" s="56">
        <f>IFERROR(__xludf.DUMMYFUNCTION("""COMPUTED_VALUE"""),9.1)</f>
        <v>9.1</v>
      </c>
      <c r="I23" s="57">
        <f>IFERROR(__xludf.DUMMYFUNCTION("""COMPUTED_VALUE"""),1.0)</f>
        <v>1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IFERROR(__xludf.DUMMYFUNCTION("""COMPUTED_VALUE"""),3.5)</f>
        <v>3.5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IFERROR(__xludf.DUMMYFUNCTION("""COMPUTED_VALUE"""),6.5)</f>
        <v>6.5</v>
      </c>
      <c r="I24" s="57">
        <f>IFERROR(__xludf.DUMMYFUNCTION("""COMPUTED_VALUE"""),1.0)</f>
        <v>1</v>
      </c>
      <c r="J24" s="58">
        <f>IFERROR(__xludf.DUMMYFUNCTION("""COMPUTED_VALUE"""),7.0)</f>
        <v>7</v>
      </c>
      <c r="K24" s="51"/>
      <c r="L24" s="60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IFERROR(__xludf.DUMMYFUNCTION("""COMPUTED_VALUE"""),65.0)</f>
        <v>65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IFERROR(__xludf.DUMMYFUNCTION("""COMPUTED_VALUE"""),6.5)</f>
        <v>6.5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IFERROR(__xludf.DUMMYFUNCTION("""COMPUTED_VALUE"""),9.5)</f>
        <v>9.5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IFERROR(__xludf.DUMMYFUNCTION("""COMPUTED_VALUE"""),5.6)</f>
        <v>5.6</v>
      </c>
      <c r="F26" s="54">
        <f>IFERROR(__xludf.DUMMYFUNCTION("""COMPUTED_VALUE"""),2.0)</f>
        <v>2</v>
      </c>
      <c r="G26" s="55"/>
      <c r="H26" s="56">
        <f>IFERROR(__xludf.DUMMYFUNCTION("""COMPUTED_VALUE"""),7.6)</f>
        <v>7.6</v>
      </c>
      <c r="I26" s="57">
        <f>IFERROR(__xludf.DUMMYFUNCTION("""COMPUTED_VALUE"""),1.0)</f>
        <v>1</v>
      </c>
      <c r="J26" s="58">
        <f>IFERROR(__xludf.DUMMYFUNCTION("""COMPUTED_VALUE"""),8.0)</f>
        <v>8</v>
      </c>
      <c r="K26" s="51"/>
      <c r="L26" s="60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IFERROR(__xludf.DUMMYFUNCTION("""COMPUTED_VALUE"""),1.9)</f>
        <v>1.9</v>
      </c>
      <c r="F27" s="54">
        <f>IFERROR(__xludf.DUMMYFUNCTION("""COMPUTED_VALUE"""),1.5)</f>
        <v>1.5</v>
      </c>
      <c r="G27" s="55"/>
      <c r="H27" s="56">
        <f>IFERROR(__xludf.DUMMYFUNCTION("""COMPUTED_VALUE"""),3.4)</f>
        <v>3.4</v>
      </c>
      <c r="I27" s="57">
        <f>IFERROR(__xludf.DUMMYFUNCTION("""COMPUTED_VALUE"""),3.0)</f>
        <v>3</v>
      </c>
      <c r="J27" s="58">
        <f>IFERROR(__xludf.DUMMYFUNCTION("""COMPUTED_VALUE"""),5.0)</f>
        <v>5</v>
      </c>
      <c r="K27" s="51"/>
      <c r="L27" s="60">
        <f>IFERROR(__xludf.DUMMYFUNCTION("""COMPUTED_VALUE"""),3.0)</f>
        <v>3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IFERROR(__xludf.DUMMYFUNCTION("""COMPUTED_VALUE"""),7.4)</f>
        <v>7.4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IFERROR(__xludf.DUMMYFUNCTION("""COMPUTED_VALUE"""),10.4)</f>
        <v>10.4</v>
      </c>
      <c r="I28" s="57">
        <f>IFERROR(__xludf.DUMMYFUNCTION("""COMPUTED_VALUE"""),2.0)</f>
        <v>2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IFERROR(__xludf.DUMMYFUNCTION("""COMPUTED_VALUE"""),6.0)</f>
        <v>6</v>
      </c>
      <c r="F29" s="54">
        <f>IFERROR(__xludf.DUMMYFUNCTION("""COMPUTED_VALUE"""),2.0)</f>
        <v>2</v>
      </c>
      <c r="G29" s="55"/>
      <c r="H29" s="56">
        <f>IFERROR(__xludf.DUMMYFUNCTION("""COMPUTED_VALUE"""),8.0)</f>
        <v>8</v>
      </c>
      <c r="I29" s="57">
        <f>IFERROR(__xludf.DUMMYFUNCTION("""COMPUTED_VALUE"""),0.0)</f>
        <v>0</v>
      </c>
      <c r="J29" s="58">
        <f>IFERROR(__xludf.DUMMYFUNCTION("""COMPUTED_VALUE"""),8.0)</f>
        <v>8</v>
      </c>
      <c r="K29" s="51"/>
      <c r="L29" s="60">
        <f>IFERROR(__xludf.DUMMYFUNCTION("""COMPUTED_VALUE"""),8.0)</f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IFERROR(__xludf.DUMMYFUNCTION("""COMPUTED_VALUE"""),3.0)</f>
        <v>3</v>
      </c>
      <c r="F30" s="54">
        <f>IFERROR(__xludf.DUMMYFUNCTION("""COMPUTED_VALUE"""),1.0)</f>
        <v>1</v>
      </c>
      <c r="G30" s="55"/>
      <c r="H30" s="56">
        <f>IFERROR(__xludf.DUMMYFUNCTION("""COMPUTED_VALUE"""),4.0)</f>
        <v>4</v>
      </c>
      <c r="I30" s="57">
        <f>IFERROR(__xludf.DUMMYFUNCTION("""COMPUTED_VALUE"""),2.0)</f>
        <v>2</v>
      </c>
      <c r="J30" s="58">
        <f>IFERROR(__xludf.DUMMYFUNCTION("""COMPUTED_VALUE"""),5.0)</f>
        <v>5</v>
      </c>
      <c r="K30" s="51"/>
      <c r="L30" s="60">
        <f>IFERROR(__xludf.DUMMYFUNCTION("""COMPUTED_VALUE"""),4.0)</f>
        <v>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IFERROR(__xludf.DUMMYFUNCTION("""COMPUTED_VALUE"""),4.4)</f>
        <v>4.4</v>
      </c>
      <c r="F31" s="54">
        <f>IFERROR(__xludf.DUMMYFUNCTION("""COMPUTED_VALUE"""),1.8)</f>
        <v>1.8</v>
      </c>
      <c r="G31" s="55"/>
      <c r="H31" s="56">
        <f>IFERROR(__xludf.DUMMYFUNCTION("""COMPUTED_VALUE"""),6.2)</f>
        <v>6.2</v>
      </c>
      <c r="I31" s="57">
        <f>IFERROR(__xludf.DUMMYFUNCTION("""COMPUTED_VALUE"""),1.0)</f>
        <v>1</v>
      </c>
      <c r="J31" s="58">
        <f>IFERROR(__xludf.DUMMYFUNCTION("""COMPUTED_VALUE"""),6.0)</f>
        <v>6</v>
      </c>
      <c r="K31" s="51"/>
      <c r="L31" s="60">
        <f>IFERROR(__xludf.DUMMYFUNCTION("""COMPUTED_VALUE"""),6.0)</f>
        <v>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IFERROR(__xludf.DUMMYFUNCTION("""COMPUTED_VALUE"""),3.7)</f>
        <v>3.7</v>
      </c>
      <c r="F32" s="54">
        <f>IFERROR(__xludf.DUMMYFUNCTION("""COMPUTED_VALUE"""),1.0)</f>
        <v>1</v>
      </c>
      <c r="G32" s="55"/>
      <c r="H32" s="56">
        <f>IFERROR(__xludf.DUMMYFUNCTION("""COMPUTED_VALUE"""),4.7)</f>
        <v>4.7</v>
      </c>
      <c r="I32" s="57">
        <f>IFERROR(__xludf.DUMMYFUNCTION("""COMPUTED_VALUE"""),2.0)</f>
        <v>2</v>
      </c>
      <c r="J32" s="58">
        <f>IFERROR(__xludf.DUMMYFUNCTION("""COMPUTED_VALUE"""),5.0)</f>
        <v>5</v>
      </c>
      <c r="K32" s="51"/>
      <c r="L32" s="60">
        <f>IFERROR(__xludf.DUMMYFUNCTION("""COMPUTED_VALUE"""),4.0)</f>
        <v>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IFERROR(__xludf.DUMMYFUNCTION("""COMPUTED_VALUE"""),5.0)</f>
        <v>5</v>
      </c>
      <c r="F33" s="54">
        <f>IFERROR(__xludf.DUMMYFUNCTION("""COMPUTED_VALUE"""),1.0)</f>
        <v>1</v>
      </c>
      <c r="G33" s="55"/>
      <c r="H33" s="56">
        <f>IFERROR(__xludf.DUMMYFUNCTION("""COMPUTED_VALUE"""),6.0)</f>
        <v>6</v>
      </c>
      <c r="I33" s="57">
        <f>IFERROR(__xludf.DUMMYFUNCTION("""COMPUTED_VALUE"""),1.0)</f>
        <v>1</v>
      </c>
      <c r="J33" s="58">
        <f>IFERROR(__xludf.DUMMYFUNCTION("""COMPUTED_VALUE"""),6.0)</f>
        <v>6</v>
      </c>
      <c r="K33" s="51"/>
      <c r="L33" s="60">
        <f>IFERROR(__xludf.DUMMYFUNCTION("""COMPUTED_VALUE"""),6.0)</f>
        <v>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IFERROR(__xludf.DUMMYFUNCTION("""COMPUTED_VALUE"""),1.3)</f>
        <v>1.3</v>
      </c>
      <c r="F34" s="54">
        <f>IFERROR(__xludf.DUMMYFUNCTION("""COMPUTED_VALUE"""),2.0)</f>
        <v>2</v>
      </c>
      <c r="G34" s="55"/>
      <c r="H34" s="56">
        <f>IFERROR(__xludf.DUMMYFUNCTION("""COMPUTED_VALUE"""),3.3)</f>
        <v>3.3</v>
      </c>
      <c r="I34" s="57">
        <f>IFERROR(__xludf.DUMMYFUNCTION("""COMPUTED_VALUE"""),0.0)</f>
        <v>0</v>
      </c>
      <c r="J34" s="58">
        <f>IFERROR(__xludf.DUMMYFUNCTION("""COMPUTED_VALUE"""),5.0)</f>
        <v>5</v>
      </c>
      <c r="K34" s="51"/>
      <c r="L34" s="60">
        <f>IFERROR(__xludf.DUMMYFUNCTION("""COMPUTED_VALUE"""),3.0)</f>
        <v>3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IFERROR(__xludf.DUMMYFUNCTION("""COMPUTED_VALUE"""),4.1)</f>
        <v>4.1</v>
      </c>
      <c r="F35" s="54">
        <f>IFERROR(__xludf.DUMMYFUNCTION("""COMPUTED_VALUE"""),1.9)</f>
        <v>1.9</v>
      </c>
      <c r="G35" s="55"/>
      <c r="H35" s="56">
        <f>IFERROR(__xludf.DUMMYFUNCTION("""COMPUTED_VALUE"""),6.0)</f>
        <v>6</v>
      </c>
      <c r="I35" s="57">
        <f>IFERROR(__xludf.DUMMYFUNCTION("""COMPUTED_VALUE"""),3.0)</f>
        <v>3</v>
      </c>
      <c r="J35" s="58">
        <f>IFERROR(__xludf.DUMMYFUNCTION("""COMPUTED_VALUE"""),6.0)</f>
        <v>6</v>
      </c>
      <c r="K35" s="51"/>
      <c r="L35" s="60">
        <f>IFERROR(__xludf.DUMMYFUNCTION("""COMPUTED_VALUE"""),6.0)</f>
        <v>6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IFERROR(__xludf.DUMMYFUNCTION("""COMPUTED_VALUE"""),6.3)</f>
        <v>6.3</v>
      </c>
      <c r="F36" s="54">
        <f>IFERROR(__xludf.DUMMYFUNCTION("""COMPUTED_VALUE"""),1.9)</f>
        <v>1.9</v>
      </c>
      <c r="G36" s="55"/>
      <c r="H36" s="56">
        <f>IFERROR(__xludf.DUMMYFUNCTION("""COMPUTED_VALUE"""),8.2)</f>
        <v>8.2</v>
      </c>
      <c r="I36" s="57">
        <f>IFERROR(__xludf.DUMMYFUNCTION("""COMPUTED_VALUE"""),2.0)</f>
        <v>2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IFERROR(__xludf.DUMMYFUNCTION("""COMPUTED_VALUE"""),5.8)</f>
        <v>5.8</v>
      </c>
      <c r="F37" s="54">
        <f>IFERROR(__xludf.DUMMYFUNCTION("""COMPUTED_VALUE"""),2.0)</f>
        <v>2</v>
      </c>
      <c r="G37" s="55"/>
      <c r="H37" s="56">
        <f>IFERROR(__xludf.DUMMYFUNCTION("""COMPUTED_VALUE"""),7.8)</f>
        <v>7.8</v>
      </c>
      <c r="I37" s="57">
        <f>IFERROR(__xludf.DUMMYFUNCTION("""COMPUTED_VALUE"""),1.0)</f>
        <v>1</v>
      </c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IFERROR(__xludf.DUMMYFUNCTION("""COMPUTED_VALUE"""),9.0)</f>
        <v>9</v>
      </c>
      <c r="F38" s="54">
        <f>IFERROR(__xludf.DUMMYFUNCTION("""COMPUTED_VALUE"""),2.0)</f>
        <v>2</v>
      </c>
      <c r="G38" s="55"/>
      <c r="H38" s="56">
        <f>IFERROR(__xludf.DUMMYFUNCTION("""COMPUTED_VALUE"""),11.0)</f>
        <v>11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IFERROR(__xludf.DUMMYFUNCTION("""COMPUTED_VALUE"""),11.0)</f>
        <v>11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IFERROR(__xludf.DUMMYFUNCTION("""COMPUTED_VALUE"""),6.7)</f>
        <v>6.7</v>
      </c>
      <c r="F39" s="54">
        <f>IFERROR(__xludf.DUMMYFUNCTION("""COMPUTED_VALUE"""),2.0)</f>
        <v>2</v>
      </c>
      <c r="G39" s="55"/>
      <c r="H39" s="56">
        <f>IFERROR(__xludf.DUMMYFUNCTION("""COMPUTED_VALUE"""),8.7)</f>
        <v>8.7</v>
      </c>
      <c r="I39" s="57">
        <f>IFERROR(__xludf.DUMMYFUNCTION("""COMPUTED_VALUE"""),1.0)</f>
        <v>1</v>
      </c>
      <c r="J39" s="58">
        <f>IFERROR(__xludf.DUMMYFUNCTION("""COMPUTED_VALUE"""),9.0)</f>
        <v>9</v>
      </c>
      <c r="K39" s="51"/>
      <c r="L39" s="60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IFERROR(__xludf.DUMMYFUNCTION("""COMPUTED_VALUE"""),2.1)</f>
        <v>2.1</v>
      </c>
      <c r="F40" s="54">
        <f>IFERROR(__xludf.DUMMYFUNCTION("""COMPUTED_VALUE"""),1.8)</f>
        <v>1.8</v>
      </c>
      <c r="G40" s="55"/>
      <c r="H40" s="56">
        <f>IFERROR(__xludf.DUMMYFUNCTION("""COMPUTED_VALUE"""),3.9000000000000004)</f>
        <v>3.9</v>
      </c>
      <c r="I40" s="57">
        <f>IFERROR(__xludf.DUMMYFUNCTION("""COMPUTED_VALUE"""),1.0)</f>
        <v>1</v>
      </c>
      <c r="J40" s="58">
        <f>IFERROR(__xludf.DUMMYFUNCTION("""COMPUTED_VALUE"""),5.0)</f>
        <v>5</v>
      </c>
      <c r="K40" s="51"/>
      <c r="L40" s="60">
        <f>IFERROR(__xludf.DUMMYFUNCTION("""COMPUTED_VALUE"""),3.0)</f>
        <v>3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IFERROR(__xludf.DUMMYFUNCTION("""COMPUTED_VALUE"""),7.4)</f>
        <v>7.4</v>
      </c>
      <c r="F41" s="54">
        <f>IFERROR(__xludf.DUMMYFUNCTION("""COMPUTED_VALUE"""),1.5)</f>
        <v>1.5</v>
      </c>
      <c r="G41" s="55"/>
      <c r="H41" s="56">
        <f>IFERROR(__xludf.DUMMYFUNCTION("""COMPUTED_VALUE"""),8.9)</f>
        <v>8.9</v>
      </c>
      <c r="I41" s="57">
        <f>IFERROR(__xludf.DUMMYFUNCTION("""COMPUTED_VALUE"""),0.0)</f>
        <v>0</v>
      </c>
      <c r="J41" s="58">
        <f>IFERROR(__xludf.DUMMYFUNCTION("""COMPUTED_VALUE"""),9.0)</f>
        <v>9</v>
      </c>
      <c r="K41" s="51"/>
      <c r="L41" s="60">
        <f>IFERROR(__xludf.DUMMYFUNCTION("""COMPUTED_VALUE"""),9.0)</f>
        <v>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IFERROR(__xludf.DUMMYFUNCTION("""COMPUTED_VALUE"""),5.6)</f>
        <v>5.6</v>
      </c>
      <c r="F42" s="54">
        <f>IFERROR(__xludf.DUMMYFUNCTION("""COMPUTED_VALUE"""),1.5)</f>
        <v>1.5</v>
      </c>
      <c r="G42" s="55"/>
      <c r="H42" s="56">
        <f>IFERROR(__xludf.DUMMYFUNCTION("""COMPUTED_VALUE"""),7.1)</f>
        <v>7.1</v>
      </c>
      <c r="I42" s="57">
        <f>IFERROR(__xludf.DUMMYFUNCTION("""COMPUTED_VALUE"""),3.0)</f>
        <v>3</v>
      </c>
      <c r="J42" s="58">
        <f>IFERROR(__xludf.DUMMYFUNCTION("""COMPUTED_VALUE"""),7.0)</f>
        <v>7</v>
      </c>
      <c r="K42" s="51"/>
      <c r="L42" s="60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IFERROR(__xludf.DUMMYFUNCTION("""COMPUTED_VALUE"""),5.3)</f>
        <v>5.3</v>
      </c>
      <c r="F43" s="54">
        <f>IFERROR(__xludf.DUMMYFUNCTION("""COMPUTED_VALUE"""),2.0)</f>
        <v>2</v>
      </c>
      <c r="G43" s="55"/>
      <c r="H43" s="56">
        <f>IFERROR(__xludf.DUMMYFUNCTION("""COMPUTED_VALUE"""),7.3)</f>
        <v>7.3</v>
      </c>
      <c r="I43" s="57">
        <f>IFERROR(__xludf.DUMMYFUNCTION("""COMPUTED_VALUE"""),1.0)</f>
        <v>1</v>
      </c>
      <c r="J43" s="58">
        <f>IFERROR(__xludf.DUMMYFUNCTION("""COMPUTED_VALUE"""),7.0)</f>
        <v>7</v>
      </c>
      <c r="K43" s="51"/>
      <c r="L43" s="60">
        <f>IFERROR(__xludf.DUMMYFUNCTION("""COMPUTED_VALUE"""),7.0)</f>
        <v>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IFERROR(__xludf.DUMMYFUNCTION("""COMPUTED_VALUE"""),7.0)</f>
        <v>7</v>
      </c>
      <c r="F44" s="54">
        <f>IFERROR(__xludf.DUMMYFUNCTION("""COMPUTED_VALUE"""),1.8)</f>
        <v>1.8</v>
      </c>
      <c r="G44" s="55"/>
      <c r="H44" s="56">
        <f>IFERROR(__xludf.DUMMYFUNCTION("""COMPUTED_VALUE"""),8.8)</f>
        <v>8.8</v>
      </c>
      <c r="I44" s="57">
        <f>IFERROR(__xludf.DUMMYFUNCTION("""COMPUTED_VALUE"""),1.0)</f>
        <v>1</v>
      </c>
      <c r="J44" s="58">
        <f>IFERROR(__xludf.DUMMYFUNCTION("""COMPUTED_VALUE"""),9.0)</f>
        <v>9</v>
      </c>
      <c r="K44" s="51"/>
      <c r="L44" s="60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IFERROR(__xludf.DUMMYFUNCTION("""COMPUTED_VALUE"""),6.5)</f>
        <v>6.5</v>
      </c>
      <c r="F45" s="54">
        <f>IFERROR(__xludf.DUMMYFUNCTION("""COMPUTED_VALUE"""),2.0)</f>
        <v>2</v>
      </c>
      <c r="G45" s="55"/>
      <c r="H45" s="56">
        <f>IFERROR(__xludf.DUMMYFUNCTION("""COMPUTED_VALUE"""),8.5)</f>
        <v>8.5</v>
      </c>
      <c r="I45" s="57">
        <f>IFERROR(__xludf.DUMMYFUNCTION("""COMPUTED_VALUE"""),0.0)</f>
        <v>0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IFERROR(__xludf.DUMMYFUNCTION("""COMPUTED_VALUE"""),7.9)</f>
        <v>7.9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IFERROR(__xludf.DUMMYFUNCTION("""COMPUTED_VALUE"""),10.9)</f>
        <v>10.9</v>
      </c>
      <c r="I46" s="57">
        <f>IFERROR(__xludf.DUMMYFUNCTION("""COMPUTED_VALUE"""),1.0)</f>
        <v>1</v>
      </c>
      <c r="J46" s="58">
        <f>IFERROR(__xludf.DUMMYFUNCTION("""COMPUTED_VALUE"""),10.0)</f>
        <v>10</v>
      </c>
      <c r="K46" s="51"/>
      <c r="L46" s="60">
        <f>IFERROR(__xludf.DUMMYFUNCTION("""COMPUTED_VALUE"""),11.0)</f>
        <v>11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IFERROR(__xludf.DUMMYFUNCTION("""COMPUTED_VALUE"""),6.2)</f>
        <v>6.2</v>
      </c>
      <c r="F47" s="54">
        <f>IFERROR(__xludf.DUMMYFUNCTION("""COMPUTED_VALUE"""),1.8)</f>
        <v>1.8</v>
      </c>
      <c r="G47" s="55">
        <f>IFERROR(__xludf.DUMMYFUNCTION("""COMPUTED_VALUE"""),1.0)</f>
        <v>1</v>
      </c>
      <c r="H47" s="56">
        <f>IFERROR(__xludf.DUMMYFUNCTION("""COMPUTED_VALUE"""),9.0)</f>
        <v>9</v>
      </c>
      <c r="I47" s="57">
        <f>IFERROR(__xludf.DUMMYFUNCTION("""COMPUTED_VALUE"""),2.0)</f>
        <v>2</v>
      </c>
      <c r="J47" s="58">
        <f>IFERROR(__xludf.DUMMYFUNCTION("""COMPUTED_VALUE"""),9.0)</f>
        <v>9</v>
      </c>
      <c r="K47" s="51"/>
      <c r="L47" s="60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IFERROR(__xludf.DUMMYFUNCTION("""COMPUTED_VALUE"""),8.0)</f>
        <v>8</v>
      </c>
      <c r="F48" s="54">
        <f>IFERROR(__xludf.DUMMYFUNCTION("""COMPUTED_VALUE"""),1.8)</f>
        <v>1.8</v>
      </c>
      <c r="G48" s="55">
        <f>IFERROR(__xludf.DUMMYFUNCTION("""COMPUTED_VALUE"""),1.0)</f>
        <v>1</v>
      </c>
      <c r="H48" s="56">
        <f>IFERROR(__xludf.DUMMYFUNCTION("""COMPUTED_VALUE"""),10.8)</f>
        <v>10.8</v>
      </c>
      <c r="I48" s="57">
        <f>IFERROR(__xludf.DUMMYFUNCTION("""COMPUTED_VALUE"""),1.0)</f>
        <v>1</v>
      </c>
      <c r="J48" s="58">
        <f>IFERROR(__xludf.DUMMYFUNCTION("""COMPUTED_VALUE"""),10.0)</f>
        <v>10</v>
      </c>
      <c r="K48" s="51"/>
      <c r="L48" s="60">
        <f>IFERROR(__xludf.DUMMYFUNCTION("""COMPUTED_VALUE"""),11.0)</f>
        <v>11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IFERROR(__xludf.DUMMYFUNCTION("""COMPUTED_VALUE"""),7.5)</f>
        <v>7.5</v>
      </c>
      <c r="F49" s="54">
        <f>IFERROR(__xludf.DUMMYFUNCTION("""COMPUTED_VALUE"""),2.0)</f>
        <v>2</v>
      </c>
      <c r="G49" s="55">
        <f>IFERROR(__xludf.DUMMYFUNCTION("""COMPUTED_VALUE"""),1.0)</f>
        <v>1</v>
      </c>
      <c r="H49" s="56">
        <f>IFERROR(__xludf.DUMMYFUNCTION("""COMPUTED_VALUE"""),10.5)</f>
        <v>10.5</v>
      </c>
      <c r="I49" s="57">
        <f>IFERROR(__xludf.DUMMYFUNCTION("""COMPUTED_VALUE"""),1.0)</f>
        <v>1</v>
      </c>
      <c r="J49" s="58">
        <f>IFERROR(__xludf.DUMMYFUNCTION("""COMPUTED_VALUE"""),10.0)</f>
        <v>10</v>
      </c>
      <c r="K49" s="51"/>
      <c r="L49" s="60">
        <f>IFERROR(__xludf.DUMMYFUNCTION("""COMPUTED_VALUE"""),11.0)</f>
        <v>11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IFERROR(__xludf.DUMMYFUNCTION("""COMPUTED_VALUE"""),6.3)</f>
        <v>6.3</v>
      </c>
      <c r="F50" s="54">
        <f>IFERROR(__xludf.DUMMYFUNCTION("""COMPUTED_VALUE"""),1.8)</f>
        <v>1.8</v>
      </c>
      <c r="G50" s="55">
        <f>IFERROR(__xludf.DUMMYFUNCTION("""COMPUTED_VALUE"""),1.0)</f>
        <v>1</v>
      </c>
      <c r="H50" s="56">
        <f>IFERROR(__xludf.DUMMYFUNCTION("""COMPUTED_VALUE"""),9.1)</f>
        <v>9.1</v>
      </c>
      <c r="I50" s="57">
        <f>IFERROR(__xludf.DUMMYFUNCTION("""COMPUTED_VALUE"""),3.0)</f>
        <v>3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IFERROR(__xludf.DUMMYFUNCTION("""COMPUTED_VALUE"""),6.0)</f>
        <v>6</v>
      </c>
      <c r="F51" s="54">
        <f>IFERROR(__xludf.DUMMYFUNCTION("""COMPUTED_VALUE"""),1.5)</f>
        <v>1.5</v>
      </c>
      <c r="G51" s="55">
        <f>IFERROR(__xludf.DUMMYFUNCTION("""COMPUTED_VALUE"""),1.0)</f>
        <v>1</v>
      </c>
      <c r="H51" s="56">
        <f>IFERROR(__xludf.DUMMYFUNCTION("""COMPUTED_VALUE"""),8.5)</f>
        <v>8.5</v>
      </c>
      <c r="I51" s="57">
        <f>IFERROR(__xludf.DUMMYFUNCTION("""COMPUTED_VALUE"""),1.0)</f>
        <v>1</v>
      </c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IFERROR(__xludf.DUMMYFUNCTION("""COMPUTED_VALUE"""),5.3)</f>
        <v>5.3</v>
      </c>
      <c r="F53" s="54">
        <f>IFERROR(__xludf.DUMMYFUNCTION("""COMPUTED_VALUE"""),2.0)</f>
        <v>2</v>
      </c>
      <c r="G53" s="55"/>
      <c r="H53" s="56">
        <f>IFERROR(__xludf.DUMMYFUNCTION("""COMPUTED_VALUE"""),7.3)</f>
        <v>7.3</v>
      </c>
      <c r="I53" s="57">
        <f>IFERROR(__xludf.DUMMYFUNCTION("""COMPUTED_VALUE"""),0.0)</f>
        <v>0</v>
      </c>
      <c r="J53" s="58">
        <f>IFERROR(__xludf.DUMMYFUNCTION("""COMPUTED_VALUE"""),7.0)</f>
        <v>7</v>
      </c>
      <c r="K53" s="51"/>
      <c r="L53" s="59">
        <f>IFERROR(__xludf.DUMMYFUNCTION("""COMPUTED_VALUE"""),7.0)</f>
        <v>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IFERROR(__xludf.DUMMYFUNCTION("""COMPUTED_VALUE"""),7.2)</f>
        <v>7.2</v>
      </c>
      <c r="F54" s="54">
        <f>IFERROR(__xludf.DUMMYFUNCTION("""COMPUTED_VALUE"""),2.0)</f>
        <v>2</v>
      </c>
      <c r="G54" s="55"/>
      <c r="H54" s="56">
        <f>IFERROR(__xludf.DUMMYFUNCTION("""COMPUTED_VALUE"""),9.2)</f>
        <v>9.2</v>
      </c>
      <c r="I54" s="57">
        <f>IFERROR(__xludf.DUMMYFUNCTION("""COMPUTED_VALUE"""),2.0)</f>
        <v>2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IFERROR(__xludf.DUMMYFUNCTION("""COMPUTED_VALUE"""),5.6)</f>
        <v>5.6</v>
      </c>
      <c r="F55" s="54">
        <f>IFERROR(__xludf.DUMMYFUNCTION("""COMPUTED_VALUE"""),2.0)</f>
        <v>2</v>
      </c>
      <c r="G55" s="55"/>
      <c r="H55" s="56">
        <f>IFERROR(__xludf.DUMMYFUNCTION("""COMPUTED_VALUE"""),7.6)</f>
        <v>7.6</v>
      </c>
      <c r="I55" s="61">
        <f>IFERROR(__xludf.DUMMYFUNCTION("""COMPUTED_VALUE"""),0.0)</f>
        <v>0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IFERROR(__xludf.DUMMYFUNCTION("""COMPUTED_VALUE"""),8.4)</f>
        <v>8.4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IFERROR(__xludf.DUMMYFUNCTION("""COMPUTED_VALUE"""),11.4)</f>
        <v>11.4</v>
      </c>
      <c r="I56" s="61">
        <f>IFERROR(__xludf.DUMMYFUNCTION("""COMPUTED_VALUE"""),1.0)</f>
        <v>1</v>
      </c>
      <c r="J56" s="58">
        <f>IFERROR(__xludf.DUMMYFUNCTION("""COMPUTED_VALUE"""),10.0)</f>
        <v>10</v>
      </c>
      <c r="K56" s="51"/>
      <c r="L56" s="59">
        <f>IFERROR(__xludf.DUMMYFUNCTION("""COMPUTED_VALUE"""),11.0)</f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IFERROR(__xludf.DUMMYFUNCTION("""COMPUTED_VALUE"""),32.0)</f>
        <v>32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IFERROR(__xludf.DUMMYFUNCTION("""COMPUTED_VALUE"""),8.0)</f>
        <v>8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IFERROR(__xludf.DUMMYFUNCTION("""COMPUTED_VALUE"""),80.0)</f>
        <v>80</v>
      </c>
      <c r="E63" s="62"/>
      <c r="F63" s="86" t="str">
        <f>IFERROR(__xludf.DUMMYFUNCTION("""COMPUTED_VALUE"""),"PROFR. ")</f>
        <v>PROFR. 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IFERROR(__xludf.DUMMYFUNCTION("""COMPUTED_VALUE"""),7.775)</f>
        <v>7.775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4 K17:K62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IFERROR(__xludf.DUMMYFUNCTION("IMPORTRANGE(""https://docs.google.com/spreadsheets/d/1XXpLVmvERIkOwfwjUI8iua9nnOnyLO6P4Lg4qznMCsI/edit?gid=868681460#gid=868681460"",""3-2 temas selectos de matematicas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IFERROR(__xludf.DUMMYFUNCTION("""COMPUTED_VALUE"""),"Ernesto Brena Colin")</f>
        <v>Ernesto Brena Colin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MATEMÁTICAS II")</f>
        <v>TEMAS SELECTOS DE MATEMÁTICAS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IFERROR(__xludf.DUMMYFUNCTION("""COMPUTED_VALUE"""),6.54736842)</f>
        <v>6.54736842</v>
      </c>
      <c r="F17" s="54">
        <f>IFERROR(__xludf.DUMMYFUNCTION("""COMPUTED_VALUE"""),2.0)</f>
        <v>2</v>
      </c>
      <c r="G17" s="55"/>
      <c r="H17" s="56">
        <f>IFERROR(__xludf.DUMMYFUNCTION("""COMPUTED_VALUE"""),8.54736842)</f>
        <v>8.54736842</v>
      </c>
      <c r="I17" s="57">
        <f>IFERROR(__xludf.DUMMYFUNCTION("""COMPUTED_VALUE"""),2.0)</f>
        <v>2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IFERROR(__xludf.DUMMYFUNCTION("""COMPUTED_VALUE"""),2.63157895)</f>
        <v>2.63157895</v>
      </c>
      <c r="F18" s="54">
        <f>IFERROR(__xludf.DUMMYFUNCTION("""COMPUTED_VALUE"""),1.5)</f>
        <v>1.5</v>
      </c>
      <c r="G18" s="55"/>
      <c r="H18" s="56">
        <f>IFERROR(__xludf.DUMMYFUNCTION("""COMPUTED_VALUE"""),4.13157895)</f>
        <v>4.13157895</v>
      </c>
      <c r="I18" s="57">
        <f>IFERROR(__xludf.DUMMYFUNCTION("""COMPUTED_VALUE"""),3.0)</f>
        <v>3</v>
      </c>
      <c r="J18" s="58">
        <f>IFERROR(__xludf.DUMMYFUNCTION("""COMPUTED_VALUE"""),5.0)</f>
        <v>5</v>
      </c>
      <c r="K18" s="51"/>
      <c r="L18" s="60">
        <f>IFERROR(__xludf.DUMMYFUNCTION("""COMPUTED_VALUE"""),4.0)</f>
        <v>4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IFERROR(__xludf.DUMMYFUNCTION("""COMPUTED_VALUE"""),7.73684211)</f>
        <v>7.73684211</v>
      </c>
      <c r="F19" s="54">
        <f>IFERROR(__xludf.DUMMYFUNCTION("""COMPUTED_VALUE"""),1.9)</f>
        <v>1.9</v>
      </c>
      <c r="G19" s="55"/>
      <c r="H19" s="56">
        <f>IFERROR(__xludf.DUMMYFUNCTION("""COMPUTED_VALUE"""),9.63684211)</f>
        <v>9.63684211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IFERROR(__xludf.DUMMYFUNCTION("""COMPUTED_VALUE"""),15.0)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IFERROR(__xludf.DUMMYFUNCTION("""COMPUTED_VALUE"""),6.42105263)</f>
        <v>6.42105263</v>
      </c>
      <c r="F20" s="54">
        <f>IFERROR(__xludf.DUMMYFUNCTION("""COMPUTED_VALUE"""),0.0)</f>
        <v>0</v>
      </c>
      <c r="G20" s="55">
        <f>IFERROR(__xludf.DUMMYFUNCTION("""COMPUTED_VALUE"""),1.0)</f>
        <v>1</v>
      </c>
      <c r="H20" s="56">
        <f>IFERROR(__xludf.DUMMYFUNCTION("""COMPUTED_VALUE"""),7.42105263)</f>
        <v>7.42105263</v>
      </c>
      <c r="I20" s="57">
        <f>IFERROR(__xludf.DUMMYFUNCTION("""COMPUTED_VALUE"""),0.0)</f>
        <v>0</v>
      </c>
      <c r="J20" s="58">
        <f>IFERROR(__xludf.DUMMYFUNCTION("""COMPUTED_VALUE"""),7.0)</f>
        <v>7</v>
      </c>
      <c r="K20" s="51"/>
      <c r="L20" s="60">
        <f>IFERROR(__xludf.DUMMYFUNCTION("""COMPUTED_VALUE"""),7.0)</f>
        <v>7</v>
      </c>
      <c r="M20" s="1" t="str">
        <f>IFERROR(__xludf.DUMMYFUNCTION("""COMPUTED_VALUE"""),"Abril")</f>
        <v>Abril</v>
      </c>
      <c r="N20" s="1">
        <f>IFERROR(__xludf.DUMMYFUNCTION("""COMPUTED_VALUE"""),11.0)</f>
        <v>11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IFERROR(__xludf.DUMMYFUNCTION("""COMPUTED_VALUE"""),6.7)</f>
        <v>6.7</v>
      </c>
      <c r="F21" s="54"/>
      <c r="G21" s="55"/>
      <c r="H21" s="56">
        <f>IFERROR(__xludf.DUMMYFUNCTION("""COMPUTED_VALUE"""),6.7)</f>
        <v>6.7</v>
      </c>
      <c r="I21" s="57">
        <f>IFERROR(__xludf.DUMMYFUNCTION("""COMPUTED_VALUE"""),0.0)</f>
        <v>0</v>
      </c>
      <c r="J21" s="58">
        <f>IFERROR(__xludf.DUMMYFUNCTION("""COMPUTED_VALUE"""),7.0)</f>
        <v>7</v>
      </c>
      <c r="K21" s="51"/>
      <c r="L21" s="60">
        <f>IFERROR(__xludf.DUMMYFUNCTION("""COMPUTED_VALUE"""),7.0)</f>
        <v>7</v>
      </c>
      <c r="M21" s="1" t="str">
        <f>IFERROR(__xludf.DUMMYFUNCTION("""COMPUTED_VALUE"""),"Mayo")</f>
        <v>Mayo</v>
      </c>
      <c r="N21" s="1">
        <f>IFERROR(__xludf.DUMMYFUNCTION("""COMPUTED_VALUE"""),13.0)</f>
        <v>13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IFERROR(__xludf.DUMMYFUNCTION("""COMPUTED_VALUE"""),3.0)</f>
        <v>3</v>
      </c>
      <c r="F22" s="54">
        <f>IFERROR(__xludf.DUMMYFUNCTION("""COMPUTED_VALUE"""),1.5)</f>
        <v>1.5</v>
      </c>
      <c r="G22" s="55"/>
      <c r="H22" s="56">
        <f>IFERROR(__xludf.DUMMYFUNCTION("""COMPUTED_VALUE"""),4.5)</f>
        <v>4.5</v>
      </c>
      <c r="I22" s="57">
        <f>IFERROR(__xludf.DUMMYFUNCTION("""COMPUTED_VALUE"""),4.0)</f>
        <v>4</v>
      </c>
      <c r="J22" s="58">
        <f>IFERROR(__xludf.DUMMYFUNCTION("""COMPUTED_VALUE"""),5.0)</f>
        <v>5</v>
      </c>
      <c r="K22" s="51"/>
      <c r="L22" s="60">
        <f>IFERROR(__xludf.DUMMYFUNCTION("""COMPUTED_VALUE"""),4.0)</f>
        <v>4</v>
      </c>
      <c r="M22" s="1" t="str">
        <f>IFERROR(__xludf.DUMMYFUNCTION("""COMPUTED_VALUE"""),"Junio")</f>
        <v>Junio</v>
      </c>
      <c r="N22" s="1">
        <f>IFERROR(__xludf.DUMMYFUNCTION("""COMPUTED_VALUE"""),17.0)</f>
        <v>17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IFERROR(__xludf.DUMMYFUNCTION("""COMPUTED_VALUE"""),5.89473684)</f>
        <v>5.89473684</v>
      </c>
      <c r="F23" s="54">
        <f>IFERROR(__xludf.DUMMYFUNCTION("""COMPUTED_VALUE"""),1.9)</f>
        <v>1.9</v>
      </c>
      <c r="G23" s="55"/>
      <c r="H23" s="56">
        <f>IFERROR(__xludf.DUMMYFUNCTION("""COMPUTED_VALUE"""),7.7947368400000006)</f>
        <v>7.79473684</v>
      </c>
      <c r="I23" s="57">
        <f>IFERROR(__xludf.DUMMYFUNCTION("""COMPUTED_VALUE"""),0.0)</f>
        <v>0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IFERROR(__xludf.DUMMYFUNCTION("""COMPUTED_VALUE"""),"Julio")</f>
        <v>Julio</v>
      </c>
      <c r="N23" s="1">
        <f>IFERROR(__xludf.DUMMYFUNCTION("""COMPUTED_VALUE"""),8.0)</f>
        <v>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IFERROR(__xludf.DUMMYFUNCTION("""COMPUTED_VALUE"""),4.73157895)</f>
        <v>4.73157895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IFERROR(__xludf.DUMMYFUNCTION("""COMPUTED_VALUE"""),7.73157895)</f>
        <v>7.73157895</v>
      </c>
      <c r="I24" s="57">
        <f>IFERROR(__xludf.DUMMYFUNCTION("""COMPUTED_VALUE"""),2.0)</f>
        <v>2</v>
      </c>
      <c r="J24" s="58">
        <f>IFERROR(__xludf.DUMMYFUNCTION("""COMPUTED_VALUE"""),8.0)</f>
        <v>8</v>
      </c>
      <c r="K24" s="51"/>
      <c r="L24" s="60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IFERROR(__xludf.DUMMYFUNCTION("""COMPUTED_VALUE"""),72.0)</f>
        <v>72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IFERROR(__xludf.DUMMYFUNCTION("""COMPUTED_VALUE"""),6.94736842)</f>
        <v>6.94736842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IFERROR(__xludf.DUMMYFUNCTION("""COMPUTED_VALUE"""),9.94736842)</f>
        <v>9.94736842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IFERROR(__xludf.DUMMYFUNCTION("""COMPUTED_VALUE"""),6.94736842)</f>
        <v>6.94736842</v>
      </c>
      <c r="F26" s="54">
        <f>IFERROR(__xludf.DUMMYFUNCTION("""COMPUTED_VALUE"""),2.0)</f>
        <v>2</v>
      </c>
      <c r="G26" s="55"/>
      <c r="H26" s="56">
        <f>IFERROR(__xludf.DUMMYFUNCTION("""COMPUTED_VALUE"""),8.94736842)</f>
        <v>8.94736842</v>
      </c>
      <c r="I26" s="57">
        <f>IFERROR(__xludf.DUMMYFUNCTION("""COMPUTED_VALUE"""),1.0)</f>
        <v>1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IFERROR(__xludf.DUMMYFUNCTION("""COMPUTED_VALUE"""),5.89473684)</f>
        <v>5.89473684</v>
      </c>
      <c r="F27" s="54">
        <f>IFERROR(__xludf.DUMMYFUNCTION("""COMPUTED_VALUE"""),2.0)</f>
        <v>2</v>
      </c>
      <c r="G27" s="55"/>
      <c r="H27" s="56">
        <f>IFERROR(__xludf.DUMMYFUNCTION("""COMPUTED_VALUE"""),7.89473684)</f>
        <v>7.89473684</v>
      </c>
      <c r="I27" s="57">
        <f>IFERROR(__xludf.DUMMYFUNCTION("""COMPUTED_VALUE"""),1.0)</f>
        <v>1</v>
      </c>
      <c r="J27" s="58">
        <f>IFERROR(__xludf.DUMMYFUNCTION("""COMPUTED_VALUE"""),8.0)</f>
        <v>8</v>
      </c>
      <c r="K27" s="51"/>
      <c r="L27" s="60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IFERROR(__xludf.DUMMYFUNCTION("""COMPUTED_VALUE"""),7.21052632)</f>
        <v>7.21052632</v>
      </c>
      <c r="F28" s="54">
        <f>IFERROR(__xludf.DUMMYFUNCTION("""COMPUTED_VALUE"""),1.9)</f>
        <v>1.9</v>
      </c>
      <c r="G28" s="55">
        <f>IFERROR(__xludf.DUMMYFUNCTION("""COMPUTED_VALUE"""),1.0)</f>
        <v>1</v>
      </c>
      <c r="H28" s="56">
        <f>IFERROR(__xludf.DUMMYFUNCTION("""COMPUTED_VALUE"""),10.11052632)</f>
        <v>10.11052632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IFERROR(__xludf.DUMMYFUNCTION("""COMPUTED_VALUE"""),7.73684211)</f>
        <v>7.73684211</v>
      </c>
      <c r="F29" s="54">
        <f>IFERROR(__xludf.DUMMYFUNCTION("""COMPUTED_VALUE"""),1.9)</f>
        <v>1.9</v>
      </c>
      <c r="G29" s="55"/>
      <c r="H29" s="56">
        <f>IFERROR(__xludf.DUMMYFUNCTION("""COMPUTED_VALUE"""),9.63684211)</f>
        <v>9.63684211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IFERROR(__xludf.DUMMYFUNCTION("""COMPUTED_VALUE"""),5.36842105)</f>
        <v>5.36842105</v>
      </c>
      <c r="F30" s="54">
        <f>IFERROR(__xludf.DUMMYFUNCTION("""COMPUTED_VALUE"""),1.8)</f>
        <v>1.8</v>
      </c>
      <c r="G30" s="55"/>
      <c r="H30" s="56">
        <f>IFERROR(__xludf.DUMMYFUNCTION("""COMPUTED_VALUE"""),7.16842105)</f>
        <v>7.16842105</v>
      </c>
      <c r="I30" s="57">
        <f>IFERROR(__xludf.DUMMYFUNCTION("""COMPUTED_VALUE"""),3.0)</f>
        <v>3</v>
      </c>
      <c r="J30" s="58">
        <f>IFERROR(__xludf.DUMMYFUNCTION("""COMPUTED_VALUE"""),7.0)</f>
        <v>7</v>
      </c>
      <c r="K30" s="51"/>
      <c r="L30" s="60">
        <f>IFERROR(__xludf.DUMMYFUNCTION("""COMPUTED_VALUE"""),7.0)</f>
        <v>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IFERROR(__xludf.DUMMYFUNCTION("""COMPUTED_VALUE"""),4.1)</f>
        <v>4.1</v>
      </c>
      <c r="F31" s="54">
        <f>IFERROR(__xludf.DUMMYFUNCTION("""COMPUTED_VALUE"""),2.0)</f>
        <v>2</v>
      </c>
      <c r="G31" s="55"/>
      <c r="H31" s="56">
        <f>IFERROR(__xludf.DUMMYFUNCTION("""COMPUTED_VALUE"""),6.1)</f>
        <v>6.1</v>
      </c>
      <c r="I31" s="57">
        <f>IFERROR(__xludf.DUMMYFUNCTION("""COMPUTED_VALUE"""),0.0)</f>
        <v>0</v>
      </c>
      <c r="J31" s="58">
        <f>IFERROR(__xludf.DUMMYFUNCTION("""COMPUTED_VALUE"""),6.0)</f>
        <v>6</v>
      </c>
      <c r="K31" s="51"/>
      <c r="L31" s="60">
        <f>IFERROR(__xludf.DUMMYFUNCTION("""COMPUTED_VALUE"""),6.0)</f>
        <v>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IFERROR(__xludf.DUMMYFUNCTION("""COMPUTED_VALUE"""),6.15789474)</f>
        <v>6.15789474</v>
      </c>
      <c r="F32" s="54">
        <f>IFERROR(__xludf.DUMMYFUNCTION("""COMPUTED_VALUE"""),2.0)</f>
        <v>2</v>
      </c>
      <c r="G32" s="55"/>
      <c r="H32" s="56">
        <f>IFERROR(__xludf.DUMMYFUNCTION("""COMPUTED_VALUE"""),8.15789474)</f>
        <v>8.15789474</v>
      </c>
      <c r="I32" s="57">
        <f>IFERROR(__xludf.DUMMYFUNCTION("""COMPUTED_VALUE"""),0.0)</f>
        <v>0</v>
      </c>
      <c r="J32" s="58">
        <f>IFERROR(__xludf.DUMMYFUNCTION("""COMPUTED_VALUE"""),8.0)</f>
        <v>8</v>
      </c>
      <c r="K32" s="51"/>
      <c r="L32" s="60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IFERROR(__xludf.DUMMYFUNCTION("""COMPUTED_VALUE"""),6.42105263)</f>
        <v>6.42105263</v>
      </c>
      <c r="F33" s="54">
        <f>IFERROR(__xludf.DUMMYFUNCTION("""COMPUTED_VALUE"""),2.0)</f>
        <v>2</v>
      </c>
      <c r="G33" s="55"/>
      <c r="H33" s="56">
        <f>IFERROR(__xludf.DUMMYFUNCTION("""COMPUTED_VALUE"""),8.42105263)</f>
        <v>8.42105263</v>
      </c>
      <c r="I33" s="57">
        <f>IFERROR(__xludf.DUMMYFUNCTION("""COMPUTED_VALUE"""),0.0)</f>
        <v>0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IFERROR(__xludf.DUMMYFUNCTION("""COMPUTED_VALUE"""),4.05263158)</f>
        <v>4.05263158</v>
      </c>
      <c r="F34" s="54">
        <f>IFERROR(__xludf.DUMMYFUNCTION("""COMPUTED_VALUE"""),1.9)</f>
        <v>1.9</v>
      </c>
      <c r="G34" s="55"/>
      <c r="H34" s="56">
        <f>IFERROR(__xludf.DUMMYFUNCTION("""COMPUTED_VALUE"""),5.95263158)</f>
        <v>5.95263158</v>
      </c>
      <c r="I34" s="57">
        <f>IFERROR(__xludf.DUMMYFUNCTION("""COMPUTED_VALUE"""),1.0)</f>
        <v>1</v>
      </c>
      <c r="J34" s="58">
        <f>IFERROR(__xludf.DUMMYFUNCTION("""COMPUTED_VALUE"""),5.0)</f>
        <v>5</v>
      </c>
      <c r="K34" s="51"/>
      <c r="L34" s="60">
        <f>IFERROR(__xludf.DUMMYFUNCTION("""COMPUTED_VALUE"""),5.0)</f>
        <v>5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IFERROR(__xludf.DUMMYFUNCTION("""COMPUTED_VALUE"""),5.10526316)</f>
        <v>5.10526316</v>
      </c>
      <c r="F35" s="54"/>
      <c r="G35" s="55"/>
      <c r="H35" s="56">
        <f>IFERROR(__xludf.DUMMYFUNCTION("""COMPUTED_VALUE"""),5.10526316)</f>
        <v>5.10526316</v>
      </c>
      <c r="I35" s="57">
        <f>IFERROR(__xludf.DUMMYFUNCTION("""COMPUTED_VALUE"""),2.0)</f>
        <v>2</v>
      </c>
      <c r="J35" s="58">
        <f>IFERROR(__xludf.DUMMYFUNCTION("""COMPUTED_VALUE"""),5.0)</f>
        <v>5</v>
      </c>
      <c r="K35" s="51"/>
      <c r="L35" s="60">
        <f>IFERROR(__xludf.DUMMYFUNCTION("""COMPUTED_VALUE"""),5.0)</f>
        <v>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IFERROR(__xludf.DUMMYFUNCTION("""COMPUTED_VALUE"""),7.21052632)</f>
        <v>7.21052632</v>
      </c>
      <c r="F36" s="54">
        <f>IFERROR(__xludf.DUMMYFUNCTION("""COMPUTED_VALUE"""),2.0)</f>
        <v>2</v>
      </c>
      <c r="G36" s="55"/>
      <c r="H36" s="56">
        <f>IFERROR(__xludf.DUMMYFUNCTION("""COMPUTED_VALUE"""),9.21052632)</f>
        <v>9.21052632</v>
      </c>
      <c r="I36" s="57">
        <f>IFERROR(__xludf.DUMMYFUNCTION("""COMPUTED_VALUE"""),1.0)</f>
        <v>1</v>
      </c>
      <c r="J36" s="58">
        <f>IFERROR(__xludf.DUMMYFUNCTION("""COMPUTED_VALUE"""),9.0)</f>
        <v>9</v>
      </c>
      <c r="K36" s="51"/>
      <c r="L36" s="60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IFERROR(__xludf.DUMMYFUNCTION("""COMPUTED_VALUE"""),8.0)</f>
        <v>8</v>
      </c>
      <c r="F37" s="54">
        <f>IFERROR(__xludf.DUMMYFUNCTION("""COMPUTED_VALUE"""),2.0)</f>
        <v>2</v>
      </c>
      <c r="G37" s="55"/>
      <c r="H37" s="56">
        <f>IFERROR(__xludf.DUMMYFUNCTION("""COMPUTED_VALUE"""),10.0)</f>
        <v>10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IFERROR(__xludf.DUMMYFUNCTION("""COMPUTED_VALUE"""),6.94736842)</f>
        <v>6.94736842</v>
      </c>
      <c r="F39" s="54"/>
      <c r="G39" s="55"/>
      <c r="H39" s="56">
        <f>IFERROR(__xludf.DUMMYFUNCTION("""COMPUTED_VALUE"""),6.94736842)</f>
        <v>6.94736842</v>
      </c>
      <c r="I39" s="57">
        <f>IFERROR(__xludf.DUMMYFUNCTION("""COMPUTED_VALUE"""),0.0)</f>
        <v>0</v>
      </c>
      <c r="J39" s="58">
        <f>IFERROR(__xludf.DUMMYFUNCTION("""COMPUTED_VALUE"""),7.0)</f>
        <v>7</v>
      </c>
      <c r="K39" s="51"/>
      <c r="L39" s="60">
        <f>IFERROR(__xludf.DUMMYFUNCTION("""COMPUTED_VALUE"""),7.0)</f>
        <v>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IFERROR(__xludf.DUMMYFUNCTION("""COMPUTED_VALUE"""),4.80526316)</f>
        <v>4.80526316</v>
      </c>
      <c r="F40" s="54"/>
      <c r="G40" s="55"/>
      <c r="H40" s="56">
        <f>IFERROR(__xludf.DUMMYFUNCTION("""COMPUTED_VALUE"""),4.80526316)</f>
        <v>4.80526316</v>
      </c>
      <c r="I40" s="57">
        <f>IFERROR(__xludf.DUMMYFUNCTION("""COMPUTED_VALUE"""),0.0)</f>
        <v>0</v>
      </c>
      <c r="J40" s="58">
        <f>IFERROR(__xludf.DUMMYFUNCTION("""COMPUTED_VALUE"""),5.0)</f>
        <v>5</v>
      </c>
      <c r="K40" s="51"/>
      <c r="L40" s="60">
        <f>IFERROR(__xludf.DUMMYFUNCTION("""COMPUTED_VALUE"""),4.0)</f>
        <v>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IFERROR(__xludf.DUMMYFUNCTION("""COMPUTED_VALUE"""),5.63157895)</f>
        <v>5.63157895</v>
      </c>
      <c r="F42" s="54">
        <f>IFERROR(__xludf.DUMMYFUNCTION("""COMPUTED_VALUE"""),2.0)</f>
        <v>2</v>
      </c>
      <c r="G42" s="55"/>
      <c r="H42" s="56">
        <f>IFERROR(__xludf.DUMMYFUNCTION("""COMPUTED_VALUE"""),7.63157895)</f>
        <v>7.63157895</v>
      </c>
      <c r="I42" s="57">
        <f>IFERROR(__xludf.DUMMYFUNCTION("""COMPUTED_VALUE"""),1.0)</f>
        <v>1</v>
      </c>
      <c r="J42" s="58">
        <f>IFERROR(__xludf.DUMMYFUNCTION("""COMPUTED_VALUE"""),8.0)</f>
        <v>8</v>
      </c>
      <c r="K42" s="51"/>
      <c r="L42" s="60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IFERROR(__xludf.DUMMYFUNCTION("""COMPUTED_VALUE"""),6.68421053)</f>
        <v>6.68421053</v>
      </c>
      <c r="F43" s="54">
        <f>IFERROR(__xludf.DUMMYFUNCTION("""COMPUTED_VALUE"""),2.0)</f>
        <v>2</v>
      </c>
      <c r="G43" s="55"/>
      <c r="H43" s="56">
        <f>IFERROR(__xludf.DUMMYFUNCTION("""COMPUTED_VALUE"""),8.68421053)</f>
        <v>8.68421053</v>
      </c>
      <c r="I43" s="57">
        <f>IFERROR(__xludf.DUMMYFUNCTION("""COMPUTED_VALUE"""),0.0)</f>
        <v>0</v>
      </c>
      <c r="J43" s="58">
        <f>IFERROR(__xludf.DUMMYFUNCTION("""COMPUTED_VALUE"""),9.0)</f>
        <v>9</v>
      </c>
      <c r="K43" s="51"/>
      <c r="L43" s="60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IFERROR(__xludf.DUMMYFUNCTION("""COMPUTED_VALUE"""),2.63157895)</f>
        <v>2.63157895</v>
      </c>
      <c r="F44" s="54">
        <f>IFERROR(__xludf.DUMMYFUNCTION("""COMPUTED_VALUE"""),2.0)</f>
        <v>2</v>
      </c>
      <c r="G44" s="55"/>
      <c r="H44" s="56">
        <f>IFERROR(__xludf.DUMMYFUNCTION("""COMPUTED_VALUE"""),4.63157895)</f>
        <v>4.63157895</v>
      </c>
      <c r="I44" s="57">
        <f>IFERROR(__xludf.DUMMYFUNCTION("""COMPUTED_VALUE"""),1.0)</f>
        <v>1</v>
      </c>
      <c r="J44" s="58">
        <f>IFERROR(__xludf.DUMMYFUNCTION("""COMPUTED_VALUE"""),5.0)</f>
        <v>5</v>
      </c>
      <c r="K44" s="51"/>
      <c r="L44" s="60">
        <f>IFERROR(__xludf.DUMMYFUNCTION("""COMPUTED_VALUE"""),4.0)</f>
        <v>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IFERROR(__xludf.DUMMYFUNCTION("""COMPUTED_VALUE"""),7.21052632)</f>
        <v>7.21052632</v>
      </c>
      <c r="F45" s="54">
        <f>IFERROR(__xludf.DUMMYFUNCTION("""COMPUTED_VALUE"""),2.0)</f>
        <v>2</v>
      </c>
      <c r="G45" s="55"/>
      <c r="H45" s="56">
        <f>IFERROR(__xludf.DUMMYFUNCTION("""COMPUTED_VALUE"""),9.21052632)</f>
        <v>9.21052632</v>
      </c>
      <c r="I45" s="57">
        <f>IFERROR(__xludf.DUMMYFUNCTION("""COMPUTED_VALUE"""),1.0)</f>
        <v>1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IFERROR(__xludf.DUMMYFUNCTION("""COMPUTED_VALUE"""),5.89473684)</f>
        <v>5.89473684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IFERROR(__xludf.DUMMYFUNCTION("""COMPUTED_VALUE"""),8.89473684)</f>
        <v>8.89473684</v>
      </c>
      <c r="I46" s="57">
        <f>IFERROR(__xludf.DUMMYFUNCTION("""COMPUTED_VALUE"""),2.0)</f>
        <v>2</v>
      </c>
      <c r="J46" s="58">
        <f>IFERROR(__xludf.DUMMYFUNCTION("""COMPUTED_VALUE"""),9.0)</f>
        <v>9</v>
      </c>
      <c r="K46" s="51"/>
      <c r="L46" s="60">
        <f>IFERROR(__xludf.DUMMYFUNCTION("""COMPUTED_VALUE"""),9.0)</f>
        <v>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IFERROR(__xludf.DUMMYFUNCTION("""COMPUTED_VALUE"""),7.73684211)</f>
        <v>7.73684211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IFERROR(__xludf.DUMMYFUNCTION("""COMPUTED_VALUE"""),10.736842110000001)</f>
        <v>10.73684211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IFERROR(__xludf.DUMMYFUNCTION("""COMPUTED_VALUE"""),11.0)</f>
        <v>11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IFERROR(__xludf.DUMMYFUNCTION("""COMPUTED_VALUE"""),7.47368421)</f>
        <v>7.47368421</v>
      </c>
      <c r="F48" s="54">
        <f>IFERROR(__xludf.DUMMYFUNCTION("""COMPUTED_VALUE"""),2.0)</f>
        <v>2</v>
      </c>
      <c r="G48" s="55">
        <f>IFERROR(__xludf.DUMMYFUNCTION("""COMPUTED_VALUE"""),1.0)</f>
        <v>1</v>
      </c>
      <c r="H48" s="56">
        <f>IFERROR(__xludf.DUMMYFUNCTION("""COMPUTED_VALUE"""),10.47368421)</f>
        <v>10.47368421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IFERROR(__xludf.DUMMYFUNCTION("""COMPUTED_VALUE"""),6.42105263)</f>
        <v>6.42105263</v>
      </c>
      <c r="F49" s="54">
        <f>IFERROR(__xludf.DUMMYFUNCTION("""COMPUTED_VALUE"""),1.5)</f>
        <v>1.5</v>
      </c>
      <c r="G49" s="55">
        <f>IFERROR(__xludf.DUMMYFUNCTION("""COMPUTED_VALUE"""),1.0)</f>
        <v>1</v>
      </c>
      <c r="H49" s="56">
        <f>IFERROR(__xludf.DUMMYFUNCTION("""COMPUTED_VALUE"""),8.92105263)</f>
        <v>8.92105263</v>
      </c>
      <c r="I49" s="57">
        <f>IFERROR(__xludf.DUMMYFUNCTION("""COMPUTED_VALUE"""),0.0)</f>
        <v>0</v>
      </c>
      <c r="J49" s="58">
        <f>IFERROR(__xludf.DUMMYFUNCTION("""COMPUTED_VALUE"""),9.0)</f>
        <v>9</v>
      </c>
      <c r="K49" s="51"/>
      <c r="L49" s="60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IFERROR(__xludf.DUMMYFUNCTION("""COMPUTED_VALUE"""),8.0)</f>
        <v>8</v>
      </c>
      <c r="F50" s="54">
        <f>IFERROR(__xludf.DUMMYFUNCTION("""COMPUTED_VALUE"""),1.8)</f>
        <v>1.8</v>
      </c>
      <c r="G50" s="55">
        <f>IFERROR(__xludf.DUMMYFUNCTION("""COMPUTED_VALUE"""),1.0)</f>
        <v>1</v>
      </c>
      <c r="H50" s="56">
        <f>IFERROR(__xludf.DUMMYFUNCTION("""COMPUTED_VALUE"""),10.8)</f>
        <v>10.8</v>
      </c>
      <c r="I50" s="57">
        <f>IFERROR(__xludf.DUMMYFUNCTION("""COMPUTED_VALUE"""),1.0)</f>
        <v>1</v>
      </c>
      <c r="J50" s="58">
        <f>IFERROR(__xludf.DUMMYFUNCTION("""COMPUTED_VALUE"""),10.0)</f>
        <v>10</v>
      </c>
      <c r="K50" s="51"/>
      <c r="L50" s="60">
        <f>IFERROR(__xludf.DUMMYFUNCTION("""COMPUTED_VALUE"""),11.0)</f>
        <v>11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IFERROR(__xludf.DUMMYFUNCTION("""COMPUTED_VALUE"""),7.73684211)</f>
        <v>7.73684211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IFERROR(__xludf.DUMMYFUNCTION("""COMPUTED_VALUE"""),10.736842110000001)</f>
        <v>10.73684211</v>
      </c>
      <c r="I51" s="57">
        <f>IFERROR(__xludf.DUMMYFUNCTION("""COMPUTED_VALUE"""),1.0)</f>
        <v>1</v>
      </c>
      <c r="J51" s="58">
        <f>IFERROR(__xludf.DUMMYFUNCTION("""COMPUTED_VALUE"""),10.0)</f>
        <v>10</v>
      </c>
      <c r="K51" s="51"/>
      <c r="L51" s="60">
        <f>IFERROR(__xludf.DUMMYFUNCTION("""COMPUTED_VALUE"""),11.0)</f>
        <v>11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IFERROR(__xludf.DUMMYFUNCTION("""COMPUTED_VALUE"""),7.73684211)</f>
        <v>7.73684211</v>
      </c>
      <c r="F52" s="54">
        <f>IFERROR(__xludf.DUMMYFUNCTION("""COMPUTED_VALUE"""),2.0)</f>
        <v>2</v>
      </c>
      <c r="G52" s="55"/>
      <c r="H52" s="56">
        <f>IFERROR(__xludf.DUMMYFUNCTION("""COMPUTED_VALUE"""),9.736842110000001)</f>
        <v>9.73684211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IFERROR(__xludf.DUMMYFUNCTION("""COMPUTED_VALUE"""),0.52631579)</f>
        <v>0.52631579</v>
      </c>
      <c r="F53" s="54">
        <f>IFERROR(__xludf.DUMMYFUNCTION("""COMPUTED_VALUE"""),1.8)</f>
        <v>1.8</v>
      </c>
      <c r="G53" s="55"/>
      <c r="H53" s="56">
        <f>IFERROR(__xludf.DUMMYFUNCTION("""COMPUTED_VALUE"""),2.3263157899999998)</f>
        <v>2.32631579</v>
      </c>
      <c r="I53" s="57">
        <f>IFERROR(__xludf.DUMMYFUNCTION("""COMPUTED_VALUE"""),3.0)</f>
        <v>3</v>
      </c>
      <c r="J53" s="58">
        <f>IFERROR(__xludf.DUMMYFUNCTION("""COMPUTED_VALUE"""),5.0)</f>
        <v>5</v>
      </c>
      <c r="K53" s="51"/>
      <c r="L53" s="59">
        <f>IFERROR(__xludf.DUMMYFUNCTION("""COMPUTED_VALUE"""),2.0)</f>
        <v>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IFERROR(__xludf.DUMMYFUNCTION("""COMPUTED_VALUE"""),6.42105263)</f>
        <v>6.42105263</v>
      </c>
      <c r="F54" s="54">
        <f>IFERROR(__xludf.DUMMYFUNCTION("""COMPUTED_VALUE"""),2.0)</f>
        <v>2</v>
      </c>
      <c r="G54" s="55"/>
      <c r="H54" s="56">
        <f>IFERROR(__xludf.DUMMYFUNCTION("""COMPUTED_VALUE"""),8.42105263)</f>
        <v>8.42105263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IFERROR(__xludf.DUMMYFUNCTION("""COMPUTED_VALUE"""),6.68421053)</f>
        <v>6.68421053</v>
      </c>
      <c r="F55" s="54"/>
      <c r="G55" s="55"/>
      <c r="H55" s="56">
        <f>IFERROR(__xludf.DUMMYFUNCTION("""COMPUTED_VALUE"""),6.68421053)</f>
        <v>6.68421053</v>
      </c>
      <c r="I55" s="61">
        <f>IFERROR(__xludf.DUMMYFUNCTION("""COMPUTED_VALUE"""),0.0)</f>
        <v>0</v>
      </c>
      <c r="J55" s="58">
        <f>IFERROR(__xludf.DUMMYFUNCTION("""COMPUTED_VALUE"""),7.0)</f>
        <v>7</v>
      </c>
      <c r="K55" s="51"/>
      <c r="L55" s="59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IFERROR(__xludf.DUMMYFUNCTION("""COMPUTED_VALUE"""),7.47368421)</f>
        <v>7.47368421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IFERROR(__xludf.DUMMYFUNCTION("""COMPUTED_VALUE"""),10.47368421)</f>
        <v>10.47368421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IFERROR(__xludf.DUMMYFUNCTION("""COMPUTED_VALUE"""),33.0)</f>
        <v>33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IFERROR(__xludf.DUMMYFUNCTION("""COMPUTED_VALUE"""),7.0)</f>
        <v>7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IFERROR(__xludf.DUMMYFUNCTION("""COMPUTED_VALUE"""),82.5)</f>
        <v>82.5</v>
      </c>
      <c r="E63" s="62"/>
      <c r="F63" s="86" t="str">
        <f>IFERROR(__xludf.DUMMYFUNCTION("""COMPUTED_VALUE"""),"PROFR. ")</f>
        <v>PROFR. 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IFERROR(__xludf.DUMMYFUNCTION("""COMPUTED_VALUE"""),8.125)</f>
        <v>8.125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4 K17:K62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IFERROR(__xludf.DUMMYFUNCTION("IMPORTRANGE(""https://docs.google.com/spreadsheets/d/1bZI5kqCg3yPRIT4r2IGIK_i3Ird9iEHS5XGKGNUq-b4/edit?gid=805348979#gid=805348979"",""3-2 conciencia historica iii!A1:Q85"")"),"")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IFERROR(__xludf.DUMMYFUNCTION("""COMPUTED_VALUE"""),"Lizette Martínez Pérez")</f>
        <v>Lizette Martínez Pérez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IFERROR(__xludf.DUMMYFUNCTION("""COMPUTED_VALUE"""),"CONCIENCIA HISTÓRICA III")</f>
        <v>CONCIENCIA HISTÓRICA III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IFERROR(__xludf.DUMMYFUNCTION("""COMPUTED_VALUE"""),7.0)</f>
        <v>7</v>
      </c>
      <c r="F17" s="54">
        <f>IFERROR(__xludf.DUMMYFUNCTION("""COMPUTED_VALUE"""),2.0)</f>
        <v>2</v>
      </c>
      <c r="G17" s="55"/>
      <c r="H17" s="56">
        <f>IFERROR(__xludf.DUMMYFUNCTION("""COMPUTED_VALUE"""),9.0)</f>
        <v>9</v>
      </c>
      <c r="I17" s="57">
        <f>IFERROR(__xludf.DUMMYFUNCTION("""COMPUTED_VALUE"""),0.0)</f>
        <v>0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IFERROR(__xludf.DUMMYFUNCTION("""COMPUTED_VALUE"""),4.0)</f>
        <v>4</v>
      </c>
      <c r="F18" s="54">
        <f>IFERROR(__xludf.DUMMYFUNCTION("""COMPUTED_VALUE"""),2.0)</f>
        <v>2</v>
      </c>
      <c r="G18" s="55"/>
      <c r="H18" s="56">
        <f>IFERROR(__xludf.DUMMYFUNCTION("""COMPUTED_VALUE"""),6.0)</f>
        <v>6</v>
      </c>
      <c r="I18" s="57">
        <f>IFERROR(__xludf.DUMMYFUNCTION("""COMPUTED_VALUE"""),4.0)</f>
        <v>4</v>
      </c>
      <c r="J18" s="58">
        <f>IFERROR(__xludf.DUMMYFUNCTION("""COMPUTED_VALUE"""),6.0)</f>
        <v>6</v>
      </c>
      <c r="K18" s="51"/>
      <c r="L18" s="60">
        <f>IFERROR(__xludf.DUMMYFUNCTION("""COMPUTED_VALUE"""),6.0)</f>
        <v>6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IFERROR(__xludf.DUMMYFUNCTION("""COMPUTED_VALUE"""),8.0)</f>
        <v>8</v>
      </c>
      <c r="F19" s="54">
        <f>IFERROR(__xludf.DUMMYFUNCTION("""COMPUTED_VALUE"""),1.0)</f>
        <v>1</v>
      </c>
      <c r="G19" s="55"/>
      <c r="H19" s="56">
        <f>IFERROR(__xludf.DUMMYFUNCTION("""COMPUTED_VALUE"""),9.0)</f>
        <v>9</v>
      </c>
      <c r="I19" s="57">
        <f>IFERROR(__xludf.DUMMYFUNCTION("""COMPUTED_VALUE"""),0.0)</f>
        <v>0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IFERROR(__xludf.DUMMYFUNCTION("""COMPUTED_VALUE"""),5.0)</f>
        <v>5</v>
      </c>
      <c r="F20" s="54">
        <f>IFERROR(__xludf.DUMMYFUNCTION("""COMPUTED_VALUE"""),1.0)</f>
        <v>1</v>
      </c>
      <c r="G20" s="55">
        <f>IFERROR(__xludf.DUMMYFUNCTION("""COMPUTED_VALUE"""),1.0)</f>
        <v>1</v>
      </c>
      <c r="H20" s="56">
        <f>IFERROR(__xludf.DUMMYFUNCTION("""COMPUTED_VALUE"""),7.0)</f>
        <v>7</v>
      </c>
      <c r="I20" s="57">
        <f>IFERROR(__xludf.DUMMYFUNCTION("""COMPUTED_VALUE"""),1.0)</f>
        <v>1</v>
      </c>
      <c r="J20" s="58">
        <f>IFERROR(__xludf.DUMMYFUNCTION("""COMPUTED_VALUE"""),7.0)</f>
        <v>7</v>
      </c>
      <c r="K20" s="51"/>
      <c r="L20" s="60">
        <f>IFERROR(__xludf.DUMMYFUNCTION("""COMPUTED_VALUE"""),7.0)</f>
        <v>7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IFERROR(__xludf.DUMMYFUNCTION("""COMPUTED_VALUE"""),8.0)</f>
        <v>8</v>
      </c>
      <c r="F21" s="54">
        <f>IFERROR(__xludf.DUMMYFUNCTION("""COMPUTED_VALUE"""),1.0)</f>
        <v>1</v>
      </c>
      <c r="G21" s="55"/>
      <c r="H21" s="56">
        <f>IFERROR(__xludf.DUMMYFUNCTION("""COMPUTED_VALUE"""),9.0)</f>
        <v>9</v>
      </c>
      <c r="I21" s="57">
        <f>IFERROR(__xludf.DUMMYFUNCTION("""COMPUTED_VALUE"""),6.0)</f>
        <v>6</v>
      </c>
      <c r="J21" s="58">
        <f>IFERROR(__xludf.DUMMYFUNCTION("""COMPUTED_VALUE"""),9.0)</f>
        <v>9</v>
      </c>
      <c r="K21" s="51"/>
      <c r="L21" s="60">
        <f>IFERROR(__xludf.DUMMYFUNCTION("""COMPUTED_VALUE"""),9.0)</f>
        <v>9</v>
      </c>
      <c r="M21" s="1" t="str">
        <f>IFERROR(__xludf.DUMMYFUNCTION("""COMPUTED_VALUE"""),"Mayo")</f>
        <v>Mayo</v>
      </c>
      <c r="N21" s="1">
        <f>IFERROR(__xludf.DUMMYFUNCTION("""COMPUTED_VALUE"""),12.0)</f>
        <v>12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IFERROR(__xludf.DUMMYFUNCTION("""COMPUTED_VALUE"""),4.0)</f>
        <v>4</v>
      </c>
      <c r="F22" s="54">
        <f>IFERROR(__xludf.DUMMYFUNCTION("""COMPUTED_VALUE"""),1.0)</f>
        <v>1</v>
      </c>
      <c r="G22" s="55"/>
      <c r="H22" s="56">
        <f>IFERROR(__xludf.DUMMYFUNCTION("""COMPUTED_VALUE"""),5.0)</f>
        <v>5</v>
      </c>
      <c r="I22" s="57">
        <f>IFERROR(__xludf.DUMMYFUNCTION("""COMPUTED_VALUE"""),4.0)</f>
        <v>4</v>
      </c>
      <c r="J22" s="58">
        <f>IFERROR(__xludf.DUMMYFUNCTION("""COMPUTED_VALUE"""),5.0)</f>
        <v>5</v>
      </c>
      <c r="K22" s="51"/>
      <c r="L22" s="60">
        <f>IFERROR(__xludf.DUMMYFUNCTION("""COMPUTED_VALUE"""),5.0)</f>
        <v>5</v>
      </c>
      <c r="M22" s="1" t="str">
        <f>IFERROR(__xludf.DUMMYFUNCTION("""COMPUTED_VALUE"""),"Junio")</f>
        <v>Junio</v>
      </c>
      <c r="N22" s="1">
        <f>IFERROR(__xludf.DUMMYFUNCTION("""COMPUTED_VALUE"""),12.0)</f>
        <v>12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IFERROR(__xludf.DUMMYFUNCTION("""COMPUTED_VALUE"""),8.0)</f>
        <v>8</v>
      </c>
      <c r="F23" s="54">
        <f>IFERROR(__xludf.DUMMYFUNCTION("""COMPUTED_VALUE"""),2.0)</f>
        <v>2</v>
      </c>
      <c r="G23" s="55"/>
      <c r="H23" s="56">
        <f>IFERROR(__xludf.DUMMYFUNCTION("""COMPUTED_VALUE"""),10.0)</f>
        <v>10</v>
      </c>
      <c r="I23" s="57">
        <f>IFERROR(__xludf.DUMMYFUNCTION("""COMPUTED_VALUE"""),1.0)</f>
        <v>1</v>
      </c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IFERROR(__xludf.DUMMYFUNCTION("""COMPUTED_VALUE"""),8.0)</f>
        <v>8</v>
      </c>
      <c r="F24" s="54">
        <f>IFERROR(__xludf.DUMMYFUNCTION("""COMPUTED_VALUE"""),1.0)</f>
        <v>1</v>
      </c>
      <c r="G24" s="55">
        <f>IFERROR(__xludf.DUMMYFUNCTION("""COMPUTED_VALUE"""),1.0)</f>
        <v>1</v>
      </c>
      <c r="H24" s="56">
        <f>IFERROR(__xludf.DUMMYFUNCTION("""COMPUTED_VALUE"""),10.0)</f>
        <v>10</v>
      </c>
      <c r="I24" s="57">
        <f>IFERROR(__xludf.DUMMYFUNCTION("""COMPUTED_VALUE"""),1.0)</f>
        <v>1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IFERROR(__xludf.DUMMYFUNCTION("""COMPUTED_VALUE"""),60.0)</f>
        <v>60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IFERROR(__xludf.DUMMYFUNCTION("""COMPUTED_VALUE"""),8.0)</f>
        <v>8</v>
      </c>
      <c r="F25" s="54">
        <f>IFERROR(__xludf.DUMMYFUNCTION("""COMPUTED_VALUE"""),1.0)</f>
        <v>1</v>
      </c>
      <c r="G25" s="55">
        <f>IFERROR(__xludf.DUMMYFUNCTION("""COMPUTED_VALUE"""),1.0)</f>
        <v>1</v>
      </c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/>
      <c r="H26" s="56">
        <f>IFERROR(__xludf.DUMMYFUNCTION("""COMPUTED_VALUE"""),10.0)</f>
        <v>10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/>
      <c r="H27" s="56">
        <f>IFERROR(__xludf.DUMMYFUNCTION("""COMPUTED_VALUE"""),10.0)</f>
        <v>10</v>
      </c>
      <c r="I27" s="57">
        <f>IFERROR(__xludf.DUMMYFUNCTION("""COMPUTED_VALUE"""),1.0)</f>
        <v>1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IFERROR(__xludf.DUMMYFUNCTION("""COMPUTED_VALUE"""),8.0)</f>
        <v>8</v>
      </c>
      <c r="F28" s="54">
        <f>IFERROR(__xludf.DUMMYFUNCTION("""COMPUTED_VALUE"""),1.0)</f>
        <v>1</v>
      </c>
      <c r="G28" s="55">
        <f>IFERROR(__xludf.DUMMYFUNCTION("""COMPUTED_VALUE"""),1.0)</f>
        <v>1</v>
      </c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IFERROR(__xludf.DUMMYFUNCTION("""COMPUTED_VALUE"""),8.0)</f>
        <v>8</v>
      </c>
      <c r="F29" s="54">
        <f>IFERROR(__xludf.DUMMYFUNCTION("""COMPUTED_VALUE"""),1.0)</f>
        <v>1</v>
      </c>
      <c r="G29" s="55"/>
      <c r="H29" s="56">
        <f>IFERROR(__xludf.DUMMYFUNCTION("""COMPUTED_VALUE"""),9.0)</f>
        <v>9</v>
      </c>
      <c r="I29" s="57">
        <f>IFERROR(__xludf.DUMMYFUNCTION("""COMPUTED_VALUE"""),0.0)</f>
        <v>0</v>
      </c>
      <c r="J29" s="58">
        <f>IFERROR(__xludf.DUMMYFUNCTION("""COMPUTED_VALUE"""),9.0)</f>
        <v>9</v>
      </c>
      <c r="K29" s="51"/>
      <c r="L29" s="60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IFERROR(__xludf.DUMMYFUNCTION("""COMPUTED_VALUE"""),8.0)</f>
        <v>8</v>
      </c>
      <c r="F30" s="54">
        <f>IFERROR(__xludf.DUMMYFUNCTION("""COMPUTED_VALUE"""),1.0)</f>
        <v>1</v>
      </c>
      <c r="G30" s="55"/>
      <c r="H30" s="56">
        <f>IFERROR(__xludf.DUMMYFUNCTION("""COMPUTED_VALUE"""),9.0)</f>
        <v>9</v>
      </c>
      <c r="I30" s="57">
        <f>IFERROR(__xludf.DUMMYFUNCTION("""COMPUTED_VALUE"""),3.0)</f>
        <v>3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IFERROR(__xludf.DUMMYFUNCTION("""COMPUTED_VALUE"""),5.0)</f>
        <v>5</v>
      </c>
      <c r="F31" s="54">
        <f>IFERROR(__xludf.DUMMYFUNCTION("""COMPUTED_VALUE"""),2.0)</f>
        <v>2</v>
      </c>
      <c r="G31" s="55"/>
      <c r="H31" s="56">
        <f>IFERROR(__xludf.DUMMYFUNCTION("""COMPUTED_VALUE"""),7.0)</f>
        <v>7</v>
      </c>
      <c r="I31" s="57">
        <f>IFERROR(__xludf.DUMMYFUNCTION("""COMPUTED_VALUE"""),0.0)</f>
        <v>0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IFERROR(__xludf.DUMMYFUNCTION("""COMPUTED_VALUE"""),5.0)</f>
        <v>5</v>
      </c>
      <c r="F32" s="54">
        <f>IFERROR(__xludf.DUMMYFUNCTION("""COMPUTED_VALUE"""),2.0)</f>
        <v>2</v>
      </c>
      <c r="G32" s="55"/>
      <c r="H32" s="56">
        <f>IFERROR(__xludf.DUMMYFUNCTION("""COMPUTED_VALUE"""),7.0)</f>
        <v>7</v>
      </c>
      <c r="I32" s="57">
        <f>IFERROR(__xludf.DUMMYFUNCTION("""COMPUTED_VALUE"""),2.0)</f>
        <v>2</v>
      </c>
      <c r="J32" s="58">
        <f>IFERROR(__xludf.DUMMYFUNCTION("""COMPUTED_VALUE"""),7.0)</f>
        <v>7</v>
      </c>
      <c r="K32" s="51"/>
      <c r="L32" s="60">
        <f>IFERROR(__xludf.DUMMYFUNCTION("""COMPUTED_VALUE"""),7.0)</f>
        <v>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IFERROR(__xludf.DUMMYFUNCTION("""COMPUTED_VALUE"""),8.0)</f>
        <v>8</v>
      </c>
      <c r="F33" s="54">
        <f>IFERROR(__xludf.DUMMYFUNCTION("""COMPUTED_VALUE"""),1.0)</f>
        <v>1</v>
      </c>
      <c r="G33" s="55"/>
      <c r="H33" s="56">
        <f>IFERROR(__xludf.DUMMYFUNCTION("""COMPUTED_VALUE"""),9.0)</f>
        <v>9</v>
      </c>
      <c r="I33" s="57">
        <f>IFERROR(__xludf.DUMMYFUNCTION("""COMPUTED_VALUE"""),2.0)</f>
        <v>2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IFERROR(__xludf.DUMMYFUNCTION("""COMPUTED_VALUE"""),5.0)</f>
        <v>5</v>
      </c>
      <c r="F34" s="54">
        <f>IFERROR(__xludf.DUMMYFUNCTION("""COMPUTED_VALUE"""),2.0)</f>
        <v>2</v>
      </c>
      <c r="G34" s="55"/>
      <c r="H34" s="56">
        <f>IFERROR(__xludf.DUMMYFUNCTION("""COMPUTED_VALUE"""),7.0)</f>
        <v>7</v>
      </c>
      <c r="I34" s="57">
        <f>IFERROR(__xludf.DUMMYFUNCTION("""COMPUTED_VALUE"""),1.0)</f>
        <v>1</v>
      </c>
      <c r="J34" s="58">
        <f>IFERROR(__xludf.DUMMYFUNCTION("""COMPUTED_VALUE"""),7.0)</f>
        <v>7</v>
      </c>
      <c r="K34" s="51"/>
      <c r="L34" s="60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IFERROR(__xludf.DUMMYFUNCTION("""COMPUTED_VALUE"""),4.0)</f>
        <v>4</v>
      </c>
      <c r="F35" s="54">
        <f>IFERROR(__xludf.DUMMYFUNCTION("""COMPUTED_VALUE"""),1.0)</f>
        <v>1</v>
      </c>
      <c r="G35" s="55"/>
      <c r="H35" s="56">
        <f>IFERROR(__xludf.DUMMYFUNCTION("""COMPUTED_VALUE"""),5.0)</f>
        <v>5</v>
      </c>
      <c r="I35" s="57">
        <f>IFERROR(__xludf.DUMMYFUNCTION("""COMPUTED_VALUE"""),9.0)</f>
        <v>9</v>
      </c>
      <c r="J35" s="58">
        <f>IFERROR(__xludf.DUMMYFUNCTION("""COMPUTED_VALUE"""),5.0)</f>
        <v>5</v>
      </c>
      <c r="K35" s="51"/>
      <c r="L35" s="60">
        <f>IFERROR(__xludf.DUMMYFUNCTION("""COMPUTED_VALUE"""),5.0)</f>
        <v>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IFERROR(__xludf.DUMMYFUNCTION("""COMPUTED_VALUE"""),8.0)</f>
        <v>8</v>
      </c>
      <c r="F36" s="54">
        <f>IFERROR(__xludf.DUMMYFUNCTION("""COMPUTED_VALUE"""),2.0)</f>
        <v>2</v>
      </c>
      <c r="G36" s="55"/>
      <c r="H36" s="56">
        <f>IFERROR(__xludf.DUMMYFUNCTION("""COMPUTED_VALUE"""),10.0)</f>
        <v>10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IFERROR(__xludf.DUMMYFUNCTION("""COMPUTED_VALUE"""),8.0)</f>
        <v>8</v>
      </c>
      <c r="F37" s="54">
        <f>IFERROR(__xludf.DUMMYFUNCTION("""COMPUTED_VALUE"""),2.0)</f>
        <v>2</v>
      </c>
      <c r="G37" s="55"/>
      <c r="H37" s="56">
        <f>IFERROR(__xludf.DUMMYFUNCTION("""COMPUTED_VALUE"""),10.0)</f>
        <v>10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IFERROR(__xludf.DUMMYFUNCTION("""COMPUTED_VALUE"""),4.0)</f>
        <v>4</v>
      </c>
      <c r="F40" s="54">
        <f>IFERROR(__xludf.DUMMYFUNCTION("""COMPUTED_VALUE"""),2.0)</f>
        <v>2</v>
      </c>
      <c r="G40" s="55"/>
      <c r="H40" s="56">
        <f>IFERROR(__xludf.DUMMYFUNCTION("""COMPUTED_VALUE"""),6.0)</f>
        <v>6</v>
      </c>
      <c r="I40" s="57">
        <f>IFERROR(__xludf.DUMMYFUNCTION("""COMPUTED_VALUE"""),3.0)</f>
        <v>3</v>
      </c>
      <c r="J40" s="58">
        <f>IFERROR(__xludf.DUMMYFUNCTION("""COMPUTED_VALUE"""),6.0)</f>
        <v>6</v>
      </c>
      <c r="K40" s="51"/>
      <c r="L40" s="60">
        <f>IFERROR(__xludf.DUMMYFUNCTION("""COMPUTED_VALUE"""),6.0)</f>
        <v>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IFERROR(__xludf.DUMMYFUNCTION("""COMPUTED_VALUE"""),8.0)</f>
        <v>8</v>
      </c>
      <c r="F42" s="54">
        <f>IFERROR(__xludf.DUMMYFUNCTION("""COMPUTED_VALUE"""),1.0)</f>
        <v>1</v>
      </c>
      <c r="G42" s="55"/>
      <c r="H42" s="56">
        <f>IFERROR(__xludf.DUMMYFUNCTION("""COMPUTED_VALUE"""),9.0)</f>
        <v>9</v>
      </c>
      <c r="I42" s="57">
        <f>IFERROR(__xludf.DUMMYFUNCTION("""COMPUTED_VALUE"""),2.0)</f>
        <v>2</v>
      </c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/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IFERROR(__xludf.DUMMYFUNCTION("""COMPUTED_VALUE"""),5.0)</f>
        <v>5</v>
      </c>
      <c r="F44" s="54">
        <f>IFERROR(__xludf.DUMMYFUNCTION("""COMPUTED_VALUE"""),2.0)</f>
        <v>2</v>
      </c>
      <c r="G44" s="55"/>
      <c r="H44" s="56">
        <f>IFERROR(__xludf.DUMMYFUNCTION("""COMPUTED_VALUE"""),7.0)</f>
        <v>7</v>
      </c>
      <c r="I44" s="57">
        <f>IFERROR(__xludf.DUMMYFUNCTION("""COMPUTED_VALUE"""),4.0)</f>
        <v>4</v>
      </c>
      <c r="J44" s="58">
        <f>IFERROR(__xludf.DUMMYFUNCTION("""COMPUTED_VALUE"""),7.0)</f>
        <v>7</v>
      </c>
      <c r="K44" s="51"/>
      <c r="L44" s="60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IFERROR(__xludf.DUMMYFUNCTION("""COMPUTED_VALUE"""),8.0)</f>
        <v>8</v>
      </c>
      <c r="F46" s="54">
        <f>IFERROR(__xludf.DUMMYFUNCTION("""COMPUTED_VALUE"""),1.0)</f>
        <v>1</v>
      </c>
      <c r="G46" s="55">
        <f>IFERROR(__xludf.DUMMYFUNCTION("""COMPUTED_VALUE"""),1.0)</f>
        <v>1</v>
      </c>
      <c r="H46" s="56">
        <f>IFERROR(__xludf.DUMMYFUNCTION("""COMPUTED_VALUE"""),10.0)</f>
        <v>10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IFERROR(__xludf.DUMMYFUNCTION("""COMPUTED_VALUE"""),8.0)</f>
        <v>8</v>
      </c>
      <c r="F47" s="54">
        <f>IFERROR(__xludf.DUMMYFUNCTION("""COMPUTED_VALUE"""),1.0)</f>
        <v>1</v>
      </c>
      <c r="G47" s="55">
        <f>IFERROR(__xludf.DUMMYFUNCTION("""COMPUTED_VALUE"""),1.0)</f>
        <v>1</v>
      </c>
      <c r="H47" s="56">
        <f>IFERROR(__xludf.DUMMYFUNCTION("""COMPUTED_VALUE"""),10.0)</f>
        <v>10</v>
      </c>
      <c r="I47" s="57">
        <f>IFERROR(__xludf.DUMMYFUNCTION("""COMPUTED_VALUE"""),1.0)</f>
        <v>1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IFERROR(__xludf.DUMMYFUNCTION("""COMPUTED_VALUE"""),8.0)</f>
        <v>8</v>
      </c>
      <c r="F48" s="54">
        <f>IFERROR(__xludf.DUMMYFUNCTION("""COMPUTED_VALUE"""),1.0)</f>
        <v>1</v>
      </c>
      <c r="G48" s="55">
        <f>IFERROR(__xludf.DUMMYFUNCTION("""COMPUTED_VALUE"""),1.0)</f>
        <v>1</v>
      </c>
      <c r="H48" s="56">
        <f>IFERROR(__xludf.DUMMYFUNCTION("""COMPUTED_VALUE"""),10.0)</f>
        <v>10</v>
      </c>
      <c r="I48" s="57">
        <f>IFERROR(__xludf.DUMMYFUNCTION("""COMPUTED_VALUE"""),1.0)</f>
        <v>1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IFERROR(__xludf.DUMMYFUNCTION("""COMPUTED_VALUE"""),5.0)</f>
        <v>5</v>
      </c>
      <c r="F49" s="54">
        <f>IFERROR(__xludf.DUMMYFUNCTION("""COMPUTED_VALUE"""),1.0)</f>
        <v>1</v>
      </c>
      <c r="G49" s="55">
        <f>IFERROR(__xludf.DUMMYFUNCTION("""COMPUTED_VALUE"""),1.0)</f>
        <v>1</v>
      </c>
      <c r="H49" s="56">
        <f>IFERROR(__xludf.DUMMYFUNCTION("""COMPUTED_VALUE"""),7.0)</f>
        <v>7</v>
      </c>
      <c r="I49" s="57">
        <f>IFERROR(__xludf.DUMMYFUNCTION("""COMPUTED_VALUE"""),0.0)</f>
        <v>0</v>
      </c>
      <c r="J49" s="58">
        <f>IFERROR(__xludf.DUMMYFUNCTION("""COMPUTED_VALUE"""),7.0)</f>
        <v>7</v>
      </c>
      <c r="K49" s="51"/>
      <c r="L49" s="60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IFERROR(__xludf.DUMMYFUNCTION("""COMPUTED_VALUE"""),8.0)</f>
        <v>8</v>
      </c>
      <c r="F50" s="54">
        <f>IFERROR(__xludf.DUMMYFUNCTION("""COMPUTED_VALUE"""),1.0)</f>
        <v>1</v>
      </c>
      <c r="G50" s="55">
        <f>IFERROR(__xludf.DUMMYFUNCTION("""COMPUTED_VALUE"""),1.0)</f>
        <v>1</v>
      </c>
      <c r="H50" s="56">
        <f>IFERROR(__xludf.DUMMYFUNCTION("""COMPUTED_VALUE"""),10.0)</f>
        <v>10</v>
      </c>
      <c r="I50" s="57">
        <f>IFERROR(__xludf.DUMMYFUNCTION("""COMPUTED_VALUE"""),1.0)</f>
        <v>1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IFERROR(__xludf.DUMMYFUNCTION("""COMPUTED_VALUE"""),8.0)</f>
        <v>8</v>
      </c>
      <c r="F51" s="54">
        <f>IFERROR(__xludf.DUMMYFUNCTION("""COMPUTED_VALUE"""),1.0)</f>
        <v>1</v>
      </c>
      <c r="G51" s="55">
        <f>IFERROR(__xludf.DUMMYFUNCTION("""COMPUTED_VALUE"""),1.0)</f>
        <v>1</v>
      </c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IFERROR(__xludf.DUMMYFUNCTION("""COMPUTED_VALUE"""),5.0)</f>
        <v>5</v>
      </c>
      <c r="F53" s="54">
        <f>IFERROR(__xludf.DUMMYFUNCTION("""COMPUTED_VALUE"""),2.0)</f>
        <v>2</v>
      </c>
      <c r="G53" s="55"/>
      <c r="H53" s="56">
        <f>IFERROR(__xludf.DUMMYFUNCTION("""COMPUTED_VALUE"""),7.0)</f>
        <v>7</v>
      </c>
      <c r="I53" s="57">
        <f>IFERROR(__xludf.DUMMYFUNCTION("""COMPUTED_VALUE"""),0.0)</f>
        <v>0</v>
      </c>
      <c r="J53" s="58">
        <f>IFERROR(__xludf.DUMMYFUNCTION("""COMPUTED_VALUE"""),7.0)</f>
        <v>7</v>
      </c>
      <c r="K53" s="51"/>
      <c r="L53" s="59">
        <f>IFERROR(__xludf.DUMMYFUNCTION("""COMPUTED_VALUE"""),7.0)</f>
        <v>7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IFERROR(__xludf.DUMMYFUNCTION("""COMPUTED_VALUE"""),7.0)</f>
        <v>7</v>
      </c>
      <c r="F54" s="54">
        <f>IFERROR(__xludf.DUMMYFUNCTION("""COMPUTED_VALUE"""),2.0)</f>
        <v>2</v>
      </c>
      <c r="G54" s="55"/>
      <c r="H54" s="56">
        <f>IFERROR(__xludf.DUMMYFUNCTION("""COMPUTED_VALUE"""),9.0)</f>
        <v>9</v>
      </c>
      <c r="I54" s="57">
        <f>IFERROR(__xludf.DUMMYFUNCTION("""COMPUTED_VALUE"""),1.0)</f>
        <v>1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IFERROR(__xludf.DUMMYFUNCTION("""COMPUTED_VALUE"""),7.0)</f>
        <v>7</v>
      </c>
      <c r="F55" s="54">
        <f>IFERROR(__xludf.DUMMYFUNCTION("""COMPUTED_VALUE"""),2.0)</f>
        <v>2</v>
      </c>
      <c r="G55" s="55"/>
      <c r="H55" s="56">
        <f>IFERROR(__xludf.DUMMYFUNCTION("""COMPUTED_VALUE"""),9.0)</f>
        <v>9</v>
      </c>
      <c r="I55" s="61">
        <f>IFERROR(__xludf.DUMMYFUNCTION("""COMPUTED_VALUE"""),0.0)</f>
        <v>0</v>
      </c>
      <c r="J55" s="58">
        <f>IFERROR(__xludf.DUMMYFUNCTION("""COMPUTED_VALUE"""),9.0)</f>
        <v>9</v>
      </c>
      <c r="K55" s="51"/>
      <c r="L55" s="59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IFERROR(__xludf.DUMMYFUNCTION("""COMPUTED_VALUE"""),8.0)</f>
        <v>8</v>
      </c>
      <c r="F56" s="54">
        <f>IFERROR(__xludf.DUMMYFUNCTION("""COMPUTED_VALUE"""),1.0)</f>
        <v>1</v>
      </c>
      <c r="G56" s="55">
        <f>IFERROR(__xludf.DUMMYFUNCTION("""COMPUTED_VALUE"""),1.0)</f>
        <v>1</v>
      </c>
      <c r="H56" s="56">
        <f>IFERROR(__xludf.DUMMYFUNCTION("""COMPUTED_VALUE"""),10.0)</f>
        <v>10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IFERROR(__xludf.DUMMYFUNCTION("""COMPUTED_VALUE"""),38.0)</f>
        <v>38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IFERROR(__xludf.DUMMYFUNCTION("""COMPUTED_VALUE"""),2.0)</f>
        <v>2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IFERROR(__xludf.DUMMYFUNCTION("""COMPUTED_VALUE"""),95.0)</f>
        <v>95</v>
      </c>
      <c r="E63" s="62"/>
      <c r="F63" s="86" t="str">
        <f>IFERROR(__xludf.DUMMYFUNCTION("""COMPUTED_VALUE"""),"PROFR. ")</f>
        <v>PROFR. 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IFERROR(__xludf.DUMMYFUNCTION("""COMPUTED_VALUE"""),8.8)</f>
        <v>8.8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4 K17:K62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IFERROR(__xludf.DUMMYFUNCTION("IMPORTRANGE(""https://docs.google.com/spreadsheets/d/1FzXi7RyoYG1GfH6ZQa4ZJAwut3yfUjsE2trjXNRxIhI/edit?gid=868681460#gid=868681460"",""3-2 organismos!A1:Q85"")"),"")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IFERROR(__xludf.DUMMYFUNCTION("""COMPUTED_VALUE"""),"JORGE ISRAEL BARRERA ARGUELES ")</f>
        <v>JORGE ISRAEL BARRERA ARGUELES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IFERROR(__xludf.DUMMYFUNCTION("""COMPUTED_VALUE"""),"ORGANISMOS")</f>
        <v>ORGANISMOS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>
        <f>IFERROR(__xludf.DUMMYFUNCTION("""COMPUTED_VALUE"""),0.0)</f>
        <v>0</v>
      </c>
      <c r="H17" s="56">
        <f>IFERROR(__xludf.DUMMYFUNCTION("""COMPUTED_VALUE"""),10.0)</f>
        <v>10</v>
      </c>
      <c r="I17" s="57">
        <f>IFERROR(__xludf.DUMMYFUNCTION("""COMPUTED_VALUE"""),2.0)</f>
        <v>2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IFERROR(__xludf.DUMMYFUNCTION("""COMPUTED_VALUE"""),4.0)</f>
        <v>4</v>
      </c>
      <c r="F18" s="54">
        <f>IFERROR(__xludf.DUMMYFUNCTION("""COMPUTED_VALUE"""),2.0)</f>
        <v>2</v>
      </c>
      <c r="G18" s="55">
        <f>IFERROR(__xludf.DUMMYFUNCTION("""COMPUTED_VALUE"""),0.0)</f>
        <v>0</v>
      </c>
      <c r="H18" s="56">
        <f>IFERROR(__xludf.DUMMYFUNCTION("""COMPUTED_VALUE"""),6.0)</f>
        <v>6</v>
      </c>
      <c r="I18" s="57">
        <f>IFERROR(__xludf.DUMMYFUNCTION("""COMPUTED_VALUE"""),4.0)</f>
        <v>4</v>
      </c>
      <c r="J18" s="58">
        <f>IFERROR(__xludf.DUMMYFUNCTION("""COMPUTED_VALUE"""),6.0)</f>
        <v>6</v>
      </c>
      <c r="K18" s="51"/>
      <c r="L18" s="60">
        <f>IFERROR(__xludf.DUMMYFUNCTION("""COMPUTED_VALUE"""),6.0)</f>
        <v>6</v>
      </c>
      <c r="M18" s="1" t="str">
        <f>IFERROR(__xludf.DUMMYFUNCTION("""COMPUTED_VALUE"""),"Febrero")</f>
        <v>Febrero</v>
      </c>
      <c r="N18" s="1">
        <f>IFERROR(__xludf.DUMMYFUNCTION("""COMPUTED_VALUE"""),16.0)</f>
        <v>16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IFERROR(__xludf.DUMMYFUNCTION("""COMPUTED_VALUE"""),8.0)</f>
        <v>8</v>
      </c>
      <c r="F19" s="54">
        <f>IFERROR(__xludf.DUMMYFUNCTION("""COMPUTED_VALUE"""),2.0)</f>
        <v>2</v>
      </c>
      <c r="G19" s="55">
        <f>IFERROR(__xludf.DUMMYFUNCTION("""COMPUTED_VALUE"""),0.0)</f>
        <v>0</v>
      </c>
      <c r="H19" s="56">
        <f>IFERROR(__xludf.DUMMYFUNCTION("""COMPUTED_VALUE"""),10.0)</f>
        <v>10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IFERROR(__xludf.DUMMYFUNCTION("""COMPUTED_VALUE"""),4.0)</f>
        <v>4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IFERROR(__xludf.DUMMYFUNCTION("""COMPUTED_VALUE"""),7.0)</f>
        <v>7</v>
      </c>
      <c r="I20" s="57">
        <f>IFERROR(__xludf.DUMMYFUNCTION("""COMPUTED_VALUE"""),1.0)</f>
        <v>1</v>
      </c>
      <c r="J20" s="58">
        <f>IFERROR(__xludf.DUMMYFUNCTION("""COMPUTED_VALUE"""),7.0)</f>
        <v>7</v>
      </c>
      <c r="K20" s="51"/>
      <c r="L20" s="60">
        <f>IFERROR(__xludf.DUMMYFUNCTION("""COMPUTED_VALUE"""),7.0)</f>
        <v>7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>
        <f>IFERROR(__xludf.DUMMYFUNCTION("""COMPUTED_VALUE"""),0.0)</f>
        <v>0</v>
      </c>
      <c r="H21" s="56">
        <f>IFERROR(__xludf.DUMMYFUNCTION("""COMPUTED_VALUE"""),10.0)</f>
        <v>10</v>
      </c>
      <c r="I21" s="57">
        <f>IFERROR(__xludf.DUMMYFUNCTION("""COMPUTED_VALUE"""),5.0)</f>
        <v>5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IFERROR(__xludf.DUMMYFUNCTION("""COMPUTED_VALUE"""),0.0)</f>
        <v>0</v>
      </c>
      <c r="F22" s="54">
        <f>IFERROR(__xludf.DUMMYFUNCTION("""COMPUTED_VALUE"""),2.0)</f>
        <v>2</v>
      </c>
      <c r="G22" s="55">
        <f>IFERROR(__xludf.DUMMYFUNCTION("""COMPUTED_VALUE"""),0.0)</f>
        <v>0</v>
      </c>
      <c r="H22" s="56">
        <f>IFERROR(__xludf.DUMMYFUNCTION("""COMPUTED_VALUE"""),2.0)</f>
        <v>2</v>
      </c>
      <c r="I22" s="57">
        <f>IFERROR(__xludf.DUMMYFUNCTION("""COMPUTED_VALUE"""),4.0)</f>
        <v>4</v>
      </c>
      <c r="J22" s="58">
        <f>IFERROR(__xludf.DUMMYFUNCTION("""COMPUTED_VALUE"""),5.0)</f>
        <v>5</v>
      </c>
      <c r="K22" s="51"/>
      <c r="L22" s="60">
        <f>IFERROR(__xludf.DUMMYFUNCTION("""COMPUTED_VALUE"""),2.0)</f>
        <v>2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IFERROR(__xludf.DUMMYFUNCTION("""COMPUTED_VALUE"""),8.0)</f>
        <v>8</v>
      </c>
      <c r="F23" s="54">
        <f>IFERROR(__xludf.DUMMYFUNCTION("""COMPUTED_VALUE"""),2.0)</f>
        <v>2</v>
      </c>
      <c r="G23" s="55">
        <f>IFERROR(__xludf.DUMMYFUNCTION("""COMPUTED_VALUE"""),0.0)</f>
        <v>0</v>
      </c>
      <c r="H23" s="56">
        <f>IFERROR(__xludf.DUMMYFUNCTION("""COMPUTED_VALUE"""),10.0)</f>
        <v>10</v>
      </c>
      <c r="I23" s="57">
        <f>IFERROR(__xludf.DUMMYFUNCTION("""COMPUTED_VALUE"""),0.0)</f>
        <v>0</v>
      </c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IFERROR(__xludf.DUMMYFUNCTION("""COMPUTED_VALUE"""),2.0)</f>
        <v>2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IFERROR(__xludf.DUMMYFUNCTION("""COMPUTED_VALUE"""),5.0)</f>
        <v>5</v>
      </c>
      <c r="I24" s="57">
        <f>IFERROR(__xludf.DUMMYFUNCTION("""COMPUTED_VALUE"""),3.0)</f>
        <v>3</v>
      </c>
      <c r="J24" s="58">
        <f>IFERROR(__xludf.DUMMYFUNCTION("""COMPUTED_VALUE"""),5.0)</f>
        <v>5</v>
      </c>
      <c r="K24" s="51"/>
      <c r="L24" s="60">
        <f>IFERROR(__xludf.DUMMYFUNCTION("""COMPUTED_VALUE"""),5.0)</f>
        <v>5</v>
      </c>
      <c r="M24" s="1" t="str">
        <f>IFERROR(__xludf.DUMMYFUNCTION("""COMPUTED_VALUE"""),"TOTAL")</f>
        <v>TOTAL</v>
      </c>
      <c r="N24" s="1">
        <f>IFERROR(__xludf.DUMMYFUNCTION("""COMPUTED_VALUE"""),32.0)</f>
        <v>32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IFERROR(__xludf.DUMMYFUNCTION("""COMPUTED_VALUE"""),11.0)</f>
        <v>11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IFERROR(__xludf.DUMMYFUNCTION("""COMPUTED_VALUE"""),11.0)</f>
        <v>11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>
        <f>IFERROR(__xludf.DUMMYFUNCTION("""COMPUTED_VALUE"""),0.0)</f>
        <v>0</v>
      </c>
      <c r="H26" s="56">
        <f>IFERROR(__xludf.DUMMYFUNCTION("""COMPUTED_VALUE"""),10.0)</f>
        <v>10</v>
      </c>
      <c r="I26" s="57">
        <f>IFERROR(__xludf.DUMMYFUNCTION("""COMPUTED_VALUE"""),1.0)</f>
        <v>1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>
        <f>IFERROR(__xludf.DUMMYFUNCTION("""COMPUTED_VALUE"""),0.0)</f>
        <v>0</v>
      </c>
      <c r="H27" s="56">
        <f>IFERROR(__xludf.DUMMYFUNCTION("""COMPUTED_VALUE"""),10.0)</f>
        <v>10</v>
      </c>
      <c r="I27" s="57">
        <f>IFERROR(__xludf.DUMMYFUNCTION("""COMPUTED_VALUE"""),1.0)</f>
        <v>1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IFERROR(__xludf.DUMMYFUNCTION("""COMPUTED_VALUE"""),11.0)</f>
        <v>11</v>
      </c>
      <c r="I28" s="57">
        <f>IFERROR(__xludf.DUMMYFUNCTION("""COMPUTED_VALUE"""),1.0)</f>
        <v>1</v>
      </c>
      <c r="J28" s="58">
        <f>IFERROR(__xludf.DUMMYFUNCTION("""COMPUTED_VALUE"""),10.0)</f>
        <v>10</v>
      </c>
      <c r="K28" s="51"/>
      <c r="L28" s="60">
        <f>IFERROR(__xludf.DUMMYFUNCTION("""COMPUTED_VALUE"""),11.0)</f>
        <v>11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>
        <f>IFERROR(__xludf.DUMMYFUNCTION("""COMPUTED_VALUE"""),0.0)</f>
        <v>0</v>
      </c>
      <c r="H29" s="56">
        <f>IFERROR(__xludf.DUMMYFUNCTION("""COMPUTED_VALUE"""),10.0)</f>
        <v>10</v>
      </c>
      <c r="I29" s="57">
        <f>IFERROR(__xludf.DUMMYFUNCTION("""COMPUTED_VALUE"""),1.0)</f>
        <v>1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IFERROR(__xludf.DUMMYFUNCTION("""COMPUTED_VALUE"""),4.0)</f>
        <v>4</v>
      </c>
      <c r="F30" s="54">
        <f>IFERROR(__xludf.DUMMYFUNCTION("""COMPUTED_VALUE"""),2.0)</f>
        <v>2</v>
      </c>
      <c r="G30" s="55">
        <f>IFERROR(__xludf.DUMMYFUNCTION("""COMPUTED_VALUE"""),0.0)</f>
        <v>0</v>
      </c>
      <c r="H30" s="56">
        <f>IFERROR(__xludf.DUMMYFUNCTION("""COMPUTED_VALUE"""),6.0)</f>
        <v>6</v>
      </c>
      <c r="I30" s="57">
        <f>IFERROR(__xludf.DUMMYFUNCTION("""COMPUTED_VALUE"""),2.0)</f>
        <v>2</v>
      </c>
      <c r="J30" s="58">
        <f>IFERROR(__xludf.DUMMYFUNCTION("""COMPUTED_VALUE"""),6.0)</f>
        <v>6</v>
      </c>
      <c r="K30" s="51"/>
      <c r="L30" s="60">
        <f>IFERROR(__xludf.DUMMYFUNCTION("""COMPUTED_VALUE"""),6.0)</f>
        <v>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IFERROR(__xludf.DUMMYFUNCTION("""COMPUTED_VALUE"""),5.0)</f>
        <v>5</v>
      </c>
      <c r="F31" s="54">
        <f>IFERROR(__xludf.DUMMYFUNCTION("""COMPUTED_VALUE"""),2.0)</f>
        <v>2</v>
      </c>
      <c r="G31" s="55">
        <f>IFERROR(__xludf.DUMMYFUNCTION("""COMPUTED_VALUE"""),0.0)</f>
        <v>0</v>
      </c>
      <c r="H31" s="56">
        <f>IFERROR(__xludf.DUMMYFUNCTION("""COMPUTED_VALUE"""),7.0)</f>
        <v>7</v>
      </c>
      <c r="I31" s="57">
        <f>IFERROR(__xludf.DUMMYFUNCTION("""COMPUTED_VALUE"""),2.0)</f>
        <v>2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>
        <f>IFERROR(__xludf.DUMMYFUNCTION("""COMPUTED_VALUE"""),0.0)</f>
        <v>0</v>
      </c>
      <c r="H32" s="56">
        <f>IFERROR(__xludf.DUMMYFUNCTION("""COMPUTED_VALUE"""),10.0)</f>
        <v>10</v>
      </c>
      <c r="I32" s="57">
        <f>IFERROR(__xludf.DUMMYFUNCTION("""COMPUTED_VALUE"""),2.0)</f>
        <v>2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IFERROR(__xludf.DUMMYFUNCTION("""COMPUTED_VALUE"""),6.0)</f>
        <v>6</v>
      </c>
      <c r="F33" s="54">
        <f>IFERROR(__xludf.DUMMYFUNCTION("""COMPUTED_VALUE"""),2.0)</f>
        <v>2</v>
      </c>
      <c r="G33" s="55">
        <f>IFERROR(__xludf.DUMMYFUNCTION("""COMPUTED_VALUE"""),0.0)</f>
        <v>0</v>
      </c>
      <c r="H33" s="56">
        <f>IFERROR(__xludf.DUMMYFUNCTION("""COMPUTED_VALUE"""),8.0)</f>
        <v>8</v>
      </c>
      <c r="I33" s="57">
        <f>IFERROR(__xludf.DUMMYFUNCTION("""COMPUTED_VALUE"""),2.0)</f>
        <v>2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/>
      <c r="D34" s="53" t="str">
        <f>IFERROR(__xludf.DUMMYFUNCTION("""COMPUTED_VALUE"""),"LEONARDO RICARDO")</f>
        <v>LEONARDO RICARDO</v>
      </c>
      <c r="E34" s="55">
        <f>IFERROR(__xludf.DUMMYFUNCTION("""COMPUTED_VALUE"""),5.0)</f>
        <v>5</v>
      </c>
      <c r="F34" s="54">
        <f>IFERROR(__xludf.DUMMYFUNCTION("""COMPUTED_VALUE"""),2.0)</f>
        <v>2</v>
      </c>
      <c r="G34" s="55">
        <f>IFERROR(__xludf.DUMMYFUNCTION("""COMPUTED_VALUE"""),0.0)</f>
        <v>0</v>
      </c>
      <c r="H34" s="56">
        <f>IFERROR(__xludf.DUMMYFUNCTION("""COMPUTED_VALUE"""),7.0)</f>
        <v>7</v>
      </c>
      <c r="I34" s="57">
        <f>IFERROR(__xludf.DUMMYFUNCTION("""COMPUTED_VALUE"""),0.0)</f>
        <v>0</v>
      </c>
      <c r="J34" s="58">
        <f>IFERROR(__xludf.DUMMYFUNCTION("""COMPUTED_VALUE"""),7.0)</f>
        <v>7</v>
      </c>
      <c r="K34" s="51"/>
      <c r="L34" s="60">
        <f>IFERROR(__xludf.DUMMYFUNCTION("""COMPUTED_VALUE"""),7.0)</f>
        <v>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IFERROR(__xludf.DUMMYFUNCTION("""COMPUTED_VALUE"""),6.0)</f>
        <v>6</v>
      </c>
      <c r="F35" s="54">
        <f>IFERROR(__xludf.DUMMYFUNCTION("""COMPUTED_VALUE"""),2.0)</f>
        <v>2</v>
      </c>
      <c r="G35" s="55">
        <f>IFERROR(__xludf.DUMMYFUNCTION("""COMPUTED_VALUE"""),0.0)</f>
        <v>0</v>
      </c>
      <c r="H35" s="56">
        <f>IFERROR(__xludf.DUMMYFUNCTION("""COMPUTED_VALUE"""),8.0)</f>
        <v>8</v>
      </c>
      <c r="I35" s="57">
        <f>IFERROR(__xludf.DUMMYFUNCTION("""COMPUTED_VALUE"""),3.0)</f>
        <v>3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IFERROR(__xludf.DUMMYFUNCTION("""COMPUTED_VALUE"""),8.0)</f>
        <v>8</v>
      </c>
      <c r="F36" s="54">
        <f>IFERROR(__xludf.DUMMYFUNCTION("""COMPUTED_VALUE"""),2.0)</f>
        <v>2</v>
      </c>
      <c r="G36" s="55">
        <f>IFERROR(__xludf.DUMMYFUNCTION("""COMPUTED_VALUE"""),0.0)</f>
        <v>0</v>
      </c>
      <c r="H36" s="56">
        <f>IFERROR(__xludf.DUMMYFUNCTION("""COMPUTED_VALUE"""),10.0)</f>
        <v>10</v>
      </c>
      <c r="I36" s="57">
        <f>IFERROR(__xludf.DUMMYFUNCTION("""COMPUTED_VALUE"""),1.0)</f>
        <v>1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IFERROR(__xludf.DUMMYFUNCTION("""COMPUTED_VALUE"""),8.0)</f>
        <v>8</v>
      </c>
      <c r="F37" s="54">
        <f>IFERROR(__xludf.DUMMYFUNCTION("""COMPUTED_VALUE"""),2.0)</f>
        <v>2</v>
      </c>
      <c r="G37" s="55">
        <f>IFERROR(__xludf.DUMMYFUNCTION("""COMPUTED_VALUE"""),0.0)</f>
        <v>0</v>
      </c>
      <c r="H37" s="56">
        <f>IFERROR(__xludf.DUMMYFUNCTION("""COMPUTED_VALUE"""),10.0)</f>
        <v>10</v>
      </c>
      <c r="I37" s="57">
        <f>IFERROR(__xludf.DUMMYFUNCTION("""COMPUTED_VALUE"""),1.0)</f>
        <v>1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>
        <f>IFERROR(__xludf.DUMMYFUNCTION("""COMPUTED_VALUE"""),0.0)</f>
        <v>0</v>
      </c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>
        <f>IFERROR(__xludf.DUMMYFUNCTION("""COMPUTED_VALUE"""),0.0)</f>
        <v>0</v>
      </c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2" t="str">
        <f>IFERROR(__xludf.DUMMYFUNCTION("""COMPUTED_VALUE"""),"RODRIGUEZ")</f>
        <v>RODRIGUEZ</v>
      </c>
      <c r="E40" s="54">
        <f>IFERROR(__xludf.DUMMYFUNCTION("""COMPUTED_VALUE"""),5.0)</f>
        <v>5</v>
      </c>
      <c r="F40" s="54">
        <f>IFERROR(__xludf.DUMMYFUNCTION("""COMPUTED_VALUE"""),2.0)</f>
        <v>2</v>
      </c>
      <c r="G40" s="55">
        <f>IFERROR(__xludf.DUMMYFUNCTION("""COMPUTED_VALUE"""),0.0)</f>
        <v>0</v>
      </c>
      <c r="H40" s="56">
        <f>IFERROR(__xludf.DUMMYFUNCTION("""COMPUTED_VALUE"""),7.0)</f>
        <v>7</v>
      </c>
      <c r="I40" s="57">
        <f>IFERROR(__xludf.DUMMYFUNCTION("""COMPUTED_VALUE"""),4.0)</f>
        <v>4</v>
      </c>
      <c r="J40" s="58">
        <f>IFERROR(__xludf.DUMMYFUNCTION("""COMPUTED_VALUE"""),7.0)</f>
        <v>7</v>
      </c>
      <c r="K40" s="51"/>
      <c r="L40" s="60">
        <f>IFERROR(__xludf.DUMMYFUNCTION("""COMPUTED_VALUE"""),7.0)</f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>
        <f>IFERROR(__xludf.DUMMYFUNCTION("""COMPUTED_VALUE"""),0.0)</f>
        <v>0</v>
      </c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IFERROR(__xludf.DUMMYFUNCTION("""COMPUTED_VALUE"""),6.0)</f>
        <v>6</v>
      </c>
      <c r="F42" s="54">
        <f>IFERROR(__xludf.DUMMYFUNCTION("""COMPUTED_VALUE"""),2.0)</f>
        <v>2</v>
      </c>
      <c r="G42" s="55">
        <f>IFERROR(__xludf.DUMMYFUNCTION("""COMPUTED_VALUE"""),0.0)</f>
        <v>0</v>
      </c>
      <c r="H42" s="56">
        <f>IFERROR(__xludf.DUMMYFUNCTION("""COMPUTED_VALUE"""),8.0)</f>
        <v>8</v>
      </c>
      <c r="I42" s="57">
        <f>IFERROR(__xludf.DUMMYFUNCTION("""COMPUTED_VALUE"""),2.0)</f>
        <v>2</v>
      </c>
      <c r="J42" s="58">
        <f>IFERROR(__xludf.DUMMYFUNCTION("""COMPUTED_VALUE"""),8.0)</f>
        <v>8</v>
      </c>
      <c r="K42" s="51"/>
      <c r="L42" s="60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>
        <f>IFERROR(__xludf.DUMMYFUNCTION("""COMPUTED_VALUE"""),0.0)</f>
        <v>0</v>
      </c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IFERROR(__xludf.DUMMYFUNCTION("""COMPUTED_VALUE"""),8.0)</f>
        <v>8</v>
      </c>
      <c r="F44" s="54">
        <f>IFERROR(__xludf.DUMMYFUNCTION("""COMPUTED_VALUE"""),0.0)</f>
        <v>0</v>
      </c>
      <c r="G44" s="55">
        <f>IFERROR(__xludf.DUMMYFUNCTION("""COMPUTED_VALUE"""),0.0)</f>
        <v>0</v>
      </c>
      <c r="H44" s="56">
        <f>IFERROR(__xludf.DUMMYFUNCTION("""COMPUTED_VALUE"""),8.0)</f>
        <v>8</v>
      </c>
      <c r="I44" s="57">
        <f>IFERROR(__xludf.DUMMYFUNCTION("""COMPUTED_VALUE"""),1.0)</f>
        <v>1</v>
      </c>
      <c r="J44" s="58">
        <f>IFERROR(__xludf.DUMMYFUNCTION("""COMPUTED_VALUE"""),8.0)</f>
        <v>8</v>
      </c>
      <c r="K44" s="51"/>
      <c r="L44" s="60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>
        <f>IFERROR(__xludf.DUMMYFUNCTION("""COMPUTED_VALUE"""),0.0)</f>
        <v>0</v>
      </c>
      <c r="H45" s="56">
        <f>IFERROR(__xludf.DUMMYFUNCTION("""COMPUTED_VALUE"""),10.0)</f>
        <v>10</v>
      </c>
      <c r="I45" s="57">
        <f>IFERROR(__xludf.DUMMYFUNCTION("""COMPUTED_VALUE"""),1.0)</f>
        <v>1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IFERROR(__xludf.DUMMYFUNCTION("""COMPUTED_VALUE"""),6.0)</f>
        <v>6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IFERROR(__xludf.DUMMYFUNCTION("""COMPUTED_VALUE"""),9.0)</f>
        <v>9</v>
      </c>
      <c r="I46" s="57">
        <f>IFERROR(__xludf.DUMMYFUNCTION("""COMPUTED_VALUE"""),3.0)</f>
        <v>3</v>
      </c>
      <c r="J46" s="58">
        <f>IFERROR(__xludf.DUMMYFUNCTION("""COMPUTED_VALUE"""),9.0)</f>
        <v>9</v>
      </c>
      <c r="K46" s="51"/>
      <c r="L46" s="60">
        <f>IFERROR(__xludf.DUMMYFUNCTION("""COMPUTED_VALUE"""),9.0)</f>
        <v>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IFERROR(__xludf.DUMMYFUNCTION("""COMPUTED_VALUE"""),8.0)</f>
        <v>8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IFERROR(__xludf.DUMMYFUNCTION("""COMPUTED_VALUE"""),11.0)</f>
        <v>11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IFERROR(__xludf.DUMMYFUNCTION("""COMPUTED_VALUE"""),11.0)</f>
        <v>11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IFERROR(__xludf.DUMMYFUNCTION("""COMPUTED_VALUE"""),8.0)</f>
        <v>8</v>
      </c>
      <c r="F48" s="54">
        <f>IFERROR(__xludf.DUMMYFUNCTION("""COMPUTED_VALUE"""),2.0)</f>
        <v>2</v>
      </c>
      <c r="G48" s="55">
        <f>IFERROR(__xludf.DUMMYFUNCTION("""COMPUTED_VALUE"""),1.0)</f>
        <v>1</v>
      </c>
      <c r="H48" s="56">
        <f>IFERROR(__xludf.DUMMYFUNCTION("""COMPUTED_VALUE"""),11.0)</f>
        <v>11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IFERROR(__xludf.DUMMYFUNCTION("""COMPUTED_VALUE"""),11.0)</f>
        <v>11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IFERROR(__xludf.DUMMYFUNCTION("""COMPUTED_VALUE"""),8.0)</f>
        <v>8</v>
      </c>
      <c r="F49" s="54">
        <f>IFERROR(__xludf.DUMMYFUNCTION("""COMPUTED_VALUE"""),2.0)</f>
        <v>2</v>
      </c>
      <c r="G49" s="55">
        <f>IFERROR(__xludf.DUMMYFUNCTION("""COMPUTED_VALUE"""),1.0)</f>
        <v>1</v>
      </c>
      <c r="H49" s="56">
        <f>IFERROR(__xludf.DUMMYFUNCTION("""COMPUTED_VALUE"""),11.0)</f>
        <v>11</v>
      </c>
      <c r="I49" s="57">
        <f>IFERROR(__xludf.DUMMYFUNCTION("""COMPUTED_VALUE"""),1.0)</f>
        <v>1</v>
      </c>
      <c r="J49" s="58">
        <f>IFERROR(__xludf.DUMMYFUNCTION("""COMPUTED_VALUE"""),10.0)</f>
        <v>10</v>
      </c>
      <c r="K49" s="51"/>
      <c r="L49" s="60">
        <f>IFERROR(__xludf.DUMMYFUNCTION("""COMPUTED_VALUE"""),11.0)</f>
        <v>11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IFERROR(__xludf.DUMMYFUNCTION("""COMPUTED_VALUE"""),6.0)</f>
        <v>6</v>
      </c>
      <c r="F50" s="54">
        <f>IFERROR(__xludf.DUMMYFUNCTION("""COMPUTED_VALUE"""),2.0)</f>
        <v>2</v>
      </c>
      <c r="G50" s="55">
        <f>IFERROR(__xludf.DUMMYFUNCTION("""COMPUTED_VALUE"""),1.0)</f>
        <v>1</v>
      </c>
      <c r="H50" s="56">
        <f>IFERROR(__xludf.DUMMYFUNCTION("""COMPUTED_VALUE"""),9.0)</f>
        <v>9</v>
      </c>
      <c r="I50" s="57">
        <f>IFERROR(__xludf.DUMMYFUNCTION("""COMPUTED_VALUE"""),1.0)</f>
        <v>1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IFERROR(__xludf.DUMMYFUNCTION("""COMPUTED_VALUE"""),11.0)</f>
        <v>11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IFERROR(__xludf.DUMMYFUNCTION("""COMPUTED_VALUE"""),11.0)</f>
        <v>11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>
        <f>IFERROR(__xludf.DUMMYFUNCTION("""COMPUTED_VALUE"""),0.0)</f>
        <v>0</v>
      </c>
      <c r="H52" s="56">
        <f>IFERROR(__xludf.DUMMYFUNCTION("""COMPUTED_VALUE"""),10.0)</f>
        <v>10</v>
      </c>
      <c r="I52" s="57">
        <f>IFERROR(__xludf.DUMMYFUNCTION("""COMPUTED_VALUE"""),1.0)</f>
        <v>1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IFERROR(__xludf.DUMMYFUNCTION("""COMPUTED_VALUE"""),6.0)</f>
        <v>6</v>
      </c>
      <c r="F53" s="54">
        <f>IFERROR(__xludf.DUMMYFUNCTION("""COMPUTED_VALUE"""),2.0)</f>
        <v>2</v>
      </c>
      <c r="G53" s="55">
        <f>IFERROR(__xludf.DUMMYFUNCTION("""COMPUTED_VALUE"""),0.0)</f>
        <v>0</v>
      </c>
      <c r="H53" s="56">
        <f>IFERROR(__xludf.DUMMYFUNCTION("""COMPUTED_VALUE"""),8.0)</f>
        <v>8</v>
      </c>
      <c r="I53" s="57">
        <f>IFERROR(__xludf.DUMMYFUNCTION("""COMPUTED_VALUE"""),3.0)</f>
        <v>3</v>
      </c>
      <c r="J53" s="58">
        <f>IFERROR(__xludf.DUMMYFUNCTION("""COMPUTED_VALUE"""),8.0)</f>
        <v>8</v>
      </c>
      <c r="K53" s="51"/>
      <c r="L53" s="59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IFERROR(__xludf.DUMMYFUNCTION("""COMPUTED_VALUE"""),8.0)</f>
        <v>8</v>
      </c>
      <c r="F54" s="54">
        <f>IFERROR(__xludf.DUMMYFUNCTION("""COMPUTED_VALUE"""),2.0)</f>
        <v>2</v>
      </c>
      <c r="G54" s="55">
        <f>IFERROR(__xludf.DUMMYFUNCTION("""COMPUTED_VALUE"""),0.0)</f>
        <v>0</v>
      </c>
      <c r="H54" s="56">
        <f>IFERROR(__xludf.DUMMYFUNCTION("""COMPUTED_VALUE"""),10.0)</f>
        <v>10</v>
      </c>
      <c r="I54" s="57">
        <f>IFERROR(__xludf.DUMMYFUNCTION("""COMPUTED_VALUE"""),0.0)</f>
        <v>0</v>
      </c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IFERROR(__xludf.DUMMYFUNCTION("""COMPUTED_VALUE"""),8.0)</f>
        <v>8</v>
      </c>
      <c r="F55" s="54">
        <f>IFERROR(__xludf.DUMMYFUNCTION("""COMPUTED_VALUE"""),2.0)</f>
        <v>2</v>
      </c>
      <c r="G55" s="55">
        <f>IFERROR(__xludf.DUMMYFUNCTION("""COMPUTED_VALUE"""),0.0)</f>
        <v>0</v>
      </c>
      <c r="H55" s="56">
        <f>IFERROR(__xludf.DUMMYFUNCTION("""COMPUTED_VALUE"""),10.0)</f>
        <v>10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IFERROR(__xludf.DUMMYFUNCTION("""COMPUTED_VALUE"""),8.0)</f>
        <v>8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IFERROR(__xludf.DUMMYFUNCTION("""COMPUTED_VALUE"""),11.0)</f>
        <v>11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IFERROR(__xludf.DUMMYFUNCTION("""COMPUTED_VALUE"""),11.0)</f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IFERROR(__xludf.DUMMYFUNCTION("""COMPUTED_VALUE"""),38.0)</f>
        <v>38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IFERROR(__xludf.DUMMYFUNCTION("""COMPUTED_VALUE"""),2.0)</f>
        <v>2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IFERROR(__xludf.DUMMYFUNCTION("""COMPUTED_VALUE"""),95.0)</f>
        <v>95</v>
      </c>
      <c r="E63" s="62"/>
      <c r="F63" s="86" t="str">
        <f>IFERROR(__xludf.DUMMYFUNCTION("""COMPUTED_VALUE"""),"PROFR. ")</f>
        <v>PROFR. 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IFERROR(__xludf.DUMMYFUNCTION("""COMPUTED_VALUE"""),8.95)</f>
        <v>8.95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4 K17:K62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IFERROR(__xludf.DUMMYFUNCTION("IMPORTRANGE(""https://docs.google.com/spreadsheets/d/1dfd1cx1erILPMHbE5AVYb1ULzyUXSbPBzy_olmDN2Lo/edit?gid=2064518513#gid=2064518513"",""3-2 temas selectos de filosofia!A1:Q85"")"),"")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IFERROR(__xludf.DUMMYFUNCTION("""COMPUTED_VALUE"""),"NOHEMI BLANCA MATA SOLIS ")</f>
        <v>NOHEMI BLANCA MATA SOLIS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FILOSOFÍA")</f>
        <v>TEMAS SELECTOS DE FILOSOFÍA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IFERROR(__xludf.DUMMYFUNCTION("""COMPUTED_VALUE"""),6.0)</f>
        <v>6</v>
      </c>
      <c r="F18" s="54">
        <f>IFERROR(__xludf.DUMMYFUNCTION("""COMPUTED_VALUE"""),0.0)</f>
        <v>0</v>
      </c>
      <c r="G18" s="55"/>
      <c r="H18" s="56">
        <f>IFERROR(__xludf.DUMMYFUNCTION("""COMPUTED_VALUE"""),6.0)</f>
        <v>6</v>
      </c>
      <c r="I18" s="57">
        <f>IFERROR(__xludf.DUMMYFUNCTION("""COMPUTED_VALUE"""),2.0)</f>
        <v>2</v>
      </c>
      <c r="J18" s="58">
        <f>IFERROR(__xludf.DUMMYFUNCTION("""COMPUTED_VALUE"""),6.0)</f>
        <v>6</v>
      </c>
      <c r="K18" s="51"/>
      <c r="L18" s="60">
        <f>IFERROR(__xludf.DUMMYFUNCTION("""COMPUTED_VALUE"""),6.0)</f>
        <v>6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IFERROR(__xludf.DUMMYFUNCTION("""COMPUTED_VALUE"""),6.0)</f>
        <v>6</v>
      </c>
      <c r="F19" s="54">
        <f>IFERROR(__xludf.DUMMYFUNCTION("""COMPUTED_VALUE"""),2.0)</f>
        <v>2</v>
      </c>
      <c r="G19" s="55"/>
      <c r="H19" s="56">
        <f>IFERROR(__xludf.DUMMYFUNCTION("""COMPUTED_VALUE"""),8.0)</f>
        <v>8</v>
      </c>
      <c r="I19" s="57">
        <f>IFERROR(__xludf.DUMMYFUNCTION("""COMPUTED_VALUE"""),0.0)</f>
        <v>0</v>
      </c>
      <c r="J19" s="58">
        <f>IFERROR(__xludf.DUMMYFUNCTION("""COMPUTED_VALUE"""),8.0)</f>
        <v>8</v>
      </c>
      <c r="K19" s="51"/>
      <c r="L19" s="60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IFERROR(__xludf.DUMMYFUNCTION("""COMPUTED_VALUE"""),9.0)</f>
        <v>9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IFERROR(__xludf.DUMMYFUNCTION("""COMPUTED_VALUE"""),7.0)</f>
        <v>7</v>
      </c>
      <c r="F20" s="54">
        <f>IFERROR(__xludf.DUMMYFUNCTION("""COMPUTED_VALUE"""),2.0)</f>
        <v>2</v>
      </c>
      <c r="G20" s="55"/>
      <c r="H20" s="56">
        <f>IFERROR(__xludf.DUMMYFUNCTION("""COMPUTED_VALUE"""),9.0)</f>
        <v>9</v>
      </c>
      <c r="I20" s="57">
        <f>IFERROR(__xludf.DUMMYFUNCTION("""COMPUTED_VALUE"""),0.0)</f>
        <v>0</v>
      </c>
      <c r="J20" s="58">
        <f>IFERROR(__xludf.DUMMYFUNCTION("""COMPUTED_VALUE"""),9.0)</f>
        <v>9</v>
      </c>
      <c r="K20" s="51"/>
      <c r="L20" s="60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IFERROR(__xludf.DUMMYFUNCTION("""COMPUTED_VALUE"""),6.0)</f>
        <v>6</v>
      </c>
      <c r="F21" s="54">
        <f>IFERROR(__xludf.DUMMYFUNCTION("""COMPUTED_VALUE"""),2.0)</f>
        <v>2</v>
      </c>
      <c r="G21" s="55"/>
      <c r="H21" s="56">
        <f>IFERROR(__xludf.DUMMYFUNCTION("""COMPUTED_VALUE"""),8.0)</f>
        <v>8</v>
      </c>
      <c r="I21" s="57">
        <f>IFERROR(__xludf.DUMMYFUNCTION("""COMPUTED_VALUE"""),0.0)</f>
        <v>0</v>
      </c>
      <c r="J21" s="58">
        <f>IFERROR(__xludf.DUMMYFUNCTION("""COMPUTED_VALUE"""),8.0)</f>
        <v>8</v>
      </c>
      <c r="K21" s="51"/>
      <c r="L21" s="60">
        <f>IFERROR(__xludf.DUMMYFUNCTION("""COMPUTED_VALUE"""),8.0)</f>
        <v>8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IFERROR(__xludf.DUMMYFUNCTION("""COMPUTED_VALUE"""),5.0)</f>
        <v>5</v>
      </c>
      <c r="F22" s="54">
        <f>IFERROR(__xludf.DUMMYFUNCTION("""COMPUTED_VALUE"""),0.0)</f>
        <v>0</v>
      </c>
      <c r="G22" s="55"/>
      <c r="H22" s="56">
        <f>IFERROR(__xludf.DUMMYFUNCTION("""COMPUTED_VALUE"""),5.0)</f>
        <v>5</v>
      </c>
      <c r="I22" s="57">
        <f>IFERROR(__xludf.DUMMYFUNCTION("""COMPUTED_VALUE"""),2.0)</f>
        <v>2</v>
      </c>
      <c r="J22" s="58">
        <f>IFERROR(__xludf.DUMMYFUNCTION("""COMPUTED_VALUE"""),5.0)</f>
        <v>5</v>
      </c>
      <c r="K22" s="51"/>
      <c r="L22" s="60">
        <f>IFERROR(__xludf.DUMMYFUNCTION("""COMPUTED_VALUE"""),5.0)</f>
        <v>5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IFERROR(__xludf.DUMMYFUNCTION("""COMPUTED_VALUE"""),7.0)</f>
        <v>7</v>
      </c>
      <c r="F23" s="54">
        <f>IFERROR(__xludf.DUMMYFUNCTION("""COMPUTED_VALUE"""),2.0)</f>
        <v>2</v>
      </c>
      <c r="G23" s="55"/>
      <c r="H23" s="56">
        <f>IFERROR(__xludf.DUMMYFUNCTION("""COMPUTED_VALUE"""),9.0)</f>
        <v>9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IFERROR(__xludf.DUMMYFUNCTION("""COMPUTED_VALUE"""),7.0)</f>
        <v>7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IFERROR(__xludf.DUMMYFUNCTION("""COMPUTED_VALUE"""),10.0)</f>
        <v>10</v>
      </c>
      <c r="I24" s="57">
        <f>IFERROR(__xludf.DUMMYFUNCTION("""COMPUTED_VALUE"""),1.0)</f>
        <v>1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IFERROR(__xludf.DUMMYFUNCTION("""COMPUTED_VALUE"""),18.0)</f>
        <v>18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IFERROR(__xludf.DUMMYFUNCTION("""COMPUTED_VALUE"""),7.0)</f>
        <v>7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/>
      <c r="H26" s="56">
        <f>IFERROR(__xludf.DUMMYFUNCTION("""COMPUTED_VALUE"""),10.0)</f>
        <v>10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IFERROR(__xludf.DUMMYFUNCTION("""COMPUTED_VALUE"""),6.0)</f>
        <v>6</v>
      </c>
      <c r="F27" s="54">
        <f>IFERROR(__xludf.DUMMYFUNCTION("""COMPUTED_VALUE"""),2.0)</f>
        <v>2</v>
      </c>
      <c r="G27" s="55"/>
      <c r="H27" s="56">
        <f>IFERROR(__xludf.DUMMYFUNCTION("""COMPUTED_VALUE"""),8.0)</f>
        <v>8</v>
      </c>
      <c r="I27" s="57">
        <f>IFERROR(__xludf.DUMMYFUNCTION("""COMPUTED_VALUE"""),0.0)</f>
        <v>0</v>
      </c>
      <c r="J27" s="58">
        <f>IFERROR(__xludf.DUMMYFUNCTION("""COMPUTED_VALUE"""),8.0)</f>
        <v>8</v>
      </c>
      <c r="K27" s="51"/>
      <c r="L27" s="60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IFERROR(__xludf.DUMMYFUNCTION("""COMPUTED_VALUE"""),7.0)</f>
        <v>7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IFERROR(__xludf.DUMMYFUNCTION("""COMPUTED_VALUE"""),6.0)</f>
        <v>6</v>
      </c>
      <c r="F30" s="54">
        <f>IFERROR(__xludf.DUMMYFUNCTION("""COMPUTED_VALUE"""),2.0)</f>
        <v>2</v>
      </c>
      <c r="G30" s="55"/>
      <c r="H30" s="56">
        <f>IFERROR(__xludf.DUMMYFUNCTION("""COMPUTED_VALUE"""),8.0)</f>
        <v>8</v>
      </c>
      <c r="I30" s="57">
        <f>IFERROR(__xludf.DUMMYFUNCTION("""COMPUTED_VALUE"""),0.0)</f>
        <v>0</v>
      </c>
      <c r="J30" s="58">
        <f>IFERROR(__xludf.DUMMYFUNCTION("""COMPUTED_VALUE"""),6.0)</f>
        <v>6</v>
      </c>
      <c r="K30" s="51"/>
      <c r="L30" s="60">
        <f>IFERROR(__xludf.DUMMYFUNCTION("""COMPUTED_VALUE"""),8.0)</f>
        <v>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IFERROR(__xludf.DUMMYFUNCTION("""COMPUTED_VALUE"""),6.0)</f>
        <v>6</v>
      </c>
      <c r="F31" s="54">
        <f>IFERROR(__xludf.DUMMYFUNCTION("""COMPUTED_VALUE"""),2.0)</f>
        <v>2</v>
      </c>
      <c r="G31" s="55"/>
      <c r="H31" s="56">
        <f>IFERROR(__xludf.DUMMYFUNCTION("""COMPUTED_VALUE"""),8.0)</f>
        <v>8</v>
      </c>
      <c r="I31" s="57">
        <f>IFERROR(__xludf.DUMMYFUNCTION("""COMPUTED_VALUE"""),0.0)</f>
        <v>0</v>
      </c>
      <c r="J31" s="58">
        <f>IFERROR(__xludf.DUMMYFUNCTION("""COMPUTED_VALUE"""),8.0)</f>
        <v>8</v>
      </c>
      <c r="K31" s="51"/>
      <c r="L31" s="60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IFERROR(__xludf.DUMMYFUNCTION("""COMPUTED_VALUE"""),5.0)</f>
        <v>5</v>
      </c>
      <c r="F32" s="54">
        <f>IFERROR(__xludf.DUMMYFUNCTION("""COMPUTED_VALUE"""),2.0)</f>
        <v>2</v>
      </c>
      <c r="G32" s="55"/>
      <c r="H32" s="56">
        <f>IFERROR(__xludf.DUMMYFUNCTION("""COMPUTED_VALUE"""),7.0)</f>
        <v>7</v>
      </c>
      <c r="I32" s="57">
        <f>IFERROR(__xludf.DUMMYFUNCTION("""COMPUTED_VALUE"""),0.0)</f>
        <v>0</v>
      </c>
      <c r="J32" s="58">
        <f>IFERROR(__xludf.DUMMYFUNCTION("""COMPUTED_VALUE"""),7.0)</f>
        <v>7</v>
      </c>
      <c r="K32" s="51"/>
      <c r="L32" s="60">
        <f>IFERROR(__xludf.DUMMYFUNCTION("""COMPUTED_VALUE"""),7.0)</f>
        <v>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IFERROR(__xludf.DUMMYFUNCTION("""COMPUTED_VALUE"""),6.0)</f>
        <v>6</v>
      </c>
      <c r="F33" s="54">
        <f>IFERROR(__xludf.DUMMYFUNCTION("""COMPUTED_VALUE"""),2.0)</f>
        <v>2</v>
      </c>
      <c r="G33" s="55"/>
      <c r="H33" s="56">
        <f>IFERROR(__xludf.DUMMYFUNCTION("""COMPUTED_VALUE"""),8.0)</f>
        <v>8</v>
      </c>
      <c r="I33" s="57">
        <f>IFERROR(__xludf.DUMMYFUNCTION("""COMPUTED_VALUE"""),0.0)</f>
        <v>0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IFERROR(__xludf.DUMMYFUNCTION("""COMPUTED_VALUE"""),7.0)</f>
        <v>7</v>
      </c>
      <c r="F34" s="54">
        <f>IFERROR(__xludf.DUMMYFUNCTION("""COMPUTED_VALUE"""),2.0)</f>
        <v>2</v>
      </c>
      <c r="G34" s="55"/>
      <c r="H34" s="56">
        <f>IFERROR(__xludf.DUMMYFUNCTION("""COMPUTED_VALUE"""),9.0)</f>
        <v>9</v>
      </c>
      <c r="I34" s="57">
        <f>IFERROR(__xludf.DUMMYFUNCTION("""COMPUTED_VALUE"""),0.0)</f>
        <v>0</v>
      </c>
      <c r="J34" s="58">
        <f>IFERROR(__xludf.DUMMYFUNCTION("""COMPUTED_VALUE"""),7.0)</f>
        <v>7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IFERROR(__xludf.DUMMYFUNCTION("""COMPUTED_VALUE"""),5.0)</f>
        <v>5</v>
      </c>
      <c r="F35" s="54">
        <f>IFERROR(__xludf.DUMMYFUNCTION("""COMPUTED_VALUE"""),0.0)</f>
        <v>0</v>
      </c>
      <c r="G35" s="55"/>
      <c r="H35" s="56">
        <f>IFERROR(__xludf.DUMMYFUNCTION("""COMPUTED_VALUE"""),5.0)</f>
        <v>5</v>
      </c>
      <c r="I35" s="57">
        <f>IFERROR(__xludf.DUMMYFUNCTION("""COMPUTED_VALUE"""),4.0)</f>
        <v>4</v>
      </c>
      <c r="J35" s="58">
        <f>IFERROR(__xludf.DUMMYFUNCTION("""COMPUTED_VALUE"""),5.0)</f>
        <v>5</v>
      </c>
      <c r="K35" s="51"/>
      <c r="L35" s="60">
        <f>IFERROR(__xludf.DUMMYFUNCTION("""COMPUTED_VALUE"""),5.0)</f>
        <v>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IFERROR(__xludf.DUMMYFUNCTION("""COMPUTED_VALUE"""),8.0)</f>
        <v>8</v>
      </c>
      <c r="F36" s="54">
        <f>IFERROR(__xludf.DUMMYFUNCTION("""COMPUTED_VALUE"""),2.0)</f>
        <v>2</v>
      </c>
      <c r="G36" s="55"/>
      <c r="H36" s="56">
        <f>IFERROR(__xludf.DUMMYFUNCTION("""COMPUTED_VALUE"""),10.0)</f>
        <v>10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IFERROR(__xludf.DUMMYFUNCTION("""COMPUTED_VALUE"""),8.0)</f>
        <v>8</v>
      </c>
      <c r="F37" s="54">
        <f>IFERROR(__xludf.DUMMYFUNCTION("""COMPUTED_VALUE"""),2.0)</f>
        <v>2</v>
      </c>
      <c r="G37" s="55"/>
      <c r="H37" s="56">
        <f>IFERROR(__xludf.DUMMYFUNCTION("""COMPUTED_VALUE"""),10.0)</f>
        <v>10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IFERROR(__xludf.DUMMYFUNCTION("""COMPUTED_VALUE"""),6.0)</f>
        <v>6</v>
      </c>
      <c r="F40" s="54">
        <f>IFERROR(__xludf.DUMMYFUNCTION("""COMPUTED_VALUE"""),2.0)</f>
        <v>2</v>
      </c>
      <c r="G40" s="55"/>
      <c r="H40" s="56">
        <f>IFERROR(__xludf.DUMMYFUNCTION("""COMPUTED_VALUE"""),8.0)</f>
        <v>8</v>
      </c>
      <c r="I40" s="57">
        <f>IFERROR(__xludf.DUMMYFUNCTION("""COMPUTED_VALUE"""),0.0)</f>
        <v>0</v>
      </c>
      <c r="J40" s="58">
        <f>IFERROR(__xludf.DUMMYFUNCTION("""COMPUTED_VALUE"""),8.0)</f>
        <v>8</v>
      </c>
      <c r="K40" s="51"/>
      <c r="L40" s="60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IFERROR(__xludf.DUMMYFUNCTION("""COMPUTED_VALUE"""),7.0)</f>
        <v>7</v>
      </c>
      <c r="F42" s="54">
        <f>IFERROR(__xludf.DUMMYFUNCTION("""COMPUTED_VALUE"""),2.0)</f>
        <v>2</v>
      </c>
      <c r="G42" s="55"/>
      <c r="H42" s="56">
        <f>IFERROR(__xludf.DUMMYFUNCTION("""COMPUTED_VALUE"""),9.0)</f>
        <v>9</v>
      </c>
      <c r="I42" s="57">
        <f>IFERROR(__xludf.DUMMYFUNCTION("""COMPUTED_VALUE"""),0.0)</f>
        <v>0</v>
      </c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/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IFERROR(__xludf.DUMMYFUNCTION("""COMPUTED_VALUE"""),7.0)</f>
        <v>7</v>
      </c>
      <c r="F44" s="54">
        <f>IFERROR(__xludf.DUMMYFUNCTION("""COMPUTED_VALUE"""),2.0)</f>
        <v>2</v>
      </c>
      <c r="G44" s="55"/>
      <c r="H44" s="56">
        <f>IFERROR(__xludf.DUMMYFUNCTION("""COMPUTED_VALUE"""),9.0)</f>
        <v>9</v>
      </c>
      <c r="I44" s="57">
        <f>IFERROR(__xludf.DUMMYFUNCTION("""COMPUTED_VALUE"""),0.0)</f>
        <v>0</v>
      </c>
      <c r="J44" s="58">
        <f>IFERROR(__xludf.DUMMYFUNCTION("""COMPUTED_VALUE"""),9.0)</f>
        <v>9</v>
      </c>
      <c r="K44" s="51"/>
      <c r="L44" s="60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IFERROR(__xludf.DUMMYFUNCTION("""COMPUTED_VALUE"""),6.0)</f>
        <v>6</v>
      </c>
      <c r="F45" s="54">
        <f>IFERROR(__xludf.DUMMYFUNCTION("""COMPUTED_VALUE"""),2.0)</f>
        <v>2</v>
      </c>
      <c r="G45" s="55"/>
      <c r="H45" s="56">
        <f>IFERROR(__xludf.DUMMYFUNCTION("""COMPUTED_VALUE"""),8.0)</f>
        <v>8</v>
      </c>
      <c r="I45" s="57">
        <f>IFERROR(__xludf.DUMMYFUNCTION("""COMPUTED_VALUE"""),2.0)</f>
        <v>2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IFERROR(__xludf.DUMMYFUNCTION("""COMPUTED_VALUE"""),7.0)</f>
        <v>7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IFERROR(__xludf.DUMMYFUNCTION("""COMPUTED_VALUE"""),10.0)</f>
        <v>10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IFERROR(__xludf.DUMMYFUNCTION("""COMPUTED_VALUE"""),7.0)</f>
        <v>7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IFERROR(__xludf.DUMMYFUNCTION("""COMPUTED_VALUE"""),7.0)</f>
        <v>7</v>
      </c>
      <c r="F48" s="54">
        <f>IFERROR(__xludf.DUMMYFUNCTION("""COMPUTED_VALUE"""),2.0)</f>
        <v>2</v>
      </c>
      <c r="G48" s="55">
        <f>IFERROR(__xludf.DUMMYFUNCTION("""COMPUTED_VALUE"""),1.0)</f>
        <v>1</v>
      </c>
      <c r="H48" s="56">
        <f>IFERROR(__xludf.DUMMYFUNCTION("""COMPUTED_VALUE"""),10.0)</f>
        <v>10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IFERROR(__xludf.DUMMYFUNCTION("""COMPUTED_VALUE"""),7.0)</f>
        <v>7</v>
      </c>
      <c r="F49" s="54">
        <f>IFERROR(__xludf.DUMMYFUNCTION("""COMPUTED_VALUE"""),2.0)</f>
        <v>2</v>
      </c>
      <c r="G49" s="55">
        <f>IFERROR(__xludf.DUMMYFUNCTION("""COMPUTED_VALUE"""),1.0)</f>
        <v>1</v>
      </c>
      <c r="H49" s="56">
        <f>IFERROR(__xludf.DUMMYFUNCTION("""COMPUTED_VALUE"""),10.0)</f>
        <v>10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IFERROR(__xludf.DUMMYFUNCTION("""COMPUTED_VALUE"""),7.0)</f>
        <v>7</v>
      </c>
      <c r="F50" s="54">
        <f>IFERROR(__xludf.DUMMYFUNCTION("""COMPUTED_VALUE"""),2.0)</f>
        <v>2</v>
      </c>
      <c r="G50" s="55">
        <f>IFERROR(__xludf.DUMMYFUNCTION("""COMPUTED_VALUE"""),1.0)</f>
        <v>1</v>
      </c>
      <c r="H50" s="56">
        <f>IFERROR(__xludf.DUMMYFUNCTION("""COMPUTED_VALUE"""),10.0)</f>
        <v>10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IFERROR(__xludf.DUMMYFUNCTION("""COMPUTED_VALUE"""),7.0)</f>
        <v>7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IFERROR(__xludf.DUMMYFUNCTION("""COMPUTED_VALUE"""),5.0)</f>
        <v>5</v>
      </c>
      <c r="F53" s="54">
        <f>IFERROR(__xludf.DUMMYFUNCTION("""COMPUTED_VALUE"""),0.0)</f>
        <v>0</v>
      </c>
      <c r="G53" s="55"/>
      <c r="H53" s="56">
        <f>IFERROR(__xludf.DUMMYFUNCTION("""COMPUTED_VALUE"""),5.0)</f>
        <v>5</v>
      </c>
      <c r="I53" s="57">
        <f>IFERROR(__xludf.DUMMYFUNCTION("""COMPUTED_VALUE"""),3.0)</f>
        <v>3</v>
      </c>
      <c r="J53" s="58">
        <f>IFERROR(__xludf.DUMMYFUNCTION("""COMPUTED_VALUE"""),5.0)</f>
        <v>5</v>
      </c>
      <c r="K53" s="51"/>
      <c r="L53" s="59">
        <f>IFERROR(__xludf.DUMMYFUNCTION("""COMPUTED_VALUE"""),5.0)</f>
        <v>5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/>
      <c r="H54" s="56">
        <f>IFERROR(__xludf.DUMMYFUNCTION("""COMPUTED_VALUE"""),8.0)</f>
        <v>8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IFERROR(__xludf.DUMMYFUNCTION("""COMPUTED_VALUE"""),7.0)</f>
        <v>7</v>
      </c>
      <c r="F55" s="54">
        <f>IFERROR(__xludf.DUMMYFUNCTION("""COMPUTED_VALUE"""),2.0)</f>
        <v>2</v>
      </c>
      <c r="G55" s="55"/>
      <c r="H55" s="56">
        <f>IFERROR(__xludf.DUMMYFUNCTION("""COMPUTED_VALUE"""),9.0)</f>
        <v>9</v>
      </c>
      <c r="I55" s="61">
        <f>IFERROR(__xludf.DUMMYFUNCTION("""COMPUTED_VALUE"""),0.0)</f>
        <v>0</v>
      </c>
      <c r="J55" s="58">
        <f>IFERROR(__xludf.DUMMYFUNCTION("""COMPUTED_VALUE"""),9.0)</f>
        <v>9</v>
      </c>
      <c r="K55" s="51"/>
      <c r="L55" s="59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IFERROR(__xludf.DUMMYFUNCTION("""COMPUTED_VALUE"""),7.0)</f>
        <v>7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IFERROR(__xludf.DUMMYFUNCTION("""COMPUTED_VALUE"""),10.0)</f>
        <v>10</v>
      </c>
      <c r="I56" s="61"/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IFERROR(__xludf.DUMMYFUNCTION("""COMPUTED_VALUE"""),37.0)</f>
        <v>37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IFERROR(__xludf.DUMMYFUNCTION("""COMPUTED_VALUE"""),3.0)</f>
        <v>3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IFERROR(__xludf.DUMMYFUNCTION("""COMPUTED_VALUE"""),92.5)</f>
        <v>92.5</v>
      </c>
      <c r="E63" s="62"/>
      <c r="F63" s="86" t="str">
        <f>IFERROR(__xludf.DUMMYFUNCTION("""COMPUTED_VALUE"""),"PROFR. ")</f>
        <v>PROFR. 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IFERROR(__xludf.DUMMYFUNCTION("""COMPUTED_VALUE"""),8.75)</f>
        <v>8.75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4 K17:K62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IFERROR(__xludf.DUMMYFUNCTION("IMPORTRANGE(""https://docs.google.com/spreadsheets/d/1fKGazNVpBpa9ayL3aPl10gt6zPqOsT3bnK5RQC4-Tp8/edit?gid=717560413#gid=717560413"",""3-2 economia 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IFERROR(__xludf.DUMMYFUNCTION("""COMPUTED_VALUE"""),"IVÁN HERNÁNDEZ PÉREZ")</f>
        <v>IVÁN HERNÁNDEZ PÉREZ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IFERROR(__xludf.DUMMYFUNCTION("""COMPUTED_VALUE"""),"ECONOMÍA I")</f>
        <v>ECONOMÍA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IFERROR(__xludf.DUMMYFUNCTION("""COMPUTED_VALUE"""),7.1)</f>
        <v>7.1</v>
      </c>
      <c r="F17" s="54">
        <f>IFERROR(__xludf.DUMMYFUNCTION("""COMPUTED_VALUE"""),2.0)</f>
        <v>2</v>
      </c>
      <c r="G17" s="55">
        <f>IFERROR(__xludf.DUMMYFUNCTION("""COMPUTED_VALUE"""),0.0)</f>
        <v>0</v>
      </c>
      <c r="H17" s="56">
        <f>IFERROR(__xludf.DUMMYFUNCTION("""COMPUTED_VALUE"""),9.1)</f>
        <v>9.1</v>
      </c>
      <c r="I17" s="57">
        <f>IFERROR(__xludf.DUMMYFUNCTION("""COMPUTED_VALUE"""),0.0)</f>
        <v>0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IFERROR(__xludf.DUMMYFUNCTION("""COMPUTED_VALUE"""),3.9)</f>
        <v>3.9</v>
      </c>
      <c r="F18" s="54">
        <f>IFERROR(__xludf.DUMMYFUNCTION("""COMPUTED_VALUE"""),0.0)</f>
        <v>0</v>
      </c>
      <c r="G18" s="55">
        <f>IFERROR(__xludf.DUMMYFUNCTION("""COMPUTED_VALUE"""),0.0)</f>
        <v>0</v>
      </c>
      <c r="H18" s="56">
        <f>IFERROR(__xludf.DUMMYFUNCTION("""COMPUTED_VALUE"""),3.9)</f>
        <v>3.9</v>
      </c>
      <c r="I18" s="57">
        <f>IFERROR(__xludf.DUMMYFUNCTION("""COMPUTED_VALUE"""),2.0)</f>
        <v>2</v>
      </c>
      <c r="J18" s="58">
        <f>IFERROR(__xludf.DUMMYFUNCTION("""COMPUTED_VALUE"""),5.0)</f>
        <v>5</v>
      </c>
      <c r="K18" s="51"/>
      <c r="L18" s="60">
        <f>IFERROR(__xludf.DUMMYFUNCTION("""COMPUTED_VALUE"""),3.0)</f>
        <v>3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IFERROR(__xludf.DUMMYFUNCTION("""COMPUTED_VALUE"""),6.3)</f>
        <v>6.3</v>
      </c>
      <c r="F19" s="54">
        <f>IFERROR(__xludf.DUMMYFUNCTION("""COMPUTED_VALUE"""),2.0)</f>
        <v>2</v>
      </c>
      <c r="G19" s="55">
        <f>IFERROR(__xludf.DUMMYFUNCTION("""COMPUTED_VALUE"""),0.0)</f>
        <v>0</v>
      </c>
      <c r="H19" s="56">
        <f>IFERROR(__xludf.DUMMYFUNCTION("""COMPUTED_VALUE"""),8.3)</f>
        <v>8.3</v>
      </c>
      <c r="I19" s="57">
        <f>IFERROR(__xludf.DUMMYFUNCTION("""COMPUTED_VALUE"""),0.0)</f>
        <v>0</v>
      </c>
      <c r="J19" s="58">
        <f>IFERROR(__xludf.DUMMYFUNCTION("""COMPUTED_VALUE"""),8.0)</f>
        <v>8</v>
      </c>
      <c r="K19" s="51"/>
      <c r="L19" s="60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IFERROR(__xludf.DUMMYFUNCTION("""COMPUTED_VALUE"""),8.1)</f>
        <v>8.1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IFERROR(__xludf.DUMMYFUNCTION("""COMPUTED_VALUE"""),11.1)</f>
        <v>11.1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IFERROR(__xludf.DUMMYFUNCTION("""COMPUTED_VALUE"""),11.0)</f>
        <v>11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IFERROR(__xludf.DUMMYFUNCTION("""COMPUTED_VALUE"""),4.7)</f>
        <v>4.7</v>
      </c>
      <c r="F21" s="54">
        <f>IFERROR(__xludf.DUMMYFUNCTION("""COMPUTED_VALUE"""),2.0)</f>
        <v>2</v>
      </c>
      <c r="G21" s="55">
        <f>IFERROR(__xludf.DUMMYFUNCTION("""COMPUTED_VALUE"""),0.0)</f>
        <v>0</v>
      </c>
      <c r="H21" s="56">
        <f>IFERROR(__xludf.DUMMYFUNCTION("""COMPUTED_VALUE"""),6.7)</f>
        <v>6.7</v>
      </c>
      <c r="I21" s="57">
        <f>IFERROR(__xludf.DUMMYFUNCTION("""COMPUTED_VALUE"""),0.0)</f>
        <v>0</v>
      </c>
      <c r="J21" s="58">
        <f>IFERROR(__xludf.DUMMYFUNCTION("""COMPUTED_VALUE"""),7.0)</f>
        <v>7</v>
      </c>
      <c r="K21" s="51"/>
      <c r="L21" s="60">
        <f>IFERROR(__xludf.DUMMYFUNCTION("""COMPUTED_VALUE"""),7.0)</f>
        <v>7</v>
      </c>
      <c r="M21" s="1" t="str">
        <f>IFERROR(__xludf.DUMMYFUNCTION("""COMPUTED_VALUE"""),"Mayo")</f>
        <v>Mayo</v>
      </c>
      <c r="N21" s="1">
        <f>IFERROR(__xludf.DUMMYFUNCTION("""COMPUTED_VALUE"""),12.0)</f>
        <v>12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IFERROR(__xludf.DUMMYFUNCTION("""COMPUTED_VALUE"""),5.0)</f>
        <v>5</v>
      </c>
      <c r="F22" s="54">
        <f>IFERROR(__xludf.DUMMYFUNCTION("""COMPUTED_VALUE"""),0.0)</f>
        <v>0</v>
      </c>
      <c r="G22" s="55">
        <f>IFERROR(__xludf.DUMMYFUNCTION("""COMPUTED_VALUE"""),0.0)</f>
        <v>0</v>
      </c>
      <c r="H22" s="56">
        <f>IFERROR(__xludf.DUMMYFUNCTION("""COMPUTED_VALUE"""),5.0)</f>
        <v>5</v>
      </c>
      <c r="I22" s="57">
        <f>IFERROR(__xludf.DUMMYFUNCTION("""COMPUTED_VALUE"""),3.0)</f>
        <v>3</v>
      </c>
      <c r="J22" s="58">
        <f>IFERROR(__xludf.DUMMYFUNCTION("""COMPUTED_VALUE"""),5.0)</f>
        <v>5</v>
      </c>
      <c r="K22" s="51"/>
      <c r="L22" s="60">
        <f>IFERROR(__xludf.DUMMYFUNCTION("""COMPUTED_VALUE"""),5.0)</f>
        <v>5</v>
      </c>
      <c r="M22" s="1" t="str">
        <f>IFERROR(__xludf.DUMMYFUNCTION("""COMPUTED_VALUE"""),"Junio")</f>
        <v>Junio</v>
      </c>
      <c r="N22" s="1">
        <f>IFERROR(__xludf.DUMMYFUNCTION("""COMPUTED_VALUE"""),12.0)</f>
        <v>12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IFERROR(__xludf.DUMMYFUNCTION("""COMPUTED_VALUE"""),7.3)</f>
        <v>7.3</v>
      </c>
      <c r="F23" s="54">
        <f>IFERROR(__xludf.DUMMYFUNCTION("""COMPUTED_VALUE"""),2.0)</f>
        <v>2</v>
      </c>
      <c r="G23" s="55">
        <f>IFERROR(__xludf.DUMMYFUNCTION("""COMPUTED_VALUE"""),0.0)</f>
        <v>0</v>
      </c>
      <c r="H23" s="56">
        <f>IFERROR(__xludf.DUMMYFUNCTION("""COMPUTED_VALUE"""),9.3)</f>
        <v>9.3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IFERROR(__xludf.DUMMYFUNCTION("""COMPUTED_VALUE"""),8.5)</f>
        <v>8.5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IFERROR(__xludf.DUMMYFUNCTION("""COMPUTED_VALUE"""),11.5)</f>
        <v>11.5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IFERROR(__xludf.DUMMYFUNCTION("""COMPUTED_VALUE"""),12.0)</f>
        <v>12</v>
      </c>
      <c r="M24" s="1" t="str">
        <f>IFERROR(__xludf.DUMMYFUNCTION("""COMPUTED_VALUE"""),"TOTAL")</f>
        <v>TOTAL</v>
      </c>
      <c r="N24" s="1">
        <f>IFERROR(__xludf.DUMMYFUNCTION("""COMPUTED_VALUE"""),60.0)</f>
        <v>60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IFERROR(__xludf.DUMMYFUNCTION("""COMPUTED_VALUE"""),8.5)</f>
        <v>8.5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IFERROR(__xludf.DUMMYFUNCTION("""COMPUTED_VALUE"""),11.5)</f>
        <v>11.5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IFERROR(__xludf.DUMMYFUNCTION("""COMPUTED_VALUE"""),12.0)</f>
        <v>12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IFERROR(__xludf.DUMMYFUNCTION("""COMPUTED_VALUE"""),7.1)</f>
        <v>7.1</v>
      </c>
      <c r="F26" s="54">
        <f>IFERROR(__xludf.DUMMYFUNCTION("""COMPUTED_VALUE"""),2.0)</f>
        <v>2</v>
      </c>
      <c r="G26" s="55">
        <f>IFERROR(__xludf.DUMMYFUNCTION("""COMPUTED_VALUE"""),0.0)</f>
        <v>0</v>
      </c>
      <c r="H26" s="56">
        <f>IFERROR(__xludf.DUMMYFUNCTION("""COMPUTED_VALUE"""),9.1)</f>
        <v>9.1</v>
      </c>
      <c r="I26" s="57">
        <f>IFERROR(__xludf.DUMMYFUNCTION("""COMPUTED_VALUE"""),0.0)</f>
        <v>0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IFERROR(__xludf.DUMMYFUNCTION("""COMPUTED_VALUE"""),3.8)</f>
        <v>3.8</v>
      </c>
      <c r="F27" s="54">
        <f>IFERROR(__xludf.DUMMYFUNCTION("""COMPUTED_VALUE"""),2.0)</f>
        <v>2</v>
      </c>
      <c r="G27" s="55">
        <f>IFERROR(__xludf.DUMMYFUNCTION("""COMPUTED_VALUE"""),0.0)</f>
        <v>0</v>
      </c>
      <c r="H27" s="56">
        <f>IFERROR(__xludf.DUMMYFUNCTION("""COMPUTED_VALUE"""),5.8)</f>
        <v>5.8</v>
      </c>
      <c r="I27" s="57">
        <f>IFERROR(__xludf.DUMMYFUNCTION("""COMPUTED_VALUE"""),1.0)</f>
        <v>1</v>
      </c>
      <c r="J27" s="58">
        <f>IFERROR(__xludf.DUMMYFUNCTION("""COMPUTED_VALUE"""),5.0)</f>
        <v>5</v>
      </c>
      <c r="K27" s="51"/>
      <c r="L27" s="60">
        <f>IFERROR(__xludf.DUMMYFUNCTION("""COMPUTED_VALUE"""),5.0)</f>
        <v>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IFERROR(__xludf.DUMMYFUNCTION("""COMPUTED_VALUE"""),8.5)</f>
        <v>8.5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IFERROR(__xludf.DUMMYFUNCTION("""COMPUTED_VALUE"""),11.5)</f>
        <v>11.5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IFERROR(__xludf.DUMMYFUNCTION("""COMPUTED_VALUE"""),12.0)</f>
        <v>12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IFERROR(__xludf.DUMMYFUNCTION("""COMPUTED_VALUE"""),7.2)</f>
        <v>7.2</v>
      </c>
      <c r="F29" s="54">
        <f>IFERROR(__xludf.DUMMYFUNCTION("""COMPUTED_VALUE"""),2.0)</f>
        <v>2</v>
      </c>
      <c r="G29" s="55">
        <f>IFERROR(__xludf.DUMMYFUNCTION("""COMPUTED_VALUE"""),0.0)</f>
        <v>0</v>
      </c>
      <c r="H29" s="56">
        <f>IFERROR(__xludf.DUMMYFUNCTION("""COMPUTED_VALUE"""),9.2)</f>
        <v>9.2</v>
      </c>
      <c r="I29" s="57">
        <f>IFERROR(__xludf.DUMMYFUNCTION("""COMPUTED_VALUE"""),0.0)</f>
        <v>0</v>
      </c>
      <c r="J29" s="58">
        <f>IFERROR(__xludf.DUMMYFUNCTION("""COMPUTED_VALUE"""),9.0)</f>
        <v>9</v>
      </c>
      <c r="K29" s="51"/>
      <c r="L29" s="60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IFERROR(__xludf.DUMMYFUNCTION("""COMPUTED_VALUE"""),7.2)</f>
        <v>7.2</v>
      </c>
      <c r="F30" s="54">
        <f>IFERROR(__xludf.DUMMYFUNCTION("""COMPUTED_VALUE"""),0.0)</f>
        <v>0</v>
      </c>
      <c r="G30" s="55">
        <f>IFERROR(__xludf.DUMMYFUNCTION("""COMPUTED_VALUE"""),0.0)</f>
        <v>0</v>
      </c>
      <c r="H30" s="56">
        <f>IFERROR(__xludf.DUMMYFUNCTION("""COMPUTED_VALUE"""),7.2)</f>
        <v>7.2</v>
      </c>
      <c r="I30" s="57">
        <f>IFERROR(__xludf.DUMMYFUNCTION("""COMPUTED_VALUE"""),2.0)</f>
        <v>2</v>
      </c>
      <c r="J30" s="58">
        <f>IFERROR(__xludf.DUMMYFUNCTION("""COMPUTED_VALUE"""),7.0)</f>
        <v>7</v>
      </c>
      <c r="K30" s="51"/>
      <c r="L30" s="60">
        <f>IFERROR(__xludf.DUMMYFUNCTION("""COMPUTED_VALUE"""),7.0)</f>
        <v>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IFERROR(__xludf.DUMMYFUNCTION("""COMPUTED_VALUE"""),7.2)</f>
        <v>7.2</v>
      </c>
      <c r="F31" s="54">
        <f>IFERROR(__xludf.DUMMYFUNCTION("""COMPUTED_VALUE"""),0.0)</f>
        <v>0</v>
      </c>
      <c r="G31" s="55">
        <f>IFERROR(__xludf.DUMMYFUNCTION("""COMPUTED_VALUE"""),0.0)</f>
        <v>0</v>
      </c>
      <c r="H31" s="56">
        <f>IFERROR(__xludf.DUMMYFUNCTION("""COMPUTED_VALUE"""),7.2)</f>
        <v>7.2</v>
      </c>
      <c r="I31" s="57">
        <f>IFERROR(__xludf.DUMMYFUNCTION("""COMPUTED_VALUE"""),1.0)</f>
        <v>1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IFERROR(__xludf.DUMMYFUNCTION("""COMPUTED_VALUE"""),6.1)</f>
        <v>6.1</v>
      </c>
      <c r="F32" s="54">
        <f>IFERROR(__xludf.DUMMYFUNCTION("""COMPUTED_VALUE"""),2.0)</f>
        <v>2</v>
      </c>
      <c r="G32" s="55">
        <f>IFERROR(__xludf.DUMMYFUNCTION("""COMPUTED_VALUE"""),0.0)</f>
        <v>0</v>
      </c>
      <c r="H32" s="56">
        <f>IFERROR(__xludf.DUMMYFUNCTION("""COMPUTED_VALUE"""),8.1)</f>
        <v>8.1</v>
      </c>
      <c r="I32" s="57">
        <f>IFERROR(__xludf.DUMMYFUNCTION("""COMPUTED_VALUE"""),0.0)</f>
        <v>0</v>
      </c>
      <c r="J32" s="58">
        <f>IFERROR(__xludf.DUMMYFUNCTION("""COMPUTED_VALUE"""),8.0)</f>
        <v>8</v>
      </c>
      <c r="K32" s="51"/>
      <c r="L32" s="60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IFERROR(__xludf.DUMMYFUNCTION("""COMPUTED_VALUE"""),5.6)</f>
        <v>5.6</v>
      </c>
      <c r="F33" s="54">
        <f>IFERROR(__xludf.DUMMYFUNCTION("""COMPUTED_VALUE"""),2.0)</f>
        <v>2</v>
      </c>
      <c r="G33" s="55">
        <f>IFERROR(__xludf.DUMMYFUNCTION("""COMPUTED_VALUE"""),0.0)</f>
        <v>0</v>
      </c>
      <c r="H33" s="56">
        <f>IFERROR(__xludf.DUMMYFUNCTION("""COMPUTED_VALUE"""),7.6)</f>
        <v>7.6</v>
      </c>
      <c r="I33" s="57">
        <f>IFERROR(__xludf.DUMMYFUNCTION("""COMPUTED_VALUE"""),0.0)</f>
        <v>0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IFERROR(__xludf.DUMMYFUNCTION("""COMPUTED_VALUE"""),6.8)</f>
        <v>6.8</v>
      </c>
      <c r="F34" s="54">
        <f>IFERROR(__xludf.DUMMYFUNCTION("""COMPUTED_VALUE"""),2.0)</f>
        <v>2</v>
      </c>
      <c r="G34" s="55">
        <f>IFERROR(__xludf.DUMMYFUNCTION("""COMPUTED_VALUE"""),0.0)</f>
        <v>0</v>
      </c>
      <c r="H34" s="56">
        <f>IFERROR(__xludf.DUMMYFUNCTION("""COMPUTED_VALUE"""),8.8)</f>
        <v>8.8</v>
      </c>
      <c r="I34" s="57">
        <f>IFERROR(__xludf.DUMMYFUNCTION("""COMPUTED_VALUE"""),0.0)</f>
        <v>0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IFERROR(__xludf.DUMMYFUNCTION("""COMPUTED_VALUE"""),3.1)</f>
        <v>3.1</v>
      </c>
      <c r="F35" s="54">
        <f>IFERROR(__xludf.DUMMYFUNCTION("""COMPUTED_VALUE"""),0.0)</f>
        <v>0</v>
      </c>
      <c r="G35" s="55">
        <f>IFERROR(__xludf.DUMMYFUNCTION("""COMPUTED_VALUE"""),0.0)</f>
        <v>0</v>
      </c>
      <c r="H35" s="56">
        <f>IFERROR(__xludf.DUMMYFUNCTION("""COMPUTED_VALUE"""),3.1)</f>
        <v>3.1</v>
      </c>
      <c r="I35" s="57">
        <f>IFERROR(__xludf.DUMMYFUNCTION("""COMPUTED_VALUE"""),6.0)</f>
        <v>6</v>
      </c>
      <c r="J35" s="58">
        <f>IFERROR(__xludf.DUMMYFUNCTION("""COMPUTED_VALUE"""),5.0)</f>
        <v>5</v>
      </c>
      <c r="K35" s="51"/>
      <c r="L35" s="60">
        <f>IFERROR(__xludf.DUMMYFUNCTION("""COMPUTED_VALUE"""),3.0)</f>
        <v>3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IFERROR(__xludf.DUMMYFUNCTION("""COMPUTED_VALUE"""),6.2)</f>
        <v>6.2</v>
      </c>
      <c r="F36" s="54">
        <f>IFERROR(__xludf.DUMMYFUNCTION("""COMPUTED_VALUE"""),2.0)</f>
        <v>2</v>
      </c>
      <c r="G36" s="55">
        <f>IFERROR(__xludf.DUMMYFUNCTION("""COMPUTED_VALUE"""),0.0)</f>
        <v>0</v>
      </c>
      <c r="H36" s="56">
        <f>IFERROR(__xludf.DUMMYFUNCTION("""COMPUTED_VALUE"""),8.2)</f>
        <v>8.2</v>
      </c>
      <c r="I36" s="57">
        <f>IFERROR(__xludf.DUMMYFUNCTION("""COMPUTED_VALUE"""),0.0)</f>
        <v>0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IFERROR(__xludf.DUMMYFUNCTION("""COMPUTED_VALUE"""),6.6)</f>
        <v>6.6</v>
      </c>
      <c r="F37" s="54">
        <f>IFERROR(__xludf.DUMMYFUNCTION("""COMPUTED_VALUE"""),2.0)</f>
        <v>2</v>
      </c>
      <c r="G37" s="55">
        <f>IFERROR(__xludf.DUMMYFUNCTION("""COMPUTED_VALUE"""),0.0)</f>
        <v>0</v>
      </c>
      <c r="H37" s="56">
        <f>IFERROR(__xludf.DUMMYFUNCTION("""COMPUTED_VALUE"""),8.6)</f>
        <v>8.6</v>
      </c>
      <c r="I37" s="57">
        <f>IFERROR(__xludf.DUMMYFUNCTION("""COMPUTED_VALUE"""),0.0)</f>
        <v>0</v>
      </c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IFERROR(__xludf.DUMMYFUNCTION("""COMPUTED_VALUE"""),7.7)</f>
        <v>7.7</v>
      </c>
      <c r="F38" s="54">
        <f>IFERROR(__xludf.DUMMYFUNCTION("""COMPUTED_VALUE"""),2.0)</f>
        <v>2</v>
      </c>
      <c r="G38" s="55">
        <f>IFERROR(__xludf.DUMMYFUNCTION("""COMPUTED_VALUE"""),0.0)</f>
        <v>0</v>
      </c>
      <c r="H38" s="56">
        <f>IFERROR(__xludf.DUMMYFUNCTION("""COMPUTED_VALUE"""),9.7)</f>
        <v>9.7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IFERROR(__xludf.DUMMYFUNCTION("""COMPUTED_VALUE"""),5.8)</f>
        <v>5.8</v>
      </c>
      <c r="F39" s="54">
        <f>IFERROR(__xludf.DUMMYFUNCTION("""COMPUTED_VALUE"""),2.0)</f>
        <v>2</v>
      </c>
      <c r="G39" s="55">
        <f>IFERROR(__xludf.DUMMYFUNCTION("""COMPUTED_VALUE"""),0.0)</f>
        <v>0</v>
      </c>
      <c r="H39" s="56">
        <f>IFERROR(__xludf.DUMMYFUNCTION("""COMPUTED_VALUE"""),7.8)</f>
        <v>7.8</v>
      </c>
      <c r="I39" s="57">
        <f>IFERROR(__xludf.DUMMYFUNCTION("""COMPUTED_VALUE"""),0.0)</f>
        <v>0</v>
      </c>
      <c r="J39" s="58">
        <f>IFERROR(__xludf.DUMMYFUNCTION("""COMPUTED_VALUE"""),8.0)</f>
        <v>8</v>
      </c>
      <c r="K39" s="51"/>
      <c r="L39" s="60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IFERROR(__xludf.DUMMYFUNCTION("""COMPUTED_VALUE"""),5.5)</f>
        <v>5.5</v>
      </c>
      <c r="F40" s="54">
        <f>IFERROR(__xludf.DUMMYFUNCTION("""COMPUTED_VALUE"""),2.0)</f>
        <v>2</v>
      </c>
      <c r="G40" s="55">
        <f>IFERROR(__xludf.DUMMYFUNCTION("""COMPUTED_VALUE"""),0.0)</f>
        <v>0</v>
      </c>
      <c r="H40" s="56">
        <f>IFERROR(__xludf.DUMMYFUNCTION("""COMPUTED_VALUE"""),7.5)</f>
        <v>7.5</v>
      </c>
      <c r="I40" s="57">
        <f>IFERROR(__xludf.DUMMYFUNCTION("""COMPUTED_VALUE"""),2.0)</f>
        <v>2</v>
      </c>
      <c r="J40" s="58">
        <f>IFERROR(__xludf.DUMMYFUNCTION("""COMPUTED_VALUE"""),8.0)</f>
        <v>8</v>
      </c>
      <c r="K40" s="51"/>
      <c r="L40" s="60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IFERROR(__xludf.DUMMYFUNCTION("""COMPUTED_VALUE"""),7.7)</f>
        <v>7.7</v>
      </c>
      <c r="F41" s="54">
        <f>IFERROR(__xludf.DUMMYFUNCTION("""COMPUTED_VALUE"""),2.0)</f>
        <v>2</v>
      </c>
      <c r="G41" s="55">
        <f>IFERROR(__xludf.DUMMYFUNCTION("""COMPUTED_VALUE"""),0.0)</f>
        <v>0</v>
      </c>
      <c r="H41" s="56">
        <f>IFERROR(__xludf.DUMMYFUNCTION("""COMPUTED_VALUE"""),9.7)</f>
        <v>9.7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IFERROR(__xludf.DUMMYFUNCTION("""COMPUTED_VALUE"""),4.1)</f>
        <v>4.1</v>
      </c>
      <c r="F42" s="54">
        <f>IFERROR(__xludf.DUMMYFUNCTION("""COMPUTED_VALUE"""),2.0)</f>
        <v>2</v>
      </c>
      <c r="G42" s="55">
        <f>IFERROR(__xludf.DUMMYFUNCTION("""COMPUTED_VALUE"""),0.0)</f>
        <v>0</v>
      </c>
      <c r="H42" s="56">
        <f>IFERROR(__xludf.DUMMYFUNCTION("""COMPUTED_VALUE"""),6.1)</f>
        <v>6.1</v>
      </c>
      <c r="I42" s="57">
        <f>IFERROR(__xludf.DUMMYFUNCTION("""COMPUTED_VALUE"""),1.0)</f>
        <v>1</v>
      </c>
      <c r="J42" s="58">
        <f>IFERROR(__xludf.DUMMYFUNCTION("""COMPUTED_VALUE"""),6.0)</f>
        <v>6</v>
      </c>
      <c r="K42" s="51"/>
      <c r="L42" s="60">
        <f>IFERROR(__xludf.DUMMYFUNCTION("""COMPUTED_VALUE"""),6.0)</f>
        <v>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IFERROR(__xludf.DUMMYFUNCTION("""COMPUTED_VALUE"""),5.3)</f>
        <v>5.3</v>
      </c>
      <c r="F43" s="54">
        <f>IFERROR(__xludf.DUMMYFUNCTION("""COMPUTED_VALUE"""),2.0)</f>
        <v>2</v>
      </c>
      <c r="G43" s="55">
        <f>IFERROR(__xludf.DUMMYFUNCTION("""COMPUTED_VALUE"""),0.0)</f>
        <v>0</v>
      </c>
      <c r="H43" s="56">
        <f>IFERROR(__xludf.DUMMYFUNCTION("""COMPUTED_VALUE"""),7.3)</f>
        <v>7.3</v>
      </c>
      <c r="I43" s="57">
        <f>IFERROR(__xludf.DUMMYFUNCTION("""COMPUTED_VALUE"""),0.0)</f>
        <v>0</v>
      </c>
      <c r="J43" s="58">
        <f>IFERROR(__xludf.DUMMYFUNCTION("""COMPUTED_VALUE"""),7.0)</f>
        <v>7</v>
      </c>
      <c r="K43" s="51"/>
      <c r="L43" s="60">
        <f>IFERROR(__xludf.DUMMYFUNCTION("""COMPUTED_VALUE"""),7.0)</f>
        <v>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IFERROR(__xludf.DUMMYFUNCTION("""COMPUTED_VALUE"""),1.9)</f>
        <v>1.9</v>
      </c>
      <c r="F44" s="54">
        <f>IFERROR(__xludf.DUMMYFUNCTION("""COMPUTED_VALUE"""),2.0)</f>
        <v>2</v>
      </c>
      <c r="G44" s="55">
        <f>IFERROR(__xludf.DUMMYFUNCTION("""COMPUTED_VALUE"""),0.0)</f>
        <v>0</v>
      </c>
      <c r="H44" s="56">
        <f>IFERROR(__xludf.DUMMYFUNCTION("""COMPUTED_VALUE"""),3.9)</f>
        <v>3.9</v>
      </c>
      <c r="I44" s="57">
        <f>IFERROR(__xludf.DUMMYFUNCTION("""COMPUTED_VALUE"""),2.0)</f>
        <v>2</v>
      </c>
      <c r="J44" s="58">
        <f>IFERROR(__xludf.DUMMYFUNCTION("""COMPUTED_VALUE"""),5.0)</f>
        <v>5</v>
      </c>
      <c r="K44" s="51"/>
      <c r="L44" s="60">
        <f>IFERROR(__xludf.DUMMYFUNCTION("""COMPUTED_VALUE"""),3.0)</f>
        <v>3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IFERROR(__xludf.DUMMYFUNCTION("""COMPUTED_VALUE"""),7.2)</f>
        <v>7.2</v>
      </c>
      <c r="F45" s="54">
        <f>IFERROR(__xludf.DUMMYFUNCTION("""COMPUTED_VALUE"""),2.0)</f>
        <v>2</v>
      </c>
      <c r="G45" s="55">
        <f>IFERROR(__xludf.DUMMYFUNCTION("""COMPUTED_VALUE"""),0.0)</f>
        <v>0</v>
      </c>
      <c r="H45" s="56">
        <f>IFERROR(__xludf.DUMMYFUNCTION("""COMPUTED_VALUE"""),9.2)</f>
        <v>9.2</v>
      </c>
      <c r="I45" s="57">
        <f>IFERROR(__xludf.DUMMYFUNCTION("""COMPUTED_VALUE"""),0.0)</f>
        <v>0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IFERROR(__xludf.DUMMYFUNCTION("""COMPUTED_VALUE"""),8.5)</f>
        <v>8.5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IFERROR(__xludf.DUMMYFUNCTION("""COMPUTED_VALUE"""),11.5)</f>
        <v>11.5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IFERROR(__xludf.DUMMYFUNCTION("""COMPUTED_VALUE"""),12.0)</f>
        <v>12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IFERROR(__xludf.DUMMYFUNCTION("""COMPUTED_VALUE"""),8.5)</f>
        <v>8.5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IFERROR(__xludf.DUMMYFUNCTION("""COMPUTED_VALUE"""),11.5)</f>
        <v>11.5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IFERROR(__xludf.DUMMYFUNCTION("""COMPUTED_VALUE"""),12.0)</f>
        <v>12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IFERROR(__xludf.DUMMYFUNCTION("""COMPUTED_VALUE"""),8.5)</f>
        <v>8.5</v>
      </c>
      <c r="F48" s="54">
        <f>IFERROR(__xludf.DUMMYFUNCTION("""COMPUTED_VALUE"""),2.0)</f>
        <v>2</v>
      </c>
      <c r="G48" s="55">
        <f>IFERROR(__xludf.DUMMYFUNCTION("""COMPUTED_VALUE"""),1.0)</f>
        <v>1</v>
      </c>
      <c r="H48" s="56">
        <f>IFERROR(__xludf.DUMMYFUNCTION("""COMPUTED_VALUE"""),11.5)</f>
        <v>11.5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IFERROR(__xludf.DUMMYFUNCTION("""COMPUTED_VALUE"""),12.0)</f>
        <v>12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IFERROR(__xludf.DUMMYFUNCTION("""COMPUTED_VALUE"""),8.5)</f>
        <v>8.5</v>
      </c>
      <c r="F49" s="54">
        <f>IFERROR(__xludf.DUMMYFUNCTION("""COMPUTED_VALUE"""),2.0)</f>
        <v>2</v>
      </c>
      <c r="G49" s="55">
        <f>IFERROR(__xludf.DUMMYFUNCTION("""COMPUTED_VALUE"""),1.0)</f>
        <v>1</v>
      </c>
      <c r="H49" s="56">
        <f>IFERROR(__xludf.DUMMYFUNCTION("""COMPUTED_VALUE"""),11.5)</f>
        <v>11.5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IFERROR(__xludf.DUMMYFUNCTION("""COMPUTED_VALUE"""),12.0)</f>
        <v>12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IFERROR(__xludf.DUMMYFUNCTION("""COMPUTED_VALUE"""),7.7)</f>
        <v>7.7</v>
      </c>
      <c r="F50" s="54">
        <f>IFERROR(__xludf.DUMMYFUNCTION("""COMPUTED_VALUE"""),2.0)</f>
        <v>2</v>
      </c>
      <c r="G50" s="55">
        <f>IFERROR(__xludf.DUMMYFUNCTION("""COMPUTED_VALUE"""),1.0)</f>
        <v>1</v>
      </c>
      <c r="H50" s="56">
        <f>IFERROR(__xludf.DUMMYFUNCTION("""COMPUTED_VALUE"""),10.7)</f>
        <v>10.7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IFERROR(__xludf.DUMMYFUNCTION("""COMPUTED_VALUE"""),11.0)</f>
        <v>11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IFERROR(__xludf.DUMMYFUNCTION("""COMPUTED_VALUE"""),6.2)</f>
        <v>6.2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IFERROR(__xludf.DUMMYFUNCTION("""COMPUTED_VALUE"""),9.2)</f>
        <v>9.2</v>
      </c>
      <c r="I51" s="57">
        <f>IFERROR(__xludf.DUMMYFUNCTION("""COMPUTED_VALUE"""),2.0)</f>
        <v>2</v>
      </c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IFERROR(__xludf.DUMMYFUNCTION("""COMPUTED_VALUE"""),6.9)</f>
        <v>6.9</v>
      </c>
      <c r="F52" s="54">
        <f>IFERROR(__xludf.DUMMYFUNCTION("""COMPUTED_VALUE"""),2.0)</f>
        <v>2</v>
      </c>
      <c r="G52" s="55">
        <f>IFERROR(__xludf.DUMMYFUNCTION("""COMPUTED_VALUE"""),0.0)</f>
        <v>0</v>
      </c>
      <c r="H52" s="56">
        <f>IFERROR(__xludf.DUMMYFUNCTION("""COMPUTED_VALUE"""),8.9)</f>
        <v>8.9</v>
      </c>
      <c r="I52" s="57">
        <f>IFERROR(__xludf.DUMMYFUNCTION("""COMPUTED_VALUE"""),0.0)</f>
        <v>0</v>
      </c>
      <c r="J52" s="58">
        <f>IFERROR(__xludf.DUMMYFUNCTION("""COMPUTED_VALUE"""),9.0)</f>
        <v>9</v>
      </c>
      <c r="K52" s="51"/>
      <c r="L52" s="59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IFERROR(__xludf.DUMMYFUNCTION("""COMPUTED_VALUE"""),3.6)</f>
        <v>3.6</v>
      </c>
      <c r="F53" s="54">
        <f>IFERROR(__xludf.DUMMYFUNCTION("""COMPUTED_VALUE"""),0.0)</f>
        <v>0</v>
      </c>
      <c r="G53" s="55">
        <f>IFERROR(__xludf.DUMMYFUNCTION("""COMPUTED_VALUE"""),0.0)</f>
        <v>0</v>
      </c>
      <c r="H53" s="56">
        <f>IFERROR(__xludf.DUMMYFUNCTION("""COMPUTED_VALUE"""),3.6)</f>
        <v>3.6</v>
      </c>
      <c r="I53" s="57">
        <f>IFERROR(__xludf.DUMMYFUNCTION("""COMPUTED_VALUE"""),2.0)</f>
        <v>2</v>
      </c>
      <c r="J53" s="58">
        <f>IFERROR(__xludf.DUMMYFUNCTION("""COMPUTED_VALUE"""),5.0)</f>
        <v>5</v>
      </c>
      <c r="K53" s="51"/>
      <c r="L53" s="59">
        <f>IFERROR(__xludf.DUMMYFUNCTION("""COMPUTED_VALUE"""),3.0)</f>
        <v>3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IFERROR(__xludf.DUMMYFUNCTION("""COMPUTED_VALUE"""),7.5)</f>
        <v>7.5</v>
      </c>
      <c r="F54" s="54">
        <f>IFERROR(__xludf.DUMMYFUNCTION("""COMPUTED_VALUE"""),2.0)</f>
        <v>2</v>
      </c>
      <c r="G54" s="55">
        <f>IFERROR(__xludf.DUMMYFUNCTION("""COMPUTED_VALUE"""),0.0)</f>
        <v>0</v>
      </c>
      <c r="H54" s="56">
        <f>IFERROR(__xludf.DUMMYFUNCTION("""COMPUTED_VALUE"""),9.5)</f>
        <v>9.5</v>
      </c>
      <c r="I54" s="57">
        <f>IFERROR(__xludf.DUMMYFUNCTION("""COMPUTED_VALUE"""),0.0)</f>
        <v>0</v>
      </c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IFERROR(__xludf.DUMMYFUNCTION("""COMPUTED_VALUE"""),7.0)</f>
        <v>7</v>
      </c>
      <c r="F55" s="54">
        <f>IFERROR(__xludf.DUMMYFUNCTION("""COMPUTED_VALUE"""),2.0)</f>
        <v>2</v>
      </c>
      <c r="G55" s="55">
        <f>IFERROR(__xludf.DUMMYFUNCTION("""COMPUTED_VALUE"""),0.0)</f>
        <v>0</v>
      </c>
      <c r="H55" s="56">
        <f>IFERROR(__xludf.DUMMYFUNCTION("""COMPUTED_VALUE"""),9.0)</f>
        <v>9</v>
      </c>
      <c r="I55" s="61">
        <f>IFERROR(__xludf.DUMMYFUNCTION("""COMPUTED_VALUE"""),0.0)</f>
        <v>0</v>
      </c>
      <c r="J55" s="58">
        <f>IFERROR(__xludf.DUMMYFUNCTION("""COMPUTED_VALUE"""),9.0)</f>
        <v>9</v>
      </c>
      <c r="K55" s="51"/>
      <c r="L55" s="59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IFERROR(__xludf.DUMMYFUNCTION("""COMPUTED_VALUE"""),8.7)</f>
        <v>8.7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IFERROR(__xludf.DUMMYFUNCTION("""COMPUTED_VALUE"""),11.7)</f>
        <v>11.7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IFERROR(__xludf.DUMMYFUNCTION("""COMPUTED_VALUE"""),12.0)</f>
        <v>12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IFERROR(__xludf.DUMMYFUNCTION("""COMPUTED_VALUE"""),34.0)</f>
        <v>34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IFERROR(__xludf.DUMMYFUNCTION("""COMPUTED_VALUE"""),6.0)</f>
        <v>6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IFERROR(__xludf.DUMMYFUNCTION("""COMPUTED_VALUE"""),85.0)</f>
        <v>85</v>
      </c>
      <c r="E63" s="62"/>
      <c r="F63" s="86" t="str">
        <f>IFERROR(__xludf.DUMMYFUNCTION("""COMPUTED_VALUE"""),"PROFR. IVÁN HERNÁNDEZ PÉREZ")</f>
        <v>PROFR. IVÁN HERNÁNDEZ PÉREZ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IFERROR(__xludf.DUMMYFUNCTION("""COMPUTED_VALUE"""),8.3)</f>
        <v>8.3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4 K17:K62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IFERROR(__xludf.DUMMYFUNCTION("IMPORTRANGE(""https://docs.google.com/spreadsheets/d/1hdYffmd0I-t7zVuUXVNptIyuEnU72VzHq_pRAqyBL98/edit?gid=868681460#gid=868681460"",""3-2 paginas web!A1:Q85"")"),"")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/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IFERROR(__xludf.DUMMYFUNCTION("""COMPUTED_VALUE"""),"PÁGINAS WEB")</f>
        <v>PÁGINAS WEB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IFERROR(__xludf.DUMMYFUNCTION("""COMPUTED_VALUE"""),1.0)</f>
        <v>1</v>
      </c>
      <c r="F18" s="54">
        <f>IFERROR(__xludf.DUMMYFUNCTION("""COMPUTED_VALUE"""),2.0)</f>
        <v>2</v>
      </c>
      <c r="G18" s="55"/>
      <c r="H18" s="56">
        <f>IFERROR(__xludf.DUMMYFUNCTION("""COMPUTED_VALUE"""),3.0)</f>
        <v>3</v>
      </c>
      <c r="I18" s="57">
        <f>IFERROR(__xludf.DUMMYFUNCTION("""COMPUTED_VALUE"""),1.0)</f>
        <v>1</v>
      </c>
      <c r="J18" s="58">
        <f>IFERROR(__xludf.DUMMYFUNCTION("""COMPUTED_VALUE"""),5.0)</f>
        <v>5</v>
      </c>
      <c r="K18" s="51"/>
      <c r="L18" s="60">
        <f>IFERROR(__xludf.DUMMYFUNCTION("""COMPUTED_VALUE"""),3.0)</f>
        <v>3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IFERROR(__xludf.DUMMYFUNCTION("""COMPUTED_VALUE"""),8.0)</f>
        <v>8</v>
      </c>
      <c r="F19" s="54">
        <f>IFERROR(__xludf.DUMMYFUNCTION("""COMPUTED_VALUE"""),2.0)</f>
        <v>2</v>
      </c>
      <c r="G19" s="55"/>
      <c r="H19" s="56">
        <f>IFERROR(__xludf.DUMMYFUNCTION("""COMPUTED_VALUE"""),10.0)</f>
        <v>10</v>
      </c>
      <c r="I19" s="57">
        <f>IFERROR(__xludf.DUMMYFUNCTION("""COMPUTED_VALUE"""),1.0)</f>
        <v>1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IFERROR(__xludf.DUMMYFUNCTION("""COMPUTED_VALUE"""),11.0)</f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IFERROR(__xludf.DUMMYFUNCTION("""COMPUTED_VALUE"""),5.0)</f>
        <v>5</v>
      </c>
      <c r="F20" s="54">
        <f>IFERROR(__xludf.DUMMYFUNCTION("""COMPUTED_VALUE"""),2.0)</f>
        <v>2</v>
      </c>
      <c r="G20" s="55"/>
      <c r="H20" s="56">
        <f>IFERROR(__xludf.DUMMYFUNCTION("""COMPUTED_VALUE"""),7.0)</f>
        <v>7</v>
      </c>
      <c r="I20" s="57">
        <f>IFERROR(__xludf.DUMMYFUNCTION("""COMPUTED_VALUE"""),2.0)</f>
        <v>2</v>
      </c>
      <c r="J20" s="58">
        <f>IFERROR(__xludf.DUMMYFUNCTION("""COMPUTED_VALUE"""),7.0)</f>
        <v>7</v>
      </c>
      <c r="K20" s="51"/>
      <c r="L20" s="60">
        <f>IFERROR(__xludf.DUMMYFUNCTION("""COMPUTED_VALUE"""),7.0)</f>
        <v>7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>
        <f>IFERROR(__xludf.DUMMYFUNCTION("""COMPUTED_VALUE"""),2.0)</f>
        <v>2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IFERROR(__xludf.DUMMYFUNCTION("""COMPUTED_VALUE"""),10.0)</f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IFERROR(__xludf.DUMMYFUNCTION("""COMPUTED_VALUE"""),1.0)</f>
        <v>1</v>
      </c>
      <c r="F22" s="54">
        <f>IFERROR(__xludf.DUMMYFUNCTION("""COMPUTED_VALUE"""),2.0)</f>
        <v>2</v>
      </c>
      <c r="G22" s="55"/>
      <c r="H22" s="56">
        <f>IFERROR(__xludf.DUMMYFUNCTION("""COMPUTED_VALUE"""),3.0)</f>
        <v>3</v>
      </c>
      <c r="I22" s="57">
        <f>IFERROR(__xludf.DUMMYFUNCTION("""COMPUTED_VALUE"""),2.0)</f>
        <v>2</v>
      </c>
      <c r="J22" s="58">
        <f>IFERROR(__xludf.DUMMYFUNCTION("""COMPUTED_VALUE"""),5.0)</f>
        <v>5</v>
      </c>
      <c r="K22" s="51"/>
      <c r="L22" s="60">
        <f>IFERROR(__xludf.DUMMYFUNCTION("""COMPUTED_VALUE"""),3.0)</f>
        <v>3</v>
      </c>
      <c r="M22" s="1" t="str">
        <f>IFERROR(__xludf.DUMMYFUNCTION("""COMPUTED_VALUE"""),"Junio")</f>
        <v>Junio</v>
      </c>
      <c r="N22" s="1">
        <f>IFERROR(__xludf.DUMMYFUNCTION("""COMPUTED_VALUE"""),12.0)</f>
        <v>12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IFERROR(__xludf.DUMMYFUNCTION("""COMPUTED_VALUE"""),8.0)</f>
        <v>8</v>
      </c>
      <c r="F23" s="54">
        <f>IFERROR(__xludf.DUMMYFUNCTION("""COMPUTED_VALUE"""),2.0)</f>
        <v>2</v>
      </c>
      <c r="G23" s="55"/>
      <c r="H23" s="56">
        <f>IFERROR(__xludf.DUMMYFUNCTION("""COMPUTED_VALUE"""),10.0)</f>
        <v>10</v>
      </c>
      <c r="I23" s="57">
        <f>IFERROR(__xludf.DUMMYFUNCTION("""COMPUTED_VALUE"""),0.0)</f>
        <v>0</v>
      </c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IFERROR(__xludf.DUMMYFUNCTION("""COMPUTED_VALUE"""),4.0)</f>
        <v>4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IFERROR(__xludf.DUMMYFUNCTION("""COMPUTED_VALUE"""),7.0)</f>
        <v>7</v>
      </c>
      <c r="I24" s="57">
        <f>IFERROR(__xludf.DUMMYFUNCTION("""COMPUTED_VALUE"""),2.0)</f>
        <v>2</v>
      </c>
      <c r="J24" s="58">
        <f>IFERROR(__xludf.DUMMYFUNCTION("""COMPUTED_VALUE"""),7.0)</f>
        <v>7</v>
      </c>
      <c r="K24" s="51"/>
      <c r="L24" s="60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IFERROR(__xludf.DUMMYFUNCTION("""COMPUTED_VALUE"""),55.0)</f>
        <v>55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IFERROR(__xludf.DUMMYFUNCTION("""COMPUTED_VALUE"""),11.0)</f>
        <v>11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IFERROR(__xludf.DUMMYFUNCTION("""COMPUTED_VALUE"""),11.0)</f>
        <v>11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IFERROR(__xludf.DUMMYFUNCTION("""COMPUTED_VALUE"""),7.0)</f>
        <v>7</v>
      </c>
      <c r="F26" s="54">
        <f>IFERROR(__xludf.DUMMYFUNCTION("""COMPUTED_VALUE"""),2.0)</f>
        <v>2</v>
      </c>
      <c r="G26" s="55"/>
      <c r="H26" s="56">
        <f>IFERROR(__xludf.DUMMYFUNCTION("""COMPUTED_VALUE"""),9.0)</f>
        <v>9</v>
      </c>
      <c r="I26" s="57">
        <f>IFERROR(__xludf.DUMMYFUNCTION("""COMPUTED_VALUE"""),1.0)</f>
        <v>1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IFERROR(__xludf.DUMMYFUNCTION("""COMPUTED_VALUE"""),7.0)</f>
        <v>7</v>
      </c>
      <c r="F27" s="54">
        <f>IFERROR(__xludf.DUMMYFUNCTION("""COMPUTED_VALUE"""),2.0)</f>
        <v>2</v>
      </c>
      <c r="G27" s="55"/>
      <c r="H27" s="56">
        <f>IFERROR(__xludf.DUMMYFUNCTION("""COMPUTED_VALUE"""),9.0)</f>
        <v>9</v>
      </c>
      <c r="I27" s="57">
        <f>IFERROR(__xludf.DUMMYFUNCTION("""COMPUTED_VALUE"""),0.0)</f>
        <v>0</v>
      </c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IFERROR(__xludf.DUMMYFUNCTION("""COMPUTED_VALUE"""),11.0)</f>
        <v>11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IFERROR(__xludf.DUMMYFUNCTION("""COMPUTED_VALUE"""),11.0)</f>
        <v>11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IFERROR(__xludf.DUMMYFUNCTION("""COMPUTED_VALUE"""),1.0)</f>
        <v>1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IFERROR(__xludf.DUMMYFUNCTION("""COMPUTED_VALUE"""),4.0)</f>
        <v>4</v>
      </c>
      <c r="F30" s="54">
        <f>IFERROR(__xludf.DUMMYFUNCTION("""COMPUTED_VALUE"""),2.0)</f>
        <v>2</v>
      </c>
      <c r="G30" s="55"/>
      <c r="H30" s="56">
        <f>IFERROR(__xludf.DUMMYFUNCTION("""COMPUTED_VALUE"""),6.0)</f>
        <v>6</v>
      </c>
      <c r="I30" s="57">
        <f>IFERROR(__xludf.DUMMYFUNCTION("""COMPUTED_VALUE"""),1.0)</f>
        <v>1</v>
      </c>
      <c r="J30" s="58">
        <f>IFERROR(__xludf.DUMMYFUNCTION("""COMPUTED_VALUE"""),6.0)</f>
        <v>6</v>
      </c>
      <c r="K30" s="51"/>
      <c r="L30" s="60">
        <f>IFERROR(__xludf.DUMMYFUNCTION("""COMPUTED_VALUE"""),6.0)</f>
        <v>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IFERROR(__xludf.DUMMYFUNCTION("""COMPUTED_VALUE"""),5.0)</f>
        <v>5</v>
      </c>
      <c r="F31" s="54">
        <f>IFERROR(__xludf.DUMMYFUNCTION("""COMPUTED_VALUE"""),2.0)</f>
        <v>2</v>
      </c>
      <c r="G31" s="55"/>
      <c r="H31" s="56">
        <f>IFERROR(__xludf.DUMMYFUNCTION("""COMPUTED_VALUE"""),7.0)</f>
        <v>7</v>
      </c>
      <c r="I31" s="57">
        <f>IFERROR(__xludf.DUMMYFUNCTION("""COMPUTED_VALUE"""),1.0)</f>
        <v>1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IFERROR(__xludf.DUMMYFUNCTION("""COMPUTED_VALUE"""),7.0)</f>
        <v>7</v>
      </c>
      <c r="F32" s="54">
        <f>IFERROR(__xludf.DUMMYFUNCTION("""COMPUTED_VALUE"""),2.0)</f>
        <v>2</v>
      </c>
      <c r="G32" s="55"/>
      <c r="H32" s="56">
        <f>IFERROR(__xludf.DUMMYFUNCTION("""COMPUTED_VALUE"""),9.0)</f>
        <v>9</v>
      </c>
      <c r="I32" s="57">
        <f>IFERROR(__xludf.DUMMYFUNCTION("""COMPUTED_VALUE"""),2.0)</f>
        <v>2</v>
      </c>
      <c r="J32" s="58">
        <f>IFERROR(__xludf.DUMMYFUNCTION("""COMPUTED_VALUE"""),9.0)</f>
        <v>9</v>
      </c>
      <c r="K32" s="51"/>
      <c r="L32" s="60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IFERROR(__xludf.DUMMYFUNCTION("""COMPUTED_VALUE"""),7.0)</f>
        <v>7</v>
      </c>
      <c r="F33" s="54">
        <f>IFERROR(__xludf.DUMMYFUNCTION("""COMPUTED_VALUE"""),2.0)</f>
        <v>2</v>
      </c>
      <c r="G33" s="55"/>
      <c r="H33" s="56">
        <f>IFERROR(__xludf.DUMMYFUNCTION("""COMPUTED_VALUE"""),9.0)</f>
        <v>9</v>
      </c>
      <c r="I33" s="57">
        <f>IFERROR(__xludf.DUMMYFUNCTION("""COMPUTED_VALUE"""),2.0)</f>
        <v>2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IFERROR(__xludf.DUMMYFUNCTION("""COMPUTED_VALUE"""),2.0)</f>
        <v>2</v>
      </c>
      <c r="F34" s="54">
        <f>IFERROR(__xludf.DUMMYFUNCTION("""COMPUTED_VALUE"""),2.0)</f>
        <v>2</v>
      </c>
      <c r="G34" s="55"/>
      <c r="H34" s="56">
        <f>IFERROR(__xludf.DUMMYFUNCTION("""COMPUTED_VALUE"""),4.0)</f>
        <v>4</v>
      </c>
      <c r="I34" s="57">
        <f>IFERROR(__xludf.DUMMYFUNCTION("""COMPUTED_VALUE"""),1.0)</f>
        <v>1</v>
      </c>
      <c r="J34" s="58">
        <f>IFERROR(__xludf.DUMMYFUNCTION("""COMPUTED_VALUE"""),5.0)</f>
        <v>5</v>
      </c>
      <c r="K34" s="51"/>
      <c r="L34" s="60">
        <f>IFERROR(__xludf.DUMMYFUNCTION("""COMPUTED_VALUE"""),4.0)</f>
        <v>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/>
      <c r="F35" s="54">
        <f>IFERROR(__xludf.DUMMYFUNCTION("""COMPUTED_VALUE"""),2.0)</f>
        <v>2</v>
      </c>
      <c r="G35" s="55"/>
      <c r="H35" s="56">
        <f>IFERROR(__xludf.DUMMYFUNCTION("""COMPUTED_VALUE"""),2.0)</f>
        <v>2</v>
      </c>
      <c r="I35" s="57">
        <f>IFERROR(__xludf.DUMMYFUNCTION("""COMPUTED_VALUE"""),1.0)</f>
        <v>1</v>
      </c>
      <c r="J35" s="58">
        <f>IFERROR(__xludf.DUMMYFUNCTION("""COMPUTED_VALUE"""),5.0)</f>
        <v>5</v>
      </c>
      <c r="K35" s="51"/>
      <c r="L35" s="60">
        <f>IFERROR(__xludf.DUMMYFUNCTION("""COMPUTED_VALUE"""),2.0)</f>
        <v>2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IFERROR(__xludf.DUMMYFUNCTION("""COMPUTED_VALUE"""),8.0)</f>
        <v>8</v>
      </c>
      <c r="F36" s="54">
        <f>IFERROR(__xludf.DUMMYFUNCTION("""COMPUTED_VALUE"""),2.0)</f>
        <v>2</v>
      </c>
      <c r="G36" s="55"/>
      <c r="H36" s="56">
        <f>IFERROR(__xludf.DUMMYFUNCTION("""COMPUTED_VALUE"""),10.0)</f>
        <v>10</v>
      </c>
      <c r="I36" s="57">
        <f>IFERROR(__xludf.DUMMYFUNCTION("""COMPUTED_VALUE"""),1.0)</f>
        <v>1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IFERROR(__xludf.DUMMYFUNCTION("""COMPUTED_VALUE"""),8.0)</f>
        <v>8</v>
      </c>
      <c r="F37" s="54">
        <f>IFERROR(__xludf.DUMMYFUNCTION("""COMPUTED_VALUE"""),2.0)</f>
        <v>2</v>
      </c>
      <c r="G37" s="55"/>
      <c r="H37" s="56">
        <f>IFERROR(__xludf.DUMMYFUNCTION("""COMPUTED_VALUE"""),10.0)</f>
        <v>10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IFERROR(__xludf.DUMMYFUNCTION("""COMPUTED_VALUE"""),7.0)</f>
        <v>7</v>
      </c>
      <c r="F39" s="54">
        <f>IFERROR(__xludf.DUMMYFUNCTION("""COMPUTED_VALUE"""),2.0)</f>
        <v>2</v>
      </c>
      <c r="G39" s="55"/>
      <c r="H39" s="56">
        <f>IFERROR(__xludf.DUMMYFUNCTION("""COMPUTED_VALUE"""),9.0)</f>
        <v>9</v>
      </c>
      <c r="I39" s="57">
        <f>IFERROR(__xludf.DUMMYFUNCTION("""COMPUTED_VALUE"""),1.0)</f>
        <v>1</v>
      </c>
      <c r="J39" s="58">
        <f>IFERROR(__xludf.DUMMYFUNCTION("""COMPUTED_VALUE"""),9.0)</f>
        <v>9</v>
      </c>
      <c r="K39" s="51"/>
      <c r="L39" s="60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IFERROR(__xludf.DUMMYFUNCTION("""COMPUTED_VALUE"""),6.0)</f>
        <v>6</v>
      </c>
      <c r="F40" s="54">
        <f>IFERROR(__xludf.DUMMYFUNCTION("""COMPUTED_VALUE"""),2.0)</f>
        <v>2</v>
      </c>
      <c r="G40" s="55"/>
      <c r="H40" s="56">
        <f>IFERROR(__xludf.DUMMYFUNCTION("""COMPUTED_VALUE"""),8.0)</f>
        <v>8</v>
      </c>
      <c r="I40" s="57">
        <f>IFERROR(__xludf.DUMMYFUNCTION("""COMPUTED_VALUE"""),2.0)</f>
        <v>2</v>
      </c>
      <c r="J40" s="58">
        <f>IFERROR(__xludf.DUMMYFUNCTION("""COMPUTED_VALUE"""),8.0)</f>
        <v>8</v>
      </c>
      <c r="K40" s="51"/>
      <c r="L40" s="60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IFERROR(__xludf.DUMMYFUNCTION("""COMPUTED_VALUE"""),6.0)</f>
        <v>6</v>
      </c>
      <c r="F42" s="54">
        <f>IFERROR(__xludf.DUMMYFUNCTION("""COMPUTED_VALUE"""),2.0)</f>
        <v>2</v>
      </c>
      <c r="G42" s="55"/>
      <c r="H42" s="56">
        <f>IFERROR(__xludf.DUMMYFUNCTION("""COMPUTED_VALUE"""),8.0)</f>
        <v>8</v>
      </c>
      <c r="I42" s="57">
        <f>IFERROR(__xludf.DUMMYFUNCTION("""COMPUTED_VALUE"""),0.0)</f>
        <v>0</v>
      </c>
      <c r="J42" s="58">
        <f>IFERROR(__xludf.DUMMYFUNCTION("""COMPUTED_VALUE"""),8.0)</f>
        <v>8</v>
      </c>
      <c r="K42" s="51"/>
      <c r="L42" s="60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IFERROR(__xludf.DUMMYFUNCTION("""COMPUTED_VALUE"""),7.0)</f>
        <v>7</v>
      </c>
      <c r="F43" s="54">
        <f>IFERROR(__xludf.DUMMYFUNCTION("""COMPUTED_VALUE"""),2.0)</f>
        <v>2</v>
      </c>
      <c r="G43" s="55"/>
      <c r="H43" s="56">
        <f>IFERROR(__xludf.DUMMYFUNCTION("""COMPUTED_VALUE"""),9.0)</f>
        <v>9</v>
      </c>
      <c r="I43" s="57">
        <f>IFERROR(__xludf.DUMMYFUNCTION("""COMPUTED_VALUE"""),0.0)</f>
        <v>0</v>
      </c>
      <c r="J43" s="58">
        <f>IFERROR(__xludf.DUMMYFUNCTION("""COMPUTED_VALUE"""),9.0)</f>
        <v>9</v>
      </c>
      <c r="K43" s="51"/>
      <c r="L43" s="60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IFERROR(__xludf.DUMMYFUNCTION("""COMPUTED_VALUE"""),5.0)</f>
        <v>5</v>
      </c>
      <c r="F44" s="54">
        <f>IFERROR(__xludf.DUMMYFUNCTION("""COMPUTED_VALUE"""),2.0)</f>
        <v>2</v>
      </c>
      <c r="G44" s="55"/>
      <c r="H44" s="56">
        <f>IFERROR(__xludf.DUMMYFUNCTION("""COMPUTED_VALUE"""),7.0)</f>
        <v>7</v>
      </c>
      <c r="I44" s="57">
        <f>IFERROR(__xludf.DUMMYFUNCTION("""COMPUTED_VALUE"""),1.0)</f>
        <v>1</v>
      </c>
      <c r="J44" s="58">
        <f>IFERROR(__xludf.DUMMYFUNCTION("""COMPUTED_VALUE"""),7.0)</f>
        <v>7</v>
      </c>
      <c r="K44" s="51"/>
      <c r="L44" s="60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IFERROR(__xludf.DUMMYFUNCTION("""COMPUTED_VALUE"""),6.0)</f>
        <v>6</v>
      </c>
      <c r="F45" s="54">
        <f>IFERROR(__xludf.DUMMYFUNCTION("""COMPUTED_VALUE"""),2.0)</f>
        <v>2</v>
      </c>
      <c r="G45" s="55"/>
      <c r="H45" s="56">
        <f>IFERROR(__xludf.DUMMYFUNCTION("""COMPUTED_VALUE"""),8.0)</f>
        <v>8</v>
      </c>
      <c r="I45" s="57">
        <f>IFERROR(__xludf.DUMMYFUNCTION("""COMPUTED_VALUE"""),2.0)</f>
        <v>2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IFERROR(__xludf.DUMMYFUNCTION("""COMPUTED_VALUE"""),7.0)</f>
        <v>7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IFERROR(__xludf.DUMMYFUNCTION("""COMPUTED_VALUE"""),10.0)</f>
        <v>10</v>
      </c>
      <c r="I46" s="57">
        <f>IFERROR(__xludf.DUMMYFUNCTION("""COMPUTED_VALUE"""),1.0)</f>
        <v>1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IFERROR(__xludf.DUMMYFUNCTION("""COMPUTED_VALUE"""),7.0)</f>
        <v>7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IFERROR(__xludf.DUMMYFUNCTION("""COMPUTED_VALUE"""),8.0)</f>
        <v>8</v>
      </c>
      <c r="F48" s="54">
        <f>IFERROR(__xludf.DUMMYFUNCTION("""COMPUTED_VALUE"""),2.0)</f>
        <v>2</v>
      </c>
      <c r="G48" s="55">
        <f>IFERROR(__xludf.DUMMYFUNCTION("""COMPUTED_VALUE"""),1.0)</f>
        <v>1</v>
      </c>
      <c r="H48" s="56">
        <f>IFERROR(__xludf.DUMMYFUNCTION("""COMPUTED_VALUE"""),11.0)</f>
        <v>11</v>
      </c>
      <c r="I48" s="57">
        <f>IFERROR(__xludf.DUMMYFUNCTION("""COMPUTED_VALUE"""),1.0)</f>
        <v>1</v>
      </c>
      <c r="J48" s="58">
        <f>IFERROR(__xludf.DUMMYFUNCTION("""COMPUTED_VALUE"""),10.0)</f>
        <v>10</v>
      </c>
      <c r="K48" s="51"/>
      <c r="L48" s="60">
        <f>IFERROR(__xludf.DUMMYFUNCTION("""COMPUTED_VALUE"""),11.0)</f>
        <v>11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IFERROR(__xludf.DUMMYFUNCTION("""COMPUTED_VALUE"""),7.0)</f>
        <v>7</v>
      </c>
      <c r="F49" s="54">
        <f>IFERROR(__xludf.DUMMYFUNCTION("""COMPUTED_VALUE"""),2.0)</f>
        <v>2</v>
      </c>
      <c r="G49" s="55">
        <f>IFERROR(__xludf.DUMMYFUNCTION("""COMPUTED_VALUE"""),1.0)</f>
        <v>1</v>
      </c>
      <c r="H49" s="56">
        <f>IFERROR(__xludf.DUMMYFUNCTION("""COMPUTED_VALUE"""),10.0)</f>
        <v>10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IFERROR(__xludf.DUMMYFUNCTION("""COMPUTED_VALUE"""),7.0)</f>
        <v>7</v>
      </c>
      <c r="F50" s="54">
        <f>IFERROR(__xludf.DUMMYFUNCTION("""COMPUTED_VALUE"""),2.0)</f>
        <v>2</v>
      </c>
      <c r="G50" s="55">
        <f>IFERROR(__xludf.DUMMYFUNCTION("""COMPUTED_VALUE"""),1.0)</f>
        <v>1</v>
      </c>
      <c r="H50" s="56">
        <f>IFERROR(__xludf.DUMMYFUNCTION("""COMPUTED_VALUE"""),10.0)</f>
        <v>10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IFERROR(__xludf.DUMMYFUNCTION("""COMPUTED_VALUE"""),11.0)</f>
        <v>11</v>
      </c>
      <c r="I51" s="57">
        <f>IFERROR(__xludf.DUMMYFUNCTION("""COMPUTED_VALUE"""),1.0)</f>
        <v>1</v>
      </c>
      <c r="J51" s="58">
        <f>IFERROR(__xludf.DUMMYFUNCTION("""COMPUTED_VALUE"""),10.0)</f>
        <v>10</v>
      </c>
      <c r="K51" s="51"/>
      <c r="L51" s="60">
        <f>IFERROR(__xludf.DUMMYFUNCTION("""COMPUTED_VALUE"""),11.0)</f>
        <v>11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IFERROR(__xludf.DUMMYFUNCTION("""COMPUTED_VALUE"""),4.0)</f>
        <v>4</v>
      </c>
      <c r="F53" s="54">
        <f>IFERROR(__xludf.DUMMYFUNCTION("""COMPUTED_VALUE"""),2.0)</f>
        <v>2</v>
      </c>
      <c r="G53" s="55"/>
      <c r="H53" s="56">
        <f>IFERROR(__xludf.DUMMYFUNCTION("""COMPUTED_VALUE"""),6.0)</f>
        <v>6</v>
      </c>
      <c r="I53" s="57">
        <f>IFERROR(__xludf.DUMMYFUNCTION("""COMPUTED_VALUE"""),2.0)</f>
        <v>2</v>
      </c>
      <c r="J53" s="58">
        <f>IFERROR(__xludf.DUMMYFUNCTION("""COMPUTED_VALUE"""),6.0)</f>
        <v>6</v>
      </c>
      <c r="K53" s="51"/>
      <c r="L53" s="59">
        <f>IFERROR(__xludf.DUMMYFUNCTION("""COMPUTED_VALUE"""),6.0)</f>
        <v>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IFERROR(__xludf.DUMMYFUNCTION("""COMPUTED_VALUE"""),7.0)</f>
        <v>7</v>
      </c>
      <c r="F54" s="54">
        <f>IFERROR(__xludf.DUMMYFUNCTION("""COMPUTED_VALUE"""),2.0)</f>
        <v>2</v>
      </c>
      <c r="G54" s="55"/>
      <c r="H54" s="56">
        <f>IFERROR(__xludf.DUMMYFUNCTION("""COMPUTED_VALUE"""),9.0)</f>
        <v>9</v>
      </c>
      <c r="I54" s="57">
        <f>IFERROR(__xludf.DUMMYFUNCTION("""COMPUTED_VALUE"""),0.0)</f>
        <v>0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IFERROR(__xludf.DUMMYFUNCTION("""COMPUTED_VALUE"""),8.0)</f>
        <v>8</v>
      </c>
      <c r="F55" s="54">
        <f>IFERROR(__xludf.DUMMYFUNCTION("""COMPUTED_VALUE"""),2.0)</f>
        <v>2</v>
      </c>
      <c r="G55" s="55"/>
      <c r="H55" s="56">
        <f>IFERROR(__xludf.DUMMYFUNCTION("""COMPUTED_VALUE"""),10.0)</f>
        <v>10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IFERROR(__xludf.DUMMYFUNCTION("""COMPUTED_VALUE"""),8.0)</f>
        <v>8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IFERROR(__xludf.DUMMYFUNCTION("""COMPUTED_VALUE"""),11.0)</f>
        <v>11</v>
      </c>
      <c r="I56" s="61">
        <f>IFERROR(__xludf.DUMMYFUNCTION("""COMPUTED_VALUE"""),1.0)</f>
        <v>1</v>
      </c>
      <c r="J56" s="58">
        <f>IFERROR(__xludf.DUMMYFUNCTION("""COMPUTED_VALUE"""),10.0)</f>
        <v>10</v>
      </c>
      <c r="K56" s="51"/>
      <c r="L56" s="59">
        <f>IFERROR(__xludf.DUMMYFUNCTION("""COMPUTED_VALUE"""),11.0)</f>
        <v>11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IFERROR(__xludf.DUMMYFUNCTION("""COMPUTED_VALUE"""),36.0)</f>
        <v>36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IFERROR(__xludf.DUMMYFUNCTION("""COMPUTED_VALUE"""),4.0)</f>
        <v>4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IFERROR(__xludf.DUMMYFUNCTION("""COMPUTED_VALUE"""),90.0)</f>
        <v>90</v>
      </c>
      <c r="E63" s="110" t="str">
        <f>IFERROR(__xludf.DUMMYFUNCTION("""COMPUTED_VALUE"""),"PROFRA. MARIA DE LOS ANGELES RENATA HERNÁNDEZ GONZÁLEZ")</f>
        <v>PROFRA. MARIA DE LOS ANGELES RENATA HERNÁNDEZ GONZÁLEZ</v>
      </c>
      <c r="F63" s="111"/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IFERROR(__xludf.DUMMYFUNCTION("""COMPUTED_VALUE"""),8.675)</f>
        <v>8.675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</row>
    <row r="1004" ht="15.75" customHeight="1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</row>
    <row r="1005" ht="15.75" customHeight="1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</row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4 K17:K62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IFERROR(__xludf.DUMMYFUNCTION("IMPORTRANGE(""https://docs.google.com/spreadsheets/d/1Ggu00VW922tLGbyIEOu4GFMxFoUoQ4O-ziVzg8amnZc/edit?gid=1872100630#gid=1872100630"",""3-2 diseño digital!A1:Q85"")"),"")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IFERROR(__xludf.DUMMYFUNCTION("""COMPUTED_VALUE"""),"FRANCISCO  JESUS CRUZ GARCIA ")</f>
        <v>FRANCISCO  JESUS CRUZ GARCIA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IFERROR(__xludf.DUMMYFUNCTION("""COMPUTED_VALUE"""),"DISEÑO DIGITAL")</f>
        <v>DISEÑO DIGITAL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IFERROR(__xludf.DUMMYFUNCTION("""COMPUTED_VALUE"""),8.0)</f>
        <v>8</v>
      </c>
      <c r="F17" s="54">
        <f>IFERROR(__xludf.DUMMYFUNCTION("""COMPUTED_VALUE"""),1.0)</f>
        <v>1</v>
      </c>
      <c r="G17" s="55"/>
      <c r="H17" s="56">
        <f>IFERROR(__xludf.DUMMYFUNCTION("""COMPUTED_VALUE"""),9.0)</f>
        <v>9</v>
      </c>
      <c r="I17" s="57">
        <f>IFERROR(__xludf.DUMMYFUNCTION("""COMPUTED_VALUE"""),2.0)</f>
        <v>2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IFERROR(__xludf.DUMMYFUNCTION("""COMPUTED_VALUE"""),3.0)</f>
        <v>3</v>
      </c>
      <c r="F18" s="54">
        <f>IFERROR(__xludf.DUMMYFUNCTION("""COMPUTED_VALUE"""),2.0)</f>
        <v>2</v>
      </c>
      <c r="G18" s="55"/>
      <c r="H18" s="56">
        <f>IFERROR(__xludf.DUMMYFUNCTION("""COMPUTED_VALUE"""),5.0)</f>
        <v>5</v>
      </c>
      <c r="I18" s="57">
        <f>IFERROR(__xludf.DUMMYFUNCTION("""COMPUTED_VALUE"""),4.0)</f>
        <v>4</v>
      </c>
      <c r="J18" s="58">
        <f>IFERROR(__xludf.DUMMYFUNCTION("""COMPUTED_VALUE"""),5.0)</f>
        <v>5</v>
      </c>
      <c r="K18" s="51"/>
      <c r="L18" s="60">
        <f>IFERROR(__xludf.DUMMYFUNCTION("""COMPUTED_VALUE"""),5.0)</f>
        <v>5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IFERROR(__xludf.DUMMYFUNCTION("""COMPUTED_VALUE"""),6.0)</f>
        <v>6</v>
      </c>
      <c r="F19" s="54">
        <f>IFERROR(__xludf.DUMMYFUNCTION("""COMPUTED_VALUE"""),2.0)</f>
        <v>2</v>
      </c>
      <c r="G19" s="55"/>
      <c r="H19" s="56">
        <f>IFERROR(__xludf.DUMMYFUNCTION("""COMPUTED_VALUE"""),8.0)</f>
        <v>8</v>
      </c>
      <c r="I19" s="57">
        <f>IFERROR(__xludf.DUMMYFUNCTION("""COMPUTED_VALUE"""),0.0)</f>
        <v>0</v>
      </c>
      <c r="J19" s="58">
        <f>IFERROR(__xludf.DUMMYFUNCTION("""COMPUTED_VALUE"""),8.0)</f>
        <v>8</v>
      </c>
      <c r="K19" s="51"/>
      <c r="L19" s="60">
        <f>IFERROR(__xludf.DUMMYFUNCTION("""COMPUTED_VALUE"""),8.0)</f>
        <v>8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IFERROR(__xludf.DUMMYFUNCTION("""COMPUTED_VALUE"""),3.0)</f>
        <v>3</v>
      </c>
      <c r="F20" s="54">
        <f>IFERROR(__xludf.DUMMYFUNCTION("""COMPUTED_VALUE"""),3.0)</f>
        <v>3</v>
      </c>
      <c r="G20" s="55">
        <f>IFERROR(__xludf.DUMMYFUNCTION("""COMPUTED_VALUE"""),1.0)</f>
        <v>1</v>
      </c>
      <c r="H20" s="56">
        <f>IFERROR(__xludf.DUMMYFUNCTION("""COMPUTED_VALUE"""),7.0)</f>
        <v>7</v>
      </c>
      <c r="I20" s="57">
        <f>IFERROR(__xludf.DUMMYFUNCTION("""COMPUTED_VALUE"""),2.0)</f>
        <v>2</v>
      </c>
      <c r="J20" s="58">
        <f>IFERROR(__xludf.DUMMYFUNCTION("""COMPUTED_VALUE"""),7.0)</f>
        <v>7</v>
      </c>
      <c r="K20" s="51"/>
      <c r="L20" s="60">
        <f>IFERROR(__xludf.DUMMYFUNCTION("""COMPUTED_VALUE"""),7.0)</f>
        <v>7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IFERROR(__xludf.DUMMYFUNCTION("""COMPUTED_VALUE"""),7.0)</f>
        <v>7</v>
      </c>
      <c r="F21" s="54">
        <f>IFERROR(__xludf.DUMMYFUNCTION("""COMPUTED_VALUE"""),2.0)</f>
        <v>2</v>
      </c>
      <c r="G21" s="55"/>
      <c r="H21" s="56">
        <f>IFERROR(__xludf.DUMMYFUNCTION("""COMPUTED_VALUE"""),9.0)</f>
        <v>9</v>
      </c>
      <c r="I21" s="57">
        <f>IFERROR(__xludf.DUMMYFUNCTION("""COMPUTED_VALUE"""),4.0)</f>
        <v>4</v>
      </c>
      <c r="J21" s="58">
        <f>IFERROR(__xludf.DUMMYFUNCTION("""COMPUTED_VALUE"""),9.0)</f>
        <v>9</v>
      </c>
      <c r="K21" s="51"/>
      <c r="L21" s="60">
        <f>IFERROR(__xludf.DUMMYFUNCTION("""COMPUTED_VALUE"""),9.0)</f>
        <v>9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IFERROR(__xludf.DUMMYFUNCTION("""COMPUTED_VALUE"""),3.0)</f>
        <v>3</v>
      </c>
      <c r="F22" s="54">
        <f>IFERROR(__xludf.DUMMYFUNCTION("""COMPUTED_VALUE"""),2.0)</f>
        <v>2</v>
      </c>
      <c r="G22" s="55"/>
      <c r="H22" s="56">
        <f>IFERROR(__xludf.DUMMYFUNCTION("""COMPUTED_VALUE"""),5.0)</f>
        <v>5</v>
      </c>
      <c r="I22" s="57">
        <f>IFERROR(__xludf.DUMMYFUNCTION("""COMPUTED_VALUE"""),2.0)</f>
        <v>2</v>
      </c>
      <c r="J22" s="58">
        <f>IFERROR(__xludf.DUMMYFUNCTION("""COMPUTED_VALUE"""),5.0)</f>
        <v>5</v>
      </c>
      <c r="K22" s="51"/>
      <c r="L22" s="60">
        <f>IFERROR(__xludf.DUMMYFUNCTION("""COMPUTED_VALUE"""),5.0)</f>
        <v>5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IFERROR(__xludf.DUMMYFUNCTION("""COMPUTED_VALUE"""),7.0)</f>
        <v>7</v>
      </c>
      <c r="F23" s="54">
        <f>IFERROR(__xludf.DUMMYFUNCTION("""COMPUTED_VALUE"""),1.0)</f>
        <v>1</v>
      </c>
      <c r="G23" s="55"/>
      <c r="H23" s="56">
        <f>IFERROR(__xludf.DUMMYFUNCTION("""COMPUTED_VALUE"""),8.0)</f>
        <v>8</v>
      </c>
      <c r="I23" s="57">
        <f>IFERROR(__xludf.DUMMYFUNCTION("""COMPUTED_VALUE"""),0.0)</f>
        <v>0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IFERROR(__xludf.DUMMYFUNCTION("""COMPUTED_VALUE"""),7.0)</f>
        <v>7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IFERROR(__xludf.DUMMYFUNCTION("""COMPUTED_VALUE"""),10.0)</f>
        <v>10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IFERROR(__xludf.DUMMYFUNCTION("""COMPUTED_VALUE"""),24.0)</f>
        <v>24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IFERROR(__xludf.DUMMYFUNCTION("""COMPUTED_VALUE"""),7.0)</f>
        <v>7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IFERROR(__xludf.DUMMYFUNCTION("""COMPUTED_VALUE"""),7.0)</f>
        <v>7</v>
      </c>
      <c r="F26" s="54">
        <f>IFERROR(__xludf.DUMMYFUNCTION("""COMPUTED_VALUE"""),2.0)</f>
        <v>2</v>
      </c>
      <c r="G26" s="55"/>
      <c r="H26" s="56">
        <f>IFERROR(__xludf.DUMMYFUNCTION("""COMPUTED_VALUE"""),9.0)</f>
        <v>9</v>
      </c>
      <c r="I26" s="57">
        <f>IFERROR(__xludf.DUMMYFUNCTION("""COMPUTED_VALUE"""),0.0)</f>
        <v>0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IFERROR(__xludf.DUMMYFUNCTION("""COMPUTED_VALUE"""),5.0)</f>
        <v>5</v>
      </c>
      <c r="F27" s="54">
        <f>IFERROR(__xludf.DUMMYFUNCTION("""COMPUTED_VALUE"""),2.0)</f>
        <v>2</v>
      </c>
      <c r="G27" s="55"/>
      <c r="H27" s="56">
        <f>IFERROR(__xludf.DUMMYFUNCTION("""COMPUTED_VALUE"""),7.0)</f>
        <v>7</v>
      </c>
      <c r="I27" s="57">
        <f>IFERROR(__xludf.DUMMYFUNCTION("""COMPUTED_VALUE"""),0.0)</f>
        <v>0</v>
      </c>
      <c r="J27" s="58">
        <f>IFERROR(__xludf.DUMMYFUNCTION("""COMPUTED_VALUE"""),7.0)</f>
        <v>7</v>
      </c>
      <c r="K27" s="51"/>
      <c r="L27" s="60">
        <f>IFERROR(__xludf.DUMMYFUNCTION("""COMPUTED_VALUE"""),7.0)</f>
        <v>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IFERROR(__xludf.DUMMYFUNCTION("""COMPUTED_VALUE"""),7.0)</f>
        <v>7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IFERROR(__xludf.DUMMYFUNCTION("""COMPUTED_VALUE"""),8.0)</f>
        <v>8</v>
      </c>
      <c r="F29" s="54">
        <f>IFERROR(__xludf.DUMMYFUNCTION("""COMPUTED_VALUE"""),1.0)</f>
        <v>1</v>
      </c>
      <c r="G29" s="55"/>
      <c r="H29" s="56">
        <f>IFERROR(__xludf.DUMMYFUNCTION("""COMPUTED_VALUE"""),9.0)</f>
        <v>9</v>
      </c>
      <c r="I29" s="57">
        <f>IFERROR(__xludf.DUMMYFUNCTION("""COMPUTED_VALUE"""),0.0)</f>
        <v>0</v>
      </c>
      <c r="J29" s="58">
        <f>IFERROR(__xludf.DUMMYFUNCTION("""COMPUTED_VALUE"""),9.0)</f>
        <v>9</v>
      </c>
      <c r="K29" s="51"/>
      <c r="L29" s="60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IFERROR(__xludf.DUMMYFUNCTION("""COMPUTED_VALUE"""),3.0)</f>
        <v>3</v>
      </c>
      <c r="F30" s="54">
        <f>IFERROR(__xludf.DUMMYFUNCTION("""COMPUTED_VALUE"""),2.0)</f>
        <v>2</v>
      </c>
      <c r="G30" s="55"/>
      <c r="H30" s="56">
        <f>IFERROR(__xludf.DUMMYFUNCTION("""COMPUTED_VALUE"""),5.0)</f>
        <v>5</v>
      </c>
      <c r="I30" s="57">
        <f>IFERROR(__xludf.DUMMYFUNCTION("""COMPUTED_VALUE"""),4.0)</f>
        <v>4</v>
      </c>
      <c r="J30" s="58">
        <f>IFERROR(__xludf.DUMMYFUNCTION("""COMPUTED_VALUE"""),5.0)</f>
        <v>5</v>
      </c>
      <c r="K30" s="51"/>
      <c r="L30" s="60">
        <f>IFERROR(__xludf.DUMMYFUNCTION("""COMPUTED_VALUE"""),5.0)</f>
        <v>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IFERROR(__xludf.DUMMYFUNCTION("""COMPUTED_VALUE"""),6.0)</f>
        <v>6</v>
      </c>
      <c r="F31" s="54">
        <f>IFERROR(__xludf.DUMMYFUNCTION("""COMPUTED_VALUE"""),1.0)</f>
        <v>1</v>
      </c>
      <c r="G31" s="55"/>
      <c r="H31" s="56">
        <f>IFERROR(__xludf.DUMMYFUNCTION("""COMPUTED_VALUE"""),7.0)</f>
        <v>7</v>
      </c>
      <c r="I31" s="57">
        <f>IFERROR(__xludf.DUMMYFUNCTION("""COMPUTED_VALUE"""),3.0)</f>
        <v>3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IFERROR(__xludf.DUMMYFUNCTION("""COMPUTED_VALUE"""),6.0)</f>
        <v>6</v>
      </c>
      <c r="F32" s="54">
        <f>IFERROR(__xludf.DUMMYFUNCTION("""COMPUTED_VALUE"""),1.0)</f>
        <v>1</v>
      </c>
      <c r="G32" s="55"/>
      <c r="H32" s="56">
        <f>IFERROR(__xludf.DUMMYFUNCTION("""COMPUTED_VALUE"""),7.0)</f>
        <v>7</v>
      </c>
      <c r="I32" s="57">
        <f>IFERROR(__xludf.DUMMYFUNCTION("""COMPUTED_VALUE"""),0.0)</f>
        <v>0</v>
      </c>
      <c r="J32" s="58">
        <f>IFERROR(__xludf.DUMMYFUNCTION("""COMPUTED_VALUE"""),7.0)</f>
        <v>7</v>
      </c>
      <c r="K32" s="51"/>
      <c r="L32" s="60">
        <f>IFERROR(__xludf.DUMMYFUNCTION("""COMPUTED_VALUE"""),7.0)</f>
        <v>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IFERROR(__xludf.DUMMYFUNCTION("""COMPUTED_VALUE"""),5.0)</f>
        <v>5</v>
      </c>
      <c r="F33" s="54">
        <f>IFERROR(__xludf.DUMMYFUNCTION("""COMPUTED_VALUE"""),1.0)</f>
        <v>1</v>
      </c>
      <c r="G33" s="55"/>
      <c r="H33" s="56">
        <f>IFERROR(__xludf.DUMMYFUNCTION("""COMPUTED_VALUE"""),6.0)</f>
        <v>6</v>
      </c>
      <c r="I33" s="57">
        <f>IFERROR(__xludf.DUMMYFUNCTION("""COMPUTED_VALUE"""),2.0)</f>
        <v>2</v>
      </c>
      <c r="J33" s="58">
        <f>IFERROR(__xludf.DUMMYFUNCTION("""COMPUTED_VALUE"""),6.0)</f>
        <v>6</v>
      </c>
      <c r="K33" s="51"/>
      <c r="L33" s="60">
        <f>IFERROR(__xludf.DUMMYFUNCTION("""COMPUTED_VALUE"""),6.0)</f>
        <v>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IFERROR(__xludf.DUMMYFUNCTION("""COMPUTED_VALUE"""),6.0)</f>
        <v>6</v>
      </c>
      <c r="F34" s="54">
        <f>IFERROR(__xludf.DUMMYFUNCTION("""COMPUTED_VALUE"""),2.0)</f>
        <v>2</v>
      </c>
      <c r="G34" s="55"/>
      <c r="H34" s="56">
        <f>IFERROR(__xludf.DUMMYFUNCTION("""COMPUTED_VALUE"""),8.0)</f>
        <v>8</v>
      </c>
      <c r="I34" s="57">
        <f>IFERROR(__xludf.DUMMYFUNCTION("""COMPUTED_VALUE"""),2.0)</f>
        <v>2</v>
      </c>
      <c r="J34" s="58">
        <f>IFERROR(__xludf.DUMMYFUNCTION("""COMPUTED_VALUE"""),8.0)</f>
        <v>8</v>
      </c>
      <c r="K34" s="51"/>
      <c r="L34" s="60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IFERROR(__xludf.DUMMYFUNCTION("""COMPUTED_VALUE"""),3.0)</f>
        <v>3</v>
      </c>
      <c r="F35" s="54">
        <f>IFERROR(__xludf.DUMMYFUNCTION("""COMPUTED_VALUE"""),2.0)</f>
        <v>2</v>
      </c>
      <c r="G35" s="55"/>
      <c r="H35" s="56">
        <f>IFERROR(__xludf.DUMMYFUNCTION("""COMPUTED_VALUE"""),5.0)</f>
        <v>5</v>
      </c>
      <c r="I35" s="57">
        <f>IFERROR(__xludf.DUMMYFUNCTION("""COMPUTED_VALUE"""),4.0)</f>
        <v>4</v>
      </c>
      <c r="J35" s="58">
        <f>IFERROR(__xludf.DUMMYFUNCTION("""COMPUTED_VALUE"""),5.0)</f>
        <v>5</v>
      </c>
      <c r="K35" s="51"/>
      <c r="L35" s="60">
        <f>IFERROR(__xludf.DUMMYFUNCTION("""COMPUTED_VALUE"""),5.0)</f>
        <v>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IFERROR(__xludf.DUMMYFUNCTION("""COMPUTED_VALUE"""),7.0)</f>
        <v>7</v>
      </c>
      <c r="F36" s="54">
        <f>IFERROR(__xludf.DUMMYFUNCTION("""COMPUTED_VALUE"""),2.0)</f>
        <v>2</v>
      </c>
      <c r="G36" s="55"/>
      <c r="H36" s="56">
        <f>IFERROR(__xludf.DUMMYFUNCTION("""COMPUTED_VALUE"""),9.0)</f>
        <v>9</v>
      </c>
      <c r="I36" s="57">
        <f>IFERROR(__xludf.DUMMYFUNCTION("""COMPUTED_VALUE"""),2.0)</f>
        <v>2</v>
      </c>
      <c r="J36" s="58">
        <f>IFERROR(__xludf.DUMMYFUNCTION("""COMPUTED_VALUE"""),9.0)</f>
        <v>9</v>
      </c>
      <c r="K36" s="51"/>
      <c r="L36" s="60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IFERROR(__xludf.DUMMYFUNCTION("""COMPUTED_VALUE"""),7.0)</f>
        <v>7</v>
      </c>
      <c r="F37" s="54">
        <f>IFERROR(__xludf.DUMMYFUNCTION("""COMPUTED_VALUE"""),2.0)</f>
        <v>2</v>
      </c>
      <c r="G37" s="55"/>
      <c r="H37" s="56">
        <f>IFERROR(__xludf.DUMMYFUNCTION("""COMPUTED_VALUE"""),9.0)</f>
        <v>9</v>
      </c>
      <c r="I37" s="57">
        <f>IFERROR(__xludf.DUMMYFUNCTION("""COMPUTED_VALUE"""),2.0)</f>
        <v>2</v>
      </c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IFERROR(__xludf.DUMMYFUNCTION("""COMPUTED_VALUE"""),9.0)</f>
        <v>9</v>
      </c>
      <c r="F39" s="54">
        <f>IFERROR(__xludf.DUMMYFUNCTION("""COMPUTED_VALUE"""),1.0)</f>
        <v>1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IFERROR(__xludf.DUMMYFUNCTION("""COMPUTED_VALUE"""),5.0)</f>
        <v>5</v>
      </c>
      <c r="F40" s="54">
        <f>IFERROR(__xludf.DUMMYFUNCTION("""COMPUTED_VALUE"""),2.0)</f>
        <v>2</v>
      </c>
      <c r="G40" s="55"/>
      <c r="H40" s="56">
        <f>IFERROR(__xludf.DUMMYFUNCTION("""COMPUTED_VALUE"""),7.0)</f>
        <v>7</v>
      </c>
      <c r="I40" s="57">
        <f>IFERROR(__xludf.DUMMYFUNCTION("""COMPUTED_VALUE"""),4.0)</f>
        <v>4</v>
      </c>
      <c r="J40" s="58">
        <f>IFERROR(__xludf.DUMMYFUNCTION("""COMPUTED_VALUE"""),7.0)</f>
        <v>7</v>
      </c>
      <c r="K40" s="51"/>
      <c r="L40" s="60">
        <f>IFERROR(__xludf.DUMMYFUNCTION("""COMPUTED_VALUE"""),7.0)</f>
        <v>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IFERROR(__xludf.DUMMYFUNCTION("""COMPUTED_VALUE"""),7.0)</f>
        <v>7</v>
      </c>
      <c r="F42" s="54">
        <f>IFERROR(__xludf.DUMMYFUNCTION("""COMPUTED_VALUE"""),1.0)</f>
        <v>1</v>
      </c>
      <c r="G42" s="55"/>
      <c r="H42" s="56">
        <f>IFERROR(__xludf.DUMMYFUNCTION("""COMPUTED_VALUE"""),8.0)</f>
        <v>8</v>
      </c>
      <c r="I42" s="57">
        <f>IFERROR(__xludf.DUMMYFUNCTION("""COMPUTED_VALUE"""),2.0)</f>
        <v>2</v>
      </c>
      <c r="J42" s="58">
        <f>IFERROR(__xludf.DUMMYFUNCTION("""COMPUTED_VALUE"""),8.0)</f>
        <v>8</v>
      </c>
      <c r="K42" s="51"/>
      <c r="L42" s="60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IFERROR(__xludf.DUMMYFUNCTION("""COMPUTED_VALUE"""),8.0)</f>
        <v>8</v>
      </c>
      <c r="F43" s="54">
        <f>IFERROR(__xludf.DUMMYFUNCTION("""COMPUTED_VALUE"""),1.0)</f>
        <v>1</v>
      </c>
      <c r="G43" s="55"/>
      <c r="H43" s="56">
        <f>IFERROR(__xludf.DUMMYFUNCTION("""COMPUTED_VALUE"""),9.0)</f>
        <v>9</v>
      </c>
      <c r="I43" s="57">
        <f>IFERROR(__xludf.DUMMYFUNCTION("""COMPUTED_VALUE"""),0.0)</f>
        <v>0</v>
      </c>
      <c r="J43" s="58">
        <f>IFERROR(__xludf.DUMMYFUNCTION("""COMPUTED_VALUE"""),9.0)</f>
        <v>9</v>
      </c>
      <c r="K43" s="51"/>
      <c r="L43" s="60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IFERROR(__xludf.DUMMYFUNCTION("""COMPUTED_VALUE"""),7.0)</f>
        <v>7</v>
      </c>
      <c r="F44" s="54">
        <f>IFERROR(__xludf.DUMMYFUNCTION("""COMPUTED_VALUE"""),1.0)</f>
        <v>1</v>
      </c>
      <c r="G44" s="55"/>
      <c r="H44" s="56">
        <f>IFERROR(__xludf.DUMMYFUNCTION("""COMPUTED_VALUE"""),8.0)</f>
        <v>8</v>
      </c>
      <c r="I44" s="57">
        <f>IFERROR(__xludf.DUMMYFUNCTION("""COMPUTED_VALUE"""),2.0)</f>
        <v>2</v>
      </c>
      <c r="J44" s="58">
        <f>IFERROR(__xludf.DUMMYFUNCTION("""COMPUTED_VALUE"""),8.0)</f>
        <v>8</v>
      </c>
      <c r="K44" s="51"/>
      <c r="L44" s="60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IFERROR(__xludf.DUMMYFUNCTION("""COMPUTED_VALUE"""),7.0)</f>
        <v>7</v>
      </c>
      <c r="F45" s="54">
        <f>IFERROR(__xludf.DUMMYFUNCTION("""COMPUTED_VALUE"""),1.0)</f>
        <v>1</v>
      </c>
      <c r="G45" s="55"/>
      <c r="H45" s="56">
        <f>IFERROR(__xludf.DUMMYFUNCTION("""COMPUTED_VALUE"""),8.0)</f>
        <v>8</v>
      </c>
      <c r="I45" s="57">
        <f>IFERROR(__xludf.DUMMYFUNCTION("""COMPUTED_VALUE"""),2.0)</f>
        <v>2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IFERROR(__xludf.DUMMYFUNCTION("""COMPUTED_VALUE"""),6.0)</f>
        <v>6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IFERROR(__xludf.DUMMYFUNCTION("""COMPUTED_VALUE"""),9.0)</f>
        <v>9</v>
      </c>
      <c r="I46" s="57">
        <f>IFERROR(__xludf.DUMMYFUNCTION("""COMPUTED_VALUE"""),2.0)</f>
        <v>2</v>
      </c>
      <c r="J46" s="58">
        <f>IFERROR(__xludf.DUMMYFUNCTION("""COMPUTED_VALUE"""),9.0)</f>
        <v>9</v>
      </c>
      <c r="K46" s="51"/>
      <c r="L46" s="60">
        <f>IFERROR(__xludf.DUMMYFUNCTION("""COMPUTED_VALUE"""),9.0)</f>
        <v>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IFERROR(__xludf.DUMMYFUNCTION("""COMPUTED_VALUE"""),7.0)</f>
        <v>7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IFERROR(__xludf.DUMMYFUNCTION("""COMPUTED_VALUE"""),7.0)</f>
        <v>7</v>
      </c>
      <c r="F48" s="54">
        <f>IFERROR(__xludf.DUMMYFUNCTION("""COMPUTED_VALUE"""),2.0)</f>
        <v>2</v>
      </c>
      <c r="G48" s="55">
        <f>IFERROR(__xludf.DUMMYFUNCTION("""COMPUTED_VALUE"""),1.0)</f>
        <v>1</v>
      </c>
      <c r="H48" s="56">
        <f>IFERROR(__xludf.DUMMYFUNCTION("""COMPUTED_VALUE"""),10.0)</f>
        <v>10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IFERROR(__xludf.DUMMYFUNCTION("""COMPUTED_VALUE"""),7.0)</f>
        <v>7</v>
      </c>
      <c r="F49" s="54">
        <f>IFERROR(__xludf.DUMMYFUNCTION("""COMPUTED_VALUE"""),2.0)</f>
        <v>2</v>
      </c>
      <c r="G49" s="55">
        <f>IFERROR(__xludf.DUMMYFUNCTION("""COMPUTED_VALUE"""),1.0)</f>
        <v>1</v>
      </c>
      <c r="H49" s="56">
        <f>IFERROR(__xludf.DUMMYFUNCTION("""COMPUTED_VALUE"""),10.0)</f>
        <v>10</v>
      </c>
      <c r="I49" s="57">
        <f>IFERROR(__xludf.DUMMYFUNCTION("""COMPUTED_VALUE"""),2.0)</f>
        <v>2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IFERROR(__xludf.DUMMYFUNCTION("""COMPUTED_VALUE"""),8.0)</f>
        <v>8</v>
      </c>
      <c r="F50" s="54">
        <f>IFERROR(__xludf.DUMMYFUNCTION("""COMPUTED_VALUE"""),2.0)</f>
        <v>2</v>
      </c>
      <c r="G50" s="55">
        <f>IFERROR(__xludf.DUMMYFUNCTION("""COMPUTED_VALUE"""),1.0)</f>
        <v>1</v>
      </c>
      <c r="H50" s="56">
        <f>IFERROR(__xludf.DUMMYFUNCTION("""COMPUTED_VALUE"""),11.0)</f>
        <v>11</v>
      </c>
      <c r="I50" s="57">
        <f>IFERROR(__xludf.DUMMYFUNCTION("""COMPUTED_VALUE"""),2.0)</f>
        <v>2</v>
      </c>
      <c r="J50" s="58">
        <f>IFERROR(__xludf.DUMMYFUNCTION("""COMPUTED_VALUE"""),10.0)</f>
        <v>10</v>
      </c>
      <c r="K50" s="51"/>
      <c r="L50" s="60">
        <f>IFERROR(__xludf.DUMMYFUNCTION("""COMPUTED_VALUE"""),11.0)</f>
        <v>11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IFERROR(__xludf.DUMMYFUNCTION("""COMPUTED_VALUE"""),7.0)</f>
        <v>7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IFERROR(__xludf.DUMMYFUNCTION("""COMPUTED_VALUE"""),3.0)</f>
        <v>3</v>
      </c>
      <c r="F53" s="54">
        <f>IFERROR(__xludf.DUMMYFUNCTION("""COMPUTED_VALUE"""),2.0)</f>
        <v>2</v>
      </c>
      <c r="G53" s="55"/>
      <c r="H53" s="56">
        <f>IFERROR(__xludf.DUMMYFUNCTION("""COMPUTED_VALUE"""),5.0)</f>
        <v>5</v>
      </c>
      <c r="I53" s="57">
        <f>IFERROR(__xludf.DUMMYFUNCTION("""COMPUTED_VALUE"""),2.0)</f>
        <v>2</v>
      </c>
      <c r="J53" s="58">
        <f>IFERROR(__xludf.DUMMYFUNCTION("""COMPUTED_VALUE"""),5.0)</f>
        <v>5</v>
      </c>
      <c r="K53" s="51"/>
      <c r="L53" s="59">
        <f>IFERROR(__xludf.DUMMYFUNCTION("""COMPUTED_VALUE"""),5.0)</f>
        <v>5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IFERROR(__xludf.DUMMYFUNCTION("""COMPUTED_VALUE"""),8.0)</f>
        <v>8</v>
      </c>
      <c r="F54" s="54">
        <f>IFERROR(__xludf.DUMMYFUNCTION("""COMPUTED_VALUE"""),1.0)</f>
        <v>1</v>
      </c>
      <c r="G54" s="55"/>
      <c r="H54" s="56">
        <f>IFERROR(__xludf.DUMMYFUNCTION("""COMPUTED_VALUE"""),9.0)</f>
        <v>9</v>
      </c>
      <c r="I54" s="57">
        <f>IFERROR(__xludf.DUMMYFUNCTION("""COMPUTED_VALUE"""),1.0)</f>
        <v>1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IFERROR(__xludf.DUMMYFUNCTION("""COMPUTED_VALUE"""),8.0)</f>
        <v>8</v>
      </c>
      <c r="F55" s="54">
        <f>IFERROR(__xludf.DUMMYFUNCTION("""COMPUTED_VALUE"""),2.0)</f>
        <v>2</v>
      </c>
      <c r="G55" s="55"/>
      <c r="H55" s="56">
        <f>IFERROR(__xludf.DUMMYFUNCTION("""COMPUTED_VALUE"""),10.0)</f>
        <v>10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IFERROR(__xludf.DUMMYFUNCTION("""COMPUTED_VALUE"""),7.0)</f>
        <v>7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IFERROR(__xludf.DUMMYFUNCTION("""COMPUTED_VALUE"""),10.0)</f>
        <v>10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IFERROR(__xludf.DUMMYFUNCTION("""COMPUTED_VALUE"""),35.0)</f>
        <v>35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IFERROR(__xludf.DUMMYFUNCTION("""COMPUTED_VALUE"""),5.0)</f>
        <v>5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IFERROR(__xludf.DUMMYFUNCTION("""COMPUTED_VALUE"""),87.5)</f>
        <v>87.5</v>
      </c>
      <c r="E63" s="62"/>
      <c r="F63" s="86" t="str">
        <f>IFERROR(__xludf.DUMMYFUNCTION("""COMPUTED_VALUE"""),"PROFR. ")</f>
        <v>PROFR. 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IFERROR(__xludf.DUMMYFUNCTION("""COMPUTED_VALUE"""),8.375)</f>
        <v>8.375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</row>
    <row r="1004" ht="15.75" customHeight="1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</row>
    <row r="1005" ht="15.75" customHeight="1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</row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4 K17:K62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IFERROR(__xludf.DUMMYFUNCTION("IMPORTRANGE(""https://docs.google.com/spreadsheets/d/1G21Rae1HEvKyziJfdvU9KNUk-9v3MIQn0XxsBZDk7Uk/edit?gid=1749075245#gid=1749075245"",""3-2 actividades artisticas y culturales iii 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IFERROR(__xludf.DUMMYFUNCTION("""COMPUTED_VALUE"""),"Claudia Ivone Torres Moreno	")</f>
        <v>Claudia Ivone Torres Moreno	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IFERROR(__xludf.DUMMYFUNCTION("""COMPUTED_VALUE"""),"ACTIVIDADES ARTÍSTICAS Y CULTURALES III")</f>
        <v>ACTIVIDADES ARTÍSTICAS Y CULTURALES III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IFERROR(__xludf.DUMMYFUNCTION("""COMPUTED_VALUE"""),7.0)</f>
        <v>7</v>
      </c>
      <c r="F18" s="54">
        <f>IFERROR(__xludf.DUMMYFUNCTION("""COMPUTED_VALUE"""),2.0)</f>
        <v>2</v>
      </c>
      <c r="G18" s="55"/>
      <c r="H18" s="56">
        <f>IFERROR(__xludf.DUMMYFUNCTION("""COMPUTED_VALUE"""),9.0)</f>
        <v>9</v>
      </c>
      <c r="I18" s="57">
        <f>IFERROR(__xludf.DUMMYFUNCTION("""COMPUTED_VALUE"""),0.0)</f>
        <v>0</v>
      </c>
      <c r="J18" s="58">
        <f>IFERROR(__xludf.DUMMYFUNCTION("""COMPUTED_VALUE"""),9.0)</f>
        <v>9</v>
      </c>
      <c r="K18" s="51"/>
      <c r="L18" s="60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IFERROR(__xludf.DUMMYFUNCTION("""COMPUTED_VALUE"""),7.0)</f>
        <v>7</v>
      </c>
      <c r="F19" s="54">
        <f>IFERROR(__xludf.DUMMYFUNCTION("""COMPUTED_VALUE"""),2.0)</f>
        <v>2</v>
      </c>
      <c r="G19" s="55"/>
      <c r="H19" s="56">
        <f>IFERROR(__xludf.DUMMYFUNCTION("""COMPUTED_VALUE"""),9.0)</f>
        <v>9</v>
      </c>
      <c r="I19" s="57">
        <f>IFERROR(__xludf.DUMMYFUNCTION("""COMPUTED_VALUE"""),0.0)</f>
        <v>0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IFERROR(__xludf.DUMMYFUNCTION("""COMPUTED_VALUE"""),5.0)</f>
        <v>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IFERROR(__xludf.DUMMYFUNCTION("""COMPUTED_VALUE"""),5.0)</f>
        <v>5</v>
      </c>
      <c r="F20" s="54">
        <f>IFERROR(__xludf.DUMMYFUNCTION("""COMPUTED_VALUE"""),1.0)</f>
        <v>1</v>
      </c>
      <c r="G20" s="55"/>
      <c r="H20" s="56">
        <f>IFERROR(__xludf.DUMMYFUNCTION("""COMPUTED_VALUE"""),6.0)</f>
        <v>6</v>
      </c>
      <c r="I20" s="57">
        <f>IFERROR(__xludf.DUMMYFUNCTION("""COMPUTED_VALUE"""),0.0)</f>
        <v>0</v>
      </c>
      <c r="J20" s="58">
        <f>IFERROR(__xludf.DUMMYFUNCTION("""COMPUTED_VALUE"""),6.0)</f>
        <v>6</v>
      </c>
      <c r="K20" s="51"/>
      <c r="L20" s="60">
        <f>IFERROR(__xludf.DUMMYFUNCTION("""COMPUTED_VALUE"""),6.0)</f>
        <v>6</v>
      </c>
      <c r="M20" s="1" t="str">
        <f>IFERROR(__xludf.DUMMYFUNCTION("""COMPUTED_VALUE"""),"Abril")</f>
        <v>Abril</v>
      </c>
      <c r="N20" s="1">
        <f>IFERROR(__xludf.DUMMYFUNCTION("""COMPUTED_VALUE"""),4.0)</f>
        <v>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IFERROR(__xludf.DUMMYFUNCTION("""COMPUTED_VALUE"""),6.0)</f>
        <v>6</v>
      </c>
      <c r="F21" s="54">
        <f>IFERROR(__xludf.DUMMYFUNCTION("""COMPUTED_VALUE"""),2.0)</f>
        <v>2</v>
      </c>
      <c r="G21" s="55"/>
      <c r="H21" s="56">
        <f>IFERROR(__xludf.DUMMYFUNCTION("""COMPUTED_VALUE"""),8.0)</f>
        <v>8</v>
      </c>
      <c r="I21" s="57">
        <f>IFERROR(__xludf.DUMMYFUNCTION("""COMPUTED_VALUE"""),0.0)</f>
        <v>0</v>
      </c>
      <c r="J21" s="58">
        <f>IFERROR(__xludf.DUMMYFUNCTION("""COMPUTED_VALUE"""),8.0)</f>
        <v>8</v>
      </c>
      <c r="K21" s="51"/>
      <c r="L21" s="60">
        <f>IFERROR(__xludf.DUMMYFUNCTION("""COMPUTED_VALUE"""),8.0)</f>
        <v>8</v>
      </c>
      <c r="M21" s="1" t="str">
        <f>IFERROR(__xludf.DUMMYFUNCTION("""COMPUTED_VALUE"""),"Mayo")</f>
        <v>Mayo</v>
      </c>
      <c r="N21" s="1">
        <f>IFERROR(__xludf.DUMMYFUNCTION("""COMPUTED_VALUE"""),8.0)</f>
        <v>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IFERROR(__xludf.DUMMYFUNCTION("""COMPUTED_VALUE"""),0.0)</f>
        <v>0</v>
      </c>
      <c r="F22" s="54">
        <f>IFERROR(__xludf.DUMMYFUNCTION("""COMPUTED_VALUE"""),0.0)</f>
        <v>0</v>
      </c>
      <c r="G22" s="55"/>
      <c r="H22" s="56">
        <f>IFERROR(__xludf.DUMMYFUNCTION("""COMPUTED_VALUE"""),0.0)</f>
        <v>0</v>
      </c>
      <c r="I22" s="57">
        <f>IFERROR(__xludf.DUMMYFUNCTION("""COMPUTED_VALUE"""),6.0)</f>
        <v>6</v>
      </c>
      <c r="J22" s="58">
        <f>IFERROR(__xludf.DUMMYFUNCTION("""COMPUTED_VALUE"""),5.0)</f>
        <v>5</v>
      </c>
      <c r="K22" s="51"/>
      <c r="L22" s="60">
        <f>IFERROR(__xludf.DUMMYFUNCTION("""COMPUTED_VALUE"""),0.0)</f>
        <v>0</v>
      </c>
      <c r="M22" s="1" t="str">
        <f>IFERROR(__xludf.DUMMYFUNCTION("""COMPUTED_VALUE"""),"Junio")</f>
        <v>Junio</v>
      </c>
      <c r="N22" s="1">
        <f>IFERROR(__xludf.DUMMYFUNCTION("""COMPUTED_VALUE"""),8.0)</f>
        <v>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IFERROR(__xludf.DUMMYFUNCTION("""COMPUTED_VALUE"""),7.0)</f>
        <v>7</v>
      </c>
      <c r="F23" s="54">
        <f>IFERROR(__xludf.DUMMYFUNCTION("""COMPUTED_VALUE"""),2.0)</f>
        <v>2</v>
      </c>
      <c r="G23" s="55"/>
      <c r="H23" s="56">
        <f>IFERROR(__xludf.DUMMYFUNCTION("""COMPUTED_VALUE"""),9.0)</f>
        <v>9</v>
      </c>
      <c r="I23" s="57">
        <f>IFERROR(__xludf.DUMMYFUNCTION("""COMPUTED_VALUE"""),2.0)</f>
        <v>2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IFERROR(__xludf.DUMMYFUNCTION("""COMPUTED_VALUE"""),4.0)</f>
        <v>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IFERROR(__xludf.DUMMYFUNCTION("""COMPUTED_VALUE"""),5.0)</f>
        <v>5</v>
      </c>
      <c r="F24" s="54">
        <f>IFERROR(__xludf.DUMMYFUNCTION("""COMPUTED_VALUE"""),2.0)</f>
        <v>2</v>
      </c>
      <c r="G24" s="55"/>
      <c r="H24" s="56">
        <f>IFERROR(__xludf.DUMMYFUNCTION("""COMPUTED_VALUE"""),7.0)</f>
        <v>7</v>
      </c>
      <c r="I24" s="57">
        <f>IFERROR(__xludf.DUMMYFUNCTION("""COMPUTED_VALUE"""),0.0)</f>
        <v>0</v>
      </c>
      <c r="J24" s="58">
        <f>IFERROR(__xludf.DUMMYFUNCTION("""COMPUTED_VALUE"""),7.0)</f>
        <v>7</v>
      </c>
      <c r="K24" s="51"/>
      <c r="L24" s="60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IFERROR(__xludf.DUMMYFUNCTION("""COMPUTED_VALUE"""),35.0)</f>
        <v>35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/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/>
      <c r="H26" s="56">
        <f>IFERROR(__xludf.DUMMYFUNCTION("""COMPUTED_VALUE"""),10.0)</f>
        <v>10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IFERROR(__xludf.DUMMYFUNCTION("""COMPUTED_VALUE"""),5.4)</f>
        <v>5.4</v>
      </c>
      <c r="F27" s="54">
        <f>IFERROR(__xludf.DUMMYFUNCTION("""COMPUTED_VALUE"""),2.0)</f>
        <v>2</v>
      </c>
      <c r="G27" s="55"/>
      <c r="H27" s="56">
        <f>IFERROR(__xludf.DUMMYFUNCTION("""COMPUTED_VALUE"""),7.4)</f>
        <v>7.4</v>
      </c>
      <c r="I27" s="57">
        <f>IFERROR(__xludf.DUMMYFUNCTION("""COMPUTED_VALUE"""),1.0)</f>
        <v>1</v>
      </c>
      <c r="J27" s="58">
        <f>IFERROR(__xludf.DUMMYFUNCTION("""COMPUTED_VALUE"""),7.0)</f>
        <v>7</v>
      </c>
      <c r="K27" s="51"/>
      <c r="L27" s="60">
        <f>IFERROR(__xludf.DUMMYFUNCTION("""COMPUTED_VALUE"""),7.0)</f>
        <v>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IFERROR(__xludf.DUMMYFUNCTION("""COMPUTED_VALUE"""),7.4)</f>
        <v>7.4</v>
      </c>
      <c r="F28" s="54">
        <f>IFERROR(__xludf.DUMMYFUNCTION("""COMPUTED_VALUE"""),2.0)</f>
        <v>2</v>
      </c>
      <c r="G28" s="55"/>
      <c r="H28" s="56">
        <f>IFERROR(__xludf.DUMMYFUNCTION("""COMPUTED_VALUE"""),9.4)</f>
        <v>9.4</v>
      </c>
      <c r="I28" s="57">
        <f>IFERROR(__xludf.DUMMYFUNCTION("""COMPUTED_VALUE"""),0.0)</f>
        <v>0</v>
      </c>
      <c r="J28" s="58">
        <f>IFERROR(__xludf.DUMMYFUNCTION("""COMPUTED_VALUE"""),9.0)</f>
        <v>9</v>
      </c>
      <c r="K28" s="51"/>
      <c r="L28" s="60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IFERROR(__xludf.DUMMYFUNCTION("""COMPUTED_VALUE"""),6.6)</f>
        <v>6.6</v>
      </c>
      <c r="F29" s="54">
        <f>IFERROR(__xludf.DUMMYFUNCTION("""COMPUTED_VALUE"""),2.0)</f>
        <v>2</v>
      </c>
      <c r="G29" s="55"/>
      <c r="H29" s="56">
        <f>IFERROR(__xludf.DUMMYFUNCTION("""COMPUTED_VALUE"""),8.6)</f>
        <v>8.6</v>
      </c>
      <c r="I29" s="57">
        <f>IFERROR(__xludf.DUMMYFUNCTION("""COMPUTED_VALUE"""),0.0)</f>
        <v>0</v>
      </c>
      <c r="J29" s="58">
        <f>IFERROR(__xludf.DUMMYFUNCTION("""COMPUTED_VALUE"""),9.0)</f>
        <v>9</v>
      </c>
      <c r="K29" s="51"/>
      <c r="L29" s="60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IFERROR(__xludf.DUMMYFUNCTION("""COMPUTED_VALUE"""),4.4)</f>
        <v>4.4</v>
      </c>
      <c r="F30" s="54">
        <f>IFERROR(__xludf.DUMMYFUNCTION("""COMPUTED_VALUE"""),2.0)</f>
        <v>2</v>
      </c>
      <c r="G30" s="55"/>
      <c r="H30" s="56">
        <f>IFERROR(__xludf.DUMMYFUNCTION("""COMPUTED_VALUE"""),6.4)</f>
        <v>6.4</v>
      </c>
      <c r="I30" s="57">
        <f>IFERROR(__xludf.DUMMYFUNCTION("""COMPUTED_VALUE"""),2.0)</f>
        <v>2</v>
      </c>
      <c r="J30" s="58">
        <f>IFERROR(__xludf.DUMMYFUNCTION("""COMPUTED_VALUE"""),6.0)</f>
        <v>6</v>
      </c>
      <c r="K30" s="51"/>
      <c r="L30" s="60">
        <f>IFERROR(__xludf.DUMMYFUNCTION("""COMPUTED_VALUE"""),6.0)</f>
        <v>6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IFERROR(__xludf.DUMMYFUNCTION("""COMPUTED_VALUE"""),4.4)</f>
        <v>4.4</v>
      </c>
      <c r="F31" s="54">
        <f>IFERROR(__xludf.DUMMYFUNCTION("""COMPUTED_VALUE"""),2.0)</f>
        <v>2</v>
      </c>
      <c r="G31" s="55"/>
      <c r="H31" s="56">
        <f>IFERROR(__xludf.DUMMYFUNCTION("""COMPUTED_VALUE"""),6.4)</f>
        <v>6.4</v>
      </c>
      <c r="I31" s="57">
        <f>IFERROR(__xludf.DUMMYFUNCTION("""COMPUTED_VALUE"""),2.0)</f>
        <v>2</v>
      </c>
      <c r="J31" s="58">
        <f>IFERROR(__xludf.DUMMYFUNCTION("""COMPUTED_VALUE"""),6.0)</f>
        <v>6</v>
      </c>
      <c r="K31" s="51"/>
      <c r="L31" s="60">
        <f>IFERROR(__xludf.DUMMYFUNCTION("""COMPUTED_VALUE"""),6.0)</f>
        <v>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IFERROR(__xludf.DUMMYFUNCTION("""COMPUTED_VALUE"""),5.5)</f>
        <v>5.5</v>
      </c>
      <c r="F32" s="54">
        <f>IFERROR(__xludf.DUMMYFUNCTION("""COMPUTED_VALUE"""),2.0)</f>
        <v>2</v>
      </c>
      <c r="G32" s="55"/>
      <c r="H32" s="56">
        <f>IFERROR(__xludf.DUMMYFUNCTION("""COMPUTED_VALUE"""),7.5)</f>
        <v>7.5</v>
      </c>
      <c r="I32" s="57">
        <f>IFERROR(__xludf.DUMMYFUNCTION("""COMPUTED_VALUE"""),0.0)</f>
        <v>0</v>
      </c>
      <c r="J32" s="58">
        <f>IFERROR(__xludf.DUMMYFUNCTION("""COMPUTED_VALUE"""),8.0)</f>
        <v>8</v>
      </c>
      <c r="K32" s="51"/>
      <c r="L32" s="60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IFERROR(__xludf.DUMMYFUNCTION("""COMPUTED_VALUE"""),6.5)</f>
        <v>6.5</v>
      </c>
      <c r="F33" s="54">
        <f>IFERROR(__xludf.DUMMYFUNCTION("""COMPUTED_VALUE"""),2.0)</f>
        <v>2</v>
      </c>
      <c r="G33" s="55"/>
      <c r="H33" s="56">
        <f>IFERROR(__xludf.DUMMYFUNCTION("""COMPUTED_VALUE"""),8.5)</f>
        <v>8.5</v>
      </c>
      <c r="I33" s="57">
        <f>IFERROR(__xludf.DUMMYFUNCTION("""COMPUTED_VALUE"""),1.0)</f>
        <v>1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IFERROR(__xludf.DUMMYFUNCTION("""COMPUTED_VALUE"""),6.0)</f>
        <v>6</v>
      </c>
      <c r="F34" s="54">
        <f>IFERROR(__xludf.DUMMYFUNCTION("""COMPUTED_VALUE"""),2.0)</f>
        <v>2</v>
      </c>
      <c r="G34" s="55"/>
      <c r="H34" s="56">
        <f>IFERROR(__xludf.DUMMYFUNCTION("""COMPUTED_VALUE"""),8.0)</f>
        <v>8</v>
      </c>
      <c r="I34" s="57">
        <f>IFERROR(__xludf.DUMMYFUNCTION("""COMPUTED_VALUE"""),0.0)</f>
        <v>0</v>
      </c>
      <c r="J34" s="58">
        <f>IFERROR(__xludf.DUMMYFUNCTION("""COMPUTED_VALUE"""),8.0)</f>
        <v>8</v>
      </c>
      <c r="K34" s="51"/>
      <c r="L34" s="60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IFERROR(__xludf.DUMMYFUNCTION("""COMPUTED_VALUE"""),2.4)</f>
        <v>2.4</v>
      </c>
      <c r="F35" s="54">
        <f>IFERROR(__xludf.DUMMYFUNCTION("""COMPUTED_VALUE"""),2.0)</f>
        <v>2</v>
      </c>
      <c r="G35" s="55"/>
      <c r="H35" s="56">
        <f>IFERROR(__xludf.DUMMYFUNCTION("""COMPUTED_VALUE"""),4.4)</f>
        <v>4.4</v>
      </c>
      <c r="I35" s="57">
        <f>IFERROR(__xludf.DUMMYFUNCTION("""COMPUTED_VALUE"""),3.0)</f>
        <v>3</v>
      </c>
      <c r="J35" s="58">
        <f>IFERROR(__xludf.DUMMYFUNCTION("""COMPUTED_VALUE"""),5.0)</f>
        <v>5</v>
      </c>
      <c r="K35" s="51"/>
      <c r="L35" s="60">
        <f>IFERROR(__xludf.DUMMYFUNCTION("""COMPUTED_VALUE"""),4.0)</f>
        <v>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IFERROR(__xludf.DUMMYFUNCTION("""COMPUTED_VALUE"""),5.8)</f>
        <v>5.8</v>
      </c>
      <c r="F36" s="54">
        <f>IFERROR(__xludf.DUMMYFUNCTION("""COMPUTED_VALUE"""),2.0)</f>
        <v>2</v>
      </c>
      <c r="G36" s="55"/>
      <c r="H36" s="56">
        <f>IFERROR(__xludf.DUMMYFUNCTION("""COMPUTED_VALUE"""),7.8)</f>
        <v>7.8</v>
      </c>
      <c r="I36" s="57">
        <f>IFERROR(__xludf.DUMMYFUNCTION("""COMPUTED_VALUE"""),1.0)</f>
        <v>1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IFERROR(__xludf.DUMMYFUNCTION("""COMPUTED_VALUE"""),6.5)</f>
        <v>6.5</v>
      </c>
      <c r="F37" s="54">
        <f>IFERROR(__xludf.DUMMYFUNCTION("""COMPUTED_VALUE"""),2.0)</f>
        <v>2</v>
      </c>
      <c r="G37" s="55"/>
      <c r="H37" s="56">
        <f>IFERROR(__xludf.DUMMYFUNCTION("""COMPUTED_VALUE"""),8.5)</f>
        <v>8.5</v>
      </c>
      <c r="I37" s="57">
        <f>IFERROR(__xludf.DUMMYFUNCTION("""COMPUTED_VALUE"""),0.0)</f>
        <v>0</v>
      </c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IFERROR(__xludf.DUMMYFUNCTION("""COMPUTED_VALUE"""),7.0)</f>
        <v>7</v>
      </c>
      <c r="F39" s="54">
        <f>IFERROR(__xludf.DUMMYFUNCTION("""COMPUTED_VALUE"""),2.0)</f>
        <v>2</v>
      </c>
      <c r="G39" s="55"/>
      <c r="H39" s="56">
        <f>IFERROR(__xludf.DUMMYFUNCTION("""COMPUTED_VALUE"""),9.0)</f>
        <v>9</v>
      </c>
      <c r="I39" s="57">
        <f>IFERROR(__xludf.DUMMYFUNCTION("""COMPUTED_VALUE"""),0.0)</f>
        <v>0</v>
      </c>
      <c r="J39" s="58">
        <f>IFERROR(__xludf.DUMMYFUNCTION("""COMPUTED_VALUE"""),9.0)</f>
        <v>9</v>
      </c>
      <c r="K39" s="51"/>
      <c r="L39" s="60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IFERROR(__xludf.DUMMYFUNCTION("""COMPUTED_VALUE"""),5.0)</f>
        <v>5</v>
      </c>
      <c r="F40" s="54">
        <f>IFERROR(__xludf.DUMMYFUNCTION("""COMPUTED_VALUE"""),1.0)</f>
        <v>1</v>
      </c>
      <c r="G40" s="55"/>
      <c r="H40" s="56">
        <f>IFERROR(__xludf.DUMMYFUNCTION("""COMPUTED_VALUE"""),6.0)</f>
        <v>6</v>
      </c>
      <c r="I40" s="57">
        <f>IFERROR(__xludf.DUMMYFUNCTION("""COMPUTED_VALUE"""),1.0)</f>
        <v>1</v>
      </c>
      <c r="J40" s="58">
        <f>IFERROR(__xludf.DUMMYFUNCTION("""COMPUTED_VALUE"""),6.0)</f>
        <v>6</v>
      </c>
      <c r="K40" s="51"/>
      <c r="L40" s="60">
        <f>IFERROR(__xludf.DUMMYFUNCTION("""COMPUTED_VALUE"""),6.0)</f>
        <v>6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IFERROR(__xludf.DUMMYFUNCTION("""COMPUTED_VALUE"""),7.0)</f>
        <v>7</v>
      </c>
      <c r="F42" s="54">
        <f>IFERROR(__xludf.DUMMYFUNCTION("""COMPUTED_VALUE"""),2.0)</f>
        <v>2</v>
      </c>
      <c r="G42" s="55"/>
      <c r="H42" s="56">
        <f>IFERROR(__xludf.DUMMYFUNCTION("""COMPUTED_VALUE"""),9.0)</f>
        <v>9</v>
      </c>
      <c r="I42" s="57">
        <f>IFERROR(__xludf.DUMMYFUNCTION("""COMPUTED_VALUE"""),1.0)</f>
        <v>1</v>
      </c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IFERROR(__xludf.DUMMYFUNCTION("""COMPUTED_VALUE"""),7.0)</f>
        <v>7</v>
      </c>
      <c r="F43" s="54">
        <f>IFERROR(__xludf.DUMMYFUNCTION("""COMPUTED_VALUE"""),2.0)</f>
        <v>2</v>
      </c>
      <c r="G43" s="55"/>
      <c r="H43" s="56">
        <f>IFERROR(__xludf.DUMMYFUNCTION("""COMPUTED_VALUE"""),9.0)</f>
        <v>9</v>
      </c>
      <c r="I43" s="57">
        <f>IFERROR(__xludf.DUMMYFUNCTION("""COMPUTED_VALUE"""),0.0)</f>
        <v>0</v>
      </c>
      <c r="J43" s="58">
        <f>IFERROR(__xludf.DUMMYFUNCTION("""COMPUTED_VALUE"""),9.0)</f>
        <v>9</v>
      </c>
      <c r="K43" s="51"/>
      <c r="L43" s="60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IFERROR(__xludf.DUMMYFUNCTION("""COMPUTED_VALUE"""),6.5)</f>
        <v>6.5</v>
      </c>
      <c r="F44" s="54">
        <f>IFERROR(__xludf.DUMMYFUNCTION("""COMPUTED_VALUE"""),2.0)</f>
        <v>2</v>
      </c>
      <c r="G44" s="55"/>
      <c r="H44" s="56">
        <f>IFERROR(__xludf.DUMMYFUNCTION("""COMPUTED_VALUE"""),8.5)</f>
        <v>8.5</v>
      </c>
      <c r="I44" s="57">
        <f>IFERROR(__xludf.DUMMYFUNCTION("""COMPUTED_VALUE"""),0.0)</f>
        <v>0</v>
      </c>
      <c r="J44" s="58">
        <f>IFERROR(__xludf.DUMMYFUNCTION("""COMPUTED_VALUE"""),9.0)</f>
        <v>9</v>
      </c>
      <c r="K44" s="51"/>
      <c r="L44" s="60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IFERROR(__xludf.DUMMYFUNCTION("""COMPUTED_VALUE"""),7.0)</f>
        <v>7</v>
      </c>
      <c r="F45" s="54">
        <f>IFERROR(__xludf.DUMMYFUNCTION("""COMPUTED_VALUE"""),2.0)</f>
        <v>2</v>
      </c>
      <c r="G45" s="55"/>
      <c r="H45" s="56">
        <f>IFERROR(__xludf.DUMMYFUNCTION("""COMPUTED_VALUE"""),9.0)</f>
        <v>9</v>
      </c>
      <c r="I45" s="57">
        <f>IFERROR(__xludf.DUMMYFUNCTION("""COMPUTED_VALUE"""),0.0)</f>
        <v>0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IFERROR(__xludf.DUMMYFUNCTION("""COMPUTED_VALUE"""),7.5)</f>
        <v>7.5</v>
      </c>
      <c r="F46" s="54">
        <f>IFERROR(__xludf.DUMMYFUNCTION("""COMPUTED_VALUE"""),2.0)</f>
        <v>2</v>
      </c>
      <c r="G46" s="55"/>
      <c r="H46" s="56">
        <f>IFERROR(__xludf.DUMMYFUNCTION("""COMPUTED_VALUE"""),9.5)</f>
        <v>9.5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IFERROR(__xludf.DUMMYFUNCTION("""COMPUTED_VALUE"""),7.0)</f>
        <v>7</v>
      </c>
      <c r="F47" s="54">
        <f>IFERROR(__xludf.DUMMYFUNCTION("""COMPUTED_VALUE"""),2.0)</f>
        <v>2</v>
      </c>
      <c r="G47" s="55"/>
      <c r="H47" s="56">
        <f>IFERROR(__xludf.DUMMYFUNCTION("""COMPUTED_VALUE"""),9.0)</f>
        <v>9</v>
      </c>
      <c r="I47" s="57">
        <f>IFERROR(__xludf.DUMMYFUNCTION("""COMPUTED_VALUE"""),0.0)</f>
        <v>0</v>
      </c>
      <c r="J47" s="58">
        <f>IFERROR(__xludf.DUMMYFUNCTION("""COMPUTED_VALUE"""),9.0)</f>
        <v>9</v>
      </c>
      <c r="K47" s="51"/>
      <c r="L47" s="60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IFERROR(__xludf.DUMMYFUNCTION("""COMPUTED_VALUE"""),7.5)</f>
        <v>7.5</v>
      </c>
      <c r="F48" s="54">
        <f>IFERROR(__xludf.DUMMYFUNCTION("""COMPUTED_VALUE"""),2.0)</f>
        <v>2</v>
      </c>
      <c r="G48" s="55"/>
      <c r="H48" s="56">
        <f>IFERROR(__xludf.DUMMYFUNCTION("""COMPUTED_VALUE"""),9.5)</f>
        <v>9.5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IFERROR(__xludf.DUMMYFUNCTION("""COMPUTED_VALUE"""),7.5)</f>
        <v>7.5</v>
      </c>
      <c r="F49" s="54">
        <f>IFERROR(__xludf.DUMMYFUNCTION("""COMPUTED_VALUE"""),2.0)</f>
        <v>2</v>
      </c>
      <c r="G49" s="55"/>
      <c r="H49" s="56">
        <f>IFERROR(__xludf.DUMMYFUNCTION("""COMPUTED_VALUE"""),9.5)</f>
        <v>9.5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IFERROR(__xludf.DUMMYFUNCTION("""COMPUTED_VALUE"""),7.0)</f>
        <v>7</v>
      </c>
      <c r="F50" s="54">
        <f>IFERROR(__xludf.DUMMYFUNCTION("""COMPUTED_VALUE"""),2.0)</f>
        <v>2</v>
      </c>
      <c r="G50" s="55"/>
      <c r="H50" s="56">
        <f>IFERROR(__xludf.DUMMYFUNCTION("""COMPUTED_VALUE"""),9.0)</f>
        <v>9</v>
      </c>
      <c r="I50" s="57">
        <f>IFERROR(__xludf.DUMMYFUNCTION("""COMPUTED_VALUE"""),0.0)</f>
        <v>0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/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IFERROR(__xludf.DUMMYFUNCTION("""COMPUTED_VALUE"""),7.5)</f>
        <v>7.5</v>
      </c>
      <c r="F52" s="54">
        <f>IFERROR(__xludf.DUMMYFUNCTION("""COMPUTED_VALUE"""),2.0)</f>
        <v>2</v>
      </c>
      <c r="G52" s="55"/>
      <c r="H52" s="56">
        <f>IFERROR(__xludf.DUMMYFUNCTION("""COMPUTED_VALUE"""),9.5)</f>
        <v>9.5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IFERROR(__xludf.DUMMYFUNCTION("""COMPUTED_VALUE"""),6.0)</f>
        <v>6</v>
      </c>
      <c r="F53" s="54">
        <f>IFERROR(__xludf.DUMMYFUNCTION("""COMPUTED_VALUE"""),2.0)</f>
        <v>2</v>
      </c>
      <c r="G53" s="55"/>
      <c r="H53" s="56">
        <f>IFERROR(__xludf.DUMMYFUNCTION("""COMPUTED_VALUE"""),8.0)</f>
        <v>8</v>
      </c>
      <c r="I53" s="57">
        <f>IFERROR(__xludf.DUMMYFUNCTION("""COMPUTED_VALUE"""),0.0)</f>
        <v>0</v>
      </c>
      <c r="J53" s="58">
        <f>IFERROR(__xludf.DUMMYFUNCTION("""COMPUTED_VALUE"""),8.0)</f>
        <v>8</v>
      </c>
      <c r="K53" s="51"/>
      <c r="L53" s="59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IFERROR(__xludf.DUMMYFUNCTION("""COMPUTED_VALUE"""),7.0)</f>
        <v>7</v>
      </c>
      <c r="F54" s="54">
        <f>IFERROR(__xludf.DUMMYFUNCTION("""COMPUTED_VALUE"""),2.0)</f>
        <v>2</v>
      </c>
      <c r="G54" s="55"/>
      <c r="H54" s="56">
        <f>IFERROR(__xludf.DUMMYFUNCTION("""COMPUTED_VALUE"""),9.0)</f>
        <v>9</v>
      </c>
      <c r="I54" s="57">
        <f>IFERROR(__xludf.DUMMYFUNCTION("""COMPUTED_VALUE"""),0.0)</f>
        <v>0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IFERROR(__xludf.DUMMYFUNCTION("""COMPUTED_VALUE"""),6.0)</f>
        <v>6</v>
      </c>
      <c r="F55" s="54">
        <f>IFERROR(__xludf.DUMMYFUNCTION("""COMPUTED_VALUE"""),2.0)</f>
        <v>2</v>
      </c>
      <c r="G55" s="55"/>
      <c r="H55" s="56">
        <f>IFERROR(__xludf.DUMMYFUNCTION("""COMPUTED_VALUE"""),8.0)</f>
        <v>8</v>
      </c>
      <c r="I55" s="61">
        <f>IFERROR(__xludf.DUMMYFUNCTION("""COMPUTED_VALUE"""),0.0)</f>
        <v>0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IFERROR(__xludf.DUMMYFUNCTION("""COMPUTED_VALUE"""),7.5)</f>
        <v>7.5</v>
      </c>
      <c r="F56" s="54">
        <f>IFERROR(__xludf.DUMMYFUNCTION("""COMPUTED_VALUE"""),2.0)</f>
        <v>2</v>
      </c>
      <c r="G56" s="55"/>
      <c r="H56" s="56">
        <f>IFERROR(__xludf.DUMMYFUNCTION("""COMPUTED_VALUE"""),9.5)</f>
        <v>9.5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IFERROR(__xludf.DUMMYFUNCTION("""COMPUTED_VALUE"""),38.0)</f>
        <v>38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IFERROR(__xludf.DUMMYFUNCTION("""COMPUTED_VALUE"""),2.0)</f>
        <v>2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IFERROR(__xludf.DUMMYFUNCTION("""COMPUTED_VALUE"""),95.0)</f>
        <v>95</v>
      </c>
      <c r="E63" s="62"/>
      <c r="F63" s="86" t="str">
        <f>IFERROR(__xludf.DUMMYFUNCTION("""COMPUTED_VALUE"""),"PROFR. ")</f>
        <v>PROFR. 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IFERROR(__xludf.DUMMYFUNCTION("""COMPUTED_VALUE"""),8.525)</f>
        <v>8.525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</row>
    <row r="1004" ht="15.75" customHeight="1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</row>
    <row r="1005" ht="15.75" customHeight="1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</row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4 K18:K63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IFERROR(__xludf.DUMMYFUNCTION("IMPORTRANGE(""https://docs.google.com/spreadsheets/d/1JF8gv5DcLMX--4Xu4Aiyk880fwdvD6ewZLBLvH-qBOs/edit?gid=868681460#gid=868681460"",""3-2 practica y colaboracion ciudadana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IFERROR(__xludf.DUMMYFUNCTION("""COMPUTED_VALUE"""),"Marco Antonio Velez Salazar")</f>
        <v>Marco Antonio Velez Salazar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IFERROR(__xludf.DUMMYFUNCTION("""COMPUTED_VALUE"""),"PRÁCTICA Y COLABORACIÓN CIUDADANA II")</f>
        <v>PRÁCTICA Y COLABORACIÓN CIUDADANA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IFERROR(__xludf.DUMMYFUNCTION("""COMPUTED_VALUE"""),7.6)</f>
        <v>7.6</v>
      </c>
      <c r="F17" s="54">
        <f>IFERROR(__xludf.DUMMYFUNCTION("""COMPUTED_VALUE"""),2.0)</f>
        <v>2</v>
      </c>
      <c r="G17" s="55"/>
      <c r="H17" s="56">
        <f>IFERROR(__xludf.DUMMYFUNCTION("""COMPUTED_VALUE"""),9.6)</f>
        <v>9.6</v>
      </c>
      <c r="I17" s="57"/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IFERROR(__xludf.DUMMYFUNCTION("""COMPUTED_VALUE"""),4.8)</f>
        <v>4.8</v>
      </c>
      <c r="F18" s="54">
        <f>IFERROR(__xludf.DUMMYFUNCTION("""COMPUTED_VALUE"""),2.0)</f>
        <v>2</v>
      </c>
      <c r="G18" s="55"/>
      <c r="H18" s="56">
        <f>IFERROR(__xludf.DUMMYFUNCTION("""COMPUTED_VALUE"""),6.8)</f>
        <v>6.8</v>
      </c>
      <c r="I18" s="57">
        <f>IFERROR(__xludf.DUMMYFUNCTION("""COMPUTED_VALUE"""),1.0)</f>
        <v>1</v>
      </c>
      <c r="J18" s="58">
        <f>IFERROR(__xludf.DUMMYFUNCTION("""COMPUTED_VALUE"""),7.0)</f>
        <v>7</v>
      </c>
      <c r="K18" s="51"/>
      <c r="L18" s="60">
        <f>IFERROR(__xludf.DUMMYFUNCTION("""COMPUTED_VALUE"""),7.0)</f>
        <v>7</v>
      </c>
      <c r="M18" s="1" t="str">
        <f>IFERROR(__xludf.DUMMYFUNCTION("""COMPUTED_VALUE"""),"Febrero")</f>
        <v>Febrero</v>
      </c>
      <c r="N18" s="1">
        <f>IFERROR(__xludf.DUMMYFUNCTION("""COMPUTED_VALUE"""),3.0)</f>
        <v>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IFERROR(__xludf.DUMMYFUNCTION("""COMPUTED_VALUE"""),7.2)</f>
        <v>7.2</v>
      </c>
      <c r="F19" s="54">
        <f>IFERROR(__xludf.DUMMYFUNCTION("""COMPUTED_VALUE"""),2.0)</f>
        <v>2</v>
      </c>
      <c r="G19" s="55"/>
      <c r="H19" s="56">
        <f>IFERROR(__xludf.DUMMYFUNCTION("""COMPUTED_VALUE"""),9.2)</f>
        <v>9.2</v>
      </c>
      <c r="I19" s="57"/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IFERROR(__xludf.DUMMYFUNCTION("""COMPUTED_VALUE"""),6.0)</f>
        <v>6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IFERROR(__xludf.DUMMYFUNCTION("""COMPUTED_VALUE"""),9.0)</f>
        <v>9</v>
      </c>
      <c r="I20" s="57">
        <f>IFERROR(__xludf.DUMMYFUNCTION("""COMPUTED_VALUE"""),1.0)</f>
        <v>1</v>
      </c>
      <c r="J20" s="58">
        <f>IFERROR(__xludf.DUMMYFUNCTION("""COMPUTED_VALUE"""),9.0)</f>
        <v>9</v>
      </c>
      <c r="K20" s="51"/>
      <c r="L20" s="60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IFERROR(__xludf.DUMMYFUNCTION("""COMPUTED_VALUE"""),7.6)</f>
        <v>7.6</v>
      </c>
      <c r="F21" s="54">
        <f>IFERROR(__xludf.DUMMYFUNCTION("""COMPUTED_VALUE"""),2.0)</f>
        <v>2</v>
      </c>
      <c r="G21" s="55"/>
      <c r="H21" s="56">
        <f>IFERROR(__xludf.DUMMYFUNCTION("""COMPUTED_VALUE"""),9.6)</f>
        <v>9.6</v>
      </c>
      <c r="I21" s="57">
        <f>IFERROR(__xludf.DUMMYFUNCTION("""COMPUTED_VALUE"""),1.0)</f>
        <v>1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IFERROR(__xludf.DUMMYFUNCTION("""COMPUTED_VALUE"""),5.2)</f>
        <v>5.2</v>
      </c>
      <c r="F22" s="54">
        <f>IFERROR(__xludf.DUMMYFUNCTION("""COMPUTED_VALUE"""),2.0)</f>
        <v>2</v>
      </c>
      <c r="G22" s="55"/>
      <c r="H22" s="56">
        <f>IFERROR(__xludf.DUMMYFUNCTION("""COMPUTED_VALUE"""),7.2)</f>
        <v>7.2</v>
      </c>
      <c r="I22" s="57">
        <f>IFERROR(__xludf.DUMMYFUNCTION("""COMPUTED_VALUE"""),2.0)</f>
        <v>2</v>
      </c>
      <c r="J22" s="58">
        <f>IFERROR(__xludf.DUMMYFUNCTION("""COMPUTED_VALUE"""),7.0)</f>
        <v>7</v>
      </c>
      <c r="K22" s="51"/>
      <c r="L22" s="60">
        <f>IFERROR(__xludf.DUMMYFUNCTION("""COMPUTED_VALUE"""),7.0)</f>
        <v>7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IFERROR(__xludf.DUMMYFUNCTION("""COMPUTED_VALUE"""),8.0)</f>
        <v>8</v>
      </c>
      <c r="F23" s="54">
        <f>IFERROR(__xludf.DUMMYFUNCTION("""COMPUTED_VALUE"""),2.0)</f>
        <v>2</v>
      </c>
      <c r="G23" s="55"/>
      <c r="H23" s="56">
        <f>IFERROR(__xludf.DUMMYFUNCTION("""COMPUTED_VALUE"""),10.0)</f>
        <v>10</v>
      </c>
      <c r="I23" s="57"/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IFERROR(__xludf.DUMMYFUNCTION("""COMPUTED_VALUE"""),7.6)</f>
        <v>7.6</v>
      </c>
      <c r="F24" s="54">
        <f>IFERROR(__xludf.DUMMYFUNCTION("""COMPUTED_VALUE"""),2.0)</f>
        <v>2</v>
      </c>
      <c r="G24" s="55">
        <f>IFERROR(__xludf.DUMMYFUNCTION("""COMPUTED_VALUE"""),1.0)</f>
        <v>1</v>
      </c>
      <c r="H24" s="56">
        <f>IFERROR(__xludf.DUMMYFUNCTION("""COMPUTED_VALUE"""),10.6)</f>
        <v>10.6</v>
      </c>
      <c r="I24" s="57">
        <f>IFERROR(__xludf.DUMMYFUNCTION("""COMPUTED_VALUE"""),1.0)</f>
        <v>1</v>
      </c>
      <c r="J24" s="58">
        <f>IFERROR(__xludf.DUMMYFUNCTION("""COMPUTED_VALUE"""),10.0)</f>
        <v>10</v>
      </c>
      <c r="K24" s="51"/>
      <c r="L24" s="60">
        <f>IFERROR(__xludf.DUMMYFUNCTION("""COMPUTED_VALUE"""),11.0)</f>
        <v>11</v>
      </c>
      <c r="M24" s="1" t="str">
        <f>IFERROR(__xludf.DUMMYFUNCTION("""COMPUTED_VALUE"""),"TOTAL")</f>
        <v>TOTAL</v>
      </c>
      <c r="N24" s="1">
        <f>IFERROR(__xludf.DUMMYFUNCTION("""COMPUTED_VALUE"""),7.0)</f>
        <v>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IFERROR(__xludf.DUMMYFUNCTION("""COMPUTED_VALUE"""),7.2)</f>
        <v>7.2</v>
      </c>
      <c r="F25" s="54">
        <f>IFERROR(__xludf.DUMMYFUNCTION("""COMPUTED_VALUE"""),2.0)</f>
        <v>2</v>
      </c>
      <c r="G25" s="55">
        <f>IFERROR(__xludf.DUMMYFUNCTION("""COMPUTED_VALUE"""),1.0)</f>
        <v>1</v>
      </c>
      <c r="H25" s="56">
        <f>IFERROR(__xludf.DUMMYFUNCTION("""COMPUTED_VALUE"""),10.2)</f>
        <v>10.2</v>
      </c>
      <c r="I25" s="57"/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IFERROR(__xludf.DUMMYFUNCTION("""COMPUTED_VALUE"""),7.2)</f>
        <v>7.2</v>
      </c>
      <c r="F26" s="54">
        <f>IFERROR(__xludf.DUMMYFUNCTION("""COMPUTED_VALUE"""),2.0)</f>
        <v>2</v>
      </c>
      <c r="G26" s="55"/>
      <c r="H26" s="56">
        <f>IFERROR(__xludf.DUMMYFUNCTION("""COMPUTED_VALUE"""),9.2)</f>
        <v>9.2</v>
      </c>
      <c r="I26" s="57"/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IFERROR(__xludf.DUMMYFUNCTION("""COMPUTED_VALUE"""),5.6)</f>
        <v>5.6</v>
      </c>
      <c r="F27" s="54">
        <f>IFERROR(__xludf.DUMMYFUNCTION("""COMPUTED_VALUE"""),2.0)</f>
        <v>2</v>
      </c>
      <c r="G27" s="55"/>
      <c r="H27" s="56">
        <f>IFERROR(__xludf.DUMMYFUNCTION("""COMPUTED_VALUE"""),7.6)</f>
        <v>7.6</v>
      </c>
      <c r="I27" s="57"/>
      <c r="J27" s="58">
        <f>IFERROR(__xludf.DUMMYFUNCTION("""COMPUTED_VALUE"""),8.0)</f>
        <v>8</v>
      </c>
      <c r="K27" s="51"/>
      <c r="L27" s="60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IFERROR(__xludf.DUMMYFUNCTION("""COMPUTED_VALUE"""),7.2)</f>
        <v>7.2</v>
      </c>
      <c r="F28" s="54">
        <f>IFERROR(__xludf.DUMMYFUNCTION("""COMPUTED_VALUE"""),2.0)</f>
        <v>2</v>
      </c>
      <c r="G28" s="55">
        <f>IFERROR(__xludf.DUMMYFUNCTION("""COMPUTED_VALUE"""),1.0)</f>
        <v>1</v>
      </c>
      <c r="H28" s="56">
        <f>IFERROR(__xludf.DUMMYFUNCTION("""COMPUTED_VALUE"""),10.2)</f>
        <v>10.2</v>
      </c>
      <c r="I28" s="57"/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IFERROR(__xludf.DUMMYFUNCTION("""COMPUTED_VALUE"""),6.8)</f>
        <v>6.8</v>
      </c>
      <c r="F29" s="54">
        <f>IFERROR(__xludf.DUMMYFUNCTION("""COMPUTED_VALUE"""),2.0)</f>
        <v>2</v>
      </c>
      <c r="G29" s="55"/>
      <c r="H29" s="56">
        <f>IFERROR(__xludf.DUMMYFUNCTION("""COMPUTED_VALUE"""),8.8)</f>
        <v>8.8</v>
      </c>
      <c r="I29" s="57"/>
      <c r="J29" s="58">
        <f>IFERROR(__xludf.DUMMYFUNCTION("""COMPUTED_VALUE"""),9.0)</f>
        <v>9</v>
      </c>
      <c r="K29" s="51"/>
      <c r="L29" s="60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IFERROR(__xludf.DUMMYFUNCTION("""COMPUTED_VALUE"""),6.6)</f>
        <v>6.6</v>
      </c>
      <c r="F30" s="54">
        <f>IFERROR(__xludf.DUMMYFUNCTION("""COMPUTED_VALUE"""),2.0)</f>
        <v>2</v>
      </c>
      <c r="G30" s="55"/>
      <c r="H30" s="56">
        <f>IFERROR(__xludf.DUMMYFUNCTION("""COMPUTED_VALUE"""),8.6)</f>
        <v>8.6</v>
      </c>
      <c r="I30" s="57"/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IFERROR(__xludf.DUMMYFUNCTION("""COMPUTED_VALUE"""),6.0)</f>
        <v>6</v>
      </c>
      <c r="F31" s="54">
        <f>IFERROR(__xludf.DUMMYFUNCTION("""COMPUTED_VALUE"""),2.0)</f>
        <v>2</v>
      </c>
      <c r="G31" s="55"/>
      <c r="H31" s="56">
        <f>IFERROR(__xludf.DUMMYFUNCTION("""COMPUTED_VALUE"""),8.0)</f>
        <v>8</v>
      </c>
      <c r="I31" s="57">
        <f>IFERROR(__xludf.DUMMYFUNCTION("""COMPUTED_VALUE"""),2.0)</f>
        <v>2</v>
      </c>
      <c r="J31" s="58">
        <f>IFERROR(__xludf.DUMMYFUNCTION("""COMPUTED_VALUE"""),8.0)</f>
        <v>8</v>
      </c>
      <c r="K31" s="51"/>
      <c r="L31" s="60">
        <f>IFERROR(__xludf.DUMMYFUNCTION("""COMPUTED_VALUE"""),8.0)</f>
        <v>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IFERROR(__xludf.DUMMYFUNCTION("""COMPUTED_VALUE"""),5.6)</f>
        <v>5.6</v>
      </c>
      <c r="F32" s="54">
        <f>IFERROR(__xludf.DUMMYFUNCTION("""COMPUTED_VALUE"""),2.0)</f>
        <v>2</v>
      </c>
      <c r="G32" s="55"/>
      <c r="H32" s="56">
        <f>IFERROR(__xludf.DUMMYFUNCTION("""COMPUTED_VALUE"""),7.6)</f>
        <v>7.6</v>
      </c>
      <c r="I32" s="57"/>
      <c r="J32" s="58">
        <f>IFERROR(__xludf.DUMMYFUNCTION("""COMPUTED_VALUE"""),8.0)</f>
        <v>8</v>
      </c>
      <c r="K32" s="51"/>
      <c r="L32" s="60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IFERROR(__xludf.DUMMYFUNCTION("""COMPUTED_VALUE"""),6.4)</f>
        <v>6.4</v>
      </c>
      <c r="F33" s="54">
        <f>IFERROR(__xludf.DUMMYFUNCTION("""COMPUTED_VALUE"""),2.0)</f>
        <v>2</v>
      </c>
      <c r="G33" s="55"/>
      <c r="H33" s="56">
        <f>IFERROR(__xludf.DUMMYFUNCTION("""COMPUTED_VALUE"""),8.4)</f>
        <v>8.4</v>
      </c>
      <c r="I33" s="57"/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IFERROR(__xludf.DUMMYFUNCTION("""COMPUTED_VALUE"""),4.4)</f>
        <v>4.4</v>
      </c>
      <c r="F34" s="54">
        <f>IFERROR(__xludf.DUMMYFUNCTION("""COMPUTED_VALUE"""),2.0)</f>
        <v>2</v>
      </c>
      <c r="G34" s="55"/>
      <c r="H34" s="56">
        <f>IFERROR(__xludf.DUMMYFUNCTION("""COMPUTED_VALUE"""),6.4)</f>
        <v>6.4</v>
      </c>
      <c r="I34" s="57"/>
      <c r="J34" s="58">
        <f>IFERROR(__xludf.DUMMYFUNCTION("""COMPUTED_VALUE"""),6.0)</f>
        <v>6</v>
      </c>
      <c r="K34" s="51"/>
      <c r="L34" s="60">
        <f>IFERROR(__xludf.DUMMYFUNCTION("""COMPUTED_VALUE"""),6.0)</f>
        <v>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/>
      <c r="F35" s="54"/>
      <c r="G35" s="55"/>
      <c r="H35" s="56">
        <f>IFERROR(__xludf.DUMMYFUNCTION("""COMPUTED_VALUE"""),0.0)</f>
        <v>0</v>
      </c>
      <c r="I35" s="57">
        <f>IFERROR(__xludf.DUMMYFUNCTION("""COMPUTED_VALUE"""),5.0)</f>
        <v>5</v>
      </c>
      <c r="J35" s="58">
        <f>IFERROR(__xludf.DUMMYFUNCTION("""COMPUTED_VALUE"""),5.0)</f>
        <v>5</v>
      </c>
      <c r="K35" s="51"/>
      <c r="L35" s="60">
        <f>IFERROR(__xludf.DUMMYFUNCTION("""COMPUTED_VALUE"""),0.0)</f>
        <v>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IFERROR(__xludf.DUMMYFUNCTION("""COMPUTED_VALUE"""),7.6)</f>
        <v>7.6</v>
      </c>
      <c r="F36" s="54">
        <f>IFERROR(__xludf.DUMMYFUNCTION("""COMPUTED_VALUE"""),2.0)</f>
        <v>2</v>
      </c>
      <c r="G36" s="55"/>
      <c r="H36" s="56">
        <f>IFERROR(__xludf.DUMMYFUNCTION("""COMPUTED_VALUE"""),9.6)</f>
        <v>9.6</v>
      </c>
      <c r="I36" s="57">
        <f>IFERROR(__xludf.DUMMYFUNCTION("""COMPUTED_VALUE"""),1.0)</f>
        <v>1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IFERROR(__xludf.DUMMYFUNCTION("""COMPUTED_VALUE"""),6.8)</f>
        <v>6.8</v>
      </c>
      <c r="F37" s="54">
        <f>IFERROR(__xludf.DUMMYFUNCTION("""COMPUTED_VALUE"""),2.0)</f>
        <v>2</v>
      </c>
      <c r="G37" s="55"/>
      <c r="H37" s="56">
        <f>IFERROR(__xludf.DUMMYFUNCTION("""COMPUTED_VALUE"""),8.8)</f>
        <v>8.8</v>
      </c>
      <c r="I37" s="57"/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IFERROR(__xludf.DUMMYFUNCTION("""COMPUTED_VALUE"""),7.6)</f>
        <v>7.6</v>
      </c>
      <c r="F38" s="54">
        <f>IFERROR(__xludf.DUMMYFUNCTION("""COMPUTED_VALUE"""),2.0)</f>
        <v>2</v>
      </c>
      <c r="G38" s="55"/>
      <c r="H38" s="56">
        <f>IFERROR(__xludf.DUMMYFUNCTION("""COMPUTED_VALUE"""),9.6)</f>
        <v>9.6</v>
      </c>
      <c r="I38" s="57"/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IFERROR(__xludf.DUMMYFUNCTION("""COMPUTED_VALUE"""),7.2)</f>
        <v>7.2</v>
      </c>
      <c r="F39" s="54">
        <f>IFERROR(__xludf.DUMMYFUNCTION("""COMPUTED_VALUE"""),2.0)</f>
        <v>2</v>
      </c>
      <c r="G39" s="55"/>
      <c r="H39" s="56">
        <f>IFERROR(__xludf.DUMMYFUNCTION("""COMPUTED_VALUE"""),9.2)</f>
        <v>9.2</v>
      </c>
      <c r="I39" s="57">
        <f>IFERROR(__xludf.DUMMYFUNCTION("""COMPUTED_VALUE"""),1.0)</f>
        <v>1</v>
      </c>
      <c r="J39" s="58">
        <f>IFERROR(__xludf.DUMMYFUNCTION("""COMPUTED_VALUE"""),9.0)</f>
        <v>9</v>
      </c>
      <c r="K39" s="51"/>
      <c r="L39" s="60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IFERROR(__xludf.DUMMYFUNCTION("""COMPUTED_VALUE"""),6.4)</f>
        <v>6.4</v>
      </c>
      <c r="F40" s="54">
        <f>IFERROR(__xludf.DUMMYFUNCTION("""COMPUTED_VALUE"""),2.0)</f>
        <v>2</v>
      </c>
      <c r="G40" s="55"/>
      <c r="H40" s="56">
        <f>IFERROR(__xludf.DUMMYFUNCTION("""COMPUTED_VALUE"""),8.4)</f>
        <v>8.4</v>
      </c>
      <c r="I40" s="57"/>
      <c r="J40" s="58">
        <f>IFERROR(__xludf.DUMMYFUNCTION("""COMPUTED_VALUE"""),8.0)</f>
        <v>8</v>
      </c>
      <c r="K40" s="51"/>
      <c r="L40" s="60">
        <f>IFERROR(__xludf.DUMMYFUNCTION("""COMPUTED_VALUE"""),8.0)</f>
        <v>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IFERROR(__xludf.DUMMYFUNCTION("""COMPUTED_VALUE"""),7.6)</f>
        <v>7.6</v>
      </c>
      <c r="F41" s="54">
        <f>IFERROR(__xludf.DUMMYFUNCTION("""COMPUTED_VALUE"""),2.0)</f>
        <v>2</v>
      </c>
      <c r="G41" s="55"/>
      <c r="H41" s="56">
        <f>IFERROR(__xludf.DUMMYFUNCTION("""COMPUTED_VALUE"""),9.6)</f>
        <v>9.6</v>
      </c>
      <c r="I41" s="57"/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IFERROR(__xludf.DUMMYFUNCTION("""COMPUTED_VALUE"""),6.8)</f>
        <v>6.8</v>
      </c>
      <c r="F42" s="54">
        <f>IFERROR(__xludf.DUMMYFUNCTION("""COMPUTED_VALUE"""),2.0)</f>
        <v>2</v>
      </c>
      <c r="G42" s="55"/>
      <c r="H42" s="56">
        <f>IFERROR(__xludf.DUMMYFUNCTION("""COMPUTED_VALUE"""),8.8)</f>
        <v>8.8</v>
      </c>
      <c r="I42" s="57"/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IFERROR(__xludf.DUMMYFUNCTION("""COMPUTED_VALUE"""),6.0)</f>
        <v>6</v>
      </c>
      <c r="F43" s="54">
        <f>IFERROR(__xludf.DUMMYFUNCTION("""COMPUTED_VALUE"""),2.0)</f>
        <v>2</v>
      </c>
      <c r="G43" s="55"/>
      <c r="H43" s="56">
        <f>IFERROR(__xludf.DUMMYFUNCTION("""COMPUTED_VALUE"""),8.0)</f>
        <v>8</v>
      </c>
      <c r="I43" s="57"/>
      <c r="J43" s="58">
        <f>IFERROR(__xludf.DUMMYFUNCTION("""COMPUTED_VALUE"""),8.0)</f>
        <v>8</v>
      </c>
      <c r="K43" s="51"/>
      <c r="L43" s="60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IFERROR(__xludf.DUMMYFUNCTION("""COMPUTED_VALUE"""),5.6)</f>
        <v>5.6</v>
      </c>
      <c r="F44" s="54">
        <f>IFERROR(__xludf.DUMMYFUNCTION("""COMPUTED_VALUE"""),2.0)</f>
        <v>2</v>
      </c>
      <c r="G44" s="55"/>
      <c r="H44" s="56">
        <f>IFERROR(__xludf.DUMMYFUNCTION("""COMPUTED_VALUE"""),7.6)</f>
        <v>7.6</v>
      </c>
      <c r="I44" s="57">
        <f>IFERROR(__xludf.DUMMYFUNCTION("""COMPUTED_VALUE"""),1.0)</f>
        <v>1</v>
      </c>
      <c r="J44" s="58">
        <f>IFERROR(__xludf.DUMMYFUNCTION("""COMPUTED_VALUE"""),8.0)</f>
        <v>8</v>
      </c>
      <c r="K44" s="51"/>
      <c r="L44" s="60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/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IFERROR(__xludf.DUMMYFUNCTION("""COMPUTED_VALUE"""),6.8)</f>
        <v>6.8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IFERROR(__xludf.DUMMYFUNCTION("""COMPUTED_VALUE"""),9.8)</f>
        <v>9.8</v>
      </c>
      <c r="I46" s="57"/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IFERROR(__xludf.DUMMYFUNCTION("""COMPUTED_VALUE"""),6.8)</f>
        <v>6.8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IFERROR(__xludf.DUMMYFUNCTION("""COMPUTED_VALUE"""),9.8)</f>
        <v>9.8</v>
      </c>
      <c r="I47" s="57"/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IFERROR(__xludf.DUMMYFUNCTION("""COMPUTED_VALUE"""),7.6)</f>
        <v>7.6</v>
      </c>
      <c r="F48" s="54">
        <f>IFERROR(__xludf.DUMMYFUNCTION("""COMPUTED_VALUE"""),2.0)</f>
        <v>2</v>
      </c>
      <c r="G48" s="55">
        <f>IFERROR(__xludf.DUMMYFUNCTION("""COMPUTED_VALUE"""),1.0)</f>
        <v>1</v>
      </c>
      <c r="H48" s="56">
        <f>IFERROR(__xludf.DUMMYFUNCTION("""COMPUTED_VALUE"""),10.6)</f>
        <v>10.6</v>
      </c>
      <c r="I48" s="57"/>
      <c r="J48" s="58">
        <f>IFERROR(__xludf.DUMMYFUNCTION("""COMPUTED_VALUE"""),10.0)</f>
        <v>10</v>
      </c>
      <c r="K48" s="51"/>
      <c r="L48" s="60">
        <f>IFERROR(__xludf.DUMMYFUNCTION("""COMPUTED_VALUE"""),11.0)</f>
        <v>11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IFERROR(__xludf.DUMMYFUNCTION("""COMPUTED_VALUE"""),6.4)</f>
        <v>6.4</v>
      </c>
      <c r="F49" s="54">
        <f>IFERROR(__xludf.DUMMYFUNCTION("""COMPUTED_VALUE"""),2.0)</f>
        <v>2</v>
      </c>
      <c r="G49" s="55">
        <f>IFERROR(__xludf.DUMMYFUNCTION("""COMPUTED_VALUE"""),1.0)</f>
        <v>1</v>
      </c>
      <c r="H49" s="56">
        <f>IFERROR(__xludf.DUMMYFUNCTION("""COMPUTED_VALUE"""),9.4)</f>
        <v>9.4</v>
      </c>
      <c r="I49" s="57"/>
      <c r="J49" s="58">
        <f>IFERROR(__xludf.DUMMYFUNCTION("""COMPUTED_VALUE"""),9.0)</f>
        <v>9</v>
      </c>
      <c r="K49" s="51"/>
      <c r="L49" s="60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IFERROR(__xludf.DUMMYFUNCTION("""COMPUTED_VALUE"""),7.6)</f>
        <v>7.6</v>
      </c>
      <c r="F50" s="54">
        <f>IFERROR(__xludf.DUMMYFUNCTION("""COMPUTED_VALUE"""),2.0)</f>
        <v>2</v>
      </c>
      <c r="G50" s="55">
        <f>IFERROR(__xludf.DUMMYFUNCTION("""COMPUTED_VALUE"""),1.0)</f>
        <v>1</v>
      </c>
      <c r="H50" s="56">
        <f>IFERROR(__xludf.DUMMYFUNCTION("""COMPUTED_VALUE"""),10.6)</f>
        <v>10.6</v>
      </c>
      <c r="I50" s="57"/>
      <c r="J50" s="58">
        <f>IFERROR(__xludf.DUMMYFUNCTION("""COMPUTED_VALUE"""),10.0)</f>
        <v>10</v>
      </c>
      <c r="K50" s="51"/>
      <c r="L50" s="60">
        <f>IFERROR(__xludf.DUMMYFUNCTION("""COMPUTED_VALUE"""),11.0)</f>
        <v>11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IFERROR(__xludf.DUMMYFUNCTION("""COMPUTED_VALUE"""),7.2)</f>
        <v>7.2</v>
      </c>
      <c r="F51" s="54">
        <f>IFERROR(__xludf.DUMMYFUNCTION("""COMPUTED_VALUE"""),2.0)</f>
        <v>2</v>
      </c>
      <c r="G51" s="55">
        <f>IFERROR(__xludf.DUMMYFUNCTION("""COMPUTED_VALUE"""),1.0)</f>
        <v>1</v>
      </c>
      <c r="H51" s="56">
        <f>IFERROR(__xludf.DUMMYFUNCTION("""COMPUTED_VALUE"""),10.2)</f>
        <v>10.2</v>
      </c>
      <c r="I51" s="57"/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/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IFERROR(__xludf.DUMMYFUNCTION("""COMPUTED_VALUE"""),5.6)</f>
        <v>5.6</v>
      </c>
      <c r="F53" s="54">
        <f>IFERROR(__xludf.DUMMYFUNCTION("""COMPUTED_VALUE"""),2.0)</f>
        <v>2</v>
      </c>
      <c r="G53" s="55"/>
      <c r="H53" s="56">
        <f>IFERROR(__xludf.DUMMYFUNCTION("""COMPUTED_VALUE"""),7.6)</f>
        <v>7.6</v>
      </c>
      <c r="I53" s="57">
        <f>IFERROR(__xludf.DUMMYFUNCTION("""COMPUTED_VALUE"""),1.0)</f>
        <v>1</v>
      </c>
      <c r="J53" s="58">
        <f>IFERROR(__xludf.DUMMYFUNCTION("""COMPUTED_VALUE"""),8.0)</f>
        <v>8</v>
      </c>
      <c r="K53" s="51"/>
      <c r="L53" s="59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IFERROR(__xludf.DUMMYFUNCTION("""COMPUTED_VALUE"""),7.6)</f>
        <v>7.6</v>
      </c>
      <c r="F54" s="54">
        <f>IFERROR(__xludf.DUMMYFUNCTION("""COMPUTED_VALUE"""),2.0)</f>
        <v>2</v>
      </c>
      <c r="G54" s="55"/>
      <c r="H54" s="56">
        <f>IFERROR(__xludf.DUMMYFUNCTION("""COMPUTED_VALUE"""),9.6)</f>
        <v>9.6</v>
      </c>
      <c r="I54" s="57"/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IFERROR(__xludf.DUMMYFUNCTION("""COMPUTED_VALUE"""),6.4)</f>
        <v>6.4</v>
      </c>
      <c r="F55" s="54">
        <f>IFERROR(__xludf.DUMMYFUNCTION("""COMPUTED_VALUE"""),2.0)</f>
        <v>2</v>
      </c>
      <c r="G55" s="55"/>
      <c r="H55" s="56">
        <f>IFERROR(__xludf.DUMMYFUNCTION("""COMPUTED_VALUE"""),8.4)</f>
        <v>8.4</v>
      </c>
      <c r="I55" s="61"/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IFERROR(__xludf.DUMMYFUNCTION("""COMPUTED_VALUE"""),6.0)</f>
        <v>6</v>
      </c>
      <c r="F56" s="54">
        <f>IFERROR(__xludf.DUMMYFUNCTION("""COMPUTED_VALUE"""),2.0)</f>
        <v>2</v>
      </c>
      <c r="G56" s="55">
        <f>IFERROR(__xludf.DUMMYFUNCTION("""COMPUTED_VALUE"""),1.0)</f>
        <v>1</v>
      </c>
      <c r="H56" s="56">
        <f>IFERROR(__xludf.DUMMYFUNCTION("""COMPUTED_VALUE"""),9.0)</f>
        <v>9</v>
      </c>
      <c r="I56" s="61"/>
      <c r="J56" s="58">
        <f>IFERROR(__xludf.DUMMYFUNCTION("""COMPUTED_VALUE"""),9.0)</f>
        <v>9</v>
      </c>
      <c r="K56" s="51"/>
      <c r="L56" s="59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IFERROR(__xludf.DUMMYFUNCTION("""COMPUTED_VALUE"""),39.0)</f>
        <v>39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IFERROR(__xludf.DUMMYFUNCTION("""COMPUTED_VALUE"""),1.0)</f>
        <v>1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IFERROR(__xludf.DUMMYFUNCTION("""COMPUTED_VALUE"""),97.5)</f>
        <v>97.5</v>
      </c>
      <c r="E63" s="62"/>
      <c r="F63" s="86" t="str">
        <f>IFERROR(__xludf.DUMMYFUNCTION("""COMPUTED_VALUE"""),"PROFR. ")</f>
        <v>PROFR. 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IFERROR(__xludf.DUMMYFUNCTION("""COMPUTED_VALUE"""),8.925)</f>
        <v>8.925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</row>
    <row r="1004" ht="15.75" customHeight="1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</row>
    <row r="1005" ht="15.75" customHeight="1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</row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4 K18:K63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IFERROR(__xludf.DUMMYFUNCTION("IMPORTRANGE(""https://docs.google.com/spreadsheets/d/1fKGazNVpBpa9ayL3aPl10gt6zPqOsT3bnK5RQC4-Tp8/edit?gid=1913205133#gid=1913205133"",""3-2 temas selectos de igualdad y derechos humanos 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IFERROR(__xludf.DUMMYFUNCTION("""COMPUTED_VALUE"""),"IVÁN HERNÁNDEZ PÉREZ")</f>
        <v>IVÁN HERNÁNDEZ PÉREZ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IGUALDAD Y DERECHOS HUMANOS VI")</f>
        <v>TEMAS SELECTOS DE IGUALDAD Y DERECHOS HUMANOS VI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IFERROR(__xludf.DUMMYFUNCTION("""COMPUTED_VALUE"""),2.0)</f>
        <v>2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IFERROR(__xludf.DUMMYFUNCTION("""COMPUTED_VALUE"""),"ALVARADO")</f>
        <v>ALVARADO</v>
      </c>
      <c r="C17" s="52" t="str">
        <f>IFERROR(__xludf.DUMMYFUNCTION("""COMPUTED_VALUE"""),"TORRES")</f>
        <v>TORRES</v>
      </c>
      <c r="D17" s="53" t="str">
        <f>IFERROR(__xludf.DUMMYFUNCTION("""COMPUTED_VALUE"""),"BRENDA")</f>
        <v>BRENDA</v>
      </c>
      <c r="E17" s="54">
        <f>IFERROR(__xludf.DUMMYFUNCTION("""COMPUTED_VALUE"""),7.8)</f>
        <v>7.8</v>
      </c>
      <c r="F17" s="54">
        <f>IFERROR(__xludf.DUMMYFUNCTION("""COMPUTED_VALUE"""),2.0)</f>
        <v>2</v>
      </c>
      <c r="G17" s="55">
        <f>IFERROR(__xludf.DUMMYFUNCTION("""COMPUTED_VALUE"""),0.0)</f>
        <v>0</v>
      </c>
      <c r="H17" s="56">
        <f>IFERROR(__xludf.DUMMYFUNCTION("""COMPUTED_VALUE"""),9.8)</f>
        <v>9.8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IFERROR(__xludf.DUMMYFUNCTION("""COMPUTED_VALUE"""),"AVALOS")</f>
        <v>AVALOS</v>
      </c>
      <c r="C18" s="52" t="str">
        <f>IFERROR(__xludf.DUMMYFUNCTION("""COMPUTED_VALUE"""),"MORENO")</f>
        <v>MORENO</v>
      </c>
      <c r="D18" s="53" t="str">
        <f>IFERROR(__xludf.DUMMYFUNCTION("""COMPUTED_VALUE"""),"ALAN")</f>
        <v>ALAN</v>
      </c>
      <c r="E18" s="54">
        <f>IFERROR(__xludf.DUMMYFUNCTION("""COMPUTED_VALUE"""),2.0)</f>
        <v>2</v>
      </c>
      <c r="F18" s="54">
        <f>IFERROR(__xludf.DUMMYFUNCTION("""COMPUTED_VALUE"""),0.0)</f>
        <v>0</v>
      </c>
      <c r="G18" s="55">
        <f>IFERROR(__xludf.DUMMYFUNCTION("""COMPUTED_VALUE"""),0.0)</f>
        <v>0</v>
      </c>
      <c r="H18" s="56">
        <f>IFERROR(__xludf.DUMMYFUNCTION("""COMPUTED_VALUE"""),2.0)</f>
        <v>2</v>
      </c>
      <c r="I18" s="57">
        <f>IFERROR(__xludf.DUMMYFUNCTION("""COMPUTED_VALUE"""),1.0)</f>
        <v>1</v>
      </c>
      <c r="J18" s="58">
        <f>IFERROR(__xludf.DUMMYFUNCTION("""COMPUTED_VALUE"""),5.0)</f>
        <v>5</v>
      </c>
      <c r="K18" s="51"/>
      <c r="L18" s="60">
        <f>IFERROR(__xludf.DUMMYFUNCTION("""COMPUTED_VALUE"""),2.0)</f>
        <v>2</v>
      </c>
      <c r="M18" s="1" t="str">
        <f>IFERROR(__xludf.DUMMYFUNCTION("""COMPUTED_VALUE"""),"Febrero")</f>
        <v>Febrero</v>
      </c>
      <c r="N18" s="1">
        <f>IFERROR(__xludf.DUMMYFUNCTION("""COMPUTED_VALUE"""),2.0)</f>
        <v>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IFERROR(__xludf.DUMMYFUNCTION("""COMPUTED_VALUE"""),"BARRERA")</f>
        <v>BARRERA</v>
      </c>
      <c r="C19" s="52" t="str">
        <f>IFERROR(__xludf.DUMMYFUNCTION("""COMPUTED_VALUE"""),"TORAL")</f>
        <v>TORAL</v>
      </c>
      <c r="D19" s="53" t="str">
        <f>IFERROR(__xludf.DUMMYFUNCTION("""COMPUTED_VALUE"""),"EMILIO")</f>
        <v>EMILIO</v>
      </c>
      <c r="E19" s="55">
        <f>IFERROR(__xludf.DUMMYFUNCTION("""COMPUTED_VALUE"""),7.8)</f>
        <v>7.8</v>
      </c>
      <c r="F19" s="54">
        <f>IFERROR(__xludf.DUMMYFUNCTION("""COMPUTED_VALUE"""),2.0)</f>
        <v>2</v>
      </c>
      <c r="G19" s="55">
        <f>IFERROR(__xludf.DUMMYFUNCTION("""COMPUTED_VALUE"""),0.0)</f>
        <v>0</v>
      </c>
      <c r="H19" s="56">
        <f>IFERROR(__xludf.DUMMYFUNCTION("""COMPUTED_VALUE"""),9.8)</f>
        <v>9.8</v>
      </c>
      <c r="I19" s="57">
        <f>IFERROR(__xludf.DUMMYFUNCTION("""COMPUTED_VALUE"""),0.0)</f>
        <v>0</v>
      </c>
      <c r="J19" s="58">
        <f>IFERROR(__xludf.DUMMYFUNCTION("""COMPUTED_VALUE"""),10.0)</f>
        <v>10</v>
      </c>
      <c r="K19" s="51"/>
      <c r="L19" s="60">
        <f>IFERROR(__xludf.DUMMYFUNCTION("""COMPUTED_VALUE"""),10.0)</f>
        <v>10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IFERROR(__xludf.DUMMYFUNCTION("""COMPUTED_VALUE"""),"BOCANEGRA")</f>
        <v>BOCANEGRA</v>
      </c>
      <c r="C20" s="52" t="str">
        <f>IFERROR(__xludf.DUMMYFUNCTION("""COMPUTED_VALUE"""),"GARCIA")</f>
        <v>GARCIA</v>
      </c>
      <c r="D20" s="53" t="str">
        <f>IFERROR(__xludf.DUMMYFUNCTION("""COMPUTED_VALUE"""),"ANA LAURA")</f>
        <v>ANA LAURA</v>
      </c>
      <c r="E20" s="54">
        <f>IFERROR(__xludf.DUMMYFUNCTION("""COMPUTED_VALUE"""),7.7)</f>
        <v>7.7</v>
      </c>
      <c r="F20" s="54">
        <f>IFERROR(__xludf.DUMMYFUNCTION("""COMPUTED_VALUE"""),2.0)</f>
        <v>2</v>
      </c>
      <c r="G20" s="55">
        <f>IFERROR(__xludf.DUMMYFUNCTION("""COMPUTED_VALUE"""),0.0)</f>
        <v>0</v>
      </c>
      <c r="H20" s="56">
        <f>IFERROR(__xludf.DUMMYFUNCTION("""COMPUTED_VALUE"""),9.7)</f>
        <v>9.7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IFERROR(__xludf.DUMMYFUNCTION("""COMPUTED_VALUE"""),3.0)</f>
        <v>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IFERROR(__xludf.DUMMYFUNCTION("""COMPUTED_VALUE"""),"CAMPOS")</f>
        <v>CAMPOS</v>
      </c>
      <c r="C21" s="52" t="str">
        <f>IFERROR(__xludf.DUMMYFUNCTION("""COMPUTED_VALUE"""),"ESPINOSA")</f>
        <v>ESPINOSA</v>
      </c>
      <c r="D21" s="53" t="str">
        <f>IFERROR(__xludf.DUMMYFUNCTION("""COMPUTED_VALUE"""),"YARED")</f>
        <v>YARED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>
        <f>IFERROR(__xludf.DUMMYFUNCTION("""COMPUTED_VALUE"""),0.0)</f>
        <v>0</v>
      </c>
      <c r="H21" s="56">
        <f>IFERROR(__xludf.DUMMYFUNCTION("""COMPUTED_VALUE"""),10.0)</f>
        <v>10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IFERROR(__xludf.DUMMYFUNCTION("""COMPUTED_VALUE"""),3.0)</f>
        <v>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IFERROR(__xludf.DUMMYFUNCTION("""COMPUTED_VALUE"""),"CASTILLO")</f>
        <v>CASTILLO</v>
      </c>
      <c r="C22" s="52" t="str">
        <f>IFERROR(__xludf.DUMMYFUNCTION("""COMPUTED_VALUE"""),"HERNANDEZ")</f>
        <v>HERNANDEZ</v>
      </c>
      <c r="D22" s="53" t="str">
        <f>IFERROR(__xludf.DUMMYFUNCTION("""COMPUTED_VALUE"""),"KALEB")</f>
        <v>KALEB</v>
      </c>
      <c r="E22" s="54">
        <f>IFERROR(__xludf.DUMMYFUNCTION("""COMPUTED_VALUE"""),3.5)</f>
        <v>3.5</v>
      </c>
      <c r="F22" s="54">
        <f>IFERROR(__xludf.DUMMYFUNCTION("""COMPUTED_VALUE"""),0.0)</f>
        <v>0</v>
      </c>
      <c r="G22" s="55">
        <f>IFERROR(__xludf.DUMMYFUNCTION("""COMPUTED_VALUE"""),0.0)</f>
        <v>0</v>
      </c>
      <c r="H22" s="56">
        <f>IFERROR(__xludf.DUMMYFUNCTION("""COMPUTED_VALUE"""),3.5)</f>
        <v>3.5</v>
      </c>
      <c r="I22" s="57">
        <f>IFERROR(__xludf.DUMMYFUNCTION("""COMPUTED_VALUE"""),0.0)</f>
        <v>0</v>
      </c>
      <c r="J22" s="58">
        <f>IFERROR(__xludf.DUMMYFUNCTION("""COMPUTED_VALUE"""),5.0)</f>
        <v>5</v>
      </c>
      <c r="K22" s="51"/>
      <c r="L22" s="60">
        <f>IFERROR(__xludf.DUMMYFUNCTION("""COMPUTED_VALUE"""),3.0)</f>
        <v>3</v>
      </c>
      <c r="M22" s="1" t="str">
        <f>IFERROR(__xludf.DUMMYFUNCTION("""COMPUTED_VALUE"""),"Junio")</f>
        <v>Junio</v>
      </c>
      <c r="N22" s="1">
        <f>IFERROR(__xludf.DUMMYFUNCTION("""COMPUTED_VALUE"""),5.0)</f>
        <v>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IFERROR(__xludf.DUMMYFUNCTION("""COMPUTED_VALUE"""),"CERRITOS")</f>
        <v>CERRITOS</v>
      </c>
      <c r="C23" s="52" t="str">
        <f>IFERROR(__xludf.DUMMYFUNCTION("""COMPUTED_VALUE"""),"MERINO")</f>
        <v>MERINO</v>
      </c>
      <c r="D23" s="53" t="str">
        <f>IFERROR(__xludf.DUMMYFUNCTION("""COMPUTED_VALUE"""),"GABRIELA JOSELIN")</f>
        <v>GABRIELA JOSELIN</v>
      </c>
      <c r="E23" s="54">
        <f>IFERROR(__xludf.DUMMYFUNCTION("""COMPUTED_VALUE"""),8.0)</f>
        <v>8</v>
      </c>
      <c r="F23" s="54">
        <f>IFERROR(__xludf.DUMMYFUNCTION("""COMPUTED_VALUE"""),2.0)</f>
        <v>2</v>
      </c>
      <c r="G23" s="55">
        <f>IFERROR(__xludf.DUMMYFUNCTION("""COMPUTED_VALUE"""),0.0)</f>
        <v>0</v>
      </c>
      <c r="H23" s="56">
        <f>IFERROR(__xludf.DUMMYFUNCTION("""COMPUTED_VALUE"""),10.0)</f>
        <v>10</v>
      </c>
      <c r="I23" s="57">
        <f>IFERROR(__xludf.DUMMYFUNCTION("""COMPUTED_VALUE"""),0.0)</f>
        <v>0</v>
      </c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IFERROR(__xludf.DUMMYFUNCTION("""COMPUTED_VALUE"""),"Julio")</f>
        <v>Julio</v>
      </c>
      <c r="N23" s="1">
        <f>IFERROR(__xludf.DUMMYFUNCTION("""COMPUTED_VALUE"""),2.0)</f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IFERROR(__xludf.DUMMYFUNCTION("""COMPUTED_VALUE"""),"CUECUECHA")</f>
        <v>CUECUECHA</v>
      </c>
      <c r="C24" s="52" t="str">
        <f>IFERROR(__xludf.DUMMYFUNCTION("""COMPUTED_VALUE"""),"RAMIREZ")</f>
        <v>RAMIREZ</v>
      </c>
      <c r="D24" s="53" t="str">
        <f>IFERROR(__xludf.DUMMYFUNCTION("""COMPUTED_VALUE"""),"SANTIAGO BERNARDO")</f>
        <v>SANTIAGO BERNARDO</v>
      </c>
      <c r="E24" s="55">
        <f>IFERROR(__xludf.DUMMYFUNCTION("""COMPUTED_VALUE"""),7.8)</f>
        <v>7.8</v>
      </c>
      <c r="F24" s="54">
        <f>IFERROR(__xludf.DUMMYFUNCTION("""COMPUTED_VALUE"""),2.0)</f>
        <v>2</v>
      </c>
      <c r="G24" s="55">
        <f>IFERROR(__xludf.DUMMYFUNCTION("""COMPUTED_VALUE"""),0.0)</f>
        <v>0</v>
      </c>
      <c r="H24" s="56">
        <f>IFERROR(__xludf.DUMMYFUNCTION("""COMPUTED_VALUE"""),9.8)</f>
        <v>9.8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IFERROR(__xludf.DUMMYFUNCTION("""COMPUTED_VALUE"""),19.0)</f>
        <v>19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IFERROR(__xludf.DUMMYFUNCTION("""COMPUTED_VALUE"""),"COMO")</f>
        <v>COMO</v>
      </c>
      <c r="C25" s="52" t="str">
        <f>IFERROR(__xludf.DUMMYFUNCTION("""COMPUTED_VALUE"""),"MONTOYA")</f>
        <v>MONTOYA</v>
      </c>
      <c r="D25" s="53" t="str">
        <f>IFERROR(__xludf.DUMMYFUNCTION("""COMPUTED_VALUE"""),"WENDY GABRIELA")</f>
        <v>WENDY GABRIELA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>
        <f>IFERROR(__xludf.DUMMYFUNCTION("""COMPUTED_VALUE"""),0.0)</f>
        <v>0</v>
      </c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IFERROR(__xludf.DUMMYFUNCTION("""COMPUTED_VALUE"""),"COVARRUBIAS")</f>
        <v>COVARRUBIAS</v>
      </c>
      <c r="C26" s="52" t="str">
        <f>IFERROR(__xludf.DUMMYFUNCTION("""COMPUTED_VALUE"""),"PEREZ")</f>
        <v>PEREZ</v>
      </c>
      <c r="D26" s="53" t="str">
        <f>IFERROR(__xludf.DUMMYFUNCTION("""COMPUTED_VALUE"""),"VERONICA ALEJANDRA")</f>
        <v>VERONICA ALEJANDRA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>
        <f>IFERROR(__xludf.DUMMYFUNCTION("""COMPUTED_VALUE"""),0.0)</f>
        <v>0</v>
      </c>
      <c r="H26" s="56">
        <f>IFERROR(__xludf.DUMMYFUNCTION("""COMPUTED_VALUE"""),10.0)</f>
        <v>10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IFERROR(__xludf.DUMMYFUNCTION("""COMPUTED_VALUE"""),"DE LOS SANTOS")</f>
        <v>DE LOS SANTOS</v>
      </c>
      <c r="C27" s="52" t="str">
        <f>IFERROR(__xludf.DUMMYFUNCTION("""COMPUTED_VALUE"""),"ESCOBAR")</f>
        <v>ESCOBAR</v>
      </c>
      <c r="D27" s="52" t="str">
        <f>IFERROR(__xludf.DUMMYFUNCTION("""COMPUTED_VALUE"""),"DAFNE SELENE")</f>
        <v>DAFNE SELENE</v>
      </c>
      <c r="E27" s="54">
        <f>IFERROR(__xludf.DUMMYFUNCTION("""COMPUTED_VALUE"""),7.7)</f>
        <v>7.7</v>
      </c>
      <c r="F27" s="54">
        <f>IFERROR(__xludf.DUMMYFUNCTION("""COMPUTED_VALUE"""),2.0)</f>
        <v>2</v>
      </c>
      <c r="G27" s="55">
        <f>IFERROR(__xludf.DUMMYFUNCTION("""COMPUTED_VALUE"""),0.0)</f>
        <v>0</v>
      </c>
      <c r="H27" s="56">
        <f>IFERROR(__xludf.DUMMYFUNCTION("""COMPUTED_VALUE"""),9.7)</f>
        <v>9.7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IFERROR(__xludf.DUMMYFUNCTION("""COMPUTED_VALUE"""),"FERNANDEZ")</f>
        <v>FERNANDEZ</v>
      </c>
      <c r="C28" s="52" t="str">
        <f>IFERROR(__xludf.DUMMYFUNCTION("""COMPUTED_VALUE"""),"LOPEZ")</f>
        <v>LOPEZ</v>
      </c>
      <c r="D28" s="53" t="str">
        <f>IFERROR(__xludf.DUMMYFUNCTION("""COMPUTED_VALUE"""),"XIMENA")</f>
        <v>XIMENA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>
        <f>IFERROR(__xludf.DUMMYFUNCTION("""COMPUTED_VALUE"""),0.0)</f>
        <v>0</v>
      </c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IFERROR(__xludf.DUMMYFUNCTION("""COMPUTED_VALUE"""),"GARCIA")</f>
        <v>GARCIA</v>
      </c>
      <c r="C29" s="52" t="str">
        <f>IFERROR(__xludf.DUMMYFUNCTION("""COMPUTED_VALUE"""),"CASTELLANOS")</f>
        <v>CASTELLANOS</v>
      </c>
      <c r="D29" s="53" t="str">
        <f>IFERROR(__xludf.DUMMYFUNCTION("""COMPUTED_VALUE"""),"LUIS AARON")</f>
        <v>LUIS AARON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>
        <f>IFERROR(__xludf.DUMMYFUNCTION("""COMPUTED_VALUE"""),0.0)</f>
        <v>0</v>
      </c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IFERROR(__xludf.DUMMYFUNCTION("""COMPUTED_VALUE"""),"GARCIA")</f>
        <v>GARCIA</v>
      </c>
      <c r="C30" s="52" t="str">
        <f>IFERROR(__xludf.DUMMYFUNCTION("""COMPUTED_VALUE"""),"JUAN DIEGO")</f>
        <v>JUAN DIEGO</v>
      </c>
      <c r="D30" s="53" t="str">
        <f>IFERROR(__xludf.DUMMYFUNCTION("""COMPUTED_VALUE"""),"GAEL ALEXANDER")</f>
        <v>GAEL ALEXANDER</v>
      </c>
      <c r="E30" s="55">
        <f>IFERROR(__xludf.DUMMYFUNCTION("""COMPUTED_VALUE"""),6.0)</f>
        <v>6</v>
      </c>
      <c r="F30" s="54">
        <f>IFERROR(__xludf.DUMMYFUNCTION("""COMPUTED_VALUE"""),2.0)</f>
        <v>2</v>
      </c>
      <c r="G30" s="55">
        <f>IFERROR(__xludf.DUMMYFUNCTION("""COMPUTED_VALUE"""),0.0)</f>
        <v>0</v>
      </c>
      <c r="H30" s="56">
        <f>IFERROR(__xludf.DUMMYFUNCTION("""COMPUTED_VALUE"""),8.0)</f>
        <v>8</v>
      </c>
      <c r="I30" s="57">
        <f>IFERROR(__xludf.DUMMYFUNCTION("""COMPUTED_VALUE"""),0.0)</f>
        <v>0</v>
      </c>
      <c r="J30" s="58">
        <f>IFERROR(__xludf.DUMMYFUNCTION("""COMPUTED_VALUE"""),8.0)</f>
        <v>8</v>
      </c>
      <c r="K30" s="51"/>
      <c r="L30" s="60">
        <f>IFERROR(__xludf.DUMMYFUNCTION("""COMPUTED_VALUE"""),8.0)</f>
        <v>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IFERROR(__xludf.DUMMYFUNCTION("""COMPUTED_VALUE"""),"MORALES")</f>
        <v>MORALES</v>
      </c>
      <c r="D31" s="53" t="str">
        <f>IFERROR(__xludf.DUMMYFUNCTION("""COMPUTED_VALUE"""),"OMAR ISRAEL")</f>
        <v>OMAR ISRAEL</v>
      </c>
      <c r="E31" s="55">
        <f>IFERROR(__xludf.DUMMYFUNCTION("""COMPUTED_VALUE"""),4.9)</f>
        <v>4.9</v>
      </c>
      <c r="F31" s="54">
        <f>IFERROR(__xludf.DUMMYFUNCTION("""COMPUTED_VALUE"""),2.0)</f>
        <v>2</v>
      </c>
      <c r="G31" s="55">
        <f>IFERROR(__xludf.DUMMYFUNCTION("""COMPUTED_VALUE"""),0.0)</f>
        <v>0</v>
      </c>
      <c r="H31" s="56">
        <f>IFERROR(__xludf.DUMMYFUNCTION("""COMPUTED_VALUE"""),6.9)</f>
        <v>6.9</v>
      </c>
      <c r="I31" s="57">
        <f>IFERROR(__xludf.DUMMYFUNCTION("""COMPUTED_VALUE"""),0.0)</f>
        <v>0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IFERROR(__xludf.DUMMYFUNCTION("""COMPUTED_VALUE"""),"GUTIERREZ")</f>
        <v>GUTIERREZ</v>
      </c>
      <c r="C32" s="52" t="str">
        <f>IFERROR(__xludf.DUMMYFUNCTION("""COMPUTED_VALUE"""),"VALDIVIA")</f>
        <v>VALDIVIA</v>
      </c>
      <c r="D32" s="53" t="str">
        <f>IFERROR(__xludf.DUMMYFUNCTION("""COMPUTED_VALUE"""),"EMILIANO")</f>
        <v>EMILIANO</v>
      </c>
      <c r="E32" s="54">
        <f>IFERROR(__xludf.DUMMYFUNCTION("""COMPUTED_VALUE"""),5.5)</f>
        <v>5.5</v>
      </c>
      <c r="F32" s="54">
        <f>IFERROR(__xludf.DUMMYFUNCTION("""COMPUTED_VALUE"""),2.0)</f>
        <v>2</v>
      </c>
      <c r="G32" s="55">
        <f>IFERROR(__xludf.DUMMYFUNCTION("""COMPUTED_VALUE"""),0.0)</f>
        <v>0</v>
      </c>
      <c r="H32" s="56">
        <f>IFERROR(__xludf.DUMMYFUNCTION("""COMPUTED_VALUE"""),7.5)</f>
        <v>7.5</v>
      </c>
      <c r="I32" s="57">
        <f>IFERROR(__xludf.DUMMYFUNCTION("""COMPUTED_VALUE"""),0.0)</f>
        <v>0</v>
      </c>
      <c r="J32" s="58">
        <f>IFERROR(__xludf.DUMMYFUNCTION("""COMPUTED_VALUE"""),8.0)</f>
        <v>8</v>
      </c>
      <c r="K32" s="51"/>
      <c r="L32" s="60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IFERROR(__xludf.DUMMYFUNCTION("""COMPUTED_VALUE"""),"JARAMILLO")</f>
        <v>JARAMILLO</v>
      </c>
      <c r="C33" s="52" t="str">
        <f>IFERROR(__xludf.DUMMYFUNCTION("""COMPUTED_VALUE"""),"LOPEZ")</f>
        <v>LOPEZ</v>
      </c>
      <c r="D33" s="53" t="str">
        <f>IFERROR(__xludf.DUMMYFUNCTION("""COMPUTED_VALUE"""),"OSCAR")</f>
        <v>OSCAR</v>
      </c>
      <c r="E33" s="54">
        <f>IFERROR(__xludf.DUMMYFUNCTION("""COMPUTED_VALUE"""),7.7)</f>
        <v>7.7</v>
      </c>
      <c r="F33" s="54">
        <f>IFERROR(__xludf.DUMMYFUNCTION("""COMPUTED_VALUE"""),2.0)</f>
        <v>2</v>
      </c>
      <c r="G33" s="55">
        <f>IFERROR(__xludf.DUMMYFUNCTION("""COMPUTED_VALUE"""),0.0)</f>
        <v>0</v>
      </c>
      <c r="H33" s="56">
        <f>IFERROR(__xludf.DUMMYFUNCTION("""COMPUTED_VALUE"""),9.7)</f>
        <v>9.7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IFERROR(__xludf.DUMMYFUNCTION("""COMPUTED_VALUE"""),"LOZANO")</f>
        <v>LOZANO</v>
      </c>
      <c r="C34" s="52" t="str">
        <f>IFERROR(__xludf.DUMMYFUNCTION("""COMPUTED_VALUE"""),"RODRIGUEZ")</f>
        <v>RODRIGUEZ</v>
      </c>
      <c r="D34" s="53" t="str">
        <f>IFERROR(__xludf.DUMMYFUNCTION("""COMPUTED_VALUE"""),"LEONARDO RICARDO")</f>
        <v>LEONARDO RICARDO</v>
      </c>
      <c r="E34" s="55">
        <f>IFERROR(__xludf.DUMMYFUNCTION("""COMPUTED_VALUE"""),2.0)</f>
        <v>2</v>
      </c>
      <c r="F34" s="54">
        <f>IFERROR(__xludf.DUMMYFUNCTION("""COMPUTED_VALUE"""),0.0)</f>
        <v>0</v>
      </c>
      <c r="G34" s="55">
        <f>IFERROR(__xludf.DUMMYFUNCTION("""COMPUTED_VALUE"""),0.0)</f>
        <v>0</v>
      </c>
      <c r="H34" s="56">
        <f>IFERROR(__xludf.DUMMYFUNCTION("""COMPUTED_VALUE"""),2.0)</f>
        <v>2</v>
      </c>
      <c r="I34" s="57">
        <f>IFERROR(__xludf.DUMMYFUNCTION("""COMPUTED_VALUE"""),0.0)</f>
        <v>0</v>
      </c>
      <c r="J34" s="58">
        <f>IFERROR(__xludf.DUMMYFUNCTION("""COMPUTED_VALUE"""),5.0)</f>
        <v>5</v>
      </c>
      <c r="K34" s="51"/>
      <c r="L34" s="60">
        <f>IFERROR(__xludf.DUMMYFUNCTION("""COMPUTED_VALUE"""),2.0)</f>
        <v>2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IFERROR(__xludf.DUMMYFUNCTION("""COMPUTED_VALUE"""),"MAGAÑA")</f>
        <v>MAGAÑA</v>
      </c>
      <c r="C35" s="52" t="str">
        <f>IFERROR(__xludf.DUMMYFUNCTION("""COMPUTED_VALUE"""),"ACOSTA")</f>
        <v>ACOSTA</v>
      </c>
      <c r="D35" s="53" t="str">
        <f>IFERROR(__xludf.DUMMYFUNCTION("""COMPUTED_VALUE"""),"GAEL ALEXANDER")</f>
        <v>GAEL ALEXANDER</v>
      </c>
      <c r="E35" s="54">
        <f>IFERROR(__xludf.DUMMYFUNCTION("""COMPUTED_VALUE"""),5.5)</f>
        <v>5.5</v>
      </c>
      <c r="F35" s="54">
        <f>IFERROR(__xludf.DUMMYFUNCTION("""COMPUTED_VALUE"""),0.0)</f>
        <v>0</v>
      </c>
      <c r="G35" s="55">
        <f>IFERROR(__xludf.DUMMYFUNCTION("""COMPUTED_VALUE"""),0.0)</f>
        <v>0</v>
      </c>
      <c r="H35" s="56">
        <f>IFERROR(__xludf.DUMMYFUNCTION("""COMPUTED_VALUE"""),5.5)</f>
        <v>5.5</v>
      </c>
      <c r="I35" s="57">
        <f>IFERROR(__xludf.DUMMYFUNCTION("""COMPUTED_VALUE"""),0.0)</f>
        <v>0</v>
      </c>
      <c r="J35" s="58">
        <f>IFERROR(__xludf.DUMMYFUNCTION("""COMPUTED_VALUE"""),5.0)</f>
        <v>5</v>
      </c>
      <c r="K35" s="51"/>
      <c r="L35" s="60">
        <f>IFERROR(__xludf.DUMMYFUNCTION("""COMPUTED_VALUE"""),5.0)</f>
        <v>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IFERROR(__xludf.DUMMYFUNCTION("""COMPUTED_VALUE"""),"MARTINEZ")</f>
        <v>MARTINEZ</v>
      </c>
      <c r="C36" s="52" t="str">
        <f>IFERROR(__xludf.DUMMYFUNCTION("""COMPUTED_VALUE"""),"HERRERA")</f>
        <v>HERRERA</v>
      </c>
      <c r="D36" s="53" t="str">
        <f>IFERROR(__xludf.DUMMYFUNCTION("""COMPUTED_VALUE"""),"LUIS ANGEL")</f>
        <v>LUIS ANGEL</v>
      </c>
      <c r="E36" s="54">
        <f>IFERROR(__xludf.DUMMYFUNCTION("""COMPUTED_VALUE"""),5.5)</f>
        <v>5.5</v>
      </c>
      <c r="F36" s="54">
        <f>IFERROR(__xludf.DUMMYFUNCTION("""COMPUTED_VALUE"""),2.0)</f>
        <v>2</v>
      </c>
      <c r="G36" s="55">
        <f>IFERROR(__xludf.DUMMYFUNCTION("""COMPUTED_VALUE"""),0.0)</f>
        <v>0</v>
      </c>
      <c r="H36" s="56">
        <f>IFERROR(__xludf.DUMMYFUNCTION("""COMPUTED_VALUE"""),7.5)</f>
        <v>7.5</v>
      </c>
      <c r="I36" s="57">
        <f>IFERROR(__xludf.DUMMYFUNCTION("""COMPUTED_VALUE"""),0.0)</f>
        <v>0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IFERROR(__xludf.DUMMYFUNCTION("""COMPUTED_VALUE"""),"MARTINEZ")</f>
        <v>MARTINEZ</v>
      </c>
      <c r="C37" s="52" t="str">
        <f>IFERROR(__xludf.DUMMYFUNCTION("""COMPUTED_VALUE"""),"RAMIREZ")</f>
        <v>RAMIREZ</v>
      </c>
      <c r="D37" s="53" t="str">
        <f>IFERROR(__xludf.DUMMYFUNCTION("""COMPUTED_VALUE"""),"DULCE MARELLI")</f>
        <v>DULCE MARELLI</v>
      </c>
      <c r="E37" s="55">
        <f>IFERROR(__xludf.DUMMYFUNCTION("""COMPUTED_VALUE"""),8.0)</f>
        <v>8</v>
      </c>
      <c r="F37" s="54">
        <f>IFERROR(__xludf.DUMMYFUNCTION("""COMPUTED_VALUE"""),2.0)</f>
        <v>2</v>
      </c>
      <c r="G37" s="55">
        <f>IFERROR(__xludf.DUMMYFUNCTION("""COMPUTED_VALUE"""),0.0)</f>
        <v>0</v>
      </c>
      <c r="H37" s="56">
        <f>IFERROR(__xludf.DUMMYFUNCTION("""COMPUTED_VALUE"""),10.0)</f>
        <v>10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IFERROR(__xludf.DUMMYFUNCTION("""COMPUTED_VALUE"""),"MARTINEZ")</f>
        <v>MARTINEZ</v>
      </c>
      <c r="C38" s="52" t="str">
        <f>IFERROR(__xludf.DUMMYFUNCTION("""COMPUTED_VALUE"""),"ZAMORA")</f>
        <v>ZAMORA</v>
      </c>
      <c r="D38" s="53" t="str">
        <f>IFERROR(__xludf.DUMMYFUNCTION("""COMPUTED_VALUE"""),"VANESSA CAROLINA")</f>
        <v>VANESSA CAROLINA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>
        <f>IFERROR(__xludf.DUMMYFUNCTION("""COMPUTED_VALUE"""),0.0)</f>
        <v>0</v>
      </c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IFERROR(__xludf.DUMMYFUNCTION("""COMPUTED_VALUE"""),"MENDEZ")</f>
        <v>MENDEZ</v>
      </c>
      <c r="C39" s="52" t="str">
        <f>IFERROR(__xludf.DUMMYFUNCTION("""COMPUTED_VALUE"""),"SILVA")</f>
        <v>SILVA</v>
      </c>
      <c r="D39" s="53" t="str">
        <f>IFERROR(__xludf.DUMMYFUNCTION("""COMPUTED_VALUE"""),"NAOMI LIZETH")</f>
        <v>NAOMI LIZETH</v>
      </c>
      <c r="E39" s="54">
        <f>IFERROR(__xludf.DUMMYFUNCTION("""COMPUTED_VALUE"""),7.7)</f>
        <v>7.7</v>
      </c>
      <c r="F39" s="54">
        <f>IFERROR(__xludf.DUMMYFUNCTION("""COMPUTED_VALUE"""),2.0)</f>
        <v>2</v>
      </c>
      <c r="G39" s="55">
        <f>IFERROR(__xludf.DUMMYFUNCTION("""COMPUTED_VALUE"""),0.0)</f>
        <v>0</v>
      </c>
      <c r="H39" s="56">
        <f>IFERROR(__xludf.DUMMYFUNCTION("""COMPUTED_VALUE"""),9.7)</f>
        <v>9.7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IFERROR(__xludf.DUMMYFUNCTION("""COMPUTED_VALUE"""),"MORALES")</f>
        <v>MORALES</v>
      </c>
      <c r="C40" s="52" t="str">
        <f>IFERROR(__xludf.DUMMYFUNCTION("""COMPUTED_VALUE"""),"GONZALEZ")</f>
        <v>GONZALEZ</v>
      </c>
      <c r="D40" s="53" t="str">
        <f>IFERROR(__xludf.DUMMYFUNCTION("""COMPUTED_VALUE"""),"BRYAN ALEXANDER")</f>
        <v>BRYAN ALEXANDER</v>
      </c>
      <c r="E40" s="54">
        <f>IFERROR(__xludf.DUMMYFUNCTION("""COMPUTED_VALUE"""),7.5)</f>
        <v>7.5</v>
      </c>
      <c r="F40" s="54">
        <f>IFERROR(__xludf.DUMMYFUNCTION("""COMPUTED_VALUE"""),2.0)</f>
        <v>2</v>
      </c>
      <c r="G40" s="55">
        <f>IFERROR(__xludf.DUMMYFUNCTION("""COMPUTED_VALUE"""),0.0)</f>
        <v>0</v>
      </c>
      <c r="H40" s="56">
        <f>IFERROR(__xludf.DUMMYFUNCTION("""COMPUTED_VALUE"""),9.5)</f>
        <v>9.5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IFERROR(__xludf.DUMMYFUNCTION("""COMPUTED_VALUE"""),"MORENO")</f>
        <v>MORENO</v>
      </c>
      <c r="C41" s="52" t="str">
        <f>IFERROR(__xludf.DUMMYFUNCTION("""COMPUTED_VALUE"""),"SEGURA")</f>
        <v>SEGURA</v>
      </c>
      <c r="D41" s="53" t="str">
        <f>IFERROR(__xludf.DUMMYFUNCTION("""COMPUTED_VALUE"""),"XIMENA")</f>
        <v>XIMENA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>
        <f>IFERROR(__xludf.DUMMYFUNCTION("""COMPUTED_VALUE"""),0.0)</f>
        <v>0</v>
      </c>
      <c r="H41" s="56">
        <f>IFERROR(__xludf.DUMMYFUNCTION("""COMPUTED_VALUE"""),10.0)</f>
        <v>10</v>
      </c>
      <c r="I41" s="57">
        <f>IFERROR(__xludf.DUMMYFUNCTION("""COMPUTED_VALUE"""),0.0)</f>
        <v>0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IFERROR(__xludf.DUMMYFUNCTION("""COMPUTED_VALUE"""),"OSORIO")</f>
        <v>OSORIO</v>
      </c>
      <c r="C42" s="52" t="str">
        <f>IFERROR(__xludf.DUMMYFUNCTION("""COMPUTED_VALUE"""),"PACHUCA")</f>
        <v>PACHUCA</v>
      </c>
      <c r="D42" s="53" t="str">
        <f>IFERROR(__xludf.DUMMYFUNCTION("""COMPUTED_VALUE"""),"JULIO CESAR")</f>
        <v>JULIO CESAR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>
        <f>IFERROR(__xludf.DUMMYFUNCTION("""COMPUTED_VALUE"""),0.0)</f>
        <v>0</v>
      </c>
      <c r="H42" s="56">
        <f>IFERROR(__xludf.DUMMYFUNCTION("""COMPUTED_VALUE"""),10.0)</f>
        <v>10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IFERROR(__xludf.DUMMYFUNCTION("""COMPUTED_VALUE"""),"PEREZ")</f>
        <v>PEREZ</v>
      </c>
      <c r="C43" s="52" t="str">
        <f>IFERROR(__xludf.DUMMYFUNCTION("""COMPUTED_VALUE"""),"DIAZ")</f>
        <v>DIAZ</v>
      </c>
      <c r="D43" s="53" t="str">
        <f>IFERROR(__xludf.DUMMYFUNCTION("""COMPUTED_VALUE"""),"BELINDA CRISTINA JATZIRI")</f>
        <v>BELINDA CRISTINA JATZIRI</v>
      </c>
      <c r="E43" s="54">
        <f>IFERROR(__xludf.DUMMYFUNCTION("""COMPUTED_VALUE"""),8.0)</f>
        <v>8</v>
      </c>
      <c r="F43" s="54">
        <f>IFERROR(__xludf.DUMMYFUNCTION("""COMPUTED_VALUE"""),2.0)</f>
        <v>2</v>
      </c>
      <c r="G43" s="55">
        <f>IFERROR(__xludf.DUMMYFUNCTION("""COMPUTED_VALUE"""),0.0)</f>
        <v>0</v>
      </c>
      <c r="H43" s="56">
        <f>IFERROR(__xludf.DUMMYFUNCTION("""COMPUTED_VALUE"""),10.0)</f>
        <v>10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IFERROR(__xludf.DUMMYFUNCTION("""COMPUTED_VALUE"""),"ROBLEDO")</f>
        <v>ROBLEDO</v>
      </c>
      <c r="C44" s="52" t="str">
        <f>IFERROR(__xludf.DUMMYFUNCTION("""COMPUTED_VALUE"""),"GRANADOS")</f>
        <v>GRANADOS</v>
      </c>
      <c r="D44" s="53" t="str">
        <f>IFERROR(__xludf.DUMMYFUNCTION("""COMPUTED_VALUE"""),"FRIDA AMEYALI")</f>
        <v>FRIDA AMEYALI</v>
      </c>
      <c r="E44" s="54">
        <f>IFERROR(__xludf.DUMMYFUNCTION("""COMPUTED_VALUE"""),7.3)</f>
        <v>7.3</v>
      </c>
      <c r="F44" s="54">
        <f>IFERROR(__xludf.DUMMYFUNCTION("""COMPUTED_VALUE"""),2.0)</f>
        <v>2</v>
      </c>
      <c r="G44" s="55">
        <f>IFERROR(__xludf.DUMMYFUNCTION("""COMPUTED_VALUE"""),0.0)</f>
        <v>0</v>
      </c>
      <c r="H44" s="56">
        <f>IFERROR(__xludf.DUMMYFUNCTION("""COMPUTED_VALUE"""),9.3)</f>
        <v>9.3</v>
      </c>
      <c r="I44" s="57">
        <f>IFERROR(__xludf.DUMMYFUNCTION("""COMPUTED_VALUE"""),0.0)</f>
        <v>0</v>
      </c>
      <c r="J44" s="58">
        <f>IFERROR(__xludf.DUMMYFUNCTION("""COMPUTED_VALUE"""),9.0)</f>
        <v>9</v>
      </c>
      <c r="K44" s="51"/>
      <c r="L44" s="60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IFERROR(__xludf.DUMMYFUNCTION("""COMPUTED_VALUE"""),"RODRIGUEZ")</f>
        <v>RODRIGUEZ</v>
      </c>
      <c r="C45" s="52" t="str">
        <f>IFERROR(__xludf.DUMMYFUNCTION("""COMPUTED_VALUE"""),"VAZQUEZ")</f>
        <v>VAZQUEZ</v>
      </c>
      <c r="D45" s="53" t="str">
        <f>IFERROR(__xludf.DUMMYFUNCTION("""COMPUTED_VALUE"""),"AMERICA VALENTINA")</f>
        <v>AMERICA VALENTINA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>
        <f>IFERROR(__xludf.DUMMYFUNCTION("""COMPUTED_VALUE"""),0.0)</f>
        <v>0</v>
      </c>
      <c r="H45" s="56">
        <f>IFERROR(__xludf.DUMMYFUNCTION("""COMPUTED_VALUE"""),10.0)</f>
        <v>10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IFERROR(__xludf.DUMMYFUNCTION("""COMPUTED_VALUE"""),"SALAZAR")</f>
        <v>SALAZAR</v>
      </c>
      <c r="C46" s="52" t="str">
        <f>IFERROR(__xludf.DUMMYFUNCTION("""COMPUTED_VALUE"""),"MAGAÑA")</f>
        <v>MAGAÑA</v>
      </c>
      <c r="D46" s="53" t="str">
        <f>IFERROR(__xludf.DUMMYFUNCTION("""COMPUTED_VALUE"""),"VALENTINA")</f>
        <v>VALENTINA</v>
      </c>
      <c r="E46" s="54">
        <f>IFERROR(__xludf.DUMMYFUNCTION("""COMPUTED_VALUE"""),7.7)</f>
        <v>7.7</v>
      </c>
      <c r="F46" s="54">
        <f>IFERROR(__xludf.DUMMYFUNCTION("""COMPUTED_VALUE"""),2.0)</f>
        <v>2</v>
      </c>
      <c r="G46" s="55">
        <f>IFERROR(__xludf.DUMMYFUNCTION("""COMPUTED_VALUE"""),0.0)</f>
        <v>0</v>
      </c>
      <c r="H46" s="56">
        <f>IFERROR(__xludf.DUMMYFUNCTION("""COMPUTED_VALUE"""),9.7)</f>
        <v>9.7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IFERROR(__xludf.DUMMYFUNCTION("""COMPUTED_VALUE"""),"SANCHEZ")</f>
        <v>SANCHEZ</v>
      </c>
      <c r="C47" s="52" t="str">
        <f>IFERROR(__xludf.DUMMYFUNCTION("""COMPUTED_VALUE"""),"TAFOYA")</f>
        <v>TAFOYA</v>
      </c>
      <c r="D47" s="53" t="str">
        <f>IFERROR(__xludf.DUMMYFUNCTION("""COMPUTED_VALUE"""),"AMAURI FERNANDA")</f>
        <v>AMAURI FERNANDA</v>
      </c>
      <c r="E47" s="54">
        <f>IFERROR(__xludf.DUMMYFUNCTION("""COMPUTED_VALUE"""),8.0)</f>
        <v>8</v>
      </c>
      <c r="F47" s="54">
        <f>IFERROR(__xludf.DUMMYFUNCTION("""COMPUTED_VALUE"""),2.0)</f>
        <v>2</v>
      </c>
      <c r="G47" s="55">
        <f>IFERROR(__xludf.DUMMYFUNCTION("""COMPUTED_VALUE"""),0.0)</f>
        <v>0</v>
      </c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IFERROR(__xludf.DUMMYFUNCTION("""COMPUTED_VALUE"""),"SANTIAGO")</f>
        <v>SANTIAGO</v>
      </c>
      <c r="C48" s="52" t="str">
        <f>IFERROR(__xludf.DUMMYFUNCTION("""COMPUTED_VALUE"""),"RODRIGUEZ")</f>
        <v>RODRIGUEZ</v>
      </c>
      <c r="D48" s="53" t="str">
        <f>IFERROR(__xludf.DUMMYFUNCTION("""COMPUTED_VALUE"""),"JOCELYN")</f>
        <v>JOCELYN</v>
      </c>
      <c r="E48" s="54">
        <f>IFERROR(__xludf.DUMMYFUNCTION("""COMPUTED_VALUE"""),7.8)</f>
        <v>7.8</v>
      </c>
      <c r="F48" s="54">
        <f>IFERROR(__xludf.DUMMYFUNCTION("""COMPUTED_VALUE"""),2.0)</f>
        <v>2</v>
      </c>
      <c r="G48" s="55">
        <f>IFERROR(__xludf.DUMMYFUNCTION("""COMPUTED_VALUE"""),0.0)</f>
        <v>0</v>
      </c>
      <c r="H48" s="56">
        <f>IFERROR(__xludf.DUMMYFUNCTION("""COMPUTED_VALUE"""),9.8)</f>
        <v>9.8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IFERROR(__xludf.DUMMYFUNCTION("""COMPUTED_VALUE"""),"SOLIS")</f>
        <v>SOLIS</v>
      </c>
      <c r="C49" s="52" t="str">
        <f>IFERROR(__xludf.DUMMYFUNCTION("""COMPUTED_VALUE"""),"AQUINO")</f>
        <v>AQUINO</v>
      </c>
      <c r="D49" s="53" t="str">
        <f>IFERROR(__xludf.DUMMYFUNCTION("""COMPUTED_VALUE"""),"ALEJANDRO DANIEL")</f>
        <v>ALEJANDRO DANIEL</v>
      </c>
      <c r="E49" s="54">
        <f>IFERROR(__xludf.DUMMYFUNCTION("""COMPUTED_VALUE"""),7.5)</f>
        <v>7.5</v>
      </c>
      <c r="F49" s="54">
        <f>IFERROR(__xludf.DUMMYFUNCTION("""COMPUTED_VALUE"""),2.0)</f>
        <v>2</v>
      </c>
      <c r="G49" s="55">
        <f>IFERROR(__xludf.DUMMYFUNCTION("""COMPUTED_VALUE"""),0.0)</f>
        <v>0</v>
      </c>
      <c r="H49" s="56">
        <f>IFERROR(__xludf.DUMMYFUNCTION("""COMPUTED_VALUE"""),9.5)</f>
        <v>9.5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IFERROR(__xludf.DUMMYFUNCTION("""COMPUTED_VALUE"""),"URIBE")</f>
        <v>URIBE</v>
      </c>
      <c r="C50" s="52" t="str">
        <f>IFERROR(__xludf.DUMMYFUNCTION("""COMPUTED_VALUE"""),"ORTIZ")</f>
        <v>ORTIZ</v>
      </c>
      <c r="D50" s="53" t="str">
        <f>IFERROR(__xludf.DUMMYFUNCTION("""COMPUTED_VALUE"""),"ANGEL LEONARDO")</f>
        <v>ANGEL LEONARDO</v>
      </c>
      <c r="E50" s="54">
        <f>IFERROR(__xludf.DUMMYFUNCTION("""COMPUTED_VALUE"""),7.8)</f>
        <v>7.8</v>
      </c>
      <c r="F50" s="54">
        <f>IFERROR(__xludf.DUMMYFUNCTION("""COMPUTED_VALUE"""),2.0)</f>
        <v>2</v>
      </c>
      <c r="G50" s="55">
        <f>IFERROR(__xludf.DUMMYFUNCTION("""COMPUTED_VALUE"""),0.0)</f>
        <v>0</v>
      </c>
      <c r="H50" s="56">
        <f>IFERROR(__xludf.DUMMYFUNCTION("""COMPUTED_VALUE"""),9.8)</f>
        <v>9.8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IFERROR(__xludf.DUMMYFUNCTION("""COMPUTED_VALUE"""),"VARGAS")</f>
        <v>VARGAS</v>
      </c>
      <c r="C51" s="52" t="str">
        <f>IFERROR(__xludf.DUMMYFUNCTION("""COMPUTED_VALUE"""),"PIÑA")</f>
        <v>PIÑA</v>
      </c>
      <c r="D51" s="53" t="str">
        <f>IFERROR(__xludf.DUMMYFUNCTION("""COMPUTED_VALUE"""),"NATALY")</f>
        <v>NATALY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>
        <f>IFERROR(__xludf.DUMMYFUNCTION("""COMPUTED_VALUE"""),0.0)</f>
        <v>0</v>
      </c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IFERROR(__xludf.DUMMYFUNCTION("""COMPUTED_VALUE"""),"VAZQUEZ")</f>
        <v>VAZQUEZ</v>
      </c>
      <c r="C52" s="52" t="str">
        <f>IFERROR(__xludf.DUMMYFUNCTION("""COMPUTED_VALUE"""),"ESPINOSA")</f>
        <v>ESPINOSA</v>
      </c>
      <c r="D52" s="53" t="str">
        <f>IFERROR(__xludf.DUMMYFUNCTION("""COMPUTED_VALUE"""),"ANDREA ARANZA")</f>
        <v>ANDREA ARANZA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>
        <f>IFERROR(__xludf.DUMMYFUNCTION("""COMPUTED_VALUE"""),0.0)</f>
        <v>0</v>
      </c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IFERROR(__xludf.DUMMYFUNCTION("""COMPUTED_VALUE"""),"VIZZUETT")</f>
        <v>VIZZUETT</v>
      </c>
      <c r="C53" s="52" t="str">
        <f>IFERROR(__xludf.DUMMYFUNCTION("""COMPUTED_VALUE"""),"JIMENEZ")</f>
        <v>JIMENEZ</v>
      </c>
      <c r="D53" s="53" t="str">
        <f>IFERROR(__xludf.DUMMYFUNCTION("""COMPUTED_VALUE"""),"MISAEL")</f>
        <v>MISAEL</v>
      </c>
      <c r="E53" s="54">
        <f>IFERROR(__xludf.DUMMYFUNCTION("""COMPUTED_VALUE"""),7.7)</f>
        <v>7.7</v>
      </c>
      <c r="F53" s="54">
        <f>IFERROR(__xludf.DUMMYFUNCTION("""COMPUTED_VALUE"""),0.0)</f>
        <v>0</v>
      </c>
      <c r="G53" s="55">
        <f>IFERROR(__xludf.DUMMYFUNCTION("""COMPUTED_VALUE"""),0.0)</f>
        <v>0</v>
      </c>
      <c r="H53" s="56">
        <f>IFERROR(__xludf.DUMMYFUNCTION("""COMPUTED_VALUE"""),7.7)</f>
        <v>7.7</v>
      </c>
      <c r="I53" s="57">
        <f>IFERROR(__xludf.DUMMYFUNCTION("""COMPUTED_VALUE"""),0.0)</f>
        <v>0</v>
      </c>
      <c r="J53" s="58">
        <f>IFERROR(__xludf.DUMMYFUNCTION("""COMPUTED_VALUE"""),8.0)</f>
        <v>8</v>
      </c>
      <c r="K53" s="51"/>
      <c r="L53" s="59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IFERROR(__xludf.DUMMYFUNCTION("""COMPUTED_VALUE"""),"YAÑEZ")</f>
        <v>YAÑEZ</v>
      </c>
      <c r="C54" s="52" t="str">
        <f>IFERROR(__xludf.DUMMYFUNCTION("""COMPUTED_VALUE"""),"OSORIO")</f>
        <v>OSORIO</v>
      </c>
      <c r="D54" s="53" t="str">
        <f>IFERROR(__xludf.DUMMYFUNCTION("""COMPUTED_VALUE"""),"ARMANDO")</f>
        <v>ARMANDO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>
        <f>IFERROR(__xludf.DUMMYFUNCTION("""COMPUTED_VALUE"""),0.0)</f>
        <v>0</v>
      </c>
      <c r="H54" s="56">
        <f>IFERROR(__xludf.DUMMYFUNCTION("""COMPUTED_VALUE"""),8.0)</f>
        <v>8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IFERROR(__xludf.DUMMYFUNCTION("""COMPUTED_VALUE"""),"ZAINOS")</f>
        <v>ZAINOS</v>
      </c>
      <c r="C55" s="52" t="str">
        <f>IFERROR(__xludf.DUMMYFUNCTION("""COMPUTED_VALUE"""),"CASTILLO")</f>
        <v>CASTILLO</v>
      </c>
      <c r="D55" s="53" t="str">
        <f>IFERROR(__xludf.DUMMYFUNCTION("""COMPUTED_VALUE"""),"ADRIAN")</f>
        <v>ADRIAN</v>
      </c>
      <c r="E55" s="54">
        <f>IFERROR(__xludf.DUMMYFUNCTION("""COMPUTED_VALUE"""),7.5)</f>
        <v>7.5</v>
      </c>
      <c r="F55" s="54">
        <f>IFERROR(__xludf.DUMMYFUNCTION("""COMPUTED_VALUE"""),2.0)</f>
        <v>2</v>
      </c>
      <c r="G55" s="55">
        <f>IFERROR(__xludf.DUMMYFUNCTION("""COMPUTED_VALUE"""),0.0)</f>
        <v>0</v>
      </c>
      <c r="H55" s="56">
        <f>IFERROR(__xludf.DUMMYFUNCTION("""COMPUTED_VALUE"""),9.5)</f>
        <v>9.5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IFERROR(__xludf.DUMMYFUNCTION("""COMPUTED_VALUE"""),"ZITLE")</f>
        <v>ZITLE</v>
      </c>
      <c r="C56" s="52" t="str">
        <f>IFERROR(__xludf.DUMMYFUNCTION("""COMPUTED_VALUE"""),"BALDERAS")</f>
        <v>BALDERAS</v>
      </c>
      <c r="D56" s="53" t="str">
        <f>IFERROR(__xludf.DUMMYFUNCTION("""COMPUTED_VALUE"""),"VALERIA")</f>
        <v>VALERIA</v>
      </c>
      <c r="E56" s="54">
        <f>IFERROR(__xludf.DUMMYFUNCTION("""COMPUTED_VALUE"""),7.5)</f>
        <v>7.5</v>
      </c>
      <c r="F56" s="54">
        <f>IFERROR(__xludf.DUMMYFUNCTION("""COMPUTED_VALUE"""),2.0)</f>
        <v>2</v>
      </c>
      <c r="G56" s="55">
        <f>IFERROR(__xludf.DUMMYFUNCTION("""COMPUTED_VALUE"""),0.0)</f>
        <v>0</v>
      </c>
      <c r="H56" s="56">
        <f>IFERROR(__xludf.DUMMYFUNCTION("""COMPUTED_VALUE"""),9.5)</f>
        <v>9.5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6"/>
      <c r="B57" s="62"/>
      <c r="C57" s="62"/>
      <c r="D57" s="62"/>
      <c r="E57" s="63"/>
      <c r="F57" s="62"/>
      <c r="G57" s="62"/>
      <c r="H57" s="62"/>
      <c r="I57" s="62"/>
      <c r="J57" s="1"/>
      <c r="K57" s="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1.75" customHeight="1">
      <c r="A58" s="64"/>
      <c r="B58" s="65" t="str">
        <f>IFERROR(__xludf.DUMMYFUNCTION("""COMPUTED_VALUE"""),"No. DE ALUMNOS INSCRITOS")</f>
        <v>No. DE ALUMNOS INSCRITOS</v>
      </c>
      <c r="C58" s="66"/>
      <c r="D58" s="67">
        <f>IFERROR(__xludf.DUMMYFUNCTION("""COMPUTED_VALUE"""),40.0)</f>
        <v>40</v>
      </c>
      <c r="E58" s="62"/>
      <c r="F58" s="68" t="str">
        <f>IFERROR(__xludf.DUMMYFUNCTION("""COMPUTED_VALUE"""),"FIRMA DEL PROFESOR")</f>
        <v>FIRMA DEL PROFESOR</v>
      </c>
      <c r="G58" s="69"/>
      <c r="H58" s="68" t="str">
        <f>IFERROR(__xludf.DUMMYFUNCTION("""COMPUTED_VALUE"""),"FIRMA DEL ORIENTADOR")</f>
        <v>FIRMA DEL ORIENTADOR</v>
      </c>
      <c r="J58" s="70" t="str">
        <f>IFERROR(__xludf.DUMMYFUNCTION("""COMPUTED_VALUE"""),"Vo. Bo. SUBDIRECCIÓN ESCOLAR")</f>
        <v>Vo. Bo. SUBDIRECCIÓN ESCOLAR</v>
      </c>
      <c r="K58" s="71" t="str">
        <f>IFERROR(__xludf.DUMMYFUNCTION("""COMPUTED_VALUE"""),"REVISADO POR SECRETARIA ESCOLAR ")</f>
        <v>REVISADO POR SECRETARIA ESCOLAR 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A59" s="64"/>
      <c r="B59" s="72" t="str">
        <f>IFERROR(__xludf.DUMMYFUNCTION("""COMPUTED_VALUE"""),"BAJAS DURANTE EL SEMESTRE")</f>
        <v>BAJAS DURANTE EL SEMESTRE</v>
      </c>
      <c r="C59" s="73"/>
      <c r="D59" s="74">
        <f>IFERROR(__xludf.DUMMYFUNCTION("""COMPUTED_VALUE"""),0.0)</f>
        <v>0</v>
      </c>
      <c r="E59" s="62"/>
      <c r="G59" s="69"/>
      <c r="K59" s="1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A60" s="64"/>
      <c r="B60" s="75" t="str">
        <f>IFERROR(__xludf.DUMMYFUNCTION("""COMPUTED_VALUE"""),"EXISTENCIA")</f>
        <v>EXISTENCIA</v>
      </c>
      <c r="C60" s="73"/>
      <c r="D60" s="76">
        <f>IFERROR(__xludf.DUMMYFUNCTION("""COMPUTED_VALUE"""),40.0)</f>
        <v>40</v>
      </c>
      <c r="E60" s="62"/>
      <c r="F60" s="77"/>
      <c r="G60" s="78"/>
      <c r="H60" s="77"/>
      <c r="I60" s="77"/>
      <c r="J60" s="79"/>
      <c r="K60" s="8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A61" s="64"/>
      <c r="B61" s="75" t="str">
        <f>IFERROR(__xludf.DUMMYFUNCTION("""COMPUTED_VALUE"""),"No. DE ALUMNOS APROBADOS")</f>
        <v>No. DE ALUMNOS APROBADOS</v>
      </c>
      <c r="C61" s="73"/>
      <c r="D61" s="81">
        <f>IFERROR(__xludf.DUMMYFUNCTION("""COMPUTED_VALUE"""),36.0)</f>
        <v>36</v>
      </c>
      <c r="E61" s="62"/>
      <c r="F61" s="77"/>
      <c r="G61" s="78"/>
      <c r="H61" s="77"/>
      <c r="I61" s="77"/>
      <c r="J61" s="79"/>
      <c r="K61" s="8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A62" s="64"/>
      <c r="B62" s="75" t="str">
        <f>IFERROR(__xludf.DUMMYFUNCTION("""COMPUTED_VALUE"""),"No. DE ALUMNOS REPROBADOS")</f>
        <v>No. DE ALUMNOS REPROBADOS</v>
      </c>
      <c r="C62" s="73"/>
      <c r="D62" s="81">
        <f>IFERROR(__xludf.DUMMYFUNCTION("""COMPUTED_VALUE"""),4.0)</f>
        <v>4</v>
      </c>
      <c r="E62" s="62"/>
      <c r="F62" s="82"/>
      <c r="G62" s="78"/>
      <c r="H62" s="82"/>
      <c r="I62" s="82"/>
      <c r="J62" s="83"/>
      <c r="K62" s="8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64"/>
      <c r="B63" s="75" t="str">
        <f>IFERROR(__xludf.DUMMYFUNCTION("""COMPUTED_VALUE"""),"% DE APROBADOS")</f>
        <v>% DE APROBADOS</v>
      </c>
      <c r="C63" s="73"/>
      <c r="D63" s="85">
        <f>IFERROR(__xludf.DUMMYFUNCTION("""COMPUTED_VALUE"""),90.0)</f>
        <v>90</v>
      </c>
      <c r="E63" s="62"/>
      <c r="F63" s="86" t="str">
        <f>IFERROR(__xludf.DUMMYFUNCTION("""COMPUTED_VALUE"""),"PROFR. IVÁN HERNÁNDEZ PÉREZ")</f>
        <v>PROFR. IVÁN HERNÁNDEZ PÉREZ</v>
      </c>
      <c r="G63" s="87"/>
      <c r="H63" s="88" t="str">
        <f>IFERROR(__xludf.DUMMYFUNCTION("""COMPUTED_VALUE"""),"PROFRA. NEFTALI MARGARITA MORLAN ORTIZ")</f>
        <v>PROFRA. NEFTALI MARGARITA MORLAN ORTIZ</v>
      </c>
      <c r="J63" s="89" t="str">
        <f>IFERROR(__xludf.DUMMYFUNCTION("""COMPUTED_VALUE"""),"PROFR. OCTAVIO VÁZQUEZ BARRETO")</f>
        <v>PROFR. OCTAVIO VÁZQUEZ BARRETO</v>
      </c>
      <c r="K63" s="90" t="str">
        <f>IFERROR(__xludf.DUMMYFUNCTION("""COMPUTED_VALUE"""),"PROFR. ROBERTO PALOMARES MEJÍA ")</f>
        <v>PROFR. ROBERTO PALOMARES MEJÍA </v>
      </c>
      <c r="L63" s="9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4"/>
      <c r="B64" s="92" t="str">
        <f>IFERROR(__xludf.DUMMYFUNCTION("""COMPUTED_VALUE"""),"PROMEDIO")</f>
        <v>PROMEDIO</v>
      </c>
      <c r="C64" s="93"/>
      <c r="D64" s="94">
        <f>IFERROR(__xludf.DUMMYFUNCTION("""COMPUTED_VALUE"""),9.15)</f>
        <v>9.15</v>
      </c>
      <c r="E64" s="62"/>
      <c r="G64" s="87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6"/>
      <c r="B65" s="1"/>
      <c r="C65" s="1"/>
      <c r="D65" s="1"/>
      <c r="E65" s="1"/>
      <c r="F65" s="1"/>
      <c r="G65" s="1"/>
      <c r="H65" s="1"/>
      <c r="I65" s="1"/>
      <c r="J65" s="1"/>
      <c r="K65" s="8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95"/>
      <c r="B66" s="96"/>
      <c r="C66" s="97"/>
      <c r="D66" s="97"/>
      <c r="E66" s="62"/>
      <c r="G66" s="7"/>
      <c r="H66" s="7"/>
      <c r="I66" s="7"/>
      <c r="J66" s="7"/>
      <c r="K66" s="98"/>
      <c r="L66" s="9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00"/>
      <c r="B67" s="62"/>
      <c r="C67" s="62"/>
      <c r="D67" s="62"/>
      <c r="E67" s="7"/>
      <c r="F67" s="1"/>
      <c r="G67" s="1"/>
      <c r="H67" s="1"/>
      <c r="I67" s="1"/>
      <c r="J67" s="1"/>
      <c r="K67" s="8"/>
      <c r="L67" s="10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00"/>
      <c r="B68" s="62"/>
      <c r="C68" s="62"/>
      <c r="D68" s="62"/>
      <c r="E68" s="7"/>
      <c r="F68" s="1"/>
      <c r="G68" s="1"/>
      <c r="H68" s="1"/>
      <c r="I68" s="1"/>
      <c r="J68" s="1"/>
      <c r="K68" s="8"/>
      <c r="L68" s="10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02"/>
      <c r="B69" s="103"/>
      <c r="C69" s="103"/>
      <c r="D69" s="103"/>
      <c r="E69" s="104"/>
      <c r="F69" s="105"/>
      <c r="G69" s="105"/>
      <c r="H69" s="105"/>
      <c r="I69" s="105"/>
      <c r="J69" s="105"/>
      <c r="K69" s="106"/>
      <c r="L69" s="10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07"/>
      <c r="C70" s="107"/>
      <c r="D70" s="107"/>
      <c r="E70" s="107"/>
      <c r="F70" s="1"/>
      <c r="G70" s="1"/>
      <c r="H70" s="1"/>
      <c r="I70" s="1"/>
      <c r="J70" s="108"/>
      <c r="K70" s="108"/>
      <c r="L70" s="108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7"/>
      <c r="C71" s="107"/>
      <c r="D71" s="107"/>
      <c r="E71" s="107"/>
      <c r="F71" s="1"/>
      <c r="G71" s="1"/>
      <c r="H71" s="1"/>
      <c r="I71" s="1"/>
      <c r="J71" s="108"/>
      <c r="K71" s="108"/>
      <c r="L71" s="108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7"/>
      <c r="C72" s="107"/>
      <c r="D72" s="107"/>
      <c r="E72" s="107"/>
      <c r="F72" s="1"/>
      <c r="G72" s="1"/>
      <c r="H72" s="1"/>
      <c r="I72" s="1"/>
      <c r="J72" s="108"/>
      <c r="K72" s="108"/>
      <c r="L72" s="108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7"/>
      <c r="C73" s="107"/>
      <c r="D73" s="107"/>
      <c r="E73" s="107"/>
      <c r="F73" s="1"/>
      <c r="G73" s="1"/>
      <c r="H73" s="1"/>
      <c r="I73" s="1"/>
      <c r="J73" s="108"/>
      <c r="K73" s="108"/>
      <c r="L73" s="108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7"/>
      <c r="C74" s="107"/>
      <c r="D74" s="107"/>
      <c r="E74" s="107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7"/>
      <c r="C75" s="107"/>
      <c r="D75" s="107"/>
      <c r="E75" s="107"/>
      <c r="F75" s="1"/>
      <c r="G75" s="1"/>
      <c r="H75" s="1"/>
      <c r="I75" s="1"/>
      <c r="J75" s="1"/>
      <c r="K75" s="109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7"/>
      <c r="C76" s="107"/>
      <c r="D76" s="107"/>
      <c r="E76" s="107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7"/>
      <c r="C77" s="107"/>
      <c r="D77" s="107"/>
      <c r="E77" s="107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7"/>
      <c r="C78" s="107"/>
      <c r="D78" s="107"/>
      <c r="E78" s="107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7"/>
      <c r="C79" s="107"/>
      <c r="D79" s="107"/>
      <c r="E79" s="107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7"/>
      <c r="C80" s="107"/>
      <c r="D80" s="107"/>
      <c r="E80" s="107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7"/>
      <c r="C81" s="107"/>
      <c r="D81" s="107"/>
      <c r="E81" s="107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Z265" s="1"/>
    </row>
    <row r="266" ht="15.75" customHeight="1">
      <c r="Z266" s="1"/>
    </row>
    <row r="267" ht="15.75" customHeight="1">
      <c r="Z267" s="1"/>
    </row>
    <row r="268" ht="15.75" customHeight="1">
      <c r="Z268" s="1"/>
    </row>
    <row r="269" ht="15.75" customHeight="1">
      <c r="Z269" s="1"/>
    </row>
    <row r="270" ht="15.75" customHeight="1">
      <c r="Z270" s="1"/>
    </row>
    <row r="271" ht="15.75" customHeight="1">
      <c r="Z271" s="1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>
      <c r="A1003" s="112"/>
      <c r="B1003" s="112"/>
      <c r="C1003" s="112"/>
      <c r="D1003" s="112"/>
      <c r="E1003" s="112"/>
      <c r="F1003" s="112"/>
      <c r="G1003" s="112"/>
      <c r="H1003" s="112"/>
      <c r="I1003" s="112"/>
      <c r="J1003" s="112"/>
      <c r="K1003" s="112"/>
      <c r="L1003" s="112"/>
      <c r="M1003" s="112"/>
      <c r="N1003" s="112"/>
      <c r="O1003" s="112"/>
      <c r="P1003" s="112"/>
      <c r="Q1003" s="112"/>
      <c r="R1003" s="112"/>
      <c r="S1003" s="112"/>
      <c r="T1003" s="112"/>
      <c r="U1003" s="112"/>
      <c r="V1003" s="112"/>
      <c r="W1003" s="112"/>
      <c r="X1003" s="112"/>
      <c r="Y1003" s="112"/>
    </row>
    <row r="1004" ht="15.75" customHeight="1">
      <c r="A1004" s="112"/>
      <c r="B1004" s="112"/>
      <c r="C1004" s="112"/>
      <c r="D1004" s="112"/>
      <c r="E1004" s="112"/>
      <c r="F1004" s="112"/>
      <c r="G1004" s="112"/>
      <c r="H1004" s="112"/>
      <c r="I1004" s="112"/>
      <c r="J1004" s="112"/>
      <c r="K1004" s="112"/>
      <c r="L1004" s="112"/>
      <c r="M1004" s="112"/>
      <c r="N1004" s="112"/>
      <c r="O1004" s="112"/>
      <c r="P1004" s="112"/>
      <c r="Q1004" s="112"/>
      <c r="R1004" s="112"/>
      <c r="S1004" s="112"/>
      <c r="T1004" s="112"/>
      <c r="U1004" s="112"/>
      <c r="V1004" s="112"/>
      <c r="W1004" s="112"/>
      <c r="X1004" s="112"/>
      <c r="Y1004" s="112"/>
    </row>
    <row r="1005" ht="15.75" customHeight="1">
      <c r="A1005" s="112"/>
      <c r="B1005" s="112"/>
      <c r="C1005" s="112"/>
      <c r="D1005" s="112"/>
      <c r="E1005" s="112"/>
      <c r="F1005" s="112"/>
      <c r="G1005" s="112"/>
      <c r="H1005" s="112"/>
      <c r="I1005" s="112"/>
      <c r="J1005" s="112"/>
      <c r="K1005" s="112"/>
      <c r="L1005" s="112"/>
      <c r="M1005" s="112"/>
      <c r="N1005" s="112"/>
      <c r="O1005" s="112"/>
      <c r="P1005" s="112"/>
      <c r="Q1005" s="112"/>
      <c r="R1005" s="112"/>
      <c r="S1005" s="112"/>
      <c r="T1005" s="112"/>
      <c r="U1005" s="112"/>
      <c r="V1005" s="112"/>
      <c r="W1005" s="112"/>
      <c r="X1005" s="112"/>
      <c r="Y1005" s="112"/>
    </row>
    <row r="1006" ht="15.75" customHeight="1"/>
    <row r="1007" ht="15.75" customHeight="1"/>
    <row r="1008" ht="15.75" customHeight="1"/>
    <row r="1009" ht="15.75" customHeight="1"/>
    <row r="1010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58:F59"/>
    <mergeCell ref="H58:I59"/>
    <mergeCell ref="J58:J59"/>
    <mergeCell ref="K58:K59"/>
    <mergeCell ref="H63:I64"/>
    <mergeCell ref="J63:J64"/>
    <mergeCell ref="K63:K64"/>
    <mergeCell ref="F63:F64"/>
    <mergeCell ref="E66:F66"/>
    <mergeCell ref="B58:C58"/>
    <mergeCell ref="B59:C59"/>
    <mergeCell ref="B60:C60"/>
    <mergeCell ref="B61:C61"/>
    <mergeCell ref="B62:C62"/>
    <mergeCell ref="B63:C63"/>
    <mergeCell ref="B64:C64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4 K18:K63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