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economia i" sheetId="1" r:id="rId5"/>
    <sheet state="visible" name="2-1 temas selectos de igualdad " sheetId="2" r:id="rId6"/>
    <sheet state="visible" name="3-1 temas selectos de igualdad " sheetId="3" r:id="rId7"/>
    <sheet state="visible" name="3-2 economia i" sheetId="4" r:id="rId8"/>
    <sheet state="visible" name="3-2 temas selectos de igualdad " sheetId="5" r:id="rId9"/>
    <sheet state="visible" name="3-3 economia i" sheetId="6" r:id="rId10"/>
    <sheet state="visible" name="3-3 temas selectos de igualdad " sheetId="7" r:id="rId11"/>
  </sheets>
  <definedNames/>
  <calcPr/>
</workbook>
</file>

<file path=xl/sharedStrings.xml><?xml version="1.0" encoding="utf-8"?>
<sst xmlns="http://schemas.openxmlformats.org/spreadsheetml/2006/main" count="1239" uniqueCount="413">
  <si>
    <t>ESCUELA PREPARATORIA OFICIAL NÚM. 67</t>
  </si>
  <si>
    <t xml:space="preserve">CONTROL PRIMER PARCIAL </t>
  </si>
  <si>
    <t xml:space="preserve">PROFESOR (A): </t>
  </si>
  <si>
    <t>IVÁN HERNÁNDEZ PÉREZ</t>
  </si>
  <si>
    <t>II</t>
  </si>
  <si>
    <t>III</t>
  </si>
  <si>
    <t>PUNTAJE EXTRA</t>
  </si>
  <si>
    <t>SEXTO SEMESTRE
MATUTINO</t>
  </si>
  <si>
    <t>UAC</t>
  </si>
  <si>
    <t>ECONOMÍA I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</si>
  <si>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</si>
  <si>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</si>
  <si>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</si>
  <si>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</si>
  <si>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</si>
  <si>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</si>
  <si>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</si>
  <si>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</si>
  <si>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</si>
  <si>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</si>
  <si>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</si>
  <si>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</si>
  <si>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</si>
  <si>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</si>
  <si>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</si>
  <si>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</si>
  <si>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</si>
  <si>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</si>
  <si>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</si>
  <si>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</si>
  <si>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</si>
  <si>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</si>
  <si>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</si>
  <si>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</si>
  <si>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</si>
  <si>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</si>
  <si>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</si>
  <si>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</si>
  <si>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</si>
  <si>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</si>
  <si>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</si>
  <si>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</si>
  <si>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</si>
  <si>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</si>
  <si>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</si>
  <si>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</si>
  <si>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</si>
  <si>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</si>
  <si>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</si>
  <si>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</si>
  <si>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</si>
  <si>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</si>
  <si>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</si>
  <si>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</si>
  <si>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</si>
  <si>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</si>
  <si>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</si>
  <si>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</si>
  <si>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</si>
  <si>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</si>
  <si>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</si>
  <si>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</si>
  <si>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</si>
  <si>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</si>
  <si>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</si>
  <si>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</si>
  <si>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</si>
  <si>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</si>
  <si>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</si>
  <si>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</si>
  <si>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</si>
  <si>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</si>
  <si>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</si>
  <si>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</si>
  <si>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</si>
  <si>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</si>
  <si>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</si>
  <si>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</si>
  <si>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</si>
  <si>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</si>
  <si>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</si>
  <si>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</si>
  <si>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</si>
  <si>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</si>
  <si>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</si>
  <si>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</si>
  <si>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</si>
  <si>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</si>
  <si>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</si>
  <si>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</si>
  <si>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</si>
  <si>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</si>
  <si>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</si>
  <si>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</si>
  <si>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</si>
  <si>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</si>
  <si>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</si>
  <si>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</si>
  <si>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</si>
  <si>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</si>
  <si>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</si>
  <si>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</si>
  <si>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</si>
  <si>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</si>
  <si>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</si>
  <si>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</si>
  <si>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</si>
  <si>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</si>
  <si>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</si>
  <si>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</si>
  <si>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</si>
  <si>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</si>
  <si>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</si>
  <si>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</si>
  <si>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</si>
  <si>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</si>
  <si>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</si>
  <si>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</si>
  <si>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</si>
  <si>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</si>
  <si>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</si>
  <si>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</si>
  <si>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</si>
  <si>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</si>
  <si>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</si>
  <si>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</si>
  <si>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</si>
  <si>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</si>
  <si>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</si>
  <si>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</si>
  <si>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</si>
  <si>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</si>
  <si>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</si>
  <si>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</si>
  <si>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</si>
  <si>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</si>
  <si>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</si>
  <si>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</si>
  <si>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</si>
  <si>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</si>
  <si>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</si>
  <si>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</si>
  <si>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</si>
  <si>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</si>
  <si>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</si>
  <si>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</si>
  <si>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</si>
  <si>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</si>
  <si>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</si>
  <si>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</si>
  <si>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</si>
  <si>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</si>
  <si>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</si>
  <si>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</si>
  <si>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</si>
  <si>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</si>
  <si>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</si>
  <si>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IVÁN HERNÁNDEZ PÉREZ</t>
  </si>
  <si>
    <t>PROFRA. NEFTALI MARGARITA MORLAN ORTIZ</t>
  </si>
  <si>
    <t>PROFR. OCTAVIO VÁZQUEZ BARRETO</t>
  </si>
  <si>
    <t xml:space="preserve">PROFR. ROBERTO PALOMARES MEJÍA </t>
  </si>
  <si>
    <t>PROMEDIO</t>
  </si>
  <si>
    <t>CUARTO SEMESTRE
MATUTINO</t>
  </si>
  <si>
    <t>TEMAS SELECTOS DE IGUALDAD Y DERECHOS HUMANOS IV</t>
  </si>
  <si>
    <t>2°</t>
  </si>
  <si>
    <t>ALONSO</t>
  </si>
  <si>
    <t>PALOMA</t>
  </si>
  <si>
    <t>ALVARADO</t>
  </si>
  <si>
    <t>VALERIA</t>
  </si>
  <si>
    <t>BAZA</t>
  </si>
  <si>
    <t>FLORES</t>
  </si>
  <si>
    <t>LANDER</t>
  </si>
  <si>
    <t>BENITEZ</t>
  </si>
  <si>
    <t>LUCIA CAROLINA</t>
  </si>
  <si>
    <t>CALLEJAS</t>
  </si>
  <si>
    <t>ARANZA MONSERRAT</t>
  </si>
  <si>
    <t>CANO</t>
  </si>
  <si>
    <t>GIOVANNI</t>
  </si>
  <si>
    <t>CERVANTES</t>
  </si>
  <si>
    <t>AURA FERNADA</t>
  </si>
  <si>
    <t>CHACALCO</t>
  </si>
  <si>
    <t>FRANCISCO RENEE</t>
  </si>
  <si>
    <t>CONTRERAS</t>
  </si>
  <si>
    <t>NATALIA</t>
  </si>
  <si>
    <t>DIAZ</t>
  </si>
  <si>
    <t>CHRISTIAN OMAR</t>
  </si>
  <si>
    <t>MONZALVO</t>
  </si>
  <si>
    <t>LEONARDO DAVID</t>
  </si>
  <si>
    <t>CERINO</t>
  </si>
  <si>
    <t>RODRIGO EMMANUEL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</si>
  <si>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</si>
  <si>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</si>
  <si>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</si>
  <si>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</si>
  <si>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</si>
  <si>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</si>
  <si>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</si>
  <si>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</si>
  <si>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</si>
  <si>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</si>
  <si>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</si>
  <si>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</si>
  <si>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</si>
  <si>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</si>
  <si>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</si>
  <si>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</si>
  <si>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</si>
  <si>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</si>
  <si>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</si>
  <si>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</si>
  <si>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</si>
  <si>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</si>
  <si>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</si>
  <si>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</si>
  <si>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</si>
  <si>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EDUARDO FELIPE</t>
  </si>
  <si>
    <t>MORALES</t>
  </si>
  <si>
    <t>BARRAGAN</t>
  </si>
  <si>
    <t>FRIDA NAOMY</t>
  </si>
  <si>
    <t>MORENO</t>
  </si>
  <si>
    <t>DIEGO SANTIAGO</t>
  </si>
  <si>
    <t>MUÑOZ</t>
  </si>
  <si>
    <t>HERIBERTO</t>
  </si>
  <si>
    <t>PLATA</t>
  </si>
  <si>
    <t>CLAUDIO</t>
  </si>
  <si>
    <t>EMILIANO</t>
  </si>
  <si>
    <t>ALEXA SOFIA</t>
  </si>
  <si>
    <t>CAMARENA</t>
  </si>
  <si>
    <t>ALONDRA KARIME</t>
  </si>
  <si>
    <t>ORTIZ</t>
  </si>
  <si>
    <t>AITANA YATZIRI</t>
  </si>
  <si>
    <t>TIRADO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</si>
  <si>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</si>
  <si>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</si>
  <si>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</si>
  <si>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</si>
  <si>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</si>
  <si>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</si>
  <si>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</si>
  <si>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AISLINN REBECA</t>
  </si>
  <si>
    <t>ANGEL EMMANUEL</t>
  </si>
  <si>
    <t>SANTAMARIA</t>
  </si>
  <si>
    <t>OSORIO</t>
  </si>
  <si>
    <t>SILVA</t>
  </si>
  <si>
    <t>FERNANDA CAMILA</t>
  </si>
  <si>
    <t>DE LEON</t>
  </si>
  <si>
    <t>EVAN AMANI</t>
  </si>
  <si>
    <t>FERNANDO ALEXANDER</t>
  </si>
  <si>
    <t>URIBE</t>
  </si>
  <si>
    <t>YOHAN YAMIL</t>
  </si>
  <si>
    <t>VILORIO</t>
  </si>
  <si>
    <t>VALLECILLO</t>
  </si>
  <si>
    <t>KARLA IVETH</t>
  </si>
  <si>
    <t>ZAMUDIO</t>
  </si>
  <si>
    <t>PROFRA. ANA ISABEL CORREA SALGADO</t>
  </si>
  <si>
    <t>TEMAS SELECTOS DE IGUALDAD Y DERECHOS HUMANOS VI</t>
  </si>
  <si>
    <t>BRENDA</t>
  </si>
  <si>
    <t>AVALOS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</si>
  <si>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</si>
  <si>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</si>
  <si>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</si>
  <si>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</si>
  <si>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</si>
  <si>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</si>
  <si>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</si>
  <si>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</si>
  <si>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</si>
  <si>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</si>
  <si>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</si>
  <si>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</si>
  <si>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</si>
  <si>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</si>
  <si>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</si>
  <si>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</si>
  <si>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</si>
  <si>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</si>
  <si>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</si>
  <si>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</si>
  <si>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</si>
  <si>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</si>
  <si>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</si>
  <si>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</si>
  <si>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</si>
  <si>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</si>
  <si>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</si>
  <si>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</si>
  <si>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</si>
  <si>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OMAR ISRAEL</t>
  </si>
  <si>
    <t>VALDIVIA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</si>
  <si>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</si>
  <si>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</si>
  <si>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</si>
  <si>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</si>
  <si>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</si>
  <si>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</si>
  <si>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</si>
  <si>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</si>
  <si>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</si>
  <si>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</si>
  <si>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</si>
  <si>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</si>
  <si>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NAOMI LIZETH</t>
  </si>
  <si>
    <t>BRYAN ALEXANDER</t>
  </si>
  <si>
    <t>SEGURA</t>
  </si>
  <si>
    <t>PACHUCA</t>
  </si>
  <si>
    <t>JULIO CESAR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</si>
  <si>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</si>
  <si>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</si>
  <si>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</si>
  <si>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</si>
  <si>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</si>
  <si>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</si>
  <si>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</si>
  <si>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</si>
  <si>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JOCELYN</t>
  </si>
  <si>
    <t>SOLIS</t>
  </si>
  <si>
    <t>AQUINO</t>
  </si>
  <si>
    <t>ALEJANDRO DANIEL</t>
  </si>
  <si>
    <t>ANGEL LEONARDO</t>
  </si>
  <si>
    <t>PIÑA</t>
  </si>
  <si>
    <t>NATALY</t>
  </si>
  <si>
    <t>ANDREA ARANZA</t>
  </si>
  <si>
    <t>VIZZUETT</t>
  </si>
  <si>
    <t>MISAEL</t>
  </si>
  <si>
    <t>ARMANDO</t>
  </si>
  <si>
    <t>ZAINOS</t>
  </si>
  <si>
    <t>ZITLE</t>
  </si>
  <si>
    <t>BALDERAS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</si>
  <si>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</si>
  <si>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</si>
  <si>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</si>
  <si>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</si>
  <si>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</si>
  <si>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</si>
  <si>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</si>
  <si>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</si>
  <si>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</si>
  <si>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</si>
  <si>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</si>
  <si>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</si>
  <si>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</si>
  <si>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</si>
  <si>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</si>
  <si>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</si>
  <si>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</si>
  <si>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</si>
  <si>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</si>
  <si>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</si>
  <si>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</si>
  <si>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</si>
  <si>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</si>
  <si>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</si>
  <si>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</si>
  <si>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</si>
  <si>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</si>
  <si>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</si>
  <si>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</si>
  <si>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</si>
  <si>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</si>
  <si>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</si>
  <si>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</si>
  <si>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</si>
  <si>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</si>
  <si>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</si>
  <si>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</si>
  <si>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</si>
  <si>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</si>
  <si>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</si>
  <si>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</si>
  <si>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</si>
  <si>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</si>
  <si>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</si>
  <si>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</si>
  <si>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</si>
  <si>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</si>
  <si>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</si>
  <si>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</si>
  <si>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</si>
  <si>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</si>
  <si>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</si>
  <si>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</si>
  <si>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</si>
  <si>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</si>
  <si>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</si>
  <si>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</si>
  <si>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</si>
  <si>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</si>
  <si>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</si>
  <si>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</si>
  <si>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</si>
  <si>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</si>
  <si>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ITZAYANA DANIELA</t>
  </si>
  <si>
    <t>AILIN VALERIA</t>
  </si>
  <si>
    <t>SANTILLAN</t>
  </si>
  <si>
    <t>KEVIN IMANOL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</si>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</sst>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15" fillId="0" fontId="1" numFmtId="1" xfId="0" applyAlignment="1" applyBorder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73</xdr:row>
      <xdr:rowOff>257175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247650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65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64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65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64</xdr:row>
      <xdr:rowOff>304800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70</xdr:row>
      <xdr:rowOff>161925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238125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70</xdr:row>
      <xdr:rowOff>200025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276225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29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7.8</v>
      </c>
      <c r="F17" s="47">
        <v>2.0</v>
      </c>
      <c r="G17" s="47">
        <v>0.0</v>
      </c>
      <c r="H17" s="48">
        <f t="shared" ref="H17:H61" si="1">SUM(E17:G17)</f>
        <v>9.8</v>
      </c>
      <c r="I17" s="49">
        <v>0.0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8.5</v>
      </c>
      <c r="F18" s="47">
        <v>2.0</v>
      </c>
      <c r="G18" s="47">
        <v>1.0</v>
      </c>
      <c r="H18" s="48">
        <f t="shared" si="1"/>
        <v>11.5</v>
      </c>
      <c r="I18" s="49">
        <v>0.0</v>
      </c>
      <c r="J18" s="50">
        <f t="shared" si="2"/>
        <v>10</v>
      </c>
      <c r="K18" s="44"/>
      <c r="L18" s="52">
        <f t="shared" si="3"/>
        <v>12</v>
      </c>
      <c r="M18" s="54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5.7</v>
      </c>
      <c r="F19" s="47">
        <v>0.0</v>
      </c>
      <c r="G19" s="47">
        <v>0.0</v>
      </c>
      <c r="H19" s="48">
        <f t="shared" si="1"/>
        <v>5.7</v>
      </c>
      <c r="I19" s="49">
        <v>0.0</v>
      </c>
      <c r="J19" s="50">
        <f t="shared" si="2"/>
        <v>5</v>
      </c>
      <c r="K19" s="44"/>
      <c r="L19" s="52">
        <f t="shared" si="3"/>
        <v>5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8.5</v>
      </c>
      <c r="F20" s="47">
        <v>2.0</v>
      </c>
      <c r="G20" s="47">
        <v>1.0</v>
      </c>
      <c r="H20" s="48">
        <f t="shared" si="1"/>
        <v>11.5</v>
      </c>
      <c r="I20" s="49">
        <v>0.0</v>
      </c>
      <c r="J20" s="50">
        <f t="shared" si="2"/>
        <v>10</v>
      </c>
      <c r="K20" s="44"/>
      <c r="L20" s="52">
        <f t="shared" si="3"/>
        <v>12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6.9</v>
      </c>
      <c r="F21" s="47">
        <v>2.0</v>
      </c>
      <c r="G21" s="47">
        <v>1.0</v>
      </c>
      <c r="H21" s="48">
        <f t="shared" si="1"/>
        <v>9.9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6.1</v>
      </c>
      <c r="F22" s="47">
        <v>0.0</v>
      </c>
      <c r="G22" s="47">
        <v>0.0</v>
      </c>
      <c r="H22" s="48">
        <f t="shared" si="1"/>
        <v>6.1</v>
      </c>
      <c r="I22" s="49">
        <v>1.0</v>
      </c>
      <c r="J22" s="50">
        <f t="shared" si="2"/>
        <v>6</v>
      </c>
      <c r="K22" s="44"/>
      <c r="L22" s="52">
        <f t="shared" si="3"/>
        <v>6</v>
      </c>
      <c r="M22" s="54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7.2</v>
      </c>
      <c r="F23" s="47">
        <v>2.0</v>
      </c>
      <c r="G23" s="47">
        <v>0.0</v>
      </c>
      <c r="H23" s="48">
        <f t="shared" si="1"/>
        <v>9.2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7.0</v>
      </c>
      <c r="F24" s="47">
        <v>0.0</v>
      </c>
      <c r="G24" s="47">
        <v>0.0</v>
      </c>
      <c r="H24" s="48">
        <f t="shared" si="1"/>
        <v>7</v>
      </c>
      <c r="I24" s="49">
        <v>0.0</v>
      </c>
      <c r="J24" s="50">
        <f t="shared" si="2"/>
        <v>7</v>
      </c>
      <c r="K24" s="44"/>
      <c r="L24" s="52">
        <f t="shared" si="3"/>
        <v>7</v>
      </c>
      <c r="M24" s="54" t="s">
        <v>51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7.8</v>
      </c>
      <c r="F25" s="47">
        <v>0.0</v>
      </c>
      <c r="G25" s="47">
        <v>0.0</v>
      </c>
      <c r="H25" s="48">
        <f t="shared" si="1"/>
        <v>7.8</v>
      </c>
      <c r="I25" s="49">
        <v>0.0</v>
      </c>
      <c r="J25" s="50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7.6</v>
      </c>
      <c r="F26" s="47">
        <v>2.0</v>
      </c>
      <c r="G26" s="47">
        <v>0.0</v>
      </c>
      <c r="H26" s="48">
        <f t="shared" si="1"/>
        <v>9.6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6.8</v>
      </c>
      <c r="F27" s="47">
        <v>2.0</v>
      </c>
      <c r="G27" s="47">
        <v>0.0</v>
      </c>
      <c r="H27" s="48">
        <f t="shared" si="1"/>
        <v>8.8</v>
      </c>
      <c r="I27" s="49">
        <v>0.0</v>
      </c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7.5</v>
      </c>
      <c r="F28" s="47">
        <v>2.0</v>
      </c>
      <c r="G28" s="47">
        <v>0.0</v>
      </c>
      <c r="H28" s="48">
        <f t="shared" si="1"/>
        <v>9.5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8.9</v>
      </c>
      <c r="F29" s="47">
        <v>2.0</v>
      </c>
      <c r="G29" s="47">
        <v>1.0</v>
      </c>
      <c r="H29" s="48">
        <f t="shared" si="1"/>
        <v>11.9</v>
      </c>
      <c r="I29" s="49">
        <v>0.0</v>
      </c>
      <c r="J29" s="50">
        <f t="shared" si="2"/>
        <v>10</v>
      </c>
      <c r="K29" s="44"/>
      <c r="L29" s="52">
        <f t="shared" si="3"/>
        <v>12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8.8</v>
      </c>
      <c r="F30" s="47">
        <v>2.0</v>
      </c>
      <c r="G30" s="47">
        <v>1.0</v>
      </c>
      <c r="H30" s="48">
        <f t="shared" si="1"/>
        <v>11.8</v>
      </c>
      <c r="I30" s="49">
        <v>0.0</v>
      </c>
      <c r="J30" s="50">
        <f t="shared" si="2"/>
        <v>10</v>
      </c>
      <c r="K30" s="44"/>
      <c r="L30" s="52">
        <f t="shared" si="3"/>
        <v>12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3.5</v>
      </c>
      <c r="F31" s="47">
        <v>0.0</v>
      </c>
      <c r="G31" s="47">
        <v>0.0</v>
      </c>
      <c r="H31" s="48">
        <f t="shared" si="1"/>
        <v>3.5</v>
      </c>
      <c r="I31" s="49">
        <v>2.0</v>
      </c>
      <c r="J31" s="50">
        <f t="shared" si="2"/>
        <v>5</v>
      </c>
      <c r="K31" s="44"/>
      <c r="L31" s="52">
        <f t="shared" si="3"/>
        <v>3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7.2</v>
      </c>
      <c r="F32" s="47">
        <v>2.0</v>
      </c>
      <c r="G32" s="47">
        <v>0.0</v>
      </c>
      <c r="H32" s="48">
        <f t="shared" si="1"/>
        <v>9.2</v>
      </c>
      <c r="I32" s="49">
        <v>0.0</v>
      </c>
      <c r="J32" s="50">
        <f t="shared" si="2"/>
        <v>9</v>
      </c>
      <c r="K32" s="4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7.6</v>
      </c>
      <c r="F33" s="47">
        <v>2.0</v>
      </c>
      <c r="G33" s="47">
        <v>0.0</v>
      </c>
      <c r="H33" s="48">
        <f t="shared" si="1"/>
        <v>9.6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7.2</v>
      </c>
      <c r="F34" s="47">
        <v>2.0</v>
      </c>
      <c r="G34" s="47">
        <v>0.0</v>
      </c>
      <c r="H34" s="48">
        <f t="shared" si="1"/>
        <v>9.2</v>
      </c>
      <c r="I34" s="49">
        <v>0.0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7.2</v>
      </c>
      <c r="F35" s="47">
        <v>2.0</v>
      </c>
      <c r="G35" s="47">
        <v>0.0</v>
      </c>
      <c r="H35" s="48">
        <f t="shared" si="1"/>
        <v>9.2</v>
      </c>
      <c r="I35" s="49">
        <v>0.0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7.7</v>
      </c>
      <c r="F36" s="47">
        <v>2.0</v>
      </c>
      <c r="G36" s="47">
        <v>0.0</v>
      </c>
      <c r="H36" s="48">
        <f t="shared" si="1"/>
        <v>9.7</v>
      </c>
      <c r="I36" s="49">
        <v>1.0</v>
      </c>
      <c r="J36" s="50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7.0</v>
      </c>
      <c r="F37" s="47">
        <v>2.0</v>
      </c>
      <c r="G37" s="47">
        <v>0.0</v>
      </c>
      <c r="H37" s="48">
        <f t="shared" si="1"/>
        <v>9</v>
      </c>
      <c r="I37" s="49">
        <v>0.0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6.8</v>
      </c>
      <c r="F38" s="47">
        <v>2.0</v>
      </c>
      <c r="G38" s="47">
        <v>0.0</v>
      </c>
      <c r="H38" s="48">
        <f t="shared" si="1"/>
        <v>8.8</v>
      </c>
      <c r="I38" s="49">
        <v>0.0</v>
      </c>
      <c r="J38" s="50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6.8</v>
      </c>
      <c r="F39" s="47">
        <v>2.0</v>
      </c>
      <c r="G39" s="47">
        <v>0.0</v>
      </c>
      <c r="H39" s="48">
        <f t="shared" si="1"/>
        <v>8.8</v>
      </c>
      <c r="I39" s="49">
        <v>0.0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7.6</v>
      </c>
      <c r="F40" s="47">
        <v>2.0</v>
      </c>
      <c r="G40" s="47">
        <v>0.0</v>
      </c>
      <c r="H40" s="48">
        <f t="shared" si="1"/>
        <v>9.6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5.3</v>
      </c>
      <c r="F41" s="47">
        <v>0.0</v>
      </c>
      <c r="G41" s="47">
        <v>0.0</v>
      </c>
      <c r="H41" s="48">
        <f t="shared" si="1"/>
        <v>5.3</v>
      </c>
      <c r="I41" s="49">
        <v>0.0</v>
      </c>
      <c r="J41" s="50">
        <f t="shared" si="2"/>
        <v>5</v>
      </c>
      <c r="K41" s="44"/>
      <c r="L41" s="52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7.5</v>
      </c>
      <c r="F42" s="47">
        <v>0.0</v>
      </c>
      <c r="G42" s="47">
        <v>0.0</v>
      </c>
      <c r="H42" s="48">
        <f t="shared" si="1"/>
        <v>7.5</v>
      </c>
      <c r="I42" s="49">
        <v>0.0</v>
      </c>
      <c r="J42" s="50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7.8</v>
      </c>
      <c r="F43" s="47">
        <v>2.0</v>
      </c>
      <c r="G43" s="47">
        <v>0.0</v>
      </c>
      <c r="H43" s="48">
        <f t="shared" si="1"/>
        <v>9.8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7.5</v>
      </c>
      <c r="F44" s="47">
        <v>2.0</v>
      </c>
      <c r="G44" s="47">
        <v>0.0</v>
      </c>
      <c r="H44" s="48">
        <f t="shared" si="1"/>
        <v>9.5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7.5</v>
      </c>
      <c r="F45" s="47">
        <v>2.0</v>
      </c>
      <c r="G45" s="47">
        <v>0.0</v>
      </c>
      <c r="H45" s="48">
        <f t="shared" si="1"/>
        <v>9.5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6.8</v>
      </c>
      <c r="F46" s="47">
        <v>2.0</v>
      </c>
      <c r="G46" s="47">
        <v>1.0</v>
      </c>
      <c r="H46" s="48">
        <f t="shared" si="1"/>
        <v>9.8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7.9</v>
      </c>
      <c r="F47" s="47">
        <v>0.0</v>
      </c>
      <c r="G47" s="47">
        <v>1.0</v>
      </c>
      <c r="H47" s="48">
        <f t="shared" si="1"/>
        <v>8.9</v>
      </c>
      <c r="I47" s="49">
        <v>0.0</v>
      </c>
      <c r="J47" s="50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7.1</v>
      </c>
      <c r="F48" s="47">
        <v>2.0</v>
      </c>
      <c r="G48" s="47">
        <v>0.0</v>
      </c>
      <c r="H48" s="48">
        <f t="shared" si="1"/>
        <v>9.1</v>
      </c>
      <c r="I48" s="49">
        <v>1.0</v>
      </c>
      <c r="J48" s="50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7.5</v>
      </c>
      <c r="F49" s="47">
        <v>2.0</v>
      </c>
      <c r="G49" s="47">
        <v>0.0</v>
      </c>
      <c r="H49" s="48">
        <f t="shared" si="1"/>
        <v>9.5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4.5</v>
      </c>
      <c r="F50" s="47">
        <v>2.0</v>
      </c>
      <c r="G50" s="47">
        <v>0.0</v>
      </c>
      <c r="H50" s="48">
        <f t="shared" si="1"/>
        <v>6.5</v>
      </c>
      <c r="I50" s="49">
        <v>0.0</v>
      </c>
      <c r="J50" s="50">
        <f t="shared" si="2"/>
        <v>7</v>
      </c>
      <c r="K50" s="44"/>
      <c r="L50" s="52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7.2</v>
      </c>
      <c r="F51" s="47">
        <v>2.0</v>
      </c>
      <c r="G51" s="47">
        <v>0.0</v>
      </c>
      <c r="H51" s="48">
        <f t="shared" si="1"/>
        <v>9.2</v>
      </c>
      <c r="I51" s="49">
        <v>0.0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6.9</v>
      </c>
      <c r="F52" s="47">
        <v>2.0</v>
      </c>
      <c r="G52" s="47">
        <v>0.0</v>
      </c>
      <c r="H52" s="48">
        <f t="shared" si="1"/>
        <v>8.9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7.7</v>
      </c>
      <c r="F53" s="47">
        <v>2.0</v>
      </c>
      <c r="G53" s="47">
        <v>0.0</v>
      </c>
      <c r="H53" s="48">
        <f t="shared" si="1"/>
        <v>9.7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7.5</v>
      </c>
      <c r="F54" s="47">
        <v>2.0</v>
      </c>
      <c r="G54" s="47">
        <v>0.0</v>
      </c>
      <c r="H54" s="48">
        <f t="shared" si="1"/>
        <v>9.5</v>
      </c>
      <c r="I54" s="49">
        <v>1.0</v>
      </c>
      <c r="J54" s="50">
        <f t="shared" si="2"/>
        <v>10</v>
      </c>
      <c r="K54" s="44"/>
      <c r="L54" s="51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3.7</v>
      </c>
      <c r="F55" s="47">
        <v>0.0</v>
      </c>
      <c r="G55" s="47">
        <v>0.0</v>
      </c>
      <c r="H55" s="48">
        <f t="shared" si="1"/>
        <v>3.7</v>
      </c>
      <c r="I55" s="49">
        <v>1.0</v>
      </c>
      <c r="J55" s="50">
        <f t="shared" si="2"/>
        <v>5</v>
      </c>
      <c r="K55" s="44"/>
      <c r="L55" s="51">
        <f t="shared" si="3"/>
        <v>3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7.4</v>
      </c>
      <c r="F56" s="47">
        <v>0.0</v>
      </c>
      <c r="G56" s="47">
        <v>0.0</v>
      </c>
      <c r="H56" s="48">
        <f t="shared" si="1"/>
        <v>7.4</v>
      </c>
      <c r="I56" s="49">
        <v>0.0</v>
      </c>
      <c r="J56" s="50">
        <f t="shared" si="2"/>
        <v>7</v>
      </c>
      <c r="K56" s="44"/>
      <c r="L56" s="51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6.6</v>
      </c>
      <c r="F57" s="47">
        <v>2.0</v>
      </c>
      <c r="G57" s="47">
        <v>1.0</v>
      </c>
      <c r="H57" s="48">
        <f t="shared" si="1"/>
        <v>9.6</v>
      </c>
      <c r="I57" s="49">
        <v>0.0</v>
      </c>
      <c r="J57" s="50">
        <f t="shared" si="2"/>
        <v>10</v>
      </c>
      <c r="K57" s="44"/>
      <c r="L57" s="51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8.2</v>
      </c>
      <c r="F58" s="47">
        <v>0.0</v>
      </c>
      <c r="G58" s="47">
        <v>1.0</v>
      </c>
      <c r="H58" s="48">
        <f t="shared" si="1"/>
        <v>9.2</v>
      </c>
      <c r="I58" s="49">
        <v>0.0</v>
      </c>
      <c r="J58" s="50">
        <f t="shared" si="2"/>
        <v>9</v>
      </c>
      <c r="K58" s="44"/>
      <c r="L58" s="51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8.2</v>
      </c>
      <c r="F59" s="47">
        <v>2.0</v>
      </c>
      <c r="G59" s="47">
        <v>1.0</v>
      </c>
      <c r="H59" s="48">
        <f t="shared" si="1"/>
        <v>11.2</v>
      </c>
      <c r="I59" s="49">
        <v>0.0</v>
      </c>
      <c r="J59" s="50">
        <f t="shared" si="2"/>
        <v>10</v>
      </c>
      <c r="K59" s="44"/>
      <c r="L59" s="51">
        <f t="shared" si="3"/>
        <v>11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8.8</v>
      </c>
      <c r="F60" s="47">
        <v>2.0</v>
      </c>
      <c r="G60" s="47">
        <v>1.0</v>
      </c>
      <c r="H60" s="48">
        <f t="shared" si="1"/>
        <v>11.8</v>
      </c>
      <c r="I60" s="49">
        <v>0.0</v>
      </c>
      <c r="J60" s="50">
        <f t="shared" si="2"/>
        <v>10</v>
      </c>
      <c r="K60" s="44"/>
      <c r="L60" s="51">
        <f t="shared" si="3"/>
        <v>12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5.8</v>
      </c>
      <c r="F61" s="47">
        <v>2.0</v>
      </c>
      <c r="G61" s="47">
        <v>0.0</v>
      </c>
      <c r="H61" s="48">
        <f t="shared" si="1"/>
        <v>7.8</v>
      </c>
      <c r="I61" s="49">
        <v>0.0</v>
      </c>
      <c r="J61" s="50">
        <f t="shared" si="2"/>
        <v>8</v>
      </c>
      <c r="K61" s="44"/>
      <c r="L61" s="51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41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4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91.11111111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8.844444444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04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5.71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162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163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164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105" t="s">
        <v>165</v>
      </c>
      <c r="C17" s="45" t="s">
        <v>69</v>
      </c>
      <c r="D17" s="106" t="s">
        <v>166</v>
      </c>
      <c r="E17" s="48">
        <v>7.1</v>
      </c>
      <c r="F17" s="47">
        <v>2.0</v>
      </c>
      <c r="G17" s="47">
        <v>0.0</v>
      </c>
      <c r="H17" s="48">
        <f t="shared" ref="H17:H64" si="1">SUM(E17:G17)</f>
        <v>9.1</v>
      </c>
      <c r="I17" s="49">
        <v>0.0</v>
      </c>
      <c r="J17" s="50">
        <f t="shared" ref="J17:J64" si="2">IF(H17&lt;6, 5, MIN(ROUND(H17, 0), 10))</f>
        <v>9</v>
      </c>
      <c r="K17" s="51"/>
      <c r="L17" s="52">
        <f t="shared" ref="L17:L64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107" t="s">
        <v>167</v>
      </c>
      <c r="C18" s="45" t="s">
        <v>134</v>
      </c>
      <c r="D18" s="46" t="s">
        <v>168</v>
      </c>
      <c r="E18" s="48">
        <v>7.1</v>
      </c>
      <c r="F18" s="47">
        <v>2.0</v>
      </c>
      <c r="G18" s="47">
        <v>0.0</v>
      </c>
      <c r="H18" s="48">
        <f t="shared" si="1"/>
        <v>9.1</v>
      </c>
      <c r="I18" s="49">
        <v>0.0</v>
      </c>
      <c r="J18" s="50">
        <f t="shared" si="2"/>
        <v>9</v>
      </c>
      <c r="K18" s="44"/>
      <c r="L18" s="52">
        <f t="shared" si="3"/>
        <v>9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107" t="s">
        <v>169</v>
      </c>
      <c r="C19" s="45" t="s">
        <v>170</v>
      </c>
      <c r="D19" s="46" t="s">
        <v>171</v>
      </c>
      <c r="E19" s="48">
        <v>8.0</v>
      </c>
      <c r="F19" s="47">
        <v>2.0</v>
      </c>
      <c r="G19" s="47">
        <v>0.0</v>
      </c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107" t="s">
        <v>172</v>
      </c>
      <c r="C20" s="45" t="s">
        <v>134</v>
      </c>
      <c r="D20" s="46" t="s">
        <v>173</v>
      </c>
      <c r="E20" s="48">
        <v>6.3</v>
      </c>
      <c r="F20" s="47">
        <v>2.0</v>
      </c>
      <c r="G20" s="47">
        <v>0.0</v>
      </c>
      <c r="H20" s="48">
        <f t="shared" si="1"/>
        <v>8.3</v>
      </c>
      <c r="I20" s="49">
        <v>0.0</v>
      </c>
      <c r="J20" s="50">
        <f t="shared" si="2"/>
        <v>8</v>
      </c>
      <c r="K20" s="44"/>
      <c r="L20" s="52">
        <f t="shared" si="3"/>
        <v>8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107" t="s">
        <v>174</v>
      </c>
      <c r="C21" s="45" t="s">
        <v>79</v>
      </c>
      <c r="D21" s="46" t="s">
        <v>175</v>
      </c>
      <c r="E21" s="48">
        <v>7.3</v>
      </c>
      <c r="F21" s="47">
        <v>2.0</v>
      </c>
      <c r="G21" s="47">
        <v>0.0</v>
      </c>
      <c r="H21" s="48">
        <f t="shared" si="1"/>
        <v>9.3</v>
      </c>
      <c r="I21" s="49">
        <v>0.0</v>
      </c>
      <c r="J21" s="50">
        <f t="shared" si="2"/>
        <v>9</v>
      </c>
      <c r="K21" s="44"/>
      <c r="L21" s="52">
        <f t="shared" si="3"/>
        <v>9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107" t="s">
        <v>176</v>
      </c>
      <c r="C22" s="45" t="s">
        <v>90</v>
      </c>
      <c r="D22" s="46" t="s">
        <v>177</v>
      </c>
      <c r="E22" s="48">
        <v>7.3</v>
      </c>
      <c r="F22" s="47">
        <v>2.0</v>
      </c>
      <c r="G22" s="47">
        <v>0.0</v>
      </c>
      <c r="H22" s="48">
        <f t="shared" si="1"/>
        <v>9.3</v>
      </c>
      <c r="I22" s="49">
        <v>0.0</v>
      </c>
      <c r="J22" s="50">
        <f t="shared" si="2"/>
        <v>9</v>
      </c>
      <c r="K22" s="44"/>
      <c r="L22" s="52">
        <f t="shared" si="3"/>
        <v>9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107" t="s">
        <v>178</v>
      </c>
      <c r="C23" s="45" t="s">
        <v>64</v>
      </c>
      <c r="D23" s="46" t="s">
        <v>179</v>
      </c>
      <c r="E23" s="48">
        <v>6.1</v>
      </c>
      <c r="F23" s="47">
        <v>0.0</v>
      </c>
      <c r="G23" s="47">
        <v>0.0</v>
      </c>
      <c r="H23" s="48">
        <f t="shared" si="1"/>
        <v>6.1</v>
      </c>
      <c r="I23" s="49">
        <v>0.0</v>
      </c>
      <c r="J23" s="50">
        <f t="shared" si="2"/>
        <v>6</v>
      </c>
      <c r="K23" s="44"/>
      <c r="L23" s="52">
        <f t="shared" si="3"/>
        <v>6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107" t="s">
        <v>180</v>
      </c>
      <c r="C24" s="45" t="s">
        <v>53</v>
      </c>
      <c r="D24" s="46" t="s">
        <v>181</v>
      </c>
      <c r="E24" s="48">
        <v>7.1</v>
      </c>
      <c r="F24" s="47">
        <v>0.0</v>
      </c>
      <c r="G24" s="47">
        <v>0.0</v>
      </c>
      <c r="H24" s="48">
        <f t="shared" si="1"/>
        <v>7.1</v>
      </c>
      <c r="I24" s="49">
        <v>0.0</v>
      </c>
      <c r="J24" s="50">
        <f t="shared" si="2"/>
        <v>7</v>
      </c>
      <c r="K24" s="44"/>
      <c r="L24" s="52">
        <f t="shared" si="3"/>
        <v>7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107" t="s">
        <v>182</v>
      </c>
      <c r="C25" s="45" t="s">
        <v>170</v>
      </c>
      <c r="D25" s="46" t="s">
        <v>183</v>
      </c>
      <c r="E25" s="48">
        <v>7.3</v>
      </c>
      <c r="F25" s="47">
        <v>2.0</v>
      </c>
      <c r="G25" s="47">
        <v>0.0</v>
      </c>
      <c r="H25" s="48">
        <f t="shared" si="1"/>
        <v>9.3</v>
      </c>
      <c r="I25" s="49">
        <v>0.0</v>
      </c>
      <c r="J25" s="50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107" t="s">
        <v>184</v>
      </c>
      <c r="C26" s="45" t="s">
        <v>122</v>
      </c>
      <c r="D26" s="46" t="s">
        <v>185</v>
      </c>
      <c r="E26" s="48">
        <v>0.0</v>
      </c>
      <c r="F26" s="47">
        <v>0.0</v>
      </c>
      <c r="G26" s="47">
        <v>0.0</v>
      </c>
      <c r="H26" s="48">
        <f t="shared" si="1"/>
        <v>0</v>
      </c>
      <c r="I26" s="49">
        <v>0.0</v>
      </c>
      <c r="J26" s="50">
        <f t="shared" si="2"/>
        <v>5</v>
      </c>
      <c r="K26" s="44"/>
      <c r="L26" s="52">
        <f t="shared" si="3"/>
        <v>0</v>
      </c>
      <c r="M26" s="1"/>
      <c r="N26" s="1"/>
      <c r="O26" s="2"/>
      <c r="P26" s="2"/>
      <c r="Q26" s="2"/>
    </row>
    <row r="27" ht="24.75" customHeight="1">
      <c r="A27" s="44">
        <v>11.0</v>
      </c>
      <c r="B27" s="107" t="s">
        <v>170</v>
      </c>
      <c r="C27" s="45" t="s">
        <v>186</v>
      </c>
      <c r="D27" s="45" t="s">
        <v>187</v>
      </c>
      <c r="E27" s="48">
        <v>7.3</v>
      </c>
      <c r="F27" s="47">
        <v>2.0</v>
      </c>
      <c r="G27" s="47">
        <v>0.0</v>
      </c>
      <c r="H27" s="48">
        <f t="shared" si="1"/>
        <v>9.3</v>
      </c>
      <c r="I27" s="49">
        <v>0.0</v>
      </c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107" t="s">
        <v>69</v>
      </c>
      <c r="C28" s="45" t="s">
        <v>188</v>
      </c>
      <c r="D28" s="46" t="s">
        <v>189</v>
      </c>
      <c r="E28" s="48">
        <v>8.0</v>
      </c>
      <c r="F28" s="47">
        <v>2.0</v>
      </c>
      <c r="G28" s="47">
        <v>0.0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107" t="s">
        <v>33</v>
      </c>
      <c r="C29" s="45" t="s">
        <v>69</v>
      </c>
      <c r="D29" s="46" t="s">
        <v>190</v>
      </c>
      <c r="E29" s="48">
        <v>5.3</v>
      </c>
      <c r="F29" s="47">
        <v>0.0</v>
      </c>
      <c r="G29" s="47">
        <v>0.0</v>
      </c>
      <c r="H29" s="48">
        <f t="shared" si="1"/>
        <v>5.3</v>
      </c>
      <c r="I29" s="49">
        <v>0.0</v>
      </c>
      <c r="J29" s="50">
        <f t="shared" si="2"/>
        <v>5</v>
      </c>
      <c r="K29" s="44"/>
      <c r="L29" s="52">
        <f t="shared" si="3"/>
        <v>5</v>
      </c>
      <c r="M29" s="1"/>
      <c r="N29" s="1"/>
      <c r="O29" s="2"/>
      <c r="P29" s="2"/>
      <c r="Q29" s="2"/>
    </row>
    <row r="30" ht="24.75" customHeight="1">
      <c r="A30" s="44">
        <v>14.0</v>
      </c>
      <c r="B30" s="107" t="s">
        <v>33</v>
      </c>
      <c r="C30" s="45" t="s">
        <v>191</v>
      </c>
      <c r="D30" s="46" t="s">
        <v>192</v>
      </c>
      <c r="E30" s="48">
        <v>2.8</v>
      </c>
      <c r="F30" s="47">
        <v>0.0</v>
      </c>
      <c r="G30" s="47">
        <v>0.0</v>
      </c>
      <c r="H30" s="48">
        <f t="shared" si="1"/>
        <v>2.8</v>
      </c>
      <c r="I30" s="49">
        <v>0.0</v>
      </c>
      <c r="J30" s="50">
        <f t="shared" si="2"/>
        <v>5</v>
      </c>
      <c r="K30" s="44"/>
      <c r="L30" s="52">
        <f t="shared" si="3"/>
        <v>2</v>
      </c>
      <c r="M30" s="1"/>
      <c r="N30" s="1"/>
      <c r="O30" s="2"/>
      <c r="P30" s="2"/>
      <c r="Q30" s="2"/>
    </row>
    <row r="31" ht="24.75" customHeight="1">
      <c r="A31" s="44">
        <v>15.0</v>
      </c>
      <c r="B31" s="107" t="s">
        <v>33</v>
      </c>
      <c r="C31" s="45" t="s">
        <v>193</v>
      </c>
      <c r="D31" s="46" t="s">
        <v>168</v>
      </c>
      <c r="E31" s="48">
        <v>7.3</v>
      </c>
      <c r="F31" s="47">
        <v>2.0</v>
      </c>
      <c r="G31" s="47">
        <v>0.0</v>
      </c>
      <c r="H31" s="48">
        <f t="shared" si="1"/>
        <v>9.3</v>
      </c>
      <c r="I31" s="49">
        <v>0.0</v>
      </c>
      <c r="J31" s="50">
        <f t="shared" si="2"/>
        <v>9</v>
      </c>
      <c r="K31" s="44"/>
      <c r="L31" s="52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107" t="s">
        <v>194</v>
      </c>
      <c r="C32" s="45" t="s">
        <v>195</v>
      </c>
      <c r="D32" s="46" t="s">
        <v>196</v>
      </c>
      <c r="E32" s="48">
        <v>6.3</v>
      </c>
      <c r="F32" s="47">
        <v>2.0</v>
      </c>
      <c r="G32" s="47">
        <v>0.0</v>
      </c>
      <c r="H32" s="48">
        <f t="shared" si="1"/>
        <v>8.3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107" t="s">
        <v>197</v>
      </c>
      <c r="C33" s="45" t="s">
        <v>198</v>
      </c>
      <c r="D33" s="46" t="s">
        <v>199</v>
      </c>
      <c r="E33" s="48">
        <v>7.3</v>
      </c>
      <c r="F33" s="47">
        <v>2.0</v>
      </c>
      <c r="G33" s="47">
        <v>0.0</v>
      </c>
      <c r="H33" s="48">
        <f t="shared" si="1"/>
        <v>9.3</v>
      </c>
      <c r="I33" s="49">
        <v>0.0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107" t="s">
        <v>90</v>
      </c>
      <c r="C34" s="45" t="s">
        <v>200</v>
      </c>
      <c r="D34" s="46" t="s">
        <v>201</v>
      </c>
      <c r="E34" s="48">
        <v>8.0</v>
      </c>
      <c r="F34" s="47">
        <v>2.0</v>
      </c>
      <c r="G34" s="47">
        <v>0.0</v>
      </c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107" t="s">
        <v>90</v>
      </c>
      <c r="C35" s="45" t="s">
        <v>202</v>
      </c>
      <c r="D35" s="46" t="s">
        <v>203</v>
      </c>
      <c r="E35" s="48">
        <v>7.3</v>
      </c>
      <c r="F35" s="47">
        <v>2.0</v>
      </c>
      <c r="G35" s="47">
        <v>0.0</v>
      </c>
      <c r="H35" s="48">
        <f t="shared" si="1"/>
        <v>9.3</v>
      </c>
      <c r="I35" s="49">
        <v>0.0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107" t="s">
        <v>204</v>
      </c>
      <c r="C36" s="45" t="s">
        <v>205</v>
      </c>
      <c r="D36" s="46" t="s">
        <v>206</v>
      </c>
      <c r="E36" s="48">
        <v>7.3</v>
      </c>
      <c r="F36" s="47">
        <v>2.0</v>
      </c>
      <c r="G36" s="47">
        <v>0.0</v>
      </c>
      <c r="H36" s="48">
        <f t="shared" si="1"/>
        <v>9.3</v>
      </c>
      <c r="I36" s="49">
        <v>0.0</v>
      </c>
      <c r="J36" s="50">
        <f t="shared" si="2"/>
        <v>9</v>
      </c>
      <c r="K36" s="44"/>
      <c r="L36" s="52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107" t="s">
        <v>37</v>
      </c>
      <c r="C37" s="45" t="s">
        <v>69</v>
      </c>
      <c r="D37" s="46" t="s">
        <v>207</v>
      </c>
      <c r="E37" s="48">
        <v>7.3</v>
      </c>
      <c r="F37" s="47">
        <v>0.0</v>
      </c>
      <c r="G37" s="47">
        <v>0.0</v>
      </c>
      <c r="H37" s="48">
        <f t="shared" si="1"/>
        <v>7.3</v>
      </c>
      <c r="I37" s="49">
        <v>0.0</v>
      </c>
      <c r="J37" s="50">
        <f t="shared" si="2"/>
        <v>7</v>
      </c>
      <c r="K37" s="44"/>
      <c r="L37" s="52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107" t="s">
        <v>37</v>
      </c>
      <c r="C38" s="45" t="s">
        <v>208</v>
      </c>
      <c r="D38" s="46" t="s">
        <v>209</v>
      </c>
      <c r="E38" s="48">
        <v>7.1</v>
      </c>
      <c r="F38" s="47">
        <v>2.0</v>
      </c>
      <c r="G38" s="47">
        <v>0.0</v>
      </c>
      <c r="H38" s="48">
        <f t="shared" si="1"/>
        <v>9.1</v>
      </c>
      <c r="I38" s="49">
        <v>0.0</v>
      </c>
      <c r="J38" s="50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107" t="s">
        <v>37</v>
      </c>
      <c r="C39" s="45" t="s">
        <v>210</v>
      </c>
      <c r="D39" s="46" t="s">
        <v>211</v>
      </c>
      <c r="E39" s="48">
        <v>7.3</v>
      </c>
      <c r="F39" s="47">
        <v>2.0</v>
      </c>
      <c r="G39" s="47">
        <v>0.0</v>
      </c>
      <c r="H39" s="48">
        <f t="shared" si="1"/>
        <v>9.3</v>
      </c>
      <c r="I39" s="49">
        <v>0.0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107" t="s">
        <v>212</v>
      </c>
      <c r="C40" s="45" t="s">
        <v>184</v>
      </c>
      <c r="D40" s="46" t="s">
        <v>213</v>
      </c>
      <c r="E40" s="48">
        <v>2.8</v>
      </c>
      <c r="F40" s="47">
        <v>0.0</v>
      </c>
      <c r="G40" s="47">
        <v>0.0</v>
      </c>
      <c r="H40" s="48">
        <f t="shared" si="1"/>
        <v>2.8</v>
      </c>
      <c r="I40" s="49">
        <v>0.0</v>
      </c>
      <c r="J40" s="50">
        <f t="shared" si="2"/>
        <v>5</v>
      </c>
      <c r="K40" s="44"/>
      <c r="L40" s="52">
        <f t="shared" si="3"/>
        <v>2</v>
      </c>
      <c r="M40" s="1"/>
      <c r="N40" s="1"/>
      <c r="O40" s="2"/>
      <c r="P40" s="2"/>
      <c r="Q40" s="2"/>
    </row>
    <row r="41" ht="24.75" customHeight="1">
      <c r="A41" s="44">
        <v>25.0</v>
      </c>
      <c r="B41" s="107" t="s">
        <v>214</v>
      </c>
      <c r="C41" s="45" t="s">
        <v>29</v>
      </c>
      <c r="D41" s="46" t="s">
        <v>215</v>
      </c>
      <c r="E41" s="48">
        <v>5.1</v>
      </c>
      <c r="F41" s="47">
        <v>0.0</v>
      </c>
      <c r="G41" s="47">
        <v>0.0</v>
      </c>
      <c r="H41" s="48">
        <f t="shared" si="1"/>
        <v>5.1</v>
      </c>
      <c r="I41" s="49">
        <v>0.0</v>
      </c>
      <c r="J41" s="50">
        <f t="shared" si="2"/>
        <v>5</v>
      </c>
      <c r="K41" s="44"/>
      <c r="L41" s="52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107" t="s">
        <v>216</v>
      </c>
      <c r="C42" s="45" t="s">
        <v>217</v>
      </c>
      <c r="D42" s="46" t="s">
        <v>190</v>
      </c>
      <c r="E42" s="48">
        <v>7.8</v>
      </c>
      <c r="F42" s="47">
        <v>2.0</v>
      </c>
      <c r="G42" s="47">
        <v>0.0</v>
      </c>
      <c r="H42" s="48">
        <f t="shared" si="1"/>
        <v>9.8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107" t="s">
        <v>216</v>
      </c>
      <c r="C43" s="45" t="s">
        <v>118</v>
      </c>
      <c r="D43" s="46" t="s">
        <v>218</v>
      </c>
      <c r="E43" s="48">
        <v>7.3</v>
      </c>
      <c r="F43" s="47">
        <v>2.0</v>
      </c>
      <c r="G43" s="47">
        <v>0.0</v>
      </c>
      <c r="H43" s="48">
        <f t="shared" si="1"/>
        <v>9.3</v>
      </c>
      <c r="I43" s="49">
        <v>0.0</v>
      </c>
      <c r="J43" s="50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107" t="s">
        <v>219</v>
      </c>
      <c r="C44" s="45" t="s">
        <v>69</v>
      </c>
      <c r="D44" s="46" t="s">
        <v>220</v>
      </c>
      <c r="E44" s="48">
        <v>0.0</v>
      </c>
      <c r="F44" s="47">
        <v>0.0</v>
      </c>
      <c r="G44" s="47">
        <v>0.0</v>
      </c>
      <c r="H44" s="48">
        <f t="shared" si="1"/>
        <v>0</v>
      </c>
      <c r="I44" s="49">
        <v>0.0</v>
      </c>
      <c r="J44" s="50">
        <f t="shared" si="2"/>
        <v>5</v>
      </c>
      <c r="K44" s="44"/>
      <c r="L44" s="52">
        <f t="shared" si="3"/>
        <v>0</v>
      </c>
      <c r="M44" s="1"/>
      <c r="N44" s="1"/>
      <c r="O44" s="2"/>
      <c r="P44" s="2"/>
      <c r="Q44" s="2"/>
    </row>
    <row r="45" ht="24.75" customHeight="1">
      <c r="A45" s="44">
        <v>29.0</v>
      </c>
      <c r="B45" s="107" t="s">
        <v>221</v>
      </c>
      <c r="C45" s="45" t="s">
        <v>69</v>
      </c>
      <c r="D45" s="46" t="s">
        <v>222</v>
      </c>
      <c r="E45" s="48">
        <v>7.1</v>
      </c>
      <c r="F45" s="47">
        <v>2.0</v>
      </c>
      <c r="G45" s="47">
        <v>0.0</v>
      </c>
      <c r="H45" s="48">
        <f t="shared" si="1"/>
        <v>9.1</v>
      </c>
      <c r="I45" s="49">
        <v>0.0</v>
      </c>
      <c r="J45" s="50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107" t="s">
        <v>223</v>
      </c>
      <c r="C46" s="45" t="s">
        <v>224</v>
      </c>
      <c r="D46" s="46" t="s">
        <v>225</v>
      </c>
      <c r="E46" s="48">
        <v>4.8</v>
      </c>
      <c r="F46" s="47">
        <v>2.0</v>
      </c>
      <c r="G46" s="47">
        <v>0.0</v>
      </c>
      <c r="H46" s="48">
        <f t="shared" si="1"/>
        <v>6.8</v>
      </c>
      <c r="I46" s="49">
        <v>0.0</v>
      </c>
      <c r="J46" s="50">
        <f t="shared" si="2"/>
        <v>7</v>
      </c>
      <c r="K46" s="44"/>
      <c r="L46" s="52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107" t="s">
        <v>113</v>
      </c>
      <c r="C47" s="45" t="s">
        <v>118</v>
      </c>
      <c r="D47" s="46" t="s">
        <v>226</v>
      </c>
      <c r="E47" s="48">
        <v>2.8</v>
      </c>
      <c r="F47" s="47">
        <v>0.0</v>
      </c>
      <c r="G47" s="47">
        <v>0.0</v>
      </c>
      <c r="H47" s="48">
        <f t="shared" si="1"/>
        <v>2.8</v>
      </c>
      <c r="I47" s="49">
        <v>0.0</v>
      </c>
      <c r="J47" s="50">
        <f t="shared" si="2"/>
        <v>5</v>
      </c>
      <c r="K47" s="44"/>
      <c r="L47" s="52">
        <f t="shared" si="3"/>
        <v>2</v>
      </c>
      <c r="M47" s="1"/>
      <c r="N47" s="1"/>
      <c r="O47" s="2"/>
      <c r="P47" s="2"/>
      <c r="Q47" s="2"/>
    </row>
    <row r="48" ht="24.75" customHeight="1">
      <c r="A48" s="44">
        <v>32.0</v>
      </c>
      <c r="B48" s="107" t="s">
        <v>118</v>
      </c>
      <c r="C48" s="45" t="s">
        <v>119</v>
      </c>
      <c r="D48" s="46" t="s">
        <v>121</v>
      </c>
      <c r="E48" s="48">
        <v>7.3</v>
      </c>
      <c r="F48" s="47">
        <v>2.0</v>
      </c>
      <c r="G48" s="47">
        <v>0.0</v>
      </c>
      <c r="H48" s="48">
        <f t="shared" si="1"/>
        <v>9.3</v>
      </c>
      <c r="I48" s="49">
        <v>0.0</v>
      </c>
      <c r="J48" s="50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107" t="s">
        <v>137</v>
      </c>
      <c r="C49" s="51" t="s">
        <v>227</v>
      </c>
      <c r="D49" s="46" t="s">
        <v>228</v>
      </c>
      <c r="E49" s="48">
        <v>7.1</v>
      </c>
      <c r="F49" s="47">
        <v>2.0</v>
      </c>
      <c r="G49" s="47">
        <v>0.0</v>
      </c>
      <c r="H49" s="48">
        <f t="shared" si="1"/>
        <v>9.1</v>
      </c>
      <c r="I49" s="49">
        <v>0.0</v>
      </c>
      <c r="J49" s="50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107" t="s">
        <v>137</v>
      </c>
      <c r="C50" s="51" t="s">
        <v>229</v>
      </c>
      <c r="D50" s="46" t="s">
        <v>230</v>
      </c>
      <c r="E50" s="48">
        <v>0.5</v>
      </c>
      <c r="F50" s="47">
        <v>2.0</v>
      </c>
      <c r="G50" s="47">
        <v>0.0</v>
      </c>
      <c r="H50" s="48">
        <f t="shared" si="1"/>
        <v>2.5</v>
      </c>
      <c r="I50" s="49">
        <v>0.0</v>
      </c>
      <c r="J50" s="50">
        <f t="shared" si="2"/>
        <v>5</v>
      </c>
      <c r="K50" s="44"/>
      <c r="L50" s="52">
        <f t="shared" si="3"/>
        <v>2</v>
      </c>
      <c r="M50" s="1"/>
      <c r="N50" s="1"/>
      <c r="O50" s="2"/>
      <c r="P50" s="2"/>
      <c r="Q50" s="2"/>
    </row>
    <row r="51" ht="24.75" customHeight="1">
      <c r="A51" s="44">
        <v>35.0</v>
      </c>
      <c r="B51" s="107" t="s">
        <v>137</v>
      </c>
      <c r="C51" s="51" t="s">
        <v>231</v>
      </c>
      <c r="D51" s="46" t="s">
        <v>121</v>
      </c>
      <c r="E51" s="48">
        <v>7.3</v>
      </c>
      <c r="F51" s="47">
        <v>2.0</v>
      </c>
      <c r="G51" s="47">
        <v>0.0</v>
      </c>
      <c r="H51" s="48">
        <f t="shared" si="1"/>
        <v>9.3</v>
      </c>
      <c r="I51" s="49">
        <v>0.0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107" t="s">
        <v>139</v>
      </c>
      <c r="C52" s="51" t="s">
        <v>232</v>
      </c>
      <c r="D52" s="46" t="s">
        <v>233</v>
      </c>
      <c r="E52" s="48">
        <v>7.3</v>
      </c>
      <c r="F52" s="47">
        <v>2.0</v>
      </c>
      <c r="G52" s="47">
        <v>0.0</v>
      </c>
      <c r="H52" s="48">
        <f t="shared" si="1"/>
        <v>9.3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107" t="s">
        <v>191</v>
      </c>
      <c r="C53" s="51" t="s">
        <v>234</v>
      </c>
      <c r="D53" s="46" t="s">
        <v>235</v>
      </c>
      <c r="E53" s="48">
        <v>7.3</v>
      </c>
      <c r="F53" s="47">
        <v>2.0</v>
      </c>
      <c r="G53" s="47">
        <v>0.0</v>
      </c>
      <c r="H53" s="48">
        <f t="shared" si="1"/>
        <v>9.3</v>
      </c>
      <c r="I53" s="49">
        <v>0.0</v>
      </c>
      <c r="J53" s="50">
        <f t="shared" si="2"/>
        <v>9</v>
      </c>
      <c r="K53" s="44"/>
      <c r="L53" s="51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107" t="s">
        <v>236</v>
      </c>
      <c r="C54" s="51" t="s">
        <v>227</v>
      </c>
      <c r="D54" s="46" t="s">
        <v>237</v>
      </c>
      <c r="E54" s="48">
        <v>2.8</v>
      </c>
      <c r="F54" s="47">
        <v>2.0</v>
      </c>
      <c r="G54" s="47">
        <v>0.0</v>
      </c>
      <c r="H54" s="48">
        <f t="shared" si="1"/>
        <v>4.8</v>
      </c>
      <c r="I54" s="49">
        <v>0.0</v>
      </c>
      <c r="J54" s="50">
        <f t="shared" si="2"/>
        <v>5</v>
      </c>
      <c r="K54" s="44"/>
      <c r="L54" s="51">
        <f t="shared" si="3"/>
        <v>4</v>
      </c>
      <c r="M54" s="1"/>
      <c r="N54" s="1"/>
      <c r="O54" s="2"/>
      <c r="P54" s="2"/>
      <c r="Q54" s="2"/>
    </row>
    <row r="55" ht="24.75" customHeight="1">
      <c r="A55" s="44">
        <v>39.0</v>
      </c>
      <c r="B55" s="107" t="s">
        <v>236</v>
      </c>
      <c r="C55" s="51" t="s">
        <v>69</v>
      </c>
      <c r="D55" s="46" t="s">
        <v>238</v>
      </c>
      <c r="E55" s="48">
        <v>7.1</v>
      </c>
      <c r="F55" s="47">
        <v>2.0</v>
      </c>
      <c r="G55" s="47">
        <v>0.0</v>
      </c>
      <c r="H55" s="48">
        <f t="shared" si="1"/>
        <v>9.1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107" t="s">
        <v>236</v>
      </c>
      <c r="C56" s="51" t="s">
        <v>116</v>
      </c>
      <c r="D56" s="46" t="s">
        <v>239</v>
      </c>
      <c r="E56" s="48">
        <v>7.3</v>
      </c>
      <c r="F56" s="47">
        <v>2.0</v>
      </c>
      <c r="G56" s="47">
        <v>0.0</v>
      </c>
      <c r="H56" s="48">
        <f t="shared" si="1"/>
        <v>9.3</v>
      </c>
      <c r="I56" s="49">
        <v>0.0</v>
      </c>
      <c r="J56" s="50">
        <f t="shared" si="2"/>
        <v>9</v>
      </c>
      <c r="K56" s="44"/>
      <c r="L56" s="51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107" t="s">
        <v>122</v>
      </c>
      <c r="C57" s="51" t="s">
        <v>208</v>
      </c>
      <c r="D57" s="46" t="s">
        <v>240</v>
      </c>
      <c r="E57" s="48">
        <v>7.3</v>
      </c>
      <c r="F57" s="47">
        <v>2.0</v>
      </c>
      <c r="G57" s="47">
        <v>0.0</v>
      </c>
      <c r="H57" s="48">
        <f t="shared" si="1"/>
        <v>9.3</v>
      </c>
      <c r="I57" s="49">
        <v>0.0</v>
      </c>
      <c r="J57" s="50">
        <f t="shared" si="2"/>
        <v>9</v>
      </c>
      <c r="K57" s="44"/>
      <c r="L57" s="51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107" t="s">
        <v>241</v>
      </c>
      <c r="C58" s="51" t="s">
        <v>242</v>
      </c>
      <c r="D58" s="46" t="s">
        <v>168</v>
      </c>
      <c r="E58" s="48">
        <v>7.3</v>
      </c>
      <c r="F58" s="47">
        <v>2.0</v>
      </c>
      <c r="G58" s="47">
        <v>0.0</v>
      </c>
      <c r="H58" s="48">
        <f t="shared" si="1"/>
        <v>9.3</v>
      </c>
      <c r="I58" s="49">
        <v>0.0</v>
      </c>
      <c r="J58" s="50">
        <f t="shared" si="2"/>
        <v>9</v>
      </c>
      <c r="K58" s="44"/>
      <c r="L58" s="51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107" t="s">
        <v>243</v>
      </c>
      <c r="C59" s="51" t="s">
        <v>110</v>
      </c>
      <c r="D59" s="46" t="s">
        <v>244</v>
      </c>
      <c r="E59" s="48">
        <v>7.3</v>
      </c>
      <c r="F59" s="47">
        <v>2.0</v>
      </c>
      <c r="G59" s="47">
        <v>0.0</v>
      </c>
      <c r="H59" s="48">
        <f t="shared" si="1"/>
        <v>9.3</v>
      </c>
      <c r="I59" s="49">
        <v>0.0</v>
      </c>
      <c r="J59" s="50">
        <f t="shared" si="2"/>
        <v>9</v>
      </c>
      <c r="K59" s="44"/>
      <c r="L59" s="51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107" t="s">
        <v>134</v>
      </c>
      <c r="C60" s="51" t="s">
        <v>245</v>
      </c>
      <c r="D60" s="46" t="s">
        <v>246</v>
      </c>
      <c r="E60" s="48">
        <v>7.1</v>
      </c>
      <c r="F60" s="47">
        <v>0.0</v>
      </c>
      <c r="G60" s="47">
        <v>0.0</v>
      </c>
      <c r="H60" s="48">
        <f t="shared" si="1"/>
        <v>7.1</v>
      </c>
      <c r="I60" s="49">
        <v>0.0</v>
      </c>
      <c r="J60" s="50">
        <f t="shared" si="2"/>
        <v>7</v>
      </c>
      <c r="K60" s="44"/>
      <c r="L60" s="51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107" t="s">
        <v>53</v>
      </c>
      <c r="C61" s="51" t="s">
        <v>37</v>
      </c>
      <c r="D61" s="46" t="s">
        <v>247</v>
      </c>
      <c r="E61" s="48">
        <v>5.6</v>
      </c>
      <c r="F61" s="47">
        <v>2.0</v>
      </c>
      <c r="G61" s="47">
        <v>0.0</v>
      </c>
      <c r="H61" s="48">
        <f t="shared" si="1"/>
        <v>7.6</v>
      </c>
      <c r="I61" s="49">
        <v>0.0</v>
      </c>
      <c r="J61" s="50">
        <f t="shared" si="2"/>
        <v>8</v>
      </c>
      <c r="K61" s="44"/>
      <c r="L61" s="51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107" t="s">
        <v>248</v>
      </c>
      <c r="C62" s="51" t="s">
        <v>80</v>
      </c>
      <c r="D62" s="46" t="s">
        <v>249</v>
      </c>
      <c r="E62" s="48">
        <v>5.8</v>
      </c>
      <c r="F62" s="47">
        <v>2.0</v>
      </c>
      <c r="G62" s="47">
        <v>0.0</v>
      </c>
      <c r="H62" s="48">
        <f t="shared" si="1"/>
        <v>7.8</v>
      </c>
      <c r="I62" s="49">
        <v>0.0</v>
      </c>
      <c r="J62" s="50">
        <f t="shared" si="2"/>
        <v>8</v>
      </c>
      <c r="K62" s="44"/>
      <c r="L62" s="51">
        <f t="shared" si="3"/>
        <v>8</v>
      </c>
      <c r="M62" s="1"/>
      <c r="N62" s="1"/>
      <c r="O62" s="2"/>
      <c r="P62" s="2"/>
      <c r="Q62" s="2"/>
    </row>
    <row r="63" ht="24.75" customHeight="1">
      <c r="A63" s="44">
        <v>47.0</v>
      </c>
      <c r="B63" s="107" t="s">
        <v>250</v>
      </c>
      <c r="C63" s="51" t="s">
        <v>251</v>
      </c>
      <c r="D63" s="46" t="s">
        <v>252</v>
      </c>
      <c r="E63" s="48">
        <v>7.3</v>
      </c>
      <c r="F63" s="47">
        <v>2.0</v>
      </c>
      <c r="G63" s="47">
        <v>0.0</v>
      </c>
      <c r="H63" s="48">
        <f t="shared" si="1"/>
        <v>9.3</v>
      </c>
      <c r="I63" s="49">
        <v>0.0</v>
      </c>
      <c r="J63" s="50">
        <f t="shared" si="2"/>
        <v>9</v>
      </c>
      <c r="K63" s="44"/>
      <c r="L63" s="51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107" t="s">
        <v>253</v>
      </c>
      <c r="C64" s="51" t="s">
        <v>191</v>
      </c>
      <c r="D64" s="46" t="s">
        <v>187</v>
      </c>
      <c r="E64" s="48">
        <v>7.8</v>
      </c>
      <c r="F64" s="47">
        <v>2.0</v>
      </c>
      <c r="G64" s="47">
        <v>0.0</v>
      </c>
      <c r="H64" s="48">
        <f t="shared" si="1"/>
        <v>9.8</v>
      </c>
      <c r="I64" s="49">
        <v>0.0</v>
      </c>
      <c r="J64" s="50">
        <f t="shared" si="2"/>
        <v>10</v>
      </c>
      <c r="K64" s="44"/>
      <c r="L64" s="51">
        <f t="shared" si="3"/>
        <v>10</v>
      </c>
      <c r="M64" s="1"/>
      <c r="N64" s="1"/>
      <c r="O64" s="2"/>
      <c r="P64" s="2"/>
      <c r="Q64" s="2"/>
    </row>
    <row r="65" ht="24.75" customHeight="1">
      <c r="A65" s="6"/>
      <c r="B65" s="58"/>
      <c r="C65" s="58"/>
      <c r="D65" s="11"/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0" t="s">
        <v>147</v>
      </c>
      <c r="C66" s="61"/>
      <c r="D66" s="62">
        <f>COUNT(A17:A64)</f>
        <v>48</v>
      </c>
      <c r="E66" s="59"/>
      <c r="F66" s="63" t="s">
        <v>148</v>
      </c>
      <c r="G66" s="59"/>
      <c r="H66" s="63" t="s">
        <v>149</v>
      </c>
      <c r="J66" s="64" t="s">
        <v>150</v>
      </c>
      <c r="K66" s="65" t="s">
        <v>151</v>
      </c>
      <c r="L66" s="58"/>
      <c r="M66" s="1"/>
      <c r="N66" s="1"/>
      <c r="O66" s="2"/>
      <c r="P66" s="2"/>
      <c r="Q66" s="2"/>
    </row>
    <row r="67" ht="24.75" customHeight="1">
      <c r="A67" s="1"/>
      <c r="B67" s="66" t="s">
        <v>152</v>
      </c>
      <c r="C67" s="67"/>
      <c r="D67" s="68">
        <f>COUNTIF(J17:J64,"BAJA")</f>
        <v>0</v>
      </c>
      <c r="E67" s="59"/>
      <c r="G67" s="59"/>
      <c r="K67" s="9"/>
      <c r="L67" s="58"/>
      <c r="M67" s="1"/>
      <c r="N67" s="1"/>
      <c r="O67" s="2"/>
      <c r="P67" s="2"/>
      <c r="Q67" s="2"/>
    </row>
    <row r="68" ht="24.75" customHeight="1">
      <c r="A68" s="1"/>
      <c r="B68" s="66" t="s">
        <v>153</v>
      </c>
      <c r="C68" s="67"/>
      <c r="D68" s="69">
        <f>D66-D67</f>
        <v>48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154</v>
      </c>
      <c r="C69" s="67"/>
      <c r="D69" s="70">
        <f>COUNTIF(J17:J64,"&gt;=6")</f>
        <v>39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155</v>
      </c>
      <c r="C70" s="67"/>
      <c r="D70" s="70">
        <f>D68-D69</f>
        <v>9</v>
      </c>
      <c r="E70" s="59"/>
      <c r="F70" s="71"/>
      <c r="G70" s="59"/>
      <c r="H70" s="71"/>
      <c r="I70" s="108"/>
      <c r="J70" s="72"/>
      <c r="K70" s="73"/>
      <c r="L70" s="58"/>
      <c r="M70" s="1"/>
      <c r="N70" s="1"/>
      <c r="O70" s="2"/>
      <c r="P70" s="2"/>
      <c r="Q70" s="2"/>
    </row>
    <row r="71" ht="36.0" customHeight="1">
      <c r="A71" s="1"/>
      <c r="B71" s="66" t="s">
        <v>156</v>
      </c>
      <c r="C71" s="67"/>
      <c r="D71" s="74">
        <f>D69*100/D68</f>
        <v>81.25</v>
      </c>
      <c r="E71" s="59"/>
      <c r="F71" s="75" t="s">
        <v>157</v>
      </c>
      <c r="G71" s="59"/>
      <c r="H71" s="76" t="s">
        <v>254</v>
      </c>
      <c r="J71" s="77" t="s">
        <v>159</v>
      </c>
      <c r="K71" s="78" t="s">
        <v>160</v>
      </c>
      <c r="L71" s="58"/>
      <c r="M71" s="1"/>
      <c r="N71" s="1"/>
      <c r="O71" s="2"/>
      <c r="P71" s="2"/>
      <c r="Q71" s="2"/>
    </row>
    <row r="72" ht="21.75" customHeight="1">
      <c r="A72" s="109"/>
      <c r="B72" s="110" t="s">
        <v>161</v>
      </c>
      <c r="C72" s="80"/>
      <c r="D72" s="81">
        <f>AVERAGE(J17:J64)</f>
        <v>8.041666667</v>
      </c>
      <c r="E72" s="1"/>
      <c r="G72" s="1"/>
      <c r="K72" s="9"/>
      <c r="L72" s="1"/>
      <c r="M72" s="1"/>
      <c r="N72" s="1"/>
      <c r="O72" s="2"/>
      <c r="P72" s="2"/>
      <c r="Q72" s="2"/>
    </row>
    <row r="73" ht="21.75" customHeight="1">
      <c r="A73" s="111"/>
      <c r="B73" s="2"/>
      <c r="C73" s="2"/>
      <c r="D73" s="2"/>
      <c r="E73" s="2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112"/>
      <c r="B74" s="113"/>
      <c r="C74" s="114"/>
      <c r="D74" s="115"/>
      <c r="E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111"/>
      <c r="B75" s="2"/>
      <c r="C75" s="2"/>
      <c r="D75" s="83"/>
      <c r="E75" s="2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1.75" customHeight="1">
      <c r="A76" s="111"/>
      <c r="B76" s="2"/>
      <c r="C76" s="2"/>
      <c r="D76" s="116"/>
      <c r="E76" s="2"/>
      <c r="F76" s="2"/>
      <c r="G76" s="2"/>
      <c r="H76" s="2"/>
      <c r="I76" s="2"/>
      <c r="J76" s="2"/>
      <c r="K76" s="86"/>
      <c r="L76" s="2"/>
      <c r="M76" s="2"/>
      <c r="N76" s="2"/>
      <c r="O76" s="2"/>
      <c r="P76" s="2"/>
      <c r="Q76" s="2"/>
    </row>
    <row r="77" ht="27.75" customHeight="1">
      <c r="A77" s="117"/>
      <c r="B77" s="101"/>
      <c r="C77" s="101"/>
      <c r="D77" s="118"/>
      <c r="E77" s="101"/>
      <c r="F77" s="119"/>
      <c r="G77" s="101"/>
      <c r="H77" s="119"/>
      <c r="I77" s="119"/>
      <c r="J77" s="119"/>
      <c r="K77" s="120"/>
      <c r="L77" s="2"/>
      <c r="M77" s="2"/>
      <c r="N77" s="2"/>
      <c r="O77" s="2"/>
      <c r="P77" s="2"/>
      <c r="Q77" s="2"/>
    </row>
    <row r="78" ht="21.75" customHeight="1">
      <c r="A78" s="103"/>
      <c r="B78" s="85"/>
      <c r="C78" s="85"/>
      <c r="D78" s="116"/>
      <c r="E78" s="2"/>
      <c r="F78" s="85"/>
      <c r="G78" s="2"/>
      <c r="H78" s="85"/>
      <c r="I78" s="85"/>
      <c r="J78" s="121"/>
      <c r="K78" s="121"/>
      <c r="L78" s="104"/>
      <c r="M78" s="2"/>
      <c r="N78" s="2"/>
      <c r="O78" s="2"/>
      <c r="P78" s="2"/>
      <c r="Q78" s="2"/>
    </row>
    <row r="79" ht="13.5" customHeight="1">
      <c r="A79" s="2"/>
      <c r="B79" s="2"/>
      <c r="C79" s="2"/>
      <c r="D79" s="116"/>
      <c r="E79" s="2"/>
      <c r="F79" s="85"/>
      <c r="G79" s="2"/>
      <c r="H79" s="85"/>
      <c r="I79" s="85"/>
      <c r="J79" s="121"/>
      <c r="K79" s="121"/>
      <c r="L79" s="104"/>
      <c r="M79" s="2"/>
      <c r="N79" s="2"/>
      <c r="O79" s="2"/>
      <c r="P79" s="2"/>
      <c r="Q79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J17:J64">
    <cfRule type="cellIs" dxfId="0" priority="1" stopIfTrue="1" operator="greaterThan">
      <formula>5</formula>
    </cfRule>
  </conditionalFormatting>
  <conditionalFormatting sqref="J17:J64">
    <cfRule type="cellIs" dxfId="1" priority="2" stopIfTrue="1" operator="equal">
      <formula>5</formula>
    </cfRule>
  </conditionalFormatting>
  <conditionalFormatting sqref="F17:G64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5.86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255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7">
        <v>0.0</v>
      </c>
      <c r="H17" s="48">
        <f t="shared" ref="H17:H61" si="1">SUM(E17:G17)</f>
        <v>10</v>
      </c>
      <c r="I17" s="49">
        <v>0.0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7">
        <v>0.0</v>
      </c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4.5</v>
      </c>
      <c r="F19" s="47">
        <v>2.0</v>
      </c>
      <c r="G19" s="47">
        <v>0.0</v>
      </c>
      <c r="H19" s="48">
        <f t="shared" si="1"/>
        <v>6.5</v>
      </c>
      <c r="I19" s="49">
        <v>0.0</v>
      </c>
      <c r="J19" s="50">
        <f t="shared" si="2"/>
        <v>7</v>
      </c>
      <c r="K19" s="44"/>
      <c r="L19" s="52">
        <f t="shared" si="3"/>
        <v>7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7.8</v>
      </c>
      <c r="F20" s="47">
        <v>2.0</v>
      </c>
      <c r="G20" s="47">
        <v>0.0</v>
      </c>
      <c r="H20" s="48">
        <f t="shared" si="1"/>
        <v>9.8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0.0</v>
      </c>
      <c r="F21" s="47">
        <v>0.0</v>
      </c>
      <c r="G21" s="47">
        <v>0.0</v>
      </c>
      <c r="H21" s="48">
        <f t="shared" si="1"/>
        <v>0</v>
      </c>
      <c r="I21" s="49">
        <v>0.0</v>
      </c>
      <c r="J21" s="50">
        <f t="shared" si="2"/>
        <v>5</v>
      </c>
      <c r="K21" s="44"/>
      <c r="L21" s="52">
        <f t="shared" si="3"/>
        <v>0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4.3</v>
      </c>
      <c r="F22" s="47">
        <v>2.0</v>
      </c>
      <c r="G22" s="47">
        <v>0.0</v>
      </c>
      <c r="H22" s="48">
        <f t="shared" si="1"/>
        <v>6.3</v>
      </c>
      <c r="I22" s="49">
        <v>0.0</v>
      </c>
      <c r="J22" s="50">
        <f t="shared" si="2"/>
        <v>6</v>
      </c>
      <c r="K22" s="44"/>
      <c r="L22" s="52">
        <f t="shared" si="3"/>
        <v>6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6.5</v>
      </c>
      <c r="F23" s="47">
        <v>2.0</v>
      </c>
      <c r="G23" s="47">
        <v>0.0</v>
      </c>
      <c r="H23" s="48">
        <f t="shared" si="1"/>
        <v>8.5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6.5</v>
      </c>
      <c r="F24" s="47">
        <v>2.0</v>
      </c>
      <c r="G24" s="47">
        <v>0.0</v>
      </c>
      <c r="H24" s="48">
        <f t="shared" si="1"/>
        <v>8.5</v>
      </c>
      <c r="I24" s="49">
        <v>0.0</v>
      </c>
      <c r="J24" s="50">
        <f t="shared" si="2"/>
        <v>9</v>
      </c>
      <c r="K24" s="44"/>
      <c r="L24" s="52">
        <f t="shared" si="3"/>
        <v>9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7">
        <v>0.0</v>
      </c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7">
        <v>0.0</v>
      </c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8.0</v>
      </c>
      <c r="F27" s="47">
        <v>2.0</v>
      </c>
      <c r="G27" s="47">
        <v>0.0</v>
      </c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6.5</v>
      </c>
      <c r="F28" s="47">
        <v>0.0</v>
      </c>
      <c r="G28" s="47">
        <v>0.0</v>
      </c>
      <c r="H28" s="48">
        <f t="shared" si="1"/>
        <v>6.5</v>
      </c>
      <c r="I28" s="49">
        <v>0.0</v>
      </c>
      <c r="J28" s="50">
        <f t="shared" si="2"/>
        <v>7</v>
      </c>
      <c r="K28" s="44"/>
      <c r="L28" s="52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2.0</v>
      </c>
      <c r="G29" s="47">
        <v>0.0</v>
      </c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6.5</v>
      </c>
      <c r="F30" s="47">
        <v>2.0</v>
      </c>
      <c r="G30" s="47">
        <v>0.0</v>
      </c>
      <c r="H30" s="48">
        <f t="shared" si="1"/>
        <v>8.5</v>
      </c>
      <c r="I30" s="49">
        <v>0.0</v>
      </c>
      <c r="J30" s="50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0.0</v>
      </c>
      <c r="F31" s="47">
        <v>0.0</v>
      </c>
      <c r="G31" s="47">
        <v>0.0</v>
      </c>
      <c r="H31" s="48">
        <f t="shared" si="1"/>
        <v>0</v>
      </c>
      <c r="I31" s="49">
        <v>1.0</v>
      </c>
      <c r="J31" s="50">
        <f t="shared" si="2"/>
        <v>5</v>
      </c>
      <c r="K31" s="44"/>
      <c r="L31" s="52">
        <f t="shared" si="3"/>
        <v>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7">
        <v>0.0</v>
      </c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8.0</v>
      </c>
      <c r="F33" s="47">
        <v>2.0</v>
      </c>
      <c r="G33" s="47">
        <v>0.0</v>
      </c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0.0</v>
      </c>
      <c r="G34" s="47">
        <v>0.0</v>
      </c>
      <c r="H34" s="48">
        <f t="shared" si="1"/>
        <v>8</v>
      </c>
      <c r="I34" s="49">
        <v>0.0</v>
      </c>
      <c r="J34" s="50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6.5</v>
      </c>
      <c r="F35" s="47">
        <v>2.0</v>
      </c>
      <c r="G35" s="47">
        <v>0.0</v>
      </c>
      <c r="H35" s="48">
        <f t="shared" si="1"/>
        <v>8.5</v>
      </c>
      <c r="I35" s="49">
        <v>0.0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5.8</v>
      </c>
      <c r="F36" s="47">
        <v>2.0</v>
      </c>
      <c r="G36" s="47">
        <v>0.0</v>
      </c>
      <c r="H36" s="48">
        <f t="shared" si="1"/>
        <v>7.8</v>
      </c>
      <c r="I36" s="49">
        <v>0.0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6.5</v>
      </c>
      <c r="F37" s="47">
        <v>2.0</v>
      </c>
      <c r="G37" s="47">
        <v>0.0</v>
      </c>
      <c r="H37" s="48">
        <f t="shared" si="1"/>
        <v>8.5</v>
      </c>
      <c r="I37" s="49">
        <v>0.0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7.8</v>
      </c>
      <c r="F38" s="47">
        <v>2.0</v>
      </c>
      <c r="G38" s="47">
        <v>0.0</v>
      </c>
      <c r="H38" s="48">
        <f t="shared" si="1"/>
        <v>9.8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8.0</v>
      </c>
      <c r="F39" s="47">
        <v>0.0</v>
      </c>
      <c r="G39" s="47">
        <v>0.0</v>
      </c>
      <c r="H39" s="48">
        <f t="shared" si="1"/>
        <v>8</v>
      </c>
      <c r="I39" s="49">
        <v>0.0</v>
      </c>
      <c r="J39" s="50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6.5</v>
      </c>
      <c r="F40" s="47">
        <v>2.0</v>
      </c>
      <c r="G40" s="47">
        <v>0.0</v>
      </c>
      <c r="H40" s="48">
        <f t="shared" si="1"/>
        <v>8.5</v>
      </c>
      <c r="I40" s="49">
        <v>0.0</v>
      </c>
      <c r="J40" s="50">
        <f t="shared" si="2"/>
        <v>9</v>
      </c>
      <c r="K40" s="44"/>
      <c r="L40" s="52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4.2</v>
      </c>
      <c r="F41" s="47">
        <v>0.0</v>
      </c>
      <c r="G41" s="47">
        <v>0.0</v>
      </c>
      <c r="H41" s="48">
        <f t="shared" si="1"/>
        <v>4.2</v>
      </c>
      <c r="I41" s="49">
        <v>0.0</v>
      </c>
      <c r="J41" s="50">
        <f t="shared" si="2"/>
        <v>5</v>
      </c>
      <c r="K41" s="44"/>
      <c r="L41" s="52">
        <f t="shared" si="3"/>
        <v>4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6.5</v>
      </c>
      <c r="F42" s="47">
        <v>2.0</v>
      </c>
      <c r="G42" s="47">
        <v>0.0</v>
      </c>
      <c r="H42" s="48">
        <f t="shared" si="1"/>
        <v>8.5</v>
      </c>
      <c r="I42" s="49">
        <v>0.0</v>
      </c>
      <c r="J42" s="50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0.6</v>
      </c>
      <c r="F43" s="47">
        <v>2.0</v>
      </c>
      <c r="G43" s="47">
        <v>0.0</v>
      </c>
      <c r="H43" s="48">
        <f t="shared" si="1"/>
        <v>2.6</v>
      </c>
      <c r="I43" s="49">
        <v>0.0</v>
      </c>
      <c r="J43" s="50">
        <f t="shared" si="2"/>
        <v>5</v>
      </c>
      <c r="K43" s="44"/>
      <c r="L43" s="52">
        <f t="shared" si="3"/>
        <v>2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8.0</v>
      </c>
      <c r="F44" s="47">
        <v>2.0</v>
      </c>
      <c r="G44" s="47">
        <v>0.0</v>
      </c>
      <c r="H44" s="48">
        <f t="shared" si="1"/>
        <v>10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7">
        <v>0.0</v>
      </c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8.0</v>
      </c>
      <c r="F46" s="47">
        <v>2.0</v>
      </c>
      <c r="G46" s="47">
        <v>0.0</v>
      </c>
      <c r="H46" s="48">
        <f t="shared" si="1"/>
        <v>10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8.0</v>
      </c>
      <c r="F47" s="47">
        <v>2.0</v>
      </c>
      <c r="G47" s="47">
        <v>0.0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6.5</v>
      </c>
      <c r="F48" s="47">
        <v>2.0</v>
      </c>
      <c r="G48" s="47">
        <v>0.0</v>
      </c>
      <c r="H48" s="48">
        <f t="shared" si="1"/>
        <v>8.5</v>
      </c>
      <c r="I48" s="49">
        <v>0.0</v>
      </c>
      <c r="J48" s="50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8.0</v>
      </c>
      <c r="F49" s="47">
        <v>2.0</v>
      </c>
      <c r="G49" s="47">
        <v>0.0</v>
      </c>
      <c r="H49" s="48">
        <f t="shared" si="1"/>
        <v>10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7.6</v>
      </c>
      <c r="F50" s="47">
        <v>2.0</v>
      </c>
      <c r="G50" s="47">
        <v>0.0</v>
      </c>
      <c r="H50" s="48">
        <f t="shared" si="1"/>
        <v>9.6</v>
      </c>
      <c r="I50" s="49">
        <v>1.0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7">
        <v>0.0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8.0</v>
      </c>
      <c r="F52" s="47">
        <v>2.0</v>
      </c>
      <c r="G52" s="47">
        <v>0.0</v>
      </c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0.0</v>
      </c>
      <c r="G53" s="47">
        <v>0.0</v>
      </c>
      <c r="H53" s="48">
        <f t="shared" si="1"/>
        <v>8</v>
      </c>
      <c r="I53" s="49">
        <v>0.0</v>
      </c>
      <c r="J53" s="50">
        <f t="shared" si="2"/>
        <v>8</v>
      </c>
      <c r="K53" s="44"/>
      <c r="L53" s="51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6.5</v>
      </c>
      <c r="F54" s="47">
        <v>2.0</v>
      </c>
      <c r="G54" s="47">
        <v>0.0</v>
      </c>
      <c r="H54" s="48">
        <f t="shared" si="1"/>
        <v>8.5</v>
      </c>
      <c r="I54" s="49">
        <v>0.0</v>
      </c>
      <c r="J54" s="50">
        <f t="shared" si="2"/>
        <v>9</v>
      </c>
      <c r="K54" s="44"/>
      <c r="L54" s="51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4.1</v>
      </c>
      <c r="F55" s="47">
        <v>2.0</v>
      </c>
      <c r="G55" s="47">
        <v>0.0</v>
      </c>
      <c r="H55" s="48">
        <f t="shared" si="1"/>
        <v>6.1</v>
      </c>
      <c r="I55" s="49">
        <v>1.0</v>
      </c>
      <c r="J55" s="50">
        <f t="shared" si="2"/>
        <v>6</v>
      </c>
      <c r="K55" s="44"/>
      <c r="L55" s="51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6.5</v>
      </c>
      <c r="F56" s="47">
        <v>0.0</v>
      </c>
      <c r="G56" s="47">
        <v>0.0</v>
      </c>
      <c r="H56" s="48">
        <f t="shared" si="1"/>
        <v>6.5</v>
      </c>
      <c r="I56" s="49">
        <v>0.0</v>
      </c>
      <c r="J56" s="50">
        <f t="shared" si="2"/>
        <v>7</v>
      </c>
      <c r="K56" s="44"/>
      <c r="L56" s="51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8.0</v>
      </c>
      <c r="F57" s="47">
        <v>2.0</v>
      </c>
      <c r="G57" s="47">
        <v>0.0</v>
      </c>
      <c r="H57" s="48">
        <f t="shared" si="1"/>
        <v>10</v>
      </c>
      <c r="I57" s="49">
        <v>0.0</v>
      </c>
      <c r="J57" s="50">
        <f t="shared" si="2"/>
        <v>10</v>
      </c>
      <c r="K57" s="44"/>
      <c r="L57" s="51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8.0</v>
      </c>
      <c r="F58" s="47">
        <v>2.0</v>
      </c>
      <c r="G58" s="47">
        <v>0.0</v>
      </c>
      <c r="H58" s="48">
        <f t="shared" si="1"/>
        <v>10</v>
      </c>
      <c r="I58" s="49">
        <v>0.0</v>
      </c>
      <c r="J58" s="50">
        <f t="shared" si="2"/>
        <v>10</v>
      </c>
      <c r="K58" s="44"/>
      <c r="L58" s="51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6.0</v>
      </c>
      <c r="F59" s="47">
        <v>2.0</v>
      </c>
      <c r="G59" s="47">
        <v>0.0</v>
      </c>
      <c r="H59" s="48">
        <f t="shared" si="1"/>
        <v>8</v>
      </c>
      <c r="I59" s="49">
        <v>0.0</v>
      </c>
      <c r="J59" s="50">
        <f t="shared" si="2"/>
        <v>8</v>
      </c>
      <c r="K59" s="44"/>
      <c r="L59" s="51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8.0</v>
      </c>
      <c r="F60" s="47">
        <v>2.0</v>
      </c>
      <c r="G60" s="47">
        <v>0.0</v>
      </c>
      <c r="H60" s="48">
        <f t="shared" si="1"/>
        <v>10</v>
      </c>
      <c r="I60" s="49">
        <v>0.0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7.8</v>
      </c>
      <c r="F61" s="47">
        <v>2.0</v>
      </c>
      <c r="G61" s="47">
        <v>0.0</v>
      </c>
      <c r="H61" s="48">
        <f t="shared" si="1"/>
        <v>9.8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41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4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91.11111111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8.755555556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04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14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167</v>
      </c>
      <c r="C17" s="45" t="s">
        <v>134</v>
      </c>
      <c r="D17" s="46" t="s">
        <v>256</v>
      </c>
      <c r="E17" s="47">
        <v>7.1</v>
      </c>
      <c r="F17" s="47">
        <v>2.0</v>
      </c>
      <c r="G17" s="47">
        <v>0.0</v>
      </c>
      <c r="H17" s="48">
        <f t="shared" ref="H17:H56" si="1">SUM(E17:G17)</f>
        <v>9.1</v>
      </c>
      <c r="I17" s="49">
        <v>0.0</v>
      </c>
      <c r="J17" s="50">
        <f t="shared" ref="J17:J56" si="2">IF(H17&lt;6, 5, MIN(ROUND(H17, 0), 10))</f>
        <v>9</v>
      </c>
      <c r="K17" s="51"/>
      <c r="L17" s="52">
        <f t="shared" ref="L17:L56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257</v>
      </c>
      <c r="C18" s="45" t="s">
        <v>219</v>
      </c>
      <c r="D18" s="46" t="s">
        <v>258</v>
      </c>
      <c r="E18" s="47">
        <v>3.9</v>
      </c>
      <c r="F18" s="47">
        <v>0.0</v>
      </c>
      <c r="G18" s="47">
        <v>0.0</v>
      </c>
      <c r="H18" s="48">
        <f t="shared" si="1"/>
        <v>3.9</v>
      </c>
      <c r="I18" s="49">
        <v>2.0</v>
      </c>
      <c r="J18" s="50">
        <f t="shared" si="2"/>
        <v>5</v>
      </c>
      <c r="K18" s="44"/>
      <c r="L18" s="52">
        <f t="shared" si="3"/>
        <v>3</v>
      </c>
      <c r="M18" s="54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259</v>
      </c>
      <c r="C19" s="45" t="s">
        <v>260</v>
      </c>
      <c r="D19" s="46" t="s">
        <v>261</v>
      </c>
      <c r="E19" s="47">
        <v>6.3</v>
      </c>
      <c r="F19" s="47">
        <v>2.0</v>
      </c>
      <c r="G19" s="47">
        <v>0.0</v>
      </c>
      <c r="H19" s="48">
        <f t="shared" si="1"/>
        <v>8.3</v>
      </c>
      <c r="I19" s="49">
        <v>0.0</v>
      </c>
      <c r="J19" s="50">
        <f t="shared" si="2"/>
        <v>8</v>
      </c>
      <c r="K19" s="44"/>
      <c r="L19" s="52">
        <f t="shared" si="3"/>
        <v>8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262</v>
      </c>
      <c r="C20" s="45" t="s">
        <v>69</v>
      </c>
      <c r="D20" s="46" t="s">
        <v>263</v>
      </c>
      <c r="E20" s="47">
        <v>8.1</v>
      </c>
      <c r="F20" s="47">
        <v>2.0</v>
      </c>
      <c r="G20" s="47">
        <v>1.0</v>
      </c>
      <c r="H20" s="48">
        <f t="shared" si="1"/>
        <v>11.1</v>
      </c>
      <c r="I20" s="49">
        <v>0.0</v>
      </c>
      <c r="J20" s="50">
        <f t="shared" si="2"/>
        <v>10</v>
      </c>
      <c r="K20" s="44"/>
      <c r="L20" s="52">
        <f t="shared" si="3"/>
        <v>11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264</v>
      </c>
      <c r="C21" s="45" t="s">
        <v>265</v>
      </c>
      <c r="D21" s="46" t="s">
        <v>266</v>
      </c>
      <c r="E21" s="47">
        <v>4.7</v>
      </c>
      <c r="F21" s="47">
        <v>2.0</v>
      </c>
      <c r="G21" s="47">
        <v>0.0</v>
      </c>
      <c r="H21" s="48">
        <f t="shared" si="1"/>
        <v>6.7</v>
      </c>
      <c r="I21" s="49">
        <v>0.0</v>
      </c>
      <c r="J21" s="50">
        <f t="shared" si="2"/>
        <v>7</v>
      </c>
      <c r="K21" s="44"/>
      <c r="L21" s="52">
        <f t="shared" si="3"/>
        <v>7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267</v>
      </c>
      <c r="C22" s="45" t="s">
        <v>79</v>
      </c>
      <c r="D22" s="46" t="s">
        <v>268</v>
      </c>
      <c r="E22" s="47">
        <v>5.0</v>
      </c>
      <c r="F22" s="47">
        <v>0.0</v>
      </c>
      <c r="G22" s="47">
        <v>0.0</v>
      </c>
      <c r="H22" s="48">
        <f t="shared" si="1"/>
        <v>5</v>
      </c>
      <c r="I22" s="49">
        <v>3.0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269</v>
      </c>
      <c r="C23" s="45" t="s">
        <v>270</v>
      </c>
      <c r="D23" s="46" t="s">
        <v>271</v>
      </c>
      <c r="E23" s="47">
        <v>7.3</v>
      </c>
      <c r="F23" s="47">
        <v>2.0</v>
      </c>
      <c r="G23" s="47">
        <v>0.0</v>
      </c>
      <c r="H23" s="48">
        <f t="shared" si="1"/>
        <v>9.3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272</v>
      </c>
      <c r="C24" s="45" t="s">
        <v>110</v>
      </c>
      <c r="D24" s="46" t="s">
        <v>273</v>
      </c>
      <c r="E24" s="47">
        <v>8.5</v>
      </c>
      <c r="F24" s="47">
        <v>2.0</v>
      </c>
      <c r="G24" s="47">
        <v>1.0</v>
      </c>
      <c r="H24" s="48">
        <f t="shared" si="1"/>
        <v>11.5</v>
      </c>
      <c r="I24" s="49">
        <v>0.0</v>
      </c>
      <c r="J24" s="50">
        <f t="shared" si="2"/>
        <v>10</v>
      </c>
      <c r="K24" s="44"/>
      <c r="L24" s="52">
        <f t="shared" si="3"/>
        <v>12</v>
      </c>
      <c r="M24" s="54" t="s">
        <v>51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274</v>
      </c>
      <c r="C25" s="45" t="s">
        <v>102</v>
      </c>
      <c r="D25" s="46" t="s">
        <v>275</v>
      </c>
      <c r="E25" s="47">
        <v>8.5</v>
      </c>
      <c r="F25" s="47">
        <v>2.0</v>
      </c>
      <c r="G25" s="47">
        <v>1.0</v>
      </c>
      <c r="H25" s="48">
        <f t="shared" si="1"/>
        <v>11.5</v>
      </c>
      <c r="I25" s="49">
        <v>0.0</v>
      </c>
      <c r="J25" s="50">
        <f t="shared" si="2"/>
        <v>10</v>
      </c>
      <c r="K25" s="44"/>
      <c r="L25" s="52">
        <f t="shared" si="3"/>
        <v>12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276</v>
      </c>
      <c r="C26" s="45" t="s">
        <v>208</v>
      </c>
      <c r="D26" s="46" t="s">
        <v>277</v>
      </c>
      <c r="E26" s="47">
        <v>7.1</v>
      </c>
      <c r="F26" s="47">
        <v>2.0</v>
      </c>
      <c r="G26" s="47">
        <v>0.0</v>
      </c>
      <c r="H26" s="48">
        <f t="shared" si="1"/>
        <v>9.1</v>
      </c>
      <c r="I26" s="49">
        <v>0.0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278</v>
      </c>
      <c r="C27" s="45" t="s">
        <v>279</v>
      </c>
      <c r="D27" s="45" t="s">
        <v>280</v>
      </c>
      <c r="E27" s="47">
        <v>3.8</v>
      </c>
      <c r="F27" s="47">
        <v>2.0</v>
      </c>
      <c r="G27" s="47">
        <v>0.0</v>
      </c>
      <c r="H27" s="48">
        <f t="shared" si="1"/>
        <v>5.8</v>
      </c>
      <c r="I27" s="49">
        <v>1.0</v>
      </c>
      <c r="J27" s="50">
        <f t="shared" si="2"/>
        <v>5</v>
      </c>
      <c r="K27" s="44"/>
      <c r="L27" s="52">
        <f t="shared" si="3"/>
        <v>5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281</v>
      </c>
      <c r="C28" s="45" t="s">
        <v>90</v>
      </c>
      <c r="D28" s="46" t="s">
        <v>282</v>
      </c>
      <c r="E28" s="47">
        <v>8.5</v>
      </c>
      <c r="F28" s="47">
        <v>2.0</v>
      </c>
      <c r="G28" s="47">
        <v>1.0</v>
      </c>
      <c r="H28" s="48">
        <f t="shared" si="1"/>
        <v>11.5</v>
      </c>
      <c r="I28" s="49">
        <v>0.0</v>
      </c>
      <c r="J28" s="50">
        <f t="shared" si="2"/>
        <v>10</v>
      </c>
      <c r="K28" s="44"/>
      <c r="L28" s="52">
        <f t="shared" si="3"/>
        <v>12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283</v>
      </c>
      <c r="D29" s="46" t="s">
        <v>284</v>
      </c>
      <c r="E29" s="47">
        <v>7.2</v>
      </c>
      <c r="F29" s="47">
        <v>2.0</v>
      </c>
      <c r="G29" s="47">
        <v>0.0</v>
      </c>
      <c r="H29" s="48">
        <f t="shared" si="1"/>
        <v>9.2</v>
      </c>
      <c r="I29" s="49">
        <v>0.0</v>
      </c>
      <c r="J29" s="50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285</v>
      </c>
      <c r="D30" s="46" t="s">
        <v>286</v>
      </c>
      <c r="E30" s="47">
        <v>7.2</v>
      </c>
      <c r="F30" s="47">
        <v>0.0</v>
      </c>
      <c r="G30" s="47">
        <v>0.0</v>
      </c>
      <c r="H30" s="48">
        <f t="shared" si="1"/>
        <v>7.2</v>
      </c>
      <c r="I30" s="49">
        <v>2.0</v>
      </c>
      <c r="J30" s="50">
        <f t="shared" si="2"/>
        <v>7</v>
      </c>
      <c r="K30" s="44"/>
      <c r="L30" s="52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216</v>
      </c>
      <c r="D31" s="46" t="s">
        <v>287</v>
      </c>
      <c r="E31" s="47">
        <v>7.2</v>
      </c>
      <c r="F31" s="47">
        <v>0.0</v>
      </c>
      <c r="G31" s="47">
        <v>0.0</v>
      </c>
      <c r="H31" s="48">
        <f t="shared" si="1"/>
        <v>7.2</v>
      </c>
      <c r="I31" s="49">
        <v>1.0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288</v>
      </c>
      <c r="D32" s="46" t="s">
        <v>225</v>
      </c>
      <c r="E32" s="47">
        <v>6.1</v>
      </c>
      <c r="F32" s="47">
        <v>2.0</v>
      </c>
      <c r="G32" s="47">
        <v>0.0</v>
      </c>
      <c r="H32" s="48">
        <f t="shared" si="1"/>
        <v>8.1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289</v>
      </c>
      <c r="C33" s="45" t="s">
        <v>90</v>
      </c>
      <c r="D33" s="46" t="s">
        <v>290</v>
      </c>
      <c r="E33" s="47">
        <v>5.6</v>
      </c>
      <c r="F33" s="47">
        <v>2.0</v>
      </c>
      <c r="G33" s="47">
        <v>0.0</v>
      </c>
      <c r="H33" s="48">
        <f t="shared" si="1"/>
        <v>7.6</v>
      </c>
      <c r="I33" s="49">
        <v>0.0</v>
      </c>
      <c r="J33" s="50">
        <f t="shared" si="2"/>
        <v>8</v>
      </c>
      <c r="K33" s="44"/>
      <c r="L33" s="52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291</v>
      </c>
      <c r="C34" s="45" t="s">
        <v>137</v>
      </c>
      <c r="D34" s="46" t="s">
        <v>292</v>
      </c>
      <c r="E34" s="47">
        <v>6.8</v>
      </c>
      <c r="F34" s="47">
        <v>2.0</v>
      </c>
      <c r="G34" s="47">
        <v>0.0</v>
      </c>
      <c r="H34" s="48">
        <f t="shared" si="1"/>
        <v>8.8</v>
      </c>
      <c r="I34" s="49">
        <v>0.0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293</v>
      </c>
      <c r="C35" s="45" t="s">
        <v>294</v>
      </c>
      <c r="D35" s="46" t="s">
        <v>286</v>
      </c>
      <c r="E35" s="47">
        <v>3.1</v>
      </c>
      <c r="F35" s="47">
        <v>0.0</v>
      </c>
      <c r="G35" s="47">
        <v>0.0</v>
      </c>
      <c r="H35" s="48">
        <f t="shared" si="1"/>
        <v>3.1</v>
      </c>
      <c r="I35" s="49">
        <v>6.0</v>
      </c>
      <c r="J35" s="50">
        <f t="shared" si="2"/>
        <v>5</v>
      </c>
      <c r="K35" s="44"/>
      <c r="L35" s="52">
        <f t="shared" si="3"/>
        <v>3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295</v>
      </c>
      <c r="D36" s="46" t="s">
        <v>296</v>
      </c>
      <c r="E36" s="47">
        <v>6.2</v>
      </c>
      <c r="F36" s="47">
        <v>2.0</v>
      </c>
      <c r="G36" s="47">
        <v>0.0</v>
      </c>
      <c r="H36" s="48">
        <f t="shared" si="1"/>
        <v>8.2</v>
      </c>
      <c r="I36" s="49">
        <v>0.0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297</v>
      </c>
      <c r="E37" s="47">
        <v>6.6</v>
      </c>
      <c r="F37" s="47">
        <v>2.0</v>
      </c>
      <c r="G37" s="47">
        <v>0.0</v>
      </c>
      <c r="H37" s="48">
        <f t="shared" si="1"/>
        <v>8.6</v>
      </c>
      <c r="I37" s="49">
        <v>0.0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298</v>
      </c>
      <c r="D38" s="46" t="s">
        <v>299</v>
      </c>
      <c r="E38" s="47">
        <v>7.7</v>
      </c>
      <c r="F38" s="47">
        <v>2.0</v>
      </c>
      <c r="G38" s="47">
        <v>0.0</v>
      </c>
      <c r="H38" s="48">
        <f t="shared" si="1"/>
        <v>9.7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300</v>
      </c>
      <c r="C39" s="45" t="s">
        <v>243</v>
      </c>
      <c r="D39" s="46" t="s">
        <v>301</v>
      </c>
      <c r="E39" s="47">
        <v>5.8</v>
      </c>
      <c r="F39" s="47">
        <v>2.0</v>
      </c>
      <c r="G39" s="47">
        <v>0.0</v>
      </c>
      <c r="H39" s="48">
        <f t="shared" si="1"/>
        <v>7.8</v>
      </c>
      <c r="I39" s="49">
        <v>0.0</v>
      </c>
      <c r="J39" s="50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216</v>
      </c>
      <c r="C40" s="45" t="s">
        <v>33</v>
      </c>
      <c r="D40" s="46" t="s">
        <v>302</v>
      </c>
      <c r="E40" s="47">
        <v>5.5</v>
      </c>
      <c r="F40" s="47">
        <v>2.0</v>
      </c>
      <c r="G40" s="47">
        <v>0.0</v>
      </c>
      <c r="H40" s="48">
        <f t="shared" si="1"/>
        <v>7.5</v>
      </c>
      <c r="I40" s="49">
        <v>2.0</v>
      </c>
      <c r="J40" s="50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219</v>
      </c>
      <c r="C41" s="45" t="s">
        <v>303</v>
      </c>
      <c r="D41" s="46" t="s">
        <v>282</v>
      </c>
      <c r="E41" s="47">
        <v>7.7</v>
      </c>
      <c r="F41" s="47">
        <v>2.0</v>
      </c>
      <c r="G41" s="47">
        <v>0.0</v>
      </c>
      <c r="H41" s="48">
        <f t="shared" si="1"/>
        <v>9.7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242</v>
      </c>
      <c r="C42" s="45" t="s">
        <v>304</v>
      </c>
      <c r="D42" s="46" t="s">
        <v>305</v>
      </c>
      <c r="E42" s="47">
        <v>4.1</v>
      </c>
      <c r="F42" s="47">
        <v>2.0</v>
      </c>
      <c r="G42" s="47">
        <v>0.0</v>
      </c>
      <c r="H42" s="48">
        <f t="shared" si="1"/>
        <v>6.1</v>
      </c>
      <c r="I42" s="49">
        <v>1.0</v>
      </c>
      <c r="J42" s="50">
        <f t="shared" si="2"/>
        <v>6</v>
      </c>
      <c r="K42" s="44"/>
      <c r="L42" s="52">
        <f t="shared" si="3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208</v>
      </c>
      <c r="C43" s="45" t="s">
        <v>184</v>
      </c>
      <c r="D43" s="46" t="s">
        <v>306</v>
      </c>
      <c r="E43" s="47">
        <v>5.3</v>
      </c>
      <c r="F43" s="47">
        <v>2.0</v>
      </c>
      <c r="G43" s="47">
        <v>0.0</v>
      </c>
      <c r="H43" s="48">
        <f t="shared" si="1"/>
        <v>7.3</v>
      </c>
      <c r="I43" s="49">
        <v>0.0</v>
      </c>
      <c r="J43" s="50">
        <f t="shared" si="2"/>
        <v>7</v>
      </c>
      <c r="K43" s="44"/>
      <c r="L43" s="52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307</v>
      </c>
      <c r="C44" s="45" t="s">
        <v>308</v>
      </c>
      <c r="D44" s="46" t="s">
        <v>309</v>
      </c>
      <c r="E44" s="47">
        <v>1.9</v>
      </c>
      <c r="F44" s="47">
        <v>2.0</v>
      </c>
      <c r="G44" s="47">
        <v>0.0</v>
      </c>
      <c r="H44" s="48">
        <f t="shared" si="1"/>
        <v>3.9</v>
      </c>
      <c r="I44" s="49">
        <v>2.0</v>
      </c>
      <c r="J44" s="50">
        <f t="shared" si="2"/>
        <v>5</v>
      </c>
      <c r="K44" s="44"/>
      <c r="L44" s="52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310</v>
      </c>
      <c r="E45" s="47">
        <v>7.2</v>
      </c>
      <c r="F45" s="47">
        <v>2.0</v>
      </c>
      <c r="G45" s="47">
        <v>0.0</v>
      </c>
      <c r="H45" s="48">
        <f t="shared" si="1"/>
        <v>9.2</v>
      </c>
      <c r="I45" s="49">
        <v>0.0</v>
      </c>
      <c r="J45" s="50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311</v>
      </c>
      <c r="C46" s="45" t="s">
        <v>293</v>
      </c>
      <c r="D46" s="46" t="s">
        <v>143</v>
      </c>
      <c r="E46" s="47">
        <v>8.5</v>
      </c>
      <c r="F46" s="47">
        <v>2.0</v>
      </c>
      <c r="G46" s="47">
        <v>1.0</v>
      </c>
      <c r="H46" s="48">
        <f t="shared" si="1"/>
        <v>11.5</v>
      </c>
      <c r="I46" s="49">
        <v>0.0</v>
      </c>
      <c r="J46" s="50">
        <f t="shared" si="2"/>
        <v>10</v>
      </c>
      <c r="K46" s="44"/>
      <c r="L46" s="52">
        <f t="shared" si="3"/>
        <v>12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312</v>
      </c>
      <c r="D47" s="46" t="s">
        <v>313</v>
      </c>
      <c r="E47" s="47">
        <v>8.5</v>
      </c>
      <c r="F47" s="47">
        <v>2.0</v>
      </c>
      <c r="G47" s="47">
        <v>1.0</v>
      </c>
      <c r="H47" s="48">
        <f t="shared" si="1"/>
        <v>11.5</v>
      </c>
      <c r="I47" s="49">
        <v>0.0</v>
      </c>
      <c r="J47" s="50">
        <f t="shared" si="2"/>
        <v>10</v>
      </c>
      <c r="K47" s="44"/>
      <c r="L47" s="52">
        <f t="shared" si="3"/>
        <v>12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213</v>
      </c>
      <c r="C48" s="45" t="s">
        <v>137</v>
      </c>
      <c r="D48" s="46" t="s">
        <v>314</v>
      </c>
      <c r="E48" s="47">
        <v>8.5</v>
      </c>
      <c r="F48" s="47">
        <v>2.0</v>
      </c>
      <c r="G48" s="47">
        <v>1.0</v>
      </c>
      <c r="H48" s="48">
        <f t="shared" si="1"/>
        <v>11.5</v>
      </c>
      <c r="I48" s="49">
        <v>0.0</v>
      </c>
      <c r="J48" s="50">
        <f t="shared" si="2"/>
        <v>10</v>
      </c>
      <c r="K48" s="44"/>
      <c r="L48" s="52">
        <f t="shared" si="3"/>
        <v>12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315</v>
      </c>
      <c r="C49" s="45" t="s">
        <v>316</v>
      </c>
      <c r="D49" s="46" t="s">
        <v>317</v>
      </c>
      <c r="E49" s="47">
        <v>8.5</v>
      </c>
      <c r="F49" s="47">
        <v>2.0</v>
      </c>
      <c r="G49" s="47">
        <v>1.0</v>
      </c>
      <c r="H49" s="48">
        <f t="shared" si="1"/>
        <v>11.5</v>
      </c>
      <c r="I49" s="49">
        <v>0.0</v>
      </c>
      <c r="J49" s="50">
        <f t="shared" si="2"/>
        <v>10</v>
      </c>
      <c r="K49" s="44"/>
      <c r="L49" s="52">
        <f t="shared" si="3"/>
        <v>12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248</v>
      </c>
      <c r="C50" s="45" t="s">
        <v>229</v>
      </c>
      <c r="D50" s="46" t="s">
        <v>318</v>
      </c>
      <c r="E50" s="47">
        <v>7.7</v>
      </c>
      <c r="F50" s="47">
        <v>2.0</v>
      </c>
      <c r="G50" s="47">
        <v>1.0</v>
      </c>
      <c r="H50" s="48">
        <f t="shared" si="1"/>
        <v>10.7</v>
      </c>
      <c r="I50" s="49">
        <v>0.0</v>
      </c>
      <c r="J50" s="50">
        <f t="shared" si="2"/>
        <v>10</v>
      </c>
      <c r="K50" s="44"/>
      <c r="L50" s="52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319</v>
      </c>
      <c r="D51" s="46" t="s">
        <v>320</v>
      </c>
      <c r="E51" s="47">
        <v>6.2</v>
      </c>
      <c r="F51" s="47">
        <v>2.0</v>
      </c>
      <c r="G51" s="47">
        <v>1.0</v>
      </c>
      <c r="H51" s="48">
        <f t="shared" si="1"/>
        <v>9.2</v>
      </c>
      <c r="I51" s="49">
        <v>2.0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265</v>
      </c>
      <c r="D52" s="46" t="s">
        <v>321</v>
      </c>
      <c r="E52" s="47">
        <v>6.9</v>
      </c>
      <c r="F52" s="47">
        <v>2.0</v>
      </c>
      <c r="G52" s="47">
        <v>0.0</v>
      </c>
      <c r="H52" s="48">
        <f t="shared" si="1"/>
        <v>8.9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322</v>
      </c>
      <c r="C53" s="45" t="s">
        <v>234</v>
      </c>
      <c r="D53" s="46" t="s">
        <v>323</v>
      </c>
      <c r="E53" s="47">
        <v>3.6</v>
      </c>
      <c r="F53" s="47">
        <v>0.0</v>
      </c>
      <c r="G53" s="47">
        <v>0.0</v>
      </c>
      <c r="H53" s="48">
        <f t="shared" si="1"/>
        <v>3.6</v>
      </c>
      <c r="I53" s="49">
        <v>2.0</v>
      </c>
      <c r="J53" s="50">
        <f t="shared" si="2"/>
        <v>5</v>
      </c>
      <c r="K53" s="44"/>
      <c r="L53" s="51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242</v>
      </c>
      <c r="D54" s="46" t="s">
        <v>324</v>
      </c>
      <c r="E54" s="47">
        <v>7.5</v>
      </c>
      <c r="F54" s="47">
        <v>2.0</v>
      </c>
      <c r="G54" s="47">
        <v>0.0</v>
      </c>
      <c r="H54" s="48">
        <f t="shared" si="1"/>
        <v>9.5</v>
      </c>
      <c r="I54" s="49">
        <v>0.0</v>
      </c>
      <c r="J54" s="50">
        <f t="shared" si="2"/>
        <v>10</v>
      </c>
      <c r="K54" s="44"/>
      <c r="L54" s="51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325</v>
      </c>
      <c r="C55" s="45" t="s">
        <v>267</v>
      </c>
      <c r="D55" s="46" t="s">
        <v>71</v>
      </c>
      <c r="E55" s="47">
        <v>7.0</v>
      </c>
      <c r="F55" s="47">
        <v>2.0</v>
      </c>
      <c r="G55" s="47">
        <v>0.0</v>
      </c>
      <c r="H55" s="48">
        <f t="shared" si="1"/>
        <v>9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326</v>
      </c>
      <c r="C56" s="45" t="s">
        <v>327</v>
      </c>
      <c r="D56" s="46" t="s">
        <v>168</v>
      </c>
      <c r="E56" s="47">
        <v>8.7</v>
      </c>
      <c r="F56" s="47">
        <v>2.0</v>
      </c>
      <c r="G56" s="47">
        <v>1.0</v>
      </c>
      <c r="H56" s="48">
        <f t="shared" si="1"/>
        <v>11.7</v>
      </c>
      <c r="I56" s="49">
        <v>0.0</v>
      </c>
      <c r="J56" s="50">
        <f t="shared" si="2"/>
        <v>10</v>
      </c>
      <c r="K56" s="44"/>
      <c r="L56" s="51">
        <f t="shared" si="3"/>
        <v>12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34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6</v>
      </c>
      <c r="E62" s="59"/>
      <c r="F62" s="71"/>
      <c r="G62" s="59"/>
      <c r="H62" s="71"/>
      <c r="I62" s="108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85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8.3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22"/>
      <c r="B67" s="92"/>
      <c r="C67" s="92"/>
      <c r="D67" s="92"/>
      <c r="E67" s="91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22"/>
      <c r="B68" s="92"/>
      <c r="C68" s="92"/>
      <c r="D68" s="96"/>
      <c r="E68" s="91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23"/>
      <c r="B69" s="100"/>
      <c r="C69" s="100"/>
      <c r="D69" s="124"/>
      <c r="E69" s="125"/>
      <c r="F69" s="126"/>
      <c r="G69" s="126"/>
      <c r="H69" s="126"/>
      <c r="I69" s="126"/>
      <c r="J69" s="127"/>
      <c r="K69" s="102"/>
      <c r="L69" s="83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4"/>
      <c r="G70" s="84"/>
      <c r="H70" s="84"/>
      <c r="I70" s="85"/>
      <c r="J70" s="128"/>
      <c r="K70" s="104"/>
      <c r="L70" s="128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6"/>
      <c r="E71" s="91"/>
      <c r="F71" s="84"/>
      <c r="G71" s="84"/>
      <c r="H71" s="84"/>
      <c r="I71" s="84"/>
      <c r="J71" s="128"/>
      <c r="K71" s="104"/>
      <c r="L71" s="128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0" priority="1" stopIfTrue="1" operator="greaterThan">
      <formula>5</formula>
    </cfRule>
  </conditionalFormatting>
  <conditionalFormatting sqref="J17:J56">
    <cfRule type="cellIs" dxfId="1" priority="2" stopIfTrue="1" operator="equal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5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255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167</v>
      </c>
      <c r="C17" s="45" t="s">
        <v>134</v>
      </c>
      <c r="D17" s="46" t="s">
        <v>256</v>
      </c>
      <c r="E17" s="47">
        <v>7.8</v>
      </c>
      <c r="F17" s="47">
        <v>2.0</v>
      </c>
      <c r="G17" s="47">
        <v>0.0</v>
      </c>
      <c r="H17" s="48">
        <f t="shared" ref="H17:H56" si="1">SUM(E17:G17)</f>
        <v>9.8</v>
      </c>
      <c r="I17" s="49">
        <v>0.0</v>
      </c>
      <c r="J17" s="50">
        <f t="shared" ref="J17:J56" si="2">IF(H17&lt;6, 5, MIN(ROUND(H17, 0), 10))</f>
        <v>10</v>
      </c>
      <c r="K17" s="51"/>
      <c r="L17" s="52">
        <f t="shared" ref="L17:L56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257</v>
      </c>
      <c r="C18" s="45" t="s">
        <v>219</v>
      </c>
      <c r="D18" s="46" t="s">
        <v>258</v>
      </c>
      <c r="E18" s="47">
        <v>2.0</v>
      </c>
      <c r="F18" s="47">
        <v>0.0</v>
      </c>
      <c r="G18" s="47">
        <v>0.0</v>
      </c>
      <c r="H18" s="48">
        <f t="shared" si="1"/>
        <v>2</v>
      </c>
      <c r="I18" s="49">
        <v>1.0</v>
      </c>
      <c r="J18" s="50">
        <f t="shared" si="2"/>
        <v>5</v>
      </c>
      <c r="K18" s="44"/>
      <c r="L18" s="52">
        <f t="shared" si="3"/>
        <v>2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45" t="s">
        <v>259</v>
      </c>
      <c r="C19" s="45" t="s">
        <v>260</v>
      </c>
      <c r="D19" s="46" t="s">
        <v>261</v>
      </c>
      <c r="E19" s="47">
        <v>7.8</v>
      </c>
      <c r="F19" s="47">
        <v>2.0</v>
      </c>
      <c r="G19" s="47">
        <v>0.0</v>
      </c>
      <c r="H19" s="48">
        <f t="shared" si="1"/>
        <v>9.8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45" t="s">
        <v>262</v>
      </c>
      <c r="C20" s="45" t="s">
        <v>69</v>
      </c>
      <c r="D20" s="46" t="s">
        <v>263</v>
      </c>
      <c r="E20" s="47">
        <v>7.7</v>
      </c>
      <c r="F20" s="47">
        <v>2.0</v>
      </c>
      <c r="G20" s="47">
        <v>0.0</v>
      </c>
      <c r="H20" s="48">
        <f t="shared" si="1"/>
        <v>9.7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264</v>
      </c>
      <c r="C21" s="45" t="s">
        <v>265</v>
      </c>
      <c r="D21" s="46" t="s">
        <v>266</v>
      </c>
      <c r="E21" s="47">
        <v>8.0</v>
      </c>
      <c r="F21" s="47">
        <v>2.0</v>
      </c>
      <c r="G21" s="47">
        <v>0.0</v>
      </c>
      <c r="H21" s="48">
        <f t="shared" si="1"/>
        <v>10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45" t="s">
        <v>267</v>
      </c>
      <c r="C22" s="45" t="s">
        <v>79</v>
      </c>
      <c r="D22" s="46" t="s">
        <v>268</v>
      </c>
      <c r="E22" s="47">
        <v>3.5</v>
      </c>
      <c r="F22" s="47">
        <v>0.0</v>
      </c>
      <c r="G22" s="47">
        <v>0.0</v>
      </c>
      <c r="H22" s="48">
        <f t="shared" si="1"/>
        <v>3.5</v>
      </c>
      <c r="I22" s="49">
        <v>0.0</v>
      </c>
      <c r="J22" s="50">
        <f t="shared" si="2"/>
        <v>5</v>
      </c>
      <c r="K22" s="44"/>
      <c r="L22" s="52">
        <f t="shared" si="3"/>
        <v>3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45" t="s">
        <v>269</v>
      </c>
      <c r="C23" s="45" t="s">
        <v>270</v>
      </c>
      <c r="D23" s="46" t="s">
        <v>271</v>
      </c>
      <c r="E23" s="47">
        <v>8.0</v>
      </c>
      <c r="F23" s="47">
        <v>2.0</v>
      </c>
      <c r="G23" s="47">
        <v>0.0</v>
      </c>
      <c r="H23" s="48">
        <f t="shared" si="1"/>
        <v>10</v>
      </c>
      <c r="I23" s="49">
        <v>0.0</v>
      </c>
      <c r="J23" s="50">
        <f t="shared" si="2"/>
        <v>10</v>
      </c>
      <c r="K23" s="44"/>
      <c r="L23" s="52">
        <f t="shared" si="3"/>
        <v>10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45" t="s">
        <v>272</v>
      </c>
      <c r="C24" s="45" t="s">
        <v>110</v>
      </c>
      <c r="D24" s="46" t="s">
        <v>273</v>
      </c>
      <c r="E24" s="47">
        <v>7.8</v>
      </c>
      <c r="F24" s="47">
        <v>2.0</v>
      </c>
      <c r="G24" s="47">
        <v>0.0</v>
      </c>
      <c r="H24" s="48">
        <f t="shared" si="1"/>
        <v>9.8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274</v>
      </c>
      <c r="C25" s="45" t="s">
        <v>102</v>
      </c>
      <c r="D25" s="46" t="s">
        <v>275</v>
      </c>
      <c r="E25" s="47">
        <v>8.0</v>
      </c>
      <c r="F25" s="47">
        <v>2.0</v>
      </c>
      <c r="G25" s="47">
        <v>0.0</v>
      </c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276</v>
      </c>
      <c r="C26" s="45" t="s">
        <v>208</v>
      </c>
      <c r="D26" s="46" t="s">
        <v>277</v>
      </c>
      <c r="E26" s="47">
        <v>8.0</v>
      </c>
      <c r="F26" s="47">
        <v>2.0</v>
      </c>
      <c r="G26" s="47">
        <v>0.0</v>
      </c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278</v>
      </c>
      <c r="C27" s="45" t="s">
        <v>279</v>
      </c>
      <c r="D27" s="45" t="s">
        <v>280</v>
      </c>
      <c r="E27" s="47">
        <v>7.7</v>
      </c>
      <c r="F27" s="47">
        <v>2.0</v>
      </c>
      <c r="G27" s="47">
        <v>0.0</v>
      </c>
      <c r="H27" s="48">
        <f t="shared" si="1"/>
        <v>9.7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281</v>
      </c>
      <c r="C28" s="45" t="s">
        <v>90</v>
      </c>
      <c r="D28" s="46" t="s">
        <v>282</v>
      </c>
      <c r="E28" s="47">
        <v>8.0</v>
      </c>
      <c r="F28" s="47">
        <v>2.0</v>
      </c>
      <c r="G28" s="47">
        <v>0.0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283</v>
      </c>
      <c r="D29" s="46" t="s">
        <v>284</v>
      </c>
      <c r="E29" s="47">
        <v>8.0</v>
      </c>
      <c r="F29" s="47">
        <v>2.0</v>
      </c>
      <c r="G29" s="47">
        <v>0.0</v>
      </c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285</v>
      </c>
      <c r="D30" s="46" t="s">
        <v>286</v>
      </c>
      <c r="E30" s="47">
        <v>6.0</v>
      </c>
      <c r="F30" s="47">
        <v>2.0</v>
      </c>
      <c r="G30" s="47">
        <v>0.0</v>
      </c>
      <c r="H30" s="48">
        <f t="shared" si="1"/>
        <v>8</v>
      </c>
      <c r="I30" s="49">
        <v>0.0</v>
      </c>
      <c r="J30" s="50">
        <f t="shared" si="2"/>
        <v>8</v>
      </c>
      <c r="K30" s="44"/>
      <c r="L30" s="52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216</v>
      </c>
      <c r="D31" s="46" t="s">
        <v>287</v>
      </c>
      <c r="E31" s="47">
        <v>4.9</v>
      </c>
      <c r="F31" s="47">
        <v>2.0</v>
      </c>
      <c r="G31" s="47">
        <v>0.0</v>
      </c>
      <c r="H31" s="48">
        <f t="shared" si="1"/>
        <v>6.9</v>
      </c>
      <c r="I31" s="49">
        <v>0.0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288</v>
      </c>
      <c r="D32" s="46" t="s">
        <v>225</v>
      </c>
      <c r="E32" s="47">
        <v>5.5</v>
      </c>
      <c r="F32" s="47">
        <v>2.0</v>
      </c>
      <c r="G32" s="47">
        <v>0.0</v>
      </c>
      <c r="H32" s="48">
        <f t="shared" si="1"/>
        <v>7.5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289</v>
      </c>
      <c r="C33" s="45" t="s">
        <v>90</v>
      </c>
      <c r="D33" s="46" t="s">
        <v>290</v>
      </c>
      <c r="E33" s="47">
        <v>7.7</v>
      </c>
      <c r="F33" s="47">
        <v>2.0</v>
      </c>
      <c r="G33" s="47">
        <v>0.0</v>
      </c>
      <c r="H33" s="48">
        <f t="shared" si="1"/>
        <v>9.7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291</v>
      </c>
      <c r="C34" s="45" t="s">
        <v>137</v>
      </c>
      <c r="D34" s="46" t="s">
        <v>292</v>
      </c>
      <c r="E34" s="47">
        <v>2.0</v>
      </c>
      <c r="F34" s="47">
        <v>0.0</v>
      </c>
      <c r="G34" s="47">
        <v>0.0</v>
      </c>
      <c r="H34" s="48">
        <f t="shared" si="1"/>
        <v>2</v>
      </c>
      <c r="I34" s="49">
        <v>0.0</v>
      </c>
      <c r="J34" s="50">
        <f t="shared" si="2"/>
        <v>5</v>
      </c>
      <c r="K34" s="44"/>
      <c r="L34" s="52">
        <f t="shared" si="3"/>
        <v>2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293</v>
      </c>
      <c r="C35" s="45" t="s">
        <v>294</v>
      </c>
      <c r="D35" s="46" t="s">
        <v>286</v>
      </c>
      <c r="E35" s="47">
        <v>5.5</v>
      </c>
      <c r="F35" s="47">
        <v>0.0</v>
      </c>
      <c r="G35" s="47">
        <v>0.0</v>
      </c>
      <c r="H35" s="48">
        <f t="shared" si="1"/>
        <v>5.5</v>
      </c>
      <c r="I35" s="49">
        <v>0.0</v>
      </c>
      <c r="J35" s="50">
        <f t="shared" si="2"/>
        <v>5</v>
      </c>
      <c r="K35" s="44"/>
      <c r="L35" s="52">
        <f t="shared" si="3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295</v>
      </c>
      <c r="D36" s="46" t="s">
        <v>296</v>
      </c>
      <c r="E36" s="47">
        <v>5.5</v>
      </c>
      <c r="F36" s="47">
        <v>2.0</v>
      </c>
      <c r="G36" s="47">
        <v>0.0</v>
      </c>
      <c r="H36" s="48">
        <f t="shared" si="1"/>
        <v>7.5</v>
      </c>
      <c r="I36" s="49">
        <v>0.0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297</v>
      </c>
      <c r="E37" s="47">
        <v>8.0</v>
      </c>
      <c r="F37" s="47">
        <v>2.0</v>
      </c>
      <c r="G37" s="47">
        <v>0.0</v>
      </c>
      <c r="H37" s="48">
        <f t="shared" si="1"/>
        <v>10</v>
      </c>
      <c r="I37" s="49">
        <v>0.0</v>
      </c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298</v>
      </c>
      <c r="D38" s="46" t="s">
        <v>299</v>
      </c>
      <c r="E38" s="47">
        <v>8.0</v>
      </c>
      <c r="F38" s="47">
        <v>2.0</v>
      </c>
      <c r="G38" s="47">
        <v>0.0</v>
      </c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300</v>
      </c>
      <c r="C39" s="45" t="s">
        <v>243</v>
      </c>
      <c r="D39" s="46" t="s">
        <v>301</v>
      </c>
      <c r="E39" s="47">
        <v>7.7</v>
      </c>
      <c r="F39" s="47">
        <v>2.0</v>
      </c>
      <c r="G39" s="47">
        <v>0.0</v>
      </c>
      <c r="H39" s="48">
        <f t="shared" si="1"/>
        <v>9.7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216</v>
      </c>
      <c r="C40" s="45" t="s">
        <v>33</v>
      </c>
      <c r="D40" s="46" t="s">
        <v>302</v>
      </c>
      <c r="E40" s="47">
        <v>7.5</v>
      </c>
      <c r="F40" s="47">
        <v>2.0</v>
      </c>
      <c r="G40" s="47">
        <v>0.0</v>
      </c>
      <c r="H40" s="48">
        <f t="shared" si="1"/>
        <v>9.5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219</v>
      </c>
      <c r="C41" s="45" t="s">
        <v>303</v>
      </c>
      <c r="D41" s="46" t="s">
        <v>282</v>
      </c>
      <c r="E41" s="47">
        <v>8.0</v>
      </c>
      <c r="F41" s="47">
        <v>2.0</v>
      </c>
      <c r="G41" s="47">
        <v>0.0</v>
      </c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242</v>
      </c>
      <c r="C42" s="45" t="s">
        <v>304</v>
      </c>
      <c r="D42" s="46" t="s">
        <v>305</v>
      </c>
      <c r="E42" s="47">
        <v>8.0</v>
      </c>
      <c r="F42" s="47">
        <v>2.0</v>
      </c>
      <c r="G42" s="47">
        <v>0.0</v>
      </c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208</v>
      </c>
      <c r="C43" s="45" t="s">
        <v>184</v>
      </c>
      <c r="D43" s="46" t="s">
        <v>306</v>
      </c>
      <c r="E43" s="47">
        <v>8.0</v>
      </c>
      <c r="F43" s="47">
        <v>2.0</v>
      </c>
      <c r="G43" s="47">
        <v>0.0</v>
      </c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307</v>
      </c>
      <c r="C44" s="45" t="s">
        <v>308</v>
      </c>
      <c r="D44" s="46" t="s">
        <v>309</v>
      </c>
      <c r="E44" s="47">
        <v>7.3</v>
      </c>
      <c r="F44" s="47">
        <v>2.0</v>
      </c>
      <c r="G44" s="47">
        <v>0.0</v>
      </c>
      <c r="H44" s="48">
        <f t="shared" si="1"/>
        <v>9.3</v>
      </c>
      <c r="I44" s="49">
        <v>0.0</v>
      </c>
      <c r="J44" s="50">
        <f t="shared" si="2"/>
        <v>9</v>
      </c>
      <c r="K44" s="44"/>
      <c r="L44" s="52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310</v>
      </c>
      <c r="E45" s="47">
        <v>8.0</v>
      </c>
      <c r="F45" s="47">
        <v>2.0</v>
      </c>
      <c r="G45" s="47">
        <v>0.0</v>
      </c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311</v>
      </c>
      <c r="C46" s="45" t="s">
        <v>293</v>
      </c>
      <c r="D46" s="46" t="s">
        <v>143</v>
      </c>
      <c r="E46" s="47">
        <v>7.7</v>
      </c>
      <c r="F46" s="47">
        <v>2.0</v>
      </c>
      <c r="G46" s="47">
        <v>0.0</v>
      </c>
      <c r="H46" s="48">
        <f t="shared" si="1"/>
        <v>9.7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312</v>
      </c>
      <c r="D47" s="46" t="s">
        <v>313</v>
      </c>
      <c r="E47" s="47">
        <v>8.0</v>
      </c>
      <c r="F47" s="47">
        <v>2.0</v>
      </c>
      <c r="G47" s="47">
        <v>0.0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213</v>
      </c>
      <c r="C48" s="45" t="s">
        <v>137</v>
      </c>
      <c r="D48" s="46" t="s">
        <v>314</v>
      </c>
      <c r="E48" s="47">
        <v>7.8</v>
      </c>
      <c r="F48" s="47">
        <v>2.0</v>
      </c>
      <c r="G48" s="47">
        <v>0.0</v>
      </c>
      <c r="H48" s="48">
        <f t="shared" si="1"/>
        <v>9.8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315</v>
      </c>
      <c r="C49" s="45" t="s">
        <v>316</v>
      </c>
      <c r="D49" s="46" t="s">
        <v>317</v>
      </c>
      <c r="E49" s="47">
        <v>7.5</v>
      </c>
      <c r="F49" s="47">
        <v>2.0</v>
      </c>
      <c r="G49" s="47">
        <v>0.0</v>
      </c>
      <c r="H49" s="48">
        <f t="shared" si="1"/>
        <v>9.5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248</v>
      </c>
      <c r="C50" s="45" t="s">
        <v>229</v>
      </c>
      <c r="D50" s="46" t="s">
        <v>318</v>
      </c>
      <c r="E50" s="47">
        <v>7.8</v>
      </c>
      <c r="F50" s="47">
        <v>2.0</v>
      </c>
      <c r="G50" s="47">
        <v>0.0</v>
      </c>
      <c r="H50" s="48">
        <f t="shared" si="1"/>
        <v>9.8</v>
      </c>
      <c r="I50" s="49">
        <v>0.0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319</v>
      </c>
      <c r="D51" s="46" t="s">
        <v>320</v>
      </c>
      <c r="E51" s="47">
        <v>8.0</v>
      </c>
      <c r="F51" s="47">
        <v>2.0</v>
      </c>
      <c r="G51" s="47">
        <v>0.0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265</v>
      </c>
      <c r="D52" s="46" t="s">
        <v>321</v>
      </c>
      <c r="E52" s="47">
        <v>8.0</v>
      </c>
      <c r="F52" s="47">
        <v>2.0</v>
      </c>
      <c r="G52" s="47">
        <v>0.0</v>
      </c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322</v>
      </c>
      <c r="C53" s="45" t="s">
        <v>234</v>
      </c>
      <c r="D53" s="46" t="s">
        <v>323</v>
      </c>
      <c r="E53" s="47">
        <v>7.7</v>
      </c>
      <c r="F53" s="47">
        <v>0.0</v>
      </c>
      <c r="G53" s="47">
        <v>0.0</v>
      </c>
      <c r="H53" s="48">
        <f t="shared" si="1"/>
        <v>7.7</v>
      </c>
      <c r="I53" s="49">
        <v>0.0</v>
      </c>
      <c r="J53" s="50">
        <f t="shared" si="2"/>
        <v>8</v>
      </c>
      <c r="K53" s="44"/>
      <c r="L53" s="51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242</v>
      </c>
      <c r="D54" s="46" t="s">
        <v>324</v>
      </c>
      <c r="E54" s="47">
        <v>6.0</v>
      </c>
      <c r="F54" s="47">
        <v>2.0</v>
      </c>
      <c r="G54" s="47">
        <v>0.0</v>
      </c>
      <c r="H54" s="48">
        <f t="shared" si="1"/>
        <v>8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325</v>
      </c>
      <c r="C55" s="45" t="s">
        <v>267</v>
      </c>
      <c r="D55" s="46" t="s">
        <v>71</v>
      </c>
      <c r="E55" s="47">
        <v>7.5</v>
      </c>
      <c r="F55" s="47">
        <v>2.0</v>
      </c>
      <c r="G55" s="47">
        <v>0.0</v>
      </c>
      <c r="H55" s="48">
        <f t="shared" si="1"/>
        <v>9.5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326</v>
      </c>
      <c r="C56" s="45" t="s">
        <v>327</v>
      </c>
      <c r="D56" s="46" t="s">
        <v>168</v>
      </c>
      <c r="E56" s="47">
        <v>7.5</v>
      </c>
      <c r="F56" s="47">
        <v>2.0</v>
      </c>
      <c r="G56" s="47">
        <v>0.0</v>
      </c>
      <c r="H56" s="48">
        <f t="shared" si="1"/>
        <v>9.5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36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4</v>
      </c>
      <c r="E62" s="59"/>
      <c r="F62" s="71"/>
      <c r="G62" s="59"/>
      <c r="H62" s="71"/>
      <c r="I62" s="108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90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9.15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22"/>
      <c r="B67" s="92"/>
      <c r="C67" s="92"/>
      <c r="D67" s="92"/>
      <c r="E67" s="91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22"/>
      <c r="B68" s="92"/>
      <c r="C68" s="92"/>
      <c r="D68" s="96"/>
      <c r="E68" s="91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23"/>
      <c r="B69" s="100"/>
      <c r="C69" s="100"/>
      <c r="D69" s="124"/>
      <c r="E69" s="125"/>
      <c r="F69" s="126"/>
      <c r="G69" s="126"/>
      <c r="H69" s="126"/>
      <c r="I69" s="126"/>
      <c r="J69" s="127"/>
      <c r="K69" s="102"/>
      <c r="L69" s="83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4"/>
      <c r="G70" s="84"/>
      <c r="H70" s="84"/>
      <c r="I70" s="85"/>
      <c r="J70" s="128"/>
      <c r="K70" s="104"/>
      <c r="L70" s="128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6"/>
      <c r="E71" s="91"/>
      <c r="F71" s="84"/>
      <c r="G71" s="84"/>
      <c r="H71" s="84"/>
      <c r="I71" s="84"/>
      <c r="J71" s="128"/>
      <c r="K71" s="104"/>
      <c r="L71" s="128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0" priority="1" stopIfTrue="1" operator="greaterThan">
      <formula>5</formula>
    </cfRule>
  </conditionalFormatting>
  <conditionalFormatting sqref="J17:J56">
    <cfRule type="cellIs" dxfId="1" priority="2" stopIfTrue="1" operator="equal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328</v>
      </c>
      <c r="D17" s="46" t="s">
        <v>329</v>
      </c>
      <c r="E17" s="47">
        <v>6.5</v>
      </c>
      <c r="F17" s="47">
        <v>2.0</v>
      </c>
      <c r="G17" s="47">
        <v>0.0</v>
      </c>
      <c r="H17" s="48">
        <f t="shared" ref="H17:H61" si="1">SUM(E17:G17)</f>
        <v>8.5</v>
      </c>
      <c r="I17" s="49">
        <v>0.0</v>
      </c>
      <c r="J17" s="50">
        <f t="shared" ref="J17:J61" si="2">IF(H17&lt;6, 5, MIN(ROUND(H17, 0), 10))</f>
        <v>9</v>
      </c>
      <c r="K17" s="51"/>
      <c r="L17" s="52">
        <f t="shared" ref="L17:L61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330</v>
      </c>
      <c r="E18" s="47">
        <v>8.8</v>
      </c>
      <c r="F18" s="47">
        <v>2.0</v>
      </c>
      <c r="G18" s="47">
        <v>1.0</v>
      </c>
      <c r="H18" s="48">
        <f t="shared" si="1"/>
        <v>11.8</v>
      </c>
      <c r="I18" s="49">
        <v>0.0</v>
      </c>
      <c r="J18" s="50">
        <f t="shared" si="2"/>
        <v>10</v>
      </c>
      <c r="K18" s="44"/>
      <c r="L18" s="52">
        <f t="shared" si="3"/>
        <v>12</v>
      </c>
      <c r="M18" s="54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331</v>
      </c>
      <c r="C19" s="45" t="s">
        <v>332</v>
      </c>
      <c r="D19" s="46" t="s">
        <v>333</v>
      </c>
      <c r="E19" s="47">
        <v>7.7</v>
      </c>
      <c r="F19" s="47">
        <v>2.0</v>
      </c>
      <c r="G19" s="47">
        <v>0.0</v>
      </c>
      <c r="H19" s="48">
        <f t="shared" si="1"/>
        <v>9.7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334</v>
      </c>
      <c r="C20" s="45" t="s">
        <v>335</v>
      </c>
      <c r="D20" s="46" t="s">
        <v>336</v>
      </c>
      <c r="E20" s="47">
        <v>7.7</v>
      </c>
      <c r="F20" s="47">
        <v>2.0</v>
      </c>
      <c r="G20" s="47">
        <v>0.0</v>
      </c>
      <c r="H20" s="48">
        <f t="shared" si="1"/>
        <v>9.7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337</v>
      </c>
      <c r="C21" s="45" t="s">
        <v>338</v>
      </c>
      <c r="D21" s="46" t="s">
        <v>339</v>
      </c>
      <c r="E21" s="47">
        <v>7.9</v>
      </c>
      <c r="F21" s="47">
        <v>2.0</v>
      </c>
      <c r="G21" s="47">
        <v>0.0</v>
      </c>
      <c r="H21" s="48">
        <f t="shared" si="1"/>
        <v>9.9</v>
      </c>
      <c r="I21" s="49">
        <v>1.0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340</v>
      </c>
      <c r="C22" s="45" t="s">
        <v>64</v>
      </c>
      <c r="D22" s="46" t="s">
        <v>341</v>
      </c>
      <c r="E22" s="47">
        <v>5.3</v>
      </c>
      <c r="F22" s="47">
        <v>0.0</v>
      </c>
      <c r="G22" s="47">
        <v>0.0</v>
      </c>
      <c r="H22" s="48">
        <f t="shared" si="1"/>
        <v>5.3</v>
      </c>
      <c r="I22" s="49">
        <v>0.0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342</v>
      </c>
      <c r="C23" s="45" t="s">
        <v>118</v>
      </c>
      <c r="D23" s="46" t="s">
        <v>343</v>
      </c>
      <c r="E23" s="47">
        <v>5.5</v>
      </c>
      <c r="F23" s="47">
        <v>0.0</v>
      </c>
      <c r="G23" s="47">
        <v>0.0</v>
      </c>
      <c r="H23" s="48">
        <f t="shared" si="1"/>
        <v>5.5</v>
      </c>
      <c r="I23" s="49">
        <v>1.0</v>
      </c>
      <c r="J23" s="50">
        <f t="shared" si="2"/>
        <v>5</v>
      </c>
      <c r="K23" s="44"/>
      <c r="L23" s="52">
        <f t="shared" si="3"/>
        <v>5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344</v>
      </c>
      <c r="C24" s="45" t="s">
        <v>33</v>
      </c>
      <c r="D24" s="46" t="s">
        <v>233</v>
      </c>
      <c r="E24" s="47">
        <v>8.4</v>
      </c>
      <c r="F24" s="47">
        <v>0.0</v>
      </c>
      <c r="G24" s="47">
        <v>1.0</v>
      </c>
      <c r="H24" s="48">
        <f t="shared" si="1"/>
        <v>9.4</v>
      </c>
      <c r="I24" s="49">
        <v>0.0</v>
      </c>
      <c r="J24" s="50">
        <f t="shared" si="2"/>
        <v>9</v>
      </c>
      <c r="K24" s="44"/>
      <c r="L24" s="52">
        <f t="shared" si="3"/>
        <v>9</v>
      </c>
      <c r="M24" s="54" t="s">
        <v>51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345</v>
      </c>
      <c r="C25" s="45" t="s">
        <v>137</v>
      </c>
      <c r="D25" s="46" t="s">
        <v>346</v>
      </c>
      <c r="E25" s="47">
        <v>7.9</v>
      </c>
      <c r="F25" s="47">
        <v>0.0</v>
      </c>
      <c r="G25" s="47">
        <v>1.0</v>
      </c>
      <c r="H25" s="48">
        <f t="shared" si="1"/>
        <v>8.9</v>
      </c>
      <c r="I25" s="49">
        <v>1.0</v>
      </c>
      <c r="J25" s="50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347</v>
      </c>
      <c r="E26" s="47">
        <v>7.6</v>
      </c>
      <c r="F26" s="47">
        <v>0.0</v>
      </c>
      <c r="G26" s="47">
        <v>0.0</v>
      </c>
      <c r="H26" s="48">
        <f t="shared" si="1"/>
        <v>7.6</v>
      </c>
      <c r="I26" s="49">
        <v>0.0</v>
      </c>
      <c r="J26" s="50">
        <f t="shared" si="2"/>
        <v>8</v>
      </c>
      <c r="K26" s="44"/>
      <c r="L26" s="52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348</v>
      </c>
      <c r="C27" s="45" t="s">
        <v>349</v>
      </c>
      <c r="D27" s="45" t="s">
        <v>350</v>
      </c>
      <c r="E27" s="47">
        <v>7.2</v>
      </c>
      <c r="F27" s="47">
        <v>2.0</v>
      </c>
      <c r="G27" s="47">
        <v>0.0</v>
      </c>
      <c r="H27" s="48">
        <f t="shared" si="1"/>
        <v>9.2</v>
      </c>
      <c r="I27" s="49">
        <v>0.0</v>
      </c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351</v>
      </c>
      <c r="C28" s="45" t="s">
        <v>352</v>
      </c>
      <c r="D28" s="46" t="s">
        <v>353</v>
      </c>
      <c r="E28" s="47">
        <v>7.1</v>
      </c>
      <c r="F28" s="47">
        <v>2.0</v>
      </c>
      <c r="G28" s="47">
        <v>1.0</v>
      </c>
      <c r="H28" s="48">
        <f t="shared" si="1"/>
        <v>10.1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354</v>
      </c>
      <c r="E29" s="47">
        <v>7.2</v>
      </c>
      <c r="F29" s="47">
        <v>2.0</v>
      </c>
      <c r="G29" s="47">
        <v>0.0</v>
      </c>
      <c r="H29" s="48">
        <f t="shared" si="1"/>
        <v>9.2</v>
      </c>
      <c r="I29" s="49">
        <v>0.0</v>
      </c>
      <c r="J29" s="50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355</v>
      </c>
      <c r="E30" s="47">
        <v>6.8</v>
      </c>
      <c r="F30" s="47">
        <v>0.0</v>
      </c>
      <c r="G30" s="47">
        <v>0.0</v>
      </c>
      <c r="H30" s="48">
        <f t="shared" si="1"/>
        <v>6.8</v>
      </c>
      <c r="I30" s="49">
        <v>3.0</v>
      </c>
      <c r="J30" s="50">
        <f t="shared" si="2"/>
        <v>7</v>
      </c>
      <c r="K30" s="44"/>
      <c r="L30" s="52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356</v>
      </c>
      <c r="C31" s="45" t="s">
        <v>357</v>
      </c>
      <c r="D31" s="46" t="s">
        <v>358</v>
      </c>
      <c r="E31" s="47">
        <v>7.2</v>
      </c>
      <c r="F31" s="47">
        <v>0.0</v>
      </c>
      <c r="G31" s="47">
        <v>0.0</v>
      </c>
      <c r="H31" s="48">
        <f t="shared" si="1"/>
        <v>7.2</v>
      </c>
      <c r="I31" s="49">
        <v>0.0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359</v>
      </c>
      <c r="E32" s="47">
        <v>7.3</v>
      </c>
      <c r="F32" s="47">
        <v>2.0</v>
      </c>
      <c r="G32" s="47">
        <v>0.0</v>
      </c>
      <c r="H32" s="48">
        <f t="shared" si="1"/>
        <v>9.3</v>
      </c>
      <c r="I32" s="49">
        <v>0.0</v>
      </c>
      <c r="J32" s="50">
        <f t="shared" si="2"/>
        <v>9</v>
      </c>
      <c r="K32" s="4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200</v>
      </c>
      <c r="D33" s="46" t="s">
        <v>360</v>
      </c>
      <c r="E33" s="47">
        <v>6.3</v>
      </c>
      <c r="F33" s="47">
        <v>0.0</v>
      </c>
      <c r="G33" s="47">
        <v>0.0</v>
      </c>
      <c r="H33" s="48">
        <f t="shared" si="1"/>
        <v>6.3</v>
      </c>
      <c r="I33" s="49">
        <v>0.0</v>
      </c>
      <c r="J33" s="50">
        <f t="shared" si="2"/>
        <v>6</v>
      </c>
      <c r="K33" s="44"/>
      <c r="L33" s="52">
        <f t="shared" si="3"/>
        <v>6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361</v>
      </c>
      <c r="D34" s="46" t="s">
        <v>362</v>
      </c>
      <c r="E34" s="47">
        <v>7.7</v>
      </c>
      <c r="F34" s="47">
        <v>0.0</v>
      </c>
      <c r="G34" s="47">
        <v>0.0</v>
      </c>
      <c r="H34" s="48">
        <f t="shared" si="1"/>
        <v>7.7</v>
      </c>
      <c r="I34" s="49">
        <v>0.0</v>
      </c>
      <c r="J34" s="50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363</v>
      </c>
      <c r="C35" s="45" t="s">
        <v>364</v>
      </c>
      <c r="D35" s="46" t="s">
        <v>365</v>
      </c>
      <c r="E35" s="47">
        <v>6.2</v>
      </c>
      <c r="F35" s="47">
        <v>2.0</v>
      </c>
      <c r="G35" s="47">
        <v>0.0</v>
      </c>
      <c r="H35" s="48">
        <f t="shared" si="1"/>
        <v>8.2</v>
      </c>
      <c r="I35" s="49">
        <v>0.0</v>
      </c>
      <c r="J35" s="50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366</v>
      </c>
      <c r="D36" s="46" t="s">
        <v>367</v>
      </c>
      <c r="E36" s="47">
        <v>4.0</v>
      </c>
      <c r="F36" s="47">
        <v>0.0</v>
      </c>
      <c r="G36" s="47">
        <v>0.0</v>
      </c>
      <c r="H36" s="48">
        <f t="shared" si="1"/>
        <v>4</v>
      </c>
      <c r="I36" s="49">
        <v>2.0</v>
      </c>
      <c r="J36" s="50">
        <f t="shared" si="2"/>
        <v>5</v>
      </c>
      <c r="K36" s="44"/>
      <c r="L36" s="52">
        <f t="shared" si="3"/>
        <v>4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368</v>
      </c>
      <c r="E37" s="47">
        <v>5.8</v>
      </c>
      <c r="F37" s="47">
        <v>2.0</v>
      </c>
      <c r="G37" s="47">
        <v>0.0</v>
      </c>
      <c r="H37" s="48">
        <f t="shared" si="1"/>
        <v>7.8</v>
      </c>
      <c r="I37" s="49">
        <v>0.0</v>
      </c>
      <c r="J37" s="50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6.3</v>
      </c>
      <c r="F38" s="47">
        <v>0.0</v>
      </c>
      <c r="G38" s="47">
        <v>0.0</v>
      </c>
      <c r="H38" s="48">
        <f t="shared" si="1"/>
        <v>6.3</v>
      </c>
      <c r="I38" s="49">
        <v>0.0</v>
      </c>
      <c r="J38" s="50">
        <f t="shared" si="2"/>
        <v>6</v>
      </c>
      <c r="K38" s="44"/>
      <c r="L38" s="52">
        <f t="shared" si="3"/>
        <v>6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369</v>
      </c>
      <c r="C39" s="45" t="s">
        <v>370</v>
      </c>
      <c r="D39" s="46" t="s">
        <v>371</v>
      </c>
      <c r="E39" s="47">
        <v>8.4</v>
      </c>
      <c r="F39" s="47">
        <v>0.0</v>
      </c>
      <c r="G39" s="47">
        <v>1.0</v>
      </c>
      <c r="H39" s="48">
        <f t="shared" si="1"/>
        <v>9.4</v>
      </c>
      <c r="I39" s="49">
        <v>0.0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372</v>
      </c>
      <c r="C40" s="45" t="s">
        <v>136</v>
      </c>
      <c r="D40" s="46" t="s">
        <v>373</v>
      </c>
      <c r="E40" s="47">
        <v>7.1</v>
      </c>
      <c r="F40" s="47">
        <v>2.0</v>
      </c>
      <c r="G40" s="47">
        <v>0.0</v>
      </c>
      <c r="H40" s="48">
        <f t="shared" si="1"/>
        <v>9.1</v>
      </c>
      <c r="I40" s="49">
        <v>0.0</v>
      </c>
      <c r="J40" s="50">
        <f t="shared" si="2"/>
        <v>9</v>
      </c>
      <c r="K40" s="44"/>
      <c r="L40" s="52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216</v>
      </c>
      <c r="C41" s="45" t="s">
        <v>69</v>
      </c>
      <c r="D41" s="46" t="s">
        <v>282</v>
      </c>
      <c r="E41" s="47">
        <v>7.3</v>
      </c>
      <c r="F41" s="47">
        <v>2.0</v>
      </c>
      <c r="G41" s="47">
        <v>0.0</v>
      </c>
      <c r="H41" s="48">
        <f t="shared" si="1"/>
        <v>9.3</v>
      </c>
      <c r="I41" s="49">
        <v>0.0</v>
      </c>
      <c r="J41" s="50">
        <f t="shared" si="2"/>
        <v>9</v>
      </c>
      <c r="K41" s="44"/>
      <c r="L41" s="52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137</v>
      </c>
      <c r="D42" s="46" t="s">
        <v>374</v>
      </c>
      <c r="E42" s="47">
        <v>7.5</v>
      </c>
      <c r="F42" s="47">
        <v>2.0</v>
      </c>
      <c r="G42" s="47">
        <v>0.0</v>
      </c>
      <c r="H42" s="48">
        <f t="shared" si="1"/>
        <v>9.5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375</v>
      </c>
      <c r="C43" s="45" t="s">
        <v>376</v>
      </c>
      <c r="D43" s="46" t="s">
        <v>377</v>
      </c>
      <c r="E43" s="47">
        <v>8.8</v>
      </c>
      <c r="F43" s="47">
        <v>0.0</v>
      </c>
      <c r="G43" s="47">
        <v>1.0</v>
      </c>
      <c r="H43" s="48">
        <f t="shared" si="1"/>
        <v>9.8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378</v>
      </c>
      <c r="C44" s="45" t="s">
        <v>379</v>
      </c>
      <c r="D44" s="46" t="s">
        <v>380</v>
      </c>
      <c r="E44" s="47">
        <v>5.6</v>
      </c>
      <c r="F44" s="47">
        <v>0.0</v>
      </c>
      <c r="G44" s="47">
        <v>0.0</v>
      </c>
      <c r="H44" s="48">
        <f t="shared" si="1"/>
        <v>5.6</v>
      </c>
      <c r="I44" s="49">
        <v>1.0</v>
      </c>
      <c r="J44" s="50">
        <f t="shared" si="2"/>
        <v>5</v>
      </c>
      <c r="K44" s="44"/>
      <c r="L44" s="52">
        <f t="shared" si="3"/>
        <v>5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381</v>
      </c>
      <c r="C45" s="45" t="s">
        <v>382</v>
      </c>
      <c r="D45" s="46" t="s">
        <v>383</v>
      </c>
      <c r="E45" s="47">
        <v>7.5</v>
      </c>
      <c r="F45" s="47">
        <v>0.0</v>
      </c>
      <c r="G45" s="47">
        <v>0.0</v>
      </c>
      <c r="H45" s="48">
        <f t="shared" si="1"/>
        <v>7.5</v>
      </c>
      <c r="I45" s="49">
        <v>0.0</v>
      </c>
      <c r="J45" s="50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384</v>
      </c>
      <c r="C46" s="45" t="s">
        <v>75</v>
      </c>
      <c r="D46" s="46" t="s">
        <v>385</v>
      </c>
      <c r="E46" s="47">
        <v>7.8</v>
      </c>
      <c r="F46" s="47">
        <v>2.0</v>
      </c>
      <c r="G46" s="47">
        <v>0.0</v>
      </c>
      <c r="H46" s="48">
        <f t="shared" si="1"/>
        <v>9.8</v>
      </c>
      <c r="I46" s="49">
        <v>1.0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386</v>
      </c>
      <c r="E47" s="47">
        <v>5.3</v>
      </c>
      <c r="F47" s="47">
        <v>2.0</v>
      </c>
      <c r="G47" s="47">
        <v>0.0</v>
      </c>
      <c r="H47" s="48">
        <f t="shared" si="1"/>
        <v>7.3</v>
      </c>
      <c r="I47" s="49">
        <v>1.0</v>
      </c>
      <c r="J47" s="50">
        <f t="shared" si="2"/>
        <v>7</v>
      </c>
      <c r="K47" s="44"/>
      <c r="L47" s="52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387</v>
      </c>
      <c r="D48" s="46" t="s">
        <v>388</v>
      </c>
      <c r="E48" s="47">
        <v>7.5</v>
      </c>
      <c r="F48" s="47">
        <v>2.0</v>
      </c>
      <c r="G48" s="47">
        <v>0.0</v>
      </c>
      <c r="H48" s="48">
        <f t="shared" si="1"/>
        <v>9.5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389</v>
      </c>
      <c r="D49" s="46" t="s">
        <v>390</v>
      </c>
      <c r="E49" s="47">
        <v>5.7</v>
      </c>
      <c r="F49" s="47">
        <v>0.0</v>
      </c>
      <c r="G49" s="47">
        <v>0.0</v>
      </c>
      <c r="H49" s="48">
        <f t="shared" si="1"/>
        <v>5.7</v>
      </c>
      <c r="I49" s="49">
        <v>0.0</v>
      </c>
      <c r="J49" s="50">
        <f t="shared" si="2"/>
        <v>5</v>
      </c>
      <c r="K49" s="44"/>
      <c r="L49" s="52">
        <f t="shared" si="3"/>
        <v>5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210</v>
      </c>
      <c r="C50" s="45" t="s">
        <v>102</v>
      </c>
      <c r="D50" s="46" t="s">
        <v>391</v>
      </c>
      <c r="E50" s="47">
        <v>4.2</v>
      </c>
      <c r="F50" s="47">
        <v>0.0</v>
      </c>
      <c r="G50" s="47">
        <v>0.0</v>
      </c>
      <c r="H50" s="48">
        <f t="shared" si="1"/>
        <v>4.2</v>
      </c>
      <c r="I50" s="49">
        <v>1.0</v>
      </c>
      <c r="J50" s="50">
        <f t="shared" si="2"/>
        <v>5</v>
      </c>
      <c r="K50" s="44"/>
      <c r="L50" s="52">
        <f t="shared" si="3"/>
        <v>4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229</v>
      </c>
      <c r="D51" s="46" t="s">
        <v>392</v>
      </c>
      <c r="E51" s="47">
        <v>8.2</v>
      </c>
      <c r="F51" s="47">
        <v>0.0</v>
      </c>
      <c r="G51" s="47">
        <v>1.0</v>
      </c>
      <c r="H51" s="48">
        <f t="shared" si="1"/>
        <v>9.2</v>
      </c>
      <c r="I51" s="49">
        <v>0.0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393</v>
      </c>
      <c r="C52" s="45" t="s">
        <v>37</v>
      </c>
      <c r="D52" s="46" t="s">
        <v>394</v>
      </c>
      <c r="E52" s="47">
        <v>5.9</v>
      </c>
      <c r="F52" s="47">
        <v>0.0</v>
      </c>
      <c r="G52" s="47">
        <v>0.0</v>
      </c>
      <c r="H52" s="48">
        <f t="shared" si="1"/>
        <v>5.9</v>
      </c>
      <c r="I52" s="49">
        <v>0.0</v>
      </c>
      <c r="J52" s="50">
        <f t="shared" si="2"/>
        <v>5</v>
      </c>
      <c r="K52" s="44"/>
      <c r="L52" s="51">
        <f t="shared" si="3"/>
        <v>5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202</v>
      </c>
      <c r="C53" s="45" t="s">
        <v>21</v>
      </c>
      <c r="D53" s="46" t="s">
        <v>395</v>
      </c>
      <c r="E53" s="47">
        <v>7.7</v>
      </c>
      <c r="F53" s="47">
        <v>2.0</v>
      </c>
      <c r="G53" s="47">
        <v>0.0</v>
      </c>
      <c r="H53" s="48">
        <f t="shared" si="1"/>
        <v>9.7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396</v>
      </c>
      <c r="C54" s="45" t="s">
        <v>79</v>
      </c>
      <c r="D54" s="46" t="s">
        <v>397</v>
      </c>
      <c r="E54" s="47">
        <v>7.6</v>
      </c>
      <c r="F54" s="47">
        <v>0.0</v>
      </c>
      <c r="G54" s="47">
        <v>0.0</v>
      </c>
      <c r="H54" s="48">
        <f t="shared" si="1"/>
        <v>7.6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248</v>
      </c>
      <c r="C55" s="45" t="s">
        <v>398</v>
      </c>
      <c r="D55" s="46" t="s">
        <v>399</v>
      </c>
      <c r="E55" s="47">
        <v>7.2</v>
      </c>
      <c r="F55" s="47">
        <v>2.0</v>
      </c>
      <c r="G55" s="47">
        <v>0.0</v>
      </c>
      <c r="H55" s="48">
        <f t="shared" si="1"/>
        <v>9.2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400</v>
      </c>
      <c r="C56" s="45" t="s">
        <v>401</v>
      </c>
      <c r="D56" s="46" t="s">
        <v>402</v>
      </c>
      <c r="E56" s="47">
        <v>6.6</v>
      </c>
      <c r="F56" s="47">
        <v>0.0</v>
      </c>
      <c r="G56" s="47">
        <v>1.0</v>
      </c>
      <c r="H56" s="48">
        <f t="shared" si="1"/>
        <v>7.6</v>
      </c>
      <c r="I56" s="49">
        <v>0.0</v>
      </c>
      <c r="J56" s="50">
        <f t="shared" si="2"/>
        <v>8</v>
      </c>
      <c r="K56" s="44"/>
      <c r="L56" s="51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403</v>
      </c>
      <c r="D57" s="46" t="s">
        <v>404</v>
      </c>
      <c r="E57" s="47">
        <v>4.7</v>
      </c>
      <c r="F57" s="47">
        <v>0.0</v>
      </c>
      <c r="G57" s="47">
        <v>0.0</v>
      </c>
      <c r="H57" s="48">
        <f t="shared" si="1"/>
        <v>4.7</v>
      </c>
      <c r="I57" s="49">
        <v>0.0</v>
      </c>
      <c r="J57" s="50">
        <f t="shared" si="2"/>
        <v>5</v>
      </c>
      <c r="K57" s="44"/>
      <c r="L57" s="51">
        <f t="shared" si="3"/>
        <v>4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405</v>
      </c>
      <c r="C58" s="45" t="s">
        <v>122</v>
      </c>
      <c r="D58" s="46" t="s">
        <v>406</v>
      </c>
      <c r="E58" s="47">
        <v>7.2</v>
      </c>
      <c r="F58" s="47">
        <v>0.0</v>
      </c>
      <c r="G58" s="47">
        <v>0.0</v>
      </c>
      <c r="H58" s="48">
        <f t="shared" si="1"/>
        <v>7.2</v>
      </c>
      <c r="I58" s="49">
        <v>0.0</v>
      </c>
      <c r="J58" s="50">
        <f t="shared" si="2"/>
        <v>7</v>
      </c>
      <c r="K58" s="44"/>
      <c r="L58" s="51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298</v>
      </c>
      <c r="C59" s="45" t="s">
        <v>118</v>
      </c>
      <c r="D59" s="46" t="s">
        <v>225</v>
      </c>
      <c r="E59" s="47">
        <v>4.6</v>
      </c>
      <c r="F59" s="47">
        <v>0.0</v>
      </c>
      <c r="G59" s="47">
        <v>0.0</v>
      </c>
      <c r="H59" s="48">
        <f t="shared" si="1"/>
        <v>4.6</v>
      </c>
      <c r="I59" s="49">
        <v>1.0</v>
      </c>
      <c r="J59" s="50">
        <f t="shared" si="2"/>
        <v>5</v>
      </c>
      <c r="K59" s="44"/>
      <c r="L59" s="51">
        <f t="shared" si="3"/>
        <v>4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407</v>
      </c>
      <c r="C60" s="45" t="s">
        <v>139</v>
      </c>
      <c r="D60" s="46" t="s">
        <v>408</v>
      </c>
      <c r="E60" s="47">
        <v>6.9</v>
      </c>
      <c r="F60" s="47">
        <v>2.0</v>
      </c>
      <c r="G60" s="47">
        <v>0.0</v>
      </c>
      <c r="H60" s="48">
        <f t="shared" si="1"/>
        <v>8.9</v>
      </c>
      <c r="I60" s="49">
        <v>0.0</v>
      </c>
      <c r="J60" s="50">
        <f t="shared" si="2"/>
        <v>9</v>
      </c>
      <c r="K60" s="44"/>
      <c r="L60" s="51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409</v>
      </c>
      <c r="C61" s="45" t="s">
        <v>410</v>
      </c>
      <c r="D61" s="45" t="s">
        <v>411</v>
      </c>
      <c r="E61" s="47">
        <v>8.7</v>
      </c>
      <c r="F61" s="47">
        <v>0.0</v>
      </c>
      <c r="G61" s="47">
        <v>1.0</v>
      </c>
      <c r="H61" s="48">
        <f t="shared" si="1"/>
        <v>9.7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29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30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36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9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80</v>
      </c>
      <c r="E68" s="59"/>
      <c r="F68" s="75" t="s">
        <v>157</v>
      </c>
      <c r="G68" s="59"/>
      <c r="H68" s="76" t="s">
        <v>412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7.977777778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28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14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255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328</v>
      </c>
      <c r="D17" s="46" t="s">
        <v>329</v>
      </c>
      <c r="E17" s="47">
        <v>6.5</v>
      </c>
      <c r="F17" s="47">
        <v>0.0</v>
      </c>
      <c r="G17" s="47">
        <v>0.0</v>
      </c>
      <c r="H17" s="48">
        <f t="shared" ref="H17:H61" si="1">SUM(E17:G17)</f>
        <v>6.5</v>
      </c>
      <c r="I17" s="49">
        <v>0.0</v>
      </c>
      <c r="J17" s="50">
        <f t="shared" ref="J17:J61" si="2">IF(H17&lt;6, 5, MIN(ROUND(H17, 0), 10))</f>
        <v>7</v>
      </c>
      <c r="K17" s="51"/>
      <c r="L17" s="52">
        <f t="shared" ref="L17:L61" si="3">IF(H17&gt;=6,ROUND(H17,0),TRUNC(H17,0))</f>
        <v>7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330</v>
      </c>
      <c r="E18" s="47">
        <v>8.0</v>
      </c>
      <c r="F18" s="47">
        <v>2.0</v>
      </c>
      <c r="G18" s="47">
        <v>0.0</v>
      </c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45" t="s">
        <v>331</v>
      </c>
      <c r="C19" s="45" t="s">
        <v>332</v>
      </c>
      <c r="D19" s="46" t="s">
        <v>333</v>
      </c>
      <c r="E19" s="47">
        <v>8.0</v>
      </c>
      <c r="F19" s="47">
        <v>2.0</v>
      </c>
      <c r="G19" s="47">
        <v>0.0</v>
      </c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45" t="s">
        <v>334</v>
      </c>
      <c r="C20" s="45" t="s">
        <v>335</v>
      </c>
      <c r="D20" s="46" t="s">
        <v>336</v>
      </c>
      <c r="E20" s="47">
        <v>8.0</v>
      </c>
      <c r="F20" s="47">
        <v>2.0</v>
      </c>
      <c r="G20" s="47">
        <v>0.0</v>
      </c>
      <c r="H20" s="48">
        <f t="shared" si="1"/>
        <v>10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337</v>
      </c>
      <c r="C21" s="45" t="s">
        <v>338</v>
      </c>
      <c r="D21" s="46" t="s">
        <v>339</v>
      </c>
      <c r="E21" s="47">
        <v>6.0</v>
      </c>
      <c r="F21" s="47">
        <v>2.0</v>
      </c>
      <c r="G21" s="47">
        <v>0.0</v>
      </c>
      <c r="H21" s="48">
        <f t="shared" si="1"/>
        <v>8</v>
      </c>
      <c r="I21" s="49">
        <v>0.0</v>
      </c>
      <c r="J21" s="50">
        <f t="shared" si="2"/>
        <v>8</v>
      </c>
      <c r="K21" s="44"/>
      <c r="L21" s="52">
        <f t="shared" si="3"/>
        <v>8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45" t="s">
        <v>340</v>
      </c>
      <c r="C22" s="45" t="s">
        <v>64</v>
      </c>
      <c r="D22" s="46" t="s">
        <v>341</v>
      </c>
      <c r="E22" s="47">
        <v>3.5</v>
      </c>
      <c r="F22" s="47">
        <v>0.0</v>
      </c>
      <c r="G22" s="47">
        <v>0.0</v>
      </c>
      <c r="H22" s="48">
        <f t="shared" si="1"/>
        <v>3.5</v>
      </c>
      <c r="I22" s="49">
        <v>0.0</v>
      </c>
      <c r="J22" s="50">
        <f t="shared" si="2"/>
        <v>5</v>
      </c>
      <c r="K22" s="44"/>
      <c r="L22" s="52">
        <f t="shared" si="3"/>
        <v>3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45" t="s">
        <v>342</v>
      </c>
      <c r="C23" s="45" t="s">
        <v>118</v>
      </c>
      <c r="D23" s="46" t="s">
        <v>343</v>
      </c>
      <c r="E23" s="47">
        <v>5.5</v>
      </c>
      <c r="F23" s="47">
        <v>2.0</v>
      </c>
      <c r="G23" s="47">
        <v>0.0</v>
      </c>
      <c r="H23" s="48">
        <f t="shared" si="1"/>
        <v>7.5</v>
      </c>
      <c r="I23" s="49">
        <v>0.0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45" t="s">
        <v>344</v>
      </c>
      <c r="C24" s="45" t="s">
        <v>33</v>
      </c>
      <c r="D24" s="46" t="s">
        <v>233</v>
      </c>
      <c r="E24" s="47">
        <v>8.0</v>
      </c>
      <c r="F24" s="47">
        <v>0.0</v>
      </c>
      <c r="G24" s="47">
        <v>0.0</v>
      </c>
      <c r="H24" s="48">
        <f t="shared" si="1"/>
        <v>8</v>
      </c>
      <c r="I24" s="49">
        <v>0.0</v>
      </c>
      <c r="J24" s="50">
        <f t="shared" si="2"/>
        <v>8</v>
      </c>
      <c r="K24" s="44"/>
      <c r="L24" s="52">
        <f t="shared" si="3"/>
        <v>8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345</v>
      </c>
      <c r="C25" s="45" t="s">
        <v>137</v>
      </c>
      <c r="D25" s="46" t="s">
        <v>346</v>
      </c>
      <c r="E25" s="47">
        <v>5.8</v>
      </c>
      <c r="F25" s="47">
        <v>2.0</v>
      </c>
      <c r="G25" s="47">
        <v>0.0</v>
      </c>
      <c r="H25" s="48">
        <f t="shared" si="1"/>
        <v>7.8</v>
      </c>
      <c r="I25" s="49">
        <v>0.0</v>
      </c>
      <c r="J25" s="50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347</v>
      </c>
      <c r="E26" s="47">
        <v>8.0</v>
      </c>
      <c r="F26" s="47">
        <v>2.0</v>
      </c>
      <c r="G26" s="47">
        <v>0.0</v>
      </c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348</v>
      </c>
      <c r="C27" s="45" t="s">
        <v>349</v>
      </c>
      <c r="D27" s="45" t="s">
        <v>350</v>
      </c>
      <c r="E27" s="47">
        <v>8.0</v>
      </c>
      <c r="F27" s="47">
        <v>2.0</v>
      </c>
      <c r="G27" s="47">
        <v>0.0</v>
      </c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351</v>
      </c>
      <c r="C28" s="45" t="s">
        <v>352</v>
      </c>
      <c r="D28" s="46" t="s">
        <v>353</v>
      </c>
      <c r="E28" s="47">
        <v>5.6</v>
      </c>
      <c r="F28" s="47">
        <v>2.0</v>
      </c>
      <c r="G28" s="47">
        <v>0.0</v>
      </c>
      <c r="H28" s="48">
        <f t="shared" si="1"/>
        <v>7.6</v>
      </c>
      <c r="I28" s="49">
        <v>0.0</v>
      </c>
      <c r="J28" s="50">
        <f t="shared" si="2"/>
        <v>8</v>
      </c>
      <c r="K28" s="44"/>
      <c r="L28" s="52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354</v>
      </c>
      <c r="E29" s="47">
        <v>8.0</v>
      </c>
      <c r="F29" s="47">
        <v>0.0</v>
      </c>
      <c r="G29" s="47">
        <v>0.0</v>
      </c>
      <c r="H29" s="48">
        <f t="shared" si="1"/>
        <v>8</v>
      </c>
      <c r="I29" s="49">
        <v>0.0</v>
      </c>
      <c r="J29" s="50">
        <f t="shared" si="2"/>
        <v>8</v>
      </c>
      <c r="K29" s="44"/>
      <c r="L29" s="52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355</v>
      </c>
      <c r="E30" s="47">
        <v>6.0</v>
      </c>
      <c r="F30" s="47">
        <v>0.0</v>
      </c>
      <c r="G30" s="47">
        <v>0.0</v>
      </c>
      <c r="H30" s="48">
        <f t="shared" si="1"/>
        <v>6</v>
      </c>
      <c r="I30" s="49">
        <v>0.0</v>
      </c>
      <c r="J30" s="50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356</v>
      </c>
      <c r="C31" s="45" t="s">
        <v>357</v>
      </c>
      <c r="D31" s="46" t="s">
        <v>358</v>
      </c>
      <c r="E31" s="47">
        <v>8.0</v>
      </c>
      <c r="F31" s="47">
        <v>0.0</v>
      </c>
      <c r="G31" s="47">
        <v>0.0</v>
      </c>
      <c r="H31" s="48">
        <f t="shared" si="1"/>
        <v>8</v>
      </c>
      <c r="I31" s="49">
        <v>0.0</v>
      </c>
      <c r="J31" s="50">
        <f t="shared" si="2"/>
        <v>8</v>
      </c>
      <c r="K31" s="44"/>
      <c r="L31" s="52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359</v>
      </c>
      <c r="E32" s="47">
        <v>8.0</v>
      </c>
      <c r="F32" s="47">
        <v>2.0</v>
      </c>
      <c r="G32" s="47">
        <v>0.0</v>
      </c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200</v>
      </c>
      <c r="D33" s="46" t="s">
        <v>360</v>
      </c>
      <c r="E33" s="47">
        <v>8.0</v>
      </c>
      <c r="F33" s="47">
        <v>2.0</v>
      </c>
      <c r="G33" s="47">
        <v>0.0</v>
      </c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361</v>
      </c>
      <c r="D34" s="46" t="s">
        <v>362</v>
      </c>
      <c r="E34" s="47">
        <v>5.8</v>
      </c>
      <c r="F34" s="47">
        <v>0.0</v>
      </c>
      <c r="G34" s="47">
        <v>0.0</v>
      </c>
      <c r="H34" s="48">
        <f t="shared" si="1"/>
        <v>5.8</v>
      </c>
      <c r="I34" s="49">
        <v>0.0</v>
      </c>
      <c r="J34" s="50">
        <f t="shared" si="2"/>
        <v>5</v>
      </c>
      <c r="K34" s="44"/>
      <c r="L34" s="52">
        <f t="shared" si="3"/>
        <v>5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363</v>
      </c>
      <c r="C35" s="45" t="s">
        <v>364</v>
      </c>
      <c r="D35" s="46" t="s">
        <v>365</v>
      </c>
      <c r="E35" s="47">
        <v>4.5</v>
      </c>
      <c r="F35" s="47">
        <v>2.0</v>
      </c>
      <c r="G35" s="47">
        <v>0.0</v>
      </c>
      <c r="H35" s="48">
        <f t="shared" si="1"/>
        <v>6.5</v>
      </c>
      <c r="I35" s="49">
        <v>0.0</v>
      </c>
      <c r="J35" s="50">
        <f t="shared" si="2"/>
        <v>7</v>
      </c>
      <c r="K35" s="44"/>
      <c r="L35" s="52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366</v>
      </c>
      <c r="D36" s="46" t="s">
        <v>367</v>
      </c>
      <c r="E36" s="47">
        <v>6.0</v>
      </c>
      <c r="F36" s="47">
        <v>0.0</v>
      </c>
      <c r="G36" s="47">
        <v>0.0</v>
      </c>
      <c r="H36" s="48">
        <f t="shared" si="1"/>
        <v>6</v>
      </c>
      <c r="I36" s="49">
        <v>0.0</v>
      </c>
      <c r="J36" s="50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368</v>
      </c>
      <c r="E37" s="47">
        <v>6.0</v>
      </c>
      <c r="F37" s="47">
        <v>0.0</v>
      </c>
      <c r="G37" s="47">
        <v>0.0</v>
      </c>
      <c r="H37" s="48">
        <f t="shared" si="1"/>
        <v>6</v>
      </c>
      <c r="I37" s="49">
        <v>0.0</v>
      </c>
      <c r="J37" s="50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4.5</v>
      </c>
      <c r="F38" s="47">
        <v>2.0</v>
      </c>
      <c r="G38" s="47">
        <v>0.0</v>
      </c>
      <c r="H38" s="48">
        <f t="shared" si="1"/>
        <v>6.5</v>
      </c>
      <c r="I38" s="49">
        <v>0.0</v>
      </c>
      <c r="J38" s="50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369</v>
      </c>
      <c r="C39" s="45" t="s">
        <v>370</v>
      </c>
      <c r="D39" s="46" t="s">
        <v>371</v>
      </c>
      <c r="E39" s="47">
        <v>8.0</v>
      </c>
      <c r="F39" s="47">
        <v>2.0</v>
      </c>
      <c r="G39" s="47">
        <v>0.0</v>
      </c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372</v>
      </c>
      <c r="C40" s="45" t="s">
        <v>136</v>
      </c>
      <c r="D40" s="46" t="s">
        <v>373</v>
      </c>
      <c r="E40" s="47">
        <v>8.0</v>
      </c>
      <c r="F40" s="47">
        <v>2.0</v>
      </c>
      <c r="G40" s="47">
        <v>0.0</v>
      </c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216</v>
      </c>
      <c r="C41" s="45" t="s">
        <v>69</v>
      </c>
      <c r="D41" s="46" t="s">
        <v>282</v>
      </c>
      <c r="E41" s="47">
        <v>6.0</v>
      </c>
      <c r="F41" s="47">
        <v>2.0</v>
      </c>
      <c r="G41" s="47">
        <v>0.0</v>
      </c>
      <c r="H41" s="48">
        <f t="shared" si="1"/>
        <v>8</v>
      </c>
      <c r="I41" s="49">
        <v>0.0</v>
      </c>
      <c r="J41" s="50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137</v>
      </c>
      <c r="D42" s="46" t="s">
        <v>374</v>
      </c>
      <c r="E42" s="47">
        <v>8.0</v>
      </c>
      <c r="F42" s="47">
        <v>2.0</v>
      </c>
      <c r="G42" s="47">
        <v>0.0</v>
      </c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375</v>
      </c>
      <c r="C43" s="45" t="s">
        <v>376</v>
      </c>
      <c r="D43" s="46" t="s">
        <v>377</v>
      </c>
      <c r="E43" s="47">
        <v>8.0</v>
      </c>
      <c r="F43" s="47">
        <v>2.0</v>
      </c>
      <c r="G43" s="47">
        <v>0.0</v>
      </c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378</v>
      </c>
      <c r="C44" s="45" t="s">
        <v>379</v>
      </c>
      <c r="D44" s="46" t="s">
        <v>380</v>
      </c>
      <c r="E44" s="47">
        <v>3.5</v>
      </c>
      <c r="F44" s="47">
        <v>0.0</v>
      </c>
      <c r="G44" s="47">
        <v>0.0</v>
      </c>
      <c r="H44" s="48">
        <f t="shared" si="1"/>
        <v>3.5</v>
      </c>
      <c r="I44" s="49">
        <v>0.0</v>
      </c>
      <c r="J44" s="50">
        <f t="shared" si="2"/>
        <v>5</v>
      </c>
      <c r="K44" s="44"/>
      <c r="L44" s="52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381</v>
      </c>
      <c r="C45" s="45" t="s">
        <v>382</v>
      </c>
      <c r="D45" s="46" t="s">
        <v>383</v>
      </c>
      <c r="E45" s="47">
        <v>6.0</v>
      </c>
      <c r="F45" s="47">
        <v>0.0</v>
      </c>
      <c r="G45" s="47">
        <v>0.0</v>
      </c>
      <c r="H45" s="48">
        <f t="shared" si="1"/>
        <v>6</v>
      </c>
      <c r="I45" s="49">
        <v>0.0</v>
      </c>
      <c r="J45" s="50">
        <f t="shared" si="2"/>
        <v>6</v>
      </c>
      <c r="K45" s="44"/>
      <c r="L45" s="52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384</v>
      </c>
      <c r="C46" s="45" t="s">
        <v>75</v>
      </c>
      <c r="D46" s="46" t="s">
        <v>385</v>
      </c>
      <c r="E46" s="47">
        <v>6.0</v>
      </c>
      <c r="F46" s="47">
        <v>0.0</v>
      </c>
      <c r="G46" s="47">
        <v>0.0</v>
      </c>
      <c r="H46" s="48">
        <f t="shared" si="1"/>
        <v>6</v>
      </c>
      <c r="I46" s="49">
        <v>0.0</v>
      </c>
      <c r="J46" s="50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386</v>
      </c>
      <c r="E47" s="47">
        <v>5.8</v>
      </c>
      <c r="F47" s="47">
        <v>0.0</v>
      </c>
      <c r="G47" s="47">
        <v>0.0</v>
      </c>
      <c r="H47" s="48">
        <f t="shared" si="1"/>
        <v>5.8</v>
      </c>
      <c r="I47" s="49">
        <v>0.0</v>
      </c>
      <c r="J47" s="50">
        <f t="shared" si="2"/>
        <v>5</v>
      </c>
      <c r="K47" s="44"/>
      <c r="L47" s="52">
        <f t="shared" si="3"/>
        <v>5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387</v>
      </c>
      <c r="D48" s="46" t="s">
        <v>388</v>
      </c>
      <c r="E48" s="47">
        <v>6.0</v>
      </c>
      <c r="F48" s="47">
        <v>2.0</v>
      </c>
      <c r="G48" s="47">
        <v>0.0</v>
      </c>
      <c r="H48" s="48">
        <f t="shared" si="1"/>
        <v>8</v>
      </c>
      <c r="I48" s="49">
        <v>0.0</v>
      </c>
      <c r="J48" s="50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389</v>
      </c>
      <c r="D49" s="46" t="s">
        <v>390</v>
      </c>
      <c r="E49" s="47">
        <v>6.0</v>
      </c>
      <c r="F49" s="47">
        <v>0.0</v>
      </c>
      <c r="G49" s="47">
        <v>0.0</v>
      </c>
      <c r="H49" s="48">
        <f t="shared" si="1"/>
        <v>6</v>
      </c>
      <c r="I49" s="49">
        <v>0.0</v>
      </c>
      <c r="J49" s="50">
        <f t="shared" si="2"/>
        <v>6</v>
      </c>
      <c r="K49" s="44"/>
      <c r="L49" s="52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210</v>
      </c>
      <c r="C50" s="45" t="s">
        <v>102</v>
      </c>
      <c r="D50" s="46" t="s">
        <v>391</v>
      </c>
      <c r="E50" s="47">
        <v>6.0</v>
      </c>
      <c r="F50" s="47">
        <v>2.0</v>
      </c>
      <c r="G50" s="47">
        <v>0.0</v>
      </c>
      <c r="H50" s="48">
        <f t="shared" si="1"/>
        <v>8</v>
      </c>
      <c r="I50" s="49">
        <v>1.0</v>
      </c>
      <c r="J50" s="50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229</v>
      </c>
      <c r="D51" s="46" t="s">
        <v>392</v>
      </c>
      <c r="E51" s="47">
        <v>8.0</v>
      </c>
      <c r="F51" s="47">
        <v>2.0</v>
      </c>
      <c r="G51" s="47">
        <v>0.0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393</v>
      </c>
      <c r="C52" s="45" t="s">
        <v>37</v>
      </c>
      <c r="D52" s="46" t="s">
        <v>394</v>
      </c>
      <c r="E52" s="47">
        <v>8.0</v>
      </c>
      <c r="F52" s="47">
        <v>0.0</v>
      </c>
      <c r="G52" s="47">
        <v>0.0</v>
      </c>
      <c r="H52" s="48">
        <f t="shared" si="1"/>
        <v>8</v>
      </c>
      <c r="I52" s="49">
        <v>0.0</v>
      </c>
      <c r="J52" s="50">
        <f t="shared" si="2"/>
        <v>8</v>
      </c>
      <c r="K52" s="44"/>
      <c r="L52" s="51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202</v>
      </c>
      <c r="C53" s="45" t="s">
        <v>21</v>
      </c>
      <c r="D53" s="46" t="s">
        <v>395</v>
      </c>
      <c r="E53" s="47">
        <v>8.0</v>
      </c>
      <c r="F53" s="47">
        <v>2.0</v>
      </c>
      <c r="G53" s="47">
        <v>0.0</v>
      </c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396</v>
      </c>
      <c r="C54" s="45" t="s">
        <v>79</v>
      </c>
      <c r="D54" s="46" t="s">
        <v>397</v>
      </c>
      <c r="E54" s="47">
        <v>6.0</v>
      </c>
      <c r="F54" s="47">
        <v>2.0</v>
      </c>
      <c r="G54" s="47">
        <v>0.0</v>
      </c>
      <c r="H54" s="48">
        <f t="shared" si="1"/>
        <v>8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248</v>
      </c>
      <c r="C55" s="45" t="s">
        <v>398</v>
      </c>
      <c r="D55" s="46" t="s">
        <v>399</v>
      </c>
      <c r="E55" s="47">
        <v>7.8</v>
      </c>
      <c r="F55" s="47">
        <v>2.0</v>
      </c>
      <c r="G55" s="47">
        <v>0.0</v>
      </c>
      <c r="H55" s="48">
        <f t="shared" si="1"/>
        <v>9.8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400</v>
      </c>
      <c r="C56" s="45" t="s">
        <v>401</v>
      </c>
      <c r="D56" s="46" t="s">
        <v>402</v>
      </c>
      <c r="E56" s="47">
        <v>5.8</v>
      </c>
      <c r="F56" s="47">
        <v>0.0</v>
      </c>
      <c r="G56" s="47">
        <v>0.0</v>
      </c>
      <c r="H56" s="48">
        <f t="shared" si="1"/>
        <v>5.8</v>
      </c>
      <c r="I56" s="49">
        <v>0.0</v>
      </c>
      <c r="J56" s="50">
        <f t="shared" si="2"/>
        <v>5</v>
      </c>
      <c r="K56" s="44"/>
      <c r="L56" s="51">
        <f t="shared" si="3"/>
        <v>5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403</v>
      </c>
      <c r="D57" s="46" t="s">
        <v>404</v>
      </c>
      <c r="E57" s="47">
        <v>3.5</v>
      </c>
      <c r="F57" s="47">
        <v>0.0</v>
      </c>
      <c r="G57" s="47">
        <v>0.0</v>
      </c>
      <c r="H57" s="48">
        <f t="shared" si="1"/>
        <v>3.5</v>
      </c>
      <c r="I57" s="49">
        <v>0.0</v>
      </c>
      <c r="J57" s="50">
        <f t="shared" si="2"/>
        <v>5</v>
      </c>
      <c r="K57" s="44"/>
      <c r="L57" s="51">
        <f t="shared" si="3"/>
        <v>3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405</v>
      </c>
      <c r="C58" s="45" t="s">
        <v>122</v>
      </c>
      <c r="D58" s="46" t="s">
        <v>406</v>
      </c>
      <c r="E58" s="47">
        <v>3.5</v>
      </c>
      <c r="F58" s="47">
        <v>0.0</v>
      </c>
      <c r="G58" s="47">
        <v>0.0</v>
      </c>
      <c r="H58" s="48">
        <f t="shared" si="1"/>
        <v>3.5</v>
      </c>
      <c r="I58" s="49">
        <v>0.0</v>
      </c>
      <c r="J58" s="50">
        <f t="shared" si="2"/>
        <v>5</v>
      </c>
      <c r="K58" s="44"/>
      <c r="L58" s="51">
        <f t="shared" si="3"/>
        <v>3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298</v>
      </c>
      <c r="C59" s="45" t="s">
        <v>118</v>
      </c>
      <c r="D59" s="46" t="s">
        <v>225</v>
      </c>
      <c r="E59" s="47">
        <v>5.1</v>
      </c>
      <c r="F59" s="47">
        <v>0.0</v>
      </c>
      <c r="G59" s="47">
        <v>0.0</v>
      </c>
      <c r="H59" s="48">
        <f t="shared" si="1"/>
        <v>5.1</v>
      </c>
      <c r="I59" s="49">
        <v>1.0</v>
      </c>
      <c r="J59" s="50">
        <f t="shared" si="2"/>
        <v>5</v>
      </c>
      <c r="K59" s="44"/>
      <c r="L59" s="51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407</v>
      </c>
      <c r="C60" s="45" t="s">
        <v>139</v>
      </c>
      <c r="D60" s="46" t="s">
        <v>408</v>
      </c>
      <c r="E60" s="47">
        <v>6.5</v>
      </c>
      <c r="F60" s="47">
        <v>2.0</v>
      </c>
      <c r="G60" s="47">
        <v>0.0</v>
      </c>
      <c r="H60" s="48">
        <f t="shared" si="1"/>
        <v>8.5</v>
      </c>
      <c r="I60" s="49">
        <v>0.0</v>
      </c>
      <c r="J60" s="50">
        <f t="shared" si="2"/>
        <v>9</v>
      </c>
      <c r="K60" s="44"/>
      <c r="L60" s="51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409</v>
      </c>
      <c r="C61" s="45" t="s">
        <v>410</v>
      </c>
      <c r="D61" s="45" t="s">
        <v>411</v>
      </c>
      <c r="E61" s="47">
        <v>8.0</v>
      </c>
      <c r="F61" s="47">
        <v>0.0</v>
      </c>
      <c r="G61" s="47">
        <v>0.0</v>
      </c>
      <c r="H61" s="48">
        <f t="shared" si="1"/>
        <v>8</v>
      </c>
      <c r="I61" s="49">
        <v>0.0</v>
      </c>
      <c r="J61" s="50">
        <f t="shared" si="2"/>
        <v>8</v>
      </c>
      <c r="K61" s="44"/>
      <c r="L61" s="51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29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30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37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8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82.22222222</v>
      </c>
      <c r="E68" s="59"/>
      <c r="F68" s="75" t="s">
        <v>157</v>
      </c>
      <c r="G68" s="59"/>
      <c r="H68" s="76" t="s">
        <v>412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7.777777778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28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