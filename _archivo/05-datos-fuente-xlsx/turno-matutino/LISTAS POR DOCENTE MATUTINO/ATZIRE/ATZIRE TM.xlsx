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lengua y comunicacion ii" sheetId="1" r:id="rId5"/>
  </sheets>
  <definedNames/>
  <calcPr/>
</workbook>
</file>

<file path=xl/sharedStrings.xml><?xml version="1.0" encoding="utf-8"?>
<sst xmlns="http://schemas.openxmlformats.org/spreadsheetml/2006/main" count="209" uniqueCount="176">
  <si>
    <t>ESCUELA PREPARATORIA OFICIAL NÚM. 67</t>
  </si>
  <si>
    <t xml:space="preserve">CONTROL PRIMER PARCIAL </t>
  </si>
  <si>
    <t xml:space="preserve">PROFESOR (A): </t>
  </si>
  <si>
    <t>II</t>
  </si>
  <si>
    <t>III</t>
  </si>
  <si>
    <t>PUNTAJE EXTRA</t>
  </si>
  <si>
    <t>SEGUNDO SEMESTRE
MATUTINO</t>
  </si>
  <si>
    <t>UAC</t>
  </si>
  <si>
    <t>LENGUA Y COMUNICACIÓN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</si>
  <si>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</si>
  <si>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</si>
  <si>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</si>
  <si>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</si>
  <si>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</si>
  <si>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</si>
  <si>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</si>
  <si>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</si>
  <si>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</si>
  <si>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</si>
  <si>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</si>
  <si>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</si>
  <si>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</si>
  <si>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</si>
  <si>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</si>
  <si>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</si>
  <si>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</si>
  <si>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</si>
  <si>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</si>
  <si>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</si>
  <si>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</si>
  <si>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</si>
  <si>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</si>
  <si>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</si>
  <si>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</si>
  <si>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</si>
  <si>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</si>
  <si>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</si>
  <si>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</si>
  <si>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</si>
  <si>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</si>
  <si>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</si>
  <si>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</si>
  <si>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</si>
  <si>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</si>
  <si>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</si>
  <si>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</si>
  <si>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</si>
  <si>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</si>
  <si>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</si>
  <si>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</si>
  <si>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</si>
  <si>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</si>
  <si>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</si>
  <si>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</si>
  <si>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</si>
  <si>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</si>
  <si>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</si>
  <si>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</si>
  <si>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</si>
  <si>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</si>
  <si>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</si>
  <si>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</si>
  <si>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</si>
  <si>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</si>
  <si>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</si>
  <si>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</si>
  <si>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</si>
  <si>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</si>
  <si>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</si>
  <si>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</si>
  <si>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</si>
  <si>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</si>
  <si>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</si>
  <si>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</si>
  <si>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</si>
  <si>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</si>
  <si>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</si>
  <si>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</si>
  <si>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</si>
  <si>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</si>
  <si>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</si>
  <si>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</si>
  <si>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</si>
  <si>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</si>
  <si>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</si>
  <si>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</si>
  <si>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</si>
  <si>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</si>
  <si>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</si>
  <si>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</si>
  <si>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</si>
  <si>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</si>
  <si>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</si>
  <si>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</si>
  <si>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</si>
  <si>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</si>
  <si>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</si>
  <si>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</si>
  <si>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</si>
  <si>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 xml:space="preserve">VALERIA ROMINA 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</si>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</sst>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3" fontId="1" numFmtId="164" xfId="0" applyAlignment="1" applyBorder="1" applyFont="1" applyNumberFormat="1">
      <alignment horizontal="center" readingOrder="0" vertical="center"/>
    </xf>
    <xf borderId="23" fillId="3" fontId="1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4" fontId="3" numFmtId="1" xfId="0" applyAlignment="1" applyBorder="1" applyFill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3" fontId="1" numFmtId="0" xfId="0" applyAlignment="1" applyBorder="1" applyFont="1">
      <alignment horizontal="center" readingOrder="0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81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79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6" t="s">
        <v>5</v>
      </c>
      <c r="H13" s="17">
        <v>1.0</v>
      </c>
      <c r="I13" s="18" t="s">
        <v>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7</v>
      </c>
      <c r="B14" s="22" t="s">
        <v>8</v>
      </c>
      <c r="C14" s="23"/>
      <c r="D14" s="24"/>
      <c r="E14" s="25" t="s">
        <v>9</v>
      </c>
      <c r="F14" s="25" t="s">
        <v>10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11</v>
      </c>
      <c r="B15" s="32" t="s">
        <v>12</v>
      </c>
      <c r="C15" s="33" t="s">
        <v>13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14</v>
      </c>
      <c r="B16" s="39" t="s">
        <v>15</v>
      </c>
      <c r="C16" s="23"/>
      <c r="D16" s="24"/>
      <c r="E16" s="40"/>
      <c r="F16" s="40"/>
      <c r="G16" s="40"/>
      <c r="H16" s="41" t="s">
        <v>16</v>
      </c>
      <c r="I16" s="42" t="s">
        <v>17</v>
      </c>
      <c r="J16" s="42" t="s">
        <v>18</v>
      </c>
      <c r="K16" s="43" t="s">
        <v>19</v>
      </c>
      <c r="L16" s="42" t="s">
        <v>18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20</v>
      </c>
      <c r="C17" s="46" t="s">
        <v>21</v>
      </c>
      <c r="D17" s="47" t="s">
        <v>22</v>
      </c>
      <c r="E17" s="48">
        <v>5.8</v>
      </c>
      <c r="F17" s="48">
        <v>2.0</v>
      </c>
      <c r="G17" s="49"/>
      <c r="H17" s="50">
        <f t="shared" ref="H17:H71" si="1">SUM(E17:G17)</f>
        <v>7.8</v>
      </c>
      <c r="I17" s="51"/>
      <c r="J17" s="52">
        <f t="shared" ref="J17:J71" si="2">IF(H17&lt;6, 5, MIN(ROUND(H17, 0), 10))</f>
        <v>8</v>
      </c>
      <c r="K17" s="46"/>
      <c r="L17" s="53">
        <f t="shared" ref="L17:L69" si="3">IF(H17&gt;=6,ROUND(H17,0),TRUNC(H17,0))</f>
        <v>8</v>
      </c>
      <c r="M17" s="54" t="s">
        <v>23</v>
      </c>
      <c r="N17" s="24"/>
      <c r="O17" s="2"/>
      <c r="P17" s="2"/>
      <c r="Q17" s="2"/>
    </row>
    <row r="18" ht="24.75" customHeight="1">
      <c r="A18" s="44">
        <v>2.0</v>
      </c>
      <c r="B18" s="46" t="s">
        <v>24</v>
      </c>
      <c r="C18" s="45" t="s">
        <v>25</v>
      </c>
      <c r="D18" s="47" t="s">
        <v>26</v>
      </c>
      <c r="E18" s="48">
        <v>7.9</v>
      </c>
      <c r="F18" s="48">
        <v>2.0</v>
      </c>
      <c r="G18" s="48">
        <v>1.0</v>
      </c>
      <c r="H18" s="50">
        <f t="shared" si="1"/>
        <v>10.9</v>
      </c>
      <c r="I18" s="51"/>
      <c r="J18" s="52">
        <f t="shared" si="2"/>
        <v>10</v>
      </c>
      <c r="K18" s="44"/>
      <c r="L18" s="53">
        <f t="shared" si="3"/>
        <v>11</v>
      </c>
      <c r="M18" s="55" t="s">
        <v>27</v>
      </c>
      <c r="N18" s="56">
        <v>8.0</v>
      </c>
      <c r="O18" s="2"/>
      <c r="P18" s="2"/>
      <c r="Q18" s="2"/>
    </row>
    <row r="19" ht="24.75" customHeight="1">
      <c r="A19" s="44">
        <v>3.0</v>
      </c>
      <c r="B19" s="46" t="s">
        <v>28</v>
      </c>
      <c r="C19" s="45" t="s">
        <v>29</v>
      </c>
      <c r="D19" s="47" t="s">
        <v>30</v>
      </c>
      <c r="E19" s="48">
        <v>4.2</v>
      </c>
      <c r="F19" s="48">
        <v>2.0</v>
      </c>
      <c r="G19" s="48">
        <v>1.0</v>
      </c>
      <c r="H19" s="50">
        <f t="shared" si="1"/>
        <v>7.2</v>
      </c>
      <c r="I19" s="51"/>
      <c r="J19" s="52">
        <f t="shared" si="2"/>
        <v>7</v>
      </c>
      <c r="K19" s="44"/>
      <c r="L19" s="53">
        <f t="shared" si="3"/>
        <v>7</v>
      </c>
      <c r="M19" s="55" t="s">
        <v>31</v>
      </c>
      <c r="N19" s="56">
        <v>10.0</v>
      </c>
      <c r="O19" s="2"/>
      <c r="P19" s="2"/>
      <c r="Q19" s="2"/>
    </row>
    <row r="20" ht="24.75" customHeight="1">
      <c r="A20" s="44">
        <v>4.0</v>
      </c>
      <c r="B20" s="46" t="s">
        <v>32</v>
      </c>
      <c r="C20" s="45" t="s">
        <v>33</v>
      </c>
      <c r="D20" s="47" t="s">
        <v>34</v>
      </c>
      <c r="E20" s="48">
        <v>6.2</v>
      </c>
      <c r="F20" s="48">
        <v>2.0</v>
      </c>
      <c r="G20" s="48">
        <v>1.0</v>
      </c>
      <c r="H20" s="50">
        <f t="shared" si="1"/>
        <v>9.2</v>
      </c>
      <c r="I20" s="56"/>
      <c r="J20" s="52">
        <f t="shared" si="2"/>
        <v>9</v>
      </c>
      <c r="K20" s="44"/>
      <c r="L20" s="53">
        <f t="shared" si="3"/>
        <v>9</v>
      </c>
      <c r="M20" s="55" t="s">
        <v>35</v>
      </c>
      <c r="N20" s="44"/>
      <c r="O20" s="2"/>
      <c r="P20" s="2"/>
      <c r="Q20" s="2"/>
    </row>
    <row r="21" ht="24.75" customHeight="1">
      <c r="A21" s="44">
        <v>5.0</v>
      </c>
      <c r="B21" s="46" t="s">
        <v>36</v>
      </c>
      <c r="C21" s="45" t="s">
        <v>37</v>
      </c>
      <c r="D21" s="47" t="s">
        <v>38</v>
      </c>
      <c r="E21" s="48">
        <v>6.6</v>
      </c>
      <c r="F21" s="48">
        <v>2.0</v>
      </c>
      <c r="G21" s="49"/>
      <c r="H21" s="50">
        <f t="shared" si="1"/>
        <v>8.6</v>
      </c>
      <c r="I21" s="51"/>
      <c r="J21" s="52">
        <f t="shared" si="2"/>
        <v>9</v>
      </c>
      <c r="K21" s="44"/>
      <c r="L21" s="53">
        <f t="shared" si="3"/>
        <v>9</v>
      </c>
      <c r="M21" s="55" t="s">
        <v>39</v>
      </c>
      <c r="N21" s="44"/>
      <c r="O21" s="2"/>
      <c r="P21" s="2"/>
      <c r="Q21" s="2"/>
    </row>
    <row r="22" ht="24.75" customHeight="1">
      <c r="A22" s="44">
        <v>6.0</v>
      </c>
      <c r="B22" s="46" t="s">
        <v>40</v>
      </c>
      <c r="C22" s="45" t="s">
        <v>41</v>
      </c>
      <c r="D22" s="47" t="s">
        <v>42</v>
      </c>
      <c r="E22" s="48">
        <v>7.8</v>
      </c>
      <c r="F22" s="48">
        <v>2.0</v>
      </c>
      <c r="G22" s="48">
        <v>1.0</v>
      </c>
      <c r="H22" s="50">
        <f t="shared" si="1"/>
        <v>10.8</v>
      </c>
      <c r="I22" s="56">
        <v>2.0</v>
      </c>
      <c r="J22" s="52">
        <f t="shared" si="2"/>
        <v>10</v>
      </c>
      <c r="K22" s="44"/>
      <c r="L22" s="53">
        <f t="shared" si="3"/>
        <v>11</v>
      </c>
      <c r="M22" s="55" t="s">
        <v>43</v>
      </c>
      <c r="N22" s="44"/>
      <c r="O22" s="2"/>
      <c r="P22" s="2"/>
      <c r="Q22" s="2"/>
    </row>
    <row r="23" ht="24.75" customHeight="1">
      <c r="A23" s="44">
        <v>7.0</v>
      </c>
      <c r="B23" s="46" t="s">
        <v>44</v>
      </c>
      <c r="C23" s="45" t="s">
        <v>45</v>
      </c>
      <c r="D23" s="47" t="s">
        <v>46</v>
      </c>
      <c r="E23" s="48">
        <v>6.9</v>
      </c>
      <c r="F23" s="48">
        <v>2.0</v>
      </c>
      <c r="G23" s="48">
        <v>1.0</v>
      </c>
      <c r="H23" s="50">
        <f t="shared" si="1"/>
        <v>9.9</v>
      </c>
      <c r="I23" s="51"/>
      <c r="J23" s="52">
        <f t="shared" si="2"/>
        <v>10</v>
      </c>
      <c r="K23" s="44"/>
      <c r="L23" s="53">
        <f t="shared" si="3"/>
        <v>10</v>
      </c>
      <c r="M23" s="55" t="s">
        <v>47</v>
      </c>
      <c r="N23" s="44"/>
      <c r="O23" s="2"/>
      <c r="P23" s="2"/>
      <c r="Q23" s="2"/>
    </row>
    <row r="24" ht="24.75" customHeight="1">
      <c r="A24" s="44">
        <v>8.0</v>
      </c>
      <c r="B24" s="46" t="s">
        <v>48</v>
      </c>
      <c r="C24" s="45" t="s">
        <v>49</v>
      </c>
      <c r="D24" s="47" t="s">
        <v>50</v>
      </c>
      <c r="E24" s="48">
        <v>5.2</v>
      </c>
      <c r="F24" s="48">
        <v>2.0</v>
      </c>
      <c r="G24" s="49"/>
      <c r="H24" s="50">
        <f t="shared" si="1"/>
        <v>7.2</v>
      </c>
      <c r="I24" s="56">
        <v>1.0</v>
      </c>
      <c r="J24" s="52">
        <f t="shared" si="2"/>
        <v>7</v>
      </c>
      <c r="K24" s="44"/>
      <c r="L24" s="53">
        <f t="shared" si="3"/>
        <v>7</v>
      </c>
      <c r="M24" s="55" t="s">
        <v>51</v>
      </c>
      <c r="N24" s="55">
        <f>SUM(N18:N23)</f>
        <v>18</v>
      </c>
      <c r="O24" s="2"/>
      <c r="P24" s="2"/>
      <c r="Q24" s="2"/>
    </row>
    <row r="25" ht="24.75" customHeight="1">
      <c r="A25" s="44">
        <v>9.0</v>
      </c>
      <c r="B25" s="46" t="s">
        <v>52</v>
      </c>
      <c r="C25" s="45" t="s">
        <v>21</v>
      </c>
      <c r="D25" s="47" t="s">
        <v>53</v>
      </c>
      <c r="E25" s="48">
        <v>6.7</v>
      </c>
      <c r="F25" s="48">
        <v>2.0</v>
      </c>
      <c r="G25" s="49"/>
      <c r="H25" s="50">
        <f t="shared" si="1"/>
        <v>8.7</v>
      </c>
      <c r="I25" s="51"/>
      <c r="J25" s="52">
        <f t="shared" si="2"/>
        <v>9</v>
      </c>
      <c r="K25" s="44"/>
      <c r="L25" s="53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54</v>
      </c>
      <c r="C26" s="45" t="s">
        <v>55</v>
      </c>
      <c r="D26" s="47" t="s">
        <v>56</v>
      </c>
      <c r="E26" s="48">
        <v>2.8</v>
      </c>
      <c r="F26" s="48">
        <v>2.0</v>
      </c>
      <c r="G26" s="49"/>
      <c r="H26" s="50">
        <f t="shared" si="1"/>
        <v>4.8</v>
      </c>
      <c r="I26" s="56">
        <v>3.0</v>
      </c>
      <c r="J26" s="52">
        <f t="shared" si="2"/>
        <v>5</v>
      </c>
      <c r="K26" s="44"/>
      <c r="L26" s="53">
        <f t="shared" si="3"/>
        <v>4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57</v>
      </c>
      <c r="C27" s="45" t="s">
        <v>58</v>
      </c>
      <c r="D27" s="45" t="s">
        <v>59</v>
      </c>
      <c r="E27" s="48">
        <v>6.6</v>
      </c>
      <c r="F27" s="48">
        <v>2.0</v>
      </c>
      <c r="G27" s="49"/>
      <c r="H27" s="50">
        <f t="shared" si="1"/>
        <v>8.6</v>
      </c>
      <c r="I27" s="51"/>
      <c r="J27" s="52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60</v>
      </c>
      <c r="C28" s="45" t="s">
        <v>61</v>
      </c>
      <c r="D28" s="47" t="s">
        <v>62</v>
      </c>
      <c r="E28" s="48">
        <v>5.0</v>
      </c>
      <c r="F28" s="48">
        <v>2.0</v>
      </c>
      <c r="G28" s="49"/>
      <c r="H28" s="50">
        <f t="shared" si="1"/>
        <v>7</v>
      </c>
      <c r="I28" s="51"/>
      <c r="J28" s="52">
        <f t="shared" si="2"/>
        <v>7</v>
      </c>
      <c r="K28" s="44"/>
      <c r="L28" s="53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60</v>
      </c>
      <c r="C29" s="45" t="s">
        <v>63</v>
      </c>
      <c r="D29" s="47" t="s">
        <v>64</v>
      </c>
      <c r="E29" s="48">
        <v>0.0</v>
      </c>
      <c r="F29" s="48">
        <v>2.0</v>
      </c>
      <c r="G29" s="49"/>
      <c r="H29" s="50">
        <f t="shared" si="1"/>
        <v>2</v>
      </c>
      <c r="I29" s="56">
        <v>5.0</v>
      </c>
      <c r="J29" s="52">
        <f t="shared" si="2"/>
        <v>5</v>
      </c>
      <c r="K29" s="44"/>
      <c r="L29" s="53">
        <f t="shared" si="3"/>
        <v>2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65</v>
      </c>
      <c r="C30" s="45" t="s">
        <v>66</v>
      </c>
      <c r="D30" s="47" t="s">
        <v>67</v>
      </c>
      <c r="E30" s="48">
        <v>7.0</v>
      </c>
      <c r="F30" s="48">
        <v>2.0</v>
      </c>
      <c r="G30" s="49"/>
      <c r="H30" s="50">
        <f t="shared" si="1"/>
        <v>9</v>
      </c>
      <c r="I30" s="51"/>
      <c r="J30" s="52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68</v>
      </c>
      <c r="C31" s="45" t="s">
        <v>69</v>
      </c>
      <c r="D31" s="47" t="s">
        <v>70</v>
      </c>
      <c r="E31" s="48">
        <v>7.8</v>
      </c>
      <c r="F31" s="48">
        <v>2.0</v>
      </c>
      <c r="G31" s="49"/>
      <c r="H31" s="50">
        <f t="shared" si="1"/>
        <v>9.8</v>
      </c>
      <c r="I31" s="51"/>
      <c r="J31" s="52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71</v>
      </c>
      <c r="C32" s="45" t="s">
        <v>72</v>
      </c>
      <c r="D32" s="47" t="s">
        <v>73</v>
      </c>
      <c r="E32" s="48">
        <v>7.8</v>
      </c>
      <c r="F32" s="48">
        <v>2.0</v>
      </c>
      <c r="G32" s="49"/>
      <c r="H32" s="50">
        <f t="shared" si="1"/>
        <v>9.8</v>
      </c>
      <c r="I32" s="51"/>
      <c r="J32" s="52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74</v>
      </c>
      <c r="C33" s="45" t="s">
        <v>75</v>
      </c>
      <c r="D33" s="47" t="s">
        <v>76</v>
      </c>
      <c r="E33" s="48">
        <v>6.8</v>
      </c>
      <c r="F33" s="48">
        <v>2.0</v>
      </c>
      <c r="G33" s="49"/>
      <c r="H33" s="50">
        <f t="shared" si="1"/>
        <v>8.8</v>
      </c>
      <c r="I33" s="51"/>
      <c r="J33" s="52">
        <f t="shared" si="2"/>
        <v>9</v>
      </c>
      <c r="K33" s="44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77</v>
      </c>
      <c r="C34" s="45" t="s">
        <v>21</v>
      </c>
      <c r="D34" s="47" t="s">
        <v>78</v>
      </c>
      <c r="E34" s="48">
        <v>5.0</v>
      </c>
      <c r="F34" s="48">
        <v>2.0</v>
      </c>
      <c r="G34" s="49"/>
      <c r="H34" s="50">
        <f t="shared" si="1"/>
        <v>7</v>
      </c>
      <c r="I34" s="51"/>
      <c r="J34" s="52">
        <f t="shared" si="2"/>
        <v>7</v>
      </c>
      <c r="K34" s="44"/>
      <c r="L34" s="53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79</v>
      </c>
      <c r="C35" s="45" t="s">
        <v>60</v>
      </c>
      <c r="D35" s="47" t="s">
        <v>80</v>
      </c>
      <c r="E35" s="48">
        <v>8.0</v>
      </c>
      <c r="F35" s="48">
        <v>2.0</v>
      </c>
      <c r="G35" s="49"/>
      <c r="H35" s="50">
        <f t="shared" si="1"/>
        <v>10</v>
      </c>
      <c r="I35" s="51"/>
      <c r="J35" s="52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81</v>
      </c>
      <c r="C36" s="45" t="s">
        <v>82</v>
      </c>
      <c r="D36" s="47" t="s">
        <v>83</v>
      </c>
      <c r="E36" s="48">
        <v>6.0</v>
      </c>
      <c r="F36" s="48">
        <v>2.0</v>
      </c>
      <c r="G36" s="49"/>
      <c r="H36" s="50">
        <f t="shared" si="1"/>
        <v>8</v>
      </c>
      <c r="I36" s="51"/>
      <c r="J36" s="52">
        <f t="shared" si="2"/>
        <v>8</v>
      </c>
      <c r="K36" s="44"/>
      <c r="L36" s="53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81</v>
      </c>
      <c r="C37" s="45" t="s">
        <v>84</v>
      </c>
      <c r="D37" s="47" t="s">
        <v>85</v>
      </c>
      <c r="E37" s="48">
        <v>4.8</v>
      </c>
      <c r="F37" s="48">
        <v>2.0</v>
      </c>
      <c r="G37" s="49"/>
      <c r="H37" s="50">
        <f t="shared" si="1"/>
        <v>6.8</v>
      </c>
      <c r="I37" s="51"/>
      <c r="J37" s="52">
        <f t="shared" si="2"/>
        <v>7</v>
      </c>
      <c r="K37" s="44"/>
      <c r="L37" s="53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81</v>
      </c>
      <c r="C38" s="45" t="s">
        <v>86</v>
      </c>
      <c r="D38" s="47" t="s">
        <v>87</v>
      </c>
      <c r="E38" s="48">
        <v>7.4</v>
      </c>
      <c r="F38" s="48">
        <v>2.0</v>
      </c>
      <c r="G38" s="48">
        <v>1.0</v>
      </c>
      <c r="H38" s="50">
        <f t="shared" si="1"/>
        <v>10.4</v>
      </c>
      <c r="I38" s="51"/>
      <c r="J38" s="52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88</v>
      </c>
      <c r="C39" s="45" t="s">
        <v>89</v>
      </c>
      <c r="D39" s="47" t="s">
        <v>90</v>
      </c>
      <c r="E39" s="48">
        <v>7.9</v>
      </c>
      <c r="F39" s="48">
        <v>2.0</v>
      </c>
      <c r="G39" s="49"/>
      <c r="H39" s="50">
        <f t="shared" si="1"/>
        <v>9.9</v>
      </c>
      <c r="I39" s="51"/>
      <c r="J39" s="52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91</v>
      </c>
      <c r="C40" s="45" t="s">
        <v>92</v>
      </c>
      <c r="D40" s="47" t="s">
        <v>93</v>
      </c>
      <c r="E40" s="48">
        <v>6.3</v>
      </c>
      <c r="F40" s="48">
        <v>2.0</v>
      </c>
      <c r="G40" s="49"/>
      <c r="H40" s="50">
        <f t="shared" si="1"/>
        <v>8.3</v>
      </c>
      <c r="I40" s="51"/>
      <c r="J40" s="52">
        <f t="shared" si="2"/>
        <v>8</v>
      </c>
      <c r="K40" s="44"/>
      <c r="L40" s="53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94</v>
      </c>
      <c r="C41" s="45" t="s">
        <v>95</v>
      </c>
      <c r="D41" s="47" t="s">
        <v>96</v>
      </c>
      <c r="E41" s="48">
        <v>7.5</v>
      </c>
      <c r="F41" s="48">
        <v>2.0</v>
      </c>
      <c r="G41" s="49"/>
      <c r="H41" s="50">
        <f t="shared" si="1"/>
        <v>9.5</v>
      </c>
      <c r="I41" s="56">
        <v>2.0</v>
      </c>
      <c r="J41" s="52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97</v>
      </c>
      <c r="C42" s="45" t="s">
        <v>98</v>
      </c>
      <c r="D42" s="57" t="s">
        <v>99</v>
      </c>
      <c r="E42" s="48">
        <v>6.6</v>
      </c>
      <c r="F42" s="48">
        <v>2.0</v>
      </c>
      <c r="G42" s="49"/>
      <c r="H42" s="50">
        <f t="shared" si="1"/>
        <v>8.6</v>
      </c>
      <c r="I42" s="56">
        <v>4.0</v>
      </c>
      <c r="J42" s="52">
        <f t="shared" si="2"/>
        <v>9</v>
      </c>
      <c r="K42" s="44"/>
      <c r="L42" s="53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100</v>
      </c>
      <c r="C43" s="45" t="s">
        <v>101</v>
      </c>
      <c r="D43" s="47" t="s">
        <v>102</v>
      </c>
      <c r="E43" s="48">
        <v>7.4</v>
      </c>
      <c r="F43" s="48">
        <v>2.0</v>
      </c>
      <c r="G43" s="49"/>
      <c r="H43" s="50">
        <f t="shared" si="1"/>
        <v>9.4</v>
      </c>
      <c r="I43" s="51"/>
      <c r="J43" s="52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21</v>
      </c>
      <c r="C44" s="45" t="s">
        <v>75</v>
      </c>
      <c r="D44" s="47" t="s">
        <v>103</v>
      </c>
      <c r="E44" s="48">
        <v>6.5</v>
      </c>
      <c r="F44" s="48">
        <v>2.0</v>
      </c>
      <c r="G44" s="49"/>
      <c r="H44" s="50">
        <f t="shared" si="1"/>
        <v>8.5</v>
      </c>
      <c r="I44" s="56">
        <v>2.0</v>
      </c>
      <c r="J44" s="52">
        <f t="shared" si="2"/>
        <v>9</v>
      </c>
      <c r="K44" s="44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21</v>
      </c>
      <c r="C45" s="45" t="s">
        <v>104</v>
      </c>
      <c r="D45" s="47" t="s">
        <v>105</v>
      </c>
      <c r="E45" s="48">
        <v>6.5</v>
      </c>
      <c r="F45" s="48">
        <v>2.0</v>
      </c>
      <c r="G45" s="49"/>
      <c r="H45" s="50">
        <f t="shared" si="1"/>
        <v>8.5</v>
      </c>
      <c r="I45" s="51"/>
      <c r="J45" s="52">
        <f t="shared" si="2"/>
        <v>9</v>
      </c>
      <c r="K45" s="44"/>
      <c r="L45" s="53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106</v>
      </c>
      <c r="C46" s="45" t="s">
        <v>81</v>
      </c>
      <c r="D46" s="47" t="s">
        <v>107</v>
      </c>
      <c r="E46" s="48">
        <v>4.0</v>
      </c>
      <c r="F46" s="48">
        <v>2.0</v>
      </c>
      <c r="G46" s="49"/>
      <c r="H46" s="50">
        <f t="shared" si="1"/>
        <v>6</v>
      </c>
      <c r="I46" s="56">
        <v>3.0</v>
      </c>
      <c r="J46" s="52">
        <f t="shared" si="2"/>
        <v>6</v>
      </c>
      <c r="K46" s="44"/>
      <c r="L46" s="53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106</v>
      </c>
      <c r="C47" s="46" t="s">
        <v>108</v>
      </c>
      <c r="D47" s="47" t="s">
        <v>109</v>
      </c>
      <c r="E47" s="48">
        <v>6.6</v>
      </c>
      <c r="F47" s="48">
        <v>2.0</v>
      </c>
      <c r="G47" s="49"/>
      <c r="H47" s="50">
        <f t="shared" si="1"/>
        <v>8.6</v>
      </c>
      <c r="I47" s="56">
        <v>3.0</v>
      </c>
      <c r="J47" s="52">
        <f t="shared" si="2"/>
        <v>9</v>
      </c>
      <c r="K47" s="44"/>
      <c r="L47" s="53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110</v>
      </c>
      <c r="C48" s="45" t="s">
        <v>71</v>
      </c>
      <c r="D48" s="47" t="s">
        <v>111</v>
      </c>
      <c r="E48" s="48">
        <v>6.6</v>
      </c>
      <c r="F48" s="48">
        <v>2.0</v>
      </c>
      <c r="G48" s="49"/>
      <c r="H48" s="50">
        <f t="shared" si="1"/>
        <v>8.6</v>
      </c>
      <c r="I48" s="56">
        <v>3.0</v>
      </c>
      <c r="J48" s="52">
        <f t="shared" si="2"/>
        <v>9</v>
      </c>
      <c r="K48" s="44"/>
      <c r="L48" s="53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112</v>
      </c>
      <c r="C49" s="45" t="s">
        <v>20</v>
      </c>
      <c r="D49" s="47" t="s">
        <v>113</v>
      </c>
      <c r="E49" s="48">
        <v>7.4</v>
      </c>
      <c r="F49" s="48">
        <v>2.0</v>
      </c>
      <c r="G49" s="49"/>
      <c r="H49" s="50">
        <f t="shared" si="1"/>
        <v>9.4</v>
      </c>
      <c r="I49" s="51"/>
      <c r="J49" s="52">
        <f t="shared" si="2"/>
        <v>9</v>
      </c>
      <c r="K49" s="44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114</v>
      </c>
      <c r="C50" s="45" t="s">
        <v>115</v>
      </c>
      <c r="D50" s="47" t="s">
        <v>116</v>
      </c>
      <c r="E50" s="48">
        <v>6.0</v>
      </c>
      <c r="F50" s="48">
        <v>2.0</v>
      </c>
      <c r="G50" s="49"/>
      <c r="H50" s="50">
        <f t="shared" si="1"/>
        <v>8</v>
      </c>
      <c r="I50" s="51"/>
      <c r="J50" s="52">
        <f t="shared" si="2"/>
        <v>8</v>
      </c>
      <c r="K50" s="44"/>
      <c r="L50" s="53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117</v>
      </c>
      <c r="C51" s="45" t="s">
        <v>118</v>
      </c>
      <c r="D51" s="47" t="s">
        <v>119</v>
      </c>
      <c r="E51" s="48">
        <v>6.0</v>
      </c>
      <c r="F51" s="48">
        <v>2.0</v>
      </c>
      <c r="G51" s="49"/>
      <c r="H51" s="50">
        <f t="shared" si="1"/>
        <v>8</v>
      </c>
      <c r="I51" s="51"/>
      <c r="J51" s="52">
        <f t="shared" si="2"/>
        <v>8</v>
      </c>
      <c r="K51" s="44"/>
      <c r="L51" s="53">
        <f t="shared" si="3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89</v>
      </c>
      <c r="C52" s="45" t="s">
        <v>120</v>
      </c>
      <c r="D52" s="47" t="s">
        <v>121</v>
      </c>
      <c r="E52" s="48">
        <v>7.0</v>
      </c>
      <c r="F52" s="48">
        <v>2.0</v>
      </c>
      <c r="G52" s="48">
        <v>1.0</v>
      </c>
      <c r="H52" s="50">
        <f t="shared" si="1"/>
        <v>10</v>
      </c>
      <c r="I52" s="51"/>
      <c r="J52" s="52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122</v>
      </c>
      <c r="C53" s="45" t="s">
        <v>95</v>
      </c>
      <c r="D53" s="47" t="s">
        <v>123</v>
      </c>
      <c r="E53" s="48">
        <v>6.9</v>
      </c>
      <c r="F53" s="48">
        <v>2.0</v>
      </c>
      <c r="G53" s="49"/>
      <c r="H53" s="50">
        <f t="shared" si="1"/>
        <v>8.9</v>
      </c>
      <c r="I53" s="56">
        <v>3.0</v>
      </c>
      <c r="J53" s="52">
        <f t="shared" si="2"/>
        <v>9</v>
      </c>
      <c r="K53" s="44"/>
      <c r="L53" s="46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124</v>
      </c>
      <c r="C54" s="45" t="s">
        <v>74</v>
      </c>
      <c r="D54" s="47" t="s">
        <v>125</v>
      </c>
      <c r="E54" s="48">
        <v>7.4</v>
      </c>
      <c r="F54" s="48">
        <v>2.0</v>
      </c>
      <c r="G54" s="49"/>
      <c r="H54" s="50">
        <f t="shared" si="1"/>
        <v>9.4</v>
      </c>
      <c r="I54" s="51"/>
      <c r="J54" s="52">
        <f t="shared" si="2"/>
        <v>9</v>
      </c>
      <c r="K54" s="44"/>
      <c r="L54" s="4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124</v>
      </c>
      <c r="C55" s="45" t="s">
        <v>126</v>
      </c>
      <c r="D55" s="47" t="s">
        <v>109</v>
      </c>
      <c r="E55" s="48">
        <v>7.0</v>
      </c>
      <c r="F55" s="48">
        <v>2.0</v>
      </c>
      <c r="G55" s="49"/>
      <c r="H55" s="50">
        <f t="shared" si="1"/>
        <v>9</v>
      </c>
      <c r="I55" s="51"/>
      <c r="J55" s="52">
        <f t="shared" si="2"/>
        <v>9</v>
      </c>
      <c r="K55" s="44"/>
      <c r="L55" s="46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124</v>
      </c>
      <c r="C56" s="45" t="s">
        <v>126</v>
      </c>
      <c r="D56" s="47" t="s">
        <v>127</v>
      </c>
      <c r="E56" s="48">
        <v>6.5</v>
      </c>
      <c r="F56" s="48">
        <v>2.0</v>
      </c>
      <c r="G56" s="49"/>
      <c r="H56" s="50">
        <f t="shared" si="1"/>
        <v>8.5</v>
      </c>
      <c r="I56" s="51"/>
      <c r="J56" s="52">
        <f t="shared" si="2"/>
        <v>9</v>
      </c>
      <c r="K56" s="44"/>
      <c r="L56" s="46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128</v>
      </c>
      <c r="C57" s="46" t="s">
        <v>60</v>
      </c>
      <c r="D57" s="47" t="s">
        <v>129</v>
      </c>
      <c r="E57" s="48">
        <v>6.6</v>
      </c>
      <c r="F57" s="48">
        <v>2.0</v>
      </c>
      <c r="G57" s="49"/>
      <c r="H57" s="50">
        <f t="shared" si="1"/>
        <v>8.6</v>
      </c>
      <c r="I57" s="51"/>
      <c r="J57" s="52">
        <f t="shared" si="2"/>
        <v>9</v>
      </c>
      <c r="K57" s="44"/>
      <c r="L57" s="46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130</v>
      </c>
      <c r="C58" s="45" t="s">
        <v>131</v>
      </c>
      <c r="D58" s="47" t="s">
        <v>132</v>
      </c>
      <c r="E58" s="48">
        <v>7.5</v>
      </c>
      <c r="F58" s="48">
        <v>2.0</v>
      </c>
      <c r="G58" s="49"/>
      <c r="H58" s="50">
        <f t="shared" si="1"/>
        <v>9.5</v>
      </c>
      <c r="I58" s="51"/>
      <c r="J58" s="52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133</v>
      </c>
      <c r="C59" s="46" t="s">
        <v>94</v>
      </c>
      <c r="D59" s="47" t="s">
        <v>134</v>
      </c>
      <c r="E59" s="48">
        <v>7.8</v>
      </c>
      <c r="F59" s="48">
        <v>2.0</v>
      </c>
      <c r="G59" s="49"/>
      <c r="H59" s="50">
        <f t="shared" si="1"/>
        <v>9.8</v>
      </c>
      <c r="I59" s="51"/>
      <c r="J59" s="52">
        <f t="shared" si="2"/>
        <v>10</v>
      </c>
      <c r="K59" s="44"/>
      <c r="L59" s="46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135</v>
      </c>
      <c r="C60" s="46" t="s">
        <v>21</v>
      </c>
      <c r="D60" s="47" t="s">
        <v>136</v>
      </c>
      <c r="E60" s="48">
        <v>4.5</v>
      </c>
      <c r="F60" s="48">
        <v>2.0</v>
      </c>
      <c r="G60" s="49"/>
      <c r="H60" s="50">
        <f t="shared" si="1"/>
        <v>6.5</v>
      </c>
      <c r="I60" s="56">
        <v>1.0</v>
      </c>
      <c r="J60" s="52">
        <f t="shared" si="2"/>
        <v>7</v>
      </c>
      <c r="K60" s="44"/>
      <c r="L60" s="46">
        <f t="shared" si="3"/>
        <v>7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137</v>
      </c>
      <c r="C61" s="46" t="s">
        <v>45</v>
      </c>
      <c r="D61" s="47" t="s">
        <v>138</v>
      </c>
      <c r="E61" s="48">
        <v>6.9</v>
      </c>
      <c r="F61" s="48">
        <v>2.0</v>
      </c>
      <c r="G61" s="49"/>
      <c r="H61" s="50">
        <f t="shared" si="1"/>
        <v>8.9</v>
      </c>
      <c r="I61" s="51"/>
      <c r="J61" s="52">
        <f t="shared" si="2"/>
        <v>9</v>
      </c>
      <c r="K61" s="44"/>
      <c r="L61" s="46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33</v>
      </c>
      <c r="C62" s="46" t="s">
        <v>139</v>
      </c>
      <c r="D62" s="47" t="s">
        <v>140</v>
      </c>
      <c r="E62" s="48">
        <v>7.0</v>
      </c>
      <c r="F62" s="48">
        <v>2.0</v>
      </c>
      <c r="G62" s="48">
        <v>1.0</v>
      </c>
      <c r="H62" s="50">
        <f t="shared" si="1"/>
        <v>10</v>
      </c>
      <c r="I62" s="51"/>
      <c r="J62" s="52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141</v>
      </c>
      <c r="C63" s="46" t="s">
        <v>21</v>
      </c>
      <c r="D63" s="47" t="s">
        <v>142</v>
      </c>
      <c r="E63" s="48">
        <v>5.4</v>
      </c>
      <c r="F63" s="48">
        <v>2.0</v>
      </c>
      <c r="G63" s="48">
        <v>1.0</v>
      </c>
      <c r="H63" s="50">
        <f t="shared" si="1"/>
        <v>8.4</v>
      </c>
      <c r="I63" s="51"/>
      <c r="J63" s="52">
        <f t="shared" si="2"/>
        <v>8</v>
      </c>
      <c r="K63" s="44"/>
      <c r="L63" s="46">
        <f t="shared" si="3"/>
        <v>8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143</v>
      </c>
      <c r="C64" s="46" t="s">
        <v>144</v>
      </c>
      <c r="D64" s="47" t="s">
        <v>145</v>
      </c>
      <c r="E64" s="48">
        <v>6.5</v>
      </c>
      <c r="F64" s="48">
        <v>2.0</v>
      </c>
      <c r="G64" s="49"/>
      <c r="H64" s="50">
        <f t="shared" si="1"/>
        <v>8.5</v>
      </c>
      <c r="I64" s="56">
        <v>4.0</v>
      </c>
      <c r="J64" s="52">
        <f t="shared" si="2"/>
        <v>9</v>
      </c>
      <c r="K64" s="44"/>
      <c r="L64" s="46">
        <f t="shared" si="3"/>
        <v>9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131</v>
      </c>
      <c r="C65" s="46" t="s">
        <v>146</v>
      </c>
      <c r="D65" s="47" t="s">
        <v>147</v>
      </c>
      <c r="E65" s="48">
        <v>7.9</v>
      </c>
      <c r="F65" s="48">
        <v>2.0</v>
      </c>
      <c r="G65" s="49"/>
      <c r="H65" s="50">
        <f t="shared" si="1"/>
        <v>9.9</v>
      </c>
      <c r="I65" s="51"/>
      <c r="J65" s="52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148</v>
      </c>
      <c r="C66" s="46" t="s">
        <v>149</v>
      </c>
      <c r="D66" s="47" t="s">
        <v>150</v>
      </c>
      <c r="E66" s="48">
        <v>8.0</v>
      </c>
      <c r="F66" s="48">
        <v>2.0</v>
      </c>
      <c r="G66" s="48">
        <v>1.0</v>
      </c>
      <c r="H66" s="50">
        <f t="shared" si="1"/>
        <v>11</v>
      </c>
      <c r="I66" s="51"/>
      <c r="J66" s="52">
        <f t="shared" si="2"/>
        <v>10</v>
      </c>
      <c r="K66" s="44"/>
      <c r="L66" s="46">
        <f t="shared" si="3"/>
        <v>11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151</v>
      </c>
      <c r="C67" s="46" t="s">
        <v>152</v>
      </c>
      <c r="D67" s="47" t="s">
        <v>109</v>
      </c>
      <c r="E67" s="48">
        <v>5.6</v>
      </c>
      <c r="F67" s="48">
        <v>2.0</v>
      </c>
      <c r="G67" s="49"/>
      <c r="H67" s="50">
        <f t="shared" si="1"/>
        <v>7.6</v>
      </c>
      <c r="I67" s="56">
        <v>2.0</v>
      </c>
      <c r="J67" s="52">
        <f t="shared" si="2"/>
        <v>8</v>
      </c>
      <c r="K67" s="44"/>
      <c r="L67" s="46">
        <f t="shared" si="3"/>
        <v>8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153</v>
      </c>
      <c r="C68" s="46" t="s">
        <v>61</v>
      </c>
      <c r="D68" s="47" t="s">
        <v>154</v>
      </c>
      <c r="E68" s="48">
        <v>7.2</v>
      </c>
      <c r="F68" s="48">
        <v>2.0</v>
      </c>
      <c r="G68" s="49"/>
      <c r="H68" s="50">
        <f t="shared" si="1"/>
        <v>9.2</v>
      </c>
      <c r="I68" s="51"/>
      <c r="J68" s="52">
        <f t="shared" si="2"/>
        <v>9</v>
      </c>
      <c r="K68" s="44"/>
      <c r="L68" s="46">
        <f t="shared" si="3"/>
        <v>9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155</v>
      </c>
      <c r="C69" s="46" t="s">
        <v>156</v>
      </c>
      <c r="D69" s="47" t="s">
        <v>157</v>
      </c>
      <c r="E69" s="48">
        <v>5.7</v>
      </c>
      <c r="F69" s="48">
        <v>2.0</v>
      </c>
      <c r="G69" s="49"/>
      <c r="H69" s="50">
        <f t="shared" si="1"/>
        <v>7.7</v>
      </c>
      <c r="I69" s="51"/>
      <c r="J69" s="52">
        <f t="shared" si="2"/>
        <v>8</v>
      </c>
      <c r="K69" s="44"/>
      <c r="L69" s="46">
        <f t="shared" si="3"/>
        <v>8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75</v>
      </c>
      <c r="C70" s="46" t="s">
        <v>21</v>
      </c>
      <c r="D70" s="47" t="s">
        <v>158</v>
      </c>
      <c r="E70" s="48">
        <v>7.2</v>
      </c>
      <c r="F70" s="48">
        <v>2.0</v>
      </c>
      <c r="G70" s="49"/>
      <c r="H70" s="50">
        <f t="shared" si="1"/>
        <v>9.2</v>
      </c>
      <c r="I70" s="51"/>
      <c r="J70" s="52">
        <f t="shared" si="2"/>
        <v>9</v>
      </c>
      <c r="K70" s="44"/>
      <c r="L70" s="58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75</v>
      </c>
      <c r="C71" s="46" t="s">
        <v>159</v>
      </c>
      <c r="D71" s="47" t="s">
        <v>160</v>
      </c>
      <c r="E71" s="48">
        <v>8.0</v>
      </c>
      <c r="F71" s="48">
        <v>2.0</v>
      </c>
      <c r="G71" s="49"/>
      <c r="H71" s="50">
        <f t="shared" si="1"/>
        <v>10</v>
      </c>
      <c r="I71" s="51"/>
      <c r="J71" s="52">
        <f t="shared" si="2"/>
        <v>10</v>
      </c>
      <c r="K71" s="44"/>
      <c r="L71" s="58"/>
      <c r="M71" s="1"/>
      <c r="N71" s="1"/>
      <c r="O71" s="2"/>
      <c r="P71" s="2"/>
      <c r="Q71" s="2"/>
    </row>
    <row r="72" ht="21.75" customHeight="1">
      <c r="A72" s="59"/>
      <c r="B72" s="11"/>
      <c r="C72" s="1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161</v>
      </c>
      <c r="C73" s="62"/>
      <c r="D73" s="63">
        <f>COUNT(A17:A71)</f>
        <v>55</v>
      </c>
      <c r="E73" s="1"/>
      <c r="F73" s="64" t="s">
        <v>162</v>
      </c>
      <c r="G73" s="1"/>
      <c r="H73" s="64" t="s">
        <v>163</v>
      </c>
      <c r="J73" s="64" t="s">
        <v>164</v>
      </c>
      <c r="K73" s="65" t="s">
        <v>165</v>
      </c>
      <c r="L73" s="1"/>
      <c r="M73" s="1"/>
      <c r="N73" s="1"/>
      <c r="O73" s="2"/>
      <c r="P73" s="2"/>
      <c r="Q73" s="2"/>
    </row>
    <row r="74" ht="21.75" customHeight="1">
      <c r="A74" s="60"/>
      <c r="B74" s="66" t="s">
        <v>166</v>
      </c>
      <c r="C74" s="67"/>
      <c r="D74" s="68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167</v>
      </c>
      <c r="C75" s="67"/>
      <c r="D75" s="69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6" t="s">
        <v>168</v>
      </c>
      <c r="C76" s="67"/>
      <c r="D76" s="69">
        <f>COUNTIF(J17:J71,"&gt;=6")</f>
        <v>53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6" t="s">
        <v>169</v>
      </c>
      <c r="C77" s="67"/>
      <c r="D77" s="69">
        <f>D75-D76</f>
        <v>2</v>
      </c>
      <c r="E77" s="1"/>
      <c r="F77" s="70"/>
      <c r="G77" s="1"/>
      <c r="H77" s="70"/>
      <c r="I77" s="70"/>
      <c r="J77" s="70"/>
      <c r="K77" s="71"/>
      <c r="L77" s="1"/>
      <c r="M77" s="1"/>
      <c r="N77" s="1"/>
      <c r="O77" s="2"/>
      <c r="P77" s="2"/>
      <c r="Q77" s="2"/>
    </row>
    <row r="78" ht="36.0" customHeight="1">
      <c r="A78" s="60"/>
      <c r="B78" s="72" t="s">
        <v>170</v>
      </c>
      <c r="C78" s="67"/>
      <c r="D78" s="73">
        <f>D76*100/D75</f>
        <v>96.36363636</v>
      </c>
      <c r="E78" s="1"/>
      <c r="F78" s="74" t="s">
        <v>171</v>
      </c>
      <c r="G78" s="1"/>
      <c r="H78" s="75" t="s">
        <v>172</v>
      </c>
      <c r="J78" s="76" t="s">
        <v>173</v>
      </c>
      <c r="K78" s="77" t="s">
        <v>174</v>
      </c>
      <c r="L78" s="1"/>
      <c r="M78" s="1"/>
      <c r="N78" s="1"/>
      <c r="O78" s="2"/>
      <c r="P78" s="2"/>
      <c r="Q78" s="2"/>
    </row>
    <row r="79" ht="13.5" customHeight="1">
      <c r="A79" s="1"/>
      <c r="B79" s="78" t="s">
        <v>175</v>
      </c>
      <c r="C79" s="79"/>
      <c r="D79" s="80">
        <f>AVERAGE(J17:J71)</f>
        <v>8.727272727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1"/>
      <c r="B80" s="2"/>
      <c r="C80" s="2"/>
      <c r="D80" s="2"/>
      <c r="E80" s="2"/>
      <c r="F80" s="2"/>
      <c r="G80" s="2"/>
      <c r="H80" s="2"/>
      <c r="I80" s="2"/>
      <c r="J80" s="2"/>
      <c r="K80" s="82"/>
      <c r="L80" s="2"/>
      <c r="M80" s="2"/>
      <c r="N80" s="2"/>
      <c r="O80" s="2"/>
      <c r="P80" s="2"/>
      <c r="Q80" s="2"/>
    </row>
    <row r="81" ht="13.5" customHeight="1">
      <c r="A81" s="83"/>
      <c r="B81" s="84"/>
      <c r="C81" s="85"/>
      <c r="D81" s="85"/>
      <c r="E81" s="86"/>
      <c r="G81" s="86"/>
      <c r="H81" s="86"/>
      <c r="I81" s="86"/>
      <c r="J81" s="86"/>
      <c r="K81" s="87"/>
      <c r="L81" s="86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2"/>
      <c r="L82" s="2"/>
      <c r="M82" s="2"/>
      <c r="N82" s="2"/>
      <c r="O82" s="2"/>
      <c r="P82" s="2"/>
      <c r="Q82" s="2"/>
    </row>
    <row r="83" ht="13.5" customHeight="1">
      <c r="A83" s="88"/>
      <c r="B83" s="86"/>
      <c r="C83" s="86"/>
      <c r="D83" s="86"/>
      <c r="E83" s="86"/>
      <c r="F83" s="2"/>
      <c r="G83" s="2"/>
      <c r="H83" s="2"/>
      <c r="I83" s="2"/>
      <c r="J83" s="2"/>
      <c r="K83" s="82"/>
      <c r="L83" s="2"/>
      <c r="M83" s="2"/>
      <c r="N83" s="2"/>
      <c r="O83" s="2"/>
      <c r="P83" s="2"/>
      <c r="Q83" s="2"/>
    </row>
    <row r="84" ht="14.25" customHeight="1">
      <c r="A84" s="89"/>
      <c r="B84" s="90"/>
      <c r="C84" s="90"/>
      <c r="D84" s="90"/>
      <c r="E84" s="90"/>
      <c r="F84" s="91"/>
      <c r="G84" s="91"/>
      <c r="H84" s="91"/>
      <c r="I84" s="91"/>
      <c r="J84" s="91"/>
      <c r="K84" s="92"/>
      <c r="L84" s="2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3"/>
      <c r="K85" s="93"/>
      <c r="L85" s="93"/>
      <c r="M85" s="2"/>
      <c r="N85" s="2"/>
      <c r="O85" s="2"/>
      <c r="P85" s="2"/>
      <c r="Q85" s="2"/>
    </row>
    <row r="86" ht="14.25" customHeight="1">
      <c r="A86" s="2"/>
      <c r="B86" s="86"/>
      <c r="C86" s="86"/>
      <c r="D86" s="86"/>
      <c r="E86" s="86"/>
      <c r="F86" s="2"/>
      <c r="G86" s="2"/>
      <c r="H86" s="2"/>
      <c r="I86" s="2"/>
      <c r="J86" s="93"/>
      <c r="K86" s="93"/>
      <c r="L86" s="93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J17:J71">
    <cfRule type="cellIs" dxfId="0" priority="1" stopIfTrue="1" operator="greaterThan">
      <formula>5</formula>
    </cfRule>
  </conditionalFormatting>
  <conditionalFormatting sqref="J17:J71">
    <cfRule type="cellIs" dxfId="1" priority="2" stopIfTrue="1" operator="equal">
      <formula>5</formula>
    </cfRule>
  </conditionalFormatting>
  <conditionalFormatting sqref="E17:G7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