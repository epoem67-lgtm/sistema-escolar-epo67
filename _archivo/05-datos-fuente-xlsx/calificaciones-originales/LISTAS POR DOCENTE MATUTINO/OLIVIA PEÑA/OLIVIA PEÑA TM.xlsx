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reacciones quimicas y conse" sheetId="1" r:id="rId5"/>
    <sheet state="visible" name="2-2 reacciones quimicas y conse" sheetId="2" r:id="rId6"/>
    <sheet state="visible" name="2-3 reacciones quimicas y conse" sheetId="3" r:id="rId7"/>
  </sheets>
  <definedNames/>
  <calcPr/>
</workbook>
</file>

<file path=xl/sharedStrings.xml><?xml version="1.0" encoding="utf-8"?>
<sst xmlns="http://schemas.openxmlformats.org/spreadsheetml/2006/main" count="563" uniqueCount="342">
  <si>
    <t>ESCUELA PREPARATORIA OFICIAL NÚM. 67</t>
  </si>
  <si>
    <t xml:space="preserve">CONTROL PRIMER PARCIAL </t>
  </si>
  <si>
    <t xml:space="preserve">PROFESOR (A): </t>
  </si>
  <si>
    <t>OLIVIA PEÑA RAMÍREZ</t>
  </si>
  <si>
    <t>II</t>
  </si>
  <si>
    <t>III</t>
  </si>
  <si>
    <t>PUNTAJE EXTRA</t>
  </si>
  <si>
    <t>CUARTO SEMESTRE
MATUTINO</t>
  </si>
  <si>
    <t>UAC</t>
  </si>
  <si>
    <t>REACCIONES QUÍMICAS Y CONSERVACIÓN DE LA MATERIA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</si>
  <si>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</si>
  <si>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</si>
  <si>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</si>
  <si>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</si>
  <si>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</si>
  <si>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</si>
  <si>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</si>
  <si>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</si>
  <si>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</si>
  <si>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</si>
  <si>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</si>
  <si>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</si>
  <si>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</si>
  <si>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</si>
  <si>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</si>
  <si>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</si>
  <si>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</si>
  <si>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</si>
  <si>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</si>
  <si>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</si>
  <si>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</si>
  <si>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</si>
  <si>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</si>
  <si>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</si>
  <si>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</si>
  <si>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</si>
  <si>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</si>
  <si>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</si>
  <si>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</si>
  <si>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</si>
  <si>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</si>
  <si>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</si>
  <si>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</si>
  <si>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</si>
  <si>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</si>
  <si>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</si>
  <si>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</si>
  <si>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</si>
  <si>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</si>
  <si>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</si>
  <si>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</si>
  <si>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</si>
  <si>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</si>
  <si>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</si>
  <si>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</si>
  <si>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</si>
  <si>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</si>
  <si>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</si>
  <si>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</si>
  <si>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</si>
  <si>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</si>
  <si>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</si>
  <si>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</si>
  <si>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</si>
  <si>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</si>
  <si>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</si>
  <si>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</si>
  <si>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</si>
  <si>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</si>
  <si>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</si>
  <si>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</si>
  <si>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</si>
  <si>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</si>
  <si>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</si>
  <si>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</si>
  <si>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</si>
  <si>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</si>
  <si>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</si>
  <si>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</si>
  <si>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</si>
  <si>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</si>
  <si>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</si>
  <si>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</si>
  <si>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</si>
  <si>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</si>
  <si>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</si>
  <si>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</si>
  <si>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</si>
  <si>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</si>
  <si>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</si>
  <si>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</si>
  <si>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</si>
  <si>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</si>
  <si>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</si>
  <si>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</si>
  <si>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</si>
  <si>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</si>
  <si>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</si>
  <si>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</si>
  <si>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</si>
  <si>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</si>
  <si>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</si>
  <si>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</si>
  <si>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</si>
  <si>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</si>
  <si>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</si>
  <si>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</si>
  <si>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</si>
  <si>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</si>
  <si>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</si>
  <si>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</si>
  <si>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</si>
  <si>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</si>
  <si>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</si>
  <si>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</si>
  <si>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</si>
  <si>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</si>
  <si>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</si>
  <si>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</si>
  <si>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</si>
  <si>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</si>
  <si>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</si>
  <si>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</si>
  <si>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</si>
  <si>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</si>
  <si>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</si>
  <si>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</si>
  <si>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</si>
  <si>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</si>
  <si>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</si>
  <si>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</si>
  <si>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</si>
  <si>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</si>
  <si>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</si>
  <si>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</si>
  <si>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</si>
  <si>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</si>
  <si>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</si>
  <si>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</si>
  <si>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</si>
  <si>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</si>
  <si>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</si>
  <si>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</si>
  <si>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</si>
  <si>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</si>
  <si>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</si>
  <si>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</si>
  <si>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</si>
  <si>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</si>
  <si>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</si>
  <si>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</si>
  <si>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</si>
  <si>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</si>
  <si>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</si>
  <si>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</si>
  <si>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</si>
  <si>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</si>
  <si>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</si>
  <si>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</si>
  <si>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</si>
  <si>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</si>
  <si>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</si>
  <si>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</si>
  <si>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</si>
  <si>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</si>
  <si>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</si>
  <si>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</si>
  <si>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</si>
  <si>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</si>
  <si>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</si>
  <si>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</si>
  <si>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</si>
  <si>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</si>
  <si>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</si>
  <si>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</si>
  <si>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</si>
  <si>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</si>
  <si>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</si>
  <si>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</si>
  <si>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</si>
  <si>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</si>
  <si>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</si>
  <si>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</si>
  <si>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</si>
  <si>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</si>
  <si>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</si>
  <si>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</si>
  <si>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</si>
  <si>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</si>
  <si>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</si>
  <si>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</si>
  <si>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</si>
  <si>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</si>
  <si>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</si>
  <si>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</si>
  <si>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</si>
  <si>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</si>
  <si>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</si>
  <si>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</si>
  <si>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</si>
  <si>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</si>
  <si>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</si>
  <si>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</si>
  <si>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</si>
  <si>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</si>
  <si>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</si>
  <si>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</si>
  <si>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</si>
  <si>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</si>
  <si>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</si>
  <si>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</si>
  <si>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</si>
  <si>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</si>
  <si>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</si>
  <si>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</si>
  <si>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</si>
  <si>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</si>
  <si>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</si>
  <si>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</si>
  <si>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</si>
  <si>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</si>
  <si>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</si>
  <si>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</si>
  <si>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</si>
  <si>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</si>
  <si>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</si>
  <si>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</si>
  <si>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</si>
  <si>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</si>
  <si>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</si>
  <si>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</si>
  <si>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</si>
  <si>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</si>
  <si>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</si>
  <si>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</si>
  <si>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</si>
  <si>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</si>
  <si>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</si>
  <si>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</si>
  <si>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</si>
  <si>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</si>
  <si>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</si>
  <si>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</si>
  <si>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</si>
  <si>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</si>
  <si>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</si>
  <si>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</si>
  <si>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</si>
  <si>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</si>
  <si>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</si>
  <si>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</si>
  <si>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</si>
  <si>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</si>
  <si>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</si>
  <si>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</si>
  <si>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</si>
  <si>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</si>
  <si>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</si>
  <si>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</si>
  <si>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</si>
  <si>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</si>
  <si>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</si>
  <si>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</si>
  <si>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</si>
  <si>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</si>
  <si>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</si>
  <si>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</si>
  <si>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</si>
  <si>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</si>
  <si>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</si>
  <si>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</si>
  <si>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</si>
  <si>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</si>
  <si>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</si>
  <si>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</si>
  <si>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</si>
  <si>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</si>
  <si>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</si>
  <si>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</si>
  <si>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</si>
  <si>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</si>
  <si>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</si>
  <si>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</si>
  <si>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</si>
  <si>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</si>
  <si>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</si>
  <si>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</si>
  <si>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</si>
  <si>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</si>
  <si>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</si>
  <si>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</si>
  <si>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</si>
  <si>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</si>
  <si>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</si>
  <si>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</si>
  <si>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</si>
  <si>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</si>
  <si>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</si>
  <si>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</si>
  <si>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</si>
  <si>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</si>
  <si>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</si>
  <si>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</si>
  <si>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</si>
  <si>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</si>
  <si>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</si>
  <si>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</si>
  <si>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</si>
  <si>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</si>
  <si>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</si>
  <si>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</si>
  <si>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</si>
  <si>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</si>
  <si>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</si>
  <si>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</si>
  <si>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</si>
  <si>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</si>
  <si>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</si>
  <si>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</si>
  <si>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</si>
  <si>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</si>
  <si>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</si>
  <si>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</si>
  <si>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</si>
  <si>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</si>
  <si>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</si>
  <si>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</si>
  <si>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</si>
  <si>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</si>
  <si>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</si>
  <si>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</si>
  <si>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</si>
  <si>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</si>
  <si>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</si>
  <si>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</si>
  <si>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</si>
  <si>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</si>
  <si>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</si>
  <si>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</si>
  <si>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</si>
  <si>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</si>
  <si>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 xml:space="preserve">PROFRA. JUANA RANGEL PALACIOS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</si>
</sst>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3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3" fontId="2" numFmtId="1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bottom"/>
    </xf>
    <xf borderId="44" fillId="0" fontId="2" numFmtId="0" xfId="0" applyBorder="1" applyFont="1"/>
    <xf borderId="44" fillId="0" fontId="2" numFmtId="2" xfId="0" applyBorder="1" applyFont="1" applyNumberFormat="1"/>
    <xf borderId="0" fillId="0" fontId="2" numFmtId="1" xfId="0" applyAlignment="1" applyFont="1" applyNumberFormat="1">
      <alignment vertical="top"/>
    </xf>
    <xf borderId="23" fillId="3" fontId="1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266700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257175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75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276225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247650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238125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5.0</v>
      </c>
      <c r="F17" s="49">
        <v>1.0</v>
      </c>
      <c r="G17" s="49">
        <v>0.5</v>
      </c>
      <c r="H17" s="50">
        <f t="shared" ref="H17:H63" si="1">SUM(E17:G17)</f>
        <v>6.5</v>
      </c>
      <c r="I17" s="51">
        <v>0.0</v>
      </c>
      <c r="J17" s="52">
        <f t="shared" ref="J17:J63" si="2">IF(H17&lt;6, 5, MIN(ROUND(H17, 0), 10))</f>
        <v>7</v>
      </c>
      <c r="K17" s="53"/>
      <c r="L17" s="54">
        <f t="shared" ref="L17:L63" si="3">IF(H17&gt;=6,ROUND(H17,0),TRUNC(H17,0))</f>
        <v>7</v>
      </c>
      <c r="M17" s="55" t="s">
        <v>24</v>
      </c>
      <c r="N17" s="24"/>
      <c r="O17" s="2"/>
      <c r="P17" s="2"/>
      <c r="Q17" s="2"/>
    </row>
    <row r="18" ht="24.75" customHeight="1">
      <c r="A18" s="44">
        <v>2.0</v>
      </c>
      <c r="B18" s="56" t="s">
        <v>25</v>
      </c>
      <c r="C18" s="46" t="s">
        <v>26</v>
      </c>
      <c r="D18" s="57" t="s">
        <v>27</v>
      </c>
      <c r="E18" s="48">
        <v>5.0</v>
      </c>
      <c r="F18" s="49">
        <v>1.0</v>
      </c>
      <c r="G18" s="50"/>
      <c r="H18" s="50">
        <f t="shared" si="1"/>
        <v>6</v>
      </c>
      <c r="I18" s="51">
        <v>1.0</v>
      </c>
      <c r="J18" s="52">
        <f t="shared" si="2"/>
        <v>6</v>
      </c>
      <c r="K18" s="44"/>
      <c r="L18" s="54">
        <f t="shared" si="3"/>
        <v>6</v>
      </c>
      <c r="M18" s="58" t="s">
        <v>28</v>
      </c>
      <c r="N18" s="51">
        <v>12.0</v>
      </c>
      <c r="O18" s="2"/>
      <c r="P18" s="2"/>
      <c r="Q18" s="2"/>
    </row>
    <row r="19" ht="24.75" customHeight="1">
      <c r="A19" s="44">
        <v>3.0</v>
      </c>
      <c r="B19" s="56" t="s">
        <v>29</v>
      </c>
      <c r="C19" s="46" t="s">
        <v>30</v>
      </c>
      <c r="D19" s="57" t="s">
        <v>31</v>
      </c>
      <c r="E19" s="48">
        <v>4.8</v>
      </c>
      <c r="F19" s="49">
        <v>1.2</v>
      </c>
      <c r="G19" s="50"/>
      <c r="H19" s="50">
        <f t="shared" si="1"/>
        <v>6</v>
      </c>
      <c r="I19" s="51">
        <v>1.0</v>
      </c>
      <c r="J19" s="52">
        <f t="shared" si="2"/>
        <v>6</v>
      </c>
      <c r="K19" s="44"/>
      <c r="L19" s="54">
        <f t="shared" si="3"/>
        <v>6</v>
      </c>
      <c r="M19" s="58" t="s">
        <v>32</v>
      </c>
      <c r="N19" s="51">
        <v>15.0</v>
      </c>
      <c r="O19" s="2"/>
      <c r="P19" s="2"/>
      <c r="Q19" s="2"/>
    </row>
    <row r="20" ht="24.75" customHeight="1">
      <c r="A20" s="44">
        <v>4.0</v>
      </c>
      <c r="B20" s="56" t="s">
        <v>33</v>
      </c>
      <c r="C20" s="46" t="s">
        <v>26</v>
      </c>
      <c r="D20" s="57" t="s">
        <v>34</v>
      </c>
      <c r="E20" s="48">
        <v>4.5</v>
      </c>
      <c r="F20" s="49">
        <v>1.6</v>
      </c>
      <c r="G20" s="49">
        <v>1.0</v>
      </c>
      <c r="H20" s="50">
        <f t="shared" si="1"/>
        <v>7.1</v>
      </c>
      <c r="I20" s="51">
        <v>2.0</v>
      </c>
      <c r="J20" s="52">
        <f t="shared" si="2"/>
        <v>7</v>
      </c>
      <c r="K20" s="44"/>
      <c r="L20" s="54">
        <f t="shared" si="3"/>
        <v>7</v>
      </c>
      <c r="M20" s="58" t="s">
        <v>35</v>
      </c>
      <c r="N20" s="44"/>
      <c r="O20" s="2"/>
      <c r="P20" s="2"/>
      <c r="Q20" s="2"/>
    </row>
    <row r="21" ht="24.75" customHeight="1">
      <c r="A21" s="44">
        <v>5.0</v>
      </c>
      <c r="B21" s="56" t="s">
        <v>36</v>
      </c>
      <c r="C21" s="46" t="s">
        <v>37</v>
      </c>
      <c r="D21" s="57" t="s">
        <v>38</v>
      </c>
      <c r="E21" s="48">
        <v>5.4</v>
      </c>
      <c r="F21" s="49">
        <v>1.4</v>
      </c>
      <c r="G21" s="50"/>
      <c r="H21" s="50">
        <f t="shared" si="1"/>
        <v>6.8</v>
      </c>
      <c r="I21" s="51">
        <v>0.0</v>
      </c>
      <c r="J21" s="52">
        <f t="shared" si="2"/>
        <v>7</v>
      </c>
      <c r="K21" s="44"/>
      <c r="L21" s="54">
        <f t="shared" si="3"/>
        <v>7</v>
      </c>
      <c r="M21" s="58" t="s">
        <v>39</v>
      </c>
      <c r="N21" s="44"/>
      <c r="O21" s="2"/>
      <c r="P21" s="2"/>
      <c r="Q21" s="2"/>
    </row>
    <row r="22" ht="24.75" customHeight="1">
      <c r="A22" s="44">
        <v>6.0</v>
      </c>
      <c r="B22" s="56" t="s">
        <v>40</v>
      </c>
      <c r="C22" s="46" t="s">
        <v>41</v>
      </c>
      <c r="D22" s="57" t="s">
        <v>42</v>
      </c>
      <c r="E22" s="48">
        <v>5.5</v>
      </c>
      <c r="F22" s="49">
        <v>1.6</v>
      </c>
      <c r="G22" s="50"/>
      <c r="H22" s="50">
        <f t="shared" si="1"/>
        <v>7.1</v>
      </c>
      <c r="I22" s="51">
        <v>2.0</v>
      </c>
      <c r="J22" s="52">
        <f t="shared" si="2"/>
        <v>7</v>
      </c>
      <c r="K22" s="44"/>
      <c r="L22" s="54">
        <f t="shared" si="3"/>
        <v>7</v>
      </c>
      <c r="M22" s="58" t="s">
        <v>43</v>
      </c>
      <c r="N22" s="44"/>
      <c r="O22" s="2"/>
      <c r="P22" s="2"/>
      <c r="Q22" s="2"/>
    </row>
    <row r="23" ht="24.75" customHeight="1">
      <c r="A23" s="44">
        <v>7.0</v>
      </c>
      <c r="B23" s="56" t="s">
        <v>44</v>
      </c>
      <c r="C23" s="46" t="s">
        <v>45</v>
      </c>
      <c r="D23" s="57" t="s">
        <v>46</v>
      </c>
      <c r="E23" s="48">
        <v>2.5</v>
      </c>
      <c r="F23" s="49">
        <v>0.8</v>
      </c>
      <c r="G23" s="50"/>
      <c r="H23" s="50">
        <f t="shared" si="1"/>
        <v>3.3</v>
      </c>
      <c r="I23" s="51">
        <v>1.0</v>
      </c>
      <c r="J23" s="52">
        <f t="shared" si="2"/>
        <v>5</v>
      </c>
      <c r="K23" s="44"/>
      <c r="L23" s="54">
        <f t="shared" si="3"/>
        <v>3</v>
      </c>
      <c r="M23" s="58" t="s">
        <v>47</v>
      </c>
      <c r="N23" s="44"/>
      <c r="O23" s="2"/>
      <c r="P23" s="2"/>
      <c r="Q23" s="2"/>
    </row>
    <row r="24" ht="24.75" customHeight="1">
      <c r="A24" s="44">
        <v>8.0</v>
      </c>
      <c r="B24" s="56" t="s">
        <v>48</v>
      </c>
      <c r="C24" s="46" t="s">
        <v>49</v>
      </c>
      <c r="D24" s="57" t="s">
        <v>50</v>
      </c>
      <c r="E24" s="48">
        <v>6.0</v>
      </c>
      <c r="F24" s="49">
        <v>1.2</v>
      </c>
      <c r="G24" s="50"/>
      <c r="H24" s="50">
        <f t="shared" si="1"/>
        <v>7.2</v>
      </c>
      <c r="I24" s="51">
        <v>0.0</v>
      </c>
      <c r="J24" s="52">
        <f t="shared" si="2"/>
        <v>7</v>
      </c>
      <c r="K24" s="44"/>
      <c r="L24" s="54">
        <f t="shared" si="3"/>
        <v>7</v>
      </c>
      <c r="M24" s="58" t="s">
        <v>51</v>
      </c>
      <c r="N24" s="58">
        <f>SUM(N18:N23)</f>
        <v>27</v>
      </c>
      <c r="O24" s="2"/>
      <c r="P24" s="2"/>
      <c r="Q24" s="2"/>
    </row>
    <row r="25" ht="24.75" customHeight="1">
      <c r="A25" s="44">
        <v>9.0</v>
      </c>
      <c r="B25" s="56" t="s">
        <v>52</v>
      </c>
      <c r="C25" s="46" t="s">
        <v>30</v>
      </c>
      <c r="D25" s="57" t="s">
        <v>53</v>
      </c>
      <c r="E25" s="48">
        <v>5.1</v>
      </c>
      <c r="F25" s="49">
        <v>1.8</v>
      </c>
      <c r="G25" s="50"/>
      <c r="H25" s="50">
        <f t="shared" si="1"/>
        <v>6.9</v>
      </c>
      <c r="I25" s="51">
        <v>0.0</v>
      </c>
      <c r="J25" s="52">
        <f t="shared" si="2"/>
        <v>7</v>
      </c>
      <c r="K25" s="44"/>
      <c r="L25" s="54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56" t="s">
        <v>54</v>
      </c>
      <c r="C26" s="46" t="s">
        <v>55</v>
      </c>
      <c r="D26" s="57" t="s">
        <v>56</v>
      </c>
      <c r="E26" s="48">
        <v>5.0</v>
      </c>
      <c r="F26" s="49">
        <v>1.2</v>
      </c>
      <c r="G26" s="49">
        <v>0.5</v>
      </c>
      <c r="H26" s="50">
        <f t="shared" si="1"/>
        <v>6.7</v>
      </c>
      <c r="I26" s="51">
        <v>1.0</v>
      </c>
      <c r="J26" s="52">
        <f t="shared" si="2"/>
        <v>7</v>
      </c>
      <c r="K26" s="44"/>
      <c r="L26" s="54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56" t="s">
        <v>30</v>
      </c>
      <c r="C27" s="46" t="s">
        <v>57</v>
      </c>
      <c r="D27" s="46" t="s">
        <v>58</v>
      </c>
      <c r="E27" s="48">
        <v>4.6</v>
      </c>
      <c r="F27" s="49">
        <v>1.2</v>
      </c>
      <c r="G27" s="50"/>
      <c r="H27" s="50">
        <f t="shared" si="1"/>
        <v>5.8</v>
      </c>
      <c r="I27" s="51">
        <v>0.0</v>
      </c>
      <c r="J27" s="52">
        <f t="shared" si="2"/>
        <v>5</v>
      </c>
      <c r="K27" s="44"/>
      <c r="L27" s="54">
        <f t="shared" si="3"/>
        <v>5</v>
      </c>
      <c r="M27" s="1"/>
      <c r="N27" s="1"/>
      <c r="O27" s="2"/>
      <c r="P27" s="2"/>
      <c r="Q27" s="2"/>
    </row>
    <row r="28" ht="24.75" customHeight="1">
      <c r="A28" s="44">
        <v>12.0</v>
      </c>
      <c r="B28" s="56" t="s">
        <v>22</v>
      </c>
      <c r="C28" s="46" t="s">
        <v>59</v>
      </c>
      <c r="D28" s="57" t="s">
        <v>60</v>
      </c>
      <c r="E28" s="48">
        <v>4.7</v>
      </c>
      <c r="F28" s="49">
        <v>1.6</v>
      </c>
      <c r="G28" s="50"/>
      <c r="H28" s="50">
        <f t="shared" si="1"/>
        <v>6.3</v>
      </c>
      <c r="I28" s="51">
        <v>0.0</v>
      </c>
      <c r="J28" s="52">
        <f t="shared" si="2"/>
        <v>6</v>
      </c>
      <c r="K28" s="44"/>
      <c r="L28" s="54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56" t="s">
        <v>61</v>
      </c>
      <c r="C29" s="46" t="s">
        <v>22</v>
      </c>
      <c r="D29" s="57" t="s">
        <v>62</v>
      </c>
      <c r="E29" s="48">
        <v>4.7</v>
      </c>
      <c r="F29" s="49">
        <v>0.8</v>
      </c>
      <c r="G29" s="50"/>
      <c r="H29" s="50">
        <f t="shared" si="1"/>
        <v>5.5</v>
      </c>
      <c r="I29" s="51">
        <v>1.0</v>
      </c>
      <c r="J29" s="52">
        <f t="shared" si="2"/>
        <v>5</v>
      </c>
      <c r="K29" s="44"/>
      <c r="L29" s="54">
        <f t="shared" si="3"/>
        <v>5</v>
      </c>
      <c r="M29" s="1"/>
      <c r="N29" s="1"/>
      <c r="O29" s="2"/>
      <c r="P29" s="2"/>
      <c r="Q29" s="2"/>
    </row>
    <row r="30" ht="24.75" customHeight="1">
      <c r="A30" s="44">
        <v>14.0</v>
      </c>
      <c r="B30" s="56" t="s">
        <v>61</v>
      </c>
      <c r="C30" s="46" t="s">
        <v>63</v>
      </c>
      <c r="D30" s="57" t="s">
        <v>64</v>
      </c>
      <c r="E30" s="48">
        <v>3.3</v>
      </c>
      <c r="F30" s="49">
        <v>1.2</v>
      </c>
      <c r="G30" s="49">
        <v>0.5</v>
      </c>
      <c r="H30" s="50">
        <f t="shared" si="1"/>
        <v>5</v>
      </c>
      <c r="I30" s="51">
        <v>0.0</v>
      </c>
      <c r="J30" s="52">
        <f t="shared" si="2"/>
        <v>5</v>
      </c>
      <c r="K30" s="44"/>
      <c r="L30" s="54">
        <f t="shared" si="3"/>
        <v>5</v>
      </c>
      <c r="M30" s="1"/>
      <c r="N30" s="1"/>
      <c r="O30" s="2"/>
      <c r="P30" s="2"/>
      <c r="Q30" s="2"/>
    </row>
    <row r="31" ht="24.75" customHeight="1">
      <c r="A31" s="44">
        <v>15.0</v>
      </c>
      <c r="B31" s="56" t="s">
        <v>61</v>
      </c>
      <c r="C31" s="46" t="s">
        <v>65</v>
      </c>
      <c r="D31" s="57" t="s">
        <v>27</v>
      </c>
      <c r="E31" s="48">
        <v>7.0</v>
      </c>
      <c r="F31" s="49">
        <v>2.0</v>
      </c>
      <c r="G31" s="49">
        <v>1.0</v>
      </c>
      <c r="H31" s="50">
        <f t="shared" si="1"/>
        <v>10</v>
      </c>
      <c r="I31" s="51">
        <v>0.0</v>
      </c>
      <c r="J31" s="52">
        <f t="shared" si="2"/>
        <v>10</v>
      </c>
      <c r="K31" s="44"/>
      <c r="L31" s="54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6" t="s">
        <v>66</v>
      </c>
      <c r="C32" s="46" t="s">
        <v>67</v>
      </c>
      <c r="D32" s="57" t="s">
        <v>68</v>
      </c>
      <c r="E32" s="48">
        <v>4.2</v>
      </c>
      <c r="F32" s="49">
        <v>0.6</v>
      </c>
      <c r="G32" s="50"/>
      <c r="H32" s="50">
        <f t="shared" si="1"/>
        <v>4.8</v>
      </c>
      <c r="I32" s="51">
        <v>0.0</v>
      </c>
      <c r="J32" s="52">
        <f t="shared" si="2"/>
        <v>5</v>
      </c>
      <c r="K32" s="44"/>
      <c r="L32" s="54">
        <f t="shared" si="3"/>
        <v>4</v>
      </c>
      <c r="M32" s="1"/>
      <c r="N32" s="1"/>
      <c r="O32" s="2"/>
      <c r="P32" s="2"/>
      <c r="Q32" s="2"/>
    </row>
    <row r="33" ht="24.75" customHeight="1">
      <c r="A33" s="44">
        <v>17.0</v>
      </c>
      <c r="B33" s="56" t="s">
        <v>69</v>
      </c>
      <c r="C33" s="46" t="s">
        <v>70</v>
      </c>
      <c r="D33" s="57" t="s">
        <v>71</v>
      </c>
      <c r="E33" s="48">
        <v>6.0</v>
      </c>
      <c r="F33" s="49">
        <v>2.0</v>
      </c>
      <c r="G33" s="49">
        <v>1.0</v>
      </c>
      <c r="H33" s="50">
        <f t="shared" si="1"/>
        <v>9</v>
      </c>
      <c r="I33" s="51">
        <v>2.0</v>
      </c>
      <c r="J33" s="52">
        <f t="shared" si="2"/>
        <v>9</v>
      </c>
      <c r="K33" s="44"/>
      <c r="L33" s="54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56" t="s">
        <v>41</v>
      </c>
      <c r="C34" s="46" t="s">
        <v>72</v>
      </c>
      <c r="D34" s="57" t="s">
        <v>73</v>
      </c>
      <c r="E34" s="48">
        <v>4.1</v>
      </c>
      <c r="F34" s="49">
        <v>1.0</v>
      </c>
      <c r="G34" s="50"/>
      <c r="H34" s="50">
        <f t="shared" si="1"/>
        <v>5.1</v>
      </c>
      <c r="I34" s="51">
        <v>0.0</v>
      </c>
      <c r="J34" s="52">
        <f t="shared" si="2"/>
        <v>5</v>
      </c>
      <c r="K34" s="44"/>
      <c r="L34" s="54">
        <f t="shared" si="3"/>
        <v>5</v>
      </c>
      <c r="M34" s="1"/>
      <c r="N34" s="1"/>
      <c r="O34" s="2"/>
      <c r="P34" s="2"/>
      <c r="Q34" s="2"/>
    </row>
    <row r="35" ht="24.75" customHeight="1">
      <c r="A35" s="44">
        <v>19.0</v>
      </c>
      <c r="B35" s="56" t="s">
        <v>41</v>
      </c>
      <c r="C35" s="46" t="s">
        <v>74</v>
      </c>
      <c r="D35" s="57" t="s">
        <v>75</v>
      </c>
      <c r="E35" s="48">
        <v>5.4</v>
      </c>
      <c r="F35" s="49">
        <v>1.6</v>
      </c>
      <c r="G35" s="49">
        <v>1.0</v>
      </c>
      <c r="H35" s="50">
        <f t="shared" si="1"/>
        <v>8</v>
      </c>
      <c r="I35" s="51">
        <v>0.0</v>
      </c>
      <c r="J35" s="52">
        <f t="shared" si="2"/>
        <v>8</v>
      </c>
      <c r="K35" s="44"/>
      <c r="L35" s="54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56" t="s">
        <v>76</v>
      </c>
      <c r="C36" s="46" t="s">
        <v>77</v>
      </c>
      <c r="D36" s="57" t="s">
        <v>78</v>
      </c>
      <c r="E36" s="48">
        <v>6.3</v>
      </c>
      <c r="F36" s="49">
        <v>2.0</v>
      </c>
      <c r="G36" s="49">
        <v>1.0</v>
      </c>
      <c r="H36" s="50">
        <f t="shared" si="1"/>
        <v>9.3</v>
      </c>
      <c r="I36" s="51">
        <v>0.0</v>
      </c>
      <c r="J36" s="52">
        <f t="shared" si="2"/>
        <v>9</v>
      </c>
      <c r="K36" s="44"/>
      <c r="L36" s="54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56" t="s">
        <v>79</v>
      </c>
      <c r="C37" s="46" t="s">
        <v>22</v>
      </c>
      <c r="D37" s="57" t="s">
        <v>80</v>
      </c>
      <c r="E37" s="48">
        <v>6.6</v>
      </c>
      <c r="F37" s="49">
        <v>1.6</v>
      </c>
      <c r="G37" s="49">
        <v>1.0</v>
      </c>
      <c r="H37" s="50">
        <f t="shared" si="1"/>
        <v>9.2</v>
      </c>
      <c r="I37" s="51">
        <v>0.0</v>
      </c>
      <c r="J37" s="52">
        <f t="shared" si="2"/>
        <v>9</v>
      </c>
      <c r="K37" s="44"/>
      <c r="L37" s="54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6" t="s">
        <v>79</v>
      </c>
      <c r="C38" s="46" t="s">
        <v>81</v>
      </c>
      <c r="D38" s="57" t="s">
        <v>82</v>
      </c>
      <c r="E38" s="48">
        <v>6.5</v>
      </c>
      <c r="F38" s="49">
        <v>2.0</v>
      </c>
      <c r="G38" s="50"/>
      <c r="H38" s="50">
        <f t="shared" si="1"/>
        <v>8.5</v>
      </c>
      <c r="I38" s="51">
        <v>0.0</v>
      </c>
      <c r="J38" s="52">
        <f t="shared" si="2"/>
        <v>9</v>
      </c>
      <c r="K38" s="44"/>
      <c r="L38" s="54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6" t="s">
        <v>79</v>
      </c>
      <c r="C39" s="46" t="s">
        <v>83</v>
      </c>
      <c r="D39" s="57" t="s">
        <v>84</v>
      </c>
      <c r="E39" s="48">
        <v>4.5</v>
      </c>
      <c r="F39" s="49">
        <v>1.8</v>
      </c>
      <c r="G39" s="50"/>
      <c r="H39" s="50">
        <f t="shared" si="1"/>
        <v>6.3</v>
      </c>
      <c r="I39" s="51">
        <v>1.0</v>
      </c>
      <c r="J39" s="52">
        <f t="shared" si="2"/>
        <v>6</v>
      </c>
      <c r="K39" s="44"/>
      <c r="L39" s="54">
        <f t="shared" si="3"/>
        <v>6</v>
      </c>
      <c r="M39" s="1"/>
      <c r="N39" s="1"/>
      <c r="O39" s="2"/>
      <c r="P39" s="2"/>
      <c r="Q39" s="2"/>
    </row>
    <row r="40" ht="24.75" customHeight="1">
      <c r="A40" s="44">
        <v>24.0</v>
      </c>
      <c r="B40" s="56" t="s">
        <v>85</v>
      </c>
      <c r="C40" s="46" t="s">
        <v>54</v>
      </c>
      <c r="D40" s="57" t="s">
        <v>86</v>
      </c>
      <c r="E40" s="48">
        <v>3.5</v>
      </c>
      <c r="F40" s="49">
        <v>0.7</v>
      </c>
      <c r="G40" s="50"/>
      <c r="H40" s="50">
        <f t="shared" si="1"/>
        <v>4.2</v>
      </c>
      <c r="I40" s="51">
        <v>2.0</v>
      </c>
      <c r="J40" s="52">
        <f t="shared" si="2"/>
        <v>5</v>
      </c>
      <c r="K40" s="44"/>
      <c r="L40" s="54">
        <f t="shared" si="3"/>
        <v>4</v>
      </c>
      <c r="M40" s="1"/>
      <c r="N40" s="1"/>
      <c r="O40" s="2"/>
      <c r="P40" s="2"/>
      <c r="Q40" s="2"/>
    </row>
    <row r="41" ht="24.75" customHeight="1">
      <c r="A41" s="44">
        <v>25.0</v>
      </c>
      <c r="B41" s="56" t="s">
        <v>87</v>
      </c>
      <c r="C41" s="46" t="s">
        <v>88</v>
      </c>
      <c r="D41" s="57" t="s">
        <v>89</v>
      </c>
      <c r="E41" s="48">
        <v>5.0</v>
      </c>
      <c r="F41" s="49">
        <v>1.0</v>
      </c>
      <c r="G41" s="50"/>
      <c r="H41" s="50">
        <f t="shared" si="1"/>
        <v>6</v>
      </c>
      <c r="I41" s="51">
        <v>0.0</v>
      </c>
      <c r="J41" s="52">
        <f t="shared" si="2"/>
        <v>6</v>
      </c>
      <c r="K41" s="44"/>
      <c r="L41" s="54">
        <f t="shared" si="3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56" t="s">
        <v>90</v>
      </c>
      <c r="C42" s="46" t="s">
        <v>91</v>
      </c>
      <c r="D42" s="57" t="s">
        <v>62</v>
      </c>
      <c r="E42" s="48">
        <v>5.0</v>
      </c>
      <c r="F42" s="49">
        <v>1.2</v>
      </c>
      <c r="G42" s="50"/>
      <c r="H42" s="50">
        <f t="shared" si="1"/>
        <v>6.2</v>
      </c>
      <c r="I42" s="51">
        <v>0.0</v>
      </c>
      <c r="J42" s="52">
        <f t="shared" si="2"/>
        <v>6</v>
      </c>
      <c r="K42" s="44"/>
      <c r="L42" s="54">
        <f t="shared" si="3"/>
        <v>6</v>
      </c>
      <c r="M42" s="1"/>
      <c r="N42" s="1"/>
      <c r="O42" s="2"/>
      <c r="P42" s="2"/>
      <c r="Q42" s="2"/>
    </row>
    <row r="43" ht="24.75" customHeight="1">
      <c r="A43" s="44">
        <v>27.0</v>
      </c>
      <c r="B43" s="56" t="s">
        <v>90</v>
      </c>
      <c r="C43" s="46" t="s">
        <v>92</v>
      </c>
      <c r="D43" s="57" t="s">
        <v>93</v>
      </c>
      <c r="E43" s="48">
        <v>5.4</v>
      </c>
      <c r="F43" s="49">
        <v>1.4</v>
      </c>
      <c r="G43" s="49">
        <v>1.0</v>
      </c>
      <c r="H43" s="50">
        <f t="shared" si="1"/>
        <v>7.8</v>
      </c>
      <c r="I43" s="51">
        <v>0.0</v>
      </c>
      <c r="J43" s="52">
        <f t="shared" si="2"/>
        <v>8</v>
      </c>
      <c r="K43" s="44"/>
      <c r="L43" s="54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56" t="s">
        <v>94</v>
      </c>
      <c r="C44" s="46" t="s">
        <v>22</v>
      </c>
      <c r="D44" s="57" t="s">
        <v>95</v>
      </c>
      <c r="E44" s="48">
        <v>5.2</v>
      </c>
      <c r="F44" s="49">
        <v>1.6</v>
      </c>
      <c r="G44" s="50"/>
      <c r="H44" s="50">
        <f t="shared" si="1"/>
        <v>6.8</v>
      </c>
      <c r="I44" s="51">
        <v>1.0</v>
      </c>
      <c r="J44" s="52">
        <f t="shared" si="2"/>
        <v>7</v>
      </c>
      <c r="K44" s="44"/>
      <c r="L44" s="54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6" t="s">
        <v>96</v>
      </c>
      <c r="C45" s="46" t="s">
        <v>97</v>
      </c>
      <c r="D45" s="57" t="s">
        <v>98</v>
      </c>
      <c r="E45" s="48">
        <v>5.0</v>
      </c>
      <c r="F45" s="49">
        <v>1.0</v>
      </c>
      <c r="G45" s="50"/>
      <c r="H45" s="50">
        <f t="shared" si="1"/>
        <v>6</v>
      </c>
      <c r="I45" s="51">
        <v>0.0</v>
      </c>
      <c r="J45" s="52">
        <f t="shared" si="2"/>
        <v>6</v>
      </c>
      <c r="K45" s="44"/>
      <c r="L45" s="54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56" t="s">
        <v>99</v>
      </c>
      <c r="C46" s="46" t="s">
        <v>92</v>
      </c>
      <c r="D46" s="57" t="s">
        <v>100</v>
      </c>
      <c r="E46" s="48">
        <v>4.8</v>
      </c>
      <c r="F46" s="49">
        <v>1.4</v>
      </c>
      <c r="G46" s="50"/>
      <c r="H46" s="50">
        <f t="shared" si="1"/>
        <v>6.2</v>
      </c>
      <c r="I46" s="51">
        <v>0.0</v>
      </c>
      <c r="J46" s="52">
        <f t="shared" si="2"/>
        <v>6</v>
      </c>
      <c r="K46" s="44"/>
      <c r="L46" s="54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56" t="s">
        <v>92</v>
      </c>
      <c r="C47" s="46" t="s">
        <v>101</v>
      </c>
      <c r="D47" s="57" t="s">
        <v>102</v>
      </c>
      <c r="E47" s="48">
        <v>6.8</v>
      </c>
      <c r="F47" s="49">
        <v>2.0</v>
      </c>
      <c r="G47" s="49">
        <v>1.5</v>
      </c>
      <c r="H47" s="50">
        <f t="shared" si="1"/>
        <v>10.3</v>
      </c>
      <c r="I47" s="51">
        <v>0.0</v>
      </c>
      <c r="J47" s="52">
        <f t="shared" si="2"/>
        <v>10</v>
      </c>
      <c r="K47" s="44"/>
      <c r="L47" s="54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6" t="s">
        <v>103</v>
      </c>
      <c r="C48" s="53" t="s">
        <v>104</v>
      </c>
      <c r="D48" s="57" t="s">
        <v>105</v>
      </c>
      <c r="E48" s="48">
        <v>5.5</v>
      </c>
      <c r="F48" s="49">
        <v>1.6</v>
      </c>
      <c r="G48" s="49">
        <v>1.0</v>
      </c>
      <c r="H48" s="50">
        <f t="shared" si="1"/>
        <v>8.1</v>
      </c>
      <c r="I48" s="51">
        <v>0.0</v>
      </c>
      <c r="J48" s="52">
        <f t="shared" si="2"/>
        <v>8</v>
      </c>
      <c r="K48" s="44"/>
      <c r="L48" s="54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56" t="s">
        <v>103</v>
      </c>
      <c r="C49" s="53" t="s">
        <v>106</v>
      </c>
      <c r="D49" s="57" t="s">
        <v>107</v>
      </c>
      <c r="E49" s="48">
        <v>5.0</v>
      </c>
      <c r="F49" s="49">
        <v>1.4</v>
      </c>
      <c r="G49" s="50"/>
      <c r="H49" s="50">
        <f t="shared" si="1"/>
        <v>6.4</v>
      </c>
      <c r="I49" s="51">
        <v>0.0</v>
      </c>
      <c r="J49" s="52">
        <f t="shared" si="2"/>
        <v>6</v>
      </c>
      <c r="K49" s="44"/>
      <c r="L49" s="54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56" t="s">
        <v>103</v>
      </c>
      <c r="C50" s="53" t="s">
        <v>108</v>
      </c>
      <c r="D50" s="57" t="s">
        <v>102</v>
      </c>
      <c r="E50" s="48">
        <v>5.2</v>
      </c>
      <c r="F50" s="49">
        <v>1.0</v>
      </c>
      <c r="G50" s="50"/>
      <c r="H50" s="50">
        <f t="shared" si="1"/>
        <v>6.2</v>
      </c>
      <c r="I50" s="51">
        <v>0.0</v>
      </c>
      <c r="J50" s="52">
        <f t="shared" si="2"/>
        <v>6</v>
      </c>
      <c r="K50" s="44"/>
      <c r="L50" s="54">
        <f t="shared" si="3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56" t="s">
        <v>109</v>
      </c>
      <c r="C51" s="53" t="s">
        <v>110</v>
      </c>
      <c r="D51" s="57" t="s">
        <v>111</v>
      </c>
      <c r="E51" s="48">
        <v>5.4</v>
      </c>
      <c r="F51" s="49">
        <v>1.0</v>
      </c>
      <c r="G51" s="50"/>
      <c r="H51" s="50">
        <f t="shared" si="1"/>
        <v>6.4</v>
      </c>
      <c r="I51" s="51">
        <v>0.0</v>
      </c>
      <c r="J51" s="52">
        <f t="shared" si="2"/>
        <v>6</v>
      </c>
      <c r="K51" s="44"/>
      <c r="L51" s="53">
        <f t="shared" si="3"/>
        <v>6</v>
      </c>
      <c r="M51" s="1"/>
      <c r="N51" s="1"/>
      <c r="O51" s="2"/>
      <c r="P51" s="2"/>
      <c r="Q51" s="2"/>
    </row>
    <row r="52" ht="24.75" customHeight="1">
      <c r="A52" s="44">
        <v>36.0</v>
      </c>
      <c r="B52" s="56" t="s">
        <v>63</v>
      </c>
      <c r="C52" s="53" t="s">
        <v>112</v>
      </c>
      <c r="D52" s="57" t="s">
        <v>113</v>
      </c>
      <c r="E52" s="48">
        <v>5.1</v>
      </c>
      <c r="F52" s="49">
        <v>1.2</v>
      </c>
      <c r="G52" s="50"/>
      <c r="H52" s="50">
        <f t="shared" si="1"/>
        <v>6.3</v>
      </c>
      <c r="I52" s="51">
        <v>0.0</v>
      </c>
      <c r="J52" s="52">
        <f t="shared" si="2"/>
        <v>6</v>
      </c>
      <c r="K52" s="44"/>
      <c r="L52" s="53">
        <f t="shared" si="3"/>
        <v>6</v>
      </c>
      <c r="M52" s="1"/>
      <c r="N52" s="1"/>
      <c r="O52" s="2"/>
      <c r="P52" s="2"/>
      <c r="Q52" s="2"/>
    </row>
    <row r="53" ht="24.75" customHeight="1">
      <c r="A53" s="44">
        <v>37.0</v>
      </c>
      <c r="B53" s="56" t="s">
        <v>114</v>
      </c>
      <c r="C53" s="53" t="s">
        <v>104</v>
      </c>
      <c r="D53" s="57" t="s">
        <v>115</v>
      </c>
      <c r="E53" s="48">
        <v>4.5</v>
      </c>
      <c r="F53" s="49">
        <v>1.2</v>
      </c>
      <c r="G53" s="50"/>
      <c r="H53" s="50">
        <f t="shared" si="1"/>
        <v>5.7</v>
      </c>
      <c r="I53" s="51">
        <v>2.0</v>
      </c>
      <c r="J53" s="52">
        <f t="shared" si="2"/>
        <v>5</v>
      </c>
      <c r="K53" s="44"/>
      <c r="L53" s="53">
        <f t="shared" si="3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56" t="s">
        <v>114</v>
      </c>
      <c r="C54" s="53" t="s">
        <v>22</v>
      </c>
      <c r="D54" s="57" t="s">
        <v>116</v>
      </c>
      <c r="E54" s="48">
        <v>5.1</v>
      </c>
      <c r="F54" s="49">
        <v>1.6</v>
      </c>
      <c r="G54" s="50"/>
      <c r="H54" s="50">
        <f t="shared" si="1"/>
        <v>6.7</v>
      </c>
      <c r="I54" s="51">
        <v>0.0</v>
      </c>
      <c r="J54" s="52">
        <f t="shared" si="2"/>
        <v>7</v>
      </c>
      <c r="K54" s="44"/>
      <c r="L54" s="53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56" t="s">
        <v>114</v>
      </c>
      <c r="C55" s="53" t="s">
        <v>117</v>
      </c>
      <c r="D55" s="57" t="s">
        <v>118</v>
      </c>
      <c r="E55" s="48">
        <v>4.9</v>
      </c>
      <c r="F55" s="49">
        <v>1.6</v>
      </c>
      <c r="G55" s="50"/>
      <c r="H55" s="50">
        <f t="shared" si="1"/>
        <v>6.5</v>
      </c>
      <c r="I55" s="51">
        <v>0.0</v>
      </c>
      <c r="J55" s="52">
        <f t="shared" si="2"/>
        <v>7</v>
      </c>
      <c r="K55" s="44"/>
      <c r="L55" s="53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56" t="s">
        <v>55</v>
      </c>
      <c r="C56" s="53" t="s">
        <v>81</v>
      </c>
      <c r="D56" s="57" t="s">
        <v>119</v>
      </c>
      <c r="E56" s="48">
        <v>5.2</v>
      </c>
      <c r="F56" s="49">
        <v>1.4</v>
      </c>
      <c r="G56" s="49">
        <v>1.0</v>
      </c>
      <c r="H56" s="50">
        <f t="shared" si="1"/>
        <v>7.6</v>
      </c>
      <c r="I56" s="51">
        <v>0.0</v>
      </c>
      <c r="J56" s="52">
        <f t="shared" si="2"/>
        <v>8</v>
      </c>
      <c r="K56" s="44"/>
      <c r="L56" s="53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6" t="s">
        <v>120</v>
      </c>
      <c r="C57" s="53" t="s">
        <v>121</v>
      </c>
      <c r="D57" s="57" t="s">
        <v>27</v>
      </c>
      <c r="E57" s="48">
        <v>5.2</v>
      </c>
      <c r="F57" s="49">
        <v>1.2</v>
      </c>
      <c r="G57" s="50"/>
      <c r="H57" s="50">
        <f t="shared" si="1"/>
        <v>6.4</v>
      </c>
      <c r="I57" s="51">
        <v>0.0</v>
      </c>
      <c r="J57" s="52">
        <f t="shared" si="2"/>
        <v>6</v>
      </c>
      <c r="K57" s="44"/>
      <c r="L57" s="53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56" t="s">
        <v>122</v>
      </c>
      <c r="C58" s="53" t="s">
        <v>123</v>
      </c>
      <c r="D58" s="57" t="s">
        <v>124</v>
      </c>
      <c r="E58" s="48">
        <v>5.4</v>
      </c>
      <c r="F58" s="49">
        <v>1.2</v>
      </c>
      <c r="G58" s="50"/>
      <c r="H58" s="50">
        <f t="shared" si="1"/>
        <v>6.6</v>
      </c>
      <c r="I58" s="51">
        <v>0.0</v>
      </c>
      <c r="J58" s="52">
        <f t="shared" si="2"/>
        <v>7</v>
      </c>
      <c r="K58" s="44"/>
      <c r="L58" s="53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6" t="s">
        <v>26</v>
      </c>
      <c r="C59" s="53" t="s">
        <v>125</v>
      </c>
      <c r="D59" s="57" t="s">
        <v>126</v>
      </c>
      <c r="E59" s="48">
        <v>4.8</v>
      </c>
      <c r="F59" s="49">
        <v>1.6</v>
      </c>
      <c r="G59" s="50"/>
      <c r="H59" s="50">
        <f t="shared" si="1"/>
        <v>6.4</v>
      </c>
      <c r="I59" s="51">
        <v>0.0</v>
      </c>
      <c r="J59" s="52">
        <f t="shared" si="2"/>
        <v>6</v>
      </c>
      <c r="K59" s="44"/>
      <c r="L59" s="53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56" t="s">
        <v>49</v>
      </c>
      <c r="C60" s="53" t="s">
        <v>79</v>
      </c>
      <c r="D60" s="57" t="s">
        <v>127</v>
      </c>
      <c r="E60" s="48">
        <v>5.3</v>
      </c>
      <c r="F60" s="49">
        <v>1.6</v>
      </c>
      <c r="G60" s="50"/>
      <c r="H60" s="50">
        <f t="shared" si="1"/>
        <v>6.9</v>
      </c>
      <c r="I60" s="51">
        <v>0.0</v>
      </c>
      <c r="J60" s="52">
        <f t="shared" si="2"/>
        <v>7</v>
      </c>
      <c r="K60" s="44"/>
      <c r="L60" s="53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56" t="s">
        <v>128</v>
      </c>
      <c r="C61" s="53" t="s">
        <v>129</v>
      </c>
      <c r="D61" s="57" t="s">
        <v>130</v>
      </c>
      <c r="E61" s="48">
        <v>5.6</v>
      </c>
      <c r="F61" s="49">
        <v>1.4</v>
      </c>
      <c r="G61" s="50"/>
      <c r="H61" s="50">
        <f t="shared" si="1"/>
        <v>7</v>
      </c>
      <c r="I61" s="51">
        <v>0.0</v>
      </c>
      <c r="J61" s="52">
        <f t="shared" si="2"/>
        <v>7</v>
      </c>
      <c r="K61" s="44"/>
      <c r="L61" s="53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6" t="s">
        <v>131</v>
      </c>
      <c r="C62" s="53" t="s">
        <v>132</v>
      </c>
      <c r="D62" s="57" t="s">
        <v>133</v>
      </c>
      <c r="E62" s="48">
        <v>6.5</v>
      </c>
      <c r="F62" s="49">
        <v>2.0</v>
      </c>
      <c r="G62" s="49">
        <v>1.0</v>
      </c>
      <c r="H62" s="50">
        <f t="shared" si="1"/>
        <v>9.5</v>
      </c>
      <c r="I62" s="49">
        <v>0.0</v>
      </c>
      <c r="J62" s="52">
        <f t="shared" si="2"/>
        <v>10</v>
      </c>
      <c r="K62" s="44"/>
      <c r="L62" s="53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6" t="s">
        <v>134</v>
      </c>
      <c r="C63" s="53" t="s">
        <v>63</v>
      </c>
      <c r="D63" s="57" t="s">
        <v>58</v>
      </c>
      <c r="E63" s="48">
        <v>5.1</v>
      </c>
      <c r="F63" s="49">
        <v>1.2</v>
      </c>
      <c r="G63" s="50"/>
      <c r="H63" s="50">
        <f t="shared" si="1"/>
        <v>6.3</v>
      </c>
      <c r="I63" s="49">
        <v>0.0</v>
      </c>
      <c r="J63" s="52">
        <f t="shared" si="2"/>
        <v>6</v>
      </c>
      <c r="K63" s="44"/>
      <c r="L63" s="53">
        <f t="shared" si="3"/>
        <v>6</v>
      </c>
      <c r="M63" s="1"/>
      <c r="N63" s="1"/>
      <c r="O63" s="2"/>
      <c r="P63" s="2"/>
      <c r="Q63" s="2"/>
    </row>
    <row r="64" ht="24.75" customHeight="1">
      <c r="A64" s="6"/>
      <c r="B64" s="59"/>
      <c r="C64" s="59"/>
      <c r="D64" s="11"/>
      <c r="E64" s="60"/>
      <c r="F64" s="60"/>
      <c r="G64" s="60"/>
      <c r="H64" s="60"/>
      <c r="I64" s="11"/>
      <c r="J64" s="59"/>
      <c r="K64" s="7"/>
      <c r="L64" s="59"/>
      <c r="M64" s="1"/>
      <c r="N64" s="1"/>
      <c r="O64" s="2"/>
      <c r="P64" s="2"/>
      <c r="Q64" s="2"/>
    </row>
    <row r="65" ht="24.75" customHeight="1">
      <c r="A65" s="1"/>
      <c r="B65" s="61" t="s">
        <v>135</v>
      </c>
      <c r="C65" s="62"/>
      <c r="D65" s="63">
        <f>COUNT(A17:A63)</f>
        <v>47</v>
      </c>
      <c r="E65" s="60"/>
      <c r="F65" s="64" t="s">
        <v>136</v>
      </c>
      <c r="G65" s="60"/>
      <c r="H65" s="64" t="s">
        <v>137</v>
      </c>
      <c r="J65" s="65" t="s">
        <v>138</v>
      </c>
      <c r="K65" s="66" t="s">
        <v>139</v>
      </c>
      <c r="L65" s="59"/>
      <c r="M65" s="1"/>
      <c r="N65" s="1"/>
      <c r="O65" s="2"/>
      <c r="P65" s="2"/>
      <c r="Q65" s="2"/>
    </row>
    <row r="66" ht="24.75" customHeight="1">
      <c r="A66" s="1"/>
      <c r="B66" s="67" t="s">
        <v>140</v>
      </c>
      <c r="C66" s="68"/>
      <c r="D66" s="69">
        <f>COUNTIF(J17:J63,"BAJA")</f>
        <v>0</v>
      </c>
      <c r="E66" s="60"/>
      <c r="G66" s="60"/>
      <c r="K66" s="9"/>
      <c r="L66" s="59"/>
      <c r="M66" s="1"/>
      <c r="N66" s="1"/>
      <c r="O66" s="2"/>
      <c r="P66" s="2"/>
      <c r="Q66" s="2"/>
    </row>
    <row r="67" ht="24.75" customHeight="1">
      <c r="A67" s="1"/>
      <c r="B67" s="67" t="s">
        <v>141</v>
      </c>
      <c r="C67" s="68"/>
      <c r="D67" s="70">
        <f>D65-D66</f>
        <v>47</v>
      </c>
      <c r="E67" s="60"/>
      <c r="F67" s="60"/>
      <c r="G67" s="60"/>
      <c r="H67" s="60"/>
      <c r="I67" s="60"/>
      <c r="J67" s="59"/>
      <c r="K67" s="7"/>
      <c r="L67" s="59"/>
      <c r="M67" s="1"/>
      <c r="N67" s="1"/>
      <c r="O67" s="2"/>
      <c r="P67" s="2"/>
      <c r="Q67" s="2"/>
    </row>
    <row r="68" ht="24.75" customHeight="1">
      <c r="A68" s="1"/>
      <c r="B68" s="67" t="s">
        <v>142</v>
      </c>
      <c r="C68" s="68"/>
      <c r="D68" s="71">
        <f>COUNTIF(J17:J63,"&gt;=6")</f>
        <v>39</v>
      </c>
      <c r="E68" s="60"/>
      <c r="F68" s="60"/>
      <c r="G68" s="60"/>
      <c r="H68" s="60"/>
      <c r="I68" s="60"/>
      <c r="J68" s="59"/>
      <c r="K68" s="7"/>
      <c r="L68" s="59"/>
      <c r="M68" s="1"/>
      <c r="N68" s="1"/>
      <c r="O68" s="2"/>
      <c r="P68" s="2"/>
      <c r="Q68" s="2"/>
    </row>
    <row r="69" ht="24.75" customHeight="1">
      <c r="A69" s="1"/>
      <c r="B69" s="67" t="s">
        <v>143</v>
      </c>
      <c r="C69" s="68"/>
      <c r="D69" s="71">
        <f>D67-D68</f>
        <v>8</v>
      </c>
      <c r="E69" s="60"/>
      <c r="F69" s="72"/>
      <c r="G69" s="60"/>
      <c r="H69" s="72"/>
      <c r="I69" s="73"/>
      <c r="J69" s="74"/>
      <c r="K69" s="75"/>
      <c r="L69" s="59"/>
      <c r="M69" s="1"/>
      <c r="N69" s="1"/>
      <c r="O69" s="2"/>
      <c r="P69" s="2"/>
      <c r="Q69" s="2"/>
    </row>
    <row r="70" ht="36.0" customHeight="1">
      <c r="A70" s="1"/>
      <c r="B70" s="67" t="s">
        <v>144</v>
      </c>
      <c r="C70" s="68"/>
      <c r="D70" s="70">
        <f>D68*100/D67</f>
        <v>82.9787234</v>
      </c>
      <c r="E70" s="60"/>
      <c r="F70" s="76" t="s">
        <v>145</v>
      </c>
      <c r="G70" s="60"/>
      <c r="H70" s="77" t="s">
        <v>146</v>
      </c>
      <c r="J70" s="78" t="s">
        <v>147</v>
      </c>
      <c r="K70" s="79" t="s">
        <v>148</v>
      </c>
      <c r="L70" s="59"/>
      <c r="M70" s="1"/>
      <c r="N70" s="1"/>
      <c r="O70" s="2"/>
      <c r="P70" s="2"/>
      <c r="Q70" s="2"/>
    </row>
    <row r="71" ht="21.75" customHeight="1">
      <c r="A71" s="80"/>
      <c r="B71" s="81" t="s">
        <v>149</v>
      </c>
      <c r="C71" s="82"/>
      <c r="D71" s="83">
        <f>AVERAGE(J17:J63)</f>
        <v>6.787234043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85"/>
      <c r="E72" s="2"/>
      <c r="F72" s="86"/>
      <c r="G72" s="2"/>
      <c r="H72" s="86"/>
      <c r="I72" s="86"/>
      <c r="J72" s="87"/>
      <c r="K72" s="88"/>
      <c r="L72" s="2"/>
      <c r="M72" s="2"/>
      <c r="N72" s="2"/>
      <c r="O72" s="2"/>
      <c r="P72" s="2"/>
      <c r="Q72" s="2"/>
    </row>
    <row r="73" ht="21.75" customHeight="1">
      <c r="A73" s="89"/>
      <c r="B73" s="90"/>
      <c r="C73" s="91"/>
      <c r="D73" s="92"/>
      <c r="E73" s="93"/>
      <c r="G73" s="93"/>
      <c r="H73" s="94"/>
      <c r="I73" s="94"/>
      <c r="J73" s="95"/>
      <c r="K73" s="96"/>
      <c r="L73" s="93"/>
      <c r="M73" s="2"/>
      <c r="N73" s="2"/>
      <c r="O73" s="2"/>
      <c r="P73" s="2"/>
      <c r="Q73" s="2"/>
    </row>
    <row r="74" ht="21.75" customHeight="1">
      <c r="A74" s="97"/>
      <c r="B74" s="93"/>
      <c r="C74" s="93"/>
      <c r="D74" s="95"/>
      <c r="E74" s="93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97"/>
      <c r="B75" s="93"/>
      <c r="C75" s="93"/>
      <c r="D75" s="95"/>
      <c r="E75" s="93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98"/>
      <c r="B76" s="99"/>
      <c r="C76" s="99"/>
      <c r="D76" s="100"/>
      <c r="E76" s="99"/>
      <c r="F76" s="101"/>
      <c r="G76" s="102"/>
      <c r="H76" s="101"/>
      <c r="I76" s="101"/>
      <c r="J76" s="101"/>
      <c r="K76" s="103"/>
      <c r="L76" s="2"/>
      <c r="M76" s="2"/>
      <c r="N76" s="2"/>
      <c r="O76" s="2"/>
      <c r="P76" s="2"/>
      <c r="Q76" s="2"/>
    </row>
    <row r="77" ht="21.75" customHeight="1">
      <c r="A77" s="104"/>
      <c r="B77" s="105"/>
      <c r="C77" s="105"/>
      <c r="D77" s="106"/>
      <c r="E77" s="93"/>
      <c r="F77" s="107"/>
      <c r="G77" s="2"/>
      <c r="H77" s="107"/>
      <c r="I77" s="107"/>
      <c r="J77" s="108"/>
      <c r="K77" s="108"/>
      <c r="L77" s="109"/>
      <c r="M77" s="2"/>
      <c r="N77" s="2"/>
      <c r="O77" s="2"/>
      <c r="P77" s="2"/>
      <c r="Q77" s="2"/>
    </row>
    <row r="78" ht="13.5" customHeight="1">
      <c r="A78" s="2"/>
      <c r="B78" s="93"/>
      <c r="C78" s="93"/>
      <c r="D78" s="106"/>
      <c r="E78" s="93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1" priority="2" stopIfTrue="1" operator="equal">
      <formula>5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8412112259970458" right="0.1968503937007874" top="0.1968503937007874"/>
  <pageSetup scale="4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3" t="s">
        <v>150</v>
      </c>
      <c r="C17" s="53" t="s">
        <v>151</v>
      </c>
      <c r="D17" s="110" t="s">
        <v>152</v>
      </c>
      <c r="E17" s="49">
        <v>6.5</v>
      </c>
      <c r="F17" s="49">
        <v>1.6</v>
      </c>
      <c r="G17" s="49">
        <v>1.0</v>
      </c>
      <c r="H17" s="50">
        <f t="shared" ref="H17:H65" si="1">SUM(E17:G17)</f>
        <v>9.1</v>
      </c>
      <c r="I17" s="51">
        <v>0.0</v>
      </c>
      <c r="J17" s="52">
        <f t="shared" ref="J17:J65" si="2">IF(H17&lt;6, 5, MIN(ROUND(H17, 0), 10))</f>
        <v>9</v>
      </c>
      <c r="K17" s="53"/>
      <c r="L17" s="54">
        <f t="shared" ref="L17:L65" si="3">IF(H17&gt;=6,ROUND(H17,0),TRUNC(H17,0))</f>
        <v>9</v>
      </c>
      <c r="M17" s="55" t="s">
        <v>24</v>
      </c>
      <c r="N17" s="24"/>
      <c r="O17" s="2"/>
      <c r="P17" s="2"/>
      <c r="Q17" s="2"/>
    </row>
    <row r="18" ht="24.75" customHeight="1">
      <c r="A18" s="44">
        <v>2.0</v>
      </c>
      <c r="B18" s="53" t="s">
        <v>153</v>
      </c>
      <c r="C18" s="53" t="s">
        <v>154</v>
      </c>
      <c r="D18" s="110" t="s">
        <v>155</v>
      </c>
      <c r="E18" s="49">
        <v>4.7</v>
      </c>
      <c r="F18" s="49">
        <v>1.7</v>
      </c>
      <c r="G18" s="49">
        <v>1.0</v>
      </c>
      <c r="H18" s="50">
        <f t="shared" si="1"/>
        <v>7.4</v>
      </c>
      <c r="I18" s="51">
        <v>2.0</v>
      </c>
      <c r="J18" s="52">
        <f t="shared" si="2"/>
        <v>7</v>
      </c>
      <c r="K18" s="44"/>
      <c r="L18" s="54">
        <f t="shared" si="3"/>
        <v>7</v>
      </c>
      <c r="M18" s="58" t="s">
        <v>28</v>
      </c>
      <c r="N18" s="51">
        <v>10.0</v>
      </c>
      <c r="O18" s="2"/>
      <c r="P18" s="2"/>
      <c r="Q18" s="2"/>
    </row>
    <row r="19" ht="24.75" customHeight="1">
      <c r="A19" s="44">
        <v>3.0</v>
      </c>
      <c r="B19" s="53" t="s">
        <v>156</v>
      </c>
      <c r="C19" s="53" t="s">
        <v>157</v>
      </c>
      <c r="D19" s="110" t="s">
        <v>98</v>
      </c>
      <c r="E19" s="49">
        <v>6.9</v>
      </c>
      <c r="F19" s="49">
        <v>1.8</v>
      </c>
      <c r="G19" s="50"/>
      <c r="H19" s="50">
        <f t="shared" si="1"/>
        <v>8.7</v>
      </c>
      <c r="I19" s="51">
        <v>0.0</v>
      </c>
      <c r="J19" s="52">
        <f t="shared" si="2"/>
        <v>9</v>
      </c>
      <c r="K19" s="44"/>
      <c r="L19" s="54">
        <f t="shared" si="3"/>
        <v>9</v>
      </c>
      <c r="M19" s="58" t="s">
        <v>32</v>
      </c>
      <c r="N19" s="51">
        <v>14.0</v>
      </c>
      <c r="O19" s="2"/>
      <c r="P19" s="2"/>
      <c r="Q19" s="2"/>
    </row>
    <row r="20" ht="24.75" customHeight="1">
      <c r="A20" s="44">
        <v>4.0</v>
      </c>
      <c r="B20" s="53" t="s">
        <v>158</v>
      </c>
      <c r="C20" s="53" t="s">
        <v>61</v>
      </c>
      <c r="D20" s="110" t="s">
        <v>159</v>
      </c>
      <c r="E20" s="49">
        <v>5.4</v>
      </c>
      <c r="F20" s="49">
        <v>1.3</v>
      </c>
      <c r="G20" s="50"/>
      <c r="H20" s="50">
        <f t="shared" si="1"/>
        <v>6.7</v>
      </c>
      <c r="I20" s="51">
        <v>1.0</v>
      </c>
      <c r="J20" s="52">
        <f t="shared" si="2"/>
        <v>7</v>
      </c>
      <c r="K20" s="44"/>
      <c r="L20" s="54">
        <f t="shared" si="3"/>
        <v>7</v>
      </c>
      <c r="M20" s="58" t="s">
        <v>35</v>
      </c>
      <c r="N20" s="44"/>
      <c r="O20" s="2"/>
      <c r="P20" s="2"/>
      <c r="Q20" s="2"/>
    </row>
    <row r="21" ht="24.75" customHeight="1">
      <c r="A21" s="44">
        <v>5.0</v>
      </c>
      <c r="B21" s="53" t="s">
        <v>160</v>
      </c>
      <c r="C21" s="53" t="s">
        <v>106</v>
      </c>
      <c r="D21" s="110" t="s">
        <v>161</v>
      </c>
      <c r="E21" s="49">
        <v>3.4</v>
      </c>
      <c r="F21" s="49">
        <v>1.3</v>
      </c>
      <c r="G21" s="50"/>
      <c r="H21" s="50">
        <f t="shared" si="1"/>
        <v>4.7</v>
      </c>
      <c r="I21" s="51">
        <v>0.0</v>
      </c>
      <c r="J21" s="52">
        <f t="shared" si="2"/>
        <v>5</v>
      </c>
      <c r="K21" s="44"/>
      <c r="L21" s="54">
        <f t="shared" si="3"/>
        <v>4</v>
      </c>
      <c r="M21" s="58" t="s">
        <v>39</v>
      </c>
      <c r="N21" s="44"/>
      <c r="O21" s="2"/>
      <c r="P21" s="2"/>
      <c r="Q21" s="2"/>
    </row>
    <row r="22" ht="24.75" customHeight="1">
      <c r="A22" s="44">
        <v>6.0</v>
      </c>
      <c r="B22" s="53" t="s">
        <v>110</v>
      </c>
      <c r="C22" s="53" t="s">
        <v>162</v>
      </c>
      <c r="D22" s="110" t="s">
        <v>163</v>
      </c>
      <c r="E22" s="49">
        <v>5.2</v>
      </c>
      <c r="F22" s="49">
        <v>1.8</v>
      </c>
      <c r="G22" s="50"/>
      <c r="H22" s="50">
        <f t="shared" si="1"/>
        <v>7</v>
      </c>
      <c r="I22" s="51">
        <v>0.0</v>
      </c>
      <c r="J22" s="52">
        <f t="shared" si="2"/>
        <v>7</v>
      </c>
      <c r="K22" s="44"/>
      <c r="L22" s="54">
        <f t="shared" si="3"/>
        <v>7</v>
      </c>
      <c r="M22" s="58" t="s">
        <v>43</v>
      </c>
      <c r="N22" s="44"/>
      <c r="O22" s="2"/>
      <c r="P22" s="2"/>
      <c r="Q22" s="2"/>
    </row>
    <row r="23" ht="24.75" customHeight="1">
      <c r="A23" s="44">
        <v>7.0</v>
      </c>
      <c r="B23" s="53" t="s">
        <v>164</v>
      </c>
      <c r="C23" s="53" t="s">
        <v>79</v>
      </c>
      <c r="D23" s="110" t="s">
        <v>165</v>
      </c>
      <c r="E23" s="49">
        <v>6.6</v>
      </c>
      <c r="F23" s="49">
        <v>1.7</v>
      </c>
      <c r="G23" s="49">
        <v>1.0</v>
      </c>
      <c r="H23" s="50">
        <f t="shared" si="1"/>
        <v>9.3</v>
      </c>
      <c r="I23" s="51">
        <v>0.0</v>
      </c>
      <c r="J23" s="52">
        <f t="shared" si="2"/>
        <v>9</v>
      </c>
      <c r="K23" s="44"/>
      <c r="L23" s="54">
        <f t="shared" si="3"/>
        <v>9</v>
      </c>
      <c r="M23" s="58" t="s">
        <v>47</v>
      </c>
      <c r="N23" s="44"/>
      <c r="O23" s="2"/>
      <c r="P23" s="2"/>
      <c r="Q23" s="2"/>
    </row>
    <row r="24" ht="24.75" customHeight="1">
      <c r="A24" s="44">
        <v>8.0</v>
      </c>
      <c r="B24" s="53" t="s">
        <v>166</v>
      </c>
      <c r="C24" s="53" t="s">
        <v>37</v>
      </c>
      <c r="D24" s="110" t="s">
        <v>167</v>
      </c>
      <c r="E24" s="49">
        <v>7.0</v>
      </c>
      <c r="F24" s="49">
        <v>1.3</v>
      </c>
      <c r="G24" s="50"/>
      <c r="H24" s="50">
        <f t="shared" si="1"/>
        <v>8.3</v>
      </c>
      <c r="I24" s="51">
        <v>1.0</v>
      </c>
      <c r="J24" s="52">
        <f t="shared" si="2"/>
        <v>8</v>
      </c>
      <c r="K24" s="44"/>
      <c r="L24" s="54">
        <f t="shared" si="3"/>
        <v>8</v>
      </c>
      <c r="M24" s="58" t="s">
        <v>51</v>
      </c>
      <c r="N24" s="58">
        <f>SUM(N18:N23)</f>
        <v>24</v>
      </c>
      <c r="O24" s="2"/>
      <c r="P24" s="2"/>
      <c r="Q24" s="2"/>
    </row>
    <row r="25" ht="24.75" customHeight="1">
      <c r="A25" s="44">
        <v>9.0</v>
      </c>
      <c r="B25" s="53" t="s">
        <v>129</v>
      </c>
      <c r="C25" s="53" t="s">
        <v>61</v>
      </c>
      <c r="D25" s="110" t="s">
        <v>168</v>
      </c>
      <c r="E25" s="49">
        <v>4.8</v>
      </c>
      <c r="F25" s="49">
        <v>1.5</v>
      </c>
      <c r="G25" s="49">
        <v>1.0</v>
      </c>
      <c r="H25" s="50">
        <f t="shared" si="1"/>
        <v>7.3</v>
      </c>
      <c r="I25" s="51">
        <v>0.0</v>
      </c>
      <c r="J25" s="52">
        <f t="shared" si="2"/>
        <v>7</v>
      </c>
      <c r="K25" s="44"/>
      <c r="L25" s="54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53" t="s">
        <v>169</v>
      </c>
      <c r="C26" s="53" t="s">
        <v>170</v>
      </c>
      <c r="D26" s="110" t="s">
        <v>171</v>
      </c>
      <c r="E26" s="49">
        <v>4.2</v>
      </c>
      <c r="F26" s="49">
        <v>1.4</v>
      </c>
      <c r="G26" s="50"/>
      <c r="H26" s="50">
        <f t="shared" si="1"/>
        <v>5.6</v>
      </c>
      <c r="I26" s="51">
        <v>0.0</v>
      </c>
      <c r="J26" s="52">
        <f t="shared" si="2"/>
        <v>5</v>
      </c>
      <c r="K26" s="44"/>
      <c r="L26" s="54">
        <f t="shared" si="3"/>
        <v>5</v>
      </c>
      <c r="M26" s="1"/>
      <c r="N26" s="1"/>
      <c r="O26" s="2"/>
      <c r="P26" s="2"/>
      <c r="Q26" s="2"/>
    </row>
    <row r="27" ht="24.75" customHeight="1">
      <c r="A27" s="44">
        <v>11.0</v>
      </c>
      <c r="B27" s="53" t="s">
        <v>172</v>
      </c>
      <c r="C27" s="53" t="s">
        <v>55</v>
      </c>
      <c r="D27" s="53" t="s">
        <v>173</v>
      </c>
      <c r="E27" s="49">
        <v>5.4</v>
      </c>
      <c r="F27" s="49">
        <v>1.8</v>
      </c>
      <c r="G27" s="49">
        <v>1.0</v>
      </c>
      <c r="H27" s="50">
        <f t="shared" si="1"/>
        <v>8.2</v>
      </c>
      <c r="I27" s="51">
        <v>0.0</v>
      </c>
      <c r="J27" s="52">
        <f t="shared" si="2"/>
        <v>8</v>
      </c>
      <c r="K27" s="44"/>
      <c r="L27" s="54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53" t="s">
        <v>174</v>
      </c>
      <c r="C28" s="53" t="s">
        <v>175</v>
      </c>
      <c r="D28" s="110" t="s">
        <v>176</v>
      </c>
      <c r="E28" s="49">
        <v>6.4</v>
      </c>
      <c r="F28" s="49">
        <v>1.8</v>
      </c>
      <c r="G28" s="50"/>
      <c r="H28" s="50">
        <f t="shared" si="1"/>
        <v>8.2</v>
      </c>
      <c r="I28" s="51">
        <v>0.0</v>
      </c>
      <c r="J28" s="52">
        <f t="shared" si="2"/>
        <v>8</v>
      </c>
      <c r="K28" s="44"/>
      <c r="L28" s="54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3" t="s">
        <v>177</v>
      </c>
      <c r="C29" s="53" t="s">
        <v>22</v>
      </c>
      <c r="D29" s="110" t="s">
        <v>178</v>
      </c>
      <c r="E29" s="49">
        <v>5.4</v>
      </c>
      <c r="F29" s="49">
        <v>1.5</v>
      </c>
      <c r="G29" s="50"/>
      <c r="H29" s="50">
        <f t="shared" si="1"/>
        <v>6.9</v>
      </c>
      <c r="I29" s="51">
        <v>1.0</v>
      </c>
      <c r="J29" s="52">
        <f t="shared" si="2"/>
        <v>7</v>
      </c>
      <c r="K29" s="44"/>
      <c r="L29" s="54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3" t="s">
        <v>179</v>
      </c>
      <c r="C30" s="53" t="s">
        <v>156</v>
      </c>
      <c r="D30" s="110" t="s">
        <v>180</v>
      </c>
      <c r="E30" s="49">
        <v>6.5</v>
      </c>
      <c r="F30" s="49">
        <v>1.8</v>
      </c>
      <c r="G30" s="50"/>
      <c r="H30" s="50">
        <f t="shared" si="1"/>
        <v>8.3</v>
      </c>
      <c r="I30" s="51">
        <v>0.0</v>
      </c>
      <c r="J30" s="52">
        <f t="shared" si="2"/>
        <v>8</v>
      </c>
      <c r="K30" s="44"/>
      <c r="L30" s="54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53" t="s">
        <v>181</v>
      </c>
      <c r="C31" s="53" t="s">
        <v>92</v>
      </c>
      <c r="D31" s="110" t="s">
        <v>182</v>
      </c>
      <c r="E31" s="49">
        <v>6.0</v>
      </c>
      <c r="F31" s="49">
        <v>1.8</v>
      </c>
      <c r="G31" s="50"/>
      <c r="H31" s="50">
        <f t="shared" si="1"/>
        <v>7.8</v>
      </c>
      <c r="I31" s="51">
        <v>0.0</v>
      </c>
      <c r="J31" s="52">
        <f t="shared" si="2"/>
        <v>8</v>
      </c>
      <c r="K31" s="44"/>
      <c r="L31" s="54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3" t="s">
        <v>183</v>
      </c>
      <c r="C32" s="53" t="s">
        <v>184</v>
      </c>
      <c r="D32" s="110" t="s">
        <v>185</v>
      </c>
      <c r="E32" s="49">
        <v>6.1</v>
      </c>
      <c r="F32" s="49">
        <v>1.7</v>
      </c>
      <c r="G32" s="49">
        <v>1.0</v>
      </c>
      <c r="H32" s="50">
        <f t="shared" si="1"/>
        <v>8.8</v>
      </c>
      <c r="I32" s="51">
        <v>0.0</v>
      </c>
      <c r="J32" s="52">
        <f t="shared" si="2"/>
        <v>9</v>
      </c>
      <c r="K32" s="44"/>
      <c r="L32" s="54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53" t="s">
        <v>61</v>
      </c>
      <c r="C33" s="53" t="s">
        <v>63</v>
      </c>
      <c r="D33" s="110" t="s">
        <v>186</v>
      </c>
      <c r="E33" s="49">
        <v>5.2</v>
      </c>
      <c r="F33" s="49">
        <v>1.5</v>
      </c>
      <c r="G33" s="50"/>
      <c r="H33" s="50">
        <f t="shared" si="1"/>
        <v>6.7</v>
      </c>
      <c r="I33" s="51">
        <v>0.0</v>
      </c>
      <c r="J33" s="52">
        <f t="shared" si="2"/>
        <v>7</v>
      </c>
      <c r="K33" s="44"/>
      <c r="L33" s="54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53" t="s">
        <v>187</v>
      </c>
      <c r="C34" s="53" t="s">
        <v>188</v>
      </c>
      <c r="D34" s="110" t="s">
        <v>189</v>
      </c>
      <c r="E34" s="49">
        <v>5.9</v>
      </c>
      <c r="F34" s="49">
        <v>1.7</v>
      </c>
      <c r="G34" s="49">
        <v>1.0</v>
      </c>
      <c r="H34" s="50">
        <f t="shared" si="1"/>
        <v>8.6</v>
      </c>
      <c r="I34" s="51">
        <v>0.0</v>
      </c>
      <c r="J34" s="52">
        <f t="shared" si="2"/>
        <v>9</v>
      </c>
      <c r="K34" s="44"/>
      <c r="L34" s="54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3" t="s">
        <v>187</v>
      </c>
      <c r="C35" s="53" t="s">
        <v>190</v>
      </c>
      <c r="D35" s="110" t="s">
        <v>191</v>
      </c>
      <c r="E35" s="49">
        <v>6.5</v>
      </c>
      <c r="F35" s="49">
        <v>1.8</v>
      </c>
      <c r="G35" s="49">
        <v>1.0</v>
      </c>
      <c r="H35" s="50">
        <f t="shared" si="1"/>
        <v>9.3</v>
      </c>
      <c r="I35" s="51">
        <v>0.0</v>
      </c>
      <c r="J35" s="52">
        <f t="shared" si="2"/>
        <v>9</v>
      </c>
      <c r="K35" s="44"/>
      <c r="L35" s="54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3" t="s">
        <v>37</v>
      </c>
      <c r="C36" s="53" t="s">
        <v>192</v>
      </c>
      <c r="D36" s="110" t="s">
        <v>193</v>
      </c>
      <c r="E36" s="49">
        <v>6.3</v>
      </c>
      <c r="F36" s="49">
        <v>2.0</v>
      </c>
      <c r="G36" s="49">
        <v>1.0</v>
      </c>
      <c r="H36" s="50">
        <f t="shared" si="1"/>
        <v>9.3</v>
      </c>
      <c r="I36" s="51">
        <v>0.0</v>
      </c>
      <c r="J36" s="52">
        <f t="shared" si="2"/>
        <v>9</v>
      </c>
      <c r="K36" s="44"/>
      <c r="L36" s="54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53" t="s">
        <v>112</v>
      </c>
      <c r="C37" s="53" t="s">
        <v>41</v>
      </c>
      <c r="D37" s="110" t="s">
        <v>194</v>
      </c>
      <c r="E37" s="49">
        <v>1.3</v>
      </c>
      <c r="F37" s="49">
        <v>0.0</v>
      </c>
      <c r="G37" s="50"/>
      <c r="H37" s="50">
        <f t="shared" si="1"/>
        <v>1.3</v>
      </c>
      <c r="I37" s="51">
        <v>5.0</v>
      </c>
      <c r="J37" s="52">
        <f t="shared" si="2"/>
        <v>5</v>
      </c>
      <c r="K37" s="44"/>
      <c r="L37" s="54">
        <f t="shared" si="3"/>
        <v>1</v>
      </c>
      <c r="M37" s="1"/>
      <c r="N37" s="1"/>
      <c r="O37" s="2"/>
      <c r="P37" s="2"/>
      <c r="Q37" s="2"/>
    </row>
    <row r="38" ht="24.75" customHeight="1">
      <c r="A38" s="44">
        <v>22.0</v>
      </c>
      <c r="B38" s="53" t="s">
        <v>41</v>
      </c>
      <c r="C38" s="53" t="s">
        <v>195</v>
      </c>
      <c r="D38" s="110" t="s">
        <v>196</v>
      </c>
      <c r="E38" s="49">
        <v>6.6</v>
      </c>
      <c r="F38" s="49">
        <v>1.8</v>
      </c>
      <c r="G38" s="49">
        <v>1.0</v>
      </c>
      <c r="H38" s="50">
        <f t="shared" si="1"/>
        <v>9.4</v>
      </c>
      <c r="I38" s="51">
        <v>0.0</v>
      </c>
      <c r="J38" s="52">
        <f t="shared" si="2"/>
        <v>9</v>
      </c>
      <c r="K38" s="44"/>
      <c r="L38" s="54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3" t="s">
        <v>41</v>
      </c>
      <c r="C39" s="53" t="s">
        <v>61</v>
      </c>
      <c r="D39" s="110" t="s">
        <v>197</v>
      </c>
      <c r="E39" s="49">
        <v>5.5</v>
      </c>
      <c r="F39" s="49">
        <v>1.8</v>
      </c>
      <c r="G39" s="50"/>
      <c r="H39" s="50">
        <f t="shared" si="1"/>
        <v>7.3</v>
      </c>
      <c r="I39" s="51">
        <v>0.0</v>
      </c>
      <c r="J39" s="52">
        <f t="shared" si="2"/>
        <v>7</v>
      </c>
      <c r="K39" s="44"/>
      <c r="L39" s="54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53" t="s">
        <v>198</v>
      </c>
      <c r="C40" s="53" t="s">
        <v>199</v>
      </c>
      <c r="D40" s="110" t="s">
        <v>200</v>
      </c>
      <c r="E40" s="49">
        <v>5.9</v>
      </c>
      <c r="F40" s="49">
        <v>2.0</v>
      </c>
      <c r="G40" s="49">
        <v>1.0</v>
      </c>
      <c r="H40" s="50">
        <f t="shared" si="1"/>
        <v>8.9</v>
      </c>
      <c r="I40" s="51">
        <v>0.0</v>
      </c>
      <c r="J40" s="52">
        <f t="shared" si="2"/>
        <v>9</v>
      </c>
      <c r="K40" s="44"/>
      <c r="L40" s="54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3" t="s">
        <v>79</v>
      </c>
      <c r="C41" s="53" t="s">
        <v>112</v>
      </c>
      <c r="D41" s="110" t="s">
        <v>201</v>
      </c>
      <c r="E41" s="49">
        <v>3.9</v>
      </c>
      <c r="F41" s="49">
        <v>2.0</v>
      </c>
      <c r="G41" s="49">
        <v>1.0</v>
      </c>
      <c r="H41" s="50">
        <f t="shared" si="1"/>
        <v>6.9</v>
      </c>
      <c r="I41" s="51">
        <v>0.0</v>
      </c>
      <c r="J41" s="52">
        <f t="shared" si="2"/>
        <v>7</v>
      </c>
      <c r="K41" s="44"/>
      <c r="L41" s="54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53" t="s">
        <v>202</v>
      </c>
      <c r="C42" s="53" t="s">
        <v>37</v>
      </c>
      <c r="D42" s="110" t="s">
        <v>203</v>
      </c>
      <c r="E42" s="49">
        <v>6.4</v>
      </c>
      <c r="F42" s="49">
        <v>1.8</v>
      </c>
      <c r="G42" s="49">
        <v>1.0</v>
      </c>
      <c r="H42" s="50">
        <f t="shared" si="1"/>
        <v>9.2</v>
      </c>
      <c r="I42" s="51">
        <v>0.0</v>
      </c>
      <c r="J42" s="52">
        <f t="shared" si="2"/>
        <v>9</v>
      </c>
      <c r="K42" s="44"/>
      <c r="L42" s="54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53" t="s">
        <v>204</v>
      </c>
      <c r="C43" s="53" t="s">
        <v>81</v>
      </c>
      <c r="D43" s="110" t="s">
        <v>205</v>
      </c>
      <c r="E43" s="49">
        <v>5.2</v>
      </c>
      <c r="F43" s="49">
        <v>1.7</v>
      </c>
      <c r="G43" s="49">
        <v>1.0</v>
      </c>
      <c r="H43" s="50">
        <f t="shared" si="1"/>
        <v>7.9</v>
      </c>
      <c r="I43" s="51">
        <v>0.0</v>
      </c>
      <c r="J43" s="52">
        <f t="shared" si="2"/>
        <v>8</v>
      </c>
      <c r="K43" s="44"/>
      <c r="L43" s="54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53" t="s">
        <v>90</v>
      </c>
      <c r="C44" s="53" t="s">
        <v>206</v>
      </c>
      <c r="D44" s="110" t="s">
        <v>207</v>
      </c>
      <c r="E44" s="49">
        <v>5.7</v>
      </c>
      <c r="F44" s="49">
        <v>2.0</v>
      </c>
      <c r="G44" s="49">
        <v>1.0</v>
      </c>
      <c r="H44" s="50">
        <f t="shared" si="1"/>
        <v>8.7</v>
      </c>
      <c r="I44" s="51">
        <v>0.0</v>
      </c>
      <c r="J44" s="52">
        <f t="shared" si="2"/>
        <v>9</v>
      </c>
      <c r="K44" s="44"/>
      <c r="L44" s="54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53" t="s">
        <v>208</v>
      </c>
      <c r="C45" s="53" t="s">
        <v>209</v>
      </c>
      <c r="D45" s="110" t="s">
        <v>210</v>
      </c>
      <c r="E45" s="49">
        <v>4.7</v>
      </c>
      <c r="F45" s="49">
        <v>1.5</v>
      </c>
      <c r="G45" s="50"/>
      <c r="H45" s="50">
        <f t="shared" si="1"/>
        <v>6.2</v>
      </c>
      <c r="I45" s="51">
        <v>1.0</v>
      </c>
      <c r="J45" s="52">
        <f t="shared" si="2"/>
        <v>6</v>
      </c>
      <c r="K45" s="44"/>
      <c r="L45" s="54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53" t="s">
        <v>211</v>
      </c>
      <c r="C46" s="53" t="s">
        <v>55</v>
      </c>
      <c r="D46" s="110" t="s">
        <v>212</v>
      </c>
      <c r="E46" s="49">
        <v>5.6</v>
      </c>
      <c r="F46" s="49">
        <v>2.0</v>
      </c>
      <c r="G46" s="49">
        <v>1.0</v>
      </c>
      <c r="H46" s="50">
        <f t="shared" si="1"/>
        <v>8.6</v>
      </c>
      <c r="I46" s="51">
        <v>0.0</v>
      </c>
      <c r="J46" s="52">
        <f t="shared" si="2"/>
        <v>9</v>
      </c>
      <c r="K46" s="44"/>
      <c r="L46" s="54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53" t="s">
        <v>213</v>
      </c>
      <c r="C47" s="53" t="s">
        <v>187</v>
      </c>
      <c r="D47" s="110" t="s">
        <v>214</v>
      </c>
      <c r="E47" s="49">
        <v>5.4</v>
      </c>
      <c r="F47" s="49">
        <v>1.7</v>
      </c>
      <c r="G47" s="50"/>
      <c r="H47" s="50">
        <f t="shared" si="1"/>
        <v>7.1</v>
      </c>
      <c r="I47" s="51">
        <v>0.0</v>
      </c>
      <c r="J47" s="52">
        <f t="shared" si="2"/>
        <v>7</v>
      </c>
      <c r="K47" s="44"/>
      <c r="L47" s="54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53" t="s">
        <v>81</v>
      </c>
      <c r="C48" s="53" t="s">
        <v>215</v>
      </c>
      <c r="D48" s="110" t="s">
        <v>216</v>
      </c>
      <c r="E48" s="49">
        <v>4.6</v>
      </c>
      <c r="F48" s="49">
        <v>1.5</v>
      </c>
      <c r="G48" s="49">
        <v>1.0</v>
      </c>
      <c r="H48" s="50">
        <f t="shared" si="1"/>
        <v>7.1</v>
      </c>
      <c r="I48" s="51">
        <v>0.0</v>
      </c>
      <c r="J48" s="52">
        <f t="shared" si="2"/>
        <v>7</v>
      </c>
      <c r="K48" s="44"/>
      <c r="L48" s="54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53" t="s">
        <v>123</v>
      </c>
      <c r="C49" s="53" t="s">
        <v>217</v>
      </c>
      <c r="D49" s="110" t="s">
        <v>218</v>
      </c>
      <c r="E49" s="49">
        <v>4.8</v>
      </c>
      <c r="F49" s="49">
        <v>1.7</v>
      </c>
      <c r="G49" s="49">
        <v>1.0</v>
      </c>
      <c r="H49" s="50">
        <f t="shared" si="1"/>
        <v>7.5</v>
      </c>
      <c r="I49" s="51">
        <v>0.0</v>
      </c>
      <c r="J49" s="52">
        <f t="shared" si="2"/>
        <v>8</v>
      </c>
      <c r="K49" s="44"/>
      <c r="L49" s="54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3" t="s">
        <v>99</v>
      </c>
      <c r="C50" s="53" t="s">
        <v>44</v>
      </c>
      <c r="D50" s="110" t="s">
        <v>219</v>
      </c>
      <c r="E50" s="49">
        <v>6.4</v>
      </c>
      <c r="F50" s="49">
        <v>1.8</v>
      </c>
      <c r="G50" s="49">
        <v>1.0</v>
      </c>
      <c r="H50" s="50">
        <f t="shared" si="1"/>
        <v>9.2</v>
      </c>
      <c r="I50" s="51">
        <v>0.0</v>
      </c>
      <c r="J50" s="52">
        <f t="shared" si="2"/>
        <v>9</v>
      </c>
      <c r="K50" s="44"/>
      <c r="L50" s="54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3" t="s">
        <v>92</v>
      </c>
      <c r="C51" s="53" t="s">
        <v>220</v>
      </c>
      <c r="D51" s="110" t="s">
        <v>221</v>
      </c>
      <c r="E51" s="49">
        <v>5.7</v>
      </c>
      <c r="F51" s="49">
        <v>1.8</v>
      </c>
      <c r="G51" s="49">
        <v>1.0</v>
      </c>
      <c r="H51" s="50">
        <f t="shared" si="1"/>
        <v>8.5</v>
      </c>
      <c r="I51" s="51">
        <v>0.0</v>
      </c>
      <c r="J51" s="52">
        <f t="shared" si="2"/>
        <v>9</v>
      </c>
      <c r="K51" s="44"/>
      <c r="L51" s="54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3" t="s">
        <v>103</v>
      </c>
      <c r="C52" s="53" t="s">
        <v>222</v>
      </c>
      <c r="D52" s="110" t="s">
        <v>223</v>
      </c>
      <c r="E52" s="49">
        <v>5.2</v>
      </c>
      <c r="F52" s="49">
        <v>1.8</v>
      </c>
      <c r="G52" s="50"/>
      <c r="H52" s="50">
        <f t="shared" si="1"/>
        <v>7</v>
      </c>
      <c r="I52" s="51">
        <v>0.0</v>
      </c>
      <c r="J52" s="52">
        <f t="shared" si="2"/>
        <v>7</v>
      </c>
      <c r="K52" s="44"/>
      <c r="L52" s="53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53" t="s">
        <v>103</v>
      </c>
      <c r="C53" s="53" t="s">
        <v>224</v>
      </c>
      <c r="D53" s="110" t="s">
        <v>225</v>
      </c>
      <c r="E53" s="49">
        <v>5.5</v>
      </c>
      <c r="F53" s="49">
        <v>1.8</v>
      </c>
      <c r="G53" s="50"/>
      <c r="H53" s="50">
        <f t="shared" si="1"/>
        <v>7.3</v>
      </c>
      <c r="I53" s="51">
        <v>0.0</v>
      </c>
      <c r="J53" s="52">
        <f t="shared" si="2"/>
        <v>7</v>
      </c>
      <c r="K53" s="44"/>
      <c r="L53" s="53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53" t="s">
        <v>103</v>
      </c>
      <c r="C54" s="53" t="s">
        <v>112</v>
      </c>
      <c r="D54" s="110" t="s">
        <v>226</v>
      </c>
      <c r="E54" s="49">
        <v>5.9</v>
      </c>
      <c r="F54" s="49">
        <v>1.8</v>
      </c>
      <c r="G54" s="50"/>
      <c r="H54" s="50">
        <f t="shared" si="1"/>
        <v>7.7</v>
      </c>
      <c r="I54" s="51">
        <v>0.0</v>
      </c>
      <c r="J54" s="52">
        <f t="shared" si="2"/>
        <v>8</v>
      </c>
      <c r="K54" s="44"/>
      <c r="L54" s="53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3" t="s">
        <v>227</v>
      </c>
      <c r="C55" s="53" t="s">
        <v>228</v>
      </c>
      <c r="D55" s="110" t="s">
        <v>229</v>
      </c>
      <c r="E55" s="49">
        <v>4.3</v>
      </c>
      <c r="F55" s="49">
        <v>1.8</v>
      </c>
      <c r="G55" s="50"/>
      <c r="H55" s="50">
        <f t="shared" si="1"/>
        <v>6.1</v>
      </c>
      <c r="I55" s="51">
        <v>0.0</v>
      </c>
      <c r="J55" s="52">
        <f t="shared" si="2"/>
        <v>6</v>
      </c>
      <c r="K55" s="44"/>
      <c r="L55" s="53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53" t="s">
        <v>109</v>
      </c>
      <c r="C56" s="53" t="s">
        <v>230</v>
      </c>
      <c r="D56" s="110" t="s">
        <v>231</v>
      </c>
      <c r="E56" s="49">
        <v>5.7</v>
      </c>
      <c r="F56" s="49">
        <v>1.8</v>
      </c>
      <c r="G56" s="50"/>
      <c r="H56" s="50">
        <f t="shared" si="1"/>
        <v>7.5</v>
      </c>
      <c r="I56" s="51">
        <v>0.0</v>
      </c>
      <c r="J56" s="52">
        <f t="shared" si="2"/>
        <v>8</v>
      </c>
      <c r="K56" s="44"/>
      <c r="L56" s="53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3" t="s">
        <v>232</v>
      </c>
      <c r="C57" s="53" t="s">
        <v>233</v>
      </c>
      <c r="D57" s="110" t="s">
        <v>234</v>
      </c>
      <c r="E57" s="49">
        <v>5.6</v>
      </c>
      <c r="F57" s="49">
        <v>1.8</v>
      </c>
      <c r="G57" s="49">
        <v>1.0</v>
      </c>
      <c r="H57" s="50">
        <f t="shared" si="1"/>
        <v>8.4</v>
      </c>
      <c r="I57" s="51">
        <v>0.0</v>
      </c>
      <c r="J57" s="52">
        <f t="shared" si="2"/>
        <v>8</v>
      </c>
      <c r="K57" s="44"/>
      <c r="L57" s="53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53" t="s">
        <v>55</v>
      </c>
      <c r="C58" s="53" t="s">
        <v>235</v>
      </c>
      <c r="D58" s="110" t="s">
        <v>236</v>
      </c>
      <c r="E58" s="49">
        <v>4.5</v>
      </c>
      <c r="F58" s="49">
        <v>1.7</v>
      </c>
      <c r="G58" s="50"/>
      <c r="H58" s="50">
        <f t="shared" si="1"/>
        <v>6.2</v>
      </c>
      <c r="I58" s="51">
        <v>1.0</v>
      </c>
      <c r="J58" s="52">
        <f t="shared" si="2"/>
        <v>6</v>
      </c>
      <c r="K58" s="44"/>
      <c r="L58" s="53">
        <f t="shared" si="3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53" t="s">
        <v>55</v>
      </c>
      <c r="C59" s="53" t="s">
        <v>237</v>
      </c>
      <c r="D59" s="110" t="s">
        <v>238</v>
      </c>
      <c r="E59" s="49">
        <v>4.8</v>
      </c>
      <c r="F59" s="49">
        <v>1.7</v>
      </c>
      <c r="G59" s="50"/>
      <c r="H59" s="50">
        <f t="shared" si="1"/>
        <v>6.5</v>
      </c>
      <c r="I59" s="51">
        <v>0.0</v>
      </c>
      <c r="J59" s="52">
        <f t="shared" si="2"/>
        <v>7</v>
      </c>
      <c r="K59" s="44"/>
      <c r="L59" s="53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3" t="s">
        <v>49</v>
      </c>
      <c r="C60" s="53" t="s">
        <v>239</v>
      </c>
      <c r="D60" s="110" t="s">
        <v>240</v>
      </c>
      <c r="E60" s="49">
        <v>5.9</v>
      </c>
      <c r="F60" s="49">
        <v>2.0</v>
      </c>
      <c r="G60" s="49">
        <v>1.0</v>
      </c>
      <c r="H60" s="50">
        <f t="shared" si="1"/>
        <v>8.9</v>
      </c>
      <c r="I60" s="51">
        <v>0.0</v>
      </c>
      <c r="J60" s="52">
        <f t="shared" si="2"/>
        <v>9</v>
      </c>
      <c r="K60" s="44"/>
      <c r="L60" s="53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3" t="s">
        <v>49</v>
      </c>
      <c r="C61" s="53" t="s">
        <v>72</v>
      </c>
      <c r="D61" s="110" t="s">
        <v>241</v>
      </c>
      <c r="E61" s="49">
        <v>5.0</v>
      </c>
      <c r="F61" s="49">
        <v>1.5</v>
      </c>
      <c r="G61" s="50"/>
      <c r="H61" s="50">
        <f t="shared" si="1"/>
        <v>6.5</v>
      </c>
      <c r="I61" s="51">
        <v>0.0</v>
      </c>
      <c r="J61" s="52">
        <f t="shared" si="2"/>
        <v>7</v>
      </c>
      <c r="K61" s="44"/>
      <c r="L61" s="53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3" t="s">
        <v>242</v>
      </c>
      <c r="C62" s="53" t="s">
        <v>243</v>
      </c>
      <c r="D62" s="110" t="s">
        <v>244</v>
      </c>
      <c r="E62" s="49">
        <v>5.3</v>
      </c>
      <c r="F62" s="49">
        <v>1.6</v>
      </c>
      <c r="G62" s="49">
        <v>1.0</v>
      </c>
      <c r="H62" s="50">
        <f t="shared" si="1"/>
        <v>7.9</v>
      </c>
      <c r="I62" s="51">
        <v>0.0</v>
      </c>
      <c r="J62" s="52">
        <f t="shared" si="2"/>
        <v>8</v>
      </c>
      <c r="K62" s="44"/>
      <c r="L62" s="53">
        <f t="shared" si="3"/>
        <v>8</v>
      </c>
      <c r="M62" s="1"/>
      <c r="N62" s="1"/>
      <c r="O62" s="2"/>
      <c r="P62" s="2"/>
      <c r="Q62" s="2"/>
    </row>
    <row r="63" ht="24.75" customHeight="1">
      <c r="A63" s="44">
        <v>47.0</v>
      </c>
      <c r="B63" s="53" t="s">
        <v>245</v>
      </c>
      <c r="C63" s="53" t="s">
        <v>246</v>
      </c>
      <c r="D63" s="110" t="s">
        <v>247</v>
      </c>
      <c r="E63" s="49">
        <v>5.4</v>
      </c>
      <c r="F63" s="49">
        <v>1.7</v>
      </c>
      <c r="G63" s="49">
        <v>1.0</v>
      </c>
      <c r="H63" s="50">
        <f t="shared" si="1"/>
        <v>8.1</v>
      </c>
      <c r="I63" s="51">
        <v>0.0</v>
      </c>
      <c r="J63" s="52">
        <f t="shared" si="2"/>
        <v>8</v>
      </c>
      <c r="K63" s="44"/>
      <c r="L63" s="53">
        <f t="shared" si="3"/>
        <v>8</v>
      </c>
      <c r="M63" s="1"/>
      <c r="N63" s="1"/>
      <c r="O63" s="2"/>
      <c r="P63" s="2"/>
      <c r="Q63" s="2"/>
    </row>
    <row r="64" ht="24.75" customHeight="1">
      <c r="A64" s="44">
        <v>48.0</v>
      </c>
      <c r="B64" s="53" t="s">
        <v>248</v>
      </c>
      <c r="C64" s="53" t="s">
        <v>249</v>
      </c>
      <c r="D64" s="110" t="s">
        <v>250</v>
      </c>
      <c r="E64" s="49">
        <v>5.8</v>
      </c>
      <c r="F64" s="49">
        <v>2.0</v>
      </c>
      <c r="G64" s="49">
        <v>1.0</v>
      </c>
      <c r="H64" s="50">
        <f t="shared" si="1"/>
        <v>8.8</v>
      </c>
      <c r="I64" s="51">
        <v>0.0</v>
      </c>
      <c r="J64" s="52">
        <f t="shared" si="2"/>
        <v>9</v>
      </c>
      <c r="K64" s="44"/>
      <c r="L64" s="53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53" t="s">
        <v>248</v>
      </c>
      <c r="C65" s="53" t="s">
        <v>251</v>
      </c>
      <c r="D65" s="110" t="s">
        <v>252</v>
      </c>
      <c r="E65" s="49">
        <v>3.4</v>
      </c>
      <c r="F65" s="49">
        <v>1.2</v>
      </c>
      <c r="G65" s="50"/>
      <c r="H65" s="50">
        <f t="shared" si="1"/>
        <v>4.6</v>
      </c>
      <c r="I65" s="51">
        <v>0.0</v>
      </c>
      <c r="J65" s="52">
        <f t="shared" si="2"/>
        <v>5</v>
      </c>
      <c r="K65" s="44"/>
      <c r="L65" s="53">
        <f t="shared" si="3"/>
        <v>4</v>
      </c>
      <c r="M65" s="1"/>
      <c r="N65" s="1"/>
      <c r="O65" s="2"/>
      <c r="P65" s="2"/>
      <c r="Q65" s="2"/>
    </row>
    <row r="66" ht="24.75" customHeight="1">
      <c r="A66" s="6"/>
      <c r="B66" s="59"/>
      <c r="C66" s="59"/>
      <c r="D66" s="59"/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1" t="s">
        <v>135</v>
      </c>
      <c r="C67" s="62"/>
      <c r="D67" s="63">
        <f>COUNT(A17:A65)</f>
        <v>49</v>
      </c>
      <c r="E67" s="60"/>
      <c r="F67" s="64" t="s">
        <v>136</v>
      </c>
      <c r="G67" s="60"/>
      <c r="H67" s="64" t="s">
        <v>137</v>
      </c>
      <c r="J67" s="65" t="s">
        <v>138</v>
      </c>
      <c r="K67" s="66" t="s">
        <v>139</v>
      </c>
      <c r="L67" s="59"/>
      <c r="M67" s="1"/>
      <c r="N67" s="1"/>
      <c r="O67" s="2"/>
      <c r="P67" s="2"/>
      <c r="Q67" s="2"/>
    </row>
    <row r="68" ht="24.75" customHeight="1">
      <c r="A68" s="1"/>
      <c r="B68" s="67" t="s">
        <v>140</v>
      </c>
      <c r="C68" s="68"/>
      <c r="D68" s="111">
        <f>COUNTIF(J17:J65,"BAJA")</f>
        <v>0</v>
      </c>
      <c r="E68" s="60"/>
      <c r="G68" s="60"/>
      <c r="K68" s="9"/>
      <c r="L68" s="59"/>
      <c r="M68" s="1"/>
      <c r="N68" s="1"/>
      <c r="O68" s="2"/>
      <c r="P68" s="2"/>
      <c r="Q68" s="2"/>
    </row>
    <row r="69" ht="24.75" customHeight="1">
      <c r="A69" s="1"/>
      <c r="B69" s="67" t="s">
        <v>141</v>
      </c>
      <c r="C69" s="68"/>
      <c r="D69" s="71">
        <f>D67-D68</f>
        <v>49</v>
      </c>
      <c r="E69" s="60"/>
      <c r="F69" s="60"/>
      <c r="G69" s="60"/>
      <c r="H69" s="60"/>
      <c r="I69" s="60"/>
      <c r="J69" s="59"/>
      <c r="K69" s="7"/>
      <c r="L69" s="59"/>
      <c r="M69" s="1"/>
      <c r="N69" s="1"/>
      <c r="O69" s="2"/>
      <c r="P69" s="2"/>
      <c r="Q69" s="2"/>
    </row>
    <row r="70" ht="24.75" customHeight="1">
      <c r="A70" s="1"/>
      <c r="B70" s="67" t="s">
        <v>142</v>
      </c>
      <c r="C70" s="68"/>
      <c r="D70" s="71">
        <f>COUNTIF(J17:J65,"&gt;=6")</f>
        <v>45</v>
      </c>
      <c r="E70" s="60"/>
      <c r="F70" s="60"/>
      <c r="G70" s="60"/>
      <c r="H70" s="60"/>
      <c r="I70" s="11"/>
      <c r="J70" s="59"/>
      <c r="K70" s="7"/>
      <c r="L70" s="59"/>
      <c r="M70" s="1"/>
      <c r="N70" s="1"/>
      <c r="O70" s="2"/>
      <c r="P70" s="2"/>
      <c r="Q70" s="2"/>
    </row>
    <row r="71" ht="24.75" customHeight="1">
      <c r="A71" s="1"/>
      <c r="B71" s="67" t="s">
        <v>143</v>
      </c>
      <c r="C71" s="68"/>
      <c r="D71" s="71">
        <f>D69-D70</f>
        <v>4</v>
      </c>
      <c r="E71" s="60"/>
      <c r="F71" s="72"/>
      <c r="G71" s="60"/>
      <c r="H71" s="72"/>
      <c r="I71" s="72"/>
      <c r="J71" s="74"/>
      <c r="K71" s="75"/>
      <c r="L71" s="59"/>
      <c r="M71" s="1"/>
      <c r="N71" s="1"/>
      <c r="O71" s="2"/>
      <c r="P71" s="2"/>
      <c r="Q71" s="2"/>
    </row>
    <row r="72" ht="36.0" customHeight="1">
      <c r="A72" s="80"/>
      <c r="B72" s="112" t="s">
        <v>144</v>
      </c>
      <c r="C72" s="68"/>
      <c r="D72" s="70">
        <f>D70*100/D69</f>
        <v>91.83673469</v>
      </c>
      <c r="E72" s="1"/>
      <c r="F72" s="76" t="s">
        <v>145</v>
      </c>
      <c r="G72" s="1"/>
      <c r="H72" s="77" t="s">
        <v>146</v>
      </c>
      <c r="J72" s="78" t="s">
        <v>147</v>
      </c>
      <c r="K72" s="79" t="s">
        <v>148</v>
      </c>
      <c r="L72" s="1"/>
      <c r="M72" s="1"/>
      <c r="N72" s="1"/>
      <c r="O72" s="2"/>
      <c r="P72" s="2"/>
      <c r="Q72" s="2"/>
    </row>
    <row r="73" ht="21.75" customHeight="1">
      <c r="A73" s="80"/>
      <c r="B73" s="113" t="s">
        <v>149</v>
      </c>
      <c r="C73" s="82"/>
      <c r="D73" s="83">
        <f>AVERAGE(J17:J65)</f>
        <v>7.673469388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4"/>
      <c r="B74" s="2"/>
      <c r="C74" s="2"/>
      <c r="D74" s="87"/>
      <c r="E74" s="2"/>
      <c r="F74" s="2"/>
      <c r="G74" s="2"/>
      <c r="H74" s="86"/>
      <c r="I74" s="86"/>
      <c r="J74" s="87"/>
      <c r="K74" s="88"/>
      <c r="L74" s="2"/>
      <c r="M74" s="2"/>
      <c r="N74" s="2"/>
      <c r="O74" s="2"/>
      <c r="P74" s="2"/>
      <c r="Q74" s="2"/>
    </row>
    <row r="75" ht="21.75" customHeight="1">
      <c r="A75" s="89"/>
      <c r="B75" s="90"/>
      <c r="C75" s="91"/>
      <c r="D75" s="92"/>
      <c r="E75" s="93"/>
      <c r="G75" s="93"/>
      <c r="H75" s="93"/>
      <c r="I75" s="93"/>
      <c r="J75" s="93"/>
      <c r="K75" s="96"/>
      <c r="L75" s="93"/>
      <c r="M75" s="2"/>
      <c r="N75" s="2"/>
      <c r="O75" s="2"/>
      <c r="P75" s="2"/>
      <c r="Q75" s="2"/>
    </row>
    <row r="76" ht="21.75" customHeight="1">
      <c r="A76" s="97"/>
      <c r="B76" s="93"/>
      <c r="C76" s="93"/>
      <c r="D76" s="95"/>
      <c r="E76" s="93"/>
      <c r="F76" s="2"/>
      <c r="G76" s="2"/>
      <c r="H76" s="2"/>
      <c r="I76" s="2"/>
      <c r="J76" s="2"/>
      <c r="K76" s="88"/>
      <c r="L76" s="2"/>
      <c r="M76" s="2"/>
      <c r="N76" s="2"/>
      <c r="O76" s="2"/>
      <c r="P76" s="2"/>
      <c r="Q76" s="2"/>
    </row>
    <row r="77" ht="27.75" customHeight="1">
      <c r="A77" s="97"/>
      <c r="B77" s="93"/>
      <c r="C77" s="93"/>
      <c r="D77" s="95"/>
      <c r="E77" s="93"/>
      <c r="F77" s="107"/>
      <c r="G77" s="2"/>
      <c r="H77" s="107"/>
      <c r="I77" s="107"/>
      <c r="J77" s="107"/>
      <c r="K77" s="114"/>
      <c r="L77" s="2"/>
      <c r="M77" s="2"/>
      <c r="N77" s="2"/>
      <c r="O77" s="2"/>
      <c r="P77" s="2"/>
      <c r="Q77" s="2"/>
    </row>
    <row r="78" ht="21.75" customHeight="1">
      <c r="A78" s="98"/>
      <c r="B78" s="115"/>
      <c r="C78" s="115"/>
      <c r="D78" s="116"/>
      <c r="E78" s="99"/>
      <c r="F78" s="101"/>
      <c r="G78" s="102"/>
      <c r="H78" s="101"/>
      <c r="I78" s="101"/>
      <c r="J78" s="101"/>
      <c r="K78" s="103"/>
      <c r="L78" s="2"/>
      <c r="M78" s="2"/>
      <c r="N78" s="2"/>
      <c r="O78" s="2"/>
      <c r="P78" s="2"/>
      <c r="Q78" s="2"/>
    </row>
    <row r="79" ht="13.5" customHeight="1">
      <c r="A79" s="2"/>
      <c r="B79" s="93"/>
      <c r="C79" s="93"/>
      <c r="D79" s="106"/>
      <c r="E79" s="93"/>
      <c r="F79" s="107"/>
      <c r="G79" s="2"/>
      <c r="H79" s="107"/>
      <c r="I79" s="107"/>
      <c r="J79" s="108"/>
      <c r="K79" s="108"/>
      <c r="L79" s="109"/>
      <c r="M79" s="2"/>
      <c r="N79" s="2"/>
      <c r="O79" s="2"/>
      <c r="P79" s="2"/>
      <c r="Q79" s="2"/>
    </row>
    <row r="80" ht="13.5" customHeight="1">
      <c r="A80" s="2"/>
      <c r="B80" s="93"/>
      <c r="C80" s="93"/>
      <c r="D80" s="93"/>
      <c r="E80" s="93"/>
      <c r="F80" s="2"/>
      <c r="G80" s="2"/>
      <c r="H80" s="2"/>
      <c r="I80" s="2"/>
      <c r="J80" s="109"/>
      <c r="K80" s="117"/>
      <c r="L80" s="109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J17:J65">
    <cfRule type="cellIs" dxfId="0" priority="1" stopIfTrue="1" operator="greaterThan">
      <formula>5</formula>
    </cfRule>
  </conditionalFormatting>
  <conditionalFormatting sqref="E17:G65">
    <cfRule type="expression" dxfId="0" priority="2" stopIfTrue="1">
      <formula>TRUE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1.0797636632200887" right="0.0" top="0.1968503937007874"/>
  <pageSetup scale="4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253</v>
      </c>
      <c r="C17" s="46" t="s">
        <v>123</v>
      </c>
      <c r="D17" s="57" t="s">
        <v>254</v>
      </c>
      <c r="E17" s="118">
        <v>5.5633333333333335</v>
      </c>
      <c r="F17" s="49">
        <v>2.0</v>
      </c>
      <c r="G17" s="49">
        <v>1.0</v>
      </c>
      <c r="H17" s="50">
        <f t="shared" ref="H17:H63" si="1">SUM(E17:G17)</f>
        <v>8.563333333</v>
      </c>
      <c r="I17" s="51">
        <v>0.0</v>
      </c>
      <c r="J17" s="52">
        <f t="shared" ref="J17:J63" si="2">IF(H17&lt;6, 5, MIN(ROUND(H17, 0), 10))</f>
        <v>9</v>
      </c>
      <c r="K17" s="53"/>
      <c r="L17" s="54">
        <f t="shared" ref="L17:L63" si="3">IF(H17&gt;=6,ROUND(H17,0),TRUNC(H17,0))</f>
        <v>9</v>
      </c>
      <c r="M17" s="55" t="s">
        <v>24</v>
      </c>
      <c r="N17" s="24"/>
      <c r="O17" s="2"/>
      <c r="P17" s="2"/>
      <c r="Q17" s="2"/>
    </row>
    <row r="18" ht="24.75" customHeight="1">
      <c r="A18" s="44">
        <v>2.0</v>
      </c>
      <c r="B18" s="53" t="s">
        <v>228</v>
      </c>
      <c r="C18" s="53" t="s">
        <v>37</v>
      </c>
      <c r="D18" s="57" t="s">
        <v>255</v>
      </c>
      <c r="E18" s="118">
        <v>6.033333333333333</v>
      </c>
      <c r="F18" s="49">
        <v>1.8</v>
      </c>
      <c r="G18" s="49">
        <v>1.0</v>
      </c>
      <c r="H18" s="50">
        <f t="shared" si="1"/>
        <v>8.833333333</v>
      </c>
      <c r="I18" s="51">
        <v>0.0</v>
      </c>
      <c r="J18" s="52">
        <f t="shared" si="2"/>
        <v>9</v>
      </c>
      <c r="K18" s="44"/>
      <c r="L18" s="54">
        <f t="shared" si="3"/>
        <v>9</v>
      </c>
      <c r="M18" s="58" t="s">
        <v>28</v>
      </c>
      <c r="N18" s="51">
        <v>12.0</v>
      </c>
      <c r="O18" s="2"/>
      <c r="P18" s="2"/>
      <c r="Q18" s="2"/>
    </row>
    <row r="19" ht="24.75" customHeight="1">
      <c r="A19" s="44">
        <v>3.0</v>
      </c>
      <c r="B19" s="53" t="s">
        <v>256</v>
      </c>
      <c r="C19" s="53" t="s">
        <v>61</v>
      </c>
      <c r="D19" s="57" t="s">
        <v>257</v>
      </c>
      <c r="E19" s="118">
        <v>7.049999999999999</v>
      </c>
      <c r="F19" s="49">
        <v>2.0</v>
      </c>
      <c r="G19" s="50"/>
      <c r="H19" s="50">
        <f t="shared" si="1"/>
        <v>9.05</v>
      </c>
      <c r="I19" s="51">
        <v>0.0</v>
      </c>
      <c r="J19" s="52">
        <f t="shared" si="2"/>
        <v>9</v>
      </c>
      <c r="K19" s="44"/>
      <c r="L19" s="54">
        <f t="shared" si="3"/>
        <v>9</v>
      </c>
      <c r="M19" s="58" t="s">
        <v>32</v>
      </c>
      <c r="N19" s="51">
        <v>15.0</v>
      </c>
      <c r="O19" s="2"/>
      <c r="P19" s="2"/>
      <c r="Q19" s="2"/>
    </row>
    <row r="20" ht="24.75" customHeight="1">
      <c r="A20" s="44">
        <v>4.0</v>
      </c>
      <c r="B20" s="53" t="s">
        <v>258</v>
      </c>
      <c r="C20" s="53" t="s">
        <v>259</v>
      </c>
      <c r="D20" s="57" t="s">
        <v>260</v>
      </c>
      <c r="E20" s="118">
        <v>6.258333333333333</v>
      </c>
      <c r="F20" s="49">
        <v>1.4</v>
      </c>
      <c r="G20" s="50"/>
      <c r="H20" s="50">
        <f t="shared" si="1"/>
        <v>7.658333333</v>
      </c>
      <c r="I20" s="51">
        <v>0.0</v>
      </c>
      <c r="J20" s="52">
        <f t="shared" si="2"/>
        <v>8</v>
      </c>
      <c r="K20" s="44"/>
      <c r="L20" s="54">
        <f t="shared" si="3"/>
        <v>8</v>
      </c>
      <c r="M20" s="58" t="s">
        <v>35</v>
      </c>
      <c r="N20" s="44"/>
      <c r="O20" s="2"/>
      <c r="P20" s="2"/>
      <c r="Q20" s="2"/>
    </row>
    <row r="21" ht="24.75" customHeight="1">
      <c r="A21" s="44">
        <v>5.0</v>
      </c>
      <c r="B21" s="53" t="s">
        <v>261</v>
      </c>
      <c r="C21" s="53" t="s">
        <v>262</v>
      </c>
      <c r="D21" s="57" t="s">
        <v>263</v>
      </c>
      <c r="E21" s="118">
        <v>5.590000000000001</v>
      </c>
      <c r="F21" s="49">
        <v>2.0</v>
      </c>
      <c r="G21" s="50"/>
      <c r="H21" s="50">
        <f t="shared" si="1"/>
        <v>7.59</v>
      </c>
      <c r="I21" s="51">
        <v>0.0</v>
      </c>
      <c r="J21" s="52">
        <f t="shared" si="2"/>
        <v>8</v>
      </c>
      <c r="K21" s="44"/>
      <c r="L21" s="54">
        <f t="shared" si="3"/>
        <v>8</v>
      </c>
      <c r="M21" s="58" t="s">
        <v>43</v>
      </c>
      <c r="N21" s="44"/>
      <c r="O21" s="2"/>
      <c r="P21" s="2"/>
      <c r="Q21" s="2"/>
    </row>
    <row r="22" ht="24.75" customHeight="1">
      <c r="A22" s="44">
        <v>6.0</v>
      </c>
      <c r="B22" s="53" t="s">
        <v>264</v>
      </c>
      <c r="C22" s="53" t="s">
        <v>265</v>
      </c>
      <c r="D22" s="57" t="s">
        <v>266</v>
      </c>
      <c r="E22" s="118">
        <v>5.793333333333333</v>
      </c>
      <c r="F22" s="49">
        <v>2.0</v>
      </c>
      <c r="G22" s="50"/>
      <c r="H22" s="50">
        <f t="shared" si="1"/>
        <v>7.793333333</v>
      </c>
      <c r="I22" s="51">
        <v>1.0</v>
      </c>
      <c r="J22" s="52">
        <f t="shared" si="2"/>
        <v>8</v>
      </c>
      <c r="K22" s="44"/>
      <c r="L22" s="54">
        <f t="shared" si="3"/>
        <v>8</v>
      </c>
      <c r="M22" s="58" t="s">
        <v>47</v>
      </c>
      <c r="N22" s="44"/>
      <c r="O22" s="2"/>
      <c r="P22" s="2"/>
      <c r="Q22" s="2"/>
    </row>
    <row r="23" ht="24.75" customHeight="1">
      <c r="A23" s="44">
        <v>7.0</v>
      </c>
      <c r="B23" s="53" t="s">
        <v>267</v>
      </c>
      <c r="C23" s="53" t="s">
        <v>268</v>
      </c>
      <c r="D23" s="57" t="s">
        <v>269</v>
      </c>
      <c r="E23" s="48">
        <v>6.2</v>
      </c>
      <c r="F23" s="49">
        <v>1.8</v>
      </c>
      <c r="G23" s="49">
        <v>0.5</v>
      </c>
      <c r="H23" s="50">
        <f t="shared" si="1"/>
        <v>8.5</v>
      </c>
      <c r="I23" s="51">
        <v>0.0</v>
      </c>
      <c r="J23" s="52">
        <f t="shared" si="2"/>
        <v>9</v>
      </c>
      <c r="K23" s="44"/>
      <c r="L23" s="54">
        <f t="shared" si="3"/>
        <v>9</v>
      </c>
      <c r="M23" s="58" t="s">
        <v>51</v>
      </c>
      <c r="N23" s="58">
        <f>SUM(N18:N22)</f>
        <v>27</v>
      </c>
      <c r="O23" s="2"/>
      <c r="P23" s="2"/>
      <c r="Q23" s="2"/>
    </row>
    <row r="24" ht="24.75" customHeight="1">
      <c r="A24" s="44">
        <v>8.0</v>
      </c>
      <c r="B24" s="53" t="s">
        <v>151</v>
      </c>
      <c r="C24" s="53" t="s">
        <v>92</v>
      </c>
      <c r="D24" s="57" t="s">
        <v>270</v>
      </c>
      <c r="E24" s="118">
        <v>6.643333333333334</v>
      </c>
      <c r="F24" s="49">
        <v>1.8</v>
      </c>
      <c r="G24" s="50"/>
      <c r="H24" s="50">
        <f t="shared" si="1"/>
        <v>8.443333333</v>
      </c>
      <c r="I24" s="51">
        <v>0.0</v>
      </c>
      <c r="J24" s="52">
        <f t="shared" si="2"/>
        <v>8</v>
      </c>
      <c r="K24" s="44"/>
      <c r="L24" s="54">
        <f t="shared" si="3"/>
        <v>8</v>
      </c>
      <c r="M24" s="1"/>
      <c r="N24" s="1"/>
      <c r="O24" s="2"/>
      <c r="P24" s="2"/>
      <c r="Q24" s="2"/>
    </row>
    <row r="25" ht="24.75" customHeight="1">
      <c r="A25" s="44">
        <v>9.0</v>
      </c>
      <c r="B25" s="53" t="s">
        <v>271</v>
      </c>
      <c r="C25" s="53" t="s">
        <v>272</v>
      </c>
      <c r="D25" s="57" t="s">
        <v>273</v>
      </c>
      <c r="E25" s="48">
        <v>5.5</v>
      </c>
      <c r="F25" s="49">
        <v>1.6</v>
      </c>
      <c r="G25" s="49">
        <v>1.0</v>
      </c>
      <c r="H25" s="50">
        <f t="shared" si="1"/>
        <v>8.1</v>
      </c>
      <c r="I25" s="51">
        <v>1.0</v>
      </c>
      <c r="J25" s="52">
        <f t="shared" si="2"/>
        <v>8</v>
      </c>
      <c r="K25" s="44"/>
      <c r="L25" s="54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3" t="s">
        <v>44</v>
      </c>
      <c r="C26" s="53" t="s">
        <v>274</v>
      </c>
      <c r="D26" s="46" t="s">
        <v>275</v>
      </c>
      <c r="E26" s="118">
        <v>5.553333333333334</v>
      </c>
      <c r="F26" s="49">
        <v>2.0</v>
      </c>
      <c r="G26" s="50"/>
      <c r="H26" s="50">
        <f t="shared" si="1"/>
        <v>7.553333333</v>
      </c>
      <c r="I26" s="51">
        <v>1.0</v>
      </c>
      <c r="J26" s="52">
        <f t="shared" si="2"/>
        <v>8</v>
      </c>
      <c r="K26" s="44"/>
      <c r="L26" s="54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3" t="s">
        <v>276</v>
      </c>
      <c r="C27" s="53" t="s">
        <v>277</v>
      </c>
      <c r="D27" s="57" t="s">
        <v>210</v>
      </c>
      <c r="E27" s="118">
        <v>4.795</v>
      </c>
      <c r="F27" s="49">
        <v>1.4</v>
      </c>
      <c r="G27" s="50"/>
      <c r="H27" s="50">
        <f t="shared" si="1"/>
        <v>6.195</v>
      </c>
      <c r="I27" s="51">
        <v>1.0</v>
      </c>
      <c r="J27" s="52">
        <f t="shared" si="2"/>
        <v>6</v>
      </c>
      <c r="K27" s="44"/>
      <c r="L27" s="54">
        <f t="shared" si="3"/>
        <v>6</v>
      </c>
      <c r="M27" s="1"/>
      <c r="N27" s="1"/>
      <c r="O27" s="2"/>
      <c r="P27" s="2"/>
      <c r="Q27" s="2"/>
    </row>
    <row r="28" ht="24.75" customHeight="1">
      <c r="A28" s="44">
        <v>12.0</v>
      </c>
      <c r="B28" s="53" t="s">
        <v>278</v>
      </c>
      <c r="C28" s="53" t="s">
        <v>279</v>
      </c>
      <c r="D28" s="57" t="s">
        <v>86</v>
      </c>
      <c r="E28" s="118">
        <v>4.806666666666667</v>
      </c>
      <c r="F28" s="49">
        <v>1.4</v>
      </c>
      <c r="G28" s="50"/>
      <c r="H28" s="50">
        <f t="shared" si="1"/>
        <v>6.206666667</v>
      </c>
      <c r="I28" s="51">
        <v>2.0</v>
      </c>
      <c r="J28" s="52">
        <f t="shared" si="2"/>
        <v>6</v>
      </c>
      <c r="K28" s="44"/>
      <c r="L28" s="54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53" t="s">
        <v>280</v>
      </c>
      <c r="C29" s="53" t="s">
        <v>281</v>
      </c>
      <c r="D29" s="57" t="s">
        <v>282</v>
      </c>
      <c r="E29" s="118">
        <v>6.113333333333333</v>
      </c>
      <c r="F29" s="49">
        <v>2.0</v>
      </c>
      <c r="G29" s="50"/>
      <c r="H29" s="50">
        <f t="shared" si="1"/>
        <v>8.113333333</v>
      </c>
      <c r="I29" s="51">
        <v>1.0</v>
      </c>
      <c r="J29" s="52">
        <f t="shared" si="2"/>
        <v>8</v>
      </c>
      <c r="K29" s="44"/>
      <c r="L29" s="54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3" t="s">
        <v>30</v>
      </c>
      <c r="C30" s="53" t="s">
        <v>30</v>
      </c>
      <c r="D30" s="57" t="s">
        <v>283</v>
      </c>
      <c r="E30" s="118">
        <v>4.966666666666667</v>
      </c>
      <c r="F30" s="49">
        <v>1.8</v>
      </c>
      <c r="G30" s="50"/>
      <c r="H30" s="50">
        <f t="shared" si="1"/>
        <v>6.766666667</v>
      </c>
      <c r="I30" s="51">
        <v>0.0</v>
      </c>
      <c r="J30" s="52">
        <f t="shared" si="2"/>
        <v>7</v>
      </c>
      <c r="K30" s="44"/>
      <c r="L30" s="54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53" t="s">
        <v>183</v>
      </c>
      <c r="C31" s="53" t="s">
        <v>79</v>
      </c>
      <c r="D31" s="57" t="s">
        <v>284</v>
      </c>
      <c r="E31" s="118">
        <v>6.633333333333333</v>
      </c>
      <c r="F31" s="49">
        <v>1.8</v>
      </c>
      <c r="G31" s="50"/>
      <c r="H31" s="50">
        <f t="shared" si="1"/>
        <v>8.433333333</v>
      </c>
      <c r="I31" s="51">
        <v>0.0</v>
      </c>
      <c r="J31" s="52">
        <f t="shared" si="2"/>
        <v>8</v>
      </c>
      <c r="K31" s="44"/>
      <c r="L31" s="54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3" t="s">
        <v>183</v>
      </c>
      <c r="C32" s="53" t="s">
        <v>285</v>
      </c>
      <c r="D32" s="57" t="s">
        <v>286</v>
      </c>
      <c r="E32" s="48">
        <v>5.0</v>
      </c>
      <c r="F32" s="49">
        <v>1.2</v>
      </c>
      <c r="G32" s="50"/>
      <c r="H32" s="50">
        <f t="shared" si="1"/>
        <v>6.2</v>
      </c>
      <c r="I32" s="51">
        <v>0.0</v>
      </c>
      <c r="J32" s="52">
        <f t="shared" si="2"/>
        <v>6</v>
      </c>
      <c r="K32" s="44"/>
      <c r="L32" s="54">
        <f t="shared" si="3"/>
        <v>6</v>
      </c>
      <c r="M32" s="1"/>
      <c r="N32" s="1"/>
      <c r="O32" s="2"/>
      <c r="P32" s="2"/>
      <c r="Q32" s="2"/>
    </row>
    <row r="33" ht="24.75" customHeight="1">
      <c r="A33" s="44">
        <v>17.0</v>
      </c>
      <c r="B33" s="53" t="s">
        <v>183</v>
      </c>
      <c r="C33" s="53" t="s">
        <v>287</v>
      </c>
      <c r="D33" s="57" t="s">
        <v>288</v>
      </c>
      <c r="E33" s="48">
        <v>6.3</v>
      </c>
      <c r="F33" s="49">
        <v>1.8</v>
      </c>
      <c r="G33" s="50"/>
      <c r="H33" s="50">
        <f t="shared" si="1"/>
        <v>8.1</v>
      </c>
      <c r="I33" s="51">
        <v>0.0</v>
      </c>
      <c r="J33" s="52">
        <f t="shared" si="2"/>
        <v>8</v>
      </c>
      <c r="K33" s="44"/>
      <c r="L33" s="54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53" t="s">
        <v>61</v>
      </c>
      <c r="C34" s="53" t="s">
        <v>55</v>
      </c>
      <c r="D34" s="57" t="s">
        <v>289</v>
      </c>
      <c r="E34" s="118">
        <v>5.573333333333333</v>
      </c>
      <c r="F34" s="49">
        <v>1.6</v>
      </c>
      <c r="G34" s="49">
        <v>1.0</v>
      </c>
      <c r="H34" s="50">
        <f t="shared" si="1"/>
        <v>8.173333333</v>
      </c>
      <c r="I34" s="51">
        <v>0.0</v>
      </c>
      <c r="J34" s="52">
        <f t="shared" si="2"/>
        <v>8</v>
      </c>
      <c r="K34" s="44"/>
      <c r="L34" s="54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53" t="s">
        <v>290</v>
      </c>
      <c r="C35" s="53" t="s">
        <v>88</v>
      </c>
      <c r="D35" s="57" t="s">
        <v>291</v>
      </c>
      <c r="E35" s="48">
        <v>6.0</v>
      </c>
      <c r="F35" s="49">
        <v>1.6</v>
      </c>
      <c r="G35" s="50"/>
      <c r="H35" s="50">
        <f t="shared" si="1"/>
        <v>7.6</v>
      </c>
      <c r="I35" s="51">
        <v>0.0</v>
      </c>
      <c r="J35" s="52">
        <f t="shared" si="2"/>
        <v>8</v>
      </c>
      <c r="K35" s="44"/>
      <c r="L35" s="54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53" t="s">
        <v>187</v>
      </c>
      <c r="C36" s="53" t="s">
        <v>292</v>
      </c>
      <c r="D36" s="57" t="s">
        <v>293</v>
      </c>
      <c r="E36" s="118">
        <v>6.683333333333334</v>
      </c>
      <c r="F36" s="49">
        <v>2.2</v>
      </c>
      <c r="G36" s="49">
        <v>1.0</v>
      </c>
      <c r="H36" s="50">
        <f t="shared" si="1"/>
        <v>9.883333333</v>
      </c>
      <c r="I36" s="51">
        <v>0.0</v>
      </c>
      <c r="J36" s="52">
        <f t="shared" si="2"/>
        <v>10</v>
      </c>
      <c r="K36" s="44"/>
      <c r="L36" s="54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3" t="s">
        <v>187</v>
      </c>
      <c r="C37" s="53" t="s">
        <v>22</v>
      </c>
      <c r="D37" s="57" t="s">
        <v>294</v>
      </c>
      <c r="E37" s="118">
        <v>5.385000000000001</v>
      </c>
      <c r="F37" s="49">
        <v>1.4</v>
      </c>
      <c r="G37" s="49">
        <v>1.0</v>
      </c>
      <c r="H37" s="50">
        <f t="shared" si="1"/>
        <v>7.785</v>
      </c>
      <c r="I37" s="51">
        <v>2.0</v>
      </c>
      <c r="J37" s="52">
        <f t="shared" si="2"/>
        <v>8</v>
      </c>
      <c r="K37" s="44"/>
      <c r="L37" s="54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53" t="s">
        <v>37</v>
      </c>
      <c r="C38" s="53" t="s">
        <v>295</v>
      </c>
      <c r="D38" s="57" t="s">
        <v>296</v>
      </c>
      <c r="E38" s="118">
        <v>6.016666666666667</v>
      </c>
      <c r="F38" s="49">
        <v>2.0</v>
      </c>
      <c r="G38" s="50"/>
      <c r="H38" s="50">
        <f t="shared" si="1"/>
        <v>8.016666667</v>
      </c>
      <c r="I38" s="51">
        <v>0.0</v>
      </c>
      <c r="J38" s="52">
        <f t="shared" si="2"/>
        <v>8</v>
      </c>
      <c r="K38" s="44"/>
      <c r="L38" s="54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3" t="s">
        <v>112</v>
      </c>
      <c r="C39" s="53" t="s">
        <v>183</v>
      </c>
      <c r="D39" s="57" t="s">
        <v>297</v>
      </c>
      <c r="E39" s="118">
        <v>6.233333333333333</v>
      </c>
      <c r="F39" s="49">
        <v>1.9</v>
      </c>
      <c r="G39" s="50"/>
      <c r="H39" s="50">
        <f t="shared" si="1"/>
        <v>8.133333333</v>
      </c>
      <c r="I39" s="51">
        <v>2.0</v>
      </c>
      <c r="J39" s="52">
        <f t="shared" si="2"/>
        <v>8</v>
      </c>
      <c r="K39" s="44"/>
      <c r="L39" s="54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53" t="s">
        <v>41</v>
      </c>
      <c r="C40" s="53" t="s">
        <v>26</v>
      </c>
      <c r="D40" s="57" t="s">
        <v>298</v>
      </c>
      <c r="E40" s="48">
        <v>4.7</v>
      </c>
      <c r="F40" s="49">
        <v>1.2</v>
      </c>
      <c r="G40" s="50"/>
      <c r="H40" s="50">
        <f t="shared" si="1"/>
        <v>5.9</v>
      </c>
      <c r="I40" s="51">
        <v>2.0</v>
      </c>
      <c r="J40" s="52">
        <f t="shared" si="2"/>
        <v>5</v>
      </c>
      <c r="K40" s="44"/>
      <c r="L40" s="54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3" t="s">
        <v>79</v>
      </c>
      <c r="C41" s="53" t="s">
        <v>259</v>
      </c>
      <c r="D41" s="57" t="s">
        <v>299</v>
      </c>
      <c r="E41" s="118">
        <v>5.336666666666666</v>
      </c>
      <c r="F41" s="49">
        <v>1.6</v>
      </c>
      <c r="G41" s="49">
        <v>1.0</v>
      </c>
      <c r="H41" s="50">
        <f t="shared" si="1"/>
        <v>7.936666667</v>
      </c>
      <c r="I41" s="51">
        <v>1.0</v>
      </c>
      <c r="J41" s="52">
        <f t="shared" si="2"/>
        <v>8</v>
      </c>
      <c r="K41" s="44"/>
      <c r="L41" s="54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3" t="s">
        <v>79</v>
      </c>
      <c r="C42" s="53" t="s">
        <v>26</v>
      </c>
      <c r="D42" s="57" t="s">
        <v>300</v>
      </c>
      <c r="E42" s="118">
        <v>6.6033333333333335</v>
      </c>
      <c r="F42" s="49">
        <v>1.8</v>
      </c>
      <c r="G42" s="49">
        <v>1.0</v>
      </c>
      <c r="H42" s="50">
        <f t="shared" si="1"/>
        <v>9.403333333</v>
      </c>
      <c r="I42" s="51">
        <v>0.0</v>
      </c>
      <c r="J42" s="52">
        <f t="shared" si="2"/>
        <v>9</v>
      </c>
      <c r="K42" s="44"/>
      <c r="L42" s="54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53" t="s">
        <v>301</v>
      </c>
      <c r="C43" s="53" t="s">
        <v>61</v>
      </c>
      <c r="D43" s="57" t="s">
        <v>302</v>
      </c>
      <c r="E43" s="48">
        <v>6.7</v>
      </c>
      <c r="F43" s="49">
        <v>1.8</v>
      </c>
      <c r="G43" s="50"/>
      <c r="H43" s="50">
        <f t="shared" si="1"/>
        <v>8.5</v>
      </c>
      <c r="I43" s="51">
        <v>0.0</v>
      </c>
      <c r="J43" s="52">
        <f t="shared" si="2"/>
        <v>9</v>
      </c>
      <c r="K43" s="44"/>
      <c r="L43" s="54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3" t="s">
        <v>303</v>
      </c>
      <c r="C44" s="53" t="s">
        <v>304</v>
      </c>
      <c r="D44" s="57" t="s">
        <v>305</v>
      </c>
      <c r="E44" s="118">
        <v>5.11</v>
      </c>
      <c r="F44" s="49">
        <v>1.6</v>
      </c>
      <c r="G44" s="50"/>
      <c r="H44" s="50">
        <f t="shared" si="1"/>
        <v>6.71</v>
      </c>
      <c r="I44" s="51">
        <v>1.0</v>
      </c>
      <c r="J44" s="52">
        <f t="shared" si="2"/>
        <v>7</v>
      </c>
      <c r="K44" s="44"/>
      <c r="L44" s="54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3" t="s">
        <v>90</v>
      </c>
      <c r="C45" s="53" t="s">
        <v>49</v>
      </c>
      <c r="D45" s="57" t="s">
        <v>306</v>
      </c>
      <c r="E45" s="118">
        <v>6.154999999999999</v>
      </c>
      <c r="F45" s="49">
        <v>1.8</v>
      </c>
      <c r="G45" s="50"/>
      <c r="H45" s="50">
        <f t="shared" si="1"/>
        <v>7.955</v>
      </c>
      <c r="I45" s="51">
        <v>0.0</v>
      </c>
      <c r="J45" s="52">
        <f t="shared" si="2"/>
        <v>8</v>
      </c>
      <c r="K45" s="44"/>
      <c r="L45" s="54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3" t="s">
        <v>307</v>
      </c>
      <c r="C46" s="53" t="s">
        <v>26</v>
      </c>
      <c r="D46" s="57" t="s">
        <v>308</v>
      </c>
      <c r="E46" s="118">
        <v>4.578333333333333</v>
      </c>
      <c r="F46" s="49">
        <v>1.8</v>
      </c>
      <c r="G46" s="50"/>
      <c r="H46" s="50">
        <f t="shared" si="1"/>
        <v>6.378333333</v>
      </c>
      <c r="I46" s="51">
        <v>0.0</v>
      </c>
      <c r="J46" s="52">
        <f t="shared" si="2"/>
        <v>6</v>
      </c>
      <c r="K46" s="44"/>
      <c r="L46" s="54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53" t="s">
        <v>309</v>
      </c>
      <c r="C47" s="53" t="s">
        <v>55</v>
      </c>
      <c r="D47" s="57" t="s">
        <v>310</v>
      </c>
      <c r="E47" s="118">
        <v>4.223333333333334</v>
      </c>
      <c r="F47" s="49">
        <v>1.4</v>
      </c>
      <c r="G47" s="49">
        <v>1.0</v>
      </c>
      <c r="H47" s="50">
        <f t="shared" si="1"/>
        <v>6.623333333</v>
      </c>
      <c r="I47" s="51">
        <v>0.0</v>
      </c>
      <c r="J47" s="52">
        <f t="shared" si="2"/>
        <v>7</v>
      </c>
      <c r="K47" s="44"/>
      <c r="L47" s="54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53" t="s">
        <v>81</v>
      </c>
      <c r="C48" s="53" t="s">
        <v>79</v>
      </c>
      <c r="D48" s="57" t="s">
        <v>311</v>
      </c>
      <c r="E48" s="48">
        <v>5.3</v>
      </c>
      <c r="F48" s="49">
        <v>1.8</v>
      </c>
      <c r="G48" s="50"/>
      <c r="H48" s="50">
        <f t="shared" si="1"/>
        <v>7.1</v>
      </c>
      <c r="I48" s="51">
        <v>1.0</v>
      </c>
      <c r="J48" s="52">
        <f t="shared" si="2"/>
        <v>7</v>
      </c>
      <c r="K48" s="44"/>
      <c r="L48" s="54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53" t="s">
        <v>312</v>
      </c>
      <c r="C49" s="53" t="s">
        <v>30</v>
      </c>
      <c r="D49" s="57" t="s">
        <v>313</v>
      </c>
      <c r="E49" s="118">
        <v>5.453333333333333</v>
      </c>
      <c r="F49" s="49">
        <v>1.8</v>
      </c>
      <c r="G49" s="50"/>
      <c r="H49" s="50">
        <f t="shared" si="1"/>
        <v>7.253333333</v>
      </c>
      <c r="I49" s="51">
        <v>1.0</v>
      </c>
      <c r="J49" s="52">
        <f t="shared" si="2"/>
        <v>7</v>
      </c>
      <c r="K49" s="44"/>
      <c r="L49" s="54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3" t="s">
        <v>123</v>
      </c>
      <c r="C50" s="53" t="s">
        <v>181</v>
      </c>
      <c r="D50" s="57" t="s">
        <v>314</v>
      </c>
      <c r="E50" s="118">
        <v>6.416666666666666</v>
      </c>
      <c r="F50" s="49">
        <v>1.4</v>
      </c>
      <c r="G50" s="50"/>
      <c r="H50" s="50">
        <f t="shared" si="1"/>
        <v>7.816666667</v>
      </c>
      <c r="I50" s="51">
        <v>1.0</v>
      </c>
      <c r="J50" s="52">
        <f t="shared" si="2"/>
        <v>8</v>
      </c>
      <c r="K50" s="44"/>
      <c r="L50" s="54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53" t="s">
        <v>99</v>
      </c>
      <c r="C51" s="53" t="s">
        <v>55</v>
      </c>
      <c r="D51" s="57" t="s">
        <v>315</v>
      </c>
      <c r="E51" s="118">
        <v>6.246666666666666</v>
      </c>
      <c r="F51" s="49">
        <v>1.8</v>
      </c>
      <c r="G51" s="50"/>
      <c r="H51" s="50">
        <f t="shared" si="1"/>
        <v>8.046666667</v>
      </c>
      <c r="I51" s="51">
        <v>0.0</v>
      </c>
      <c r="J51" s="52">
        <f t="shared" si="2"/>
        <v>8</v>
      </c>
      <c r="K51" s="44"/>
      <c r="L51" s="53">
        <f t="shared" si="3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53" t="s">
        <v>99</v>
      </c>
      <c r="C52" s="53" t="s">
        <v>316</v>
      </c>
      <c r="D52" s="57" t="s">
        <v>317</v>
      </c>
      <c r="E52" s="48">
        <v>4.4</v>
      </c>
      <c r="F52" s="49">
        <v>1.6</v>
      </c>
      <c r="G52" s="50"/>
      <c r="H52" s="50">
        <f t="shared" si="1"/>
        <v>6</v>
      </c>
      <c r="I52" s="51">
        <v>2.0</v>
      </c>
      <c r="J52" s="52">
        <f t="shared" si="2"/>
        <v>6</v>
      </c>
      <c r="K52" s="44"/>
      <c r="L52" s="53">
        <f t="shared" si="3"/>
        <v>6</v>
      </c>
      <c r="M52" s="1"/>
      <c r="N52" s="1"/>
      <c r="O52" s="2"/>
      <c r="P52" s="2"/>
      <c r="Q52" s="2"/>
    </row>
    <row r="53" ht="24.75" customHeight="1">
      <c r="A53" s="44">
        <v>37.0</v>
      </c>
      <c r="B53" s="53" t="s">
        <v>92</v>
      </c>
      <c r="C53" s="53" t="s">
        <v>103</v>
      </c>
      <c r="D53" s="57" t="s">
        <v>318</v>
      </c>
      <c r="E53" s="118">
        <v>4.963333333333333</v>
      </c>
      <c r="F53" s="49">
        <v>1.2</v>
      </c>
      <c r="G53" s="50"/>
      <c r="H53" s="50">
        <f t="shared" si="1"/>
        <v>6.163333333</v>
      </c>
      <c r="I53" s="51">
        <v>1.0</v>
      </c>
      <c r="J53" s="52">
        <f t="shared" si="2"/>
        <v>6</v>
      </c>
      <c r="K53" s="44"/>
      <c r="L53" s="53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53" t="s">
        <v>55</v>
      </c>
      <c r="C54" s="53" t="s">
        <v>81</v>
      </c>
      <c r="D54" s="57" t="s">
        <v>319</v>
      </c>
      <c r="E54" s="118">
        <v>5.961666666666667</v>
      </c>
      <c r="F54" s="49">
        <v>1.6</v>
      </c>
      <c r="G54" s="50"/>
      <c r="H54" s="50">
        <f t="shared" si="1"/>
        <v>7.561666667</v>
      </c>
      <c r="I54" s="51">
        <v>0.0</v>
      </c>
      <c r="J54" s="52">
        <f t="shared" si="2"/>
        <v>8</v>
      </c>
      <c r="K54" s="44"/>
      <c r="L54" s="53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3" t="s">
        <v>320</v>
      </c>
      <c r="C55" s="53" t="s">
        <v>321</v>
      </c>
      <c r="D55" s="57" t="s">
        <v>322</v>
      </c>
      <c r="E55" s="48">
        <v>3.9</v>
      </c>
      <c r="F55" s="49">
        <v>2.0</v>
      </c>
      <c r="G55" s="50"/>
      <c r="H55" s="50">
        <f t="shared" si="1"/>
        <v>5.9</v>
      </c>
      <c r="I55" s="51">
        <v>3.0</v>
      </c>
      <c r="J55" s="52">
        <f t="shared" si="2"/>
        <v>5</v>
      </c>
      <c r="K55" s="44"/>
      <c r="L55" s="53">
        <f t="shared" si="3"/>
        <v>5</v>
      </c>
      <c r="M55" s="1"/>
      <c r="N55" s="1"/>
      <c r="O55" s="2"/>
      <c r="P55" s="2"/>
      <c r="Q55" s="2"/>
    </row>
    <row r="56" ht="24.75" customHeight="1">
      <c r="A56" s="44">
        <v>40.0</v>
      </c>
      <c r="B56" s="53" t="s">
        <v>323</v>
      </c>
      <c r="C56" s="53" t="s">
        <v>324</v>
      </c>
      <c r="D56" s="57" t="s">
        <v>325</v>
      </c>
      <c r="E56" s="118">
        <v>6.506666666666666</v>
      </c>
      <c r="F56" s="49">
        <v>1.4</v>
      </c>
      <c r="G56" s="50"/>
      <c r="H56" s="50">
        <f t="shared" si="1"/>
        <v>7.906666667</v>
      </c>
      <c r="I56" s="51">
        <v>1.0</v>
      </c>
      <c r="J56" s="52">
        <f t="shared" si="2"/>
        <v>8</v>
      </c>
      <c r="K56" s="44"/>
      <c r="L56" s="53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3" t="s">
        <v>326</v>
      </c>
      <c r="C57" s="53" t="s">
        <v>79</v>
      </c>
      <c r="D57" s="57" t="s">
        <v>327</v>
      </c>
      <c r="E57" s="118">
        <v>5.456666666666666</v>
      </c>
      <c r="F57" s="49">
        <v>1.8</v>
      </c>
      <c r="G57" s="50"/>
      <c r="H57" s="50">
        <f t="shared" si="1"/>
        <v>7.256666667</v>
      </c>
      <c r="I57" s="51">
        <v>0.0</v>
      </c>
      <c r="J57" s="52">
        <f t="shared" si="2"/>
        <v>7</v>
      </c>
      <c r="K57" s="44"/>
      <c r="L57" s="53">
        <f t="shared" si="3"/>
        <v>7</v>
      </c>
      <c r="M57" s="1"/>
      <c r="N57" s="1"/>
      <c r="O57" s="2"/>
      <c r="P57" s="2"/>
      <c r="Q57" s="2"/>
    </row>
    <row r="58" ht="24.75" customHeight="1">
      <c r="A58" s="44">
        <v>42.0</v>
      </c>
      <c r="B58" s="53" t="s">
        <v>328</v>
      </c>
      <c r="C58" s="53" t="s">
        <v>61</v>
      </c>
      <c r="D58" s="57" t="s">
        <v>329</v>
      </c>
      <c r="E58" s="118">
        <v>2.7166666666666663</v>
      </c>
      <c r="F58" s="49">
        <v>1.6</v>
      </c>
      <c r="G58" s="50"/>
      <c r="H58" s="50">
        <f t="shared" si="1"/>
        <v>4.316666667</v>
      </c>
      <c r="I58" s="51">
        <v>0.0</v>
      </c>
      <c r="J58" s="52">
        <f t="shared" si="2"/>
        <v>5</v>
      </c>
      <c r="K58" s="44"/>
      <c r="L58" s="53">
        <f t="shared" si="3"/>
        <v>4</v>
      </c>
      <c r="M58" s="1"/>
      <c r="N58" s="1"/>
      <c r="O58" s="2"/>
      <c r="P58" s="2"/>
      <c r="Q58" s="2"/>
    </row>
    <row r="59" ht="24.75" customHeight="1">
      <c r="A59" s="44">
        <v>43.0</v>
      </c>
      <c r="B59" s="53" t="s">
        <v>330</v>
      </c>
      <c r="C59" s="53" t="s">
        <v>90</v>
      </c>
      <c r="D59" s="57" t="s">
        <v>331</v>
      </c>
      <c r="E59" s="118">
        <v>4.943333333333333</v>
      </c>
      <c r="F59" s="49">
        <v>1.6</v>
      </c>
      <c r="G59" s="49">
        <v>1.0</v>
      </c>
      <c r="H59" s="50">
        <f t="shared" si="1"/>
        <v>7.543333333</v>
      </c>
      <c r="I59" s="51">
        <v>2.0</v>
      </c>
      <c r="J59" s="52">
        <f t="shared" si="2"/>
        <v>8</v>
      </c>
      <c r="K59" s="44"/>
      <c r="L59" s="53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53" t="s">
        <v>332</v>
      </c>
      <c r="C60" s="53" t="s">
        <v>103</v>
      </c>
      <c r="D60" s="57" t="s">
        <v>333</v>
      </c>
      <c r="E60" s="118">
        <v>6.616666666666666</v>
      </c>
      <c r="F60" s="49">
        <v>2.0</v>
      </c>
      <c r="G60" s="50"/>
      <c r="H60" s="50">
        <f t="shared" si="1"/>
        <v>8.616666667</v>
      </c>
      <c r="I60" s="51">
        <v>0.0</v>
      </c>
      <c r="J60" s="52">
        <f t="shared" si="2"/>
        <v>9</v>
      </c>
      <c r="K60" s="44"/>
      <c r="L60" s="53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3" t="s">
        <v>334</v>
      </c>
      <c r="C61" s="53" t="s">
        <v>335</v>
      </c>
      <c r="D61" s="57" t="s">
        <v>336</v>
      </c>
      <c r="E61" s="118">
        <v>5.5200000000000005</v>
      </c>
      <c r="F61" s="49">
        <v>2.0</v>
      </c>
      <c r="G61" s="49">
        <v>1.0</v>
      </c>
      <c r="H61" s="50">
        <f t="shared" si="1"/>
        <v>8.52</v>
      </c>
      <c r="I61" s="51">
        <v>0.0</v>
      </c>
      <c r="J61" s="52">
        <f t="shared" si="2"/>
        <v>9</v>
      </c>
      <c r="K61" s="44"/>
      <c r="L61" s="53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53" t="s">
        <v>337</v>
      </c>
      <c r="C62" s="53" t="s">
        <v>338</v>
      </c>
      <c r="D62" s="57" t="s">
        <v>339</v>
      </c>
      <c r="E62" s="118">
        <v>6.68</v>
      </c>
      <c r="F62" s="49">
        <v>2.0</v>
      </c>
      <c r="G62" s="49">
        <v>1.0</v>
      </c>
      <c r="H62" s="50">
        <f t="shared" si="1"/>
        <v>9.68</v>
      </c>
      <c r="I62" s="51">
        <v>0.0</v>
      </c>
      <c r="J62" s="52">
        <f t="shared" si="2"/>
        <v>10</v>
      </c>
      <c r="K62" s="44"/>
      <c r="L62" s="53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3" t="s">
        <v>337</v>
      </c>
      <c r="C63" s="53" t="s">
        <v>243</v>
      </c>
      <c r="D63" s="57" t="s">
        <v>340</v>
      </c>
      <c r="E63" s="118">
        <v>5.1866666666666665</v>
      </c>
      <c r="F63" s="49">
        <v>2.0</v>
      </c>
      <c r="G63" s="49">
        <v>1.0</v>
      </c>
      <c r="H63" s="50">
        <f t="shared" si="1"/>
        <v>8.186666667</v>
      </c>
      <c r="I63" s="51">
        <v>0.0</v>
      </c>
      <c r="J63" s="52">
        <f t="shared" si="2"/>
        <v>8</v>
      </c>
      <c r="K63" s="44"/>
      <c r="L63" s="53">
        <f t="shared" si="3"/>
        <v>8</v>
      </c>
      <c r="M63" s="1"/>
      <c r="N63" s="1"/>
      <c r="O63" s="2"/>
      <c r="P63" s="2"/>
      <c r="Q63" s="2"/>
    </row>
    <row r="64" ht="24.75" customHeight="1">
      <c r="A64" s="6"/>
      <c r="B64" s="59"/>
      <c r="C64" s="59"/>
      <c r="D64" s="11"/>
      <c r="E64" s="60"/>
      <c r="F64" s="60"/>
      <c r="G64" s="60"/>
      <c r="H64" s="60"/>
      <c r="I64" s="11"/>
      <c r="J64" s="59"/>
      <c r="K64" s="7"/>
      <c r="L64" s="59"/>
      <c r="M64" s="1"/>
      <c r="N64" s="1"/>
      <c r="O64" s="2"/>
      <c r="P64" s="2"/>
      <c r="Q64" s="2"/>
    </row>
    <row r="65" ht="24.75" customHeight="1">
      <c r="A65" s="1"/>
      <c r="B65" s="61" t="s">
        <v>135</v>
      </c>
      <c r="C65" s="62"/>
      <c r="D65" s="63">
        <f>COUNT(A17:A63)</f>
        <v>47</v>
      </c>
      <c r="E65" s="60"/>
      <c r="F65" s="64" t="s">
        <v>136</v>
      </c>
      <c r="G65" s="60"/>
      <c r="H65" s="64" t="s">
        <v>137</v>
      </c>
      <c r="J65" s="65" t="s">
        <v>138</v>
      </c>
      <c r="K65" s="66" t="s">
        <v>139</v>
      </c>
      <c r="L65" s="59"/>
      <c r="M65" s="1"/>
      <c r="N65" s="1"/>
      <c r="O65" s="2"/>
      <c r="P65" s="2"/>
      <c r="Q65" s="2"/>
    </row>
    <row r="66" ht="24.75" customHeight="1">
      <c r="A66" s="1"/>
      <c r="B66" s="67" t="s">
        <v>140</v>
      </c>
      <c r="C66" s="68"/>
      <c r="D66" s="69">
        <f>COUNTIF(J17:J63,"BAJA")</f>
        <v>0</v>
      </c>
      <c r="E66" s="60"/>
      <c r="G66" s="60"/>
      <c r="K66" s="9"/>
      <c r="L66" s="59"/>
      <c r="M66" s="1"/>
      <c r="N66" s="1"/>
      <c r="O66" s="2"/>
      <c r="P66" s="2"/>
      <c r="Q66" s="2"/>
    </row>
    <row r="67" ht="24.75" customHeight="1">
      <c r="A67" s="1"/>
      <c r="B67" s="67" t="s">
        <v>141</v>
      </c>
      <c r="C67" s="68"/>
      <c r="D67" s="70">
        <f>D65-D66</f>
        <v>47</v>
      </c>
      <c r="E67" s="60"/>
      <c r="F67" s="60"/>
      <c r="G67" s="60"/>
      <c r="H67" s="60"/>
      <c r="I67" s="60"/>
      <c r="J67" s="59"/>
      <c r="K67" s="7"/>
      <c r="L67" s="59"/>
      <c r="M67" s="1"/>
      <c r="N67" s="1"/>
      <c r="O67" s="2"/>
      <c r="P67" s="2"/>
      <c r="Q67" s="2"/>
    </row>
    <row r="68" ht="24.75" customHeight="1">
      <c r="A68" s="1"/>
      <c r="B68" s="67" t="s">
        <v>142</v>
      </c>
      <c r="C68" s="68"/>
      <c r="D68" s="71">
        <f>COUNTIF(J17:J63,"&gt;=6")</f>
        <v>44</v>
      </c>
      <c r="E68" s="60"/>
      <c r="F68" s="60"/>
      <c r="G68" s="60"/>
      <c r="H68" s="60"/>
      <c r="I68" s="60"/>
      <c r="J68" s="59"/>
      <c r="K68" s="7"/>
      <c r="L68" s="59"/>
      <c r="M68" s="1"/>
      <c r="N68" s="1"/>
      <c r="O68" s="2"/>
      <c r="P68" s="2"/>
      <c r="Q68" s="2"/>
    </row>
    <row r="69" ht="24.75" customHeight="1">
      <c r="A69" s="1"/>
      <c r="B69" s="67" t="s">
        <v>143</v>
      </c>
      <c r="C69" s="68"/>
      <c r="D69" s="71">
        <f>D67-D68</f>
        <v>3</v>
      </c>
      <c r="E69" s="60"/>
      <c r="F69" s="72"/>
      <c r="G69" s="60"/>
      <c r="H69" s="72"/>
      <c r="I69" s="73"/>
      <c r="J69" s="74"/>
      <c r="K69" s="75"/>
      <c r="L69" s="59"/>
      <c r="M69" s="1"/>
      <c r="N69" s="1"/>
      <c r="O69" s="2"/>
      <c r="P69" s="2"/>
      <c r="Q69" s="2"/>
    </row>
    <row r="70" ht="36.0" customHeight="1">
      <c r="A70" s="1"/>
      <c r="B70" s="67" t="s">
        <v>144</v>
      </c>
      <c r="C70" s="68"/>
      <c r="D70" s="70">
        <f>D68*100/D67</f>
        <v>93.61702128</v>
      </c>
      <c r="E70" s="60"/>
      <c r="F70" s="76" t="s">
        <v>145</v>
      </c>
      <c r="G70" s="60"/>
      <c r="H70" s="119" t="s">
        <v>341</v>
      </c>
      <c r="J70" s="78" t="s">
        <v>147</v>
      </c>
      <c r="K70" s="79" t="s">
        <v>148</v>
      </c>
      <c r="L70" s="59"/>
      <c r="M70" s="1"/>
      <c r="N70" s="1"/>
      <c r="O70" s="2"/>
      <c r="P70" s="2"/>
      <c r="Q70" s="2"/>
    </row>
    <row r="71" ht="21.75" customHeight="1">
      <c r="A71" s="80"/>
      <c r="B71" s="81" t="s">
        <v>149</v>
      </c>
      <c r="C71" s="82"/>
      <c r="D71" s="83">
        <f>AVERAGE(J17:J63)</f>
        <v>7.680851064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85"/>
      <c r="E72" s="2"/>
      <c r="F72" s="86"/>
      <c r="G72" s="2"/>
      <c r="H72" s="86"/>
      <c r="I72" s="86"/>
      <c r="J72" s="87"/>
      <c r="K72" s="88"/>
      <c r="L72" s="2"/>
      <c r="M72" s="2"/>
      <c r="N72" s="2"/>
      <c r="O72" s="2"/>
      <c r="P72" s="2"/>
      <c r="Q72" s="2"/>
    </row>
    <row r="73" ht="21.75" customHeight="1">
      <c r="A73" s="89"/>
      <c r="B73" s="90"/>
      <c r="C73" s="91"/>
      <c r="D73" s="92"/>
      <c r="E73" s="93"/>
      <c r="G73" s="93"/>
      <c r="H73" s="94"/>
      <c r="I73" s="94"/>
      <c r="J73" s="95"/>
      <c r="K73" s="96"/>
      <c r="L73" s="93"/>
      <c r="M73" s="2"/>
      <c r="N73" s="2"/>
      <c r="O73" s="2"/>
      <c r="P73" s="2"/>
      <c r="Q73" s="2"/>
    </row>
    <row r="74" ht="21.75" customHeight="1">
      <c r="A74" s="97"/>
      <c r="B74" s="93"/>
      <c r="C74" s="93"/>
      <c r="D74" s="95"/>
      <c r="E74" s="93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97"/>
      <c r="B75" s="93"/>
      <c r="C75" s="93"/>
      <c r="D75" s="95"/>
      <c r="E75" s="93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98"/>
      <c r="B76" s="99"/>
      <c r="C76" s="99"/>
      <c r="D76" s="100"/>
      <c r="E76" s="99"/>
      <c r="F76" s="101"/>
      <c r="G76" s="102"/>
      <c r="H76" s="101"/>
      <c r="I76" s="101"/>
      <c r="J76" s="101"/>
      <c r="K76" s="103"/>
      <c r="L76" s="2"/>
      <c r="M76" s="2"/>
      <c r="N76" s="2"/>
      <c r="O76" s="2"/>
      <c r="P76" s="2"/>
      <c r="Q76" s="2"/>
    </row>
    <row r="77" ht="21.75" customHeight="1">
      <c r="A77" s="104"/>
      <c r="B77" s="105"/>
      <c r="C77" s="105"/>
      <c r="D77" s="106"/>
      <c r="E77" s="93"/>
      <c r="F77" s="107"/>
      <c r="G77" s="2"/>
      <c r="H77" s="107"/>
      <c r="I77" s="107"/>
      <c r="J77" s="108"/>
      <c r="K77" s="108"/>
      <c r="L77" s="109"/>
      <c r="M77" s="2"/>
      <c r="N77" s="2"/>
      <c r="O77" s="2"/>
      <c r="P77" s="2"/>
      <c r="Q77" s="2"/>
    </row>
    <row r="78" ht="13.5" customHeight="1">
      <c r="A78" s="2"/>
      <c r="B78" s="93"/>
      <c r="C78" s="93"/>
      <c r="D78" s="106"/>
      <c r="E78" s="93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533234859675036" right="0.0" top="0.1968503937007874"/>
  <pageSetup scale="40" orientation="portrait"/>
  <drawing r:id="rId1"/>
</worksheet>
</file>