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educacion integral en sexua" sheetId="1" r:id="rId5"/>
  </sheets>
  <definedNames/>
  <calcPr/>
</workbook>
</file>

<file path=xl/sharedStrings.xml><?xml version="1.0" encoding="utf-8"?>
<sst xmlns="http://schemas.openxmlformats.org/spreadsheetml/2006/main" count="186" uniqueCount="150">
  <si>
    <t>ESCUELA PREPARATORIA OFICIAL NÚM. 67</t>
  </si>
  <si>
    <t xml:space="preserve">CONTROL PRIMER PARCIAL </t>
  </si>
  <si>
    <t xml:space="preserve">PROFESOR (A): </t>
  </si>
  <si>
    <t>RICARDO CHAPARRO</t>
  </si>
  <si>
    <t>II</t>
  </si>
  <si>
    <t>III</t>
  </si>
  <si>
    <t>PUNTAJE EXTRA</t>
  </si>
  <si>
    <t>CUARTO SEMESTRE
MATUTINO</t>
  </si>
  <si>
    <t>UAC</t>
  </si>
  <si>
    <t>EDUCACIÓN INTEGRAL EN SEXUALIDAD Y GÉNERO II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</si>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</sst>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3" fontId="1" numFmtId="164" xfId="0" applyAlignment="1" applyBorder="1" applyFont="1" applyNumberFormat="1">
      <alignment horizontal="center" readingOrder="0" shrinkToFit="0" vertical="bottom" wrapText="0"/>
    </xf>
    <xf borderId="23" fillId="3" fontId="1" numFmtId="164" xfId="0" applyAlignment="1" applyBorder="1" applyFont="1" applyNumberFormat="1">
      <alignment horizontal="right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64" xfId="0" applyAlignment="1" applyBorder="1" applyFont="1" applyNumberFormat="1">
      <alignment horizontal="center" readingOrder="0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1" xfId="0" applyAlignment="1" applyBorder="1" applyFont="1" applyNumberForma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247650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238125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8.0</v>
      </c>
      <c r="F17" s="49">
        <v>1.0</v>
      </c>
      <c r="G17" s="50"/>
      <c r="H17" s="50">
        <f t="shared" ref="H17:H63" si="1">SUM(E17:G17)</f>
        <v>9</v>
      </c>
      <c r="I17" s="51">
        <v>0.0</v>
      </c>
      <c r="J17" s="52">
        <f t="shared" ref="J17:J63" si="2">IF(H17&lt;6, 5, MIN(10, ROUND(H17,0)))</f>
        <v>9</v>
      </c>
      <c r="K17" s="53"/>
      <c r="L17" s="54">
        <f t="shared" ref="L17:L63" si="3">IF(H17&gt;=6,ROUND(H17,0),TRUNC(H17,0))</f>
        <v>9</v>
      </c>
      <c r="M17" s="55" t="s">
        <v>24</v>
      </c>
      <c r="N17" s="24"/>
      <c r="O17" s="2"/>
      <c r="P17" s="2"/>
      <c r="Q17" s="2"/>
    </row>
    <row r="18" ht="24.75" customHeight="1">
      <c r="A18" s="44">
        <v>2.0</v>
      </c>
      <c r="B18" s="56" t="s">
        <v>25</v>
      </c>
      <c r="C18" s="46" t="s">
        <v>26</v>
      </c>
      <c r="D18" s="57" t="s">
        <v>27</v>
      </c>
      <c r="E18" s="48">
        <v>6.0</v>
      </c>
      <c r="F18" s="49">
        <v>2.0</v>
      </c>
      <c r="G18" s="50"/>
      <c r="H18" s="50">
        <f t="shared" si="1"/>
        <v>8</v>
      </c>
      <c r="I18" s="51">
        <v>0.0</v>
      </c>
      <c r="J18" s="52">
        <f t="shared" si="2"/>
        <v>8</v>
      </c>
      <c r="K18" s="44"/>
      <c r="L18" s="54">
        <f t="shared" si="3"/>
        <v>8</v>
      </c>
      <c r="M18" s="58" t="s">
        <v>28</v>
      </c>
      <c r="N18" s="51">
        <v>3.0</v>
      </c>
      <c r="O18" s="2"/>
      <c r="P18" s="2"/>
      <c r="Q18" s="2"/>
    </row>
    <row r="19" ht="24.75" customHeight="1">
      <c r="A19" s="44">
        <v>3.0</v>
      </c>
      <c r="B19" s="56" t="s">
        <v>29</v>
      </c>
      <c r="C19" s="46" t="s">
        <v>30</v>
      </c>
      <c r="D19" s="57" t="s">
        <v>31</v>
      </c>
      <c r="E19" s="48">
        <v>8.0</v>
      </c>
      <c r="F19" s="49">
        <v>2.0</v>
      </c>
      <c r="G19" s="59">
        <v>0.1</v>
      </c>
      <c r="H19" s="50">
        <f t="shared" si="1"/>
        <v>10.1</v>
      </c>
      <c r="I19" s="51">
        <v>0.0</v>
      </c>
      <c r="J19" s="52">
        <f t="shared" si="2"/>
        <v>10</v>
      </c>
      <c r="K19" s="44"/>
      <c r="L19" s="54">
        <f t="shared" si="3"/>
        <v>10</v>
      </c>
      <c r="M19" s="58" t="s">
        <v>32</v>
      </c>
      <c r="N19" s="51">
        <v>4.0</v>
      </c>
      <c r="O19" s="2"/>
      <c r="P19" s="2"/>
      <c r="Q19" s="2"/>
    </row>
    <row r="20" ht="24.75" customHeight="1">
      <c r="A20" s="44">
        <v>4.0</v>
      </c>
      <c r="B20" s="56" t="s">
        <v>33</v>
      </c>
      <c r="C20" s="46" t="s">
        <v>26</v>
      </c>
      <c r="D20" s="57" t="s">
        <v>34</v>
      </c>
      <c r="E20" s="48">
        <v>8.0</v>
      </c>
      <c r="F20" s="49">
        <v>2.0</v>
      </c>
      <c r="G20" s="59">
        <v>0.1</v>
      </c>
      <c r="H20" s="50">
        <f t="shared" si="1"/>
        <v>10.1</v>
      </c>
      <c r="I20" s="51">
        <v>0.0</v>
      </c>
      <c r="J20" s="52">
        <f t="shared" si="2"/>
        <v>10</v>
      </c>
      <c r="K20" s="44"/>
      <c r="L20" s="54">
        <f t="shared" si="3"/>
        <v>10</v>
      </c>
      <c r="M20" s="58" t="s">
        <v>35</v>
      </c>
      <c r="N20" s="44"/>
      <c r="O20" s="2"/>
      <c r="P20" s="2"/>
      <c r="Q20" s="2"/>
    </row>
    <row r="21" ht="24.75" customHeight="1">
      <c r="A21" s="44">
        <v>5.0</v>
      </c>
      <c r="B21" s="56" t="s">
        <v>36</v>
      </c>
      <c r="C21" s="46" t="s">
        <v>37</v>
      </c>
      <c r="D21" s="57" t="s">
        <v>38</v>
      </c>
      <c r="E21" s="48">
        <v>8.0</v>
      </c>
      <c r="F21" s="49">
        <v>2.0</v>
      </c>
      <c r="G21" s="50"/>
      <c r="H21" s="50">
        <f t="shared" si="1"/>
        <v>10</v>
      </c>
      <c r="I21" s="51">
        <v>0.0</v>
      </c>
      <c r="J21" s="52">
        <f t="shared" si="2"/>
        <v>10</v>
      </c>
      <c r="K21" s="44"/>
      <c r="L21" s="54">
        <f t="shared" si="3"/>
        <v>10</v>
      </c>
      <c r="M21" s="58" t="s">
        <v>39</v>
      </c>
      <c r="N21" s="44"/>
      <c r="O21" s="2"/>
      <c r="P21" s="2"/>
      <c r="Q21" s="2"/>
    </row>
    <row r="22" ht="24.75" customHeight="1">
      <c r="A22" s="44">
        <v>6.0</v>
      </c>
      <c r="B22" s="56" t="s">
        <v>40</v>
      </c>
      <c r="C22" s="46" t="s">
        <v>41</v>
      </c>
      <c r="D22" s="57" t="s">
        <v>42</v>
      </c>
      <c r="E22" s="48">
        <v>8.0</v>
      </c>
      <c r="F22" s="49">
        <v>2.0</v>
      </c>
      <c r="G22" s="59"/>
      <c r="H22" s="50">
        <f t="shared" si="1"/>
        <v>10</v>
      </c>
      <c r="I22" s="51">
        <v>0.0</v>
      </c>
      <c r="J22" s="52">
        <f t="shared" si="2"/>
        <v>10</v>
      </c>
      <c r="K22" s="44"/>
      <c r="L22" s="54">
        <f t="shared" si="3"/>
        <v>10</v>
      </c>
      <c r="M22" s="58" t="s">
        <v>43</v>
      </c>
      <c r="N22" s="44"/>
      <c r="O22" s="2"/>
      <c r="P22" s="2"/>
      <c r="Q22" s="2"/>
    </row>
    <row r="23" ht="24.75" customHeight="1">
      <c r="A23" s="44">
        <v>7.0</v>
      </c>
      <c r="B23" s="56" t="s">
        <v>44</v>
      </c>
      <c r="C23" s="46" t="s">
        <v>45</v>
      </c>
      <c r="D23" s="57" t="s">
        <v>46</v>
      </c>
      <c r="E23" s="48">
        <v>5.0</v>
      </c>
      <c r="F23" s="49">
        <v>2.0</v>
      </c>
      <c r="G23" s="59">
        <v>0.1</v>
      </c>
      <c r="H23" s="50">
        <f t="shared" si="1"/>
        <v>7.1</v>
      </c>
      <c r="I23" s="51">
        <v>0.0</v>
      </c>
      <c r="J23" s="52">
        <f t="shared" si="2"/>
        <v>7</v>
      </c>
      <c r="K23" s="44"/>
      <c r="L23" s="54">
        <f t="shared" si="3"/>
        <v>7</v>
      </c>
      <c r="M23" s="58" t="s">
        <v>47</v>
      </c>
      <c r="N23" s="44"/>
      <c r="O23" s="2"/>
      <c r="P23" s="2"/>
      <c r="Q23" s="2"/>
    </row>
    <row r="24" ht="24.75" customHeight="1">
      <c r="A24" s="44">
        <v>8.0</v>
      </c>
      <c r="B24" s="56" t="s">
        <v>48</v>
      </c>
      <c r="C24" s="46" t="s">
        <v>49</v>
      </c>
      <c r="D24" s="57" t="s">
        <v>50</v>
      </c>
      <c r="E24" s="48">
        <v>8.0</v>
      </c>
      <c r="F24" s="49">
        <v>2.0</v>
      </c>
      <c r="G24" s="50"/>
      <c r="H24" s="50">
        <f t="shared" si="1"/>
        <v>10</v>
      </c>
      <c r="I24" s="51">
        <v>0.0</v>
      </c>
      <c r="J24" s="52">
        <f t="shared" si="2"/>
        <v>10</v>
      </c>
      <c r="K24" s="44"/>
      <c r="L24" s="54">
        <f t="shared" si="3"/>
        <v>10</v>
      </c>
      <c r="M24" s="58" t="s">
        <v>51</v>
      </c>
      <c r="N24" s="58">
        <f>SUM(N18:N23)</f>
        <v>7</v>
      </c>
      <c r="O24" s="2"/>
      <c r="P24" s="2"/>
      <c r="Q24" s="2"/>
    </row>
    <row r="25" ht="24.75" customHeight="1">
      <c r="A25" s="44">
        <v>9.0</v>
      </c>
      <c r="B25" s="56" t="s">
        <v>52</v>
      </c>
      <c r="C25" s="46" t="s">
        <v>30</v>
      </c>
      <c r="D25" s="57" t="s">
        <v>53</v>
      </c>
      <c r="E25" s="48">
        <v>8.0</v>
      </c>
      <c r="F25" s="49">
        <v>1.0</v>
      </c>
      <c r="G25" s="50"/>
      <c r="H25" s="50">
        <f t="shared" si="1"/>
        <v>9</v>
      </c>
      <c r="I25" s="51">
        <v>0.0</v>
      </c>
      <c r="J25" s="52">
        <f t="shared" si="2"/>
        <v>9</v>
      </c>
      <c r="K25" s="44"/>
      <c r="L25" s="54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6" t="s">
        <v>54</v>
      </c>
      <c r="C26" s="46" t="s">
        <v>55</v>
      </c>
      <c r="D26" s="57" t="s">
        <v>56</v>
      </c>
      <c r="E26" s="48">
        <v>5.0</v>
      </c>
      <c r="F26" s="49">
        <v>2.0</v>
      </c>
      <c r="G26" s="50"/>
      <c r="H26" s="50">
        <f t="shared" si="1"/>
        <v>7</v>
      </c>
      <c r="I26" s="51">
        <v>0.0</v>
      </c>
      <c r="J26" s="52">
        <f t="shared" si="2"/>
        <v>7</v>
      </c>
      <c r="K26" s="44"/>
      <c r="L26" s="54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56" t="s">
        <v>30</v>
      </c>
      <c r="C27" s="46" t="s">
        <v>57</v>
      </c>
      <c r="D27" s="46" t="s">
        <v>58</v>
      </c>
      <c r="E27" s="48">
        <v>8.0</v>
      </c>
      <c r="F27" s="49">
        <v>2.0</v>
      </c>
      <c r="G27" s="50"/>
      <c r="H27" s="50">
        <f t="shared" si="1"/>
        <v>10</v>
      </c>
      <c r="I27" s="51">
        <v>0.0</v>
      </c>
      <c r="J27" s="52">
        <f t="shared" si="2"/>
        <v>10</v>
      </c>
      <c r="K27" s="44"/>
      <c r="L27" s="54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6" t="s">
        <v>22</v>
      </c>
      <c r="C28" s="46" t="s">
        <v>59</v>
      </c>
      <c r="D28" s="57" t="s">
        <v>60</v>
      </c>
      <c r="E28" s="48">
        <v>8.0</v>
      </c>
      <c r="F28" s="49">
        <v>2.0</v>
      </c>
      <c r="G28" s="50"/>
      <c r="H28" s="50">
        <f t="shared" si="1"/>
        <v>10</v>
      </c>
      <c r="I28" s="51">
        <v>0.0</v>
      </c>
      <c r="J28" s="52">
        <f t="shared" si="2"/>
        <v>10</v>
      </c>
      <c r="K28" s="44"/>
      <c r="L28" s="54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56" t="s">
        <v>61</v>
      </c>
      <c r="C29" s="46" t="s">
        <v>22</v>
      </c>
      <c r="D29" s="57" t="s">
        <v>62</v>
      </c>
      <c r="E29" s="48">
        <v>5.0</v>
      </c>
      <c r="F29" s="49">
        <v>2.0</v>
      </c>
      <c r="G29" s="50"/>
      <c r="H29" s="50">
        <f t="shared" si="1"/>
        <v>7</v>
      </c>
      <c r="I29" s="51">
        <v>0.0</v>
      </c>
      <c r="J29" s="52">
        <f t="shared" si="2"/>
        <v>7</v>
      </c>
      <c r="K29" s="44"/>
      <c r="L29" s="54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6" t="s">
        <v>61</v>
      </c>
      <c r="C30" s="46" t="s">
        <v>63</v>
      </c>
      <c r="D30" s="57" t="s">
        <v>64</v>
      </c>
      <c r="E30" s="48">
        <v>3.0</v>
      </c>
      <c r="F30" s="49">
        <v>1.0</v>
      </c>
      <c r="G30" s="50"/>
      <c r="H30" s="50">
        <f t="shared" si="1"/>
        <v>4</v>
      </c>
      <c r="I30" s="51">
        <v>1.0</v>
      </c>
      <c r="J30" s="52">
        <f t="shared" si="2"/>
        <v>5</v>
      </c>
      <c r="K30" s="44"/>
      <c r="L30" s="54">
        <f t="shared" si="3"/>
        <v>4</v>
      </c>
      <c r="M30" s="1"/>
      <c r="N30" s="1"/>
      <c r="O30" s="2"/>
      <c r="P30" s="2"/>
      <c r="Q30" s="2"/>
    </row>
    <row r="31" ht="24.75" customHeight="1">
      <c r="A31" s="44">
        <v>15.0</v>
      </c>
      <c r="B31" s="56" t="s">
        <v>61</v>
      </c>
      <c r="C31" s="46" t="s">
        <v>65</v>
      </c>
      <c r="D31" s="57" t="s">
        <v>27</v>
      </c>
      <c r="E31" s="48">
        <v>8.0</v>
      </c>
      <c r="F31" s="49">
        <v>2.0</v>
      </c>
      <c r="G31" s="50"/>
      <c r="H31" s="50">
        <f t="shared" si="1"/>
        <v>10</v>
      </c>
      <c r="I31" s="51">
        <v>0.0</v>
      </c>
      <c r="J31" s="52">
        <f t="shared" si="2"/>
        <v>10</v>
      </c>
      <c r="K31" s="44"/>
      <c r="L31" s="54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6" t="s">
        <v>66</v>
      </c>
      <c r="C32" s="46" t="s">
        <v>67</v>
      </c>
      <c r="D32" s="57" t="s">
        <v>68</v>
      </c>
      <c r="E32" s="48">
        <v>6.0</v>
      </c>
      <c r="F32" s="49">
        <v>2.0</v>
      </c>
      <c r="G32" s="50"/>
      <c r="H32" s="50">
        <f t="shared" si="1"/>
        <v>8</v>
      </c>
      <c r="I32" s="51">
        <v>0.0</v>
      </c>
      <c r="J32" s="52">
        <f t="shared" si="2"/>
        <v>8</v>
      </c>
      <c r="K32" s="44"/>
      <c r="L32" s="54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56" t="s">
        <v>69</v>
      </c>
      <c r="C33" s="46" t="s">
        <v>70</v>
      </c>
      <c r="D33" s="57" t="s">
        <v>71</v>
      </c>
      <c r="E33" s="48">
        <v>8.0</v>
      </c>
      <c r="F33" s="49">
        <v>2.0</v>
      </c>
      <c r="G33" s="50"/>
      <c r="H33" s="50">
        <f t="shared" si="1"/>
        <v>10</v>
      </c>
      <c r="I33" s="51">
        <v>0.0</v>
      </c>
      <c r="J33" s="52">
        <f t="shared" si="2"/>
        <v>10</v>
      </c>
      <c r="K33" s="44"/>
      <c r="L33" s="54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6" t="s">
        <v>41</v>
      </c>
      <c r="C34" s="46" t="s">
        <v>72</v>
      </c>
      <c r="D34" s="57" t="s">
        <v>73</v>
      </c>
      <c r="E34" s="48">
        <v>8.0</v>
      </c>
      <c r="F34" s="49">
        <v>2.0</v>
      </c>
      <c r="G34" s="50"/>
      <c r="H34" s="50">
        <f t="shared" si="1"/>
        <v>10</v>
      </c>
      <c r="I34" s="51">
        <v>0.0</v>
      </c>
      <c r="J34" s="52">
        <f t="shared" si="2"/>
        <v>10</v>
      </c>
      <c r="K34" s="44"/>
      <c r="L34" s="54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6" t="s">
        <v>41</v>
      </c>
      <c r="C35" s="46" t="s">
        <v>74</v>
      </c>
      <c r="D35" s="57" t="s">
        <v>75</v>
      </c>
      <c r="E35" s="48">
        <v>6.0</v>
      </c>
      <c r="F35" s="49">
        <v>2.0</v>
      </c>
      <c r="G35" s="50"/>
      <c r="H35" s="50">
        <f t="shared" si="1"/>
        <v>8</v>
      </c>
      <c r="I35" s="51">
        <v>0.0</v>
      </c>
      <c r="J35" s="52">
        <f t="shared" si="2"/>
        <v>8</v>
      </c>
      <c r="K35" s="44"/>
      <c r="L35" s="54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56" t="s">
        <v>76</v>
      </c>
      <c r="C36" s="46" t="s">
        <v>77</v>
      </c>
      <c r="D36" s="57" t="s">
        <v>78</v>
      </c>
      <c r="E36" s="48">
        <v>6.0</v>
      </c>
      <c r="F36" s="49">
        <v>2.0</v>
      </c>
      <c r="G36" s="50"/>
      <c r="H36" s="50">
        <f t="shared" si="1"/>
        <v>8</v>
      </c>
      <c r="I36" s="51">
        <v>1.0</v>
      </c>
      <c r="J36" s="52">
        <f t="shared" si="2"/>
        <v>8</v>
      </c>
      <c r="K36" s="44"/>
      <c r="L36" s="54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56" t="s">
        <v>79</v>
      </c>
      <c r="C37" s="46" t="s">
        <v>22</v>
      </c>
      <c r="D37" s="57" t="s">
        <v>80</v>
      </c>
      <c r="E37" s="48">
        <v>8.0</v>
      </c>
      <c r="F37" s="49">
        <v>2.0</v>
      </c>
      <c r="G37" s="50"/>
      <c r="H37" s="50">
        <f t="shared" si="1"/>
        <v>10</v>
      </c>
      <c r="I37" s="51">
        <v>0.0</v>
      </c>
      <c r="J37" s="52">
        <f t="shared" si="2"/>
        <v>10</v>
      </c>
      <c r="K37" s="44"/>
      <c r="L37" s="54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6" t="s">
        <v>79</v>
      </c>
      <c r="C38" s="46" t="s">
        <v>81</v>
      </c>
      <c r="D38" s="57" t="s">
        <v>82</v>
      </c>
      <c r="E38" s="48">
        <v>6.0</v>
      </c>
      <c r="F38" s="49">
        <v>2.0</v>
      </c>
      <c r="G38" s="59">
        <v>0.2</v>
      </c>
      <c r="H38" s="50">
        <f t="shared" si="1"/>
        <v>8.2</v>
      </c>
      <c r="I38" s="51">
        <v>0.0</v>
      </c>
      <c r="J38" s="52">
        <f t="shared" si="2"/>
        <v>8</v>
      </c>
      <c r="K38" s="44"/>
      <c r="L38" s="54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6" t="s">
        <v>79</v>
      </c>
      <c r="C39" s="46" t="s">
        <v>83</v>
      </c>
      <c r="D39" s="57" t="s">
        <v>84</v>
      </c>
      <c r="E39" s="48">
        <v>6.0</v>
      </c>
      <c r="F39" s="49">
        <v>2.0</v>
      </c>
      <c r="G39" s="50"/>
      <c r="H39" s="50">
        <f t="shared" si="1"/>
        <v>8</v>
      </c>
      <c r="I39" s="51">
        <v>0.0</v>
      </c>
      <c r="J39" s="52">
        <f t="shared" si="2"/>
        <v>8</v>
      </c>
      <c r="K39" s="44"/>
      <c r="L39" s="54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56" t="s">
        <v>85</v>
      </c>
      <c r="C40" s="46" t="s">
        <v>54</v>
      </c>
      <c r="D40" s="57" t="s">
        <v>86</v>
      </c>
      <c r="E40" s="48">
        <v>8.0</v>
      </c>
      <c r="F40" s="49">
        <v>1.0</v>
      </c>
      <c r="G40" s="50"/>
      <c r="H40" s="50">
        <f t="shared" si="1"/>
        <v>9</v>
      </c>
      <c r="I40" s="51">
        <v>0.0</v>
      </c>
      <c r="J40" s="52">
        <f t="shared" si="2"/>
        <v>9</v>
      </c>
      <c r="K40" s="44"/>
      <c r="L40" s="54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6" t="s">
        <v>87</v>
      </c>
      <c r="C41" s="46" t="s">
        <v>88</v>
      </c>
      <c r="D41" s="57" t="s">
        <v>89</v>
      </c>
      <c r="E41" s="48">
        <v>5.0</v>
      </c>
      <c r="F41" s="49">
        <v>2.0</v>
      </c>
      <c r="G41" s="50"/>
      <c r="H41" s="50">
        <f t="shared" si="1"/>
        <v>7</v>
      </c>
      <c r="I41" s="51">
        <v>0.0</v>
      </c>
      <c r="J41" s="52">
        <f t="shared" si="2"/>
        <v>7</v>
      </c>
      <c r="K41" s="44"/>
      <c r="L41" s="54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56" t="s">
        <v>90</v>
      </c>
      <c r="C42" s="46" t="s">
        <v>91</v>
      </c>
      <c r="D42" s="57" t="s">
        <v>62</v>
      </c>
      <c r="E42" s="48">
        <v>8.0</v>
      </c>
      <c r="F42" s="49">
        <v>2.0</v>
      </c>
      <c r="G42" s="50"/>
      <c r="H42" s="50">
        <f t="shared" si="1"/>
        <v>10</v>
      </c>
      <c r="I42" s="51">
        <v>0.0</v>
      </c>
      <c r="J42" s="52">
        <f t="shared" si="2"/>
        <v>10</v>
      </c>
      <c r="K42" s="44"/>
      <c r="L42" s="54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6" t="s">
        <v>90</v>
      </c>
      <c r="C43" s="46" t="s">
        <v>92</v>
      </c>
      <c r="D43" s="57" t="s">
        <v>93</v>
      </c>
      <c r="E43" s="48">
        <v>6.0</v>
      </c>
      <c r="F43" s="49">
        <v>2.0</v>
      </c>
      <c r="G43" s="50"/>
      <c r="H43" s="50">
        <f t="shared" si="1"/>
        <v>8</v>
      </c>
      <c r="I43" s="51">
        <v>0.0</v>
      </c>
      <c r="J43" s="52">
        <f t="shared" si="2"/>
        <v>8</v>
      </c>
      <c r="K43" s="44"/>
      <c r="L43" s="54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56" t="s">
        <v>94</v>
      </c>
      <c r="C44" s="46" t="s">
        <v>22</v>
      </c>
      <c r="D44" s="57" t="s">
        <v>95</v>
      </c>
      <c r="E44" s="48">
        <v>6.0</v>
      </c>
      <c r="F44" s="49">
        <v>2.0</v>
      </c>
      <c r="G44" s="59">
        <v>0.1</v>
      </c>
      <c r="H44" s="50">
        <f t="shared" si="1"/>
        <v>8.1</v>
      </c>
      <c r="I44" s="51">
        <v>0.0</v>
      </c>
      <c r="J44" s="52">
        <f t="shared" si="2"/>
        <v>8</v>
      </c>
      <c r="K44" s="44"/>
      <c r="L44" s="54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56" t="s">
        <v>96</v>
      </c>
      <c r="C45" s="46" t="s">
        <v>97</v>
      </c>
      <c r="D45" s="57" t="s">
        <v>98</v>
      </c>
      <c r="E45" s="48">
        <v>6.0</v>
      </c>
      <c r="F45" s="49">
        <v>2.0</v>
      </c>
      <c r="G45" s="50"/>
      <c r="H45" s="50">
        <f t="shared" si="1"/>
        <v>8</v>
      </c>
      <c r="I45" s="51">
        <v>0.0</v>
      </c>
      <c r="J45" s="52">
        <f t="shared" si="2"/>
        <v>8</v>
      </c>
      <c r="K45" s="44"/>
      <c r="L45" s="54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6" t="s">
        <v>99</v>
      </c>
      <c r="C46" s="46" t="s">
        <v>92</v>
      </c>
      <c r="D46" s="57" t="s">
        <v>100</v>
      </c>
      <c r="E46" s="48">
        <v>2.0</v>
      </c>
      <c r="F46" s="49">
        <v>0.0</v>
      </c>
      <c r="G46" s="50"/>
      <c r="H46" s="50">
        <f t="shared" si="1"/>
        <v>2</v>
      </c>
      <c r="I46" s="51">
        <v>0.0</v>
      </c>
      <c r="J46" s="52">
        <f t="shared" si="2"/>
        <v>5</v>
      </c>
      <c r="K46" s="44"/>
      <c r="L46" s="54">
        <f t="shared" si="3"/>
        <v>2</v>
      </c>
      <c r="M46" s="1"/>
      <c r="N46" s="1"/>
      <c r="O46" s="2"/>
      <c r="P46" s="2"/>
      <c r="Q46" s="2"/>
    </row>
    <row r="47" ht="24.75" customHeight="1">
      <c r="A47" s="44">
        <v>31.0</v>
      </c>
      <c r="B47" s="56" t="s">
        <v>92</v>
      </c>
      <c r="C47" s="46" t="s">
        <v>101</v>
      </c>
      <c r="D47" s="57" t="s">
        <v>102</v>
      </c>
      <c r="E47" s="48">
        <v>8.0</v>
      </c>
      <c r="F47" s="49">
        <v>2.0</v>
      </c>
      <c r="G47" s="59">
        <v>0.1</v>
      </c>
      <c r="H47" s="50">
        <f t="shared" si="1"/>
        <v>10.1</v>
      </c>
      <c r="I47" s="51">
        <v>0.0</v>
      </c>
      <c r="J47" s="52">
        <f t="shared" si="2"/>
        <v>10</v>
      </c>
      <c r="K47" s="44"/>
      <c r="L47" s="54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6" t="s">
        <v>103</v>
      </c>
      <c r="C48" s="53" t="s">
        <v>104</v>
      </c>
      <c r="D48" s="57" t="s">
        <v>105</v>
      </c>
      <c r="E48" s="48">
        <v>8.0</v>
      </c>
      <c r="F48" s="49">
        <v>2.0</v>
      </c>
      <c r="G48" s="59">
        <v>0.1</v>
      </c>
      <c r="H48" s="50">
        <f t="shared" si="1"/>
        <v>10.1</v>
      </c>
      <c r="I48" s="51">
        <v>0.0</v>
      </c>
      <c r="J48" s="52">
        <f t="shared" si="2"/>
        <v>10</v>
      </c>
      <c r="K48" s="44"/>
      <c r="L48" s="54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6" t="s">
        <v>103</v>
      </c>
      <c r="C49" s="53" t="s">
        <v>106</v>
      </c>
      <c r="D49" s="57" t="s">
        <v>107</v>
      </c>
      <c r="E49" s="48">
        <v>5.0</v>
      </c>
      <c r="F49" s="49">
        <v>2.0</v>
      </c>
      <c r="G49" s="50"/>
      <c r="H49" s="50">
        <f t="shared" si="1"/>
        <v>7</v>
      </c>
      <c r="I49" s="51">
        <v>0.0</v>
      </c>
      <c r="J49" s="52">
        <f t="shared" si="2"/>
        <v>7</v>
      </c>
      <c r="K49" s="44"/>
      <c r="L49" s="54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6" t="s">
        <v>103</v>
      </c>
      <c r="C50" s="53" t="s">
        <v>108</v>
      </c>
      <c r="D50" s="57" t="s">
        <v>102</v>
      </c>
      <c r="E50" s="48">
        <v>8.0</v>
      </c>
      <c r="F50" s="49">
        <v>2.0</v>
      </c>
      <c r="G50" s="50"/>
      <c r="H50" s="50">
        <f t="shared" si="1"/>
        <v>10</v>
      </c>
      <c r="I50" s="51">
        <v>0.0</v>
      </c>
      <c r="J50" s="52">
        <f t="shared" si="2"/>
        <v>10</v>
      </c>
      <c r="K50" s="44"/>
      <c r="L50" s="54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6" t="s">
        <v>109</v>
      </c>
      <c r="C51" s="53" t="s">
        <v>110</v>
      </c>
      <c r="D51" s="57" t="s">
        <v>111</v>
      </c>
      <c r="E51" s="48">
        <v>8.0</v>
      </c>
      <c r="F51" s="49">
        <v>1.0</v>
      </c>
      <c r="G51" s="50"/>
      <c r="H51" s="50">
        <f t="shared" si="1"/>
        <v>9</v>
      </c>
      <c r="I51" s="51">
        <v>0.0</v>
      </c>
      <c r="J51" s="52">
        <f t="shared" si="2"/>
        <v>9</v>
      </c>
      <c r="K51" s="44"/>
      <c r="L51" s="53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6" t="s">
        <v>63</v>
      </c>
      <c r="C52" s="53" t="s">
        <v>112</v>
      </c>
      <c r="D52" s="57" t="s">
        <v>113</v>
      </c>
      <c r="E52" s="48">
        <v>8.0</v>
      </c>
      <c r="F52" s="49">
        <v>2.0</v>
      </c>
      <c r="G52" s="50"/>
      <c r="H52" s="50">
        <f t="shared" si="1"/>
        <v>10</v>
      </c>
      <c r="I52" s="51">
        <v>0.0</v>
      </c>
      <c r="J52" s="52">
        <f t="shared" si="2"/>
        <v>10</v>
      </c>
      <c r="K52" s="44"/>
      <c r="L52" s="53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6" t="s">
        <v>114</v>
      </c>
      <c r="C53" s="53" t="s">
        <v>104</v>
      </c>
      <c r="D53" s="57" t="s">
        <v>115</v>
      </c>
      <c r="E53" s="48">
        <v>5.0</v>
      </c>
      <c r="F53" s="49">
        <v>1.0</v>
      </c>
      <c r="G53" s="50"/>
      <c r="H53" s="50">
        <f t="shared" si="1"/>
        <v>6</v>
      </c>
      <c r="I53" s="51">
        <v>0.0</v>
      </c>
      <c r="J53" s="52">
        <f t="shared" si="2"/>
        <v>6</v>
      </c>
      <c r="K53" s="44"/>
      <c r="L53" s="53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56" t="s">
        <v>114</v>
      </c>
      <c r="C54" s="53" t="s">
        <v>22</v>
      </c>
      <c r="D54" s="57" t="s">
        <v>116</v>
      </c>
      <c r="E54" s="48">
        <v>7.0</v>
      </c>
      <c r="F54" s="49">
        <v>2.0</v>
      </c>
      <c r="G54" s="50"/>
      <c r="H54" s="50">
        <f t="shared" si="1"/>
        <v>9</v>
      </c>
      <c r="I54" s="51">
        <v>0.0</v>
      </c>
      <c r="J54" s="52">
        <f t="shared" si="2"/>
        <v>9</v>
      </c>
      <c r="K54" s="44"/>
      <c r="L54" s="53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56" t="s">
        <v>114</v>
      </c>
      <c r="C55" s="53" t="s">
        <v>117</v>
      </c>
      <c r="D55" s="57" t="s">
        <v>118</v>
      </c>
      <c r="E55" s="48">
        <v>8.0</v>
      </c>
      <c r="F55" s="49">
        <v>2.0</v>
      </c>
      <c r="G55" s="50"/>
      <c r="H55" s="50">
        <f t="shared" si="1"/>
        <v>10</v>
      </c>
      <c r="I55" s="51">
        <v>0.0</v>
      </c>
      <c r="J55" s="52">
        <f t="shared" si="2"/>
        <v>10</v>
      </c>
      <c r="K55" s="44"/>
      <c r="L55" s="53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56" t="s">
        <v>55</v>
      </c>
      <c r="C56" s="53" t="s">
        <v>81</v>
      </c>
      <c r="D56" s="57" t="s">
        <v>119</v>
      </c>
      <c r="E56" s="48">
        <v>6.0</v>
      </c>
      <c r="F56" s="49">
        <v>1.0</v>
      </c>
      <c r="G56" s="50"/>
      <c r="H56" s="50">
        <f t="shared" si="1"/>
        <v>7</v>
      </c>
      <c r="I56" s="51">
        <v>0.0</v>
      </c>
      <c r="J56" s="52">
        <f t="shared" si="2"/>
        <v>7</v>
      </c>
      <c r="K56" s="44"/>
      <c r="L56" s="53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56" t="s">
        <v>120</v>
      </c>
      <c r="C57" s="53" t="s">
        <v>121</v>
      </c>
      <c r="D57" s="57" t="s">
        <v>27</v>
      </c>
      <c r="E57" s="48">
        <v>6.0</v>
      </c>
      <c r="F57" s="49">
        <v>2.0</v>
      </c>
      <c r="G57" s="50"/>
      <c r="H57" s="50">
        <f t="shared" si="1"/>
        <v>8</v>
      </c>
      <c r="I57" s="51">
        <v>0.0</v>
      </c>
      <c r="J57" s="52">
        <f t="shared" si="2"/>
        <v>8</v>
      </c>
      <c r="K57" s="44"/>
      <c r="L57" s="53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56" t="s">
        <v>122</v>
      </c>
      <c r="C58" s="53" t="s">
        <v>123</v>
      </c>
      <c r="D58" s="57" t="s">
        <v>124</v>
      </c>
      <c r="E58" s="48">
        <v>8.0</v>
      </c>
      <c r="F58" s="49">
        <v>2.0</v>
      </c>
      <c r="G58" s="50"/>
      <c r="H58" s="50">
        <f t="shared" si="1"/>
        <v>10</v>
      </c>
      <c r="I58" s="51">
        <v>0.0</v>
      </c>
      <c r="J58" s="52">
        <f t="shared" si="2"/>
        <v>10</v>
      </c>
      <c r="K58" s="44"/>
      <c r="L58" s="53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6" t="s">
        <v>26</v>
      </c>
      <c r="C59" s="53" t="s">
        <v>125</v>
      </c>
      <c r="D59" s="57" t="s">
        <v>126</v>
      </c>
      <c r="E59" s="48">
        <v>8.0</v>
      </c>
      <c r="F59" s="49">
        <v>1.0</v>
      </c>
      <c r="G59" s="50"/>
      <c r="H59" s="50">
        <f t="shared" si="1"/>
        <v>9</v>
      </c>
      <c r="I59" s="51">
        <v>0.0</v>
      </c>
      <c r="J59" s="52">
        <f t="shared" si="2"/>
        <v>9</v>
      </c>
      <c r="K59" s="44"/>
      <c r="L59" s="53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6" t="s">
        <v>49</v>
      </c>
      <c r="C60" s="53" t="s">
        <v>79</v>
      </c>
      <c r="D60" s="57" t="s">
        <v>127</v>
      </c>
      <c r="E60" s="48">
        <v>6.0</v>
      </c>
      <c r="F60" s="49">
        <v>2.0</v>
      </c>
      <c r="G60" s="50"/>
      <c r="H60" s="50">
        <f t="shared" si="1"/>
        <v>8</v>
      </c>
      <c r="I60" s="51">
        <v>0.0</v>
      </c>
      <c r="J60" s="52">
        <f t="shared" si="2"/>
        <v>8</v>
      </c>
      <c r="K60" s="44"/>
      <c r="L60" s="53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6" t="s">
        <v>128</v>
      </c>
      <c r="C61" s="53" t="s">
        <v>129</v>
      </c>
      <c r="D61" s="57" t="s">
        <v>130</v>
      </c>
      <c r="E61" s="48">
        <v>8.0</v>
      </c>
      <c r="F61" s="49">
        <v>2.0</v>
      </c>
      <c r="G61" s="50"/>
      <c r="H61" s="50">
        <f t="shared" si="1"/>
        <v>10</v>
      </c>
      <c r="I61" s="51">
        <v>0.0</v>
      </c>
      <c r="J61" s="52">
        <f t="shared" si="2"/>
        <v>10</v>
      </c>
      <c r="K61" s="44"/>
      <c r="L61" s="53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6" t="s">
        <v>131</v>
      </c>
      <c r="C62" s="53" t="s">
        <v>132</v>
      </c>
      <c r="D62" s="57" t="s">
        <v>133</v>
      </c>
      <c r="E62" s="48">
        <v>8.0</v>
      </c>
      <c r="F62" s="49">
        <v>2.0</v>
      </c>
      <c r="G62" s="50"/>
      <c r="H62" s="50">
        <f t="shared" si="1"/>
        <v>10</v>
      </c>
      <c r="I62" s="51">
        <v>0.0</v>
      </c>
      <c r="J62" s="52">
        <f t="shared" si="2"/>
        <v>10</v>
      </c>
      <c r="K62" s="44"/>
      <c r="L62" s="53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6" t="s">
        <v>134</v>
      </c>
      <c r="C63" s="53" t="s">
        <v>63</v>
      </c>
      <c r="D63" s="57" t="s">
        <v>58</v>
      </c>
      <c r="E63" s="48">
        <v>8.0</v>
      </c>
      <c r="F63" s="49">
        <v>2.0</v>
      </c>
      <c r="G63" s="50"/>
      <c r="H63" s="50">
        <f t="shared" si="1"/>
        <v>10</v>
      </c>
      <c r="I63" s="51">
        <v>0.0</v>
      </c>
      <c r="J63" s="52">
        <f t="shared" si="2"/>
        <v>10</v>
      </c>
      <c r="K63" s="44"/>
      <c r="L63" s="53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60"/>
      <c r="C64" s="60"/>
      <c r="D64" s="11"/>
      <c r="E64" s="61"/>
      <c r="F64" s="61"/>
      <c r="G64" s="61"/>
      <c r="H64" s="61"/>
      <c r="I64" s="11"/>
      <c r="J64" s="60"/>
      <c r="K64" s="7"/>
      <c r="L64" s="60"/>
      <c r="M64" s="1"/>
      <c r="N64" s="1"/>
      <c r="O64" s="2"/>
      <c r="P64" s="2"/>
      <c r="Q64" s="2"/>
    </row>
    <row r="65" ht="24.75" customHeight="1">
      <c r="A65" s="1"/>
      <c r="B65" s="62" t="s">
        <v>135</v>
      </c>
      <c r="C65" s="63"/>
      <c r="D65" s="64">
        <f>COUNT(A17:A63)</f>
        <v>47</v>
      </c>
      <c r="E65" s="61"/>
      <c r="F65" s="65" t="s">
        <v>136</v>
      </c>
      <c r="G65" s="61"/>
      <c r="H65" s="65" t="s">
        <v>137</v>
      </c>
      <c r="J65" s="66" t="s">
        <v>138</v>
      </c>
      <c r="K65" s="67" t="s">
        <v>139</v>
      </c>
      <c r="L65" s="60"/>
      <c r="M65" s="1"/>
      <c r="N65" s="1"/>
      <c r="O65" s="2"/>
      <c r="P65" s="2"/>
      <c r="Q65" s="2"/>
    </row>
    <row r="66" ht="24.75" customHeight="1">
      <c r="A66" s="1"/>
      <c r="B66" s="68" t="s">
        <v>140</v>
      </c>
      <c r="C66" s="69"/>
      <c r="D66" s="70">
        <f>COUNTIF(J17:J63,"BAJA")</f>
        <v>0</v>
      </c>
      <c r="E66" s="61"/>
      <c r="G66" s="61"/>
      <c r="K66" s="9"/>
      <c r="L66" s="60"/>
      <c r="M66" s="1"/>
      <c r="N66" s="1"/>
      <c r="O66" s="2"/>
      <c r="P66" s="2"/>
      <c r="Q66" s="2"/>
    </row>
    <row r="67" ht="24.75" customHeight="1">
      <c r="A67" s="1"/>
      <c r="B67" s="68" t="s">
        <v>141</v>
      </c>
      <c r="C67" s="69"/>
      <c r="D67" s="71">
        <f>D65-D66</f>
        <v>47</v>
      </c>
      <c r="E67" s="61"/>
      <c r="F67" s="61"/>
      <c r="G67" s="61"/>
      <c r="H67" s="61"/>
      <c r="I67" s="61"/>
      <c r="J67" s="60"/>
      <c r="K67" s="7"/>
      <c r="L67" s="60"/>
      <c r="M67" s="1"/>
      <c r="N67" s="1"/>
      <c r="O67" s="2"/>
      <c r="P67" s="2"/>
      <c r="Q67" s="2"/>
    </row>
    <row r="68" ht="24.75" customHeight="1">
      <c r="A68" s="1"/>
      <c r="B68" s="68" t="s">
        <v>142</v>
      </c>
      <c r="C68" s="69"/>
      <c r="D68" s="72">
        <f>COUNTIF(J17:J63,"&gt;=6")</f>
        <v>45</v>
      </c>
      <c r="E68" s="61"/>
      <c r="F68" s="61"/>
      <c r="G68" s="61"/>
      <c r="H68" s="61"/>
      <c r="I68" s="61"/>
      <c r="J68" s="60"/>
      <c r="K68" s="7"/>
      <c r="L68" s="60"/>
      <c r="M68" s="1"/>
      <c r="N68" s="1"/>
      <c r="O68" s="2"/>
      <c r="P68" s="2"/>
      <c r="Q68" s="2"/>
    </row>
    <row r="69" ht="24.75" customHeight="1">
      <c r="A69" s="1"/>
      <c r="B69" s="68" t="s">
        <v>143</v>
      </c>
      <c r="C69" s="69"/>
      <c r="D69" s="72">
        <f>D67-D68</f>
        <v>2</v>
      </c>
      <c r="E69" s="61"/>
      <c r="F69" s="73"/>
      <c r="G69" s="61"/>
      <c r="H69" s="73"/>
      <c r="I69" s="74"/>
      <c r="J69" s="75"/>
      <c r="K69" s="76"/>
      <c r="L69" s="60"/>
      <c r="M69" s="1"/>
      <c r="N69" s="1"/>
      <c r="O69" s="2"/>
      <c r="P69" s="2"/>
      <c r="Q69" s="2"/>
    </row>
    <row r="70" ht="36.0" customHeight="1">
      <c r="A70" s="1"/>
      <c r="B70" s="68" t="s">
        <v>144</v>
      </c>
      <c r="C70" s="69"/>
      <c r="D70" s="71">
        <f>D68*100/D67</f>
        <v>95.74468085</v>
      </c>
      <c r="E70" s="61"/>
      <c r="F70" s="77" t="s">
        <v>145</v>
      </c>
      <c r="G70" s="61"/>
      <c r="H70" s="78" t="s">
        <v>146</v>
      </c>
      <c r="J70" s="79" t="s">
        <v>147</v>
      </c>
      <c r="K70" s="80" t="s">
        <v>148</v>
      </c>
      <c r="L70" s="60"/>
      <c r="M70" s="1"/>
      <c r="N70" s="1"/>
      <c r="O70" s="2"/>
      <c r="P70" s="2"/>
      <c r="Q70" s="2"/>
    </row>
    <row r="71" ht="21.75" customHeight="1">
      <c r="A71" s="81"/>
      <c r="B71" s="82" t="s">
        <v>149</v>
      </c>
      <c r="C71" s="83"/>
      <c r="D71" s="84">
        <f>AVERAGE(J17:J63)</f>
        <v>8.723404255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5"/>
      <c r="B72" s="2"/>
      <c r="C72" s="2"/>
      <c r="D72" s="86"/>
      <c r="E72" s="2"/>
      <c r="F72" s="87"/>
      <c r="G72" s="2"/>
      <c r="H72" s="87"/>
      <c r="I72" s="87"/>
      <c r="J72" s="88"/>
      <c r="K72" s="89"/>
      <c r="L72" s="2"/>
      <c r="M72" s="2"/>
      <c r="N72" s="2"/>
      <c r="O72" s="2"/>
      <c r="P72" s="2"/>
      <c r="Q72" s="2"/>
    </row>
    <row r="73" ht="21.75" customHeight="1">
      <c r="A73" s="90"/>
      <c r="B73" s="91"/>
      <c r="C73" s="92"/>
      <c r="D73" s="93"/>
      <c r="E73" s="2"/>
      <c r="G73" s="2"/>
      <c r="H73" s="87"/>
      <c r="I73" s="87"/>
      <c r="J73" s="88"/>
      <c r="K73" s="89"/>
      <c r="L73" s="2"/>
      <c r="M73" s="2"/>
      <c r="N73" s="2"/>
      <c r="O73" s="2"/>
      <c r="P73" s="2"/>
      <c r="Q73" s="2"/>
    </row>
    <row r="74" ht="21.75" customHeight="1">
      <c r="A74" s="85"/>
      <c r="B74" s="2"/>
      <c r="C74" s="2"/>
      <c r="D74" s="88"/>
      <c r="E74" s="2"/>
      <c r="F74" s="2"/>
      <c r="G74" s="2"/>
      <c r="H74" s="2"/>
      <c r="I74" s="2"/>
      <c r="J74" s="2"/>
      <c r="K74" s="89"/>
      <c r="L74" s="2"/>
      <c r="M74" s="2"/>
      <c r="N74" s="2"/>
      <c r="O74" s="2"/>
      <c r="P74" s="2"/>
      <c r="Q74" s="2"/>
    </row>
    <row r="75" ht="21.75" customHeight="1">
      <c r="A75" s="85"/>
      <c r="B75" s="2"/>
      <c r="C75" s="2"/>
      <c r="D75" s="86"/>
      <c r="E75" s="2"/>
      <c r="F75" s="2"/>
      <c r="G75" s="2"/>
      <c r="H75" s="2"/>
      <c r="I75" s="2"/>
      <c r="J75" s="2"/>
      <c r="K75" s="89"/>
      <c r="L75" s="2"/>
      <c r="M75" s="2"/>
      <c r="N75" s="2"/>
      <c r="O75" s="2"/>
      <c r="P75" s="2"/>
      <c r="Q75" s="2"/>
    </row>
    <row r="76" ht="27.75" customHeight="1">
      <c r="A76" s="94"/>
      <c r="B76" s="95"/>
      <c r="C76" s="95"/>
      <c r="D76" s="96"/>
      <c r="E76" s="95"/>
      <c r="F76" s="97"/>
      <c r="G76" s="95"/>
      <c r="H76" s="97"/>
      <c r="I76" s="97"/>
      <c r="J76" s="97"/>
      <c r="K76" s="98"/>
      <c r="L76" s="2"/>
      <c r="M76" s="2"/>
      <c r="N76" s="2"/>
      <c r="O76" s="2"/>
      <c r="P76" s="2"/>
      <c r="Q76" s="2"/>
    </row>
    <row r="77" ht="21.75" customHeight="1">
      <c r="A77" s="99"/>
      <c r="B77" s="100"/>
      <c r="C77" s="100"/>
      <c r="D77" s="86"/>
      <c r="E77" s="2"/>
      <c r="F77" s="100"/>
      <c r="G77" s="2"/>
      <c r="H77" s="100"/>
      <c r="I77" s="100"/>
      <c r="J77" s="101"/>
      <c r="K77" s="101"/>
      <c r="L77" s="102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6"/>
      <c r="E78" s="2"/>
      <c r="F78" s="100"/>
      <c r="G78" s="2"/>
      <c r="H78" s="100"/>
      <c r="I78" s="100"/>
      <c r="J78" s="101"/>
      <c r="K78" s="101"/>
      <c r="L78" s="102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J17:J63">
    <cfRule type="cellIs" dxfId="0" priority="1" stopIfTrue="1" operator="greaterThan">
      <formula>5</formula>
    </cfRule>
  </conditionalFormatting>
  <conditionalFormatting sqref="E17:G63">
    <cfRule type="expression" dxfId="0" priority="2" stopIfTrue="1">
      <formula>TRUE</formula>
    </cfRule>
  </conditionalFormatting>
  <conditionalFormatting sqref="J17:J63">
    <cfRule type="cellIs" dxfId="1" priority="3" stopIfTrue="1" operator="equal">
      <formula>5</formula>
    </cfRule>
  </conditionalFormatting>
  <conditionalFormatting sqref="E17:G63">
    <cfRule type="expression" dxfId="0" priority="4" stopIfTrue="1">
      <formula>TRUE</formula>
    </cfRule>
  </conditionalFormatting>
  <conditionalFormatting sqref="J17:J63">
    <cfRule type="cellIs" dxfId="1" priority="5" stopIfTrue="1" operator="equal">
      <formula>5</formula>
    </cfRule>
  </conditionalFormatting>
  <conditionalFormatting sqref="J17:J63">
    <cfRule type="cellIs" dxfId="0" priority="6" stopIfTrue="1" operator="greaterThan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2" operator="equal">
      <formula>1</formula>
    </cfRule>
  </conditionalFormatting>
  <conditionalFormatting sqref="J17:J70 K18:K69">
    <cfRule type="cellIs" dxfId="3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