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1 pensamiento filosofico y hu" sheetId="1" r:id="rId5"/>
    <sheet state="visible" name="3-2 conciencia historica iii" sheetId="2" r:id="rId6"/>
    <sheet state="visible" name="3-3 conciencia historica iii" sheetId="3" r:id="rId7"/>
  </sheets>
  <definedNames/>
  <calcPr/>
</workbook>
</file>

<file path=xl/sharedStrings.xml><?xml version="1.0" encoding="utf-8"?>
<sst xmlns="http://schemas.openxmlformats.org/spreadsheetml/2006/main" count="555" uniqueCount="352">
  <si>
    <t>ESCUELA PREPARATORIA OFICIAL NÚM. 67</t>
  </si>
  <si>
    <t xml:space="preserve">CONTROL PRIMER PARCIAL </t>
  </si>
  <si>
    <t xml:space="preserve">PROFESOR (A): </t>
  </si>
  <si>
    <t>Lizette Martínez Pérez</t>
  </si>
  <si>
    <t>II</t>
  </si>
  <si>
    <t>III</t>
  </si>
  <si>
    <t>PUNTAJE EXTRA</t>
  </si>
  <si>
    <t>SEGUNDO SEMESTRE
MATUTINO</t>
  </si>
  <si>
    <t>UAC</t>
  </si>
  <si>
    <t>PENSAMIENTO FILOSÓFICO Y HUMANIDADES II</t>
  </si>
  <si>
    <t>Evaluación continua 80%</t>
  </si>
  <si>
    <t>Transversal 20%</t>
  </si>
  <si>
    <t>GRADO</t>
  </si>
  <si>
    <t>1°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</si>
  <si>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</si>
  <si>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</si>
  <si>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</si>
  <si>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</si>
  <si>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</si>
  <si>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</si>
  <si>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</si>
  <si>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ALVAREZ</t>
  </si>
  <si>
    <t>HERNANDEZ</t>
  </si>
  <si>
    <t>DAYANNA ZOE</t>
  </si>
  <si>
    <t>HORAS IMPARTIDAS</t>
  </si>
  <si>
    <t>ANAYA</t>
  </si>
  <si>
    <t>LEAL</t>
  </si>
  <si>
    <t>ANA IXCHEL</t>
  </si>
  <si>
    <t>Febrero</t>
  </si>
  <si>
    <t>ARIAS</t>
  </si>
  <si>
    <t>APARICIO</t>
  </si>
  <si>
    <t>AILISH ELIZABETH</t>
  </si>
  <si>
    <t>Marzo</t>
  </si>
  <si>
    <t>ARRAZOLA</t>
  </si>
  <si>
    <t>ROMERO</t>
  </si>
  <si>
    <t>DIEGO IVAN</t>
  </si>
  <si>
    <t>Abril</t>
  </si>
  <si>
    <t>ARREDONDO</t>
  </si>
  <si>
    <t>LOREDO</t>
  </si>
  <si>
    <t>JOSHUA JAAFET</t>
  </si>
  <si>
    <t>Mayo</t>
  </si>
  <si>
    <t>AVILES</t>
  </si>
  <si>
    <t>ACOSTA</t>
  </si>
  <si>
    <t>ARELI</t>
  </si>
  <si>
    <t>Junio</t>
  </si>
  <si>
    <t>CARBAJAL</t>
  </si>
  <si>
    <t>RODRIGUEZ</t>
  </si>
  <si>
    <t>GAEL</t>
  </si>
  <si>
    <t>Julio</t>
  </si>
  <si>
    <t>CARDENAS</t>
  </si>
  <si>
    <t>MORENO</t>
  </si>
  <si>
    <t>CRISTOPHER TADEO</t>
  </si>
  <si>
    <t>TOTAL</t>
  </si>
  <si>
    <t>CASTILLO</t>
  </si>
  <si>
    <t>XUNELLY</t>
  </si>
  <si>
    <t>CEREZO</t>
  </si>
  <si>
    <t>MORALES</t>
  </si>
  <si>
    <t>LOURDES YURYCO</t>
  </si>
  <si>
    <t>CONTRERAS</t>
  </si>
  <si>
    <t>QUIÑONES</t>
  </si>
  <si>
    <t>OLIVER</t>
  </si>
  <si>
    <t>CRUZ</t>
  </si>
  <si>
    <t>CENTENO</t>
  </si>
  <si>
    <t>ALEXA ABIGAIL</t>
  </si>
  <si>
    <t>PAZ</t>
  </si>
  <si>
    <t>CARLOS ALFONSO</t>
  </si>
  <si>
    <t>DIAZ</t>
  </si>
  <si>
    <t>MOLINA</t>
  </si>
  <si>
    <t>EMILIANA ALESSANDRA</t>
  </si>
  <si>
    <t>DUARTE</t>
  </si>
  <si>
    <t>ADJUNTAS</t>
  </si>
  <si>
    <t>RICARDO JESUS</t>
  </si>
  <si>
    <t>ESTRADA</t>
  </si>
  <si>
    <t>VENEGAS</t>
  </si>
  <si>
    <t>DAVID RICARDO</t>
  </si>
  <si>
    <t>FLORES</t>
  </si>
  <si>
    <t>VARGAS</t>
  </si>
  <si>
    <t>FERNANDA DESSIRE</t>
  </si>
  <si>
    <t>FUENTES</t>
  </si>
  <si>
    <t>DIEGO ISRAEL</t>
  </si>
  <si>
    <t>GALINDO</t>
  </si>
  <si>
    <t>LUISA VALENTINA</t>
  </si>
  <si>
    <t>GARCIA</t>
  </si>
  <si>
    <t>ARELLANO</t>
  </si>
  <si>
    <t>YULIANA REBECA</t>
  </si>
  <si>
    <t>PEÑA</t>
  </si>
  <si>
    <t>ANDREI</t>
  </si>
  <si>
    <t>RANGEL</t>
  </si>
  <si>
    <t>AZUL DANEA</t>
  </si>
  <si>
    <t>GARCILAZO</t>
  </si>
  <si>
    <t>MARTINEZ</t>
  </si>
  <si>
    <t>ALFONSO</t>
  </si>
  <si>
    <t>GODOY</t>
  </si>
  <si>
    <t>MARQUEZ</t>
  </si>
  <si>
    <t>DUSTIN YALIL</t>
  </si>
  <si>
    <t>GONZALEZ</t>
  </si>
  <si>
    <t>RAMOS</t>
  </si>
  <si>
    <t>FATIMA NAOMY</t>
  </si>
  <si>
    <t>GUERRERO</t>
  </si>
  <si>
    <t>ORTIZ</t>
  </si>
  <si>
    <t>VALERIA ROMINA</t>
  </si>
  <si>
    <t>GUTIERREZ</t>
  </si>
  <si>
    <t>ANGELES</t>
  </si>
  <si>
    <t>SAMANTHA PAOLA</t>
  </si>
  <si>
    <t>MOISES</t>
  </si>
  <si>
    <t>VIVEROS</t>
  </si>
  <si>
    <t>SAMANTHA SHARON</t>
  </si>
  <si>
    <t>ISLAS</t>
  </si>
  <si>
    <t>MARIANA</t>
  </si>
  <si>
    <t>VELEZ</t>
  </si>
  <si>
    <t>SANTIAGO</t>
  </si>
  <si>
    <t>LAGUNA</t>
  </si>
  <si>
    <t>MAEL MAXIMILIANO</t>
  </si>
  <si>
    <t>LEZAMA</t>
  </si>
  <si>
    <t>SOFIA NIKTE</t>
  </si>
  <si>
    <t>LOZANO</t>
  </si>
  <si>
    <t>JUAREZ</t>
  </si>
  <si>
    <t>LUZ ARISDELSI</t>
  </si>
  <si>
    <t>MALDONADO</t>
  </si>
  <si>
    <t>CAMERONI</t>
  </si>
  <si>
    <t>DUSTIN ALEXANDER</t>
  </si>
  <si>
    <t>SANDOVAL</t>
  </si>
  <si>
    <t>KEVIN JARED</t>
  </si>
  <si>
    <t>MENA</t>
  </si>
  <si>
    <t>MELANY YULIANA</t>
  </si>
  <si>
    <t>MUÑOZ</t>
  </si>
  <si>
    <t>ALEJANDRO</t>
  </si>
  <si>
    <t>MAGAÑA</t>
  </si>
  <si>
    <t>XIMENA</t>
  </si>
  <si>
    <t>OLVERA</t>
  </si>
  <si>
    <t>LUCIO ENRIQUE</t>
  </si>
  <si>
    <t>OSORIO</t>
  </si>
  <si>
    <t>SANCHEZ</t>
  </si>
  <si>
    <t>PAULA</t>
  </si>
  <si>
    <t>PACHECO</t>
  </si>
  <si>
    <t>DYLAN ALEXANDER</t>
  </si>
  <si>
    <t>RADILLA</t>
  </si>
  <si>
    <t>SANTIAGO GAMALIEL</t>
  </si>
  <si>
    <t>RAMIREZ</t>
  </si>
  <si>
    <t>BRUNO</t>
  </si>
  <si>
    <t>DOMINGEZ</t>
  </si>
  <si>
    <t>SARA DANIELA</t>
  </si>
  <si>
    <t>RUBIO</t>
  </si>
  <si>
    <t>AZAEL ALEJANDRO</t>
  </si>
  <si>
    <t>RUIZ</t>
  </si>
  <si>
    <t>MENDOZA</t>
  </si>
  <si>
    <t>ANDREE JAEL</t>
  </si>
  <si>
    <t>JIMENEZ</t>
  </si>
  <si>
    <t>LILI</t>
  </si>
  <si>
    <t>SANTILLAN</t>
  </si>
  <si>
    <t>HUERTA</t>
  </si>
  <si>
    <t>DULCE ELEONOR</t>
  </si>
  <si>
    <t>SUAZO</t>
  </si>
  <si>
    <t>RIOS</t>
  </si>
  <si>
    <t>TOVAR</t>
  </si>
  <si>
    <t>MARCOS ARIEL</t>
  </si>
  <si>
    <t>TREJO</t>
  </si>
  <si>
    <t>VELAZQUEZ</t>
  </si>
  <si>
    <t>SEBASTIAN</t>
  </si>
  <si>
    <t>VICTOR ALFONSO</t>
  </si>
  <si>
    <t>LUNA</t>
  </si>
  <si>
    <t>RENATA CAROLINA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</si>
  <si>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</si>
  <si>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</si>
  <si>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</si>
  <si>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</si>
  <si>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</si>
  <si>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</si>
  <si>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</si>
  <si>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</si>
  <si>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</si>
  <si>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</si>
  <si>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</si>
  <si>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PROFR. JOSÉ EDGAR SALAZAR ZÚÑIGA</t>
  </si>
  <si>
    <t>PROFR. OCTAVIO VÁZQUEZ BARRETO</t>
  </si>
  <si>
    <t xml:space="preserve">PROFR. ROBERTO PALOMARES MEJÍA </t>
  </si>
  <si>
    <t>PROMEDIO</t>
  </si>
  <si>
    <t>SEXTO SEMESTRE
MATUTINO</t>
  </si>
  <si>
    <t>CONCIENCIA HISTÓRICA III</t>
  </si>
  <si>
    <t>3°</t>
  </si>
  <si>
    <t>ALVARADO</t>
  </si>
  <si>
    <t>TORRES</t>
  </si>
  <si>
    <t>BRENDA</t>
  </si>
  <si>
    <t>AVALOS</t>
  </si>
  <si>
    <t>ALAN</t>
  </si>
  <si>
    <t>BARRERA</t>
  </si>
  <si>
    <t>TORAL</t>
  </si>
  <si>
    <t>EMILIO</t>
  </si>
  <si>
    <t>BOCANEGRA</t>
  </si>
  <si>
    <t>ANA LAURA</t>
  </si>
  <si>
    <t>CAMPOS</t>
  </si>
  <si>
    <t>ESPINOSA</t>
  </si>
  <si>
    <t>YARED</t>
  </si>
  <si>
    <t>KALEB</t>
  </si>
  <si>
    <t>CERRITOS</t>
  </si>
  <si>
    <t>MERINO</t>
  </si>
  <si>
    <t>GABRIELA JOSELIN</t>
  </si>
  <si>
    <t>CUECUECHA</t>
  </si>
  <si>
    <t>SANTIAGO BERNARDO</t>
  </si>
  <si>
    <t>COMO</t>
  </si>
  <si>
    <t>MONTOYA</t>
  </si>
  <si>
    <t>WENDY GABRIELA</t>
  </si>
  <si>
    <t>COVARRUBIAS</t>
  </si>
  <si>
    <t>PEREZ</t>
  </si>
  <si>
    <t>VERONICA ALEJANDRA</t>
  </si>
  <si>
    <t>DE LOS SANTOS</t>
  </si>
  <si>
    <t>ESCOBAR</t>
  </si>
  <si>
    <t>DAFNE SELENE</t>
  </si>
  <si>
    <t>FERNANDEZ</t>
  </si>
  <si>
    <t>LOPEZ</t>
  </si>
  <si>
    <t>CASTELLANOS</t>
  </si>
  <si>
    <t>LUIS AARON</t>
  </si>
  <si>
    <t>JUAN DIEGO</t>
  </si>
  <si>
    <t>GAEL ALEXANDER</t>
  </si>
  <si>
    <t>OMAR ISRAEL</t>
  </si>
  <si>
    <t>VALDIVIA</t>
  </si>
  <si>
    <t>EMILIANO</t>
  </si>
  <si>
    <t>JARAMILLO</t>
  </si>
  <si>
    <t>OSCAR</t>
  </si>
  <si>
    <t>LEONARDO RICARDO</t>
  </si>
  <si>
    <t>HERRERA</t>
  </si>
  <si>
    <t>LUIS ANGEL</t>
  </si>
  <si>
    <t>DULCE MARELLI</t>
  </si>
  <si>
    <t>ZAMORA</t>
  </si>
  <si>
    <t>VANESSA CAROLINA</t>
  </si>
  <si>
    <t>MENDEZ</t>
  </si>
  <si>
    <t>SILVA</t>
  </si>
  <si>
    <t>NAOMI LIZETH</t>
  </si>
  <si>
    <t>BRYAN ALEXANDER</t>
  </si>
  <si>
    <t>SEGURA</t>
  </si>
  <si>
    <t>PACHUCA</t>
  </si>
  <si>
    <t>JULIO CESAR</t>
  </si>
  <si>
    <t>BELINDA CRISTINA JATZIRI</t>
  </si>
  <si>
    <t>ROBLEDO</t>
  </si>
  <si>
    <t>GRANADOS</t>
  </si>
  <si>
    <t>FRIDA AMEYALI</t>
  </si>
  <si>
    <t>VAZQUEZ</t>
  </si>
  <si>
    <t>AMERICA VALENTINA</t>
  </si>
  <si>
    <t>SALAZAR</t>
  </si>
  <si>
    <t>VALENTINA</t>
  </si>
  <si>
    <t>TAFOYA</t>
  </si>
  <si>
    <t>AMAURI FERNANDA</t>
  </si>
  <si>
    <t>JOCELYN</t>
  </si>
  <si>
    <t>SOLIS</t>
  </si>
  <si>
    <t>AQUINO</t>
  </si>
  <si>
    <t>ALEJANDRO DANIEL</t>
  </si>
  <si>
    <t>URIBE</t>
  </si>
  <si>
    <t>ANGEL LEONARDO</t>
  </si>
  <si>
    <t>PIÑA</t>
  </si>
  <si>
    <t>NATALY</t>
  </si>
  <si>
    <t>ANDREA ARANZA</t>
  </si>
  <si>
    <t>VIZZUETT</t>
  </si>
  <si>
    <t>MISAEL</t>
  </si>
  <si>
    <t>YAÑEZ</t>
  </si>
  <si>
    <t>ARMANDO</t>
  </si>
  <si>
    <t>ZAINOS</t>
  </si>
  <si>
    <t>ADRIAN</t>
  </si>
  <si>
    <t>ZITLE</t>
  </si>
  <si>
    <t>BALDERAS</t>
  </si>
  <si>
    <t>VALERIA</t>
  </si>
  <si>
    <t>PROFRA. NEFTALI MARGARITA MORLAN ORTIZ</t>
  </si>
  <si>
    <t>CID DE LEON</t>
  </si>
  <si>
    <t>DIEGO ALONSO</t>
  </si>
  <si>
    <t>ANZALDO</t>
  </si>
  <si>
    <t>YOSGAR HAZAEL</t>
  </si>
  <si>
    <t>BARRIENTOS</t>
  </si>
  <si>
    <t>LORENZANA</t>
  </si>
  <si>
    <t>ATTIS JOSUE</t>
  </si>
  <si>
    <t>BASILIO</t>
  </si>
  <si>
    <t>NAVARRETE</t>
  </si>
  <si>
    <t>RICARDO</t>
  </si>
  <si>
    <t>BECERRIL</t>
  </si>
  <si>
    <t>MEZA</t>
  </si>
  <si>
    <t>RENATA SARAHI</t>
  </si>
  <si>
    <t>BERNADI</t>
  </si>
  <si>
    <t>GARCÍA</t>
  </si>
  <si>
    <t>MATHIAS</t>
  </si>
  <si>
    <t>BLANCAS</t>
  </si>
  <si>
    <t>REYES</t>
  </si>
  <si>
    <t>AVRIL LIZBETH</t>
  </si>
  <si>
    <t>CANEDO</t>
  </si>
  <si>
    <t>DIANA LAURA</t>
  </si>
  <si>
    <t>GERARDO</t>
  </si>
  <si>
    <t>ANGEL ERNESTO</t>
  </si>
  <si>
    <t>DALVEZ</t>
  </si>
  <si>
    <t>CASTAÑEDA</t>
  </si>
  <si>
    <t>DUAN IBRANEL</t>
  </si>
  <si>
    <t>DE POLANCO</t>
  </si>
  <si>
    <t>PANAMA</t>
  </si>
  <si>
    <t>BRENDA FERNANDA</t>
  </si>
  <si>
    <t>BRISEIDA LEILANI</t>
  </si>
  <si>
    <t>ANGEL DAVID</t>
  </si>
  <si>
    <t>GUZMAN</t>
  </si>
  <si>
    <t>VARGUEZ</t>
  </si>
  <si>
    <t>JAHIR EMILIANO</t>
  </si>
  <si>
    <t>ELSY</t>
  </si>
  <si>
    <t>PADILLA</t>
  </si>
  <si>
    <t>ESTEFANY NAOMI</t>
  </si>
  <si>
    <t>RAYON</t>
  </si>
  <si>
    <t>VICTOR</t>
  </si>
  <si>
    <t>JASSO</t>
  </si>
  <si>
    <t>CARDOSO</t>
  </si>
  <si>
    <t>OLIVER ALDO</t>
  </si>
  <si>
    <t>CHIMAL</t>
  </si>
  <si>
    <t>RUBEN TSAHI</t>
  </si>
  <si>
    <t>DANIEL ALEJANDRO</t>
  </si>
  <si>
    <t>PABLO</t>
  </si>
  <si>
    <t>MIJANGOS</t>
  </si>
  <si>
    <t>ANTONIO</t>
  </si>
  <si>
    <t>RAFAEL</t>
  </si>
  <si>
    <t>MILLAN</t>
  </si>
  <si>
    <t>HANNA VICTORIA</t>
  </si>
  <si>
    <t>LUIS GAEL</t>
  </si>
  <si>
    <t>NORIEGA</t>
  </si>
  <si>
    <t>DORANTES</t>
  </si>
  <si>
    <t>ANGELICA XIOMARA</t>
  </si>
  <si>
    <t>OROZCO</t>
  </si>
  <si>
    <t>OSORNIO</t>
  </si>
  <si>
    <t>ANGEL RAFAEL</t>
  </si>
  <si>
    <t>PERALTA</t>
  </si>
  <si>
    <t>CERON</t>
  </si>
  <si>
    <t>DANA PAOLA</t>
  </si>
  <si>
    <t>PUC</t>
  </si>
  <si>
    <t>DANTE EMILIANO</t>
  </si>
  <si>
    <t>HECTOR ALEJANDRO</t>
  </si>
  <si>
    <t>RIVERA</t>
  </si>
  <si>
    <t>MANUEL ALEJANDRO</t>
  </si>
  <si>
    <t>ROJAS</t>
  </si>
  <si>
    <t>NOHEMI</t>
  </si>
  <si>
    <t>SALGADO</t>
  </si>
  <si>
    <t>ITZAYANA DANIELA</t>
  </si>
  <si>
    <t>AILIN VALERIA</t>
  </si>
  <si>
    <t>KEVIN IMANOL</t>
  </si>
  <si>
    <t>SANTOS</t>
  </si>
  <si>
    <t>ABARCA</t>
  </si>
  <si>
    <t>ANDREA</t>
  </si>
  <si>
    <t>UGALDE</t>
  </si>
  <si>
    <t>MONICA BETHEL</t>
  </si>
  <si>
    <t>ELIHU HAZEL</t>
  </si>
  <si>
    <t>VALDEZ</t>
  </si>
  <si>
    <t>JACOBO</t>
  </si>
  <si>
    <t>BRENDA SARAI</t>
  </si>
  <si>
    <t>MUCIÑO</t>
  </si>
  <si>
    <t>AMAURI JARED</t>
  </si>
  <si>
    <t>VILLEGAS</t>
  </si>
  <si>
    <t>NADIA DONAJI</t>
  </si>
  <si>
    <t>ZUÑIGA</t>
  </si>
  <si>
    <t>JESUS ALEJANDRO</t>
  </si>
  <si>
    <t>ZUÑIGA SOLORZANO</t>
  </si>
  <si>
    <t>CASTRO</t>
  </si>
  <si>
    <t>ENRIQUE SEBASTIAN</t>
  </si>
  <si>
    <t>PROFRA. JUANA RANGEL PALACIOS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</si>
</sst>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readingOrder="0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3" fontId="1" numFmtId="1" xfId="0" applyAlignment="1" applyBorder="1" applyFill="1" applyFont="1" applyNumberForma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23" fillId="3" fontId="1" numFmtId="0" xfId="0" applyAlignment="1" applyBorder="1" applyFont="1">
      <alignment horizontal="center" vertical="center"/>
    </xf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3" fillId="2" fontId="3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23" fillId="3" fontId="1" numFmtId="2" xfId="0" applyAlignment="1" applyBorder="1" applyFont="1" applyNumberForma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4" fillId="0" fontId="1" numFmtId="0" xfId="0" applyAlignment="1" applyBorder="1" applyFont="1">
      <alignment horizontal="center" vertical="center"/>
    </xf>
    <xf borderId="0" fillId="0" fontId="1" numFmtId="2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29" fillId="0" fontId="1" numFmtId="0" xfId="0" applyAlignment="1" applyBorder="1" applyFont="1">
      <alignment horizontal="center" vertical="center"/>
    </xf>
    <xf borderId="30" fillId="0" fontId="4" numFmtId="0" xfId="0" applyBorder="1" applyFont="1"/>
    <xf borderId="31" fillId="0" fontId="1" numFmtId="2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2" fillId="0" fontId="1" numFmtId="0" xfId="0" applyAlignment="1" applyBorder="1" applyFont="1">
      <alignment horizontal="center" vertical="center"/>
    </xf>
    <xf borderId="33" fillId="0" fontId="4" numFmtId="0" xfId="0" applyBorder="1" applyFont="1"/>
    <xf borderId="34" fillId="0" fontId="1" numFmtId="1" xfId="0" applyAlignment="1" applyBorder="1" applyFont="1" applyNumberFormat="1">
      <alignment horizontal="center" vertical="center"/>
    </xf>
    <xf borderId="35" fillId="0" fontId="1" numFmtId="1" xfId="0" applyAlignment="1" applyBorder="1" applyFont="1" applyNumberFormat="1">
      <alignment horizontal="center" vertical="center"/>
    </xf>
    <xf borderId="20" fillId="0" fontId="1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2" fillId="0" fontId="1" numFmtId="0" xfId="0" applyAlignment="1" applyBorder="1" applyFon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  <xf borderId="36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top" wrapText="1"/>
    </xf>
    <xf borderId="5" fillId="0" fontId="3" numFmtId="0" xfId="0" applyAlignment="1" applyBorder="1" applyFont="1">
      <alignment horizontal="center" shrinkToFit="0" vertical="center" wrapText="1"/>
    </xf>
    <xf borderId="37" fillId="0" fontId="1" numFmtId="0" xfId="0" applyAlignment="1" applyBorder="1" applyFont="1">
      <alignment horizontal="center" vertical="center"/>
    </xf>
    <xf borderId="38" fillId="0" fontId="4" numFmtId="0" xfId="0" applyBorder="1" applyFont="1"/>
    <xf borderId="39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5" fillId="0" fontId="2" numFmtId="1" xfId="0" applyAlignment="1" applyBorder="1" applyFont="1" applyNumberFormat="1">
      <alignment vertical="bottom"/>
    </xf>
    <xf borderId="40" fillId="3" fontId="2" numFmtId="0" xfId="0" applyBorder="1" applyFont="1"/>
    <xf borderId="41" fillId="3" fontId="2" numFmtId="0" xfId="0" applyBorder="1" applyFont="1"/>
    <xf borderId="0" fillId="3" fontId="2" numFmtId="0" xfId="0" applyFont="1"/>
    <xf borderId="0" fillId="0" fontId="2" numFmtId="0" xfId="0" applyFont="1"/>
    <xf borderId="5" fillId="0" fontId="2" numFmtId="0" xfId="0" applyBorder="1" applyFont="1"/>
    <xf borderId="4" fillId="0" fontId="2" numFmtId="0" xfId="0" applyBorder="1" applyFont="1"/>
    <xf borderId="5" fillId="0" fontId="2" numFmtId="0" xfId="0" applyAlignment="1" applyBorder="1" applyFont="1">
      <alignment vertical="bottom"/>
    </xf>
    <xf borderId="42" fillId="0" fontId="2" numFmtId="0" xfId="0" applyBorder="1" applyFont="1"/>
    <xf borderId="43" fillId="0" fontId="2" numFmtId="0" xfId="0" applyBorder="1" applyFont="1"/>
    <xf borderId="43" fillId="0" fontId="2" numFmtId="0" xfId="0" applyAlignment="1" applyBorder="1" applyFont="1">
      <alignment vertical="bottom"/>
    </xf>
    <xf borderId="44" fillId="0" fontId="2" numFmtId="1" xfId="0" applyAlignment="1" applyBorder="1" applyFont="1" applyNumberFormat="1">
      <alignment vertical="bottom"/>
    </xf>
    <xf borderId="0" fillId="0" fontId="2" numFmtId="0" xfId="0" applyAlignment="1" applyFont="1">
      <alignment vertical="top"/>
    </xf>
    <xf borderId="14" fillId="2" fontId="3" numFmtId="0" xfId="0" applyAlignment="1" applyBorder="1" applyFont="1">
      <alignment horizontal="center" shrinkToFit="0" vertical="center" wrapText="1"/>
    </xf>
    <xf borderId="29" fillId="0" fontId="1" numFmtId="1" xfId="0" applyAlignment="1" applyBorder="1" applyFont="1" applyNumberFormat="1">
      <alignment horizontal="center" vertical="center"/>
    </xf>
    <xf borderId="31" fillId="0" fontId="1" numFmtId="0" xfId="0" applyAlignment="1" applyBorder="1" applyFont="1">
      <alignment horizontal="center" vertical="center"/>
    </xf>
    <xf borderId="32" fillId="0" fontId="1" numFmtId="1" xfId="0" applyAlignment="1" applyBorder="1" applyFont="1" applyNumberFormat="1">
      <alignment horizontal="center" vertical="center"/>
    </xf>
    <xf borderId="34" fillId="0" fontId="1" numFmtId="0" xfId="0" applyAlignment="1" applyBorder="1" applyFont="1">
      <alignment horizontal="center" vertical="center"/>
    </xf>
    <xf borderId="35" fillId="0" fontId="1" numFmtId="0" xfId="0" applyAlignment="1" applyBorder="1" applyFon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6" fillId="0" fontId="3" numFmtId="164" xfId="0" applyAlignment="1" applyBorder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5" numFmtId="1" xfId="0" applyAlignment="1" applyFont="1" applyNumberFormat="1">
      <alignment horizontal="center" shrinkToFit="0" vertical="top" wrapText="1"/>
    </xf>
    <xf borderId="5" fillId="0" fontId="3" numFmtId="0" xfId="0" applyAlignment="1" applyBorder="1" applyFont="1">
      <alignment horizontal="center" shrinkToFit="0" vertical="center" wrapText="1"/>
    </xf>
    <xf borderId="37" fillId="0" fontId="1" numFmtId="1" xfId="0" applyAlignment="1" applyBorder="1" applyFont="1" applyNumberFormat="1">
      <alignment horizontal="center" vertical="center"/>
    </xf>
    <xf borderId="0" fillId="0" fontId="2" numFmtId="1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41" fillId="3" fontId="2" numFmtId="1" xfId="0" applyBorder="1" applyFont="1" applyNumberFormat="1"/>
    <xf borderId="0" fillId="3" fontId="2" numFmtId="1" xfId="0" applyFont="1" applyNumberFormat="1"/>
    <xf borderId="0" fillId="0" fontId="2" numFmtId="164" xfId="0" applyFont="1" applyNumberFormat="1"/>
    <xf borderId="0" fillId="0" fontId="2" numFmtId="1" xfId="0" applyFont="1" applyNumberFormat="1"/>
    <xf borderId="0" fillId="0" fontId="2" numFmtId="2" xfId="0" applyFont="1" applyNumberFormat="1"/>
    <xf borderId="43" fillId="0" fontId="2" numFmtId="1" xfId="0" applyBorder="1" applyFont="1" applyNumberFormat="1"/>
    <xf borderId="43" fillId="0" fontId="2" numFmtId="2" xfId="0" applyBorder="1" applyFont="1" applyNumberFormat="1"/>
    <xf borderId="43" fillId="0" fontId="2" numFmtId="164" xfId="0" applyBorder="1" applyFont="1" applyNumberFormat="1"/>
    <xf borderId="43" fillId="0" fontId="2" numFmtId="164" xfId="0" applyAlignment="1" applyBorder="1" applyFont="1" applyNumberFormat="1">
      <alignment vertical="bottom"/>
    </xf>
    <xf borderId="43" fillId="0" fontId="2" numFmtId="1" xfId="0" applyAlignment="1" applyBorder="1" applyFont="1" applyNumberFormat="1">
      <alignment vertical="bottom"/>
    </xf>
    <xf borderId="4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top"/>
    </xf>
    <xf borderId="34" fillId="0" fontId="1" numFmtId="2" xfId="0" applyAlignment="1" applyBorder="1" applyFont="1" applyNumberFormat="1">
      <alignment horizontal="center" vertical="center"/>
    </xf>
    <xf borderId="4" fillId="0" fontId="2" numFmtId="0" xfId="0" applyBorder="1" applyFont="1"/>
    <xf borderId="0" fillId="0" fontId="2" numFmtId="0" xfId="0" applyFont="1"/>
    <xf borderId="42" fillId="0" fontId="2" numFmtId="0" xfId="0" applyBorder="1" applyFont="1"/>
    <xf borderId="0" fillId="0" fontId="2" numFmtId="0" xfId="0" applyAlignment="1" applyFont="1">
      <alignment vertical="bottom"/>
    </xf>
  </cellXfs>
  <cellStyles count="1">
    <cellStyle xfId="0" name="Normal" builtinId="0"/>
  </cellStyles>
  <dxfs count="4"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523875</xdr:colOff>
      <xdr:row>81</xdr:row>
      <xdr:rowOff>95250</xdr:rowOff>
    </xdr:from>
    <xdr:ext cx="10696575" cy="4476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79</xdr:row>
      <xdr:rowOff>152400</xdr:rowOff>
    </xdr:from>
    <xdr:ext cx="13087350" cy="2857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533400</xdr:colOff>
      <xdr:row>65</xdr:row>
      <xdr:rowOff>314325</xdr:rowOff>
    </xdr:from>
    <xdr:ext cx="10696575" cy="4476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65</xdr:row>
      <xdr:rowOff>28575</xdr:rowOff>
    </xdr:from>
    <xdr:ext cx="13087350" cy="2857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552450</xdr:colOff>
      <xdr:row>71</xdr:row>
      <xdr:rowOff>19050</xdr:rowOff>
    </xdr:from>
    <xdr:ext cx="10696575" cy="4476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70</xdr:row>
      <xdr:rowOff>47625</xdr:rowOff>
    </xdr:from>
    <xdr:ext cx="13087350" cy="2857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1.0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5" t="s">
        <v>21</v>
      </c>
      <c r="C17" s="46" t="s">
        <v>22</v>
      </c>
      <c r="D17" s="47" t="s">
        <v>23</v>
      </c>
      <c r="E17" s="48">
        <v>3.0</v>
      </c>
      <c r="F17" s="48">
        <v>2.0</v>
      </c>
      <c r="G17" s="49"/>
      <c r="H17" s="49">
        <f t="shared" ref="H17:H71" si="1">SUM(E17:G17)</f>
        <v>5</v>
      </c>
      <c r="I17" s="50">
        <v>4.0</v>
      </c>
      <c r="J17" s="51">
        <f t="shared" ref="J17:J71" si="2">IF(H17&lt;6, 5, MIN(10, ROUND(H17, 0)))</f>
        <v>5</v>
      </c>
      <c r="K17" s="46"/>
      <c r="L17" s="52">
        <f t="shared" ref="L17:L69" si="3">IF(H17&gt;=6,ROUND(H17,0),TRUNC(H17,0))</f>
        <v>5</v>
      </c>
      <c r="M17" s="53" t="s">
        <v>24</v>
      </c>
      <c r="N17" s="24"/>
      <c r="O17" s="2"/>
      <c r="P17" s="2"/>
      <c r="Q17" s="2"/>
    </row>
    <row r="18" ht="24.75" customHeight="1">
      <c r="A18" s="44">
        <v>2.0</v>
      </c>
      <c r="B18" s="46" t="s">
        <v>25</v>
      </c>
      <c r="C18" s="45" t="s">
        <v>26</v>
      </c>
      <c r="D18" s="47" t="s">
        <v>27</v>
      </c>
      <c r="E18" s="48">
        <v>7.0</v>
      </c>
      <c r="F18" s="48">
        <v>1.0</v>
      </c>
      <c r="G18" s="48">
        <v>1.0</v>
      </c>
      <c r="H18" s="49">
        <f t="shared" si="1"/>
        <v>9</v>
      </c>
      <c r="I18" s="50">
        <v>0.0</v>
      </c>
      <c r="J18" s="51">
        <f t="shared" si="2"/>
        <v>9</v>
      </c>
      <c r="K18" s="44"/>
      <c r="L18" s="52">
        <f t="shared" si="3"/>
        <v>9</v>
      </c>
      <c r="M18" s="54" t="s">
        <v>28</v>
      </c>
      <c r="N18" s="50">
        <v>12.0</v>
      </c>
      <c r="O18" s="2"/>
      <c r="P18" s="2"/>
      <c r="Q18" s="2"/>
    </row>
    <row r="19" ht="24.75" customHeight="1">
      <c r="A19" s="44">
        <v>3.0</v>
      </c>
      <c r="B19" s="46" t="s">
        <v>29</v>
      </c>
      <c r="C19" s="45" t="s">
        <v>30</v>
      </c>
      <c r="D19" s="47" t="s">
        <v>31</v>
      </c>
      <c r="E19" s="48">
        <v>5.0</v>
      </c>
      <c r="F19" s="48">
        <v>1.0</v>
      </c>
      <c r="G19" s="48">
        <v>1.0</v>
      </c>
      <c r="H19" s="49">
        <f t="shared" si="1"/>
        <v>7</v>
      </c>
      <c r="I19" s="50">
        <v>0.0</v>
      </c>
      <c r="J19" s="51">
        <f t="shared" si="2"/>
        <v>7</v>
      </c>
      <c r="K19" s="44"/>
      <c r="L19" s="52">
        <f t="shared" si="3"/>
        <v>7</v>
      </c>
      <c r="M19" s="54" t="s">
        <v>32</v>
      </c>
      <c r="N19" s="50">
        <v>16.0</v>
      </c>
      <c r="O19" s="2"/>
      <c r="P19" s="2"/>
      <c r="Q19" s="2"/>
    </row>
    <row r="20" ht="24.75" customHeight="1">
      <c r="A20" s="44">
        <v>4.0</v>
      </c>
      <c r="B20" s="46" t="s">
        <v>33</v>
      </c>
      <c r="C20" s="45" t="s">
        <v>34</v>
      </c>
      <c r="D20" s="47" t="s">
        <v>35</v>
      </c>
      <c r="E20" s="48">
        <v>7.0</v>
      </c>
      <c r="F20" s="48">
        <v>1.0</v>
      </c>
      <c r="G20" s="48">
        <v>1.0</v>
      </c>
      <c r="H20" s="49">
        <f t="shared" si="1"/>
        <v>9</v>
      </c>
      <c r="I20" s="50">
        <v>0.0</v>
      </c>
      <c r="J20" s="51">
        <f t="shared" si="2"/>
        <v>9</v>
      </c>
      <c r="K20" s="44"/>
      <c r="L20" s="52">
        <f t="shared" si="3"/>
        <v>9</v>
      </c>
      <c r="M20" s="54" t="s">
        <v>36</v>
      </c>
      <c r="N20" s="50">
        <v>8.0</v>
      </c>
      <c r="O20" s="2"/>
      <c r="P20" s="2"/>
      <c r="Q20" s="2"/>
    </row>
    <row r="21" ht="24.75" customHeight="1">
      <c r="A21" s="44">
        <v>5.0</v>
      </c>
      <c r="B21" s="46" t="s">
        <v>37</v>
      </c>
      <c r="C21" s="45" t="s">
        <v>38</v>
      </c>
      <c r="D21" s="47" t="s">
        <v>39</v>
      </c>
      <c r="E21" s="48">
        <v>7.0</v>
      </c>
      <c r="F21" s="48">
        <v>1.0</v>
      </c>
      <c r="G21" s="49"/>
      <c r="H21" s="49">
        <f t="shared" si="1"/>
        <v>8</v>
      </c>
      <c r="I21" s="50">
        <v>0.0</v>
      </c>
      <c r="J21" s="51">
        <f t="shared" si="2"/>
        <v>8</v>
      </c>
      <c r="K21" s="44"/>
      <c r="L21" s="52">
        <f t="shared" si="3"/>
        <v>8</v>
      </c>
      <c r="M21" s="54" t="s">
        <v>40</v>
      </c>
      <c r="N21" s="50">
        <v>16.0</v>
      </c>
      <c r="O21" s="2"/>
      <c r="P21" s="2"/>
      <c r="Q21" s="2"/>
    </row>
    <row r="22" ht="24.75" customHeight="1">
      <c r="A22" s="44">
        <v>6.0</v>
      </c>
      <c r="B22" s="46" t="s">
        <v>41</v>
      </c>
      <c r="C22" s="45" t="s">
        <v>42</v>
      </c>
      <c r="D22" s="47" t="s">
        <v>43</v>
      </c>
      <c r="E22" s="48">
        <v>8.0</v>
      </c>
      <c r="F22" s="48">
        <v>1.0</v>
      </c>
      <c r="G22" s="48">
        <v>1.0</v>
      </c>
      <c r="H22" s="49">
        <f t="shared" si="1"/>
        <v>10</v>
      </c>
      <c r="I22" s="50">
        <v>0.0</v>
      </c>
      <c r="J22" s="51">
        <f t="shared" si="2"/>
        <v>10</v>
      </c>
      <c r="K22" s="44"/>
      <c r="L22" s="52">
        <f t="shared" si="3"/>
        <v>10</v>
      </c>
      <c r="M22" s="54" t="s">
        <v>44</v>
      </c>
      <c r="N22" s="50">
        <v>16.0</v>
      </c>
      <c r="O22" s="2"/>
      <c r="P22" s="2"/>
      <c r="Q22" s="2"/>
    </row>
    <row r="23" ht="24.75" customHeight="1">
      <c r="A23" s="44">
        <v>7.0</v>
      </c>
      <c r="B23" s="46" t="s">
        <v>45</v>
      </c>
      <c r="C23" s="45" t="s">
        <v>46</v>
      </c>
      <c r="D23" s="47" t="s">
        <v>47</v>
      </c>
      <c r="E23" s="48">
        <v>8.0</v>
      </c>
      <c r="F23" s="48">
        <v>1.0</v>
      </c>
      <c r="G23" s="48">
        <v>1.0</v>
      </c>
      <c r="H23" s="49">
        <f t="shared" si="1"/>
        <v>10</v>
      </c>
      <c r="I23" s="50">
        <v>0.0</v>
      </c>
      <c r="J23" s="51">
        <f t="shared" si="2"/>
        <v>10</v>
      </c>
      <c r="K23" s="44"/>
      <c r="L23" s="52">
        <f t="shared" si="3"/>
        <v>10</v>
      </c>
      <c r="M23" s="54" t="s">
        <v>48</v>
      </c>
      <c r="N23" s="50">
        <v>8.0</v>
      </c>
      <c r="O23" s="2"/>
      <c r="P23" s="2"/>
      <c r="Q23" s="2"/>
    </row>
    <row r="24" ht="24.75" customHeight="1">
      <c r="A24" s="44">
        <v>8.0</v>
      </c>
      <c r="B24" s="46" t="s">
        <v>49</v>
      </c>
      <c r="C24" s="45" t="s">
        <v>50</v>
      </c>
      <c r="D24" s="47" t="s">
        <v>51</v>
      </c>
      <c r="E24" s="48">
        <v>4.0</v>
      </c>
      <c r="F24" s="48">
        <v>1.0</v>
      </c>
      <c r="G24" s="49"/>
      <c r="H24" s="49">
        <f t="shared" si="1"/>
        <v>5</v>
      </c>
      <c r="I24" s="50">
        <v>2.0</v>
      </c>
      <c r="J24" s="51">
        <f t="shared" si="2"/>
        <v>5</v>
      </c>
      <c r="K24" s="44"/>
      <c r="L24" s="52">
        <f t="shared" si="3"/>
        <v>5</v>
      </c>
      <c r="M24" s="54" t="s">
        <v>52</v>
      </c>
      <c r="N24" s="54">
        <f>SUM(N18:N23)</f>
        <v>76</v>
      </c>
      <c r="O24" s="2"/>
      <c r="P24" s="2"/>
      <c r="Q24" s="2"/>
    </row>
    <row r="25" ht="24.75" customHeight="1">
      <c r="A25" s="44">
        <v>9.0</v>
      </c>
      <c r="B25" s="46" t="s">
        <v>53</v>
      </c>
      <c r="C25" s="45" t="s">
        <v>22</v>
      </c>
      <c r="D25" s="47" t="s">
        <v>54</v>
      </c>
      <c r="E25" s="48">
        <v>8.0</v>
      </c>
      <c r="F25" s="48">
        <v>2.0</v>
      </c>
      <c r="G25" s="49"/>
      <c r="H25" s="49">
        <f t="shared" si="1"/>
        <v>10</v>
      </c>
      <c r="I25" s="50">
        <v>0.0</v>
      </c>
      <c r="J25" s="51">
        <f t="shared" si="2"/>
        <v>10</v>
      </c>
      <c r="K25" s="44"/>
      <c r="L25" s="52">
        <f t="shared" si="3"/>
        <v>10</v>
      </c>
      <c r="M25" s="1"/>
      <c r="N25" s="1"/>
      <c r="O25" s="2"/>
      <c r="P25" s="2"/>
      <c r="Q25" s="2"/>
    </row>
    <row r="26" ht="24.75" customHeight="1">
      <c r="A26" s="44">
        <v>10.0</v>
      </c>
      <c r="B26" s="46" t="s">
        <v>55</v>
      </c>
      <c r="C26" s="45" t="s">
        <v>56</v>
      </c>
      <c r="D26" s="47" t="s">
        <v>57</v>
      </c>
      <c r="E26" s="48">
        <v>7.0</v>
      </c>
      <c r="F26" s="48">
        <v>2.0</v>
      </c>
      <c r="G26" s="49"/>
      <c r="H26" s="49">
        <f t="shared" si="1"/>
        <v>9</v>
      </c>
      <c r="I26" s="50">
        <v>2.0</v>
      </c>
      <c r="J26" s="51">
        <f t="shared" si="2"/>
        <v>9</v>
      </c>
      <c r="K26" s="44"/>
      <c r="L26" s="52">
        <f t="shared" si="3"/>
        <v>9</v>
      </c>
      <c r="M26" s="1"/>
      <c r="N26" s="1"/>
      <c r="O26" s="2"/>
      <c r="P26" s="2"/>
      <c r="Q26" s="2"/>
    </row>
    <row r="27" ht="24.75" customHeight="1">
      <c r="A27" s="44">
        <v>11.0</v>
      </c>
      <c r="B27" s="46" t="s">
        <v>58</v>
      </c>
      <c r="C27" s="45" t="s">
        <v>59</v>
      </c>
      <c r="D27" s="45" t="s">
        <v>60</v>
      </c>
      <c r="E27" s="48">
        <v>7.0</v>
      </c>
      <c r="F27" s="48">
        <v>2.0</v>
      </c>
      <c r="G27" s="49"/>
      <c r="H27" s="49">
        <f t="shared" si="1"/>
        <v>9</v>
      </c>
      <c r="I27" s="50">
        <v>0.0</v>
      </c>
      <c r="J27" s="51">
        <f t="shared" si="2"/>
        <v>9</v>
      </c>
      <c r="K27" s="44"/>
      <c r="L27" s="52">
        <f t="shared" si="3"/>
        <v>9</v>
      </c>
      <c r="M27" s="1"/>
      <c r="N27" s="1"/>
      <c r="O27" s="2"/>
      <c r="P27" s="2"/>
      <c r="Q27" s="2"/>
    </row>
    <row r="28" ht="24.75" customHeight="1">
      <c r="A28" s="44">
        <v>12.0</v>
      </c>
      <c r="B28" s="46" t="s">
        <v>61</v>
      </c>
      <c r="C28" s="45" t="s">
        <v>62</v>
      </c>
      <c r="D28" s="47" t="s">
        <v>63</v>
      </c>
      <c r="E28" s="48">
        <v>4.0</v>
      </c>
      <c r="F28" s="48">
        <v>2.0</v>
      </c>
      <c r="G28" s="49"/>
      <c r="H28" s="49">
        <f t="shared" si="1"/>
        <v>6</v>
      </c>
      <c r="I28" s="50">
        <v>0.0</v>
      </c>
      <c r="J28" s="51">
        <f t="shared" si="2"/>
        <v>6</v>
      </c>
      <c r="K28" s="44"/>
      <c r="L28" s="52">
        <f t="shared" si="3"/>
        <v>6</v>
      </c>
      <c r="M28" s="1"/>
      <c r="N28" s="1"/>
      <c r="O28" s="2"/>
      <c r="P28" s="2"/>
      <c r="Q28" s="2"/>
    </row>
    <row r="29" ht="24.75" customHeight="1">
      <c r="A29" s="44">
        <v>13.0</v>
      </c>
      <c r="B29" s="46" t="s">
        <v>61</v>
      </c>
      <c r="C29" s="45" t="s">
        <v>64</v>
      </c>
      <c r="D29" s="47" t="s">
        <v>65</v>
      </c>
      <c r="E29" s="48">
        <v>5.0</v>
      </c>
      <c r="F29" s="48">
        <v>2.0</v>
      </c>
      <c r="G29" s="49"/>
      <c r="H29" s="49">
        <f t="shared" si="1"/>
        <v>7</v>
      </c>
      <c r="I29" s="50">
        <v>2.0</v>
      </c>
      <c r="J29" s="51">
        <f t="shared" si="2"/>
        <v>7</v>
      </c>
      <c r="K29" s="44"/>
      <c r="L29" s="52">
        <f t="shared" si="3"/>
        <v>7</v>
      </c>
      <c r="M29" s="1"/>
      <c r="N29" s="1"/>
      <c r="O29" s="2"/>
      <c r="P29" s="2"/>
      <c r="Q29" s="2"/>
    </row>
    <row r="30" ht="24.75" customHeight="1">
      <c r="A30" s="44">
        <v>14.0</v>
      </c>
      <c r="B30" s="46" t="s">
        <v>66</v>
      </c>
      <c r="C30" s="45" t="s">
        <v>67</v>
      </c>
      <c r="D30" s="47" t="s">
        <v>68</v>
      </c>
      <c r="E30" s="48">
        <v>4.0</v>
      </c>
      <c r="F30" s="48">
        <v>2.0</v>
      </c>
      <c r="G30" s="49"/>
      <c r="H30" s="49">
        <f t="shared" si="1"/>
        <v>6</v>
      </c>
      <c r="I30" s="50">
        <v>0.0</v>
      </c>
      <c r="J30" s="51">
        <f t="shared" si="2"/>
        <v>6</v>
      </c>
      <c r="K30" s="44"/>
      <c r="L30" s="52">
        <f t="shared" si="3"/>
        <v>6</v>
      </c>
      <c r="M30" s="1"/>
      <c r="N30" s="1"/>
      <c r="O30" s="2"/>
      <c r="P30" s="2"/>
      <c r="Q30" s="2"/>
    </row>
    <row r="31" ht="24.75" customHeight="1">
      <c r="A31" s="44">
        <v>15.0</v>
      </c>
      <c r="B31" s="46" t="s">
        <v>69</v>
      </c>
      <c r="C31" s="45" t="s">
        <v>70</v>
      </c>
      <c r="D31" s="47" t="s">
        <v>71</v>
      </c>
      <c r="E31" s="48">
        <v>8.0</v>
      </c>
      <c r="F31" s="48">
        <v>2.0</v>
      </c>
      <c r="G31" s="49"/>
      <c r="H31" s="49">
        <f t="shared" si="1"/>
        <v>10</v>
      </c>
      <c r="I31" s="50">
        <v>0.0</v>
      </c>
      <c r="J31" s="51">
        <f t="shared" si="2"/>
        <v>10</v>
      </c>
      <c r="K31" s="44"/>
      <c r="L31" s="52">
        <f t="shared" si="3"/>
        <v>10</v>
      </c>
      <c r="M31" s="1"/>
      <c r="N31" s="1"/>
      <c r="O31" s="2"/>
      <c r="P31" s="2"/>
      <c r="Q31" s="2"/>
    </row>
    <row r="32" ht="24.75" customHeight="1">
      <c r="A32" s="44">
        <v>16.0</v>
      </c>
      <c r="B32" s="46" t="s">
        <v>72</v>
      </c>
      <c r="C32" s="45" t="s">
        <v>73</v>
      </c>
      <c r="D32" s="47" t="s">
        <v>74</v>
      </c>
      <c r="E32" s="48">
        <v>8.0</v>
      </c>
      <c r="F32" s="48">
        <v>2.0</v>
      </c>
      <c r="G32" s="49"/>
      <c r="H32" s="49">
        <f t="shared" si="1"/>
        <v>10</v>
      </c>
      <c r="I32" s="50">
        <v>0.0</v>
      </c>
      <c r="J32" s="51">
        <f t="shared" si="2"/>
        <v>10</v>
      </c>
      <c r="K32" s="44"/>
      <c r="L32" s="52">
        <f t="shared" si="3"/>
        <v>10</v>
      </c>
      <c r="M32" s="1"/>
      <c r="N32" s="1"/>
      <c r="O32" s="2"/>
      <c r="P32" s="2"/>
      <c r="Q32" s="2"/>
    </row>
    <row r="33" ht="24.75" customHeight="1">
      <c r="A33" s="44">
        <v>17.0</v>
      </c>
      <c r="B33" s="46" t="s">
        <v>75</v>
      </c>
      <c r="C33" s="45" t="s">
        <v>76</v>
      </c>
      <c r="D33" s="47" t="s">
        <v>77</v>
      </c>
      <c r="E33" s="48">
        <v>8.0</v>
      </c>
      <c r="F33" s="48">
        <v>2.0</v>
      </c>
      <c r="G33" s="49"/>
      <c r="H33" s="49">
        <f t="shared" si="1"/>
        <v>10</v>
      </c>
      <c r="I33" s="50">
        <v>0.0</v>
      </c>
      <c r="J33" s="51">
        <f t="shared" si="2"/>
        <v>10</v>
      </c>
      <c r="K33" s="44"/>
      <c r="L33" s="52">
        <f t="shared" si="3"/>
        <v>10</v>
      </c>
      <c r="M33" s="1"/>
      <c r="N33" s="1"/>
      <c r="O33" s="2"/>
      <c r="P33" s="2"/>
      <c r="Q33" s="2"/>
    </row>
    <row r="34" ht="24.75" customHeight="1">
      <c r="A34" s="44">
        <v>18.0</v>
      </c>
      <c r="B34" s="46" t="s">
        <v>78</v>
      </c>
      <c r="C34" s="45" t="s">
        <v>22</v>
      </c>
      <c r="D34" s="47" t="s">
        <v>79</v>
      </c>
      <c r="E34" s="48">
        <v>5.0</v>
      </c>
      <c r="F34" s="48">
        <v>2.0</v>
      </c>
      <c r="G34" s="49"/>
      <c r="H34" s="49">
        <f t="shared" si="1"/>
        <v>7</v>
      </c>
      <c r="I34" s="50">
        <v>4.0</v>
      </c>
      <c r="J34" s="51">
        <f t="shared" si="2"/>
        <v>7</v>
      </c>
      <c r="K34" s="44"/>
      <c r="L34" s="52">
        <f t="shared" si="3"/>
        <v>7</v>
      </c>
      <c r="M34" s="1"/>
      <c r="N34" s="1"/>
      <c r="O34" s="2"/>
      <c r="P34" s="2"/>
      <c r="Q34" s="2"/>
    </row>
    <row r="35" ht="24.75" customHeight="1">
      <c r="A35" s="44">
        <v>19.0</v>
      </c>
      <c r="B35" s="46" t="s">
        <v>80</v>
      </c>
      <c r="C35" s="45" t="s">
        <v>61</v>
      </c>
      <c r="D35" s="47" t="s">
        <v>81</v>
      </c>
      <c r="E35" s="48">
        <v>8.0</v>
      </c>
      <c r="F35" s="48">
        <v>2.0</v>
      </c>
      <c r="G35" s="49"/>
      <c r="H35" s="49">
        <f t="shared" si="1"/>
        <v>10</v>
      </c>
      <c r="I35" s="50">
        <v>0.0</v>
      </c>
      <c r="J35" s="51">
        <f t="shared" si="2"/>
        <v>10</v>
      </c>
      <c r="K35" s="44"/>
      <c r="L35" s="52">
        <f t="shared" si="3"/>
        <v>10</v>
      </c>
      <c r="M35" s="1"/>
      <c r="N35" s="1"/>
      <c r="O35" s="2"/>
      <c r="P35" s="2"/>
      <c r="Q35" s="2"/>
    </row>
    <row r="36" ht="24.75" customHeight="1">
      <c r="A36" s="44">
        <v>20.0</v>
      </c>
      <c r="B36" s="46" t="s">
        <v>82</v>
      </c>
      <c r="C36" s="45" t="s">
        <v>83</v>
      </c>
      <c r="D36" s="47" t="s">
        <v>84</v>
      </c>
      <c r="E36" s="48">
        <v>4.0</v>
      </c>
      <c r="F36" s="48">
        <v>1.0</v>
      </c>
      <c r="G36" s="49"/>
      <c r="H36" s="49">
        <f t="shared" si="1"/>
        <v>5</v>
      </c>
      <c r="I36" s="50">
        <v>2.0</v>
      </c>
      <c r="J36" s="51">
        <f t="shared" si="2"/>
        <v>5</v>
      </c>
      <c r="K36" s="44"/>
      <c r="L36" s="52">
        <f t="shared" si="3"/>
        <v>5</v>
      </c>
      <c r="M36" s="1"/>
      <c r="N36" s="1"/>
      <c r="O36" s="2"/>
      <c r="P36" s="2"/>
      <c r="Q36" s="2"/>
    </row>
    <row r="37" ht="24.75" customHeight="1">
      <c r="A37" s="44">
        <v>21.0</v>
      </c>
      <c r="B37" s="46" t="s">
        <v>82</v>
      </c>
      <c r="C37" s="45" t="s">
        <v>85</v>
      </c>
      <c r="D37" s="47" t="s">
        <v>86</v>
      </c>
      <c r="E37" s="48">
        <v>7.0</v>
      </c>
      <c r="F37" s="48">
        <v>1.0</v>
      </c>
      <c r="G37" s="49"/>
      <c r="H37" s="49">
        <f t="shared" si="1"/>
        <v>8</v>
      </c>
      <c r="I37" s="50">
        <v>0.0</v>
      </c>
      <c r="J37" s="51">
        <f t="shared" si="2"/>
        <v>8</v>
      </c>
      <c r="K37" s="44"/>
      <c r="L37" s="52">
        <f t="shared" si="3"/>
        <v>8</v>
      </c>
      <c r="M37" s="1"/>
      <c r="N37" s="1"/>
      <c r="O37" s="2"/>
      <c r="P37" s="2"/>
      <c r="Q37" s="2"/>
    </row>
    <row r="38" ht="24.75" customHeight="1">
      <c r="A38" s="44">
        <v>22.0</v>
      </c>
      <c r="B38" s="46" t="s">
        <v>82</v>
      </c>
      <c r="C38" s="45" t="s">
        <v>87</v>
      </c>
      <c r="D38" s="47" t="s">
        <v>88</v>
      </c>
      <c r="E38" s="48">
        <v>8.0</v>
      </c>
      <c r="F38" s="48">
        <v>1.0</v>
      </c>
      <c r="G38" s="48">
        <v>1.0</v>
      </c>
      <c r="H38" s="49">
        <f t="shared" si="1"/>
        <v>10</v>
      </c>
      <c r="I38" s="50">
        <v>0.0</v>
      </c>
      <c r="J38" s="51">
        <f t="shared" si="2"/>
        <v>10</v>
      </c>
      <c r="K38" s="44"/>
      <c r="L38" s="52">
        <f t="shared" si="3"/>
        <v>10</v>
      </c>
      <c r="M38" s="1"/>
      <c r="N38" s="1"/>
      <c r="O38" s="2"/>
      <c r="P38" s="2"/>
      <c r="Q38" s="2"/>
    </row>
    <row r="39" ht="24.75" customHeight="1">
      <c r="A39" s="44">
        <v>23.0</v>
      </c>
      <c r="B39" s="46" t="s">
        <v>89</v>
      </c>
      <c r="C39" s="45" t="s">
        <v>90</v>
      </c>
      <c r="D39" s="47" t="s">
        <v>91</v>
      </c>
      <c r="E39" s="48">
        <v>8.0</v>
      </c>
      <c r="F39" s="48">
        <v>2.0</v>
      </c>
      <c r="G39" s="49"/>
      <c r="H39" s="49">
        <f t="shared" si="1"/>
        <v>10</v>
      </c>
      <c r="I39" s="50">
        <v>0.0</v>
      </c>
      <c r="J39" s="51">
        <f t="shared" si="2"/>
        <v>10</v>
      </c>
      <c r="K39" s="44"/>
      <c r="L39" s="52">
        <f t="shared" si="3"/>
        <v>10</v>
      </c>
      <c r="M39" s="1"/>
      <c r="N39" s="1"/>
      <c r="O39" s="2"/>
      <c r="P39" s="2"/>
      <c r="Q39" s="2"/>
    </row>
    <row r="40" ht="24.75" customHeight="1">
      <c r="A40" s="44">
        <v>24.0</v>
      </c>
      <c r="B40" s="46" t="s">
        <v>92</v>
      </c>
      <c r="C40" s="45" t="s">
        <v>93</v>
      </c>
      <c r="D40" s="47" t="s">
        <v>94</v>
      </c>
      <c r="E40" s="48">
        <v>4.0</v>
      </c>
      <c r="F40" s="48">
        <v>2.0</v>
      </c>
      <c r="G40" s="49"/>
      <c r="H40" s="49">
        <f t="shared" si="1"/>
        <v>6</v>
      </c>
      <c r="I40" s="50">
        <v>2.0</v>
      </c>
      <c r="J40" s="51">
        <f t="shared" si="2"/>
        <v>6</v>
      </c>
      <c r="K40" s="44"/>
      <c r="L40" s="52">
        <f t="shared" si="3"/>
        <v>6</v>
      </c>
      <c r="M40" s="1"/>
      <c r="N40" s="1"/>
      <c r="O40" s="2"/>
      <c r="P40" s="2"/>
      <c r="Q40" s="2"/>
    </row>
    <row r="41" ht="24.75" customHeight="1">
      <c r="A41" s="44">
        <v>25.0</v>
      </c>
      <c r="B41" s="46" t="s">
        <v>95</v>
      </c>
      <c r="C41" s="45" t="s">
        <v>96</v>
      </c>
      <c r="D41" s="47" t="s">
        <v>97</v>
      </c>
      <c r="E41" s="48">
        <v>8.0</v>
      </c>
      <c r="F41" s="48">
        <v>2.0</v>
      </c>
      <c r="G41" s="49"/>
      <c r="H41" s="49">
        <f t="shared" si="1"/>
        <v>10</v>
      </c>
      <c r="I41" s="50">
        <v>4.0</v>
      </c>
      <c r="J41" s="51">
        <f t="shared" si="2"/>
        <v>10</v>
      </c>
      <c r="K41" s="44"/>
      <c r="L41" s="52">
        <f t="shared" si="3"/>
        <v>10</v>
      </c>
      <c r="M41" s="1"/>
      <c r="N41" s="1"/>
      <c r="O41" s="2"/>
      <c r="P41" s="2"/>
      <c r="Q41" s="2"/>
    </row>
    <row r="42" ht="24.75" customHeight="1">
      <c r="A42" s="44">
        <v>26.0</v>
      </c>
      <c r="B42" s="46" t="s">
        <v>98</v>
      </c>
      <c r="C42" s="45" t="s">
        <v>99</v>
      </c>
      <c r="D42" s="47" t="s">
        <v>100</v>
      </c>
      <c r="E42" s="48">
        <v>8.0</v>
      </c>
      <c r="F42" s="48">
        <v>2.0</v>
      </c>
      <c r="G42" s="49"/>
      <c r="H42" s="49">
        <f t="shared" si="1"/>
        <v>10</v>
      </c>
      <c r="I42" s="50">
        <v>0.0</v>
      </c>
      <c r="J42" s="51">
        <f t="shared" si="2"/>
        <v>10</v>
      </c>
      <c r="K42" s="44"/>
      <c r="L42" s="52">
        <f t="shared" si="3"/>
        <v>10</v>
      </c>
      <c r="M42" s="1"/>
      <c r="N42" s="1"/>
      <c r="O42" s="2"/>
      <c r="P42" s="2"/>
      <c r="Q42" s="2"/>
    </row>
    <row r="43" ht="24.75" customHeight="1">
      <c r="A43" s="44">
        <v>27.0</v>
      </c>
      <c r="B43" s="46" t="s">
        <v>101</v>
      </c>
      <c r="C43" s="45" t="s">
        <v>102</v>
      </c>
      <c r="D43" s="47" t="s">
        <v>103</v>
      </c>
      <c r="E43" s="48">
        <v>4.0</v>
      </c>
      <c r="F43" s="48">
        <v>2.0</v>
      </c>
      <c r="G43" s="49"/>
      <c r="H43" s="49">
        <f t="shared" si="1"/>
        <v>6</v>
      </c>
      <c r="I43" s="50">
        <v>0.0</v>
      </c>
      <c r="J43" s="51">
        <f t="shared" si="2"/>
        <v>6</v>
      </c>
      <c r="K43" s="44"/>
      <c r="L43" s="52">
        <f t="shared" si="3"/>
        <v>6</v>
      </c>
      <c r="M43" s="1"/>
      <c r="N43" s="1"/>
      <c r="O43" s="2"/>
      <c r="P43" s="2"/>
      <c r="Q43" s="2"/>
    </row>
    <row r="44" ht="24.75" customHeight="1">
      <c r="A44" s="44">
        <v>28.0</v>
      </c>
      <c r="B44" s="46" t="s">
        <v>22</v>
      </c>
      <c r="C44" s="45" t="s">
        <v>76</v>
      </c>
      <c r="D44" s="47" t="s">
        <v>104</v>
      </c>
      <c r="E44" s="48">
        <v>4.0</v>
      </c>
      <c r="F44" s="48">
        <v>2.0</v>
      </c>
      <c r="G44" s="49"/>
      <c r="H44" s="49">
        <f t="shared" si="1"/>
        <v>6</v>
      </c>
      <c r="I44" s="50">
        <v>0.0</v>
      </c>
      <c r="J44" s="51">
        <f t="shared" si="2"/>
        <v>6</v>
      </c>
      <c r="K44" s="44"/>
      <c r="L44" s="52">
        <f t="shared" si="3"/>
        <v>6</v>
      </c>
      <c r="M44" s="1"/>
      <c r="N44" s="1"/>
      <c r="O44" s="2"/>
      <c r="P44" s="2"/>
      <c r="Q44" s="2"/>
    </row>
    <row r="45" ht="24.75" customHeight="1">
      <c r="A45" s="44">
        <v>29.0</v>
      </c>
      <c r="B45" s="46" t="s">
        <v>22</v>
      </c>
      <c r="C45" s="45" t="s">
        <v>105</v>
      </c>
      <c r="D45" s="47" t="s">
        <v>106</v>
      </c>
      <c r="E45" s="48">
        <v>5.0</v>
      </c>
      <c r="F45" s="48">
        <v>2.0</v>
      </c>
      <c r="G45" s="49"/>
      <c r="H45" s="49">
        <f t="shared" si="1"/>
        <v>7</v>
      </c>
      <c r="I45" s="50">
        <v>0.0</v>
      </c>
      <c r="J45" s="51">
        <f t="shared" si="2"/>
        <v>7</v>
      </c>
      <c r="K45" s="44"/>
      <c r="L45" s="52">
        <f t="shared" si="3"/>
        <v>7</v>
      </c>
      <c r="M45" s="1"/>
      <c r="N45" s="1"/>
      <c r="O45" s="2"/>
      <c r="P45" s="2"/>
      <c r="Q45" s="2"/>
    </row>
    <row r="46" ht="24.75" customHeight="1">
      <c r="A46" s="44">
        <v>30.0</v>
      </c>
      <c r="B46" s="46" t="s">
        <v>107</v>
      </c>
      <c r="C46" s="45" t="s">
        <v>82</v>
      </c>
      <c r="D46" s="47" t="s">
        <v>108</v>
      </c>
      <c r="E46" s="48">
        <v>7.0</v>
      </c>
      <c r="F46" s="48">
        <v>1.0</v>
      </c>
      <c r="G46" s="49"/>
      <c r="H46" s="49">
        <f t="shared" si="1"/>
        <v>8</v>
      </c>
      <c r="I46" s="50">
        <v>0.0</v>
      </c>
      <c r="J46" s="51">
        <f t="shared" si="2"/>
        <v>8</v>
      </c>
      <c r="K46" s="44"/>
      <c r="L46" s="52">
        <f t="shared" si="3"/>
        <v>8</v>
      </c>
      <c r="M46" s="1"/>
      <c r="N46" s="1"/>
      <c r="O46" s="2"/>
      <c r="P46" s="2"/>
      <c r="Q46" s="2"/>
    </row>
    <row r="47" ht="24.75" customHeight="1">
      <c r="A47" s="44">
        <v>31.0</v>
      </c>
      <c r="B47" s="46" t="s">
        <v>107</v>
      </c>
      <c r="C47" s="46" t="s">
        <v>109</v>
      </c>
      <c r="D47" s="47" t="s">
        <v>110</v>
      </c>
      <c r="E47" s="48">
        <v>8.0</v>
      </c>
      <c r="F47" s="48">
        <v>1.0</v>
      </c>
      <c r="G47" s="49"/>
      <c r="H47" s="49">
        <f t="shared" si="1"/>
        <v>9</v>
      </c>
      <c r="I47" s="50">
        <v>2.0</v>
      </c>
      <c r="J47" s="51">
        <f t="shared" si="2"/>
        <v>9</v>
      </c>
      <c r="K47" s="44"/>
      <c r="L47" s="52">
        <f t="shared" si="3"/>
        <v>9</v>
      </c>
      <c r="M47" s="1"/>
      <c r="N47" s="1"/>
      <c r="O47" s="2"/>
      <c r="P47" s="2"/>
      <c r="Q47" s="2"/>
    </row>
    <row r="48" ht="24.75" customHeight="1">
      <c r="A48" s="44">
        <v>32.0</v>
      </c>
      <c r="B48" s="46" t="s">
        <v>111</v>
      </c>
      <c r="C48" s="45" t="s">
        <v>72</v>
      </c>
      <c r="D48" s="47" t="s">
        <v>112</v>
      </c>
      <c r="E48" s="48">
        <v>7.0</v>
      </c>
      <c r="F48" s="48">
        <v>2.0</v>
      </c>
      <c r="G48" s="49"/>
      <c r="H48" s="49">
        <f t="shared" si="1"/>
        <v>9</v>
      </c>
      <c r="I48" s="50">
        <v>0.0</v>
      </c>
      <c r="J48" s="51">
        <f t="shared" si="2"/>
        <v>9</v>
      </c>
      <c r="K48" s="44"/>
      <c r="L48" s="52">
        <f t="shared" si="3"/>
        <v>9</v>
      </c>
      <c r="M48" s="1"/>
      <c r="N48" s="1"/>
      <c r="O48" s="2"/>
      <c r="P48" s="2"/>
      <c r="Q48" s="2"/>
    </row>
    <row r="49" ht="24.75" customHeight="1">
      <c r="A49" s="44">
        <v>33.0</v>
      </c>
      <c r="B49" s="46" t="s">
        <v>113</v>
      </c>
      <c r="C49" s="45" t="s">
        <v>21</v>
      </c>
      <c r="D49" s="47" t="s">
        <v>114</v>
      </c>
      <c r="E49" s="48">
        <v>4.0</v>
      </c>
      <c r="F49" s="48">
        <v>2.0</v>
      </c>
      <c r="G49" s="49"/>
      <c r="H49" s="49">
        <f t="shared" si="1"/>
        <v>6</v>
      </c>
      <c r="I49" s="50">
        <v>0.0</v>
      </c>
      <c r="J49" s="51">
        <f t="shared" si="2"/>
        <v>6</v>
      </c>
      <c r="K49" s="44"/>
      <c r="L49" s="52">
        <f t="shared" si="3"/>
        <v>6</v>
      </c>
      <c r="M49" s="1"/>
      <c r="N49" s="1"/>
      <c r="O49" s="2"/>
      <c r="P49" s="2"/>
      <c r="Q49" s="2"/>
    </row>
    <row r="50" ht="24.75" customHeight="1">
      <c r="A50" s="44">
        <v>34.0</v>
      </c>
      <c r="B50" s="46" t="s">
        <v>115</v>
      </c>
      <c r="C50" s="45" t="s">
        <v>116</v>
      </c>
      <c r="D50" s="47" t="s">
        <v>117</v>
      </c>
      <c r="E50" s="48">
        <v>4.0</v>
      </c>
      <c r="F50" s="48">
        <v>2.0</v>
      </c>
      <c r="G50" s="49"/>
      <c r="H50" s="49">
        <f t="shared" si="1"/>
        <v>6</v>
      </c>
      <c r="I50" s="50">
        <v>0.0</v>
      </c>
      <c r="J50" s="51">
        <f t="shared" si="2"/>
        <v>6</v>
      </c>
      <c r="K50" s="44"/>
      <c r="L50" s="52">
        <f t="shared" si="3"/>
        <v>6</v>
      </c>
      <c r="M50" s="1"/>
      <c r="N50" s="1"/>
      <c r="O50" s="2"/>
      <c r="P50" s="2"/>
      <c r="Q50" s="2"/>
    </row>
    <row r="51" ht="24.75" customHeight="1">
      <c r="A51" s="44">
        <v>35.0</v>
      </c>
      <c r="B51" s="46" t="s">
        <v>118</v>
      </c>
      <c r="C51" s="45" t="s">
        <v>119</v>
      </c>
      <c r="D51" s="47" t="s">
        <v>120</v>
      </c>
      <c r="E51" s="48">
        <v>8.0</v>
      </c>
      <c r="F51" s="48">
        <v>2.0</v>
      </c>
      <c r="G51" s="49"/>
      <c r="H51" s="49">
        <f t="shared" si="1"/>
        <v>10</v>
      </c>
      <c r="I51" s="50">
        <v>0.0</v>
      </c>
      <c r="J51" s="51">
        <f t="shared" si="2"/>
        <v>10</v>
      </c>
      <c r="K51" s="44"/>
      <c r="L51" s="52">
        <f t="shared" si="3"/>
        <v>10</v>
      </c>
      <c r="M51" s="1"/>
      <c r="N51" s="1"/>
      <c r="O51" s="2"/>
      <c r="P51" s="2"/>
      <c r="Q51" s="2"/>
    </row>
    <row r="52" ht="24.75" customHeight="1">
      <c r="A52" s="44">
        <v>36.0</v>
      </c>
      <c r="B52" s="46" t="s">
        <v>90</v>
      </c>
      <c r="C52" s="45" t="s">
        <v>121</v>
      </c>
      <c r="D52" s="47" t="s">
        <v>122</v>
      </c>
      <c r="E52" s="48">
        <v>8.0</v>
      </c>
      <c r="F52" s="48">
        <v>2.0</v>
      </c>
      <c r="G52" s="49"/>
      <c r="H52" s="49">
        <f t="shared" si="1"/>
        <v>10</v>
      </c>
      <c r="I52" s="50">
        <v>0.0</v>
      </c>
      <c r="J52" s="51">
        <f t="shared" si="2"/>
        <v>10</v>
      </c>
      <c r="K52" s="44"/>
      <c r="L52" s="46">
        <f t="shared" si="3"/>
        <v>10</v>
      </c>
      <c r="M52" s="1"/>
      <c r="N52" s="1"/>
      <c r="O52" s="2"/>
      <c r="P52" s="2"/>
      <c r="Q52" s="2"/>
    </row>
    <row r="53" ht="24.75" customHeight="1">
      <c r="A53" s="44">
        <v>37.0</v>
      </c>
      <c r="B53" s="46" t="s">
        <v>123</v>
      </c>
      <c r="C53" s="45" t="s">
        <v>96</v>
      </c>
      <c r="D53" s="47" t="s">
        <v>124</v>
      </c>
      <c r="E53" s="48">
        <v>4.0</v>
      </c>
      <c r="F53" s="48">
        <v>1.0</v>
      </c>
      <c r="G53" s="49"/>
      <c r="H53" s="49">
        <f t="shared" si="1"/>
        <v>5</v>
      </c>
      <c r="I53" s="50">
        <v>4.0</v>
      </c>
      <c r="J53" s="51">
        <f t="shared" si="2"/>
        <v>5</v>
      </c>
      <c r="K53" s="44"/>
      <c r="L53" s="46">
        <f t="shared" si="3"/>
        <v>5</v>
      </c>
      <c r="M53" s="1"/>
      <c r="N53" s="1"/>
      <c r="O53" s="2"/>
      <c r="P53" s="2"/>
      <c r="Q53" s="2"/>
    </row>
    <row r="54" ht="24.75" customHeight="1">
      <c r="A54" s="44">
        <v>38.0</v>
      </c>
      <c r="B54" s="46" t="s">
        <v>125</v>
      </c>
      <c r="C54" s="45" t="s">
        <v>75</v>
      </c>
      <c r="D54" s="47" t="s">
        <v>126</v>
      </c>
      <c r="E54" s="48">
        <v>6.0</v>
      </c>
      <c r="F54" s="48">
        <v>2.0</v>
      </c>
      <c r="G54" s="49"/>
      <c r="H54" s="49">
        <f t="shared" si="1"/>
        <v>8</v>
      </c>
      <c r="I54" s="50">
        <v>4.0</v>
      </c>
      <c r="J54" s="51">
        <f t="shared" si="2"/>
        <v>8</v>
      </c>
      <c r="K54" s="44"/>
      <c r="L54" s="46">
        <f t="shared" si="3"/>
        <v>8</v>
      </c>
      <c r="M54" s="1"/>
      <c r="N54" s="1"/>
      <c r="O54" s="2"/>
      <c r="P54" s="2"/>
      <c r="Q54" s="2"/>
    </row>
    <row r="55" ht="24.75" customHeight="1">
      <c r="A55" s="44">
        <v>39.0</v>
      </c>
      <c r="B55" s="46" t="s">
        <v>125</v>
      </c>
      <c r="C55" s="45" t="s">
        <v>127</v>
      </c>
      <c r="D55" s="47" t="s">
        <v>110</v>
      </c>
      <c r="E55" s="48">
        <v>8.0</v>
      </c>
      <c r="F55" s="48">
        <v>2.0</v>
      </c>
      <c r="G55" s="49"/>
      <c r="H55" s="49">
        <f t="shared" si="1"/>
        <v>10</v>
      </c>
      <c r="I55" s="50">
        <v>2.0</v>
      </c>
      <c r="J55" s="51">
        <f t="shared" si="2"/>
        <v>10</v>
      </c>
      <c r="K55" s="44"/>
      <c r="L55" s="46">
        <f t="shared" si="3"/>
        <v>10</v>
      </c>
      <c r="M55" s="1"/>
      <c r="N55" s="1"/>
      <c r="O55" s="2"/>
      <c r="P55" s="2"/>
      <c r="Q55" s="2"/>
    </row>
    <row r="56" ht="24.75" customHeight="1">
      <c r="A56" s="44">
        <v>40.0</v>
      </c>
      <c r="B56" s="46" t="s">
        <v>125</v>
      </c>
      <c r="C56" s="45" t="s">
        <v>127</v>
      </c>
      <c r="D56" s="47" t="s">
        <v>128</v>
      </c>
      <c r="E56" s="48">
        <v>8.0</v>
      </c>
      <c r="F56" s="48">
        <v>2.0</v>
      </c>
      <c r="G56" s="49"/>
      <c r="H56" s="49">
        <f t="shared" si="1"/>
        <v>10</v>
      </c>
      <c r="I56" s="50">
        <v>2.0</v>
      </c>
      <c r="J56" s="51">
        <f t="shared" si="2"/>
        <v>10</v>
      </c>
      <c r="K56" s="44"/>
      <c r="L56" s="46">
        <f t="shared" si="3"/>
        <v>10</v>
      </c>
      <c r="M56" s="1"/>
      <c r="N56" s="1"/>
      <c r="O56" s="2"/>
      <c r="P56" s="2"/>
      <c r="Q56" s="2"/>
    </row>
    <row r="57" ht="24.75" customHeight="1">
      <c r="A57" s="44">
        <v>41.0</v>
      </c>
      <c r="B57" s="46" t="s">
        <v>129</v>
      </c>
      <c r="C57" s="46" t="s">
        <v>61</v>
      </c>
      <c r="D57" s="47" t="s">
        <v>130</v>
      </c>
      <c r="E57" s="48">
        <v>4.0</v>
      </c>
      <c r="F57" s="48">
        <v>2.0</v>
      </c>
      <c r="G57" s="49"/>
      <c r="H57" s="49">
        <f t="shared" si="1"/>
        <v>6</v>
      </c>
      <c r="I57" s="50">
        <v>2.0</v>
      </c>
      <c r="J57" s="51">
        <f t="shared" si="2"/>
        <v>6</v>
      </c>
      <c r="K57" s="44"/>
      <c r="L57" s="46">
        <f t="shared" si="3"/>
        <v>6</v>
      </c>
      <c r="M57" s="1"/>
      <c r="N57" s="1"/>
      <c r="O57" s="2"/>
      <c r="P57" s="2"/>
      <c r="Q57" s="2"/>
    </row>
    <row r="58" ht="24.75" customHeight="1">
      <c r="A58" s="44">
        <v>42.0</v>
      </c>
      <c r="B58" s="46" t="s">
        <v>131</v>
      </c>
      <c r="C58" s="45" t="s">
        <v>132</v>
      </c>
      <c r="D58" s="47" t="s">
        <v>133</v>
      </c>
      <c r="E58" s="48">
        <v>6.0</v>
      </c>
      <c r="F58" s="48">
        <v>2.0</v>
      </c>
      <c r="G58" s="49"/>
      <c r="H58" s="49">
        <f t="shared" si="1"/>
        <v>8</v>
      </c>
      <c r="I58" s="50">
        <v>3.0</v>
      </c>
      <c r="J58" s="51">
        <f t="shared" si="2"/>
        <v>8</v>
      </c>
      <c r="K58" s="44"/>
      <c r="L58" s="46">
        <f t="shared" si="3"/>
        <v>8</v>
      </c>
      <c r="M58" s="1"/>
      <c r="N58" s="1"/>
      <c r="O58" s="2"/>
      <c r="P58" s="2"/>
      <c r="Q58" s="2"/>
    </row>
    <row r="59" ht="24.75" customHeight="1">
      <c r="A59" s="44">
        <v>43.0</v>
      </c>
      <c r="B59" s="46" t="s">
        <v>134</v>
      </c>
      <c r="C59" s="46" t="s">
        <v>95</v>
      </c>
      <c r="D59" s="47" t="s">
        <v>135</v>
      </c>
      <c r="E59" s="48">
        <v>4.0</v>
      </c>
      <c r="F59" s="48">
        <v>2.0</v>
      </c>
      <c r="G59" s="49"/>
      <c r="H59" s="49">
        <f t="shared" si="1"/>
        <v>6</v>
      </c>
      <c r="I59" s="50">
        <v>1.0</v>
      </c>
      <c r="J59" s="51">
        <f t="shared" si="2"/>
        <v>6</v>
      </c>
      <c r="K59" s="44"/>
      <c r="L59" s="46">
        <f t="shared" si="3"/>
        <v>6</v>
      </c>
      <c r="M59" s="1"/>
      <c r="N59" s="1"/>
      <c r="O59" s="2"/>
      <c r="P59" s="2"/>
      <c r="Q59" s="2"/>
    </row>
    <row r="60" ht="24.75" customHeight="1">
      <c r="A60" s="44">
        <v>44.0</v>
      </c>
      <c r="B60" s="46" t="s">
        <v>136</v>
      </c>
      <c r="C60" s="46" t="s">
        <v>22</v>
      </c>
      <c r="D60" s="47" t="s">
        <v>137</v>
      </c>
      <c r="E60" s="48">
        <v>4.0</v>
      </c>
      <c r="F60" s="48">
        <v>1.0</v>
      </c>
      <c r="G60" s="49"/>
      <c r="H60" s="49">
        <f t="shared" si="1"/>
        <v>5</v>
      </c>
      <c r="I60" s="50">
        <v>2.0</v>
      </c>
      <c r="J60" s="51">
        <f t="shared" si="2"/>
        <v>5</v>
      </c>
      <c r="K60" s="44"/>
      <c r="L60" s="46">
        <f t="shared" si="3"/>
        <v>5</v>
      </c>
      <c r="M60" s="1"/>
      <c r="N60" s="1"/>
      <c r="O60" s="2"/>
      <c r="P60" s="2"/>
      <c r="Q60" s="2"/>
    </row>
    <row r="61" ht="24.75" customHeight="1">
      <c r="A61" s="44">
        <v>45.0</v>
      </c>
      <c r="B61" s="46" t="s">
        <v>138</v>
      </c>
      <c r="C61" s="46" t="s">
        <v>46</v>
      </c>
      <c r="D61" s="47" t="s">
        <v>139</v>
      </c>
      <c r="E61" s="48">
        <v>8.0</v>
      </c>
      <c r="F61" s="48">
        <v>2.0</v>
      </c>
      <c r="G61" s="49"/>
      <c r="H61" s="49">
        <f t="shared" si="1"/>
        <v>10</v>
      </c>
      <c r="I61" s="50">
        <v>0.0</v>
      </c>
      <c r="J61" s="51">
        <f t="shared" si="2"/>
        <v>10</v>
      </c>
      <c r="K61" s="44"/>
      <c r="L61" s="46">
        <f t="shared" si="3"/>
        <v>10</v>
      </c>
      <c r="M61" s="1"/>
      <c r="N61" s="1"/>
      <c r="O61" s="2"/>
      <c r="P61" s="2"/>
      <c r="Q61" s="2"/>
    </row>
    <row r="62" ht="24.75" customHeight="1">
      <c r="A62" s="44">
        <v>46.0</v>
      </c>
      <c r="B62" s="46" t="s">
        <v>34</v>
      </c>
      <c r="C62" s="46" t="s">
        <v>140</v>
      </c>
      <c r="D62" s="47" t="s">
        <v>141</v>
      </c>
      <c r="E62" s="48">
        <v>8.0</v>
      </c>
      <c r="F62" s="48">
        <v>1.0</v>
      </c>
      <c r="G62" s="48">
        <v>1.0</v>
      </c>
      <c r="H62" s="49">
        <f t="shared" si="1"/>
        <v>10</v>
      </c>
      <c r="I62" s="50">
        <v>0.0</v>
      </c>
      <c r="J62" s="51">
        <f t="shared" si="2"/>
        <v>10</v>
      </c>
      <c r="K62" s="44"/>
      <c r="L62" s="46">
        <f t="shared" si="3"/>
        <v>10</v>
      </c>
      <c r="M62" s="1"/>
      <c r="N62" s="1"/>
      <c r="O62" s="2"/>
      <c r="P62" s="2"/>
      <c r="Q62" s="2"/>
    </row>
    <row r="63" ht="24.75" customHeight="1">
      <c r="A63" s="44">
        <v>47.0</v>
      </c>
      <c r="B63" s="46" t="s">
        <v>142</v>
      </c>
      <c r="C63" s="46" t="s">
        <v>22</v>
      </c>
      <c r="D63" s="47" t="s">
        <v>143</v>
      </c>
      <c r="E63" s="48">
        <v>5.0</v>
      </c>
      <c r="F63" s="48">
        <v>1.0</v>
      </c>
      <c r="G63" s="48">
        <v>1.0</v>
      </c>
      <c r="H63" s="49">
        <f t="shared" si="1"/>
        <v>7</v>
      </c>
      <c r="I63" s="50">
        <v>0.0</v>
      </c>
      <c r="J63" s="51">
        <f t="shared" si="2"/>
        <v>7</v>
      </c>
      <c r="K63" s="44"/>
      <c r="L63" s="46">
        <f t="shared" si="3"/>
        <v>7</v>
      </c>
      <c r="M63" s="1"/>
      <c r="N63" s="1"/>
      <c r="O63" s="2"/>
      <c r="P63" s="2"/>
      <c r="Q63" s="2"/>
    </row>
    <row r="64" ht="24.75" customHeight="1">
      <c r="A64" s="44">
        <v>48.0</v>
      </c>
      <c r="B64" s="46" t="s">
        <v>144</v>
      </c>
      <c r="C64" s="46" t="s">
        <v>145</v>
      </c>
      <c r="D64" s="47" t="s">
        <v>146</v>
      </c>
      <c r="E64" s="48">
        <v>8.0</v>
      </c>
      <c r="F64" s="48">
        <v>1.0</v>
      </c>
      <c r="G64" s="49"/>
      <c r="H64" s="49">
        <f t="shared" si="1"/>
        <v>9</v>
      </c>
      <c r="I64" s="50">
        <v>0.0</v>
      </c>
      <c r="J64" s="51">
        <f t="shared" si="2"/>
        <v>9</v>
      </c>
      <c r="K64" s="44"/>
      <c r="L64" s="46">
        <f t="shared" si="3"/>
        <v>9</v>
      </c>
      <c r="M64" s="1"/>
      <c r="N64" s="1"/>
      <c r="O64" s="2"/>
      <c r="P64" s="2"/>
      <c r="Q64" s="2"/>
    </row>
    <row r="65" ht="24.75" customHeight="1">
      <c r="A65" s="44">
        <v>49.0</v>
      </c>
      <c r="B65" s="46" t="s">
        <v>132</v>
      </c>
      <c r="C65" s="46" t="s">
        <v>147</v>
      </c>
      <c r="D65" s="47" t="s">
        <v>148</v>
      </c>
      <c r="E65" s="48">
        <v>8.0</v>
      </c>
      <c r="F65" s="48">
        <v>2.0</v>
      </c>
      <c r="G65" s="49"/>
      <c r="H65" s="49">
        <f t="shared" si="1"/>
        <v>10</v>
      </c>
      <c r="I65" s="50">
        <v>0.0</v>
      </c>
      <c r="J65" s="51">
        <f t="shared" si="2"/>
        <v>10</v>
      </c>
      <c r="K65" s="44"/>
      <c r="L65" s="46">
        <f t="shared" si="3"/>
        <v>10</v>
      </c>
      <c r="M65" s="1"/>
      <c r="N65" s="1"/>
      <c r="O65" s="2"/>
      <c r="P65" s="2"/>
      <c r="Q65" s="2"/>
    </row>
    <row r="66" ht="24.75" customHeight="1">
      <c r="A66" s="44">
        <v>50.0</v>
      </c>
      <c r="B66" s="46" t="s">
        <v>149</v>
      </c>
      <c r="C66" s="46" t="s">
        <v>150</v>
      </c>
      <c r="D66" s="45" t="s">
        <v>151</v>
      </c>
      <c r="E66" s="48">
        <v>8.0</v>
      </c>
      <c r="F66" s="48">
        <v>1.0</v>
      </c>
      <c r="G66" s="48">
        <v>1.0</v>
      </c>
      <c r="H66" s="49">
        <f t="shared" si="1"/>
        <v>10</v>
      </c>
      <c r="I66" s="50">
        <v>0.0</v>
      </c>
      <c r="J66" s="51">
        <f t="shared" si="2"/>
        <v>10</v>
      </c>
      <c r="K66" s="44"/>
      <c r="L66" s="46">
        <f t="shared" si="3"/>
        <v>10</v>
      </c>
      <c r="M66" s="1"/>
      <c r="N66" s="1"/>
      <c r="O66" s="2"/>
      <c r="P66" s="2"/>
      <c r="Q66" s="2"/>
    </row>
    <row r="67" ht="24.75" customHeight="1">
      <c r="A67" s="44">
        <v>51.0</v>
      </c>
      <c r="B67" s="46" t="s">
        <v>152</v>
      </c>
      <c r="C67" s="46" t="s">
        <v>153</v>
      </c>
      <c r="D67" s="45" t="s">
        <v>110</v>
      </c>
      <c r="E67" s="48">
        <v>5.0</v>
      </c>
      <c r="F67" s="48">
        <v>2.0</v>
      </c>
      <c r="G67" s="49"/>
      <c r="H67" s="49">
        <f t="shared" si="1"/>
        <v>7</v>
      </c>
      <c r="I67" s="50">
        <v>6.0</v>
      </c>
      <c r="J67" s="51">
        <f t="shared" si="2"/>
        <v>7</v>
      </c>
      <c r="K67" s="44"/>
      <c r="L67" s="46">
        <f t="shared" si="3"/>
        <v>7</v>
      </c>
      <c r="M67" s="1"/>
      <c r="N67" s="1"/>
      <c r="O67" s="2"/>
      <c r="P67" s="2"/>
      <c r="Q67" s="2"/>
    </row>
    <row r="68" ht="24.75" customHeight="1">
      <c r="A68" s="44">
        <v>52.0</v>
      </c>
      <c r="B68" s="46" t="s">
        <v>154</v>
      </c>
      <c r="C68" s="46" t="s">
        <v>62</v>
      </c>
      <c r="D68" s="55" t="s">
        <v>155</v>
      </c>
      <c r="E68" s="48">
        <v>7.0</v>
      </c>
      <c r="F68" s="48">
        <v>2.0</v>
      </c>
      <c r="G68" s="49"/>
      <c r="H68" s="49">
        <f t="shared" si="1"/>
        <v>9</v>
      </c>
      <c r="I68" s="50">
        <v>0.0</v>
      </c>
      <c r="J68" s="51">
        <f t="shared" si="2"/>
        <v>9</v>
      </c>
      <c r="K68" s="44"/>
      <c r="L68" s="46">
        <f t="shared" si="3"/>
        <v>9</v>
      </c>
      <c r="M68" s="1"/>
      <c r="N68" s="1"/>
      <c r="O68" s="2"/>
      <c r="P68" s="2"/>
      <c r="Q68" s="2"/>
    </row>
    <row r="69" ht="24.75" customHeight="1">
      <c r="A69" s="44">
        <v>53.0</v>
      </c>
      <c r="B69" s="46" t="s">
        <v>156</v>
      </c>
      <c r="C69" s="46" t="s">
        <v>157</v>
      </c>
      <c r="D69" s="55" t="s">
        <v>158</v>
      </c>
      <c r="E69" s="48">
        <v>4.0</v>
      </c>
      <c r="F69" s="48">
        <v>1.0</v>
      </c>
      <c r="G69" s="49"/>
      <c r="H69" s="49">
        <f t="shared" si="1"/>
        <v>5</v>
      </c>
      <c r="I69" s="50">
        <v>0.0</v>
      </c>
      <c r="J69" s="51">
        <f t="shared" si="2"/>
        <v>5</v>
      </c>
      <c r="K69" s="44"/>
      <c r="L69" s="46">
        <f t="shared" si="3"/>
        <v>5</v>
      </c>
      <c r="M69" s="1"/>
      <c r="N69" s="1"/>
      <c r="O69" s="2"/>
      <c r="P69" s="2"/>
      <c r="Q69" s="2"/>
    </row>
    <row r="70" ht="24.75" customHeight="1">
      <c r="A70" s="44">
        <v>54.0</v>
      </c>
      <c r="B70" s="46" t="s">
        <v>76</v>
      </c>
      <c r="C70" s="46" t="s">
        <v>22</v>
      </c>
      <c r="D70" s="45" t="s">
        <v>159</v>
      </c>
      <c r="E70" s="48">
        <v>6.0</v>
      </c>
      <c r="F70" s="48">
        <v>2.0</v>
      </c>
      <c r="G70" s="49"/>
      <c r="H70" s="49">
        <f t="shared" si="1"/>
        <v>8</v>
      </c>
      <c r="I70" s="50">
        <v>0.0</v>
      </c>
      <c r="J70" s="51">
        <f t="shared" si="2"/>
        <v>8</v>
      </c>
      <c r="K70" s="44"/>
      <c r="L70" s="56"/>
      <c r="M70" s="1"/>
      <c r="N70" s="1"/>
      <c r="O70" s="2"/>
      <c r="P70" s="2"/>
      <c r="Q70" s="2"/>
    </row>
    <row r="71" ht="24.75" customHeight="1">
      <c r="A71" s="44">
        <v>55.0</v>
      </c>
      <c r="B71" s="46" t="s">
        <v>76</v>
      </c>
      <c r="C71" s="46" t="s">
        <v>160</v>
      </c>
      <c r="D71" s="45" t="s">
        <v>161</v>
      </c>
      <c r="E71" s="48">
        <v>8.0</v>
      </c>
      <c r="F71" s="48">
        <v>1.0</v>
      </c>
      <c r="G71" s="49"/>
      <c r="H71" s="49">
        <f t="shared" si="1"/>
        <v>9</v>
      </c>
      <c r="I71" s="50">
        <v>2.0</v>
      </c>
      <c r="J71" s="51">
        <f t="shared" si="2"/>
        <v>9</v>
      </c>
      <c r="K71" s="44"/>
      <c r="L71" s="56"/>
      <c r="M71" s="1"/>
      <c r="N71" s="1"/>
      <c r="O71" s="2"/>
      <c r="P71" s="2"/>
      <c r="Q71" s="2"/>
    </row>
    <row r="72" ht="21.75" customHeight="1">
      <c r="A72" s="57"/>
      <c r="B72" s="11"/>
      <c r="C72" s="11"/>
      <c r="D72" s="58"/>
      <c r="E72" s="1"/>
      <c r="F72" s="59"/>
      <c r="G72" s="1"/>
      <c r="H72" s="59"/>
      <c r="I72" s="59"/>
      <c r="J72" s="56"/>
      <c r="K72" s="7"/>
      <c r="L72" s="1"/>
      <c r="M72" s="1"/>
      <c r="N72" s="1"/>
      <c r="O72" s="2"/>
      <c r="P72" s="2"/>
      <c r="Q72" s="2"/>
    </row>
    <row r="73" ht="21.75" customHeight="1">
      <c r="A73" s="60"/>
      <c r="B73" s="61" t="s">
        <v>162</v>
      </c>
      <c r="C73" s="62"/>
      <c r="D73" s="63">
        <f>COUNT(A17:A71)</f>
        <v>55</v>
      </c>
      <c r="E73" s="1"/>
      <c r="F73" s="64" t="s">
        <v>163</v>
      </c>
      <c r="G73" s="1"/>
      <c r="H73" s="64" t="s">
        <v>164</v>
      </c>
      <c r="J73" s="65" t="s">
        <v>165</v>
      </c>
      <c r="K73" s="66" t="s">
        <v>166</v>
      </c>
      <c r="L73" s="1"/>
      <c r="M73" s="1"/>
      <c r="N73" s="1"/>
      <c r="O73" s="2"/>
      <c r="P73" s="2"/>
      <c r="Q73" s="2"/>
    </row>
    <row r="74" ht="21.75" customHeight="1">
      <c r="A74" s="60"/>
      <c r="B74" s="67" t="s">
        <v>167</v>
      </c>
      <c r="C74" s="68"/>
      <c r="D74" s="69">
        <f>COUNTIF(J17:J71,"BAJA")</f>
        <v>0</v>
      </c>
      <c r="E74" s="1"/>
      <c r="G74" s="1"/>
      <c r="K74" s="9"/>
      <c r="L74" s="1"/>
      <c r="M74" s="1"/>
      <c r="N74" s="1"/>
      <c r="O74" s="2"/>
      <c r="P74" s="2"/>
      <c r="Q74" s="2"/>
    </row>
    <row r="75" ht="21.75" customHeight="1">
      <c r="A75" s="60"/>
      <c r="B75" s="67" t="s">
        <v>168</v>
      </c>
      <c r="C75" s="68"/>
      <c r="D75" s="70">
        <f>D73-D74</f>
        <v>55</v>
      </c>
      <c r="E75" s="1"/>
      <c r="F75" s="1"/>
      <c r="G75" s="1"/>
      <c r="H75" s="1"/>
      <c r="I75" s="1"/>
      <c r="J75" s="1"/>
      <c r="K75" s="7"/>
      <c r="L75" s="1"/>
      <c r="M75" s="1"/>
      <c r="N75" s="1"/>
      <c r="O75" s="2"/>
      <c r="P75" s="2"/>
      <c r="Q75" s="2"/>
    </row>
    <row r="76" ht="21.75" customHeight="1">
      <c r="A76" s="60"/>
      <c r="B76" s="67" t="s">
        <v>169</v>
      </c>
      <c r="C76" s="68"/>
      <c r="D76" s="70">
        <f>COUNTIF(J17:J71,"&gt;=6")</f>
        <v>49</v>
      </c>
      <c r="E76" s="1"/>
      <c r="F76" s="1"/>
      <c r="G76" s="1"/>
      <c r="H76" s="1"/>
      <c r="I76" s="1"/>
      <c r="J76" s="1"/>
      <c r="K76" s="7"/>
      <c r="L76" s="1"/>
      <c r="M76" s="1"/>
      <c r="N76" s="1"/>
      <c r="O76" s="2"/>
      <c r="P76" s="2"/>
      <c r="Q76" s="2"/>
    </row>
    <row r="77" ht="27.75" customHeight="1">
      <c r="A77" s="60"/>
      <c r="B77" s="67" t="s">
        <v>170</v>
      </c>
      <c r="C77" s="68"/>
      <c r="D77" s="70">
        <f>D75-D76</f>
        <v>6</v>
      </c>
      <c r="E77" s="1"/>
      <c r="F77" s="71"/>
      <c r="G77" s="1"/>
      <c r="H77" s="71"/>
      <c r="I77" s="71"/>
      <c r="J77" s="71"/>
      <c r="K77" s="72"/>
      <c r="L77" s="1"/>
      <c r="M77" s="1"/>
      <c r="N77" s="1"/>
      <c r="O77" s="2"/>
      <c r="P77" s="2"/>
      <c r="Q77" s="2"/>
    </row>
    <row r="78" ht="36.0" customHeight="1">
      <c r="A78" s="60"/>
      <c r="B78" s="73" t="s">
        <v>171</v>
      </c>
      <c r="C78" s="68"/>
      <c r="D78" s="74">
        <f>D76*100/D75</f>
        <v>89.09090909</v>
      </c>
      <c r="E78" s="1"/>
      <c r="F78" s="75" t="s">
        <v>172</v>
      </c>
      <c r="G78" s="1"/>
      <c r="H78" s="76" t="s">
        <v>173</v>
      </c>
      <c r="J78" s="77" t="s">
        <v>174</v>
      </c>
      <c r="K78" s="78" t="s">
        <v>175</v>
      </c>
      <c r="L78" s="1"/>
      <c r="M78" s="1"/>
      <c r="N78" s="1"/>
      <c r="O78" s="2"/>
      <c r="P78" s="2"/>
      <c r="Q78" s="2"/>
    </row>
    <row r="79" ht="13.5" customHeight="1">
      <c r="A79" s="1"/>
      <c r="B79" s="79" t="s">
        <v>176</v>
      </c>
      <c r="C79" s="80"/>
      <c r="D79" s="81">
        <f>AVERAGE(J17:J71)</f>
        <v>8.090909091</v>
      </c>
      <c r="E79" s="1"/>
      <c r="G79" s="1"/>
      <c r="K79" s="9"/>
      <c r="L79" s="1"/>
      <c r="M79" s="1"/>
      <c r="N79" s="1"/>
      <c r="O79" s="2"/>
      <c r="P79" s="2"/>
      <c r="Q79" s="2"/>
    </row>
    <row r="80" ht="13.5" customHeight="1">
      <c r="A80" s="82"/>
      <c r="B80" s="2"/>
      <c r="C80" s="2"/>
      <c r="D80" s="2"/>
      <c r="E80" s="2"/>
      <c r="F80" s="2"/>
      <c r="G80" s="2"/>
      <c r="H80" s="2"/>
      <c r="I80" s="2"/>
      <c r="J80" s="2"/>
      <c r="K80" s="83"/>
      <c r="L80" s="2"/>
      <c r="M80" s="2"/>
      <c r="N80" s="2"/>
      <c r="O80" s="2"/>
      <c r="P80" s="2"/>
      <c r="Q80" s="2"/>
    </row>
    <row r="81" ht="13.5" customHeight="1">
      <c r="A81" s="84"/>
      <c r="B81" s="85"/>
      <c r="C81" s="86"/>
      <c r="D81" s="86"/>
      <c r="E81" s="87"/>
      <c r="G81" s="87"/>
      <c r="H81" s="87"/>
      <c r="I81" s="87"/>
      <c r="J81" s="87"/>
      <c r="K81" s="88"/>
      <c r="L81" s="87"/>
      <c r="M81" s="2"/>
      <c r="N81" s="2"/>
      <c r="O81" s="2"/>
      <c r="P81" s="2"/>
      <c r="Q81" s="2"/>
    </row>
    <row r="82" ht="13.5" customHeight="1">
      <c r="A82" s="89"/>
      <c r="B82" s="87"/>
      <c r="C82" s="87"/>
      <c r="D82" s="87"/>
      <c r="E82" s="87"/>
      <c r="F82" s="2"/>
      <c r="G82" s="2"/>
      <c r="H82" s="2"/>
      <c r="I82" s="2"/>
      <c r="J82" s="2"/>
      <c r="K82" s="90"/>
      <c r="L82" s="2"/>
      <c r="M82" s="2"/>
      <c r="N82" s="2"/>
      <c r="O82" s="2"/>
      <c r="P82" s="2"/>
      <c r="Q82" s="2"/>
    </row>
    <row r="83" ht="13.5" customHeight="1">
      <c r="A83" s="89"/>
      <c r="B83" s="87"/>
      <c r="C83" s="87"/>
      <c r="D83" s="87"/>
      <c r="E83" s="87"/>
      <c r="F83" s="2"/>
      <c r="G83" s="2"/>
      <c r="H83" s="2"/>
      <c r="I83" s="2"/>
      <c r="J83" s="2"/>
      <c r="K83" s="83"/>
      <c r="L83" s="2"/>
      <c r="M83" s="2"/>
      <c r="N83" s="2"/>
      <c r="O83" s="2"/>
      <c r="P83" s="2"/>
      <c r="Q83" s="2"/>
    </row>
    <row r="84" ht="14.25" customHeight="1">
      <c r="A84" s="91"/>
      <c r="B84" s="92"/>
      <c r="C84" s="92"/>
      <c r="D84" s="92"/>
      <c r="E84" s="92"/>
      <c r="F84" s="93"/>
      <c r="G84" s="93"/>
      <c r="H84" s="93"/>
      <c r="I84" s="93"/>
      <c r="J84" s="93"/>
      <c r="K84" s="94"/>
      <c r="L84" s="2"/>
      <c r="M84" s="2"/>
      <c r="N84" s="2"/>
      <c r="O84" s="2"/>
      <c r="P84" s="2"/>
      <c r="Q84" s="2"/>
    </row>
    <row r="85" ht="14.25" customHeight="1">
      <c r="A85" s="2"/>
      <c r="B85" s="87"/>
      <c r="C85" s="87"/>
      <c r="D85" s="87"/>
      <c r="E85" s="87"/>
      <c r="F85" s="2"/>
      <c r="G85" s="2"/>
      <c r="H85" s="2"/>
      <c r="I85" s="2"/>
      <c r="J85" s="95"/>
      <c r="K85" s="95"/>
      <c r="L85" s="95"/>
      <c r="M85" s="2"/>
      <c r="N85" s="2"/>
      <c r="O85" s="2"/>
      <c r="P85" s="2"/>
      <c r="Q85" s="2"/>
    </row>
    <row r="86" ht="14.25" customHeight="1">
      <c r="A86" s="2"/>
      <c r="B86" s="87"/>
      <c r="C86" s="87"/>
      <c r="D86" s="87"/>
      <c r="E86" s="87"/>
      <c r="F86" s="2"/>
      <c r="G86" s="2"/>
      <c r="H86" s="2"/>
      <c r="I86" s="2"/>
      <c r="J86" s="95"/>
      <c r="K86" s="95"/>
      <c r="L86" s="95"/>
      <c r="M86" s="2"/>
      <c r="N86" s="2"/>
      <c r="O86" s="2"/>
      <c r="P86" s="2"/>
      <c r="Q86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73:F74"/>
    <mergeCell ref="H73:I74"/>
    <mergeCell ref="J73:J74"/>
    <mergeCell ref="K73:K74"/>
    <mergeCell ref="H78:I79"/>
    <mergeCell ref="J78:J79"/>
    <mergeCell ref="K78:K79"/>
    <mergeCell ref="F78:F79"/>
    <mergeCell ref="E81:F81"/>
    <mergeCell ref="B73:C73"/>
    <mergeCell ref="B74:C74"/>
    <mergeCell ref="B75:C75"/>
    <mergeCell ref="B76:C76"/>
    <mergeCell ref="B77:C77"/>
    <mergeCell ref="B78:C78"/>
    <mergeCell ref="B79:C79"/>
  </mergeCells>
  <conditionalFormatting sqref="J17:J71">
    <cfRule type="cellIs" dxfId="0" priority="1" stopIfTrue="1" operator="equal">
      <formula>5</formula>
    </cfRule>
  </conditionalFormatting>
  <conditionalFormatting sqref="E17:G71">
    <cfRule type="expression" dxfId="1" priority="2" stopIfTrue="1">
      <formula>TRUE</formula>
    </cfRule>
  </conditionalFormatting>
  <conditionalFormatting sqref="J17:J71">
    <cfRule type="cellIs" dxfId="1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177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96" t="s">
        <v>178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179</v>
      </c>
      <c r="C15" s="33" t="s">
        <v>14</v>
      </c>
      <c r="D15" s="33">
        <v>2.0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5" t="s">
        <v>180</v>
      </c>
      <c r="C17" s="45" t="s">
        <v>181</v>
      </c>
      <c r="D17" s="47" t="s">
        <v>182</v>
      </c>
      <c r="E17" s="48">
        <v>7.0</v>
      </c>
      <c r="F17" s="48">
        <v>2.0</v>
      </c>
      <c r="G17" s="49"/>
      <c r="H17" s="49">
        <f t="shared" ref="H17:H56" si="1">SUM(E17:G17)</f>
        <v>9</v>
      </c>
      <c r="I17" s="50">
        <v>0.0</v>
      </c>
      <c r="J17" s="51">
        <f t="shared" ref="J17:J56" si="2">IF(H17&lt;6, 5, MIN(10, ROUND(H17, 0)))</f>
        <v>9</v>
      </c>
      <c r="K17" s="46"/>
      <c r="L17" s="52">
        <f t="shared" ref="L17:L56" si="3">IF(H17&gt;=6,ROUND(H17,0),TRUNC(H17,0))</f>
        <v>9</v>
      </c>
      <c r="M17" s="53" t="s">
        <v>24</v>
      </c>
      <c r="N17" s="24"/>
      <c r="O17" s="2"/>
      <c r="P17" s="2"/>
      <c r="Q17" s="2"/>
    </row>
    <row r="18" ht="24.75" customHeight="1">
      <c r="A18" s="44">
        <v>2.0</v>
      </c>
      <c r="B18" s="45" t="s">
        <v>183</v>
      </c>
      <c r="C18" s="45" t="s">
        <v>50</v>
      </c>
      <c r="D18" s="47" t="s">
        <v>184</v>
      </c>
      <c r="E18" s="48">
        <v>4.0</v>
      </c>
      <c r="F18" s="48">
        <v>2.0</v>
      </c>
      <c r="G18" s="49"/>
      <c r="H18" s="49">
        <f t="shared" si="1"/>
        <v>6</v>
      </c>
      <c r="I18" s="50">
        <v>4.0</v>
      </c>
      <c r="J18" s="51">
        <f t="shared" si="2"/>
        <v>6</v>
      </c>
      <c r="K18" s="44"/>
      <c r="L18" s="52">
        <f t="shared" si="3"/>
        <v>6</v>
      </c>
      <c r="M18" s="54" t="s">
        <v>28</v>
      </c>
      <c r="N18" s="50">
        <v>9.0</v>
      </c>
      <c r="O18" s="2"/>
      <c r="P18" s="2"/>
      <c r="Q18" s="2"/>
    </row>
    <row r="19" ht="24.75" customHeight="1">
      <c r="A19" s="44">
        <v>3.0</v>
      </c>
      <c r="B19" s="45" t="s">
        <v>185</v>
      </c>
      <c r="C19" s="45" t="s">
        <v>186</v>
      </c>
      <c r="D19" s="47" t="s">
        <v>187</v>
      </c>
      <c r="E19" s="48">
        <v>8.0</v>
      </c>
      <c r="F19" s="48">
        <v>1.0</v>
      </c>
      <c r="G19" s="49"/>
      <c r="H19" s="49">
        <f t="shared" si="1"/>
        <v>9</v>
      </c>
      <c r="I19" s="50">
        <v>0.0</v>
      </c>
      <c r="J19" s="51">
        <f t="shared" si="2"/>
        <v>9</v>
      </c>
      <c r="K19" s="44"/>
      <c r="L19" s="52">
        <f t="shared" si="3"/>
        <v>9</v>
      </c>
      <c r="M19" s="54" t="s">
        <v>32</v>
      </c>
      <c r="N19" s="50">
        <v>12.0</v>
      </c>
      <c r="O19" s="2"/>
      <c r="P19" s="2"/>
      <c r="Q19" s="2"/>
    </row>
    <row r="20" ht="24.75" customHeight="1">
      <c r="A20" s="44">
        <v>4.0</v>
      </c>
      <c r="B20" s="45" t="s">
        <v>188</v>
      </c>
      <c r="C20" s="45" t="s">
        <v>82</v>
      </c>
      <c r="D20" s="47" t="s">
        <v>189</v>
      </c>
      <c r="E20" s="48">
        <v>5.0</v>
      </c>
      <c r="F20" s="48">
        <v>1.0</v>
      </c>
      <c r="G20" s="48">
        <v>1.0</v>
      </c>
      <c r="H20" s="49">
        <f t="shared" si="1"/>
        <v>7</v>
      </c>
      <c r="I20" s="50">
        <v>1.0</v>
      </c>
      <c r="J20" s="51">
        <f t="shared" si="2"/>
        <v>7</v>
      </c>
      <c r="K20" s="44"/>
      <c r="L20" s="52">
        <f t="shared" si="3"/>
        <v>7</v>
      </c>
      <c r="M20" s="54" t="s">
        <v>36</v>
      </c>
      <c r="N20" s="50">
        <v>9.0</v>
      </c>
      <c r="O20" s="2"/>
      <c r="P20" s="2"/>
      <c r="Q20" s="2"/>
    </row>
    <row r="21" ht="24.75" customHeight="1">
      <c r="A21" s="44">
        <v>5.0</v>
      </c>
      <c r="B21" s="45" t="s">
        <v>190</v>
      </c>
      <c r="C21" s="45" t="s">
        <v>191</v>
      </c>
      <c r="D21" s="47" t="s">
        <v>192</v>
      </c>
      <c r="E21" s="48">
        <v>8.0</v>
      </c>
      <c r="F21" s="48">
        <v>1.0</v>
      </c>
      <c r="G21" s="49"/>
      <c r="H21" s="49">
        <f t="shared" si="1"/>
        <v>9</v>
      </c>
      <c r="I21" s="50">
        <v>6.0</v>
      </c>
      <c r="J21" s="51">
        <f t="shared" si="2"/>
        <v>9</v>
      </c>
      <c r="K21" s="44"/>
      <c r="L21" s="52">
        <f t="shared" si="3"/>
        <v>9</v>
      </c>
      <c r="M21" s="54" t="s">
        <v>40</v>
      </c>
      <c r="N21" s="50">
        <v>12.0</v>
      </c>
      <c r="O21" s="2"/>
      <c r="P21" s="2"/>
      <c r="Q21" s="2"/>
    </row>
    <row r="22" ht="24.75" customHeight="1">
      <c r="A22" s="44">
        <v>6.0</v>
      </c>
      <c r="B22" s="45" t="s">
        <v>53</v>
      </c>
      <c r="C22" s="45" t="s">
        <v>22</v>
      </c>
      <c r="D22" s="47" t="s">
        <v>193</v>
      </c>
      <c r="E22" s="48">
        <v>4.0</v>
      </c>
      <c r="F22" s="48">
        <v>1.0</v>
      </c>
      <c r="G22" s="49"/>
      <c r="H22" s="49">
        <f t="shared" si="1"/>
        <v>5</v>
      </c>
      <c r="I22" s="50">
        <v>4.0</v>
      </c>
      <c r="J22" s="51">
        <f t="shared" si="2"/>
        <v>5</v>
      </c>
      <c r="K22" s="44"/>
      <c r="L22" s="52">
        <f t="shared" si="3"/>
        <v>5</v>
      </c>
      <c r="M22" s="54" t="s">
        <v>44</v>
      </c>
      <c r="N22" s="50">
        <v>12.0</v>
      </c>
      <c r="O22" s="2"/>
      <c r="P22" s="2"/>
      <c r="Q22" s="2"/>
    </row>
    <row r="23" ht="24.75" customHeight="1">
      <c r="A23" s="44">
        <v>7.0</v>
      </c>
      <c r="B23" s="45" t="s">
        <v>194</v>
      </c>
      <c r="C23" s="45" t="s">
        <v>195</v>
      </c>
      <c r="D23" s="47" t="s">
        <v>196</v>
      </c>
      <c r="E23" s="48">
        <v>8.0</v>
      </c>
      <c r="F23" s="48">
        <v>2.0</v>
      </c>
      <c r="G23" s="49"/>
      <c r="H23" s="49">
        <f t="shared" si="1"/>
        <v>10</v>
      </c>
      <c r="I23" s="50">
        <v>1.0</v>
      </c>
      <c r="J23" s="51">
        <f t="shared" si="2"/>
        <v>10</v>
      </c>
      <c r="K23" s="44"/>
      <c r="L23" s="52">
        <f t="shared" si="3"/>
        <v>10</v>
      </c>
      <c r="M23" s="54" t="s">
        <v>48</v>
      </c>
      <c r="N23" s="50">
        <v>6.0</v>
      </c>
      <c r="O23" s="2"/>
      <c r="P23" s="2"/>
      <c r="Q23" s="2"/>
    </row>
    <row r="24" ht="24.75" customHeight="1">
      <c r="A24" s="44">
        <v>8.0</v>
      </c>
      <c r="B24" s="45" t="s">
        <v>197</v>
      </c>
      <c r="C24" s="45" t="s">
        <v>138</v>
      </c>
      <c r="D24" s="47" t="s">
        <v>198</v>
      </c>
      <c r="E24" s="48">
        <v>8.0</v>
      </c>
      <c r="F24" s="48">
        <v>1.0</v>
      </c>
      <c r="G24" s="48">
        <v>1.0</v>
      </c>
      <c r="H24" s="49">
        <f t="shared" si="1"/>
        <v>10</v>
      </c>
      <c r="I24" s="50">
        <v>1.0</v>
      </c>
      <c r="J24" s="51">
        <f t="shared" si="2"/>
        <v>10</v>
      </c>
      <c r="K24" s="44"/>
      <c r="L24" s="52">
        <f t="shared" si="3"/>
        <v>10</v>
      </c>
      <c r="M24" s="54" t="s">
        <v>52</v>
      </c>
      <c r="N24" s="54">
        <f>SUM(N18:N23)</f>
        <v>60</v>
      </c>
      <c r="O24" s="2"/>
      <c r="P24" s="2"/>
      <c r="Q24" s="2"/>
    </row>
    <row r="25" ht="24.75" customHeight="1">
      <c r="A25" s="44">
        <v>9.0</v>
      </c>
      <c r="B25" s="45" t="s">
        <v>199</v>
      </c>
      <c r="C25" s="45" t="s">
        <v>200</v>
      </c>
      <c r="D25" s="47" t="s">
        <v>201</v>
      </c>
      <c r="E25" s="48">
        <v>8.0</v>
      </c>
      <c r="F25" s="48">
        <v>1.0</v>
      </c>
      <c r="G25" s="48">
        <v>1.0</v>
      </c>
      <c r="H25" s="49">
        <f t="shared" si="1"/>
        <v>10</v>
      </c>
      <c r="I25" s="50">
        <v>0.0</v>
      </c>
      <c r="J25" s="51">
        <f t="shared" si="2"/>
        <v>10</v>
      </c>
      <c r="K25" s="44"/>
      <c r="L25" s="52">
        <f t="shared" si="3"/>
        <v>10</v>
      </c>
      <c r="M25" s="1"/>
      <c r="N25" s="1"/>
      <c r="O25" s="2"/>
      <c r="P25" s="2"/>
      <c r="Q25" s="2"/>
    </row>
    <row r="26" ht="24.75" customHeight="1">
      <c r="A26" s="44">
        <v>10.0</v>
      </c>
      <c r="B26" s="45" t="s">
        <v>202</v>
      </c>
      <c r="C26" s="45" t="s">
        <v>203</v>
      </c>
      <c r="D26" s="47" t="s">
        <v>204</v>
      </c>
      <c r="E26" s="48">
        <v>8.0</v>
      </c>
      <c r="F26" s="48">
        <v>2.0</v>
      </c>
      <c r="G26" s="49"/>
      <c r="H26" s="49">
        <f t="shared" si="1"/>
        <v>10</v>
      </c>
      <c r="I26" s="50">
        <v>0.0</v>
      </c>
      <c r="J26" s="51">
        <f t="shared" si="2"/>
        <v>10</v>
      </c>
      <c r="K26" s="44"/>
      <c r="L26" s="52">
        <f t="shared" si="3"/>
        <v>10</v>
      </c>
      <c r="M26" s="1"/>
      <c r="N26" s="1"/>
      <c r="O26" s="2"/>
      <c r="P26" s="2"/>
      <c r="Q26" s="2"/>
    </row>
    <row r="27" ht="24.75" customHeight="1">
      <c r="A27" s="44">
        <v>11.0</v>
      </c>
      <c r="B27" s="45" t="s">
        <v>205</v>
      </c>
      <c r="C27" s="45" t="s">
        <v>206</v>
      </c>
      <c r="D27" s="45" t="s">
        <v>207</v>
      </c>
      <c r="E27" s="48">
        <v>8.0</v>
      </c>
      <c r="F27" s="48">
        <v>2.0</v>
      </c>
      <c r="G27" s="49"/>
      <c r="H27" s="49">
        <f t="shared" si="1"/>
        <v>10</v>
      </c>
      <c r="I27" s="50">
        <v>1.0</v>
      </c>
      <c r="J27" s="51">
        <f t="shared" si="2"/>
        <v>10</v>
      </c>
      <c r="K27" s="44"/>
      <c r="L27" s="52">
        <f t="shared" si="3"/>
        <v>10</v>
      </c>
      <c r="M27" s="1"/>
      <c r="N27" s="1"/>
      <c r="O27" s="2"/>
      <c r="P27" s="2"/>
      <c r="Q27" s="2"/>
    </row>
    <row r="28" ht="24.75" customHeight="1">
      <c r="A28" s="44">
        <v>12.0</v>
      </c>
      <c r="B28" s="45" t="s">
        <v>208</v>
      </c>
      <c r="C28" s="45" t="s">
        <v>209</v>
      </c>
      <c r="D28" s="47" t="s">
        <v>128</v>
      </c>
      <c r="E28" s="48">
        <v>8.0</v>
      </c>
      <c r="F28" s="48">
        <v>1.0</v>
      </c>
      <c r="G28" s="48">
        <v>1.0</v>
      </c>
      <c r="H28" s="49">
        <f t="shared" si="1"/>
        <v>10</v>
      </c>
      <c r="I28" s="50">
        <v>0.0</v>
      </c>
      <c r="J28" s="51">
        <f t="shared" si="2"/>
        <v>10</v>
      </c>
      <c r="K28" s="44"/>
      <c r="L28" s="52">
        <f t="shared" si="3"/>
        <v>10</v>
      </c>
      <c r="M28" s="1"/>
      <c r="N28" s="1"/>
      <c r="O28" s="2"/>
      <c r="P28" s="2"/>
      <c r="Q28" s="2"/>
    </row>
    <row r="29" ht="24.75" customHeight="1">
      <c r="A29" s="44">
        <v>13.0</v>
      </c>
      <c r="B29" s="45" t="s">
        <v>82</v>
      </c>
      <c r="C29" s="45" t="s">
        <v>210</v>
      </c>
      <c r="D29" s="47" t="s">
        <v>211</v>
      </c>
      <c r="E29" s="48">
        <v>8.0</v>
      </c>
      <c r="F29" s="48">
        <v>1.0</v>
      </c>
      <c r="G29" s="49"/>
      <c r="H29" s="49">
        <f t="shared" si="1"/>
        <v>9</v>
      </c>
      <c r="I29" s="50">
        <v>0.0</v>
      </c>
      <c r="J29" s="51">
        <f t="shared" si="2"/>
        <v>9</v>
      </c>
      <c r="K29" s="44"/>
      <c r="L29" s="52">
        <f t="shared" si="3"/>
        <v>9</v>
      </c>
      <c r="M29" s="1"/>
      <c r="N29" s="1"/>
      <c r="O29" s="2"/>
      <c r="P29" s="2"/>
      <c r="Q29" s="2"/>
    </row>
    <row r="30" ht="24.75" customHeight="1">
      <c r="A30" s="44">
        <v>14.0</v>
      </c>
      <c r="B30" s="45" t="s">
        <v>82</v>
      </c>
      <c r="C30" s="45" t="s">
        <v>212</v>
      </c>
      <c r="D30" s="47" t="s">
        <v>213</v>
      </c>
      <c r="E30" s="48">
        <v>8.0</v>
      </c>
      <c r="F30" s="48">
        <v>1.0</v>
      </c>
      <c r="G30" s="49"/>
      <c r="H30" s="49">
        <f t="shared" si="1"/>
        <v>9</v>
      </c>
      <c r="I30" s="50">
        <v>3.0</v>
      </c>
      <c r="J30" s="51">
        <f t="shared" si="2"/>
        <v>9</v>
      </c>
      <c r="K30" s="44"/>
      <c r="L30" s="52">
        <f t="shared" si="3"/>
        <v>9</v>
      </c>
      <c r="M30" s="1"/>
      <c r="N30" s="1"/>
      <c r="O30" s="2"/>
      <c r="P30" s="2"/>
      <c r="Q30" s="2"/>
    </row>
    <row r="31" ht="24.75" customHeight="1">
      <c r="A31" s="44">
        <v>15.0</v>
      </c>
      <c r="B31" s="45" t="s">
        <v>82</v>
      </c>
      <c r="C31" s="45" t="s">
        <v>56</v>
      </c>
      <c r="D31" s="47" t="s">
        <v>214</v>
      </c>
      <c r="E31" s="48">
        <v>5.0</v>
      </c>
      <c r="F31" s="48">
        <v>2.0</v>
      </c>
      <c r="G31" s="49"/>
      <c r="H31" s="49">
        <f t="shared" si="1"/>
        <v>7</v>
      </c>
      <c r="I31" s="50">
        <v>0.0</v>
      </c>
      <c r="J31" s="51">
        <f t="shared" si="2"/>
        <v>7</v>
      </c>
      <c r="K31" s="44"/>
      <c r="L31" s="52">
        <f t="shared" si="3"/>
        <v>7</v>
      </c>
      <c r="M31" s="1"/>
      <c r="N31" s="1"/>
      <c r="O31" s="2"/>
      <c r="P31" s="2"/>
      <c r="Q31" s="2"/>
    </row>
    <row r="32" ht="24.75" customHeight="1">
      <c r="A32" s="44">
        <v>16.0</v>
      </c>
      <c r="B32" s="45" t="s">
        <v>101</v>
      </c>
      <c r="C32" s="45" t="s">
        <v>215</v>
      </c>
      <c r="D32" s="47" t="s">
        <v>216</v>
      </c>
      <c r="E32" s="48">
        <v>5.0</v>
      </c>
      <c r="F32" s="48">
        <v>2.0</v>
      </c>
      <c r="G32" s="49"/>
      <c r="H32" s="49">
        <f t="shared" si="1"/>
        <v>7</v>
      </c>
      <c r="I32" s="50">
        <v>2.0</v>
      </c>
      <c r="J32" s="51">
        <f t="shared" si="2"/>
        <v>7</v>
      </c>
      <c r="K32" s="44"/>
      <c r="L32" s="52">
        <f t="shared" si="3"/>
        <v>7</v>
      </c>
      <c r="M32" s="1"/>
      <c r="N32" s="1"/>
      <c r="O32" s="2"/>
      <c r="P32" s="2"/>
      <c r="Q32" s="2"/>
    </row>
    <row r="33" ht="24.75" customHeight="1">
      <c r="A33" s="44">
        <v>17.0</v>
      </c>
      <c r="B33" s="45" t="s">
        <v>217</v>
      </c>
      <c r="C33" s="45" t="s">
        <v>209</v>
      </c>
      <c r="D33" s="47" t="s">
        <v>218</v>
      </c>
      <c r="E33" s="48">
        <v>8.0</v>
      </c>
      <c r="F33" s="48">
        <v>1.0</v>
      </c>
      <c r="G33" s="49"/>
      <c r="H33" s="49">
        <f t="shared" si="1"/>
        <v>9</v>
      </c>
      <c r="I33" s="50">
        <v>2.0</v>
      </c>
      <c r="J33" s="51">
        <f t="shared" si="2"/>
        <v>9</v>
      </c>
      <c r="K33" s="44"/>
      <c r="L33" s="52">
        <f t="shared" si="3"/>
        <v>9</v>
      </c>
      <c r="M33" s="1"/>
      <c r="N33" s="1"/>
      <c r="O33" s="2"/>
      <c r="P33" s="2"/>
      <c r="Q33" s="2"/>
    </row>
    <row r="34" ht="24.75" customHeight="1">
      <c r="A34" s="44">
        <v>18.0</v>
      </c>
      <c r="B34" s="45" t="s">
        <v>115</v>
      </c>
      <c r="C34" s="45" t="s">
        <v>46</v>
      </c>
      <c r="D34" s="47" t="s">
        <v>219</v>
      </c>
      <c r="E34" s="48">
        <v>5.0</v>
      </c>
      <c r="F34" s="48">
        <v>2.0</v>
      </c>
      <c r="G34" s="49"/>
      <c r="H34" s="49">
        <f t="shared" si="1"/>
        <v>7</v>
      </c>
      <c r="I34" s="50">
        <v>1.0</v>
      </c>
      <c r="J34" s="51">
        <f t="shared" si="2"/>
        <v>7</v>
      </c>
      <c r="K34" s="44"/>
      <c r="L34" s="52">
        <f t="shared" si="3"/>
        <v>7</v>
      </c>
      <c r="M34" s="1"/>
      <c r="N34" s="1"/>
      <c r="O34" s="2"/>
      <c r="P34" s="2"/>
      <c r="Q34" s="2"/>
    </row>
    <row r="35" ht="24.75" customHeight="1">
      <c r="A35" s="44">
        <v>19.0</v>
      </c>
      <c r="B35" s="45" t="s">
        <v>127</v>
      </c>
      <c r="C35" s="45" t="s">
        <v>42</v>
      </c>
      <c r="D35" s="47" t="s">
        <v>213</v>
      </c>
      <c r="E35" s="48">
        <v>4.0</v>
      </c>
      <c r="F35" s="48">
        <v>1.0</v>
      </c>
      <c r="G35" s="49"/>
      <c r="H35" s="49">
        <f t="shared" si="1"/>
        <v>5</v>
      </c>
      <c r="I35" s="50">
        <v>9.0</v>
      </c>
      <c r="J35" s="51">
        <f t="shared" si="2"/>
        <v>5</v>
      </c>
      <c r="K35" s="44"/>
      <c r="L35" s="52">
        <f t="shared" si="3"/>
        <v>5</v>
      </c>
      <c r="M35" s="1"/>
      <c r="N35" s="1"/>
      <c r="O35" s="2"/>
      <c r="P35" s="2"/>
      <c r="Q35" s="2"/>
    </row>
    <row r="36" ht="24.75" customHeight="1">
      <c r="A36" s="44">
        <v>20.0</v>
      </c>
      <c r="B36" s="45" t="s">
        <v>90</v>
      </c>
      <c r="C36" s="45" t="s">
        <v>220</v>
      </c>
      <c r="D36" s="47" t="s">
        <v>221</v>
      </c>
      <c r="E36" s="48">
        <v>8.0</v>
      </c>
      <c r="F36" s="48">
        <v>2.0</v>
      </c>
      <c r="G36" s="49"/>
      <c r="H36" s="49">
        <f t="shared" si="1"/>
        <v>10</v>
      </c>
      <c r="I36" s="50">
        <v>0.0</v>
      </c>
      <c r="J36" s="51">
        <f t="shared" si="2"/>
        <v>10</v>
      </c>
      <c r="K36" s="44"/>
      <c r="L36" s="52">
        <f t="shared" si="3"/>
        <v>10</v>
      </c>
      <c r="M36" s="1"/>
      <c r="N36" s="1"/>
      <c r="O36" s="2"/>
      <c r="P36" s="2"/>
      <c r="Q36" s="2"/>
    </row>
    <row r="37" ht="24.75" customHeight="1">
      <c r="A37" s="44">
        <v>21.0</v>
      </c>
      <c r="B37" s="45" t="s">
        <v>90</v>
      </c>
      <c r="C37" s="45" t="s">
        <v>138</v>
      </c>
      <c r="D37" s="47" t="s">
        <v>222</v>
      </c>
      <c r="E37" s="48">
        <v>8.0</v>
      </c>
      <c r="F37" s="48">
        <v>2.0</v>
      </c>
      <c r="G37" s="49"/>
      <c r="H37" s="49">
        <f t="shared" si="1"/>
        <v>10</v>
      </c>
      <c r="I37" s="50">
        <v>0.0</v>
      </c>
      <c r="J37" s="51">
        <f t="shared" si="2"/>
        <v>10</v>
      </c>
      <c r="K37" s="44"/>
      <c r="L37" s="52">
        <f t="shared" si="3"/>
        <v>10</v>
      </c>
      <c r="M37" s="1"/>
      <c r="N37" s="1"/>
      <c r="O37" s="2"/>
      <c r="P37" s="2"/>
      <c r="Q37" s="2"/>
    </row>
    <row r="38" ht="24.75" customHeight="1">
      <c r="A38" s="44">
        <v>22.0</v>
      </c>
      <c r="B38" s="45" t="s">
        <v>90</v>
      </c>
      <c r="C38" s="45" t="s">
        <v>223</v>
      </c>
      <c r="D38" s="47" t="s">
        <v>224</v>
      </c>
      <c r="E38" s="48">
        <v>8.0</v>
      </c>
      <c r="F38" s="48">
        <v>2.0</v>
      </c>
      <c r="G38" s="49"/>
      <c r="H38" s="49">
        <f t="shared" si="1"/>
        <v>10</v>
      </c>
      <c r="I38" s="50">
        <v>0.0</v>
      </c>
      <c r="J38" s="51">
        <f t="shared" si="2"/>
        <v>10</v>
      </c>
      <c r="K38" s="44"/>
      <c r="L38" s="52">
        <f t="shared" si="3"/>
        <v>10</v>
      </c>
      <c r="M38" s="1"/>
      <c r="N38" s="1"/>
      <c r="O38" s="2"/>
      <c r="P38" s="2"/>
      <c r="Q38" s="2"/>
    </row>
    <row r="39" ht="24.75" customHeight="1">
      <c r="A39" s="44">
        <v>23.0</v>
      </c>
      <c r="B39" s="45" t="s">
        <v>225</v>
      </c>
      <c r="C39" s="45" t="s">
        <v>226</v>
      </c>
      <c r="D39" s="47" t="s">
        <v>227</v>
      </c>
      <c r="E39" s="48">
        <v>8.0</v>
      </c>
      <c r="F39" s="48">
        <v>2.0</v>
      </c>
      <c r="G39" s="49"/>
      <c r="H39" s="49">
        <f t="shared" si="1"/>
        <v>10</v>
      </c>
      <c r="I39" s="50">
        <v>0.0</v>
      </c>
      <c r="J39" s="51">
        <f t="shared" si="2"/>
        <v>10</v>
      </c>
      <c r="K39" s="44"/>
      <c r="L39" s="52">
        <f t="shared" si="3"/>
        <v>10</v>
      </c>
      <c r="M39" s="1"/>
      <c r="N39" s="1"/>
      <c r="O39" s="2"/>
      <c r="P39" s="2"/>
      <c r="Q39" s="2"/>
    </row>
    <row r="40" ht="24.75" customHeight="1">
      <c r="A40" s="44">
        <v>24.0</v>
      </c>
      <c r="B40" s="45" t="s">
        <v>56</v>
      </c>
      <c r="C40" s="45" t="s">
        <v>95</v>
      </c>
      <c r="D40" s="47" t="s">
        <v>228</v>
      </c>
      <c r="E40" s="48">
        <v>4.0</v>
      </c>
      <c r="F40" s="48">
        <v>2.0</v>
      </c>
      <c r="G40" s="49"/>
      <c r="H40" s="49">
        <f t="shared" si="1"/>
        <v>6</v>
      </c>
      <c r="I40" s="50">
        <v>3.0</v>
      </c>
      <c r="J40" s="51">
        <f t="shared" si="2"/>
        <v>6</v>
      </c>
      <c r="K40" s="44"/>
      <c r="L40" s="52">
        <f t="shared" si="3"/>
        <v>6</v>
      </c>
      <c r="M40" s="1"/>
      <c r="N40" s="1"/>
      <c r="O40" s="2"/>
      <c r="P40" s="2"/>
      <c r="Q40" s="2"/>
    </row>
    <row r="41" ht="24.75" customHeight="1">
      <c r="A41" s="44">
        <v>25.0</v>
      </c>
      <c r="B41" s="45" t="s">
        <v>50</v>
      </c>
      <c r="C41" s="45" t="s">
        <v>229</v>
      </c>
      <c r="D41" s="47" t="s">
        <v>128</v>
      </c>
      <c r="E41" s="48">
        <v>8.0</v>
      </c>
      <c r="F41" s="48">
        <v>2.0</v>
      </c>
      <c r="G41" s="49"/>
      <c r="H41" s="49">
        <f t="shared" si="1"/>
        <v>10</v>
      </c>
      <c r="I41" s="50">
        <v>0.0</v>
      </c>
      <c r="J41" s="51">
        <f t="shared" si="2"/>
        <v>10</v>
      </c>
      <c r="K41" s="44"/>
      <c r="L41" s="52">
        <f t="shared" si="3"/>
        <v>10</v>
      </c>
      <c r="M41" s="1"/>
      <c r="N41" s="1"/>
      <c r="O41" s="2"/>
      <c r="P41" s="2"/>
      <c r="Q41" s="2"/>
    </row>
    <row r="42" ht="24.75" customHeight="1">
      <c r="A42" s="44">
        <v>26.0</v>
      </c>
      <c r="B42" s="45" t="s">
        <v>131</v>
      </c>
      <c r="C42" s="45" t="s">
        <v>230</v>
      </c>
      <c r="D42" s="47" t="s">
        <v>231</v>
      </c>
      <c r="E42" s="48">
        <v>8.0</v>
      </c>
      <c r="F42" s="48">
        <v>1.0</v>
      </c>
      <c r="G42" s="49"/>
      <c r="H42" s="49">
        <f t="shared" si="1"/>
        <v>9</v>
      </c>
      <c r="I42" s="50">
        <v>2.0</v>
      </c>
      <c r="J42" s="51">
        <f t="shared" si="2"/>
        <v>9</v>
      </c>
      <c r="K42" s="44"/>
      <c r="L42" s="52">
        <f t="shared" si="3"/>
        <v>9</v>
      </c>
      <c r="M42" s="1"/>
      <c r="N42" s="1"/>
      <c r="O42" s="2"/>
      <c r="P42" s="2"/>
      <c r="Q42" s="2"/>
    </row>
    <row r="43" ht="24.75" customHeight="1">
      <c r="A43" s="44">
        <v>27.0</v>
      </c>
      <c r="B43" s="45" t="s">
        <v>203</v>
      </c>
      <c r="C43" s="45" t="s">
        <v>66</v>
      </c>
      <c r="D43" s="47" t="s">
        <v>232</v>
      </c>
      <c r="E43" s="48">
        <v>8.0</v>
      </c>
      <c r="F43" s="48">
        <v>2.0</v>
      </c>
      <c r="G43" s="49"/>
      <c r="H43" s="49">
        <f t="shared" si="1"/>
        <v>10</v>
      </c>
      <c r="I43" s="50">
        <v>0.0</v>
      </c>
      <c r="J43" s="51">
        <f t="shared" si="2"/>
        <v>10</v>
      </c>
      <c r="K43" s="44"/>
      <c r="L43" s="52">
        <f t="shared" si="3"/>
        <v>10</v>
      </c>
      <c r="M43" s="1"/>
      <c r="N43" s="1"/>
      <c r="O43" s="2"/>
      <c r="P43" s="2"/>
      <c r="Q43" s="2"/>
    </row>
    <row r="44" ht="24.75" customHeight="1">
      <c r="A44" s="44">
        <v>28.0</v>
      </c>
      <c r="B44" s="45" t="s">
        <v>233</v>
      </c>
      <c r="C44" s="45" t="s">
        <v>234</v>
      </c>
      <c r="D44" s="47" t="s">
        <v>235</v>
      </c>
      <c r="E44" s="48">
        <v>5.0</v>
      </c>
      <c r="F44" s="48">
        <v>2.0</v>
      </c>
      <c r="G44" s="49"/>
      <c r="H44" s="49">
        <f t="shared" si="1"/>
        <v>7</v>
      </c>
      <c r="I44" s="50">
        <v>4.0</v>
      </c>
      <c r="J44" s="51">
        <f t="shared" si="2"/>
        <v>7</v>
      </c>
      <c r="K44" s="44"/>
      <c r="L44" s="52">
        <f t="shared" si="3"/>
        <v>7</v>
      </c>
      <c r="M44" s="1"/>
      <c r="N44" s="1"/>
      <c r="O44" s="2"/>
      <c r="P44" s="2"/>
      <c r="Q44" s="2"/>
    </row>
    <row r="45" ht="24.75" customHeight="1">
      <c r="A45" s="44">
        <v>29.0</v>
      </c>
      <c r="B45" s="45" t="s">
        <v>46</v>
      </c>
      <c r="C45" s="45" t="s">
        <v>236</v>
      </c>
      <c r="D45" s="47" t="s">
        <v>237</v>
      </c>
      <c r="E45" s="48">
        <v>8.0</v>
      </c>
      <c r="F45" s="48">
        <v>2.0</v>
      </c>
      <c r="G45" s="49"/>
      <c r="H45" s="49">
        <f t="shared" si="1"/>
        <v>10</v>
      </c>
      <c r="I45" s="50">
        <v>0.0</v>
      </c>
      <c r="J45" s="51">
        <f t="shared" si="2"/>
        <v>10</v>
      </c>
      <c r="K45" s="44"/>
      <c r="L45" s="52">
        <f t="shared" si="3"/>
        <v>10</v>
      </c>
      <c r="M45" s="1"/>
      <c r="N45" s="1"/>
      <c r="O45" s="2"/>
      <c r="P45" s="2"/>
      <c r="Q45" s="2"/>
    </row>
    <row r="46" ht="24.75" customHeight="1">
      <c r="A46" s="44">
        <v>30.0</v>
      </c>
      <c r="B46" s="45" t="s">
        <v>238</v>
      </c>
      <c r="C46" s="45" t="s">
        <v>127</v>
      </c>
      <c r="D46" s="47" t="s">
        <v>239</v>
      </c>
      <c r="E46" s="48">
        <v>8.0</v>
      </c>
      <c r="F46" s="48">
        <v>1.0</v>
      </c>
      <c r="G46" s="48">
        <v>1.0</v>
      </c>
      <c r="H46" s="49">
        <f t="shared" si="1"/>
        <v>10</v>
      </c>
      <c r="I46" s="50">
        <v>0.0</v>
      </c>
      <c r="J46" s="51">
        <f t="shared" si="2"/>
        <v>10</v>
      </c>
      <c r="K46" s="44"/>
      <c r="L46" s="52">
        <f t="shared" si="3"/>
        <v>10</v>
      </c>
      <c r="M46" s="1"/>
      <c r="N46" s="1"/>
      <c r="O46" s="2"/>
      <c r="P46" s="2"/>
      <c r="Q46" s="2"/>
    </row>
    <row r="47" ht="24.75" customHeight="1">
      <c r="A47" s="44">
        <v>31.0</v>
      </c>
      <c r="B47" s="45" t="s">
        <v>132</v>
      </c>
      <c r="C47" s="45" t="s">
        <v>240</v>
      </c>
      <c r="D47" s="47" t="s">
        <v>241</v>
      </c>
      <c r="E47" s="48">
        <v>8.0</v>
      </c>
      <c r="F47" s="48">
        <v>1.0</v>
      </c>
      <c r="G47" s="48">
        <v>1.0</v>
      </c>
      <c r="H47" s="49">
        <f t="shared" si="1"/>
        <v>10</v>
      </c>
      <c r="I47" s="50">
        <v>1.0</v>
      </c>
      <c r="J47" s="51">
        <f t="shared" si="2"/>
        <v>10</v>
      </c>
      <c r="K47" s="44"/>
      <c r="L47" s="52">
        <f t="shared" si="3"/>
        <v>10</v>
      </c>
      <c r="M47" s="1"/>
      <c r="N47" s="1"/>
      <c r="O47" s="2"/>
      <c r="P47" s="2"/>
      <c r="Q47" s="2"/>
    </row>
    <row r="48" ht="24.75" customHeight="1">
      <c r="A48" s="44">
        <v>32.0</v>
      </c>
      <c r="B48" s="45" t="s">
        <v>110</v>
      </c>
      <c r="C48" s="45" t="s">
        <v>46</v>
      </c>
      <c r="D48" s="47" t="s">
        <v>242</v>
      </c>
      <c r="E48" s="48">
        <v>8.0</v>
      </c>
      <c r="F48" s="48">
        <v>1.0</v>
      </c>
      <c r="G48" s="48">
        <v>1.0</v>
      </c>
      <c r="H48" s="49">
        <f t="shared" si="1"/>
        <v>10</v>
      </c>
      <c r="I48" s="50">
        <v>1.0</v>
      </c>
      <c r="J48" s="51">
        <f t="shared" si="2"/>
        <v>10</v>
      </c>
      <c r="K48" s="44"/>
      <c r="L48" s="52">
        <f t="shared" si="3"/>
        <v>10</v>
      </c>
      <c r="M48" s="1"/>
      <c r="N48" s="1"/>
      <c r="O48" s="2"/>
      <c r="P48" s="2"/>
      <c r="Q48" s="2"/>
    </row>
    <row r="49" ht="24.75" customHeight="1">
      <c r="A49" s="44">
        <v>33.0</v>
      </c>
      <c r="B49" s="45" t="s">
        <v>243</v>
      </c>
      <c r="C49" s="45" t="s">
        <v>244</v>
      </c>
      <c r="D49" s="47" t="s">
        <v>245</v>
      </c>
      <c r="E49" s="48">
        <v>5.0</v>
      </c>
      <c r="F49" s="48">
        <v>1.0</v>
      </c>
      <c r="G49" s="48">
        <v>1.0</v>
      </c>
      <c r="H49" s="49">
        <f t="shared" si="1"/>
        <v>7</v>
      </c>
      <c r="I49" s="50">
        <v>0.0</v>
      </c>
      <c r="J49" s="51">
        <f t="shared" si="2"/>
        <v>7</v>
      </c>
      <c r="K49" s="44"/>
      <c r="L49" s="52">
        <f t="shared" si="3"/>
        <v>7</v>
      </c>
      <c r="M49" s="1"/>
      <c r="N49" s="1"/>
      <c r="O49" s="2"/>
      <c r="P49" s="2"/>
      <c r="Q49" s="2"/>
    </row>
    <row r="50" ht="24.75" customHeight="1">
      <c r="A50" s="44">
        <v>34.0</v>
      </c>
      <c r="B50" s="45" t="s">
        <v>246</v>
      </c>
      <c r="C50" s="45" t="s">
        <v>99</v>
      </c>
      <c r="D50" s="47" t="s">
        <v>247</v>
      </c>
      <c r="E50" s="48">
        <v>8.0</v>
      </c>
      <c r="F50" s="48">
        <v>1.0</v>
      </c>
      <c r="G50" s="48">
        <v>1.0</v>
      </c>
      <c r="H50" s="49">
        <f t="shared" si="1"/>
        <v>10</v>
      </c>
      <c r="I50" s="50">
        <v>1.0</v>
      </c>
      <c r="J50" s="51">
        <f t="shared" si="2"/>
        <v>10</v>
      </c>
      <c r="K50" s="44"/>
      <c r="L50" s="52">
        <f t="shared" si="3"/>
        <v>10</v>
      </c>
      <c r="M50" s="1"/>
      <c r="N50" s="1"/>
      <c r="O50" s="2"/>
      <c r="P50" s="2"/>
      <c r="Q50" s="2"/>
    </row>
    <row r="51" ht="24.75" customHeight="1">
      <c r="A51" s="44">
        <v>35.0</v>
      </c>
      <c r="B51" s="45" t="s">
        <v>76</v>
      </c>
      <c r="C51" s="45" t="s">
        <v>248</v>
      </c>
      <c r="D51" s="47" t="s">
        <v>249</v>
      </c>
      <c r="E51" s="48">
        <v>8.0</v>
      </c>
      <c r="F51" s="48">
        <v>1.0</v>
      </c>
      <c r="G51" s="48">
        <v>1.0</v>
      </c>
      <c r="H51" s="49">
        <f t="shared" si="1"/>
        <v>10</v>
      </c>
      <c r="I51" s="50">
        <v>0.0</v>
      </c>
      <c r="J51" s="51">
        <f t="shared" si="2"/>
        <v>10</v>
      </c>
      <c r="K51" s="44"/>
      <c r="L51" s="52">
        <f t="shared" si="3"/>
        <v>10</v>
      </c>
      <c r="M51" s="1"/>
      <c r="N51" s="1"/>
      <c r="O51" s="2"/>
      <c r="P51" s="2"/>
      <c r="Q51" s="2"/>
    </row>
    <row r="52" ht="24.75" customHeight="1">
      <c r="A52" s="44">
        <v>36.0</v>
      </c>
      <c r="B52" s="45" t="s">
        <v>236</v>
      </c>
      <c r="C52" s="45" t="s">
        <v>191</v>
      </c>
      <c r="D52" s="47" t="s">
        <v>250</v>
      </c>
      <c r="E52" s="48">
        <v>8.0</v>
      </c>
      <c r="F52" s="48">
        <v>2.0</v>
      </c>
      <c r="G52" s="49"/>
      <c r="H52" s="49">
        <f t="shared" si="1"/>
        <v>10</v>
      </c>
      <c r="I52" s="50">
        <v>0.0</v>
      </c>
      <c r="J52" s="51">
        <f t="shared" si="2"/>
        <v>10</v>
      </c>
      <c r="K52" s="44"/>
      <c r="L52" s="46">
        <f t="shared" si="3"/>
        <v>10</v>
      </c>
      <c r="M52" s="1"/>
      <c r="N52" s="1"/>
      <c r="O52" s="2"/>
      <c r="P52" s="2"/>
      <c r="Q52" s="2"/>
    </row>
    <row r="53" ht="24.75" customHeight="1">
      <c r="A53" s="44">
        <v>37.0</v>
      </c>
      <c r="B53" s="45" t="s">
        <v>251</v>
      </c>
      <c r="C53" s="45" t="s">
        <v>147</v>
      </c>
      <c r="D53" s="47" t="s">
        <v>252</v>
      </c>
      <c r="E53" s="48">
        <v>5.0</v>
      </c>
      <c r="F53" s="48">
        <v>2.0</v>
      </c>
      <c r="G53" s="49"/>
      <c r="H53" s="49">
        <f t="shared" si="1"/>
        <v>7</v>
      </c>
      <c r="I53" s="50">
        <v>0.0</v>
      </c>
      <c r="J53" s="51">
        <f t="shared" si="2"/>
        <v>7</v>
      </c>
      <c r="K53" s="44"/>
      <c r="L53" s="46">
        <f t="shared" si="3"/>
        <v>7</v>
      </c>
      <c r="M53" s="1"/>
      <c r="N53" s="1"/>
      <c r="O53" s="2"/>
      <c r="P53" s="2"/>
      <c r="Q53" s="2"/>
    </row>
    <row r="54" ht="24.75" customHeight="1">
      <c r="A54" s="44">
        <v>38.0</v>
      </c>
      <c r="B54" s="45" t="s">
        <v>253</v>
      </c>
      <c r="C54" s="45" t="s">
        <v>131</v>
      </c>
      <c r="D54" s="47" t="s">
        <v>254</v>
      </c>
      <c r="E54" s="48">
        <v>7.0</v>
      </c>
      <c r="F54" s="48">
        <v>2.0</v>
      </c>
      <c r="G54" s="49"/>
      <c r="H54" s="49">
        <f t="shared" si="1"/>
        <v>9</v>
      </c>
      <c r="I54" s="50">
        <v>1.0</v>
      </c>
      <c r="J54" s="51">
        <f t="shared" si="2"/>
        <v>9</v>
      </c>
      <c r="K54" s="44"/>
      <c r="L54" s="46">
        <f t="shared" si="3"/>
        <v>9</v>
      </c>
      <c r="M54" s="1"/>
      <c r="N54" s="1"/>
      <c r="O54" s="2"/>
      <c r="P54" s="2"/>
      <c r="Q54" s="2"/>
    </row>
    <row r="55" ht="24.75" customHeight="1">
      <c r="A55" s="44">
        <v>39.0</v>
      </c>
      <c r="B55" s="45" t="s">
        <v>255</v>
      </c>
      <c r="C55" s="45" t="s">
        <v>53</v>
      </c>
      <c r="D55" s="47" t="s">
        <v>256</v>
      </c>
      <c r="E55" s="48">
        <v>7.0</v>
      </c>
      <c r="F55" s="48">
        <v>2.0</v>
      </c>
      <c r="G55" s="49"/>
      <c r="H55" s="49">
        <f t="shared" si="1"/>
        <v>9</v>
      </c>
      <c r="I55" s="50">
        <v>0.0</v>
      </c>
      <c r="J55" s="51">
        <f t="shared" si="2"/>
        <v>9</v>
      </c>
      <c r="K55" s="44"/>
      <c r="L55" s="46">
        <f t="shared" si="3"/>
        <v>9</v>
      </c>
      <c r="M55" s="1"/>
      <c r="N55" s="1"/>
      <c r="O55" s="2"/>
      <c r="P55" s="2"/>
      <c r="Q55" s="2"/>
    </row>
    <row r="56" ht="24.75" customHeight="1">
      <c r="A56" s="44">
        <v>40.0</v>
      </c>
      <c r="B56" s="45" t="s">
        <v>257</v>
      </c>
      <c r="C56" s="45" t="s">
        <v>258</v>
      </c>
      <c r="D56" s="47" t="s">
        <v>259</v>
      </c>
      <c r="E56" s="48">
        <v>8.0</v>
      </c>
      <c r="F56" s="48">
        <v>1.0</v>
      </c>
      <c r="G56" s="48">
        <v>1.0</v>
      </c>
      <c r="H56" s="49">
        <f t="shared" si="1"/>
        <v>10</v>
      </c>
      <c r="I56" s="50">
        <v>0.0</v>
      </c>
      <c r="J56" s="51">
        <f t="shared" si="2"/>
        <v>10</v>
      </c>
      <c r="K56" s="44"/>
      <c r="L56" s="46">
        <f t="shared" si="3"/>
        <v>10</v>
      </c>
      <c r="M56" s="1"/>
      <c r="N56" s="1"/>
      <c r="O56" s="2"/>
      <c r="P56" s="2"/>
      <c r="Q56" s="2"/>
    </row>
    <row r="57" ht="24.75" customHeight="1">
      <c r="A57" s="6"/>
      <c r="B57" s="56"/>
      <c r="C57" s="56"/>
      <c r="D57" s="11"/>
      <c r="E57" s="59"/>
      <c r="F57" s="59"/>
      <c r="G57" s="59"/>
      <c r="H57" s="59"/>
      <c r="I57" s="11"/>
      <c r="J57" s="56"/>
      <c r="K57" s="7"/>
      <c r="L57" s="56"/>
      <c r="M57" s="1"/>
      <c r="N57" s="1"/>
      <c r="O57" s="2"/>
      <c r="P57" s="2"/>
      <c r="Q57" s="2"/>
    </row>
    <row r="58" ht="24.75" customHeight="1">
      <c r="A58" s="1"/>
      <c r="B58" s="97" t="s">
        <v>162</v>
      </c>
      <c r="C58" s="62"/>
      <c r="D58" s="98">
        <f>COUNT(A17:A56)</f>
        <v>40</v>
      </c>
      <c r="E58" s="59"/>
      <c r="F58" s="64" t="s">
        <v>163</v>
      </c>
      <c r="G58" s="59"/>
      <c r="H58" s="64" t="s">
        <v>164</v>
      </c>
      <c r="J58" s="65" t="s">
        <v>165</v>
      </c>
      <c r="K58" s="66" t="s">
        <v>166</v>
      </c>
      <c r="L58" s="56"/>
      <c r="M58" s="1"/>
      <c r="N58" s="1"/>
      <c r="O58" s="2"/>
      <c r="P58" s="2"/>
      <c r="Q58" s="2"/>
    </row>
    <row r="59" ht="24.75" customHeight="1">
      <c r="A59" s="1"/>
      <c r="B59" s="99" t="s">
        <v>167</v>
      </c>
      <c r="C59" s="68"/>
      <c r="D59" s="100">
        <f>COUNTIF(J17:J56,"BAJA")</f>
        <v>0</v>
      </c>
      <c r="E59" s="59"/>
      <c r="G59" s="59"/>
      <c r="K59" s="9"/>
      <c r="L59" s="56"/>
      <c r="M59" s="1"/>
      <c r="N59" s="1"/>
      <c r="O59" s="2"/>
      <c r="P59" s="2"/>
      <c r="Q59" s="2"/>
    </row>
    <row r="60" ht="24.75" customHeight="1">
      <c r="A60" s="1"/>
      <c r="B60" s="99" t="s">
        <v>168</v>
      </c>
      <c r="C60" s="68"/>
      <c r="D60" s="101">
        <f>D58-D59</f>
        <v>40</v>
      </c>
      <c r="E60" s="59"/>
      <c r="F60" s="59"/>
      <c r="G60" s="59"/>
      <c r="H60" s="59"/>
      <c r="I60" s="11"/>
      <c r="J60" s="56"/>
      <c r="K60" s="7"/>
      <c r="L60" s="56"/>
      <c r="M60" s="1"/>
      <c r="N60" s="1"/>
      <c r="O60" s="2"/>
      <c r="P60" s="2"/>
      <c r="Q60" s="2"/>
    </row>
    <row r="61" ht="24.75" customHeight="1">
      <c r="A61" s="1"/>
      <c r="B61" s="99" t="s">
        <v>169</v>
      </c>
      <c r="C61" s="68"/>
      <c r="D61" s="70">
        <f>COUNTIF(J17:J56,"&gt;=6")</f>
        <v>38</v>
      </c>
      <c r="E61" s="59"/>
      <c r="F61" s="59"/>
      <c r="G61" s="59"/>
      <c r="H61" s="59"/>
      <c r="I61" s="11"/>
      <c r="J61" s="56"/>
      <c r="K61" s="7"/>
      <c r="L61" s="56"/>
      <c r="M61" s="1"/>
      <c r="N61" s="1"/>
      <c r="O61" s="2"/>
      <c r="P61" s="2"/>
      <c r="Q61" s="2"/>
    </row>
    <row r="62" ht="24.75" customHeight="1">
      <c r="A62" s="1"/>
      <c r="B62" s="99" t="s">
        <v>170</v>
      </c>
      <c r="C62" s="68"/>
      <c r="D62" s="70">
        <f>D60-D61</f>
        <v>2</v>
      </c>
      <c r="E62" s="59"/>
      <c r="F62" s="102"/>
      <c r="G62" s="59"/>
      <c r="H62" s="102"/>
      <c r="I62" s="71"/>
      <c r="J62" s="103"/>
      <c r="K62" s="104"/>
      <c r="L62" s="56"/>
      <c r="M62" s="1"/>
      <c r="N62" s="1"/>
      <c r="O62" s="2"/>
      <c r="P62" s="2"/>
      <c r="Q62" s="2"/>
    </row>
    <row r="63" ht="36.0" customHeight="1">
      <c r="A63" s="1"/>
      <c r="B63" s="99" t="s">
        <v>171</v>
      </c>
      <c r="C63" s="68"/>
      <c r="D63" s="74">
        <f>D61*100/D60</f>
        <v>95</v>
      </c>
      <c r="E63" s="59"/>
      <c r="F63" s="105" t="s">
        <v>172</v>
      </c>
      <c r="G63" s="59"/>
      <c r="H63" s="106" t="s">
        <v>260</v>
      </c>
      <c r="J63" s="107" t="s">
        <v>174</v>
      </c>
      <c r="K63" s="108" t="s">
        <v>175</v>
      </c>
      <c r="L63" s="56"/>
      <c r="M63" s="1"/>
      <c r="N63" s="1"/>
      <c r="O63" s="2"/>
      <c r="P63" s="2"/>
      <c r="Q63" s="2"/>
    </row>
    <row r="64" ht="24.75" customHeight="1">
      <c r="A64" s="1"/>
      <c r="B64" s="109" t="s">
        <v>176</v>
      </c>
      <c r="C64" s="80"/>
      <c r="D64" s="81">
        <f>AVERAGE(J17:J56)</f>
        <v>8.8</v>
      </c>
      <c r="E64" s="59"/>
      <c r="G64" s="59"/>
      <c r="K64" s="9"/>
      <c r="L64" s="56"/>
      <c r="M64" s="1"/>
      <c r="N64" s="1"/>
      <c r="O64" s="2"/>
      <c r="P64" s="2"/>
      <c r="Q64" s="2"/>
    </row>
    <row r="65" ht="24.75" customHeight="1">
      <c r="A65" s="82"/>
      <c r="B65" s="110"/>
      <c r="C65" s="110"/>
      <c r="D65" s="111"/>
      <c r="E65" s="112"/>
      <c r="F65" s="112"/>
      <c r="G65" s="112"/>
      <c r="H65" s="112"/>
      <c r="I65" s="111"/>
      <c r="J65" s="110"/>
      <c r="K65" s="90"/>
      <c r="L65" s="110"/>
      <c r="M65" s="2"/>
      <c r="N65" s="2"/>
      <c r="O65" s="2"/>
      <c r="P65" s="2"/>
      <c r="Q65" s="2"/>
    </row>
    <row r="66" ht="24.75" customHeight="1">
      <c r="A66" s="84"/>
      <c r="B66" s="113"/>
      <c r="C66" s="114"/>
      <c r="D66" s="114"/>
      <c r="E66" s="115"/>
      <c r="G66" s="115"/>
      <c r="H66" s="115"/>
      <c r="I66" s="115"/>
      <c r="J66" s="116"/>
      <c r="K66" s="88"/>
      <c r="L66" s="116"/>
      <c r="M66" s="2"/>
      <c r="N66" s="2"/>
      <c r="O66" s="2"/>
      <c r="P66" s="2"/>
      <c r="Q66" s="2"/>
    </row>
    <row r="67" ht="24.75" customHeight="1">
      <c r="A67" s="89"/>
      <c r="B67" s="116"/>
      <c r="C67" s="116"/>
      <c r="D67" s="116"/>
      <c r="E67" s="115"/>
      <c r="F67" s="112"/>
      <c r="G67" s="112"/>
      <c r="H67" s="112"/>
      <c r="I67" s="112"/>
      <c r="J67" s="110"/>
      <c r="K67" s="90"/>
      <c r="L67" s="110"/>
      <c r="M67" s="2"/>
      <c r="N67" s="2"/>
      <c r="O67" s="2"/>
      <c r="P67" s="2"/>
      <c r="Q67" s="2"/>
    </row>
    <row r="68" ht="24.75" customHeight="1">
      <c r="A68" s="89"/>
      <c r="B68" s="116"/>
      <c r="C68" s="116"/>
      <c r="D68" s="117"/>
      <c r="E68" s="115"/>
      <c r="F68" s="112"/>
      <c r="G68" s="112"/>
      <c r="H68" s="112"/>
      <c r="I68" s="112"/>
      <c r="J68" s="110"/>
      <c r="K68" s="90"/>
      <c r="L68" s="110"/>
      <c r="M68" s="2"/>
      <c r="N68" s="2"/>
      <c r="O68" s="2"/>
      <c r="P68" s="2"/>
      <c r="Q68" s="2"/>
    </row>
    <row r="69" ht="24.75" customHeight="1">
      <c r="A69" s="91"/>
      <c r="B69" s="118"/>
      <c r="C69" s="118"/>
      <c r="D69" s="119"/>
      <c r="E69" s="120"/>
      <c r="F69" s="121"/>
      <c r="G69" s="121"/>
      <c r="H69" s="121"/>
      <c r="I69" s="121"/>
      <c r="J69" s="122"/>
      <c r="K69" s="123"/>
      <c r="L69" s="110"/>
      <c r="M69" s="2"/>
      <c r="N69" s="2"/>
      <c r="O69" s="2"/>
      <c r="P69" s="2"/>
      <c r="Q69" s="2"/>
    </row>
    <row r="70" ht="24.75" customHeight="1">
      <c r="A70" s="2"/>
      <c r="B70" s="116"/>
      <c r="C70" s="116"/>
      <c r="D70" s="116"/>
      <c r="E70" s="115"/>
      <c r="F70" s="112"/>
      <c r="G70" s="112"/>
      <c r="H70" s="112"/>
      <c r="I70" s="111"/>
      <c r="J70" s="124"/>
      <c r="K70" s="95"/>
      <c r="L70" s="124"/>
      <c r="M70" s="2"/>
      <c r="N70" s="2"/>
      <c r="O70" s="2"/>
      <c r="P70" s="2"/>
      <c r="Q70" s="2"/>
    </row>
    <row r="71" ht="24.75" customHeight="1">
      <c r="A71" s="2"/>
      <c r="B71" s="116"/>
      <c r="C71" s="116"/>
      <c r="D71" s="116"/>
      <c r="E71" s="115"/>
      <c r="F71" s="112"/>
      <c r="G71" s="112"/>
      <c r="H71" s="112"/>
      <c r="I71" s="112"/>
      <c r="J71" s="124"/>
      <c r="K71" s="95"/>
      <c r="L71" s="124"/>
      <c r="M71" s="2"/>
      <c r="N71" s="2"/>
      <c r="O71" s="2"/>
      <c r="P71" s="2"/>
      <c r="Q71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58:F59"/>
    <mergeCell ref="H58:I59"/>
    <mergeCell ref="J58:J59"/>
    <mergeCell ref="K58:K59"/>
    <mergeCell ref="H63:I64"/>
    <mergeCell ref="J63:J64"/>
    <mergeCell ref="K63:K64"/>
    <mergeCell ref="F63:F64"/>
    <mergeCell ref="E66:F66"/>
    <mergeCell ref="B58:C58"/>
    <mergeCell ref="B59:C59"/>
    <mergeCell ref="B60:C60"/>
    <mergeCell ref="B61:C61"/>
    <mergeCell ref="B62:C62"/>
    <mergeCell ref="B63:C63"/>
    <mergeCell ref="B64:C64"/>
  </mergeCells>
  <conditionalFormatting sqref="J17:J56">
    <cfRule type="cellIs" dxfId="1" priority="1" stopIfTrue="1" operator="greaterThanOrEqual">
      <formula>0</formula>
    </cfRule>
  </conditionalFormatting>
  <conditionalFormatting sqref="E17:G56">
    <cfRule type="expression" dxfId="1" priority="2" stopIfTrue="1">
      <formula>TRUE</formula>
    </cfRule>
  </conditionalFormatting>
  <conditionalFormatting sqref="J17:J56">
    <cfRule type="cellIs" dxfId="0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177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96" t="s">
        <v>178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179</v>
      </c>
      <c r="C15" s="33" t="s">
        <v>14</v>
      </c>
      <c r="D15" s="33">
        <v>3.0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5" t="s">
        <v>21</v>
      </c>
      <c r="C17" s="45" t="s">
        <v>261</v>
      </c>
      <c r="D17" s="47" t="s">
        <v>262</v>
      </c>
      <c r="E17" s="48">
        <v>7.0</v>
      </c>
      <c r="F17" s="48">
        <v>2.0</v>
      </c>
      <c r="G17" s="49"/>
      <c r="H17" s="49">
        <f t="shared" ref="H17:H61" si="1">SUM(E17:G17)</f>
        <v>9</v>
      </c>
      <c r="I17" s="50">
        <v>1.0</v>
      </c>
      <c r="J17" s="51">
        <f t="shared" ref="J17:J61" si="2">IF(H17&lt;6, 5, MIN(10, ROUND(H17, 0)))</f>
        <v>9</v>
      </c>
      <c r="K17" s="46"/>
      <c r="L17" s="52">
        <f t="shared" ref="L17:L61" si="3">IF(H17&gt;=6,ROUND(H17,0),TRUNC(H17,0))</f>
        <v>9</v>
      </c>
      <c r="M17" s="53" t="s">
        <v>24</v>
      </c>
      <c r="N17" s="24"/>
      <c r="O17" s="2"/>
      <c r="P17" s="2"/>
      <c r="Q17" s="2"/>
    </row>
    <row r="18" ht="24.75" customHeight="1">
      <c r="A18" s="44">
        <v>2.0</v>
      </c>
      <c r="B18" s="45" t="s">
        <v>263</v>
      </c>
      <c r="C18" s="45" t="s">
        <v>90</v>
      </c>
      <c r="D18" s="47" t="s">
        <v>264</v>
      </c>
      <c r="E18" s="48">
        <v>8.0</v>
      </c>
      <c r="F18" s="48">
        <v>1.0</v>
      </c>
      <c r="G18" s="48">
        <v>1.0</v>
      </c>
      <c r="H18" s="49">
        <f t="shared" si="1"/>
        <v>10</v>
      </c>
      <c r="I18" s="50">
        <v>0.0</v>
      </c>
      <c r="J18" s="51">
        <f t="shared" si="2"/>
        <v>10</v>
      </c>
      <c r="K18" s="44"/>
      <c r="L18" s="52">
        <f t="shared" si="3"/>
        <v>10</v>
      </c>
      <c r="M18" s="54" t="s">
        <v>28</v>
      </c>
      <c r="N18" s="50">
        <v>9.0</v>
      </c>
      <c r="O18" s="2"/>
      <c r="P18" s="2"/>
      <c r="Q18" s="2"/>
    </row>
    <row r="19" ht="24.75" customHeight="1">
      <c r="A19" s="44">
        <v>3.0</v>
      </c>
      <c r="B19" s="45" t="s">
        <v>265</v>
      </c>
      <c r="C19" s="45" t="s">
        <v>266</v>
      </c>
      <c r="D19" s="47" t="s">
        <v>267</v>
      </c>
      <c r="E19" s="48">
        <v>6.0</v>
      </c>
      <c r="F19" s="48">
        <v>2.0</v>
      </c>
      <c r="G19" s="49"/>
      <c r="H19" s="49">
        <f t="shared" si="1"/>
        <v>8</v>
      </c>
      <c r="I19" s="50">
        <v>0.0</v>
      </c>
      <c r="J19" s="51">
        <f t="shared" si="2"/>
        <v>8</v>
      </c>
      <c r="K19" s="44"/>
      <c r="L19" s="52">
        <f t="shared" si="3"/>
        <v>8</v>
      </c>
      <c r="M19" s="54" t="s">
        <v>32</v>
      </c>
      <c r="N19" s="50">
        <v>12.0</v>
      </c>
      <c r="O19" s="2"/>
      <c r="P19" s="2"/>
      <c r="Q19" s="2"/>
    </row>
    <row r="20" ht="24.75" customHeight="1">
      <c r="A20" s="44">
        <v>4.0</v>
      </c>
      <c r="B20" s="45" t="s">
        <v>268</v>
      </c>
      <c r="C20" s="45" t="s">
        <v>269</v>
      </c>
      <c r="D20" s="47" t="s">
        <v>270</v>
      </c>
      <c r="E20" s="48">
        <v>8.0</v>
      </c>
      <c r="F20" s="48">
        <v>2.0</v>
      </c>
      <c r="G20" s="49"/>
      <c r="H20" s="49">
        <f t="shared" si="1"/>
        <v>10</v>
      </c>
      <c r="I20" s="50">
        <v>0.0</v>
      </c>
      <c r="J20" s="51">
        <f t="shared" si="2"/>
        <v>10</v>
      </c>
      <c r="K20" s="44"/>
      <c r="L20" s="52">
        <f t="shared" si="3"/>
        <v>10</v>
      </c>
      <c r="M20" s="54" t="s">
        <v>36</v>
      </c>
      <c r="N20" s="50">
        <v>9.0</v>
      </c>
      <c r="O20" s="2"/>
      <c r="P20" s="2"/>
      <c r="Q20" s="2"/>
    </row>
    <row r="21" ht="24.75" customHeight="1">
      <c r="A21" s="44">
        <v>5.0</v>
      </c>
      <c r="B21" s="45" t="s">
        <v>271</v>
      </c>
      <c r="C21" s="45" t="s">
        <v>272</v>
      </c>
      <c r="D21" s="47" t="s">
        <v>273</v>
      </c>
      <c r="E21" s="48">
        <v>8.0</v>
      </c>
      <c r="F21" s="48">
        <v>2.0</v>
      </c>
      <c r="G21" s="49"/>
      <c r="H21" s="49">
        <f t="shared" si="1"/>
        <v>10</v>
      </c>
      <c r="I21" s="50">
        <v>1.0</v>
      </c>
      <c r="J21" s="51">
        <f t="shared" si="2"/>
        <v>10</v>
      </c>
      <c r="K21" s="44"/>
      <c r="L21" s="52">
        <f t="shared" si="3"/>
        <v>10</v>
      </c>
      <c r="M21" s="54" t="s">
        <v>40</v>
      </c>
      <c r="N21" s="50">
        <v>12.0</v>
      </c>
      <c r="O21" s="2"/>
      <c r="P21" s="2"/>
      <c r="Q21" s="2"/>
    </row>
    <row r="22" ht="24.75" customHeight="1">
      <c r="A22" s="44">
        <v>6.0</v>
      </c>
      <c r="B22" s="45" t="s">
        <v>274</v>
      </c>
      <c r="C22" s="45" t="s">
        <v>275</v>
      </c>
      <c r="D22" s="47" t="s">
        <v>276</v>
      </c>
      <c r="E22" s="48">
        <v>4.0</v>
      </c>
      <c r="F22" s="48">
        <v>2.0</v>
      </c>
      <c r="G22" s="49"/>
      <c r="H22" s="49">
        <f t="shared" si="1"/>
        <v>6</v>
      </c>
      <c r="I22" s="50">
        <v>0.0</v>
      </c>
      <c r="J22" s="51">
        <f t="shared" si="2"/>
        <v>6</v>
      </c>
      <c r="K22" s="44"/>
      <c r="L22" s="52">
        <f t="shared" si="3"/>
        <v>6</v>
      </c>
      <c r="M22" s="54" t="s">
        <v>44</v>
      </c>
      <c r="N22" s="50">
        <v>12.0</v>
      </c>
      <c r="O22" s="2"/>
      <c r="P22" s="2"/>
      <c r="Q22" s="2"/>
    </row>
    <row r="23" ht="24.75" customHeight="1">
      <c r="A23" s="44">
        <v>7.0</v>
      </c>
      <c r="B23" s="45" t="s">
        <v>277</v>
      </c>
      <c r="C23" s="45" t="s">
        <v>278</v>
      </c>
      <c r="D23" s="47" t="s">
        <v>279</v>
      </c>
      <c r="E23" s="48">
        <v>5.0</v>
      </c>
      <c r="F23" s="48">
        <v>2.0</v>
      </c>
      <c r="G23" s="49"/>
      <c r="H23" s="49">
        <f t="shared" si="1"/>
        <v>7</v>
      </c>
      <c r="I23" s="50">
        <v>2.0</v>
      </c>
      <c r="J23" s="51">
        <f t="shared" si="2"/>
        <v>7</v>
      </c>
      <c r="K23" s="44"/>
      <c r="L23" s="52">
        <f t="shared" si="3"/>
        <v>7</v>
      </c>
      <c r="M23" s="54" t="s">
        <v>48</v>
      </c>
      <c r="N23" s="50">
        <v>6.0</v>
      </c>
      <c r="O23" s="2"/>
      <c r="P23" s="2"/>
      <c r="Q23" s="2"/>
    </row>
    <row r="24" ht="24.75" customHeight="1">
      <c r="A24" s="44">
        <v>8.0</v>
      </c>
      <c r="B24" s="45" t="s">
        <v>280</v>
      </c>
      <c r="C24" s="45" t="s">
        <v>95</v>
      </c>
      <c r="D24" s="47" t="s">
        <v>281</v>
      </c>
      <c r="E24" s="48">
        <v>8.0</v>
      </c>
      <c r="F24" s="48">
        <v>1.0</v>
      </c>
      <c r="G24" s="48">
        <v>1.0</v>
      </c>
      <c r="H24" s="49">
        <f t="shared" si="1"/>
        <v>10</v>
      </c>
      <c r="I24" s="50">
        <v>0.0</v>
      </c>
      <c r="J24" s="51">
        <f t="shared" si="2"/>
        <v>10</v>
      </c>
      <c r="K24" s="44"/>
      <c r="L24" s="52">
        <f t="shared" si="3"/>
        <v>10</v>
      </c>
      <c r="M24" s="54" t="s">
        <v>52</v>
      </c>
      <c r="N24" s="54">
        <f>SUM(N18:N23)</f>
        <v>60</v>
      </c>
      <c r="O24" s="2"/>
      <c r="P24" s="2"/>
      <c r="Q24" s="2"/>
    </row>
    <row r="25" ht="24.75" customHeight="1">
      <c r="A25" s="44">
        <v>9.0</v>
      </c>
      <c r="B25" s="45" t="s">
        <v>45</v>
      </c>
      <c r="C25" s="45" t="s">
        <v>46</v>
      </c>
      <c r="D25" s="47" t="s">
        <v>282</v>
      </c>
      <c r="E25" s="48">
        <v>6.0</v>
      </c>
      <c r="F25" s="48">
        <v>1.0</v>
      </c>
      <c r="G25" s="48">
        <v>1.0</v>
      </c>
      <c r="H25" s="49">
        <f t="shared" si="1"/>
        <v>8</v>
      </c>
      <c r="I25" s="50">
        <v>2.0</v>
      </c>
      <c r="J25" s="51">
        <f t="shared" si="2"/>
        <v>8</v>
      </c>
      <c r="K25" s="44"/>
      <c r="L25" s="52">
        <f t="shared" si="3"/>
        <v>8</v>
      </c>
      <c r="M25" s="1"/>
      <c r="N25" s="1"/>
      <c r="O25" s="2"/>
      <c r="P25" s="2"/>
      <c r="Q25" s="2"/>
    </row>
    <row r="26" ht="24.75" customHeight="1">
      <c r="A26" s="44">
        <v>10.0</v>
      </c>
      <c r="B26" s="45" t="s">
        <v>61</v>
      </c>
      <c r="C26" s="45" t="s">
        <v>157</v>
      </c>
      <c r="D26" s="47" t="s">
        <v>283</v>
      </c>
      <c r="E26" s="48">
        <v>7.0</v>
      </c>
      <c r="F26" s="48">
        <v>2.0</v>
      </c>
      <c r="G26" s="49"/>
      <c r="H26" s="49">
        <f t="shared" si="1"/>
        <v>9</v>
      </c>
      <c r="I26" s="50">
        <v>4.0</v>
      </c>
      <c r="J26" s="51">
        <f t="shared" si="2"/>
        <v>9</v>
      </c>
      <c r="K26" s="44"/>
      <c r="L26" s="52">
        <f t="shared" si="3"/>
        <v>9</v>
      </c>
      <c r="M26" s="1"/>
      <c r="N26" s="1"/>
      <c r="O26" s="2"/>
      <c r="P26" s="2"/>
      <c r="Q26" s="2"/>
    </row>
    <row r="27" ht="24.75" customHeight="1">
      <c r="A27" s="44">
        <v>11.0</v>
      </c>
      <c r="B27" s="45" t="s">
        <v>284</v>
      </c>
      <c r="C27" s="45" t="s">
        <v>285</v>
      </c>
      <c r="D27" s="45" t="s">
        <v>286</v>
      </c>
      <c r="E27" s="48">
        <v>6.0</v>
      </c>
      <c r="F27" s="48">
        <v>1.0</v>
      </c>
      <c r="G27" s="49"/>
      <c r="H27" s="49">
        <f t="shared" si="1"/>
        <v>7</v>
      </c>
      <c r="I27" s="50">
        <v>0.0</v>
      </c>
      <c r="J27" s="51">
        <f t="shared" si="2"/>
        <v>7</v>
      </c>
      <c r="K27" s="44"/>
      <c r="L27" s="52">
        <f t="shared" si="3"/>
        <v>7</v>
      </c>
      <c r="M27" s="1"/>
      <c r="N27" s="1"/>
      <c r="O27" s="2"/>
      <c r="P27" s="2"/>
      <c r="Q27" s="2"/>
    </row>
    <row r="28" ht="24.75" customHeight="1">
      <c r="A28" s="44">
        <v>12.0</v>
      </c>
      <c r="B28" s="45" t="s">
        <v>287</v>
      </c>
      <c r="C28" s="45" t="s">
        <v>288</v>
      </c>
      <c r="D28" s="47" t="s">
        <v>289</v>
      </c>
      <c r="E28" s="48">
        <v>8.0</v>
      </c>
      <c r="F28" s="48">
        <v>1.0</v>
      </c>
      <c r="G28" s="48">
        <v>1.0</v>
      </c>
      <c r="H28" s="49">
        <f t="shared" si="1"/>
        <v>10</v>
      </c>
      <c r="I28" s="50">
        <v>0.0</v>
      </c>
      <c r="J28" s="51">
        <f t="shared" si="2"/>
        <v>10</v>
      </c>
      <c r="K28" s="44"/>
      <c r="L28" s="52">
        <f t="shared" si="3"/>
        <v>10</v>
      </c>
      <c r="M28" s="1"/>
      <c r="N28" s="1"/>
      <c r="O28" s="2"/>
      <c r="P28" s="2"/>
      <c r="Q28" s="2"/>
    </row>
    <row r="29" ht="24.75" customHeight="1">
      <c r="A29" s="44">
        <v>13.0</v>
      </c>
      <c r="B29" s="45" t="s">
        <v>82</v>
      </c>
      <c r="C29" s="45" t="s">
        <v>209</v>
      </c>
      <c r="D29" s="47" t="s">
        <v>290</v>
      </c>
      <c r="E29" s="48">
        <v>7.0</v>
      </c>
      <c r="F29" s="48">
        <v>2.0</v>
      </c>
      <c r="G29" s="49"/>
      <c r="H29" s="49">
        <f t="shared" si="1"/>
        <v>9</v>
      </c>
      <c r="I29" s="50">
        <v>0.0</v>
      </c>
      <c r="J29" s="51">
        <f t="shared" si="2"/>
        <v>9</v>
      </c>
      <c r="K29" s="44"/>
      <c r="L29" s="52">
        <f t="shared" si="3"/>
        <v>9</v>
      </c>
      <c r="M29" s="1"/>
      <c r="N29" s="1"/>
      <c r="O29" s="2"/>
      <c r="P29" s="2"/>
      <c r="Q29" s="2"/>
    </row>
    <row r="30" ht="24.75" customHeight="1">
      <c r="A30" s="44">
        <v>14.0</v>
      </c>
      <c r="B30" s="45" t="s">
        <v>95</v>
      </c>
      <c r="C30" s="45" t="s">
        <v>96</v>
      </c>
      <c r="D30" s="47" t="s">
        <v>291</v>
      </c>
      <c r="E30" s="48">
        <v>5.0</v>
      </c>
      <c r="F30" s="48">
        <v>2.0</v>
      </c>
      <c r="G30" s="49"/>
      <c r="H30" s="49">
        <f t="shared" si="1"/>
        <v>7</v>
      </c>
      <c r="I30" s="50">
        <v>4.0</v>
      </c>
      <c r="J30" s="51">
        <f t="shared" si="2"/>
        <v>7</v>
      </c>
      <c r="K30" s="44"/>
      <c r="L30" s="52">
        <f t="shared" si="3"/>
        <v>7</v>
      </c>
      <c r="M30" s="1"/>
      <c r="N30" s="1"/>
      <c r="O30" s="2"/>
      <c r="P30" s="2"/>
      <c r="Q30" s="2"/>
    </row>
    <row r="31" ht="24.75" customHeight="1">
      <c r="A31" s="44">
        <v>15.0</v>
      </c>
      <c r="B31" s="45" t="s">
        <v>292</v>
      </c>
      <c r="C31" s="45" t="s">
        <v>293</v>
      </c>
      <c r="D31" s="47" t="s">
        <v>294</v>
      </c>
      <c r="E31" s="48">
        <v>8.0</v>
      </c>
      <c r="F31" s="48">
        <v>2.0</v>
      </c>
      <c r="G31" s="49"/>
      <c r="H31" s="49">
        <f t="shared" si="1"/>
        <v>10</v>
      </c>
      <c r="I31" s="50">
        <v>1.0</v>
      </c>
      <c r="J31" s="51">
        <f t="shared" si="2"/>
        <v>10</v>
      </c>
      <c r="K31" s="44"/>
      <c r="L31" s="52">
        <f t="shared" si="3"/>
        <v>10</v>
      </c>
      <c r="M31" s="1"/>
      <c r="N31" s="1"/>
      <c r="O31" s="2"/>
      <c r="P31" s="2"/>
      <c r="Q31" s="2"/>
    </row>
    <row r="32" ht="24.75" customHeight="1">
      <c r="A32" s="44">
        <v>16.0</v>
      </c>
      <c r="B32" s="45" t="s">
        <v>22</v>
      </c>
      <c r="C32" s="45" t="s">
        <v>82</v>
      </c>
      <c r="D32" s="47" t="s">
        <v>295</v>
      </c>
      <c r="E32" s="48">
        <v>8.0</v>
      </c>
      <c r="F32" s="48">
        <v>2.0</v>
      </c>
      <c r="G32" s="49"/>
      <c r="H32" s="49">
        <f t="shared" si="1"/>
        <v>10</v>
      </c>
      <c r="I32" s="50">
        <v>0.0</v>
      </c>
      <c r="J32" s="51">
        <f t="shared" si="2"/>
        <v>10</v>
      </c>
      <c r="K32" s="44"/>
      <c r="L32" s="52">
        <f t="shared" si="3"/>
        <v>10</v>
      </c>
      <c r="M32" s="1"/>
      <c r="N32" s="1"/>
      <c r="O32" s="2"/>
      <c r="P32" s="2"/>
      <c r="Q32" s="2"/>
    </row>
    <row r="33" ht="24.75" customHeight="1">
      <c r="A33" s="44">
        <v>17.0</v>
      </c>
      <c r="B33" s="45" t="s">
        <v>22</v>
      </c>
      <c r="C33" s="45" t="s">
        <v>296</v>
      </c>
      <c r="D33" s="47" t="s">
        <v>297</v>
      </c>
      <c r="E33" s="48">
        <v>7.0</v>
      </c>
      <c r="F33" s="48">
        <v>2.0</v>
      </c>
      <c r="G33" s="49"/>
      <c r="H33" s="49">
        <f t="shared" si="1"/>
        <v>9</v>
      </c>
      <c r="I33" s="50">
        <v>0.0</v>
      </c>
      <c r="J33" s="51">
        <f t="shared" si="2"/>
        <v>9</v>
      </c>
      <c r="K33" s="44"/>
      <c r="L33" s="52">
        <f t="shared" si="3"/>
        <v>9</v>
      </c>
      <c r="M33" s="1"/>
      <c r="N33" s="1"/>
      <c r="O33" s="2"/>
      <c r="P33" s="2"/>
      <c r="Q33" s="2"/>
    </row>
    <row r="34" ht="24.75" customHeight="1">
      <c r="A34" s="44">
        <v>18.0</v>
      </c>
      <c r="B34" s="45" t="s">
        <v>22</v>
      </c>
      <c r="C34" s="45" t="s">
        <v>298</v>
      </c>
      <c r="D34" s="47" t="s">
        <v>299</v>
      </c>
      <c r="E34" s="48">
        <v>8.0</v>
      </c>
      <c r="F34" s="48">
        <v>2.0</v>
      </c>
      <c r="G34" s="49"/>
      <c r="H34" s="49">
        <f t="shared" si="1"/>
        <v>10</v>
      </c>
      <c r="I34" s="50">
        <v>0.0</v>
      </c>
      <c r="J34" s="51">
        <f t="shared" si="2"/>
        <v>10</v>
      </c>
      <c r="K34" s="44"/>
      <c r="L34" s="52">
        <f t="shared" si="3"/>
        <v>10</v>
      </c>
      <c r="M34" s="1"/>
      <c r="N34" s="1"/>
      <c r="O34" s="2"/>
      <c r="P34" s="2"/>
      <c r="Q34" s="2"/>
    </row>
    <row r="35" ht="24.75" customHeight="1">
      <c r="A35" s="44">
        <v>19.0</v>
      </c>
      <c r="B35" s="45" t="s">
        <v>300</v>
      </c>
      <c r="C35" s="45" t="s">
        <v>301</v>
      </c>
      <c r="D35" s="47" t="s">
        <v>302</v>
      </c>
      <c r="E35" s="48">
        <v>7.0</v>
      </c>
      <c r="F35" s="48">
        <v>1.0</v>
      </c>
      <c r="G35" s="49"/>
      <c r="H35" s="49">
        <f t="shared" si="1"/>
        <v>8</v>
      </c>
      <c r="I35" s="50">
        <v>0.0</v>
      </c>
      <c r="J35" s="51">
        <f t="shared" si="2"/>
        <v>8</v>
      </c>
      <c r="K35" s="44"/>
      <c r="L35" s="52">
        <f t="shared" si="3"/>
        <v>8</v>
      </c>
      <c r="M35" s="1"/>
      <c r="N35" s="1"/>
      <c r="O35" s="2"/>
      <c r="P35" s="2"/>
      <c r="Q35" s="2"/>
    </row>
    <row r="36" ht="24.75" customHeight="1">
      <c r="A36" s="44">
        <v>20.0</v>
      </c>
      <c r="B36" s="45" t="s">
        <v>209</v>
      </c>
      <c r="C36" s="45" t="s">
        <v>303</v>
      </c>
      <c r="D36" s="47" t="s">
        <v>304</v>
      </c>
      <c r="E36" s="48">
        <v>5.0</v>
      </c>
      <c r="F36" s="48">
        <v>1.0</v>
      </c>
      <c r="G36" s="49"/>
      <c r="H36" s="49">
        <f t="shared" si="1"/>
        <v>6</v>
      </c>
      <c r="I36" s="50">
        <v>0.0</v>
      </c>
      <c r="J36" s="51">
        <f t="shared" si="2"/>
        <v>6</v>
      </c>
      <c r="K36" s="44"/>
      <c r="L36" s="52">
        <f t="shared" si="3"/>
        <v>6</v>
      </c>
      <c r="M36" s="1"/>
      <c r="N36" s="1"/>
      <c r="O36" s="2"/>
      <c r="P36" s="2"/>
      <c r="Q36" s="2"/>
    </row>
    <row r="37" ht="24.75" customHeight="1">
      <c r="A37" s="44">
        <v>21.0</v>
      </c>
      <c r="B37" s="45" t="s">
        <v>209</v>
      </c>
      <c r="C37" s="45" t="s">
        <v>236</v>
      </c>
      <c r="D37" s="47" t="s">
        <v>305</v>
      </c>
      <c r="E37" s="48">
        <v>6.0</v>
      </c>
      <c r="F37" s="48">
        <v>2.0</v>
      </c>
      <c r="G37" s="49"/>
      <c r="H37" s="49">
        <f t="shared" si="1"/>
        <v>8</v>
      </c>
      <c r="I37" s="50">
        <v>0.0</v>
      </c>
      <c r="J37" s="51">
        <f t="shared" si="2"/>
        <v>8</v>
      </c>
      <c r="K37" s="44"/>
      <c r="L37" s="52">
        <f t="shared" si="3"/>
        <v>8</v>
      </c>
      <c r="M37" s="1"/>
      <c r="N37" s="1"/>
      <c r="O37" s="2"/>
      <c r="P37" s="2"/>
      <c r="Q37" s="2"/>
    </row>
    <row r="38" ht="24.75" customHeight="1">
      <c r="A38" s="44">
        <v>22.0</v>
      </c>
      <c r="B38" s="45" t="s">
        <v>90</v>
      </c>
      <c r="C38" s="45" t="s">
        <v>145</v>
      </c>
      <c r="D38" s="47" t="s">
        <v>306</v>
      </c>
      <c r="E38" s="48">
        <v>6.0</v>
      </c>
      <c r="F38" s="48">
        <v>2.0</v>
      </c>
      <c r="G38" s="49"/>
      <c r="H38" s="49">
        <f t="shared" si="1"/>
        <v>8</v>
      </c>
      <c r="I38" s="50">
        <v>0.0</v>
      </c>
      <c r="J38" s="51">
        <f t="shared" si="2"/>
        <v>8</v>
      </c>
      <c r="K38" s="44"/>
      <c r="L38" s="52">
        <f t="shared" si="3"/>
        <v>8</v>
      </c>
      <c r="M38" s="1"/>
      <c r="N38" s="1"/>
      <c r="O38" s="2"/>
      <c r="P38" s="2"/>
      <c r="Q38" s="2"/>
    </row>
    <row r="39" ht="24.75" customHeight="1">
      <c r="A39" s="44">
        <v>23.0</v>
      </c>
      <c r="B39" s="45" t="s">
        <v>307</v>
      </c>
      <c r="C39" s="45" t="s">
        <v>308</v>
      </c>
      <c r="D39" s="47" t="s">
        <v>309</v>
      </c>
      <c r="E39" s="48">
        <v>8.0</v>
      </c>
      <c r="F39" s="48">
        <v>1.0</v>
      </c>
      <c r="G39" s="48">
        <v>1.0</v>
      </c>
      <c r="H39" s="49">
        <f t="shared" si="1"/>
        <v>10</v>
      </c>
      <c r="I39" s="50">
        <v>0.0</v>
      </c>
      <c r="J39" s="51">
        <f t="shared" si="2"/>
        <v>10</v>
      </c>
      <c r="K39" s="44"/>
      <c r="L39" s="52">
        <f t="shared" si="3"/>
        <v>10</v>
      </c>
      <c r="M39" s="1"/>
      <c r="N39" s="1"/>
      <c r="O39" s="2"/>
      <c r="P39" s="2"/>
      <c r="Q39" s="2"/>
    </row>
    <row r="40" ht="24.75" customHeight="1">
      <c r="A40" s="44">
        <v>24.0</v>
      </c>
      <c r="B40" s="45" t="s">
        <v>310</v>
      </c>
      <c r="C40" s="45" t="s">
        <v>76</v>
      </c>
      <c r="D40" s="47" t="s">
        <v>311</v>
      </c>
      <c r="E40" s="48">
        <v>8.0</v>
      </c>
      <c r="F40" s="48">
        <v>2.0</v>
      </c>
      <c r="G40" s="49"/>
      <c r="H40" s="49">
        <f t="shared" si="1"/>
        <v>10</v>
      </c>
      <c r="I40" s="50">
        <v>0.0</v>
      </c>
      <c r="J40" s="51">
        <f t="shared" si="2"/>
        <v>10</v>
      </c>
      <c r="K40" s="44"/>
      <c r="L40" s="52">
        <f t="shared" si="3"/>
        <v>10</v>
      </c>
      <c r="M40" s="1"/>
      <c r="N40" s="1"/>
      <c r="O40" s="2"/>
      <c r="P40" s="2"/>
      <c r="Q40" s="2"/>
    </row>
    <row r="41" ht="24.75" customHeight="1">
      <c r="A41" s="44">
        <v>25.0</v>
      </c>
      <c r="B41" s="45" t="s">
        <v>56</v>
      </c>
      <c r="C41" s="45" t="s">
        <v>82</v>
      </c>
      <c r="D41" s="47" t="s">
        <v>128</v>
      </c>
      <c r="E41" s="48">
        <v>8.0</v>
      </c>
      <c r="F41" s="48">
        <v>2.0</v>
      </c>
      <c r="G41" s="49"/>
      <c r="H41" s="49">
        <f t="shared" si="1"/>
        <v>10</v>
      </c>
      <c r="I41" s="50">
        <v>0.0</v>
      </c>
      <c r="J41" s="51">
        <f t="shared" si="2"/>
        <v>10</v>
      </c>
      <c r="K41" s="44"/>
      <c r="L41" s="52">
        <f t="shared" si="3"/>
        <v>10</v>
      </c>
      <c r="M41" s="1"/>
      <c r="N41" s="1"/>
      <c r="O41" s="2"/>
      <c r="P41" s="2"/>
      <c r="Q41" s="2"/>
    </row>
    <row r="42" ht="24.75" customHeight="1">
      <c r="A42" s="44">
        <v>26.0</v>
      </c>
      <c r="B42" s="45" t="s">
        <v>56</v>
      </c>
      <c r="C42" s="45" t="s">
        <v>46</v>
      </c>
      <c r="D42" s="47" t="s">
        <v>312</v>
      </c>
      <c r="E42" s="48">
        <v>8.0</v>
      </c>
      <c r="F42" s="48">
        <v>2.0</v>
      </c>
      <c r="G42" s="49"/>
      <c r="H42" s="49">
        <f t="shared" si="1"/>
        <v>10</v>
      </c>
      <c r="I42" s="50">
        <v>1.0</v>
      </c>
      <c r="J42" s="51">
        <f t="shared" si="2"/>
        <v>10</v>
      </c>
      <c r="K42" s="44"/>
      <c r="L42" s="52">
        <f t="shared" si="3"/>
        <v>10</v>
      </c>
      <c r="M42" s="1"/>
      <c r="N42" s="1"/>
      <c r="O42" s="2"/>
      <c r="P42" s="2"/>
      <c r="Q42" s="2"/>
    </row>
    <row r="43" ht="24.75" customHeight="1">
      <c r="A43" s="44">
        <v>27.0</v>
      </c>
      <c r="B43" s="45" t="s">
        <v>313</v>
      </c>
      <c r="C43" s="45" t="s">
        <v>314</v>
      </c>
      <c r="D43" s="47" t="s">
        <v>315</v>
      </c>
      <c r="E43" s="48">
        <v>7.0</v>
      </c>
      <c r="F43" s="48">
        <v>1.0</v>
      </c>
      <c r="G43" s="48">
        <v>1.0</v>
      </c>
      <c r="H43" s="49">
        <f t="shared" si="1"/>
        <v>9</v>
      </c>
      <c r="I43" s="50">
        <v>2.0</v>
      </c>
      <c r="J43" s="51">
        <f t="shared" si="2"/>
        <v>9</v>
      </c>
      <c r="K43" s="44"/>
      <c r="L43" s="52">
        <f t="shared" si="3"/>
        <v>9</v>
      </c>
      <c r="M43" s="1"/>
      <c r="N43" s="1"/>
      <c r="O43" s="2"/>
      <c r="P43" s="2"/>
      <c r="Q43" s="2"/>
    </row>
    <row r="44" ht="24.75" customHeight="1">
      <c r="A44" s="44">
        <v>28.0</v>
      </c>
      <c r="B44" s="45" t="s">
        <v>316</v>
      </c>
      <c r="C44" s="45" t="s">
        <v>317</v>
      </c>
      <c r="D44" s="47" t="s">
        <v>318</v>
      </c>
      <c r="E44" s="48">
        <v>5.0</v>
      </c>
      <c r="F44" s="48">
        <v>1.0</v>
      </c>
      <c r="G44" s="49"/>
      <c r="H44" s="49">
        <f t="shared" si="1"/>
        <v>6</v>
      </c>
      <c r="I44" s="50">
        <v>1.0</v>
      </c>
      <c r="J44" s="51">
        <f t="shared" si="2"/>
        <v>6</v>
      </c>
      <c r="K44" s="44"/>
      <c r="L44" s="52">
        <f t="shared" si="3"/>
        <v>6</v>
      </c>
      <c r="M44" s="1"/>
      <c r="N44" s="1"/>
      <c r="O44" s="2"/>
      <c r="P44" s="2"/>
      <c r="Q44" s="2"/>
    </row>
    <row r="45" ht="24.75" customHeight="1">
      <c r="A45" s="44">
        <v>29.0</v>
      </c>
      <c r="B45" s="45" t="s">
        <v>319</v>
      </c>
      <c r="C45" s="45" t="s">
        <v>320</v>
      </c>
      <c r="D45" s="47" t="s">
        <v>321</v>
      </c>
      <c r="E45" s="48">
        <v>5.0</v>
      </c>
      <c r="F45" s="48">
        <v>2.0</v>
      </c>
      <c r="G45" s="49"/>
      <c r="H45" s="49">
        <f t="shared" si="1"/>
        <v>7</v>
      </c>
      <c r="I45" s="50">
        <v>0.0</v>
      </c>
      <c r="J45" s="51">
        <f t="shared" si="2"/>
        <v>7</v>
      </c>
      <c r="K45" s="44"/>
      <c r="L45" s="52">
        <f t="shared" si="3"/>
        <v>7</v>
      </c>
      <c r="M45" s="1"/>
      <c r="N45" s="1"/>
      <c r="O45" s="2"/>
      <c r="P45" s="2"/>
      <c r="Q45" s="2"/>
    </row>
    <row r="46" ht="24.75" customHeight="1">
      <c r="A46" s="44">
        <v>30.0</v>
      </c>
      <c r="B46" s="45" t="s">
        <v>322</v>
      </c>
      <c r="C46" s="45" t="s">
        <v>236</v>
      </c>
      <c r="D46" s="47" t="s">
        <v>323</v>
      </c>
      <c r="E46" s="48">
        <v>5.0</v>
      </c>
      <c r="F46" s="48">
        <v>2.0</v>
      </c>
      <c r="G46" s="49"/>
      <c r="H46" s="49">
        <f t="shared" si="1"/>
        <v>7</v>
      </c>
      <c r="I46" s="50">
        <v>1.0</v>
      </c>
      <c r="J46" s="51">
        <f t="shared" si="2"/>
        <v>7</v>
      </c>
      <c r="K46" s="44"/>
      <c r="L46" s="52">
        <f t="shared" si="3"/>
        <v>7</v>
      </c>
      <c r="M46" s="1"/>
      <c r="N46" s="1"/>
      <c r="O46" s="2"/>
      <c r="P46" s="2"/>
      <c r="Q46" s="2"/>
    </row>
    <row r="47" ht="24.75" customHeight="1">
      <c r="A47" s="44">
        <v>31.0</v>
      </c>
      <c r="B47" s="45" t="s">
        <v>138</v>
      </c>
      <c r="C47" s="45" t="s">
        <v>95</v>
      </c>
      <c r="D47" s="47" t="s">
        <v>324</v>
      </c>
      <c r="E47" s="48">
        <v>7.0</v>
      </c>
      <c r="F47" s="48">
        <v>1.0</v>
      </c>
      <c r="G47" s="49"/>
      <c r="H47" s="49">
        <f t="shared" si="1"/>
        <v>8</v>
      </c>
      <c r="I47" s="50">
        <v>1.0</v>
      </c>
      <c r="J47" s="51">
        <f t="shared" si="2"/>
        <v>8</v>
      </c>
      <c r="K47" s="44"/>
      <c r="L47" s="52">
        <f t="shared" si="3"/>
        <v>8</v>
      </c>
      <c r="M47" s="1"/>
      <c r="N47" s="1"/>
      <c r="O47" s="2"/>
      <c r="P47" s="2"/>
      <c r="Q47" s="2"/>
    </row>
    <row r="48" ht="24.75" customHeight="1">
      <c r="A48" s="44">
        <v>32.0</v>
      </c>
      <c r="B48" s="45" t="s">
        <v>34</v>
      </c>
      <c r="C48" s="45" t="s">
        <v>325</v>
      </c>
      <c r="D48" s="47" t="s">
        <v>326</v>
      </c>
      <c r="E48" s="48">
        <v>7.0</v>
      </c>
      <c r="F48" s="48">
        <v>1.0</v>
      </c>
      <c r="G48" s="49"/>
      <c r="H48" s="49">
        <f t="shared" si="1"/>
        <v>8</v>
      </c>
      <c r="I48" s="50">
        <v>1.0</v>
      </c>
      <c r="J48" s="51">
        <f t="shared" si="2"/>
        <v>8</v>
      </c>
      <c r="K48" s="44"/>
      <c r="L48" s="52">
        <f t="shared" si="3"/>
        <v>8</v>
      </c>
      <c r="M48" s="1"/>
      <c r="N48" s="1"/>
      <c r="O48" s="2"/>
      <c r="P48" s="2"/>
      <c r="Q48" s="2"/>
    </row>
    <row r="49" ht="24.75" customHeight="1">
      <c r="A49" s="44">
        <v>33.0</v>
      </c>
      <c r="B49" s="45" t="s">
        <v>34</v>
      </c>
      <c r="C49" s="45" t="s">
        <v>327</v>
      </c>
      <c r="D49" s="47" t="s">
        <v>328</v>
      </c>
      <c r="E49" s="48">
        <v>5.0</v>
      </c>
      <c r="F49" s="48">
        <v>2.0</v>
      </c>
      <c r="G49" s="49"/>
      <c r="H49" s="49">
        <f t="shared" si="1"/>
        <v>7</v>
      </c>
      <c r="I49" s="50">
        <v>0.0</v>
      </c>
      <c r="J49" s="51">
        <f t="shared" si="2"/>
        <v>7</v>
      </c>
      <c r="K49" s="44"/>
      <c r="L49" s="52">
        <f t="shared" si="3"/>
        <v>7</v>
      </c>
      <c r="M49" s="1"/>
      <c r="N49" s="1"/>
      <c r="O49" s="2"/>
      <c r="P49" s="2"/>
      <c r="Q49" s="2"/>
    </row>
    <row r="50" ht="24.75" customHeight="1">
      <c r="A50" s="44">
        <v>34.0</v>
      </c>
      <c r="B50" s="45" t="s">
        <v>329</v>
      </c>
      <c r="C50" s="45" t="s">
        <v>200</v>
      </c>
      <c r="D50" s="47" t="s">
        <v>330</v>
      </c>
      <c r="E50" s="48">
        <v>5.0</v>
      </c>
      <c r="F50" s="48">
        <v>2.0</v>
      </c>
      <c r="G50" s="49"/>
      <c r="H50" s="49">
        <f t="shared" si="1"/>
        <v>7</v>
      </c>
      <c r="I50" s="50">
        <v>3.0</v>
      </c>
      <c r="J50" s="51">
        <f t="shared" si="2"/>
        <v>7</v>
      </c>
      <c r="K50" s="44"/>
      <c r="L50" s="52">
        <f t="shared" si="3"/>
        <v>7</v>
      </c>
      <c r="M50" s="1"/>
      <c r="N50" s="1"/>
      <c r="O50" s="2"/>
      <c r="P50" s="2"/>
      <c r="Q50" s="2"/>
    </row>
    <row r="51" ht="24.75" customHeight="1">
      <c r="A51" s="44">
        <v>35.0</v>
      </c>
      <c r="B51" s="45" t="s">
        <v>132</v>
      </c>
      <c r="C51" s="45" t="s">
        <v>99</v>
      </c>
      <c r="D51" s="47" t="s">
        <v>331</v>
      </c>
      <c r="E51" s="48">
        <v>8.0</v>
      </c>
      <c r="F51" s="48">
        <v>1.0</v>
      </c>
      <c r="G51" s="48">
        <v>1.0</v>
      </c>
      <c r="H51" s="49">
        <f t="shared" si="1"/>
        <v>10</v>
      </c>
      <c r="I51" s="50">
        <v>0.0</v>
      </c>
      <c r="J51" s="51">
        <f t="shared" si="2"/>
        <v>10</v>
      </c>
      <c r="K51" s="44"/>
      <c r="L51" s="52">
        <f t="shared" si="3"/>
        <v>10</v>
      </c>
      <c r="M51" s="1"/>
      <c r="N51" s="1"/>
      <c r="O51" s="2"/>
      <c r="P51" s="2"/>
      <c r="Q51" s="2"/>
    </row>
    <row r="52" ht="24.75" customHeight="1">
      <c r="A52" s="44">
        <v>36.0</v>
      </c>
      <c r="B52" s="45" t="s">
        <v>149</v>
      </c>
      <c r="C52" s="45" t="s">
        <v>90</v>
      </c>
      <c r="D52" s="47" t="s">
        <v>332</v>
      </c>
      <c r="E52" s="48">
        <v>5.0</v>
      </c>
      <c r="F52" s="48">
        <v>2.0</v>
      </c>
      <c r="G52" s="49"/>
      <c r="H52" s="49">
        <f t="shared" si="1"/>
        <v>7</v>
      </c>
      <c r="I52" s="50">
        <v>1.0</v>
      </c>
      <c r="J52" s="51">
        <f t="shared" si="2"/>
        <v>7</v>
      </c>
      <c r="K52" s="44"/>
      <c r="L52" s="46">
        <f t="shared" si="3"/>
        <v>7</v>
      </c>
      <c r="M52" s="1"/>
      <c r="N52" s="1"/>
      <c r="O52" s="2"/>
      <c r="P52" s="2"/>
      <c r="Q52" s="2"/>
    </row>
    <row r="53" ht="24.75" customHeight="1">
      <c r="A53" s="44">
        <v>37.0</v>
      </c>
      <c r="B53" s="45" t="s">
        <v>333</v>
      </c>
      <c r="C53" s="45" t="s">
        <v>334</v>
      </c>
      <c r="D53" s="47" t="s">
        <v>335</v>
      </c>
      <c r="E53" s="48">
        <v>8.0</v>
      </c>
      <c r="F53" s="48">
        <v>2.0</v>
      </c>
      <c r="G53" s="49"/>
      <c r="H53" s="49">
        <f t="shared" si="1"/>
        <v>10</v>
      </c>
      <c r="I53" s="50">
        <v>0.0</v>
      </c>
      <c r="J53" s="51">
        <f t="shared" si="2"/>
        <v>10</v>
      </c>
      <c r="K53" s="44"/>
      <c r="L53" s="46">
        <f t="shared" si="3"/>
        <v>10</v>
      </c>
      <c r="M53" s="1"/>
      <c r="N53" s="1"/>
      <c r="O53" s="2"/>
      <c r="P53" s="2"/>
      <c r="Q53" s="2"/>
    </row>
    <row r="54" ht="24.75" customHeight="1">
      <c r="A54" s="44">
        <v>38.0</v>
      </c>
      <c r="B54" s="45" t="s">
        <v>336</v>
      </c>
      <c r="C54" s="45" t="s">
        <v>22</v>
      </c>
      <c r="D54" s="47" t="s">
        <v>337</v>
      </c>
      <c r="E54" s="48">
        <v>7.0</v>
      </c>
      <c r="F54" s="48">
        <v>2.0</v>
      </c>
      <c r="G54" s="49"/>
      <c r="H54" s="49">
        <f t="shared" si="1"/>
        <v>9</v>
      </c>
      <c r="I54" s="50">
        <v>0.0</v>
      </c>
      <c r="J54" s="51">
        <f t="shared" si="2"/>
        <v>9</v>
      </c>
      <c r="K54" s="44"/>
      <c r="L54" s="46">
        <f t="shared" si="3"/>
        <v>9</v>
      </c>
      <c r="M54" s="1"/>
      <c r="N54" s="1"/>
      <c r="O54" s="2"/>
      <c r="P54" s="2"/>
      <c r="Q54" s="2"/>
    </row>
    <row r="55" ht="24.75" customHeight="1">
      <c r="A55" s="44">
        <v>39.0</v>
      </c>
      <c r="B55" s="45" t="s">
        <v>246</v>
      </c>
      <c r="C55" s="45" t="s">
        <v>150</v>
      </c>
      <c r="D55" s="47" t="s">
        <v>338</v>
      </c>
      <c r="E55" s="48">
        <v>7.0</v>
      </c>
      <c r="F55" s="48">
        <v>1.0</v>
      </c>
      <c r="G55" s="49"/>
      <c r="H55" s="49">
        <f t="shared" si="1"/>
        <v>8</v>
      </c>
      <c r="I55" s="50">
        <v>0.0</v>
      </c>
      <c r="J55" s="51">
        <f t="shared" si="2"/>
        <v>8</v>
      </c>
      <c r="K55" s="44"/>
      <c r="L55" s="46">
        <f t="shared" si="3"/>
        <v>8</v>
      </c>
      <c r="M55" s="1"/>
      <c r="N55" s="1"/>
      <c r="O55" s="2"/>
      <c r="P55" s="2"/>
      <c r="Q55" s="2"/>
    </row>
    <row r="56" ht="24.75" customHeight="1">
      <c r="A56" s="44">
        <v>40.0</v>
      </c>
      <c r="B56" s="45" t="s">
        <v>339</v>
      </c>
      <c r="C56" s="45" t="s">
        <v>340</v>
      </c>
      <c r="D56" s="47" t="s">
        <v>341</v>
      </c>
      <c r="E56" s="48">
        <v>6.0</v>
      </c>
      <c r="F56" s="48">
        <v>1.0</v>
      </c>
      <c r="G56" s="48">
        <v>1.0</v>
      </c>
      <c r="H56" s="49">
        <f t="shared" si="1"/>
        <v>8</v>
      </c>
      <c r="I56" s="50">
        <v>1.0</v>
      </c>
      <c r="J56" s="51">
        <f t="shared" si="2"/>
        <v>8</v>
      </c>
      <c r="K56" s="44"/>
      <c r="L56" s="46">
        <f t="shared" si="3"/>
        <v>8</v>
      </c>
      <c r="M56" s="1"/>
      <c r="N56" s="1"/>
      <c r="O56" s="2"/>
      <c r="P56" s="2"/>
      <c r="Q56" s="2"/>
    </row>
    <row r="57" ht="24.75" customHeight="1">
      <c r="A57" s="44">
        <v>41.0</v>
      </c>
      <c r="B57" s="45" t="s">
        <v>236</v>
      </c>
      <c r="C57" s="45" t="s">
        <v>342</v>
      </c>
      <c r="D57" s="47" t="s">
        <v>343</v>
      </c>
      <c r="E57" s="48">
        <v>7.0</v>
      </c>
      <c r="F57" s="48">
        <v>1.0</v>
      </c>
      <c r="G57" s="49"/>
      <c r="H57" s="49">
        <f t="shared" si="1"/>
        <v>8</v>
      </c>
      <c r="I57" s="50">
        <v>0.0</v>
      </c>
      <c r="J57" s="51">
        <f t="shared" si="2"/>
        <v>8</v>
      </c>
      <c r="K57" s="44"/>
      <c r="L57" s="46">
        <f t="shared" si="3"/>
        <v>8</v>
      </c>
      <c r="M57" s="1"/>
      <c r="N57" s="1"/>
      <c r="O57" s="2"/>
      <c r="P57" s="2"/>
      <c r="Q57" s="2"/>
    </row>
    <row r="58" ht="24.75" customHeight="1">
      <c r="A58" s="44">
        <v>42.0</v>
      </c>
      <c r="B58" s="45" t="s">
        <v>344</v>
      </c>
      <c r="C58" s="45" t="s">
        <v>132</v>
      </c>
      <c r="D58" s="47" t="s">
        <v>345</v>
      </c>
      <c r="E58" s="48">
        <v>7.0</v>
      </c>
      <c r="F58" s="48">
        <v>2.0</v>
      </c>
      <c r="G58" s="49"/>
      <c r="H58" s="49">
        <f t="shared" si="1"/>
        <v>9</v>
      </c>
      <c r="I58" s="50">
        <v>0.0</v>
      </c>
      <c r="J58" s="51">
        <f t="shared" si="2"/>
        <v>9</v>
      </c>
      <c r="K58" s="44"/>
      <c r="L58" s="46">
        <f t="shared" si="3"/>
        <v>9</v>
      </c>
      <c r="M58" s="1"/>
      <c r="N58" s="1"/>
      <c r="O58" s="2"/>
      <c r="P58" s="2"/>
      <c r="Q58" s="2"/>
    </row>
    <row r="59" ht="24.75" customHeight="1">
      <c r="A59" s="44">
        <v>43.0</v>
      </c>
      <c r="B59" s="45" t="s">
        <v>223</v>
      </c>
      <c r="C59" s="45" t="s">
        <v>278</v>
      </c>
      <c r="D59" s="47" t="s">
        <v>216</v>
      </c>
      <c r="E59" s="48">
        <v>5.0</v>
      </c>
      <c r="F59" s="48">
        <v>2.0</v>
      </c>
      <c r="G59" s="49"/>
      <c r="H59" s="49">
        <f t="shared" si="1"/>
        <v>7</v>
      </c>
      <c r="I59" s="50">
        <v>2.0</v>
      </c>
      <c r="J59" s="51">
        <f t="shared" si="2"/>
        <v>7</v>
      </c>
      <c r="K59" s="44"/>
      <c r="L59" s="46">
        <f t="shared" si="3"/>
        <v>7</v>
      </c>
      <c r="M59" s="1"/>
      <c r="N59" s="1"/>
      <c r="O59" s="2"/>
      <c r="P59" s="2"/>
      <c r="Q59" s="2"/>
    </row>
    <row r="60" ht="24.75" customHeight="1">
      <c r="A60" s="44">
        <v>44.0</v>
      </c>
      <c r="B60" s="45" t="s">
        <v>346</v>
      </c>
      <c r="C60" s="45" t="s">
        <v>34</v>
      </c>
      <c r="D60" s="47" t="s">
        <v>347</v>
      </c>
      <c r="E60" s="48">
        <v>8.0</v>
      </c>
      <c r="F60" s="48">
        <v>2.0</v>
      </c>
      <c r="G60" s="49"/>
      <c r="H60" s="49">
        <f t="shared" si="1"/>
        <v>10</v>
      </c>
      <c r="I60" s="50">
        <v>0.0</v>
      </c>
      <c r="J60" s="51">
        <f t="shared" si="2"/>
        <v>10</v>
      </c>
      <c r="K60" s="44"/>
      <c r="L60" s="46">
        <f t="shared" si="3"/>
        <v>10</v>
      </c>
      <c r="M60" s="1"/>
      <c r="N60" s="1"/>
      <c r="O60" s="2"/>
      <c r="P60" s="2"/>
      <c r="Q60" s="2"/>
    </row>
    <row r="61" ht="24.75" customHeight="1">
      <c r="A61" s="44">
        <v>45.0</v>
      </c>
      <c r="B61" s="45" t="s">
        <v>348</v>
      </c>
      <c r="C61" s="45" t="s">
        <v>349</v>
      </c>
      <c r="D61" s="45" t="s">
        <v>350</v>
      </c>
      <c r="E61" s="48">
        <v>8.0</v>
      </c>
      <c r="F61" s="48">
        <v>1.0</v>
      </c>
      <c r="G61" s="48">
        <v>1.0</v>
      </c>
      <c r="H61" s="49">
        <f t="shared" si="1"/>
        <v>10</v>
      </c>
      <c r="I61" s="50">
        <v>0.0</v>
      </c>
      <c r="J61" s="51">
        <f t="shared" si="2"/>
        <v>10</v>
      </c>
      <c r="K61" s="44"/>
      <c r="L61" s="46">
        <f t="shared" si="3"/>
        <v>10</v>
      </c>
      <c r="M61" s="1"/>
      <c r="N61" s="1"/>
      <c r="O61" s="2"/>
      <c r="P61" s="2"/>
      <c r="Q61" s="2"/>
    </row>
    <row r="62" ht="24.75" customHeight="1">
      <c r="A62" s="6"/>
      <c r="B62" s="56"/>
      <c r="C62" s="56"/>
      <c r="D62" s="56"/>
      <c r="E62" s="59"/>
      <c r="F62" s="59"/>
      <c r="G62" s="59"/>
      <c r="H62" s="59"/>
      <c r="I62" s="11"/>
      <c r="J62" s="56"/>
      <c r="K62" s="7"/>
      <c r="L62" s="56"/>
      <c r="M62" s="1"/>
      <c r="N62" s="1"/>
      <c r="O62" s="2"/>
      <c r="P62" s="2"/>
      <c r="Q62" s="2"/>
    </row>
    <row r="63" ht="24.75" customHeight="1">
      <c r="A63" s="1"/>
      <c r="B63" s="97" t="s">
        <v>162</v>
      </c>
      <c r="C63" s="62"/>
      <c r="D63" s="63">
        <f>COUNT(A17:A61)</f>
        <v>45</v>
      </c>
      <c r="E63" s="59"/>
      <c r="F63" s="64" t="s">
        <v>163</v>
      </c>
      <c r="G63" s="59"/>
      <c r="H63" s="64" t="s">
        <v>164</v>
      </c>
      <c r="J63" s="65" t="s">
        <v>165</v>
      </c>
      <c r="K63" s="66" t="s">
        <v>166</v>
      </c>
      <c r="L63" s="56"/>
      <c r="M63" s="1"/>
      <c r="N63" s="1"/>
      <c r="O63" s="2"/>
      <c r="P63" s="2"/>
      <c r="Q63" s="2"/>
    </row>
    <row r="64" ht="24.75" customHeight="1">
      <c r="A64" s="1"/>
      <c r="B64" s="99" t="s">
        <v>167</v>
      </c>
      <c r="C64" s="68"/>
      <c r="D64" s="125">
        <f>COUNTIF(J17:J61,"BAJA")</f>
        <v>0</v>
      </c>
      <c r="E64" s="59"/>
      <c r="G64" s="59"/>
      <c r="K64" s="9"/>
      <c r="L64" s="56"/>
      <c r="M64" s="1"/>
      <c r="N64" s="1"/>
      <c r="O64" s="2"/>
      <c r="P64" s="2"/>
      <c r="Q64" s="2"/>
    </row>
    <row r="65" ht="24.75" customHeight="1">
      <c r="A65" s="1"/>
      <c r="B65" s="99" t="s">
        <v>168</v>
      </c>
      <c r="C65" s="68"/>
      <c r="D65" s="74">
        <f>D63-D64</f>
        <v>45</v>
      </c>
      <c r="E65" s="59"/>
      <c r="F65" s="59"/>
      <c r="G65" s="59"/>
      <c r="H65" s="59"/>
      <c r="I65" s="11"/>
      <c r="J65" s="56"/>
      <c r="K65" s="7"/>
      <c r="L65" s="56"/>
      <c r="M65" s="1"/>
      <c r="N65" s="1"/>
      <c r="O65" s="2"/>
      <c r="P65" s="2"/>
      <c r="Q65" s="2"/>
    </row>
    <row r="66" ht="24.75" customHeight="1">
      <c r="A66" s="1"/>
      <c r="B66" s="99" t="s">
        <v>169</v>
      </c>
      <c r="C66" s="68"/>
      <c r="D66" s="70">
        <f>COUNTIF(J17:J61,"&gt;=6")</f>
        <v>45</v>
      </c>
      <c r="E66" s="59"/>
      <c r="F66" s="59"/>
      <c r="G66" s="59"/>
      <c r="H66" s="59"/>
      <c r="I66" s="59"/>
      <c r="J66" s="56"/>
      <c r="K66" s="7"/>
      <c r="L66" s="56"/>
      <c r="M66" s="1"/>
      <c r="N66" s="1"/>
      <c r="O66" s="2"/>
      <c r="P66" s="2"/>
      <c r="Q66" s="2"/>
    </row>
    <row r="67" ht="24.75" customHeight="1">
      <c r="A67" s="1"/>
      <c r="B67" s="99" t="s">
        <v>170</v>
      </c>
      <c r="C67" s="68"/>
      <c r="D67" s="70">
        <f>D65-D66</f>
        <v>0</v>
      </c>
      <c r="E67" s="59"/>
      <c r="F67" s="102"/>
      <c r="G67" s="59"/>
      <c r="H67" s="102"/>
      <c r="I67" s="102"/>
      <c r="J67" s="103"/>
      <c r="K67" s="104"/>
      <c r="L67" s="56"/>
      <c r="M67" s="1"/>
      <c r="N67" s="1"/>
      <c r="O67" s="2"/>
      <c r="P67" s="2"/>
      <c r="Q67" s="2"/>
    </row>
    <row r="68" ht="36.0" customHeight="1">
      <c r="A68" s="1"/>
      <c r="B68" s="99" t="s">
        <v>171</v>
      </c>
      <c r="C68" s="68"/>
      <c r="D68" s="74">
        <f>D66*100/D65</f>
        <v>100</v>
      </c>
      <c r="E68" s="59"/>
      <c r="F68" s="105" t="s">
        <v>172</v>
      </c>
      <c r="G68" s="59"/>
      <c r="H68" s="106" t="s">
        <v>351</v>
      </c>
      <c r="J68" s="107" t="s">
        <v>174</v>
      </c>
      <c r="K68" s="108" t="s">
        <v>175</v>
      </c>
      <c r="L68" s="56"/>
      <c r="M68" s="1"/>
      <c r="N68" s="1"/>
      <c r="O68" s="2"/>
      <c r="P68" s="2"/>
      <c r="Q68" s="2"/>
    </row>
    <row r="69" ht="24.75" customHeight="1">
      <c r="A69" s="1"/>
      <c r="B69" s="109" t="s">
        <v>176</v>
      </c>
      <c r="C69" s="80"/>
      <c r="D69" s="81">
        <f>AVERAGE(J17:J61)</f>
        <v>8.533333333</v>
      </c>
      <c r="E69" s="59"/>
      <c r="G69" s="59"/>
      <c r="K69" s="9"/>
      <c r="L69" s="56"/>
      <c r="M69" s="1"/>
      <c r="N69" s="1"/>
      <c r="O69" s="2"/>
      <c r="P69" s="2"/>
      <c r="Q69" s="2"/>
    </row>
    <row r="70" ht="24.75" customHeight="1">
      <c r="A70" s="82"/>
      <c r="B70" s="110"/>
      <c r="C70" s="110"/>
      <c r="D70" s="110"/>
      <c r="E70" s="112"/>
      <c r="F70" s="112"/>
      <c r="G70" s="112"/>
      <c r="H70" s="112"/>
      <c r="I70" s="111"/>
      <c r="J70" s="110"/>
      <c r="K70" s="90"/>
      <c r="L70" s="110"/>
      <c r="M70" s="2"/>
      <c r="N70" s="2"/>
      <c r="O70" s="2"/>
      <c r="P70" s="2"/>
      <c r="Q70" s="2"/>
    </row>
    <row r="71" ht="24.75" customHeight="1">
      <c r="A71" s="84"/>
      <c r="B71" s="113"/>
      <c r="C71" s="114"/>
      <c r="D71" s="114"/>
      <c r="E71" s="115"/>
      <c r="G71" s="115"/>
      <c r="H71" s="115"/>
      <c r="I71" s="115"/>
      <c r="J71" s="116"/>
      <c r="K71" s="88"/>
      <c r="L71" s="116"/>
      <c r="M71" s="2"/>
      <c r="N71" s="2"/>
      <c r="O71" s="2"/>
      <c r="P71" s="2"/>
      <c r="Q71" s="2"/>
    </row>
    <row r="72" ht="21.75" customHeight="1">
      <c r="A72" s="126"/>
      <c r="B72" s="127"/>
      <c r="C72" s="127"/>
      <c r="D72" s="117"/>
      <c r="E72" s="87"/>
      <c r="F72" s="112"/>
      <c r="G72" s="2"/>
      <c r="H72" s="112"/>
      <c r="I72" s="112"/>
      <c r="J72" s="110"/>
      <c r="K72" s="90"/>
      <c r="L72" s="2"/>
      <c r="M72" s="2"/>
      <c r="N72" s="2"/>
      <c r="O72" s="2"/>
      <c r="P72" s="2"/>
      <c r="Q72" s="2"/>
    </row>
    <row r="73" ht="21.75" customHeight="1">
      <c r="A73" s="126"/>
      <c r="B73" s="87"/>
      <c r="C73" s="87"/>
      <c r="D73" s="117"/>
      <c r="E73" s="87"/>
      <c r="F73" s="112"/>
      <c r="G73" s="2"/>
      <c r="H73" s="112"/>
      <c r="I73" s="112"/>
      <c r="J73" s="110"/>
      <c r="K73" s="90"/>
      <c r="L73" s="2"/>
      <c r="M73" s="2"/>
      <c r="N73" s="2"/>
      <c r="O73" s="2"/>
      <c r="P73" s="2"/>
      <c r="Q73" s="2"/>
    </row>
    <row r="74" ht="21.75" customHeight="1">
      <c r="A74" s="128"/>
      <c r="B74" s="92"/>
      <c r="C74" s="92"/>
      <c r="D74" s="118"/>
      <c r="E74" s="92"/>
      <c r="F74" s="121"/>
      <c r="G74" s="93"/>
      <c r="H74" s="121"/>
      <c r="I74" s="121"/>
      <c r="J74" s="122"/>
      <c r="K74" s="123"/>
      <c r="L74" s="2"/>
      <c r="M74" s="2"/>
      <c r="N74" s="2"/>
      <c r="O74" s="2"/>
      <c r="P74" s="2"/>
      <c r="Q74" s="2"/>
    </row>
    <row r="75" ht="21.75" customHeight="1">
      <c r="A75" s="129"/>
      <c r="B75" s="87"/>
      <c r="C75" s="87"/>
      <c r="D75" s="116"/>
      <c r="E75" s="87"/>
      <c r="F75" s="2"/>
      <c r="G75" s="2"/>
      <c r="H75" s="2"/>
      <c r="I75" s="2"/>
      <c r="J75" s="95"/>
      <c r="K75" s="124"/>
      <c r="L75" s="95"/>
      <c r="M75" s="2"/>
      <c r="N75" s="2"/>
      <c r="O75" s="2"/>
      <c r="P75" s="2"/>
      <c r="Q75" s="2"/>
    </row>
    <row r="76" ht="21.75" customHeight="1">
      <c r="A76" s="129"/>
      <c r="B76" s="87"/>
      <c r="C76" s="87"/>
      <c r="D76" s="116"/>
      <c r="E76" s="87"/>
      <c r="F76" s="2"/>
      <c r="G76" s="2"/>
      <c r="H76" s="2"/>
      <c r="I76" s="2"/>
      <c r="J76" s="95"/>
      <c r="K76" s="95"/>
      <c r="L76" s="95"/>
      <c r="M76" s="2"/>
      <c r="N76" s="2"/>
      <c r="O76" s="2"/>
      <c r="P76" s="2"/>
      <c r="Q76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3:F64"/>
    <mergeCell ref="H63:I64"/>
    <mergeCell ref="J63:J64"/>
    <mergeCell ref="K63:K64"/>
    <mergeCell ref="H68:I69"/>
    <mergeCell ref="J68:J69"/>
    <mergeCell ref="K68:K69"/>
    <mergeCell ref="F68:F69"/>
    <mergeCell ref="E71:F71"/>
    <mergeCell ref="B63:C63"/>
    <mergeCell ref="B64:C64"/>
    <mergeCell ref="B65:C65"/>
    <mergeCell ref="B66:C66"/>
    <mergeCell ref="B67:C67"/>
    <mergeCell ref="B68:C68"/>
    <mergeCell ref="B69:C69"/>
  </mergeCells>
  <conditionalFormatting sqref="J17:J61">
    <cfRule type="cellIs" dxfId="1" priority="1" stopIfTrue="1" operator="greaterThanOrEqual">
      <formula>0</formula>
    </cfRule>
  </conditionalFormatting>
  <conditionalFormatting sqref="E17:G61">
    <cfRule type="expression" dxfId="1" priority="2" stopIfTrue="1">
      <formula>TRUE</formula>
    </cfRule>
  </conditionalFormatting>
  <conditionalFormatting sqref="J17:J61">
    <cfRule type="cellIs" dxfId="0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J17:J71 K18:K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