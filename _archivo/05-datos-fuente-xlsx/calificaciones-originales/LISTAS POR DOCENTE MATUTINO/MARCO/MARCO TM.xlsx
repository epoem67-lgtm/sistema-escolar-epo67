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practica y colaboracion ciu" sheetId="1" r:id="rId5"/>
    <sheet state="visible" name="3-2 practica y colaboracion ciu" sheetId="2" r:id="rId6"/>
    <sheet state="visible" name="3-3 practica y colaboracion ciu" sheetId="3" r:id="rId7"/>
    <sheet state="visible" name="3-3 temas selectos de ingles ii" sheetId="4" r:id="rId8"/>
  </sheets>
  <definedNames/>
  <calcPr/>
</workbook>
</file>

<file path=xl/sharedStrings.xml><?xml version="1.0" encoding="utf-8"?>
<sst xmlns="http://schemas.openxmlformats.org/spreadsheetml/2006/main" count="705" uniqueCount="337">
  <si>
    <t>ESCUELA PREPARATORIA OFICIAL NÚM. 67</t>
  </si>
  <si>
    <t xml:space="preserve">CONTROL PRIMER PARCIAL </t>
  </si>
  <si>
    <t xml:space="preserve">PROFESOR (A): </t>
  </si>
  <si>
    <t>Marco Antonio Velez Salazar</t>
  </si>
  <si>
    <t>II</t>
  </si>
  <si>
    <t>III</t>
  </si>
  <si>
    <t>PUNTAJE EXTRA</t>
  </si>
  <si>
    <t>SEXTO SEMESTRE
MATUTINO</t>
  </si>
  <si>
    <t>UAC</t>
  </si>
  <si>
    <t>PRÁCTICA Y COLABORACIÓN CIUDADANA II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</si>
  <si>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</si>
  <si>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</si>
  <si>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</si>
  <si>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</si>
  <si>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</si>
  <si>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</si>
  <si>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</si>
  <si>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</si>
  <si>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</si>
  <si>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</si>
  <si>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</si>
  <si>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</si>
  <si>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</si>
  <si>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</si>
  <si>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</si>
  <si>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</si>
  <si>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</si>
  <si>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</si>
  <si>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</si>
  <si>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</si>
  <si>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</si>
  <si>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</si>
  <si>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</si>
  <si>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</si>
  <si>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</si>
  <si>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</si>
  <si>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</si>
  <si>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</si>
  <si>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</si>
  <si>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</si>
  <si>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</si>
  <si>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</si>
  <si>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</si>
  <si>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</si>
  <si>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</si>
  <si>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</si>
  <si>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</si>
  <si>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</si>
  <si>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</si>
  <si>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</si>
  <si>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</si>
  <si>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</si>
  <si>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</si>
  <si>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</si>
  <si>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</si>
  <si>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</si>
  <si>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</si>
  <si>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</si>
  <si>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</si>
  <si>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</si>
  <si>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</si>
  <si>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</si>
  <si>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</si>
  <si>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</si>
  <si>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</si>
  <si>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</si>
  <si>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</si>
  <si>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</si>
  <si>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</si>
  <si>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</si>
  <si>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</si>
  <si>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</si>
  <si>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</si>
  <si>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</si>
  <si>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</si>
  <si>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</si>
  <si>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</si>
  <si>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</si>
  <si>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</si>
  <si>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</si>
  <si>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</si>
  <si>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</si>
  <si>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</si>
  <si>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</si>
  <si>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</si>
  <si>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</si>
  <si>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</si>
  <si>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</si>
  <si>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</si>
  <si>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</si>
  <si>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</si>
  <si>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</si>
  <si>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</si>
  <si>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</si>
  <si>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</si>
  <si>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</si>
  <si>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</si>
  <si>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</si>
  <si>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</si>
  <si>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</si>
  <si>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</si>
  <si>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</si>
  <si>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</si>
  <si>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</si>
  <si>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</si>
  <si>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</si>
  <si>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</si>
  <si>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</si>
  <si>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</si>
  <si>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</si>
  <si>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</si>
  <si>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</si>
  <si>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</si>
  <si>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</si>
  <si>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</si>
  <si>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</si>
  <si>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</si>
  <si>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</si>
  <si>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</si>
  <si>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</si>
  <si>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</si>
  <si>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</si>
  <si>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</si>
  <si>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</si>
  <si>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</si>
  <si>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</si>
  <si>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</si>
  <si>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</si>
  <si>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</si>
  <si>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</si>
  <si>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</si>
  <si>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</si>
  <si>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</si>
  <si>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</si>
  <si>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</si>
  <si>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</si>
  <si>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</si>
  <si>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</si>
  <si>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</si>
  <si>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</si>
  <si>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</si>
  <si>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</si>
  <si>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</si>
  <si>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</si>
  <si>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</si>
  <si>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</si>
  <si>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</si>
  <si>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</si>
  <si>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</si>
  <si>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</si>
  <si>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</si>
  <si>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</si>
  <si>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</si>
  <si>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</si>
  <si>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</si>
  <si>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</si>
  <si>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</si>
  <si>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</si>
  <si>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</si>
  <si>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</si>
  <si>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</si>
  <si>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</si>
  <si>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</si>
  <si>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</si>
  <si>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</si>
  <si>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</si>
  <si>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</si>
  <si>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</si>
  <si>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</si>
  <si>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</si>
  <si>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</si>
  <si>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</si>
  <si>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</si>
  <si>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</si>
  <si>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</si>
  <si>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</si>
  <si>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</si>
  <si>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</si>
  <si>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</si>
  <si>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</si>
  <si>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</si>
  <si>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</si>
  <si>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</si>
  <si>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</si>
  <si>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</si>
  <si>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</si>
  <si>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</si>
  <si>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</si>
  <si>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</si>
  <si>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</si>
  <si>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</si>
  <si>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</si>
  <si>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</si>
  <si>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</si>
  <si>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</si>
  <si>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</si>
  <si>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</si>
  <si>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</si>
  <si>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</si>
  <si>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</si>
  <si>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</si>
  <si>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</si>
  <si>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</si>
  <si>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</si>
  <si>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</si>
  <si>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</si>
  <si>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</si>
  <si>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</si>
  <si>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</si>
  <si>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</si>
  <si>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</si>
  <si>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</si>
  <si>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</si>
  <si>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</si>
  <si>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</si>
  <si>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</si>
  <si>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</si>
  <si>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</si>
  <si>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</si>
  <si>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</si>
  <si>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</si>
  <si>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</si>
  <si>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</si>
  <si>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</si>
  <si>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</si>
  <si>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</si>
  <si>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</si>
  <si>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</si>
  <si>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</si>
  <si>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</si>
  <si>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</si>
  <si>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</si>
  <si>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</si>
  <si>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</si>
  <si>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</si>
  <si>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</si>
  <si>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</si>
  <si>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</si>
  <si>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</si>
  <si>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</si>
  <si>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</si>
  <si>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</si>
  <si>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</si>
  <si>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</si>
  <si>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</si>
  <si>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</si>
  <si>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</si>
  <si>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</si>
  <si>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</si>
  <si>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</si>
  <si>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</si>
  <si>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</si>
  <si>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</si>
  <si>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</si>
  <si>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</si>
  <si>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</si>
  <si>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</si>
  <si>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</si>
  <si>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</si>
  <si>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</si>
  <si>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</si>
  <si>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</si>
  <si>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</si>
  <si>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</si>
  <si>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DIANA LAURA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</si>
  <si>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</si>
  <si>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</si>
  <si>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</si>
  <si>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</si>
  <si>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</si>
  <si>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</si>
  <si>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</si>
  <si>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</si>
  <si>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</si>
  <si>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</si>
  <si>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</si>
  <si>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</si>
  <si>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</si>
  <si>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</si>
  <si>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</si>
  <si>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</si>
  <si>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</si>
  <si>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</si>
  <si>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</si>
  <si>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</si>
  <si>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</si>
  <si>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</si>
  <si>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</si>
  <si>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</si>
  <si>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</si>
  <si>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</si>
  <si>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</si>
  <si>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</si>
  <si>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</si>
  <si>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</si>
  <si>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</si>
  <si>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</si>
  <si>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</si>
  <si>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</si>
  <si>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</si>
  <si>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</si>
  <si>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</si>
  <si>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</si>
  <si>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</si>
  <si>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</si>
  <si>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</si>
  <si>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</si>
  <si>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</si>
  <si>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</si>
  <si>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</si>
  <si>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</si>
  <si>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</si>
  <si>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</si>
  <si>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</si>
  <si>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</si>
  <si>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SANTILLAN</t>
  </si>
  <si>
    <t>KEVIN IMANOL</t>
  </si>
  <si>
    <t>SANTOS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</si>
  <si>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</si>
  <si>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</si>
  <si>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</si>
  <si>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</si>
  <si>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</si>
  <si>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</si>
  <si>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</si>
  <si>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</si>
  <si>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</si>
  <si>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</si>
  <si>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</si>
  <si>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</si>
  <si>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</si>
  <si>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</si>
  <si>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</si>
  <si>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</si>
  <si>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</si>
  <si>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</si>
  <si>
    <t>TEMAS SELECTOS DE INGLÉS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</si>
</sst>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  <xf borderId="14" fillId="2" fontId="3" numFmtId="0" xfId="0" applyAlignment="1" applyBorder="1" applyFont="1">
      <alignment horizontal="center" shrinkToFit="0" vertical="center" wrapText="1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70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69</xdr:row>
      <xdr:rowOff>304800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581025</xdr:colOff>
      <xdr:row>66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65</xdr:row>
      <xdr:rowOff>38100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561975</xdr:colOff>
      <xdr:row>71</xdr:row>
      <xdr:rowOff>38100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70</xdr:row>
      <xdr:rowOff>66675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70</xdr:row>
      <xdr:rowOff>266700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295275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7.0</v>
      </c>
      <c r="F17" s="47">
        <v>2.0</v>
      </c>
      <c r="G17" s="48"/>
      <c r="H17" s="48">
        <f t="shared" ref="H17:H61" si="1">SUM(E17:G17)</f>
        <v>9</v>
      </c>
      <c r="I17" s="44"/>
      <c r="J17" s="49">
        <f t="shared" ref="J17:J61" si="2">IF(H17&lt;6, 5, MIN(10, ROUND(H17, 0)))</f>
        <v>9</v>
      </c>
      <c r="K17" s="50"/>
      <c r="L17" s="51">
        <f t="shared" ref="L17:L61" si="3">IF(H17&gt;=6,ROUND(H17,0),TRUNC(H17,0))</f>
        <v>9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4"/>
      <c r="J18" s="49">
        <f t="shared" si="2"/>
        <v>10</v>
      </c>
      <c r="K18" s="44"/>
      <c r="L18" s="51">
        <f t="shared" si="3"/>
        <v>10</v>
      </c>
      <c r="M18" s="53" t="s">
        <v>28</v>
      </c>
      <c r="N18" s="54">
        <v>3.0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5.0</v>
      </c>
      <c r="F19" s="47">
        <v>2.0</v>
      </c>
      <c r="G19" s="48"/>
      <c r="H19" s="48">
        <f t="shared" si="1"/>
        <v>7</v>
      </c>
      <c r="I19" s="44"/>
      <c r="J19" s="49">
        <f t="shared" si="2"/>
        <v>7</v>
      </c>
      <c r="K19" s="44"/>
      <c r="L19" s="51">
        <f t="shared" si="3"/>
        <v>7</v>
      </c>
      <c r="M19" s="53" t="s">
        <v>32</v>
      </c>
      <c r="N19" s="54">
        <v>4.0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>
        <v>1.0</v>
      </c>
      <c r="H20" s="48">
        <f t="shared" si="1"/>
        <v>11</v>
      </c>
      <c r="I20" s="44"/>
      <c r="J20" s="49">
        <f t="shared" si="2"/>
        <v>10</v>
      </c>
      <c r="K20" s="44"/>
      <c r="L20" s="51">
        <f t="shared" si="3"/>
        <v>11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7.0</v>
      </c>
      <c r="F21" s="47">
        <v>2.0</v>
      </c>
      <c r="G21" s="47">
        <v>1.0</v>
      </c>
      <c r="H21" s="48">
        <f t="shared" si="1"/>
        <v>10</v>
      </c>
      <c r="I21" s="44"/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6.0</v>
      </c>
      <c r="F22" s="47">
        <v>2.0</v>
      </c>
      <c r="G22" s="48"/>
      <c r="H22" s="48">
        <f t="shared" si="1"/>
        <v>8</v>
      </c>
      <c r="I22" s="54">
        <v>2.0</v>
      </c>
      <c r="J22" s="49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2.0</v>
      </c>
      <c r="G23" s="48"/>
      <c r="H23" s="48">
        <f t="shared" si="1"/>
        <v>9</v>
      </c>
      <c r="I23" s="44"/>
      <c r="J23" s="49">
        <f t="shared" si="2"/>
        <v>9</v>
      </c>
      <c r="K23" s="44"/>
      <c r="L23" s="51">
        <f t="shared" si="3"/>
        <v>9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8.0</v>
      </c>
      <c r="F24" s="47">
        <v>2.0</v>
      </c>
      <c r="G24" s="48"/>
      <c r="H24" s="48">
        <f t="shared" si="1"/>
        <v>10</v>
      </c>
      <c r="I24" s="44"/>
      <c r="J24" s="49">
        <f t="shared" si="2"/>
        <v>10</v>
      </c>
      <c r="K24" s="44"/>
      <c r="L24" s="51">
        <f t="shared" si="3"/>
        <v>10</v>
      </c>
      <c r="M24" s="53" t="s">
        <v>51</v>
      </c>
      <c r="N24" s="53">
        <f>SUM(N18:N23)</f>
        <v>7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8"/>
      <c r="H25" s="48">
        <f t="shared" si="1"/>
        <v>10</v>
      </c>
      <c r="I25" s="44"/>
      <c r="J25" s="49">
        <f t="shared" si="2"/>
        <v>10</v>
      </c>
      <c r="K25" s="44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4"/>
      <c r="J26" s="49">
        <f t="shared" si="2"/>
        <v>10</v>
      </c>
      <c r="K26" s="44"/>
      <c r="L26" s="51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5.0</v>
      </c>
      <c r="F27" s="47">
        <v>2.0</v>
      </c>
      <c r="G27" s="48"/>
      <c r="H27" s="48">
        <f t="shared" si="1"/>
        <v>7</v>
      </c>
      <c r="I27" s="54">
        <v>1.0</v>
      </c>
      <c r="J27" s="49">
        <f t="shared" si="2"/>
        <v>7</v>
      </c>
      <c r="K27" s="44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7.0</v>
      </c>
      <c r="F28" s="47">
        <v>2.0</v>
      </c>
      <c r="G28" s="48"/>
      <c r="H28" s="48">
        <f t="shared" si="1"/>
        <v>9</v>
      </c>
      <c r="I28" s="44"/>
      <c r="J28" s="49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2.0</v>
      </c>
      <c r="G29" s="47">
        <v>1.0</v>
      </c>
      <c r="H29" s="48">
        <f t="shared" si="1"/>
        <v>11</v>
      </c>
      <c r="I29" s="44"/>
      <c r="J29" s="49">
        <f t="shared" si="2"/>
        <v>10</v>
      </c>
      <c r="K29" s="44"/>
      <c r="L29" s="51">
        <f t="shared" si="3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7">
        <v>1.0</v>
      </c>
      <c r="H30" s="48">
        <f t="shared" si="1"/>
        <v>11</v>
      </c>
      <c r="I30" s="44"/>
      <c r="J30" s="49">
        <f t="shared" si="2"/>
        <v>10</v>
      </c>
      <c r="K30" s="44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7.0</v>
      </c>
      <c r="F31" s="47">
        <v>2.0</v>
      </c>
      <c r="G31" s="48"/>
      <c r="H31" s="48">
        <f t="shared" si="1"/>
        <v>9</v>
      </c>
      <c r="I31" s="44"/>
      <c r="J31" s="49">
        <f t="shared" si="2"/>
        <v>9</v>
      </c>
      <c r="K31" s="44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8"/>
      <c r="H32" s="48">
        <f t="shared" si="1"/>
        <v>10</v>
      </c>
      <c r="I32" s="44"/>
      <c r="J32" s="49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6.0</v>
      </c>
      <c r="F33" s="47">
        <v>2.0</v>
      </c>
      <c r="G33" s="48"/>
      <c r="H33" s="48">
        <f t="shared" si="1"/>
        <v>8</v>
      </c>
      <c r="I33" s="44"/>
      <c r="J33" s="49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2.0</v>
      </c>
      <c r="G34" s="48"/>
      <c r="H34" s="48">
        <f t="shared" si="1"/>
        <v>10</v>
      </c>
      <c r="I34" s="54">
        <v>1.0</v>
      </c>
      <c r="J34" s="49">
        <f t="shared" si="2"/>
        <v>10</v>
      </c>
      <c r="K34" s="44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6.0</v>
      </c>
      <c r="F35" s="47">
        <v>2.0</v>
      </c>
      <c r="G35" s="48"/>
      <c r="H35" s="48">
        <f t="shared" si="1"/>
        <v>8</v>
      </c>
      <c r="I35" s="44"/>
      <c r="J35" s="49">
        <f t="shared" si="2"/>
        <v>8</v>
      </c>
      <c r="K35" s="44"/>
      <c r="L35" s="51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8.0</v>
      </c>
      <c r="F36" s="47">
        <v>2.0</v>
      </c>
      <c r="G36" s="48"/>
      <c r="H36" s="48">
        <f t="shared" si="1"/>
        <v>10</v>
      </c>
      <c r="I36" s="44"/>
      <c r="J36" s="49">
        <f t="shared" si="2"/>
        <v>10</v>
      </c>
      <c r="K36" s="44"/>
      <c r="L36" s="51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6.0</v>
      </c>
      <c r="F37" s="47">
        <v>2.0</v>
      </c>
      <c r="G37" s="48"/>
      <c r="H37" s="48">
        <f t="shared" si="1"/>
        <v>8</v>
      </c>
      <c r="I37" s="44"/>
      <c r="J37" s="49">
        <f t="shared" si="2"/>
        <v>8</v>
      </c>
      <c r="K37" s="44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8.0</v>
      </c>
      <c r="F38" s="47">
        <v>2.0</v>
      </c>
      <c r="G38" s="48"/>
      <c r="H38" s="48">
        <f t="shared" si="1"/>
        <v>10</v>
      </c>
      <c r="I38" s="44"/>
      <c r="J38" s="49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8.0</v>
      </c>
      <c r="F39" s="47">
        <v>2.0</v>
      </c>
      <c r="G39" s="48"/>
      <c r="H39" s="48">
        <f t="shared" si="1"/>
        <v>10</v>
      </c>
      <c r="I39" s="44"/>
      <c r="J39" s="49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8.0</v>
      </c>
      <c r="F40" s="47">
        <v>2.0</v>
      </c>
      <c r="G40" s="48"/>
      <c r="H40" s="48">
        <f t="shared" si="1"/>
        <v>10</v>
      </c>
      <c r="I40" s="44"/>
      <c r="J40" s="49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8.0</v>
      </c>
      <c r="F41" s="47">
        <v>2.0</v>
      </c>
      <c r="G41" s="48"/>
      <c r="H41" s="48">
        <f t="shared" si="1"/>
        <v>10</v>
      </c>
      <c r="I41" s="54">
        <v>1.0</v>
      </c>
      <c r="J41" s="49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7.0</v>
      </c>
      <c r="F42" s="47">
        <v>2.0</v>
      </c>
      <c r="G42" s="48"/>
      <c r="H42" s="48">
        <f t="shared" si="1"/>
        <v>9</v>
      </c>
      <c r="I42" s="54">
        <v>2.0</v>
      </c>
      <c r="J42" s="49">
        <f t="shared" si="2"/>
        <v>9</v>
      </c>
      <c r="K42" s="44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6.0</v>
      </c>
      <c r="F43" s="47">
        <v>2.0</v>
      </c>
      <c r="G43" s="48"/>
      <c r="H43" s="48">
        <f t="shared" si="1"/>
        <v>8</v>
      </c>
      <c r="I43" s="54">
        <v>1.0</v>
      </c>
      <c r="J43" s="49">
        <f t="shared" si="2"/>
        <v>8</v>
      </c>
      <c r="K43" s="44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8.0</v>
      </c>
      <c r="F44" s="47">
        <v>2.0</v>
      </c>
      <c r="G44" s="48"/>
      <c r="H44" s="48">
        <f t="shared" si="1"/>
        <v>10</v>
      </c>
      <c r="I44" s="54">
        <v>1.0</v>
      </c>
      <c r="J44" s="49">
        <f t="shared" si="2"/>
        <v>10</v>
      </c>
      <c r="K44" s="44"/>
      <c r="L44" s="51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8"/>
      <c r="H45" s="48">
        <f t="shared" si="1"/>
        <v>10</v>
      </c>
      <c r="I45" s="54">
        <v>1.0</v>
      </c>
      <c r="J45" s="49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6.0</v>
      </c>
      <c r="F46" s="47">
        <v>2.0</v>
      </c>
      <c r="G46" s="47">
        <v>1.0</v>
      </c>
      <c r="H46" s="48">
        <f t="shared" si="1"/>
        <v>9</v>
      </c>
      <c r="I46" s="54">
        <v>1.0</v>
      </c>
      <c r="J46" s="49">
        <f t="shared" si="2"/>
        <v>9</v>
      </c>
      <c r="K46" s="44"/>
      <c r="L46" s="51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6.0</v>
      </c>
      <c r="F47" s="47">
        <v>2.0</v>
      </c>
      <c r="G47" s="47">
        <v>1.0</v>
      </c>
      <c r="H47" s="48">
        <f t="shared" si="1"/>
        <v>9</v>
      </c>
      <c r="I47" s="44"/>
      <c r="J47" s="49">
        <f t="shared" si="2"/>
        <v>9</v>
      </c>
      <c r="K47" s="44"/>
      <c r="L47" s="51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7.0</v>
      </c>
      <c r="F48" s="47">
        <v>2.0</v>
      </c>
      <c r="G48" s="48"/>
      <c r="H48" s="48">
        <f t="shared" si="1"/>
        <v>9</v>
      </c>
      <c r="I48" s="44"/>
      <c r="J48" s="49">
        <f t="shared" si="2"/>
        <v>9</v>
      </c>
      <c r="K48" s="44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7.0</v>
      </c>
      <c r="F49" s="47">
        <v>2.0</v>
      </c>
      <c r="G49" s="48"/>
      <c r="H49" s="48">
        <f t="shared" si="1"/>
        <v>9</v>
      </c>
      <c r="I49" s="44"/>
      <c r="J49" s="49">
        <f t="shared" si="2"/>
        <v>9</v>
      </c>
      <c r="K49" s="44"/>
      <c r="L49" s="51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6.0</v>
      </c>
      <c r="F50" s="47">
        <v>2.0</v>
      </c>
      <c r="G50" s="48"/>
      <c r="H50" s="48">
        <f t="shared" si="1"/>
        <v>8</v>
      </c>
      <c r="I50" s="54">
        <v>1.0</v>
      </c>
      <c r="J50" s="49">
        <f t="shared" si="2"/>
        <v>8</v>
      </c>
      <c r="K50" s="44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8"/>
      <c r="H51" s="48">
        <f t="shared" si="1"/>
        <v>10</v>
      </c>
      <c r="I51" s="44"/>
      <c r="J51" s="49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6.0</v>
      </c>
      <c r="F52" s="47">
        <v>2.0</v>
      </c>
      <c r="G52" s="48"/>
      <c r="H52" s="48">
        <f t="shared" si="1"/>
        <v>8</v>
      </c>
      <c r="I52" s="54">
        <v>1.0</v>
      </c>
      <c r="J52" s="49">
        <f t="shared" si="2"/>
        <v>8</v>
      </c>
      <c r="K52" s="44"/>
      <c r="L52" s="50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2.0</v>
      </c>
      <c r="G53" s="48"/>
      <c r="H53" s="48">
        <f t="shared" si="1"/>
        <v>10</v>
      </c>
      <c r="I53" s="44"/>
      <c r="J53" s="49">
        <f t="shared" si="2"/>
        <v>10</v>
      </c>
      <c r="K53" s="44"/>
      <c r="L53" s="50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8.0</v>
      </c>
      <c r="F54" s="47">
        <v>2.0</v>
      </c>
      <c r="G54" s="48"/>
      <c r="H54" s="48">
        <f t="shared" si="1"/>
        <v>10</v>
      </c>
      <c r="I54" s="44"/>
      <c r="J54" s="49">
        <f t="shared" si="2"/>
        <v>10</v>
      </c>
      <c r="K54" s="44"/>
      <c r="L54" s="50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7.0</v>
      </c>
      <c r="F55" s="47">
        <v>2.0</v>
      </c>
      <c r="G55" s="48"/>
      <c r="H55" s="48">
        <f t="shared" si="1"/>
        <v>9</v>
      </c>
      <c r="I55" s="54">
        <v>1.0</v>
      </c>
      <c r="J55" s="49">
        <f t="shared" si="2"/>
        <v>9</v>
      </c>
      <c r="K55" s="44"/>
      <c r="L55" s="50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5.0</v>
      </c>
      <c r="F56" s="47">
        <v>2.0</v>
      </c>
      <c r="G56" s="48"/>
      <c r="H56" s="48">
        <f t="shared" si="1"/>
        <v>7</v>
      </c>
      <c r="I56" s="54">
        <v>1.0</v>
      </c>
      <c r="J56" s="49">
        <f t="shared" si="2"/>
        <v>7</v>
      </c>
      <c r="K56" s="44"/>
      <c r="L56" s="50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6.0</v>
      </c>
      <c r="F57" s="47">
        <v>2.0</v>
      </c>
      <c r="G57" s="47">
        <v>1.0</v>
      </c>
      <c r="H57" s="48">
        <f t="shared" si="1"/>
        <v>9</v>
      </c>
      <c r="I57" s="57"/>
      <c r="J57" s="49">
        <f t="shared" si="2"/>
        <v>9</v>
      </c>
      <c r="K57" s="44"/>
      <c r="L57" s="50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8" t="s">
        <v>138</v>
      </c>
      <c r="E58" s="47">
        <v>6.0</v>
      </c>
      <c r="F58" s="47">
        <v>2.0</v>
      </c>
      <c r="G58" s="47">
        <v>1.0</v>
      </c>
      <c r="H58" s="48">
        <f t="shared" si="1"/>
        <v>9</v>
      </c>
      <c r="I58" s="57"/>
      <c r="J58" s="49">
        <f t="shared" si="2"/>
        <v>9</v>
      </c>
      <c r="K58" s="44"/>
      <c r="L58" s="50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8" t="s">
        <v>140</v>
      </c>
      <c r="E59" s="47">
        <v>6.0</v>
      </c>
      <c r="F59" s="47">
        <v>2.0</v>
      </c>
      <c r="G59" s="47">
        <v>1.0</v>
      </c>
      <c r="H59" s="48">
        <f t="shared" si="1"/>
        <v>9</v>
      </c>
      <c r="I59" s="57"/>
      <c r="J59" s="49">
        <f t="shared" si="2"/>
        <v>9</v>
      </c>
      <c r="K59" s="44"/>
      <c r="L59" s="50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8" t="s">
        <v>143</v>
      </c>
      <c r="E60" s="47">
        <v>6.0</v>
      </c>
      <c r="F60" s="47">
        <v>2.0</v>
      </c>
      <c r="G60" s="47">
        <v>1.0</v>
      </c>
      <c r="H60" s="48">
        <f t="shared" si="1"/>
        <v>9</v>
      </c>
      <c r="I60" s="57"/>
      <c r="J60" s="49">
        <f t="shared" si="2"/>
        <v>9</v>
      </c>
      <c r="K60" s="44"/>
      <c r="L60" s="50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8" t="s">
        <v>146</v>
      </c>
      <c r="E61" s="47">
        <v>8.0</v>
      </c>
      <c r="F61" s="47">
        <v>2.0</v>
      </c>
      <c r="G61" s="48"/>
      <c r="H61" s="48">
        <f t="shared" si="1"/>
        <v>10</v>
      </c>
      <c r="I61" s="57"/>
      <c r="J61" s="49">
        <f t="shared" si="2"/>
        <v>10</v>
      </c>
      <c r="K61" s="44"/>
      <c r="L61" s="50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11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63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69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0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45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0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100</v>
      </c>
      <c r="E68" s="60"/>
      <c r="F68" s="76" t="s">
        <v>157</v>
      </c>
      <c r="G68" s="60"/>
      <c r="H68" s="77" t="s">
        <v>158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9.177777778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5"/>
      <c r="G73" s="2"/>
      <c r="H73" s="85"/>
      <c r="I73" s="85"/>
      <c r="J73" s="84"/>
      <c r="K73" s="87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2"/>
      <c r="H74" s="101"/>
      <c r="I74" s="101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06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7.6</v>
      </c>
      <c r="F17" s="47">
        <v>2.0</v>
      </c>
      <c r="G17" s="48"/>
      <c r="H17" s="48">
        <f t="shared" ref="H17:H56" si="1">SUM(E17:G17)</f>
        <v>9.6</v>
      </c>
      <c r="I17" s="44"/>
      <c r="J17" s="49">
        <f t="shared" ref="J17:J56" si="2">IF(H17&lt;6, 5, MIN(10, ROUND(H17, 0)))</f>
        <v>10</v>
      </c>
      <c r="K17" s="50"/>
      <c r="L17" s="51">
        <f t="shared" ref="L17:L56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4.8</v>
      </c>
      <c r="F18" s="47">
        <v>2.0</v>
      </c>
      <c r="G18" s="48"/>
      <c r="H18" s="48">
        <f t="shared" si="1"/>
        <v>6.8</v>
      </c>
      <c r="I18" s="54">
        <v>1.0</v>
      </c>
      <c r="J18" s="49">
        <f t="shared" si="2"/>
        <v>7</v>
      </c>
      <c r="K18" s="44"/>
      <c r="L18" s="51">
        <f t="shared" si="3"/>
        <v>7</v>
      </c>
      <c r="M18" s="53" t="s">
        <v>28</v>
      </c>
      <c r="N18" s="54">
        <v>3.0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7.2</v>
      </c>
      <c r="F19" s="47">
        <v>2.0</v>
      </c>
      <c r="G19" s="48"/>
      <c r="H19" s="48">
        <f t="shared" si="1"/>
        <v>9.2</v>
      </c>
      <c r="I19" s="44"/>
      <c r="J19" s="49">
        <f t="shared" si="2"/>
        <v>9</v>
      </c>
      <c r="K19" s="44"/>
      <c r="L19" s="51">
        <f t="shared" si="3"/>
        <v>9</v>
      </c>
      <c r="M19" s="53" t="s">
        <v>32</v>
      </c>
      <c r="N19" s="54">
        <v>4.0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6.0</v>
      </c>
      <c r="F20" s="47">
        <v>2.0</v>
      </c>
      <c r="G20" s="47">
        <v>1.0</v>
      </c>
      <c r="H20" s="48">
        <f t="shared" si="1"/>
        <v>9</v>
      </c>
      <c r="I20" s="54">
        <v>1.0</v>
      </c>
      <c r="J20" s="49">
        <f t="shared" si="2"/>
        <v>9</v>
      </c>
      <c r="K20" s="44"/>
      <c r="L20" s="51">
        <f t="shared" si="3"/>
        <v>9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7.6</v>
      </c>
      <c r="F21" s="47">
        <v>2.0</v>
      </c>
      <c r="G21" s="48"/>
      <c r="H21" s="48">
        <f t="shared" si="1"/>
        <v>9.6</v>
      </c>
      <c r="I21" s="54">
        <v>1.0</v>
      </c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5.2</v>
      </c>
      <c r="F22" s="47">
        <v>2.0</v>
      </c>
      <c r="G22" s="48"/>
      <c r="H22" s="48">
        <f t="shared" si="1"/>
        <v>7.2</v>
      </c>
      <c r="I22" s="54">
        <v>2.0</v>
      </c>
      <c r="J22" s="49">
        <f t="shared" si="2"/>
        <v>7</v>
      </c>
      <c r="K22" s="44"/>
      <c r="L22" s="51">
        <f t="shared" si="3"/>
        <v>7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8.0</v>
      </c>
      <c r="F23" s="47">
        <v>2.0</v>
      </c>
      <c r="G23" s="48"/>
      <c r="H23" s="48">
        <f t="shared" si="1"/>
        <v>10</v>
      </c>
      <c r="I23" s="44"/>
      <c r="J23" s="49">
        <f t="shared" si="2"/>
        <v>10</v>
      </c>
      <c r="K23" s="44"/>
      <c r="L23" s="51">
        <f t="shared" si="3"/>
        <v>10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7.6</v>
      </c>
      <c r="F24" s="47">
        <v>2.0</v>
      </c>
      <c r="G24" s="47">
        <v>1.0</v>
      </c>
      <c r="H24" s="48">
        <f t="shared" si="1"/>
        <v>10.6</v>
      </c>
      <c r="I24" s="54">
        <v>1.0</v>
      </c>
      <c r="J24" s="49">
        <f t="shared" si="2"/>
        <v>10</v>
      </c>
      <c r="K24" s="44"/>
      <c r="L24" s="51">
        <f t="shared" si="3"/>
        <v>11</v>
      </c>
      <c r="M24" s="53" t="s">
        <v>51</v>
      </c>
      <c r="N24" s="53">
        <f>SUM(N18:N23)</f>
        <v>7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7.2</v>
      </c>
      <c r="F25" s="47">
        <v>2.0</v>
      </c>
      <c r="G25" s="47">
        <v>1.0</v>
      </c>
      <c r="H25" s="48">
        <f t="shared" si="1"/>
        <v>10.2</v>
      </c>
      <c r="I25" s="44"/>
      <c r="J25" s="49">
        <f t="shared" si="2"/>
        <v>10</v>
      </c>
      <c r="K25" s="44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7.2</v>
      </c>
      <c r="F26" s="47">
        <v>2.0</v>
      </c>
      <c r="G26" s="48"/>
      <c r="H26" s="48">
        <f t="shared" si="1"/>
        <v>9.2</v>
      </c>
      <c r="I26" s="44"/>
      <c r="J26" s="49">
        <f t="shared" si="2"/>
        <v>9</v>
      </c>
      <c r="K26" s="44"/>
      <c r="L26" s="51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5.6</v>
      </c>
      <c r="F27" s="47">
        <v>2.0</v>
      </c>
      <c r="G27" s="48"/>
      <c r="H27" s="48">
        <f t="shared" si="1"/>
        <v>7.6</v>
      </c>
      <c r="I27" s="44"/>
      <c r="J27" s="49">
        <f t="shared" si="2"/>
        <v>8</v>
      </c>
      <c r="K27" s="44"/>
      <c r="L27" s="51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7.2</v>
      </c>
      <c r="F28" s="47">
        <v>2.0</v>
      </c>
      <c r="G28" s="47">
        <v>1.0</v>
      </c>
      <c r="H28" s="48">
        <f t="shared" si="1"/>
        <v>10.2</v>
      </c>
      <c r="I28" s="44"/>
      <c r="J28" s="49">
        <f t="shared" si="2"/>
        <v>10</v>
      </c>
      <c r="K28" s="44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6.8</v>
      </c>
      <c r="F29" s="47">
        <v>2.0</v>
      </c>
      <c r="G29" s="48"/>
      <c r="H29" s="48">
        <f t="shared" si="1"/>
        <v>8.8</v>
      </c>
      <c r="I29" s="44"/>
      <c r="J29" s="49">
        <f t="shared" si="2"/>
        <v>9</v>
      </c>
      <c r="K29" s="44"/>
      <c r="L29" s="51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6.6</v>
      </c>
      <c r="F30" s="47">
        <v>2.0</v>
      </c>
      <c r="G30" s="48"/>
      <c r="H30" s="48">
        <f t="shared" si="1"/>
        <v>8.6</v>
      </c>
      <c r="I30" s="44"/>
      <c r="J30" s="49">
        <f t="shared" si="2"/>
        <v>9</v>
      </c>
      <c r="K30" s="44"/>
      <c r="L30" s="51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6.0</v>
      </c>
      <c r="F31" s="47">
        <v>2.0</v>
      </c>
      <c r="G31" s="48"/>
      <c r="H31" s="48">
        <f t="shared" si="1"/>
        <v>8</v>
      </c>
      <c r="I31" s="54">
        <v>2.0</v>
      </c>
      <c r="J31" s="49">
        <f t="shared" si="2"/>
        <v>8</v>
      </c>
      <c r="K31" s="44"/>
      <c r="L31" s="51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5.6</v>
      </c>
      <c r="F32" s="47">
        <v>2.0</v>
      </c>
      <c r="G32" s="48"/>
      <c r="H32" s="48">
        <f t="shared" si="1"/>
        <v>7.6</v>
      </c>
      <c r="I32" s="44"/>
      <c r="J32" s="49">
        <f t="shared" si="2"/>
        <v>8</v>
      </c>
      <c r="K32" s="44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6.4</v>
      </c>
      <c r="F33" s="47">
        <v>2.0</v>
      </c>
      <c r="G33" s="48"/>
      <c r="H33" s="48">
        <f t="shared" si="1"/>
        <v>8.4</v>
      </c>
      <c r="I33" s="44"/>
      <c r="J33" s="49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4.4</v>
      </c>
      <c r="F34" s="47">
        <v>2.0</v>
      </c>
      <c r="G34" s="48"/>
      <c r="H34" s="48">
        <f t="shared" si="1"/>
        <v>6.4</v>
      </c>
      <c r="I34" s="44"/>
      <c r="J34" s="49">
        <f t="shared" si="2"/>
        <v>6</v>
      </c>
      <c r="K34" s="44"/>
      <c r="L34" s="51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7"/>
      <c r="F35" s="47"/>
      <c r="G35" s="48"/>
      <c r="H35" s="48">
        <f t="shared" si="1"/>
        <v>0</v>
      </c>
      <c r="I35" s="54">
        <v>5.0</v>
      </c>
      <c r="J35" s="49">
        <f t="shared" si="2"/>
        <v>5</v>
      </c>
      <c r="K35" s="44"/>
      <c r="L35" s="51">
        <f t="shared" si="3"/>
        <v>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7.6</v>
      </c>
      <c r="F36" s="47">
        <v>2.0</v>
      </c>
      <c r="G36" s="48"/>
      <c r="H36" s="48">
        <f t="shared" si="1"/>
        <v>9.6</v>
      </c>
      <c r="I36" s="54">
        <v>1.0</v>
      </c>
      <c r="J36" s="49">
        <f t="shared" si="2"/>
        <v>10</v>
      </c>
      <c r="K36" s="44"/>
      <c r="L36" s="51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6.8</v>
      </c>
      <c r="F37" s="47">
        <v>2.0</v>
      </c>
      <c r="G37" s="48"/>
      <c r="H37" s="48">
        <f t="shared" si="1"/>
        <v>8.8</v>
      </c>
      <c r="I37" s="44"/>
      <c r="J37" s="49">
        <f t="shared" si="2"/>
        <v>9</v>
      </c>
      <c r="K37" s="44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7.6</v>
      </c>
      <c r="F38" s="47">
        <v>2.0</v>
      </c>
      <c r="G38" s="48"/>
      <c r="H38" s="48">
        <f t="shared" si="1"/>
        <v>9.6</v>
      </c>
      <c r="I38" s="44"/>
      <c r="J38" s="49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7.2</v>
      </c>
      <c r="F39" s="47">
        <v>2.0</v>
      </c>
      <c r="G39" s="48"/>
      <c r="H39" s="48">
        <f t="shared" si="1"/>
        <v>9.2</v>
      </c>
      <c r="I39" s="54">
        <v>1.0</v>
      </c>
      <c r="J39" s="49">
        <f t="shared" si="2"/>
        <v>9</v>
      </c>
      <c r="K39" s="44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6.4</v>
      </c>
      <c r="F40" s="47">
        <v>2.0</v>
      </c>
      <c r="G40" s="48"/>
      <c r="H40" s="48">
        <f t="shared" si="1"/>
        <v>8.4</v>
      </c>
      <c r="I40" s="44"/>
      <c r="J40" s="49">
        <f t="shared" si="2"/>
        <v>8</v>
      </c>
      <c r="K40" s="44"/>
      <c r="L40" s="51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7.6</v>
      </c>
      <c r="F41" s="47">
        <v>2.0</v>
      </c>
      <c r="G41" s="48"/>
      <c r="H41" s="48">
        <f t="shared" si="1"/>
        <v>9.6</v>
      </c>
      <c r="I41" s="44"/>
      <c r="J41" s="49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6.8</v>
      </c>
      <c r="F42" s="47">
        <v>2.0</v>
      </c>
      <c r="G42" s="48"/>
      <c r="H42" s="48">
        <f t="shared" si="1"/>
        <v>8.8</v>
      </c>
      <c r="I42" s="44"/>
      <c r="J42" s="49">
        <f t="shared" si="2"/>
        <v>9</v>
      </c>
      <c r="K42" s="44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6.0</v>
      </c>
      <c r="F43" s="47">
        <v>2.0</v>
      </c>
      <c r="G43" s="48"/>
      <c r="H43" s="48">
        <f t="shared" si="1"/>
        <v>8</v>
      </c>
      <c r="I43" s="44"/>
      <c r="J43" s="49">
        <f t="shared" si="2"/>
        <v>8</v>
      </c>
      <c r="K43" s="44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5.6</v>
      </c>
      <c r="F44" s="47">
        <v>2.0</v>
      </c>
      <c r="G44" s="48"/>
      <c r="H44" s="48">
        <f t="shared" si="1"/>
        <v>7.6</v>
      </c>
      <c r="I44" s="54">
        <v>1.0</v>
      </c>
      <c r="J44" s="49">
        <f t="shared" si="2"/>
        <v>8</v>
      </c>
      <c r="K44" s="44"/>
      <c r="L44" s="51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8.0</v>
      </c>
      <c r="F45" s="47">
        <v>2.0</v>
      </c>
      <c r="G45" s="48"/>
      <c r="H45" s="48">
        <f t="shared" si="1"/>
        <v>10</v>
      </c>
      <c r="I45" s="44"/>
      <c r="J45" s="49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6.8</v>
      </c>
      <c r="F46" s="47">
        <v>2.0</v>
      </c>
      <c r="G46" s="47">
        <v>1.0</v>
      </c>
      <c r="H46" s="48">
        <f t="shared" si="1"/>
        <v>9.8</v>
      </c>
      <c r="I46" s="44"/>
      <c r="J46" s="49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6.8</v>
      </c>
      <c r="F47" s="47">
        <v>2.0</v>
      </c>
      <c r="G47" s="47">
        <v>1.0</v>
      </c>
      <c r="H47" s="48">
        <f t="shared" si="1"/>
        <v>9.8</v>
      </c>
      <c r="I47" s="44"/>
      <c r="J47" s="49">
        <f t="shared" si="2"/>
        <v>10</v>
      </c>
      <c r="K47" s="44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7.6</v>
      </c>
      <c r="F48" s="47">
        <v>2.0</v>
      </c>
      <c r="G48" s="47">
        <v>1.0</v>
      </c>
      <c r="H48" s="48">
        <f t="shared" si="1"/>
        <v>10.6</v>
      </c>
      <c r="I48" s="44"/>
      <c r="J48" s="49">
        <f t="shared" si="2"/>
        <v>10</v>
      </c>
      <c r="K48" s="44"/>
      <c r="L48" s="51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6.4</v>
      </c>
      <c r="F49" s="47">
        <v>2.0</v>
      </c>
      <c r="G49" s="47">
        <v>1.0</v>
      </c>
      <c r="H49" s="48">
        <f t="shared" si="1"/>
        <v>9.4</v>
      </c>
      <c r="I49" s="44"/>
      <c r="J49" s="49">
        <f t="shared" si="2"/>
        <v>9</v>
      </c>
      <c r="K49" s="44"/>
      <c r="L49" s="51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7.6</v>
      </c>
      <c r="F50" s="47">
        <v>2.0</v>
      </c>
      <c r="G50" s="47">
        <v>1.0</v>
      </c>
      <c r="H50" s="48">
        <f t="shared" si="1"/>
        <v>10.6</v>
      </c>
      <c r="I50" s="44"/>
      <c r="J50" s="49">
        <f t="shared" si="2"/>
        <v>10</v>
      </c>
      <c r="K50" s="44"/>
      <c r="L50" s="51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7.2</v>
      </c>
      <c r="F51" s="47">
        <v>2.0</v>
      </c>
      <c r="G51" s="47">
        <v>1.0</v>
      </c>
      <c r="H51" s="48">
        <f t="shared" si="1"/>
        <v>10.2</v>
      </c>
      <c r="I51" s="44"/>
      <c r="J51" s="49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4"/>
      <c r="J52" s="49">
        <f t="shared" si="2"/>
        <v>10</v>
      </c>
      <c r="K52" s="44"/>
      <c r="L52" s="50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5.6</v>
      </c>
      <c r="F53" s="47">
        <v>2.0</v>
      </c>
      <c r="G53" s="48"/>
      <c r="H53" s="48">
        <f t="shared" si="1"/>
        <v>7.6</v>
      </c>
      <c r="I53" s="54">
        <v>1.0</v>
      </c>
      <c r="J53" s="49">
        <f t="shared" si="2"/>
        <v>8</v>
      </c>
      <c r="K53" s="44"/>
      <c r="L53" s="50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7.6</v>
      </c>
      <c r="F54" s="47">
        <v>2.0</v>
      </c>
      <c r="G54" s="48"/>
      <c r="H54" s="48">
        <f t="shared" si="1"/>
        <v>9.6</v>
      </c>
      <c r="I54" s="44"/>
      <c r="J54" s="49">
        <f t="shared" si="2"/>
        <v>10</v>
      </c>
      <c r="K54" s="44"/>
      <c r="L54" s="50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6.4</v>
      </c>
      <c r="F55" s="47">
        <v>2.0</v>
      </c>
      <c r="G55" s="48"/>
      <c r="H55" s="48">
        <f t="shared" si="1"/>
        <v>8.4</v>
      </c>
      <c r="I55" s="57"/>
      <c r="J55" s="49">
        <f t="shared" si="2"/>
        <v>8</v>
      </c>
      <c r="K55" s="44"/>
      <c r="L55" s="50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6.0</v>
      </c>
      <c r="F56" s="47">
        <v>2.0</v>
      </c>
      <c r="G56" s="47">
        <v>1.0</v>
      </c>
      <c r="H56" s="48">
        <f t="shared" si="1"/>
        <v>9</v>
      </c>
      <c r="I56" s="57"/>
      <c r="J56" s="49">
        <f t="shared" si="2"/>
        <v>9</v>
      </c>
      <c r="K56" s="44"/>
      <c r="L56" s="50">
        <f t="shared" si="3"/>
        <v>9</v>
      </c>
      <c r="M56" s="1"/>
      <c r="N56" s="1"/>
      <c r="O56" s="2"/>
      <c r="P56" s="2"/>
      <c r="Q56" s="2"/>
    </row>
    <row r="57" ht="24.75" customHeight="1">
      <c r="A57" s="6"/>
      <c r="B57" s="59"/>
      <c r="C57" s="59"/>
      <c r="D57" s="11"/>
      <c r="E57" s="60"/>
      <c r="F57" s="60"/>
      <c r="G57" s="60"/>
      <c r="H57" s="60"/>
      <c r="I57" s="11"/>
      <c r="J57" s="59"/>
      <c r="K57" s="7"/>
      <c r="L57" s="59"/>
      <c r="M57" s="1"/>
      <c r="N57" s="1"/>
      <c r="O57" s="2"/>
      <c r="P57" s="2"/>
      <c r="Q57" s="2"/>
    </row>
    <row r="58" ht="24.75" customHeight="1">
      <c r="A58" s="1"/>
      <c r="B58" s="61" t="s">
        <v>147</v>
      </c>
      <c r="C58" s="62"/>
      <c r="D58" s="63">
        <f>COUNT(A17:A56)</f>
        <v>40</v>
      </c>
      <c r="E58" s="60"/>
      <c r="F58" s="64" t="s">
        <v>148</v>
      </c>
      <c r="G58" s="60"/>
      <c r="H58" s="64" t="s">
        <v>149</v>
      </c>
      <c r="J58" s="65" t="s">
        <v>150</v>
      </c>
      <c r="K58" s="66" t="s">
        <v>151</v>
      </c>
      <c r="L58" s="59"/>
      <c r="M58" s="1"/>
      <c r="N58" s="1"/>
      <c r="O58" s="2"/>
      <c r="P58" s="2"/>
      <c r="Q58" s="2"/>
    </row>
    <row r="59" ht="24.75" customHeight="1">
      <c r="A59" s="1"/>
      <c r="B59" s="67" t="s">
        <v>152</v>
      </c>
      <c r="C59" s="68"/>
      <c r="D59" s="69">
        <f>COUNTIF(J17:J56,"BAJA")</f>
        <v>0</v>
      </c>
      <c r="E59" s="60"/>
      <c r="G59" s="60"/>
      <c r="K59" s="9"/>
      <c r="L59" s="59"/>
      <c r="M59" s="1"/>
      <c r="N59" s="1"/>
      <c r="O59" s="2"/>
      <c r="P59" s="2"/>
      <c r="Q59" s="2"/>
    </row>
    <row r="60" ht="24.75" customHeight="1">
      <c r="A60" s="1"/>
      <c r="B60" s="67" t="s">
        <v>153</v>
      </c>
      <c r="C60" s="68"/>
      <c r="D60" s="70">
        <f>D58-D59</f>
        <v>40</v>
      </c>
      <c r="E60" s="60"/>
      <c r="F60" s="60"/>
      <c r="G60" s="60"/>
      <c r="H60" s="60"/>
      <c r="I60" s="11"/>
      <c r="J60" s="59"/>
      <c r="K60" s="7"/>
      <c r="L60" s="59"/>
      <c r="M60" s="1"/>
      <c r="N60" s="1"/>
      <c r="O60" s="2"/>
      <c r="P60" s="2"/>
      <c r="Q60" s="2"/>
    </row>
    <row r="61" ht="24.75" customHeight="1">
      <c r="A61" s="1"/>
      <c r="B61" s="67" t="s">
        <v>154</v>
      </c>
      <c r="C61" s="68"/>
      <c r="D61" s="71">
        <f>COUNTIF(J17:J56,"&gt;=6")</f>
        <v>39</v>
      </c>
      <c r="E61" s="60"/>
      <c r="F61" s="60"/>
      <c r="G61" s="60"/>
      <c r="H61" s="60"/>
      <c r="I61" s="11"/>
      <c r="J61" s="59"/>
      <c r="K61" s="7"/>
      <c r="L61" s="59"/>
      <c r="M61" s="1"/>
      <c r="N61" s="1"/>
      <c r="O61" s="2"/>
      <c r="P61" s="2"/>
      <c r="Q61" s="2"/>
    </row>
    <row r="62" ht="24.75" customHeight="1">
      <c r="A62" s="1"/>
      <c r="B62" s="67" t="s">
        <v>155</v>
      </c>
      <c r="C62" s="68"/>
      <c r="D62" s="71">
        <f>D60-D61</f>
        <v>1</v>
      </c>
      <c r="E62" s="60"/>
      <c r="F62" s="72"/>
      <c r="G62" s="60"/>
      <c r="H62" s="72"/>
      <c r="I62" s="107"/>
      <c r="J62" s="73"/>
      <c r="K62" s="74"/>
      <c r="L62" s="59"/>
      <c r="M62" s="1"/>
      <c r="N62" s="1"/>
      <c r="O62" s="2"/>
      <c r="P62" s="2"/>
      <c r="Q62" s="2"/>
    </row>
    <row r="63" ht="36.0" customHeight="1">
      <c r="A63" s="1"/>
      <c r="B63" s="67" t="s">
        <v>156</v>
      </c>
      <c r="C63" s="68"/>
      <c r="D63" s="75">
        <f>D61*100/D60</f>
        <v>97.5</v>
      </c>
      <c r="E63" s="60"/>
      <c r="F63" s="76" t="s">
        <v>157</v>
      </c>
      <c r="G63" s="60"/>
      <c r="H63" s="77" t="s">
        <v>158</v>
      </c>
      <c r="J63" s="78" t="s">
        <v>159</v>
      </c>
      <c r="K63" s="79" t="s">
        <v>160</v>
      </c>
      <c r="L63" s="59"/>
      <c r="M63" s="1"/>
      <c r="N63" s="1"/>
      <c r="O63" s="2"/>
      <c r="P63" s="2"/>
      <c r="Q63" s="2"/>
    </row>
    <row r="64" ht="24.75" customHeight="1">
      <c r="A64" s="1"/>
      <c r="B64" s="80" t="s">
        <v>161</v>
      </c>
      <c r="C64" s="81"/>
      <c r="D64" s="82">
        <f>AVERAGE(J17:J56)</f>
        <v>8.925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83"/>
      <c r="B65" s="84"/>
      <c r="C65" s="84"/>
      <c r="D65" s="86"/>
      <c r="E65" s="85"/>
      <c r="F65" s="85"/>
      <c r="G65" s="85"/>
      <c r="H65" s="85"/>
      <c r="I65" s="86"/>
      <c r="J65" s="84"/>
      <c r="K65" s="87"/>
      <c r="L65" s="84"/>
      <c r="M65" s="2"/>
      <c r="N65" s="2"/>
      <c r="O65" s="2"/>
      <c r="P65" s="2"/>
      <c r="Q65" s="2"/>
    </row>
    <row r="66" ht="24.75" customHeight="1">
      <c r="A66" s="88"/>
      <c r="B66" s="89"/>
      <c r="C66" s="90"/>
      <c r="D66" s="90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08"/>
      <c r="B67" s="92"/>
      <c r="C67" s="92"/>
      <c r="D67" s="92"/>
      <c r="E67" s="91"/>
      <c r="F67" s="85"/>
      <c r="G67" s="85"/>
      <c r="H67" s="85"/>
      <c r="I67" s="85"/>
      <c r="J67" s="84"/>
      <c r="K67" s="87"/>
      <c r="L67" s="84"/>
      <c r="M67" s="2"/>
      <c r="N67" s="2"/>
      <c r="O67" s="2"/>
      <c r="P67" s="2"/>
      <c r="Q67" s="2"/>
    </row>
    <row r="68" ht="24.75" customHeight="1">
      <c r="A68" s="108"/>
      <c r="B68" s="92"/>
      <c r="C68" s="92"/>
      <c r="D68" s="96"/>
      <c r="E68" s="91"/>
      <c r="F68" s="85"/>
      <c r="G68" s="85"/>
      <c r="H68" s="85"/>
      <c r="I68" s="85"/>
      <c r="J68" s="84"/>
      <c r="K68" s="87"/>
      <c r="L68" s="84"/>
      <c r="M68" s="2"/>
      <c r="N68" s="2"/>
      <c r="O68" s="2"/>
      <c r="P68" s="2"/>
      <c r="Q68" s="2"/>
    </row>
    <row r="69" ht="24.75" customHeight="1">
      <c r="A69" s="109"/>
      <c r="B69" s="100"/>
      <c r="C69" s="100"/>
      <c r="D69" s="110"/>
      <c r="E69" s="111"/>
      <c r="F69" s="101"/>
      <c r="G69" s="101"/>
      <c r="H69" s="101"/>
      <c r="I69" s="101"/>
      <c r="J69" s="103"/>
      <c r="K69" s="104"/>
      <c r="L69" s="84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5"/>
      <c r="G70" s="85"/>
      <c r="H70" s="85"/>
      <c r="I70" s="86"/>
      <c r="J70" s="112"/>
      <c r="K70" s="106"/>
      <c r="L70" s="112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2"/>
      <c r="E71" s="91"/>
      <c r="F71" s="85"/>
      <c r="G71" s="85"/>
      <c r="H71" s="85"/>
      <c r="I71" s="85"/>
      <c r="J71" s="112"/>
      <c r="K71" s="106"/>
      <c r="L71" s="112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0" priority="1" stopIfTrue="1" operator="greaterThan">
      <formula>5</formula>
    </cfRule>
  </conditionalFormatting>
  <conditionalFormatting sqref="J17:J56">
    <cfRule type="cellIs" dxfId="1" priority="2" stopIfTrue="1" operator="equal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113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6.8</v>
      </c>
      <c r="F17" s="47">
        <v>2.0</v>
      </c>
      <c r="G17" s="48"/>
      <c r="H17" s="48">
        <f t="shared" ref="H17:H61" si="1">SUM(E17:G17)</f>
        <v>8.8</v>
      </c>
      <c r="I17" s="44"/>
      <c r="J17" s="49">
        <f t="shared" ref="J17:J61" si="2">IF(H17&lt;6, 5, MIN(10, ROUND(H17, 0)))</f>
        <v>9</v>
      </c>
      <c r="K17" s="50"/>
      <c r="L17" s="51">
        <f t="shared" ref="L17:L61" si="3">IF(H17&gt;=6,ROUND(H17,0),TRUNC(H17,0))</f>
        <v>9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6.8</v>
      </c>
      <c r="F18" s="47">
        <v>2.0</v>
      </c>
      <c r="G18" s="47">
        <v>1.0</v>
      </c>
      <c r="H18" s="48">
        <f t="shared" si="1"/>
        <v>9.8</v>
      </c>
      <c r="I18" s="54">
        <v>1.0</v>
      </c>
      <c r="J18" s="49">
        <f t="shared" si="2"/>
        <v>10</v>
      </c>
      <c r="K18" s="44"/>
      <c r="L18" s="51">
        <f t="shared" si="3"/>
        <v>10</v>
      </c>
      <c r="M18" s="53" t="s">
        <v>28</v>
      </c>
      <c r="N18" s="54">
        <v>3.0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7.6</v>
      </c>
      <c r="F19" s="47">
        <v>2.0</v>
      </c>
      <c r="G19" s="48"/>
      <c r="H19" s="48">
        <f t="shared" si="1"/>
        <v>9.6</v>
      </c>
      <c r="I19" s="44"/>
      <c r="J19" s="49">
        <f t="shared" si="2"/>
        <v>10</v>
      </c>
      <c r="K19" s="44"/>
      <c r="L19" s="51">
        <f t="shared" si="3"/>
        <v>10</v>
      </c>
      <c r="M19" s="53" t="s">
        <v>32</v>
      </c>
      <c r="N19" s="54">
        <v>4.0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7.6</v>
      </c>
      <c r="F20" s="47">
        <v>2.0</v>
      </c>
      <c r="G20" s="48"/>
      <c r="H20" s="48">
        <f t="shared" si="1"/>
        <v>9.6</v>
      </c>
      <c r="I20" s="54">
        <v>1.0</v>
      </c>
      <c r="J20" s="49">
        <f t="shared" si="2"/>
        <v>10</v>
      </c>
      <c r="K20" s="44"/>
      <c r="L20" s="51">
        <f t="shared" si="3"/>
        <v>10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7.6</v>
      </c>
      <c r="F21" s="47">
        <v>2.0</v>
      </c>
      <c r="G21" s="48"/>
      <c r="H21" s="48">
        <f t="shared" si="1"/>
        <v>9.6</v>
      </c>
      <c r="I21" s="44"/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6.0</v>
      </c>
      <c r="F22" s="47">
        <v>2.0</v>
      </c>
      <c r="G22" s="48"/>
      <c r="H22" s="48">
        <f t="shared" si="1"/>
        <v>8</v>
      </c>
      <c r="I22" s="44"/>
      <c r="J22" s="49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47">
        <v>7.2</v>
      </c>
      <c r="F23" s="47">
        <v>2.0</v>
      </c>
      <c r="G23" s="48"/>
      <c r="H23" s="48">
        <f t="shared" si="1"/>
        <v>9.2</v>
      </c>
      <c r="I23" s="44"/>
      <c r="J23" s="49">
        <f t="shared" si="2"/>
        <v>9</v>
      </c>
      <c r="K23" s="44"/>
      <c r="L23" s="51">
        <f t="shared" si="3"/>
        <v>9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6.4</v>
      </c>
      <c r="F24" s="47">
        <v>2.0</v>
      </c>
      <c r="G24" s="47">
        <v>1.0</v>
      </c>
      <c r="H24" s="48">
        <f t="shared" si="1"/>
        <v>9.4</v>
      </c>
      <c r="I24" s="44"/>
      <c r="J24" s="49">
        <f t="shared" si="2"/>
        <v>9</v>
      </c>
      <c r="K24" s="44"/>
      <c r="L24" s="51">
        <f t="shared" si="3"/>
        <v>9</v>
      </c>
      <c r="M24" s="53" t="s">
        <v>51</v>
      </c>
      <c r="N24" s="53">
        <f>SUM(N18:N23)</f>
        <v>7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6.4</v>
      </c>
      <c r="F25" s="47">
        <v>2.0</v>
      </c>
      <c r="G25" s="47">
        <v>1.0</v>
      </c>
      <c r="H25" s="48">
        <f t="shared" si="1"/>
        <v>9.4</v>
      </c>
      <c r="I25" s="44"/>
      <c r="J25" s="49">
        <f t="shared" si="2"/>
        <v>9</v>
      </c>
      <c r="K25" s="44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4.0</v>
      </c>
      <c r="F26" s="47">
        <v>2.0</v>
      </c>
      <c r="G26" s="48"/>
      <c r="H26" s="48">
        <f t="shared" si="1"/>
        <v>6</v>
      </c>
      <c r="I26" s="54">
        <v>1.0</v>
      </c>
      <c r="J26" s="49">
        <f t="shared" si="2"/>
        <v>6</v>
      </c>
      <c r="K26" s="44"/>
      <c r="L26" s="51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6.4</v>
      </c>
      <c r="F27" s="47">
        <v>2.0</v>
      </c>
      <c r="G27" s="48"/>
      <c r="H27" s="48">
        <f t="shared" si="1"/>
        <v>8.4</v>
      </c>
      <c r="I27" s="44"/>
      <c r="J27" s="49">
        <f t="shared" si="2"/>
        <v>8</v>
      </c>
      <c r="K27" s="44"/>
      <c r="L27" s="51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5.6</v>
      </c>
      <c r="F28" s="47">
        <v>2.0</v>
      </c>
      <c r="G28" s="47">
        <v>1.0</v>
      </c>
      <c r="H28" s="48">
        <f t="shared" si="1"/>
        <v>8.6</v>
      </c>
      <c r="I28" s="44"/>
      <c r="J28" s="49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7.6</v>
      </c>
      <c r="F29" s="47">
        <v>2.0</v>
      </c>
      <c r="G29" s="48"/>
      <c r="H29" s="48">
        <f t="shared" si="1"/>
        <v>9.6</v>
      </c>
      <c r="I29" s="54">
        <v>1.0</v>
      </c>
      <c r="J29" s="49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5.6</v>
      </c>
      <c r="F30" s="47">
        <v>2.0</v>
      </c>
      <c r="G30" s="48"/>
      <c r="H30" s="48">
        <f t="shared" si="1"/>
        <v>7.6</v>
      </c>
      <c r="I30" s="54">
        <v>1.0</v>
      </c>
      <c r="J30" s="49">
        <f t="shared" si="2"/>
        <v>8</v>
      </c>
      <c r="K30" s="44"/>
      <c r="L30" s="51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7.2</v>
      </c>
      <c r="F31" s="47">
        <v>2.0</v>
      </c>
      <c r="G31" s="48"/>
      <c r="H31" s="48">
        <f t="shared" si="1"/>
        <v>9.2</v>
      </c>
      <c r="I31" s="44"/>
      <c r="J31" s="49">
        <f t="shared" si="2"/>
        <v>9</v>
      </c>
      <c r="K31" s="44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6.8</v>
      </c>
      <c r="F32" s="47">
        <v>2.0</v>
      </c>
      <c r="G32" s="48"/>
      <c r="H32" s="48">
        <f t="shared" si="1"/>
        <v>8.8</v>
      </c>
      <c r="I32" s="44"/>
      <c r="J32" s="49">
        <f t="shared" si="2"/>
        <v>9</v>
      </c>
      <c r="K32" s="44"/>
      <c r="L32" s="51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7.2</v>
      </c>
      <c r="F33" s="47">
        <v>2.0</v>
      </c>
      <c r="G33" s="48"/>
      <c r="H33" s="48">
        <f t="shared" si="1"/>
        <v>9.2</v>
      </c>
      <c r="I33" s="44"/>
      <c r="J33" s="49">
        <f t="shared" si="2"/>
        <v>9</v>
      </c>
      <c r="K33" s="44"/>
      <c r="L33" s="51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6.8</v>
      </c>
      <c r="F34" s="47">
        <v>2.0</v>
      </c>
      <c r="G34" s="48"/>
      <c r="H34" s="48">
        <f t="shared" si="1"/>
        <v>8.8</v>
      </c>
      <c r="I34" s="44"/>
      <c r="J34" s="49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4.0</v>
      </c>
      <c r="F35" s="47">
        <v>2.0</v>
      </c>
      <c r="G35" s="48"/>
      <c r="H35" s="48">
        <f t="shared" si="1"/>
        <v>6</v>
      </c>
      <c r="I35" s="44"/>
      <c r="J35" s="49">
        <f t="shared" si="2"/>
        <v>6</v>
      </c>
      <c r="K35" s="44"/>
      <c r="L35" s="51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4.8</v>
      </c>
      <c r="F36" s="47">
        <v>2.0</v>
      </c>
      <c r="G36" s="48"/>
      <c r="H36" s="48">
        <f t="shared" si="1"/>
        <v>6.8</v>
      </c>
      <c r="I36" s="44"/>
      <c r="J36" s="49">
        <f t="shared" si="2"/>
        <v>7</v>
      </c>
      <c r="K36" s="44"/>
      <c r="L36" s="51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6.0</v>
      </c>
      <c r="F37" s="47">
        <v>2.0</v>
      </c>
      <c r="G37" s="48"/>
      <c r="H37" s="48">
        <f t="shared" si="1"/>
        <v>8</v>
      </c>
      <c r="I37" s="44"/>
      <c r="J37" s="49">
        <f t="shared" si="2"/>
        <v>8</v>
      </c>
      <c r="K37" s="44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6.4</v>
      </c>
      <c r="F38" s="47">
        <v>2.0</v>
      </c>
      <c r="G38" s="48"/>
      <c r="H38" s="48">
        <f t="shared" si="1"/>
        <v>8.4</v>
      </c>
      <c r="I38" s="54">
        <v>1.0</v>
      </c>
      <c r="J38" s="49">
        <f t="shared" si="2"/>
        <v>8</v>
      </c>
      <c r="K38" s="44"/>
      <c r="L38" s="51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6.4</v>
      </c>
      <c r="F39" s="47">
        <v>2.0</v>
      </c>
      <c r="G39" s="47">
        <v>1.0</v>
      </c>
      <c r="H39" s="48">
        <f t="shared" si="1"/>
        <v>9.4</v>
      </c>
      <c r="I39" s="44"/>
      <c r="J39" s="49">
        <f t="shared" si="2"/>
        <v>9</v>
      </c>
      <c r="K39" s="44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54">
        <v>1.0</v>
      </c>
      <c r="J40" s="49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7.2</v>
      </c>
      <c r="F41" s="47">
        <v>2.0</v>
      </c>
      <c r="G41" s="48"/>
      <c r="H41" s="48">
        <f t="shared" si="1"/>
        <v>9.2</v>
      </c>
      <c r="I41" s="54">
        <v>1.0</v>
      </c>
      <c r="J41" s="49">
        <f t="shared" si="2"/>
        <v>9</v>
      </c>
      <c r="K41" s="44"/>
      <c r="L41" s="51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6.8</v>
      </c>
      <c r="F42" s="47">
        <v>2.0</v>
      </c>
      <c r="G42" s="48"/>
      <c r="H42" s="48">
        <f t="shared" si="1"/>
        <v>8.8</v>
      </c>
      <c r="I42" s="44"/>
      <c r="J42" s="49">
        <f t="shared" si="2"/>
        <v>9</v>
      </c>
      <c r="K42" s="44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5.4</v>
      </c>
      <c r="F43" s="47">
        <v>2.0</v>
      </c>
      <c r="G43" s="47">
        <v>1.0</v>
      </c>
      <c r="H43" s="48">
        <f t="shared" si="1"/>
        <v>8.4</v>
      </c>
      <c r="I43" s="44"/>
      <c r="J43" s="49">
        <f t="shared" si="2"/>
        <v>8</v>
      </c>
      <c r="K43" s="44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5.0</v>
      </c>
      <c r="F44" s="47">
        <v>2.0</v>
      </c>
      <c r="G44" s="48"/>
      <c r="H44" s="48">
        <f t="shared" si="1"/>
        <v>7</v>
      </c>
      <c r="I44" s="44"/>
      <c r="J44" s="49">
        <f t="shared" si="2"/>
        <v>7</v>
      </c>
      <c r="K44" s="44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7.2</v>
      </c>
      <c r="F45" s="47">
        <v>2.0</v>
      </c>
      <c r="G45" s="48"/>
      <c r="H45" s="48">
        <f t="shared" si="1"/>
        <v>9.2</v>
      </c>
      <c r="I45" s="44"/>
      <c r="J45" s="49">
        <f t="shared" si="2"/>
        <v>9</v>
      </c>
      <c r="K45" s="44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5.0</v>
      </c>
      <c r="F46" s="47">
        <v>2.0</v>
      </c>
      <c r="G46" s="48"/>
      <c r="H46" s="48">
        <f t="shared" si="1"/>
        <v>7</v>
      </c>
      <c r="I46" s="44"/>
      <c r="J46" s="49">
        <f t="shared" si="2"/>
        <v>7</v>
      </c>
      <c r="K46" s="44"/>
      <c r="L46" s="51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5.0</v>
      </c>
      <c r="F47" s="47">
        <v>2.0</v>
      </c>
      <c r="G47" s="48"/>
      <c r="H47" s="48">
        <f t="shared" si="1"/>
        <v>7</v>
      </c>
      <c r="I47" s="44"/>
      <c r="J47" s="49">
        <f t="shared" si="2"/>
        <v>7</v>
      </c>
      <c r="K47" s="44"/>
      <c r="L47" s="51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7.2</v>
      </c>
      <c r="F48" s="47">
        <v>2.0</v>
      </c>
      <c r="G48" s="48"/>
      <c r="H48" s="48">
        <f t="shared" si="1"/>
        <v>9.2</v>
      </c>
      <c r="I48" s="44"/>
      <c r="J48" s="49">
        <f t="shared" si="2"/>
        <v>9</v>
      </c>
      <c r="K48" s="44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5.2</v>
      </c>
      <c r="F49" s="47">
        <v>2.0</v>
      </c>
      <c r="G49" s="48"/>
      <c r="H49" s="48">
        <f t="shared" si="1"/>
        <v>7.2</v>
      </c>
      <c r="I49" s="54">
        <v>1.0</v>
      </c>
      <c r="J49" s="49">
        <f t="shared" si="2"/>
        <v>7</v>
      </c>
      <c r="K49" s="44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6.4</v>
      </c>
      <c r="F50" s="47">
        <v>2.0</v>
      </c>
      <c r="G50" s="48"/>
      <c r="H50" s="48">
        <f t="shared" si="1"/>
        <v>8.4</v>
      </c>
      <c r="I50" s="44"/>
      <c r="J50" s="49">
        <f t="shared" si="2"/>
        <v>8</v>
      </c>
      <c r="K50" s="44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6.8</v>
      </c>
      <c r="F51" s="47">
        <v>2.0</v>
      </c>
      <c r="G51" s="47">
        <v>1.0</v>
      </c>
      <c r="H51" s="48">
        <f t="shared" si="1"/>
        <v>9.8</v>
      </c>
      <c r="I51" s="44"/>
      <c r="J51" s="49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6.4</v>
      </c>
      <c r="F52" s="47">
        <v>2.0</v>
      </c>
      <c r="G52" s="48"/>
      <c r="H52" s="48">
        <f t="shared" si="1"/>
        <v>8.4</v>
      </c>
      <c r="I52" s="44"/>
      <c r="J52" s="49">
        <f t="shared" si="2"/>
        <v>8</v>
      </c>
      <c r="K52" s="44"/>
      <c r="L52" s="50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7.2</v>
      </c>
      <c r="F53" s="47">
        <v>2.0</v>
      </c>
      <c r="G53" s="48"/>
      <c r="H53" s="48">
        <f t="shared" si="1"/>
        <v>9.2</v>
      </c>
      <c r="I53" s="54">
        <v>1.0</v>
      </c>
      <c r="J53" s="49">
        <f t="shared" si="2"/>
        <v>9</v>
      </c>
      <c r="K53" s="44"/>
      <c r="L53" s="50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6.0</v>
      </c>
      <c r="F54" s="47">
        <v>2.0</v>
      </c>
      <c r="G54" s="48"/>
      <c r="H54" s="48">
        <f t="shared" si="1"/>
        <v>8</v>
      </c>
      <c r="I54" s="44"/>
      <c r="J54" s="49">
        <f t="shared" si="2"/>
        <v>8</v>
      </c>
      <c r="K54" s="44"/>
      <c r="L54" s="50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4.8</v>
      </c>
      <c r="F55" s="47">
        <v>2.0</v>
      </c>
      <c r="G55" s="48"/>
      <c r="H55" s="48">
        <f t="shared" si="1"/>
        <v>6.8</v>
      </c>
      <c r="I55" s="57"/>
      <c r="J55" s="49">
        <f t="shared" si="2"/>
        <v>7</v>
      </c>
      <c r="K55" s="44"/>
      <c r="L55" s="50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7.6</v>
      </c>
      <c r="F56" s="47">
        <v>2.0</v>
      </c>
      <c r="G56" s="47">
        <v>1.0</v>
      </c>
      <c r="H56" s="48">
        <f t="shared" si="1"/>
        <v>10.6</v>
      </c>
      <c r="I56" s="57"/>
      <c r="J56" s="49">
        <f t="shared" si="2"/>
        <v>10</v>
      </c>
      <c r="K56" s="44"/>
      <c r="L56" s="50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4.4</v>
      </c>
      <c r="F57" s="47">
        <v>2.0</v>
      </c>
      <c r="G57" s="48"/>
      <c r="H57" s="48">
        <f t="shared" si="1"/>
        <v>6.4</v>
      </c>
      <c r="I57" s="57"/>
      <c r="J57" s="49">
        <f t="shared" si="2"/>
        <v>6</v>
      </c>
      <c r="K57" s="44"/>
      <c r="L57" s="50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4.0</v>
      </c>
      <c r="F58" s="47">
        <v>2.0</v>
      </c>
      <c r="G58" s="48"/>
      <c r="H58" s="48">
        <f t="shared" si="1"/>
        <v>6</v>
      </c>
      <c r="I58" s="48"/>
      <c r="J58" s="49">
        <f t="shared" si="2"/>
        <v>6</v>
      </c>
      <c r="K58" s="44"/>
      <c r="L58" s="50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3.6</v>
      </c>
      <c r="F59" s="47">
        <v>2.0</v>
      </c>
      <c r="G59" s="48"/>
      <c r="H59" s="48">
        <f t="shared" si="1"/>
        <v>5.6</v>
      </c>
      <c r="I59" s="47">
        <v>2.0</v>
      </c>
      <c r="J59" s="49">
        <f t="shared" si="2"/>
        <v>5</v>
      </c>
      <c r="K59" s="44"/>
      <c r="L59" s="50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6.4</v>
      </c>
      <c r="F60" s="47">
        <v>2.0</v>
      </c>
      <c r="G60" s="47">
        <v>1.0</v>
      </c>
      <c r="H60" s="48">
        <f t="shared" si="1"/>
        <v>9.4</v>
      </c>
      <c r="I60" s="57"/>
      <c r="J60" s="49">
        <f t="shared" si="2"/>
        <v>9</v>
      </c>
      <c r="K60" s="44"/>
      <c r="L60" s="50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6.4</v>
      </c>
      <c r="F61" s="47">
        <v>2.0</v>
      </c>
      <c r="G61" s="48"/>
      <c r="H61" s="48">
        <f t="shared" si="1"/>
        <v>8.4</v>
      </c>
      <c r="I61" s="57"/>
      <c r="J61" s="49">
        <f t="shared" si="2"/>
        <v>8</v>
      </c>
      <c r="K61" s="44"/>
      <c r="L61" s="50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59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114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115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5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44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1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97.77777778</v>
      </c>
      <c r="E68" s="60"/>
      <c r="F68" s="76" t="s">
        <v>157</v>
      </c>
      <c r="G68" s="60"/>
      <c r="H68" s="77" t="s">
        <v>335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8.333333333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5"/>
      <c r="G73" s="2"/>
      <c r="H73" s="85"/>
      <c r="I73" s="85"/>
      <c r="J73" s="84"/>
      <c r="K73" s="87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2"/>
      <c r="H74" s="101"/>
      <c r="I74" s="101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12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113" t="s">
        <v>336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54">
        <v>1.0</v>
      </c>
      <c r="J17" s="49">
        <f t="shared" ref="J17:J61" si="2">IF(H17&lt;6, 5, MIN(10, ROUND(H17, 0)))</f>
        <v>10</v>
      </c>
      <c r="K17" s="50"/>
      <c r="L17" s="51">
        <f t="shared" ref="L17:L61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4"/>
      <c r="J18" s="49">
        <f t="shared" si="2"/>
        <v>10</v>
      </c>
      <c r="K18" s="44"/>
      <c r="L18" s="51">
        <f t="shared" si="3"/>
        <v>10</v>
      </c>
      <c r="M18" s="53" t="s">
        <v>28</v>
      </c>
      <c r="N18" s="54">
        <v>7.0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8.0</v>
      </c>
      <c r="F19" s="47">
        <v>2.0</v>
      </c>
      <c r="G19" s="48"/>
      <c r="H19" s="48">
        <f t="shared" si="1"/>
        <v>10</v>
      </c>
      <c r="I19" s="44"/>
      <c r="J19" s="49">
        <f t="shared" si="2"/>
        <v>10</v>
      </c>
      <c r="K19" s="44"/>
      <c r="L19" s="51">
        <f t="shared" si="3"/>
        <v>10</v>
      </c>
      <c r="M19" s="53" t="s">
        <v>32</v>
      </c>
      <c r="N19" s="54">
        <v>12.0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8.0</v>
      </c>
      <c r="F20" s="47">
        <v>2.0</v>
      </c>
      <c r="G20" s="48"/>
      <c r="H20" s="48">
        <f t="shared" si="1"/>
        <v>10</v>
      </c>
      <c r="I20" s="54">
        <v>1.0</v>
      </c>
      <c r="J20" s="49">
        <f t="shared" si="2"/>
        <v>10</v>
      </c>
      <c r="K20" s="44"/>
      <c r="L20" s="51">
        <f t="shared" si="3"/>
        <v>10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8.0</v>
      </c>
      <c r="F21" s="47">
        <v>2.0</v>
      </c>
      <c r="G21" s="48"/>
      <c r="H21" s="48">
        <f t="shared" si="1"/>
        <v>10</v>
      </c>
      <c r="I21" s="44"/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6.0</v>
      </c>
      <c r="F22" s="47">
        <v>2.0</v>
      </c>
      <c r="G22" s="48"/>
      <c r="H22" s="48">
        <f t="shared" si="1"/>
        <v>8</v>
      </c>
      <c r="I22" s="54">
        <v>2.0</v>
      </c>
      <c r="J22" s="49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47">
        <v>6.0</v>
      </c>
      <c r="F23" s="47">
        <v>2.0</v>
      </c>
      <c r="G23" s="48"/>
      <c r="H23" s="48">
        <f t="shared" si="1"/>
        <v>8</v>
      </c>
      <c r="I23" s="54">
        <v>3.0</v>
      </c>
      <c r="J23" s="49">
        <f t="shared" si="2"/>
        <v>8</v>
      </c>
      <c r="K23" s="44"/>
      <c r="L23" s="51">
        <f t="shared" si="3"/>
        <v>8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8.0</v>
      </c>
      <c r="F24" s="47">
        <v>2.0</v>
      </c>
      <c r="G24" s="47">
        <v>1.0</v>
      </c>
      <c r="H24" s="48">
        <f t="shared" si="1"/>
        <v>11</v>
      </c>
      <c r="I24" s="44"/>
      <c r="J24" s="49">
        <f t="shared" si="2"/>
        <v>10</v>
      </c>
      <c r="K24" s="44"/>
      <c r="L24" s="51">
        <f t="shared" si="3"/>
        <v>11</v>
      </c>
      <c r="M24" s="53" t="s">
        <v>51</v>
      </c>
      <c r="N24" s="53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7.0</v>
      </c>
      <c r="F25" s="47">
        <v>2.0</v>
      </c>
      <c r="G25" s="47">
        <v>1.0</v>
      </c>
      <c r="H25" s="48">
        <f t="shared" si="1"/>
        <v>10</v>
      </c>
      <c r="I25" s="54">
        <v>1.0</v>
      </c>
      <c r="J25" s="49">
        <f t="shared" si="2"/>
        <v>10</v>
      </c>
      <c r="K25" s="44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6.0</v>
      </c>
      <c r="F26" s="47">
        <v>2.0</v>
      </c>
      <c r="G26" s="48"/>
      <c r="H26" s="48">
        <f t="shared" si="1"/>
        <v>8</v>
      </c>
      <c r="I26" s="44"/>
      <c r="J26" s="49">
        <f t="shared" si="2"/>
        <v>8</v>
      </c>
      <c r="K26" s="44"/>
      <c r="L26" s="51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7.0</v>
      </c>
      <c r="F27" s="47">
        <v>2.0</v>
      </c>
      <c r="G27" s="48"/>
      <c r="H27" s="48">
        <f t="shared" si="1"/>
        <v>9</v>
      </c>
      <c r="I27" s="44"/>
      <c r="J27" s="49">
        <f t="shared" si="2"/>
        <v>9</v>
      </c>
      <c r="K27" s="44"/>
      <c r="L27" s="51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8.0</v>
      </c>
      <c r="F28" s="47">
        <v>2.0</v>
      </c>
      <c r="G28" s="47">
        <v>1.0</v>
      </c>
      <c r="H28" s="48">
        <f t="shared" si="1"/>
        <v>11</v>
      </c>
      <c r="I28" s="44"/>
      <c r="J28" s="49">
        <f t="shared" si="2"/>
        <v>10</v>
      </c>
      <c r="K28" s="44"/>
      <c r="L28" s="51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8.0</v>
      </c>
      <c r="F29" s="47">
        <v>2.0</v>
      </c>
      <c r="G29" s="48"/>
      <c r="H29" s="48">
        <f t="shared" si="1"/>
        <v>10</v>
      </c>
      <c r="I29" s="54">
        <v>1.0</v>
      </c>
      <c r="J29" s="49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5.0</v>
      </c>
      <c r="F30" s="47">
        <v>2.0</v>
      </c>
      <c r="G30" s="48"/>
      <c r="H30" s="48">
        <f t="shared" si="1"/>
        <v>7</v>
      </c>
      <c r="I30" s="54">
        <v>2.0</v>
      </c>
      <c r="J30" s="49">
        <f t="shared" si="2"/>
        <v>7</v>
      </c>
      <c r="K30" s="44"/>
      <c r="L30" s="51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8.0</v>
      </c>
      <c r="F31" s="47">
        <v>2.0</v>
      </c>
      <c r="G31" s="48"/>
      <c r="H31" s="48">
        <f t="shared" si="1"/>
        <v>10</v>
      </c>
      <c r="I31" s="54">
        <v>1.0</v>
      </c>
      <c r="J31" s="49">
        <f t="shared" si="2"/>
        <v>10</v>
      </c>
      <c r="K31" s="44"/>
      <c r="L31" s="51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8.0</v>
      </c>
      <c r="F32" s="47">
        <v>2.0</v>
      </c>
      <c r="G32" s="48"/>
      <c r="H32" s="48">
        <f t="shared" si="1"/>
        <v>10</v>
      </c>
      <c r="I32" s="54">
        <v>1.0</v>
      </c>
      <c r="J32" s="49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6.0</v>
      </c>
      <c r="F33" s="47">
        <v>2.0</v>
      </c>
      <c r="G33" s="48"/>
      <c r="H33" s="48">
        <f t="shared" si="1"/>
        <v>8</v>
      </c>
      <c r="I33" s="54">
        <v>2.0</v>
      </c>
      <c r="J33" s="49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8.0</v>
      </c>
      <c r="F34" s="47">
        <v>2.0</v>
      </c>
      <c r="G34" s="48"/>
      <c r="H34" s="48">
        <f t="shared" si="1"/>
        <v>10</v>
      </c>
      <c r="I34" s="44"/>
      <c r="J34" s="49">
        <f t="shared" si="2"/>
        <v>10</v>
      </c>
      <c r="K34" s="44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7.0</v>
      </c>
      <c r="F35" s="47">
        <v>2.0</v>
      </c>
      <c r="G35" s="48"/>
      <c r="H35" s="48">
        <f t="shared" si="1"/>
        <v>9</v>
      </c>
      <c r="I35" s="54">
        <v>1.0</v>
      </c>
      <c r="J35" s="49">
        <f t="shared" si="2"/>
        <v>9</v>
      </c>
      <c r="K35" s="44"/>
      <c r="L35" s="51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5.0</v>
      </c>
      <c r="F36" s="47">
        <v>2.0</v>
      </c>
      <c r="G36" s="48"/>
      <c r="H36" s="48">
        <f t="shared" si="1"/>
        <v>7</v>
      </c>
      <c r="I36" s="54">
        <v>1.0</v>
      </c>
      <c r="J36" s="49">
        <f t="shared" si="2"/>
        <v>7</v>
      </c>
      <c r="K36" s="44"/>
      <c r="L36" s="51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5.0</v>
      </c>
      <c r="F37" s="47">
        <v>2.0</v>
      </c>
      <c r="G37" s="48"/>
      <c r="H37" s="48">
        <f t="shared" si="1"/>
        <v>7</v>
      </c>
      <c r="I37" s="54">
        <v>2.0</v>
      </c>
      <c r="J37" s="49">
        <f t="shared" si="2"/>
        <v>7</v>
      </c>
      <c r="K37" s="44"/>
      <c r="L37" s="51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5.0</v>
      </c>
      <c r="F38" s="47">
        <v>2.0</v>
      </c>
      <c r="G38" s="48"/>
      <c r="H38" s="48">
        <f t="shared" si="1"/>
        <v>7</v>
      </c>
      <c r="I38" s="54">
        <v>2.0</v>
      </c>
      <c r="J38" s="49">
        <f t="shared" si="2"/>
        <v>7</v>
      </c>
      <c r="K38" s="44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7.0</v>
      </c>
      <c r="F39" s="47">
        <v>2.0</v>
      </c>
      <c r="G39" s="47">
        <v>1.0</v>
      </c>
      <c r="H39" s="48">
        <f t="shared" si="1"/>
        <v>10</v>
      </c>
      <c r="I39" s="54">
        <v>1.0</v>
      </c>
      <c r="J39" s="49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54">
        <v>2.0</v>
      </c>
      <c r="J40" s="49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4"/>
      <c r="J41" s="49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8.0</v>
      </c>
      <c r="F42" s="47">
        <v>2.0</v>
      </c>
      <c r="G42" s="48"/>
      <c r="H42" s="48">
        <f t="shared" si="1"/>
        <v>10</v>
      </c>
      <c r="I42" s="44"/>
      <c r="J42" s="49">
        <f t="shared" si="2"/>
        <v>10</v>
      </c>
      <c r="K42" s="44"/>
      <c r="L42" s="51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8.0</v>
      </c>
      <c r="F43" s="47">
        <v>2.0</v>
      </c>
      <c r="G43" s="47">
        <v>1.0</v>
      </c>
      <c r="H43" s="48">
        <f t="shared" si="1"/>
        <v>11</v>
      </c>
      <c r="I43" s="44"/>
      <c r="J43" s="49">
        <f t="shared" si="2"/>
        <v>10</v>
      </c>
      <c r="K43" s="44"/>
      <c r="L43" s="51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5.0</v>
      </c>
      <c r="F44" s="47">
        <v>2.0</v>
      </c>
      <c r="G44" s="48"/>
      <c r="H44" s="48">
        <f t="shared" si="1"/>
        <v>7</v>
      </c>
      <c r="I44" s="54">
        <v>2.0</v>
      </c>
      <c r="J44" s="49">
        <f t="shared" si="2"/>
        <v>7</v>
      </c>
      <c r="K44" s="44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8.0</v>
      </c>
      <c r="F45" s="47">
        <v>2.0</v>
      </c>
      <c r="G45" s="48"/>
      <c r="H45" s="48">
        <f t="shared" si="1"/>
        <v>10</v>
      </c>
      <c r="I45" s="54">
        <v>2.0</v>
      </c>
      <c r="J45" s="49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6.0</v>
      </c>
      <c r="F46" s="47">
        <v>2.0</v>
      </c>
      <c r="G46" s="48"/>
      <c r="H46" s="48">
        <f t="shared" si="1"/>
        <v>8</v>
      </c>
      <c r="I46" s="44"/>
      <c r="J46" s="49">
        <f t="shared" si="2"/>
        <v>8</v>
      </c>
      <c r="K46" s="44"/>
      <c r="L46" s="51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5.0</v>
      </c>
      <c r="F47" s="47">
        <v>2.0</v>
      </c>
      <c r="G47" s="48"/>
      <c r="H47" s="48">
        <f t="shared" si="1"/>
        <v>7</v>
      </c>
      <c r="I47" s="54">
        <v>1.0</v>
      </c>
      <c r="J47" s="49">
        <f t="shared" si="2"/>
        <v>7</v>
      </c>
      <c r="K47" s="44"/>
      <c r="L47" s="51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5.0</v>
      </c>
      <c r="F48" s="47">
        <v>2.0</v>
      </c>
      <c r="G48" s="48"/>
      <c r="H48" s="48">
        <f t="shared" si="1"/>
        <v>7</v>
      </c>
      <c r="I48" s="44"/>
      <c r="J48" s="49">
        <f t="shared" si="2"/>
        <v>7</v>
      </c>
      <c r="K48" s="44"/>
      <c r="L48" s="51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8.0</v>
      </c>
      <c r="F49" s="47">
        <v>2.0</v>
      </c>
      <c r="G49" s="48"/>
      <c r="H49" s="48">
        <f t="shared" si="1"/>
        <v>10</v>
      </c>
      <c r="I49" s="54">
        <v>1.0</v>
      </c>
      <c r="J49" s="49">
        <f t="shared" si="2"/>
        <v>10</v>
      </c>
      <c r="K49" s="44"/>
      <c r="L49" s="51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7.0</v>
      </c>
      <c r="F50" s="47">
        <v>2.0</v>
      </c>
      <c r="G50" s="48"/>
      <c r="H50" s="48">
        <f t="shared" si="1"/>
        <v>9</v>
      </c>
      <c r="I50" s="54">
        <v>1.0</v>
      </c>
      <c r="J50" s="49">
        <f t="shared" si="2"/>
        <v>9</v>
      </c>
      <c r="K50" s="44"/>
      <c r="L50" s="51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8.0</v>
      </c>
      <c r="F51" s="47">
        <v>2.0</v>
      </c>
      <c r="G51" s="47">
        <v>1.0</v>
      </c>
      <c r="H51" s="48">
        <f t="shared" si="1"/>
        <v>11</v>
      </c>
      <c r="I51" s="44"/>
      <c r="J51" s="49">
        <f t="shared" si="2"/>
        <v>10</v>
      </c>
      <c r="K51" s="44"/>
      <c r="L51" s="51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5.0</v>
      </c>
      <c r="F52" s="47">
        <v>2.0</v>
      </c>
      <c r="G52" s="48"/>
      <c r="H52" s="48">
        <f t="shared" si="1"/>
        <v>7</v>
      </c>
      <c r="I52" s="54">
        <v>2.0</v>
      </c>
      <c r="J52" s="49">
        <f t="shared" si="2"/>
        <v>7</v>
      </c>
      <c r="K52" s="44"/>
      <c r="L52" s="50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8.0</v>
      </c>
      <c r="F53" s="47">
        <v>2.0</v>
      </c>
      <c r="G53" s="48"/>
      <c r="H53" s="48">
        <f t="shared" si="1"/>
        <v>10</v>
      </c>
      <c r="I53" s="44"/>
      <c r="J53" s="49">
        <f t="shared" si="2"/>
        <v>10</v>
      </c>
      <c r="K53" s="44"/>
      <c r="L53" s="50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8.0</v>
      </c>
      <c r="F54" s="47">
        <v>2.0</v>
      </c>
      <c r="G54" s="48"/>
      <c r="H54" s="48">
        <f t="shared" si="1"/>
        <v>10</v>
      </c>
      <c r="I54" s="54">
        <v>2.0</v>
      </c>
      <c r="J54" s="49">
        <f t="shared" si="2"/>
        <v>10</v>
      </c>
      <c r="K54" s="44"/>
      <c r="L54" s="50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6.0</v>
      </c>
      <c r="F55" s="47">
        <v>2.0</v>
      </c>
      <c r="G55" s="48"/>
      <c r="H55" s="48">
        <f t="shared" si="1"/>
        <v>8</v>
      </c>
      <c r="I55" s="54">
        <v>1.0</v>
      </c>
      <c r="J55" s="49">
        <f t="shared" si="2"/>
        <v>8</v>
      </c>
      <c r="K55" s="44"/>
      <c r="L55" s="50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8.0</v>
      </c>
      <c r="F56" s="47">
        <v>2.0</v>
      </c>
      <c r="G56" s="47">
        <v>1.0</v>
      </c>
      <c r="H56" s="48">
        <f t="shared" si="1"/>
        <v>11</v>
      </c>
      <c r="I56" s="57"/>
      <c r="J56" s="49">
        <f t="shared" si="2"/>
        <v>10</v>
      </c>
      <c r="K56" s="44"/>
      <c r="L56" s="50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4.0</v>
      </c>
      <c r="F57" s="47">
        <v>2.0</v>
      </c>
      <c r="G57" s="48"/>
      <c r="H57" s="48">
        <f t="shared" si="1"/>
        <v>6</v>
      </c>
      <c r="I57" s="54">
        <v>1.0</v>
      </c>
      <c r="J57" s="49">
        <f t="shared" si="2"/>
        <v>6</v>
      </c>
      <c r="K57" s="44"/>
      <c r="L57" s="50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6.0</v>
      </c>
      <c r="F58" s="47">
        <v>2.0</v>
      </c>
      <c r="G58" s="48"/>
      <c r="H58" s="48">
        <f t="shared" si="1"/>
        <v>8</v>
      </c>
      <c r="I58" s="47">
        <v>3.0</v>
      </c>
      <c r="J58" s="49">
        <f t="shared" si="2"/>
        <v>8</v>
      </c>
      <c r="K58" s="44"/>
      <c r="L58" s="50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6.0</v>
      </c>
      <c r="F59" s="47">
        <v>2.0</v>
      </c>
      <c r="G59" s="48"/>
      <c r="H59" s="48">
        <f t="shared" si="1"/>
        <v>8</v>
      </c>
      <c r="I59" s="47">
        <v>1.0</v>
      </c>
      <c r="J59" s="49">
        <f t="shared" si="2"/>
        <v>8</v>
      </c>
      <c r="K59" s="44"/>
      <c r="L59" s="50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7.0</v>
      </c>
      <c r="F60" s="47">
        <v>2.0</v>
      </c>
      <c r="G60" s="47">
        <v>1.0</v>
      </c>
      <c r="H60" s="48">
        <f t="shared" si="1"/>
        <v>10</v>
      </c>
      <c r="I60" s="54">
        <v>2.0</v>
      </c>
      <c r="J60" s="49">
        <f t="shared" si="2"/>
        <v>10</v>
      </c>
      <c r="K60" s="44"/>
      <c r="L60" s="50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5.0</v>
      </c>
      <c r="F61" s="47">
        <v>2.0</v>
      </c>
      <c r="G61" s="48"/>
      <c r="H61" s="48">
        <f t="shared" si="1"/>
        <v>7</v>
      </c>
      <c r="I61" s="54">
        <v>2.0</v>
      </c>
      <c r="J61" s="49">
        <f t="shared" si="2"/>
        <v>7</v>
      </c>
      <c r="K61" s="44"/>
      <c r="L61" s="50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59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114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115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5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45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0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100</v>
      </c>
      <c r="E68" s="60"/>
      <c r="F68" s="76" t="s">
        <v>157</v>
      </c>
      <c r="G68" s="60"/>
      <c r="H68" s="77" t="s">
        <v>335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8.888888889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5"/>
      <c r="G73" s="2"/>
      <c r="H73" s="85"/>
      <c r="I73" s="85"/>
      <c r="J73" s="84"/>
      <c r="K73" s="87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2"/>
      <c r="H74" s="101"/>
      <c r="I74" s="101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12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