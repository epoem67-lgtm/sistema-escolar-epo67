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ciencias de la comunicación" sheetId="1" r:id="rId5"/>
    <sheet state="visible" name="3-2 ciencias de la comunicación" sheetId="2" r:id="rId6"/>
    <sheet state="visible" name="3-3 ciencias de la comunicación" sheetId="3" r:id="rId7"/>
  </sheets>
  <definedNames/>
  <calcPr/>
</workbook>
</file>

<file path=xl/sharedStrings.xml><?xml version="1.0" encoding="utf-8"?>
<sst xmlns="http://schemas.openxmlformats.org/spreadsheetml/2006/main" count="525" uniqueCount="336">
  <si>
    <t>ESCUELA PREPARATORIA OFICIAL NÚM. 67</t>
  </si>
  <si>
    <t xml:space="preserve">CONTROL PRIMER PARCIAL </t>
  </si>
  <si>
    <t xml:space="preserve">PROFESOR (A): </t>
  </si>
  <si>
    <t>CLAUDIA MELENDEZ ABAD</t>
  </si>
  <si>
    <t>II</t>
  </si>
  <si>
    <t>III</t>
  </si>
  <si>
    <t>PUNTAJE EXTRA</t>
  </si>
  <si>
    <t>SEXTO SEMESTRE
MATUTINO</t>
  </si>
  <si>
    <t>UAC</t>
  </si>
  <si>
    <t>CIENCIAS DE LA COMUNICACIÓN I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</si>
  <si>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</si>
  <si>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</si>
  <si>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</si>
  <si>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</si>
  <si>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</si>
  <si>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</si>
  <si>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</si>
  <si>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</si>
  <si>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</si>
  <si>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</si>
  <si>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</si>
  <si>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</si>
  <si>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</si>
  <si>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</si>
  <si>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</si>
  <si>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</si>
  <si>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</si>
  <si>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</si>
  <si>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</si>
  <si>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</si>
  <si>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</si>
  <si>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</si>
  <si>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</si>
  <si>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</si>
  <si>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</si>
  <si>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</si>
  <si>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</si>
  <si>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</si>
  <si>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</si>
  <si>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</si>
  <si>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</si>
  <si>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</si>
  <si>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</si>
  <si>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</si>
  <si>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</si>
  <si>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</si>
  <si>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</si>
  <si>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</si>
  <si>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</si>
  <si>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</si>
  <si>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</si>
  <si>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</si>
  <si>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</si>
  <si>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</si>
  <si>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</si>
  <si>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</si>
  <si>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</si>
  <si>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</si>
  <si>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</si>
  <si>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</si>
  <si>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</si>
  <si>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</si>
  <si>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</si>
  <si>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</si>
  <si>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</si>
  <si>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</si>
  <si>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</si>
  <si>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</si>
  <si>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</si>
  <si>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</si>
  <si>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</si>
  <si>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</si>
  <si>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</si>
  <si>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</si>
  <si>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</si>
  <si>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</si>
  <si>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</si>
  <si>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</si>
  <si>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</si>
  <si>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</si>
  <si>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</si>
  <si>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</si>
  <si>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</si>
  <si>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</si>
  <si>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</si>
  <si>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</si>
  <si>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</si>
  <si>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</si>
  <si>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</si>
  <si>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</si>
  <si>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</si>
  <si>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</si>
  <si>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</si>
  <si>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</si>
  <si>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</si>
  <si>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</si>
  <si>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</si>
  <si>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</si>
  <si>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</si>
  <si>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</si>
  <si>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</si>
  <si>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</si>
  <si>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</si>
  <si>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</si>
  <si>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</si>
  <si>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</si>
  <si>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</si>
  <si>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</si>
  <si>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</si>
  <si>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</si>
  <si>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</si>
  <si>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</si>
  <si>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</si>
  <si>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</si>
  <si>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</si>
  <si>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</si>
  <si>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</si>
  <si>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</si>
  <si>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</si>
  <si>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</si>
  <si>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</si>
  <si>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</si>
  <si>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</si>
  <si>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</si>
  <si>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</si>
  <si>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</si>
  <si>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</si>
  <si>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</si>
  <si>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</si>
  <si>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</si>
  <si>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</si>
  <si>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</si>
  <si>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</si>
  <si>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</si>
  <si>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</si>
  <si>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</si>
  <si>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</si>
  <si>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</si>
  <si>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</si>
  <si>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</si>
  <si>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</si>
  <si>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</si>
  <si>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</si>
  <si>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</si>
  <si>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</si>
  <si>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</si>
  <si>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</si>
  <si>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</si>
  <si>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</si>
  <si>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</si>
  <si>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</si>
  <si>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</si>
  <si>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</si>
  <si>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</si>
  <si>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</si>
  <si>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</si>
  <si>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</si>
  <si>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</si>
  <si>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NEFTALI MARGARITA MORLAN ORTIZ</t>
  </si>
  <si>
    <t>PROFR. OCTAVIO VÁZQUEZ BARRETO</t>
  </si>
  <si>
    <t xml:space="preserve">PROFR. ROBERTO PALOMARES MEJÍA </t>
  </si>
  <si>
    <t>PROMEDIO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</si>
  <si>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</si>
  <si>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</si>
  <si>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</si>
  <si>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</si>
  <si>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</si>
  <si>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</si>
  <si>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</si>
  <si>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</si>
  <si>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</si>
  <si>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</si>
  <si>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</si>
  <si>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</si>
  <si>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</si>
  <si>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</si>
  <si>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</si>
  <si>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</si>
  <si>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</si>
  <si>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</si>
  <si>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</si>
  <si>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</si>
  <si>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</si>
  <si>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</si>
  <si>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</si>
  <si>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</si>
  <si>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</si>
  <si>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</si>
  <si>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</si>
  <si>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</si>
  <si>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</si>
  <si>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</si>
  <si>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</si>
  <si>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</si>
  <si>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</si>
  <si>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</si>
  <si>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</si>
  <si>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</si>
  <si>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</si>
  <si>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</si>
  <si>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</si>
  <si>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</si>
  <si>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</si>
  <si>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</si>
  <si>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</si>
  <si>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</si>
  <si>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</si>
  <si>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</si>
  <si>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</si>
  <si>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</si>
  <si>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</si>
  <si>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</si>
  <si>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</si>
  <si>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</si>
  <si>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</si>
  <si>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</si>
  <si>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</si>
  <si>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</si>
  <si>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</si>
  <si>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</si>
  <si>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</si>
  <si>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</si>
  <si>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</si>
  <si>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</si>
  <si>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</si>
  <si>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</si>
  <si>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</si>
  <si>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</si>
  <si>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</si>
  <si>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</si>
  <si>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</si>
  <si>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</si>
  <si>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</si>
  <si>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</si>
  <si>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</si>
  <si>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</si>
  <si>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</si>
  <si>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</si>
  <si>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</si>
  <si>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</si>
  <si>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</si>
  <si>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</si>
  <si>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</si>
  <si>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</si>
  <si>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</si>
  <si>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</si>
  <si>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</si>
  <si>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</si>
  <si>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</si>
  <si>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</si>
  <si>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</si>
  <si>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</si>
  <si>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</si>
  <si>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</si>
  <si>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</si>
  <si>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</si>
  <si>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</si>
  <si>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</si>
  <si>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</si>
  <si>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</si>
  <si>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</si>
  <si>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</si>
  <si>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</si>
  <si>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</si>
  <si>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DIANA LAURA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</si>
  <si>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</si>
  <si>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</si>
  <si>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</si>
  <si>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</si>
  <si>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</si>
  <si>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</si>
  <si>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</si>
  <si>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</si>
  <si>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</si>
  <si>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</si>
  <si>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</si>
  <si>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</si>
  <si>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</si>
  <si>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</si>
  <si>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</si>
  <si>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</si>
  <si>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</si>
  <si>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</si>
  <si>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</si>
  <si>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</si>
  <si>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</si>
  <si>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</si>
  <si>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</si>
  <si>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</si>
  <si>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</si>
  <si>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</si>
  <si>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</si>
  <si>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</si>
  <si>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</si>
  <si>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</si>
  <si>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</si>
  <si>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</si>
  <si>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</si>
  <si>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</si>
  <si>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</si>
  <si>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</si>
  <si>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</si>
  <si>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</si>
  <si>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</si>
  <si>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</si>
  <si>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</si>
  <si>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</si>
  <si>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</si>
  <si>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</si>
  <si>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</si>
  <si>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</si>
  <si>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</si>
  <si>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</si>
  <si>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</si>
  <si>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</si>
  <si>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SANTILLAN</t>
  </si>
  <si>
    <t>KEVIN IMANOL</t>
  </si>
  <si>
    <t>SANTOS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</si>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</sst>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0" fillId="0" fontId="2" numFmtId="1" xfId="0" applyAlignment="1" applyFont="1" applyNumberFormat="1">
      <alignment vertical="top"/>
    </xf>
    <xf borderId="23" fillId="4" fontId="1" numFmtId="164" xfId="0" applyAlignment="1" applyBorder="1" applyFill="1" applyFont="1" applyNumberFormat="1">
      <alignment horizontal="center" readingOrder="0" vertical="center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76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76</xdr:row>
      <xdr:rowOff>152400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65</xdr:row>
      <xdr:rowOff>295275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65</xdr:row>
      <xdr:rowOff>9525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47625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76200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1.0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8"/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7.0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0.0</v>
      </c>
      <c r="F19" s="47">
        <v>2.0</v>
      </c>
      <c r="G19" s="48"/>
      <c r="H19" s="48">
        <f t="shared" si="1"/>
        <v>2</v>
      </c>
      <c r="I19" s="49">
        <v>0.0</v>
      </c>
      <c r="J19" s="50">
        <f t="shared" si="2"/>
        <v>5</v>
      </c>
      <c r="K19" s="44"/>
      <c r="L19" s="52">
        <f t="shared" si="3"/>
        <v>2</v>
      </c>
      <c r="M19" s="54" t="s">
        <v>32</v>
      </c>
      <c r="N19" s="49">
        <v>10.0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8.0</v>
      </c>
      <c r="F20" s="47">
        <v>2.0</v>
      </c>
      <c r="G20" s="47"/>
      <c r="H20" s="48">
        <f t="shared" si="1"/>
        <v>10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8.0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0.0</v>
      </c>
      <c r="F21" s="47">
        <v>0.0</v>
      </c>
      <c r="G21" s="47"/>
      <c r="H21" s="48">
        <f t="shared" si="1"/>
        <v>0</v>
      </c>
      <c r="I21" s="49">
        <v>0.0</v>
      </c>
      <c r="J21" s="50">
        <f t="shared" si="2"/>
        <v>5</v>
      </c>
      <c r="K21" s="44"/>
      <c r="L21" s="52">
        <f t="shared" si="3"/>
        <v>0</v>
      </c>
      <c r="M21" s="54" t="s">
        <v>39</v>
      </c>
      <c r="N21" s="49">
        <v>9.0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3.2</v>
      </c>
      <c r="F22" s="47">
        <v>2.0</v>
      </c>
      <c r="G22" s="48"/>
      <c r="H22" s="48">
        <f t="shared" si="1"/>
        <v>5.2</v>
      </c>
      <c r="I22" s="49">
        <v>0.0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9">
        <v>14.0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8.0</v>
      </c>
      <c r="F23" s="47">
        <v>2.0</v>
      </c>
      <c r="G23" s="48"/>
      <c r="H23" s="48">
        <f t="shared" si="1"/>
        <v>10</v>
      </c>
      <c r="I23" s="49">
        <v>0.0</v>
      </c>
      <c r="J23" s="50">
        <f t="shared" si="2"/>
        <v>10</v>
      </c>
      <c r="K23" s="44"/>
      <c r="L23" s="52">
        <f t="shared" si="3"/>
        <v>10</v>
      </c>
      <c r="M23" s="54" t="s">
        <v>47</v>
      </c>
      <c r="N23" s="49">
        <v>4.0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8.0</v>
      </c>
      <c r="F24" s="47">
        <v>2.0</v>
      </c>
      <c r="G24" s="48"/>
      <c r="H24" s="48">
        <f t="shared" si="1"/>
        <v>10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52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8"/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8.0</v>
      </c>
      <c r="F27" s="47">
        <v>2.0</v>
      </c>
      <c r="G27" s="48"/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8.0</v>
      </c>
      <c r="F28" s="47">
        <v>2.0</v>
      </c>
      <c r="G28" s="48"/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5.0</v>
      </c>
      <c r="F31" s="47">
        <v>2.0</v>
      </c>
      <c r="G31" s="48"/>
      <c r="H31" s="48">
        <f t="shared" si="1"/>
        <v>7</v>
      </c>
      <c r="I31" s="49">
        <v>1.0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8.0</v>
      </c>
      <c r="F33" s="47">
        <v>2.0</v>
      </c>
      <c r="G33" s="48"/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2.0</v>
      </c>
      <c r="G34" s="48"/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8.0</v>
      </c>
      <c r="F35" s="47">
        <v>2.0</v>
      </c>
      <c r="G35" s="48"/>
      <c r="H35" s="48">
        <f t="shared" si="1"/>
        <v>10</v>
      </c>
      <c r="I35" s="49">
        <v>0.0</v>
      </c>
      <c r="J35" s="50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8.0</v>
      </c>
      <c r="F36" s="47">
        <v>2.0</v>
      </c>
      <c r="G36" s="48"/>
      <c r="H36" s="48">
        <f t="shared" si="1"/>
        <v>10</v>
      </c>
      <c r="I36" s="49">
        <v>0.0</v>
      </c>
      <c r="J36" s="50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8.0</v>
      </c>
      <c r="F37" s="47">
        <v>2.0</v>
      </c>
      <c r="G37" s="48"/>
      <c r="H37" s="48">
        <f t="shared" si="1"/>
        <v>10</v>
      </c>
      <c r="I37" s="49">
        <v>0.0</v>
      </c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8.0</v>
      </c>
      <c r="F39" s="47">
        <v>2.0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4.0</v>
      </c>
      <c r="F41" s="47">
        <v>2.0</v>
      </c>
      <c r="G41" s="48"/>
      <c r="H41" s="48">
        <f t="shared" si="1"/>
        <v>6</v>
      </c>
      <c r="I41" s="49">
        <v>0.0</v>
      </c>
      <c r="J41" s="50">
        <f t="shared" si="2"/>
        <v>6</v>
      </c>
      <c r="K41" s="44"/>
      <c r="L41" s="52">
        <f t="shared" si="3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8.0</v>
      </c>
      <c r="F42" s="47">
        <v>2.0</v>
      </c>
      <c r="G42" s="48"/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4.0</v>
      </c>
      <c r="F43" s="47">
        <v>2.0</v>
      </c>
      <c r="G43" s="48"/>
      <c r="H43" s="48">
        <f t="shared" si="1"/>
        <v>6</v>
      </c>
      <c r="I43" s="49">
        <v>0.0</v>
      </c>
      <c r="J43" s="50">
        <f t="shared" si="2"/>
        <v>6</v>
      </c>
      <c r="K43" s="44"/>
      <c r="L43" s="52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8.0</v>
      </c>
      <c r="F44" s="47">
        <v>2.0</v>
      </c>
      <c r="G44" s="48"/>
      <c r="H44" s="48">
        <f t="shared" si="1"/>
        <v>10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8.0</v>
      </c>
      <c r="F46" s="47">
        <v>2.0</v>
      </c>
      <c r="G46" s="48"/>
      <c r="H46" s="48">
        <f t="shared" si="1"/>
        <v>10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8.0</v>
      </c>
      <c r="F47" s="47">
        <v>2.0</v>
      </c>
      <c r="G47" s="48"/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8.0</v>
      </c>
      <c r="F48" s="47">
        <v>2.0</v>
      </c>
      <c r="G48" s="48"/>
      <c r="H48" s="48">
        <f t="shared" si="1"/>
        <v>10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8.0</v>
      </c>
      <c r="F49" s="47">
        <v>2.0</v>
      </c>
      <c r="G49" s="48"/>
      <c r="H49" s="48">
        <f t="shared" si="1"/>
        <v>10</v>
      </c>
      <c r="I49" s="49">
        <v>1.0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8.0</v>
      </c>
      <c r="F50" s="47">
        <v>2.0</v>
      </c>
      <c r="G50" s="48"/>
      <c r="H50" s="48">
        <f t="shared" si="1"/>
        <v>10</v>
      </c>
      <c r="I50" s="49">
        <v>0.0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2.0</v>
      </c>
      <c r="G53" s="48"/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8.0</v>
      </c>
      <c r="F54" s="47">
        <v>2.0</v>
      </c>
      <c r="G54" s="48"/>
      <c r="H54" s="48">
        <f t="shared" si="1"/>
        <v>10</v>
      </c>
      <c r="I54" s="49">
        <v>0.0</v>
      </c>
      <c r="J54" s="50">
        <f t="shared" si="2"/>
        <v>10</v>
      </c>
      <c r="K54" s="44"/>
      <c r="L54" s="51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8.0</v>
      </c>
      <c r="F56" s="47">
        <v>2.0</v>
      </c>
      <c r="G56" s="48"/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3.2</v>
      </c>
      <c r="F57" s="47">
        <v>0.0</v>
      </c>
      <c r="G57" s="48"/>
      <c r="H57" s="48">
        <f t="shared" si="1"/>
        <v>3.2</v>
      </c>
      <c r="I57" s="49">
        <v>0.0</v>
      </c>
      <c r="J57" s="50">
        <f t="shared" si="2"/>
        <v>5</v>
      </c>
      <c r="K57" s="44"/>
      <c r="L57" s="51">
        <f t="shared" si="3"/>
        <v>3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8.0</v>
      </c>
      <c r="F58" s="47">
        <v>2.0</v>
      </c>
      <c r="G58" s="47"/>
      <c r="H58" s="48">
        <f t="shared" si="1"/>
        <v>10</v>
      </c>
      <c r="I58" s="49">
        <v>0.0</v>
      </c>
      <c r="J58" s="50">
        <f t="shared" si="2"/>
        <v>10</v>
      </c>
      <c r="K58" s="44"/>
      <c r="L58" s="51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8.0</v>
      </c>
      <c r="F59" s="47">
        <v>2.0</v>
      </c>
      <c r="G59" s="48"/>
      <c r="H59" s="48">
        <f t="shared" si="1"/>
        <v>10</v>
      </c>
      <c r="I59" s="49">
        <v>0.0</v>
      </c>
      <c r="J59" s="50">
        <f t="shared" si="2"/>
        <v>10</v>
      </c>
      <c r="K59" s="44"/>
      <c r="L59" s="51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8.0</v>
      </c>
      <c r="F60" s="47">
        <v>2.0</v>
      </c>
      <c r="G60" s="48"/>
      <c r="H60" s="48">
        <f t="shared" si="1"/>
        <v>10</v>
      </c>
      <c r="I60" s="49">
        <v>0.0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8.0</v>
      </c>
      <c r="F61" s="47">
        <v>2.0</v>
      </c>
      <c r="G61" s="48"/>
      <c r="H61" s="48">
        <f t="shared" si="1"/>
        <v>10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41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4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91.11111111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9.311111111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89"/>
      <c r="E71" s="90"/>
      <c r="G71" s="90"/>
      <c r="H71" s="90"/>
      <c r="I71" s="90"/>
      <c r="J71" s="91"/>
      <c r="K71" s="92"/>
      <c r="L71" s="91"/>
      <c r="M71" s="2"/>
      <c r="N71" s="2"/>
      <c r="O71" s="2"/>
      <c r="P71" s="2"/>
      <c r="Q71" s="2"/>
    </row>
    <row r="72" ht="21.75" customHeight="1">
      <c r="A72" s="93"/>
      <c r="B72" s="94"/>
      <c r="C72" s="94"/>
      <c r="D72" s="95"/>
      <c r="E72" s="96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3"/>
      <c r="B73" s="96"/>
      <c r="C73" s="96"/>
      <c r="D73" s="95"/>
      <c r="E73" s="96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7"/>
      <c r="B74" s="98"/>
      <c r="C74" s="98"/>
      <c r="D74" s="99"/>
      <c r="E74" s="98"/>
      <c r="F74" s="100"/>
      <c r="G74" s="101"/>
      <c r="H74" s="100"/>
      <c r="I74" s="100"/>
      <c r="J74" s="102"/>
      <c r="K74" s="103"/>
      <c r="L74" s="2"/>
      <c r="M74" s="2"/>
      <c r="N74" s="2"/>
      <c r="O74" s="2"/>
      <c r="P74" s="2"/>
      <c r="Q74" s="2"/>
    </row>
    <row r="75" ht="21.75" customHeight="1">
      <c r="A75" s="104"/>
      <c r="B75" s="96"/>
      <c r="C75" s="96"/>
      <c r="D75" s="91"/>
      <c r="E75" s="96"/>
      <c r="F75" s="2"/>
      <c r="G75" s="2"/>
      <c r="H75" s="2"/>
      <c r="I75" s="2"/>
      <c r="J75" s="105"/>
      <c r="K75" s="105"/>
      <c r="L75" s="105"/>
      <c r="M75" s="2"/>
      <c r="N75" s="2"/>
      <c r="O75" s="2"/>
      <c r="P75" s="2"/>
      <c r="Q75" s="2"/>
    </row>
    <row r="76" ht="21.75" customHeight="1">
      <c r="A76" s="104"/>
      <c r="B76" s="96"/>
      <c r="C76" s="96"/>
      <c r="D76" s="91"/>
      <c r="E76" s="96"/>
      <c r="F76" s="2"/>
      <c r="G76" s="2"/>
      <c r="H76" s="2"/>
      <c r="I76" s="2"/>
      <c r="J76" s="105"/>
      <c r="K76" s="105"/>
      <c r="L76" s="10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162</v>
      </c>
      <c r="C17" s="45" t="s">
        <v>134</v>
      </c>
      <c r="D17" s="46" t="s">
        <v>163</v>
      </c>
      <c r="E17" s="47">
        <v>8.0</v>
      </c>
      <c r="F17" s="47">
        <v>2.0</v>
      </c>
      <c r="G17" s="48"/>
      <c r="H17" s="48">
        <f t="shared" ref="H17:H56" si="1">SUM(E17:G17)</f>
        <v>10</v>
      </c>
      <c r="I17" s="49">
        <v>0.0</v>
      </c>
      <c r="J17" s="50">
        <f t="shared" ref="J17:J56" si="2">IF(H17&lt;6, 5, MIN(ROUND(H17, 0), 10))</f>
        <v>10</v>
      </c>
      <c r="K17" s="51"/>
      <c r="L17" s="52">
        <f t="shared" ref="L17:L56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164</v>
      </c>
      <c r="C18" s="45" t="s">
        <v>165</v>
      </c>
      <c r="D18" s="46" t="s">
        <v>166</v>
      </c>
      <c r="E18" s="47">
        <v>4.8</v>
      </c>
      <c r="F18" s="47">
        <v>2.0</v>
      </c>
      <c r="G18" s="48"/>
      <c r="H18" s="48">
        <f t="shared" si="1"/>
        <v>6.8</v>
      </c>
      <c r="I18" s="49">
        <v>0.0</v>
      </c>
      <c r="J18" s="50">
        <f t="shared" si="2"/>
        <v>7</v>
      </c>
      <c r="K18" s="44"/>
      <c r="L18" s="52">
        <f t="shared" si="3"/>
        <v>7</v>
      </c>
      <c r="M18" s="54" t="s">
        <v>28</v>
      </c>
      <c r="N18" s="49">
        <v>7.0</v>
      </c>
      <c r="O18" s="2"/>
      <c r="P18" s="2"/>
      <c r="Q18" s="2"/>
    </row>
    <row r="19" ht="24.75" customHeight="1">
      <c r="A19" s="44">
        <v>3.0</v>
      </c>
      <c r="B19" s="45" t="s">
        <v>167</v>
      </c>
      <c r="C19" s="45" t="s">
        <v>168</v>
      </c>
      <c r="D19" s="46" t="s">
        <v>169</v>
      </c>
      <c r="E19" s="47">
        <v>8.0</v>
      </c>
      <c r="F19" s="47">
        <v>2.0</v>
      </c>
      <c r="G19" s="48"/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10.0</v>
      </c>
      <c r="O19" s="2"/>
      <c r="P19" s="2"/>
      <c r="Q19" s="2"/>
    </row>
    <row r="20" ht="24.75" customHeight="1">
      <c r="A20" s="44">
        <v>4.0</v>
      </c>
      <c r="B20" s="45" t="s">
        <v>170</v>
      </c>
      <c r="C20" s="45" t="s">
        <v>69</v>
      </c>
      <c r="D20" s="46" t="s">
        <v>171</v>
      </c>
      <c r="E20" s="47">
        <v>3.0</v>
      </c>
      <c r="F20" s="47">
        <v>2.0</v>
      </c>
      <c r="G20" s="47"/>
      <c r="H20" s="48">
        <f t="shared" si="1"/>
        <v>5</v>
      </c>
      <c r="I20" s="49">
        <v>1.0</v>
      </c>
      <c r="J20" s="50">
        <f t="shared" si="2"/>
        <v>5</v>
      </c>
      <c r="K20" s="44"/>
      <c r="L20" s="52">
        <f t="shared" si="3"/>
        <v>5</v>
      </c>
      <c r="M20" s="54" t="s">
        <v>35</v>
      </c>
      <c r="N20" s="49">
        <v>8.0</v>
      </c>
      <c r="O20" s="2"/>
      <c r="P20" s="2"/>
      <c r="Q20" s="2"/>
    </row>
    <row r="21" ht="24.75" customHeight="1">
      <c r="A21" s="44">
        <v>5.0</v>
      </c>
      <c r="B21" s="45" t="s">
        <v>172</v>
      </c>
      <c r="C21" s="45" t="s">
        <v>173</v>
      </c>
      <c r="D21" s="46" t="s">
        <v>174</v>
      </c>
      <c r="E21" s="47">
        <v>7.0</v>
      </c>
      <c r="F21" s="47">
        <v>2.0</v>
      </c>
      <c r="G21" s="48"/>
      <c r="H21" s="48">
        <f t="shared" si="1"/>
        <v>9</v>
      </c>
      <c r="I21" s="49">
        <v>0.0</v>
      </c>
      <c r="J21" s="50">
        <f t="shared" si="2"/>
        <v>9</v>
      </c>
      <c r="K21" s="44"/>
      <c r="L21" s="52">
        <f t="shared" si="3"/>
        <v>9</v>
      </c>
      <c r="M21" s="54" t="s">
        <v>39</v>
      </c>
      <c r="N21" s="49">
        <v>9.0</v>
      </c>
      <c r="O21" s="2"/>
      <c r="P21" s="2"/>
      <c r="Q21" s="2"/>
    </row>
    <row r="22" ht="24.75" customHeight="1">
      <c r="A22" s="44">
        <v>6.0</v>
      </c>
      <c r="B22" s="45" t="s">
        <v>175</v>
      </c>
      <c r="C22" s="45" t="s">
        <v>79</v>
      </c>
      <c r="D22" s="46" t="s">
        <v>176</v>
      </c>
      <c r="E22" s="47">
        <v>0.0</v>
      </c>
      <c r="F22" s="47">
        <v>0.0</v>
      </c>
      <c r="G22" s="48"/>
      <c r="H22" s="48">
        <f t="shared" si="1"/>
        <v>0</v>
      </c>
      <c r="I22" s="49">
        <v>1.0</v>
      </c>
      <c r="J22" s="50">
        <f t="shared" si="2"/>
        <v>5</v>
      </c>
      <c r="K22" s="44"/>
      <c r="L22" s="52">
        <f t="shared" si="3"/>
        <v>0</v>
      </c>
      <c r="M22" s="54" t="s">
        <v>43</v>
      </c>
      <c r="N22" s="49">
        <v>14.0</v>
      </c>
      <c r="O22" s="2"/>
      <c r="P22" s="2"/>
      <c r="Q22" s="2"/>
    </row>
    <row r="23" ht="24.75" customHeight="1">
      <c r="A23" s="44">
        <v>7.0</v>
      </c>
      <c r="B23" s="45" t="s">
        <v>177</v>
      </c>
      <c r="C23" s="45" t="s">
        <v>178</v>
      </c>
      <c r="D23" s="46" t="s">
        <v>179</v>
      </c>
      <c r="E23" s="47">
        <v>8.0</v>
      </c>
      <c r="F23" s="47">
        <v>2.0</v>
      </c>
      <c r="G23" s="48"/>
      <c r="H23" s="48">
        <f t="shared" si="1"/>
        <v>10</v>
      </c>
      <c r="I23" s="49">
        <v>0.0</v>
      </c>
      <c r="J23" s="50">
        <f t="shared" si="2"/>
        <v>10</v>
      </c>
      <c r="K23" s="44"/>
      <c r="L23" s="52">
        <f t="shared" si="3"/>
        <v>10</v>
      </c>
      <c r="M23" s="54" t="s">
        <v>47</v>
      </c>
      <c r="N23" s="49">
        <v>4.0</v>
      </c>
      <c r="O23" s="2"/>
      <c r="P23" s="2"/>
      <c r="Q23" s="2"/>
    </row>
    <row r="24" ht="24.75" customHeight="1">
      <c r="A24" s="44">
        <v>8.0</v>
      </c>
      <c r="B24" s="45" t="s">
        <v>180</v>
      </c>
      <c r="C24" s="45" t="s">
        <v>110</v>
      </c>
      <c r="D24" s="46" t="s">
        <v>181</v>
      </c>
      <c r="E24" s="47">
        <v>5.0</v>
      </c>
      <c r="F24" s="47">
        <v>0.0</v>
      </c>
      <c r="G24" s="47"/>
      <c r="H24" s="48">
        <f t="shared" si="1"/>
        <v>5</v>
      </c>
      <c r="I24" s="49">
        <v>0.0</v>
      </c>
      <c r="J24" s="50">
        <f t="shared" si="2"/>
        <v>5</v>
      </c>
      <c r="K24" s="44"/>
      <c r="L24" s="52">
        <f t="shared" si="3"/>
        <v>5</v>
      </c>
      <c r="M24" s="54" t="s">
        <v>51</v>
      </c>
      <c r="N24" s="54">
        <f>SUM(N18:N23)</f>
        <v>52</v>
      </c>
      <c r="O24" s="2"/>
      <c r="P24" s="2"/>
      <c r="Q24" s="2"/>
    </row>
    <row r="25" ht="24.75" customHeight="1">
      <c r="A25" s="44">
        <v>9.0</v>
      </c>
      <c r="B25" s="45" t="s">
        <v>182</v>
      </c>
      <c r="C25" s="45" t="s">
        <v>102</v>
      </c>
      <c r="D25" s="46" t="s">
        <v>183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184</v>
      </c>
      <c r="C26" s="45" t="s">
        <v>185</v>
      </c>
      <c r="D26" s="46" t="s">
        <v>186</v>
      </c>
      <c r="E26" s="47">
        <v>6.5</v>
      </c>
      <c r="F26" s="47">
        <v>2.0</v>
      </c>
      <c r="G26" s="48"/>
      <c r="H26" s="48">
        <f t="shared" si="1"/>
        <v>8.5</v>
      </c>
      <c r="I26" s="49">
        <v>0.0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47">
        <v>6.5</v>
      </c>
      <c r="F27" s="47">
        <v>0.0</v>
      </c>
      <c r="G27" s="48"/>
      <c r="H27" s="48">
        <f t="shared" si="1"/>
        <v>6.5</v>
      </c>
      <c r="I27" s="49">
        <v>0.0</v>
      </c>
      <c r="J27" s="50">
        <f t="shared" si="2"/>
        <v>7</v>
      </c>
      <c r="K27" s="44"/>
      <c r="L27" s="52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190</v>
      </c>
      <c r="C28" s="45" t="s">
        <v>90</v>
      </c>
      <c r="D28" s="46" t="s">
        <v>191</v>
      </c>
      <c r="E28" s="47">
        <v>8.0</v>
      </c>
      <c r="F28" s="47">
        <v>2.0</v>
      </c>
      <c r="G28" s="48"/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192</v>
      </c>
      <c r="D29" s="46" t="s">
        <v>193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194</v>
      </c>
      <c r="D30" s="46" t="s">
        <v>195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196</v>
      </c>
      <c r="D31" s="46" t="s">
        <v>197</v>
      </c>
      <c r="E31" s="47">
        <v>8.0</v>
      </c>
      <c r="F31" s="47">
        <v>2.0</v>
      </c>
      <c r="G31" s="48"/>
      <c r="H31" s="48">
        <f t="shared" si="1"/>
        <v>10</v>
      </c>
      <c r="I31" s="49">
        <v>0.0</v>
      </c>
      <c r="J31" s="50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198</v>
      </c>
      <c r="D32" s="46" t="s">
        <v>199</v>
      </c>
      <c r="E32" s="47">
        <v>6.0</v>
      </c>
      <c r="F32" s="47">
        <v>2.0</v>
      </c>
      <c r="G32" s="48"/>
      <c r="H32" s="48">
        <f t="shared" si="1"/>
        <v>8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200</v>
      </c>
      <c r="C33" s="45" t="s">
        <v>90</v>
      </c>
      <c r="D33" s="46" t="s">
        <v>201</v>
      </c>
      <c r="E33" s="47">
        <v>8.0</v>
      </c>
      <c r="F33" s="47">
        <v>2.0</v>
      </c>
      <c r="G33" s="48"/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202</v>
      </c>
      <c r="C34" s="45" t="s">
        <v>137</v>
      </c>
      <c r="D34" s="46" t="s">
        <v>203</v>
      </c>
      <c r="E34" s="47">
        <v>6.5</v>
      </c>
      <c r="F34" s="47">
        <v>2.0</v>
      </c>
      <c r="G34" s="48"/>
      <c r="H34" s="48">
        <f t="shared" si="1"/>
        <v>8.5</v>
      </c>
      <c r="I34" s="49">
        <v>0.0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204</v>
      </c>
      <c r="C35" s="45" t="s">
        <v>205</v>
      </c>
      <c r="D35" s="46" t="s">
        <v>195</v>
      </c>
      <c r="E35" s="47">
        <v>0.0</v>
      </c>
      <c r="F35" s="47">
        <v>0.0</v>
      </c>
      <c r="G35" s="48"/>
      <c r="H35" s="48">
        <f t="shared" si="1"/>
        <v>0</v>
      </c>
      <c r="I35" s="49">
        <v>2.0</v>
      </c>
      <c r="J35" s="50">
        <f t="shared" si="2"/>
        <v>5</v>
      </c>
      <c r="K35" s="44"/>
      <c r="L35" s="52">
        <f t="shared" si="3"/>
        <v>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206</v>
      </c>
      <c r="D36" s="46" t="s">
        <v>207</v>
      </c>
      <c r="E36" s="47">
        <v>8.0</v>
      </c>
      <c r="F36" s="47">
        <v>2.0</v>
      </c>
      <c r="G36" s="48"/>
      <c r="H36" s="48">
        <f t="shared" si="1"/>
        <v>10</v>
      </c>
      <c r="I36" s="49">
        <v>0.0</v>
      </c>
      <c r="J36" s="50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208</v>
      </c>
      <c r="E37" s="47">
        <v>8.0</v>
      </c>
      <c r="F37" s="47">
        <v>2.0</v>
      </c>
      <c r="G37" s="48"/>
      <c r="H37" s="48">
        <f t="shared" si="1"/>
        <v>10</v>
      </c>
      <c r="I37" s="49">
        <v>0.0</v>
      </c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209</v>
      </c>
      <c r="D38" s="46" t="s">
        <v>210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211</v>
      </c>
      <c r="C39" s="45" t="s">
        <v>212</v>
      </c>
      <c r="D39" s="46" t="s">
        <v>213</v>
      </c>
      <c r="E39" s="47">
        <v>8.0</v>
      </c>
      <c r="F39" s="47">
        <v>2.0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196</v>
      </c>
      <c r="C40" s="45" t="s">
        <v>33</v>
      </c>
      <c r="D40" s="46" t="s">
        <v>214</v>
      </c>
      <c r="E40" s="47">
        <v>6.0</v>
      </c>
      <c r="F40" s="47">
        <v>2.0</v>
      </c>
      <c r="G40" s="48"/>
      <c r="H40" s="48">
        <f t="shared" si="1"/>
        <v>8</v>
      </c>
      <c r="I40" s="49">
        <v>0.0</v>
      </c>
      <c r="J40" s="50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165</v>
      </c>
      <c r="C41" s="45" t="s">
        <v>215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47">
        <v>8.0</v>
      </c>
      <c r="F42" s="47">
        <v>2.0</v>
      </c>
      <c r="G42" s="48"/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185</v>
      </c>
      <c r="C43" s="45" t="s">
        <v>219</v>
      </c>
      <c r="D43" s="46" t="s">
        <v>220</v>
      </c>
      <c r="E43" s="47">
        <v>8.0</v>
      </c>
      <c r="F43" s="47">
        <v>2.0</v>
      </c>
      <c r="G43" s="48"/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8.0</v>
      </c>
      <c r="F44" s="47">
        <v>2.0</v>
      </c>
      <c r="G44" s="48"/>
      <c r="H44" s="48">
        <f t="shared" si="1"/>
        <v>10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224</v>
      </c>
      <c r="E45" s="47">
        <v>8.0</v>
      </c>
      <c r="F45" s="47">
        <v>2.0</v>
      </c>
      <c r="G45" s="48"/>
      <c r="H45" s="48">
        <f t="shared" si="1"/>
        <v>10</v>
      </c>
      <c r="I45" s="49">
        <v>2.0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225</v>
      </c>
      <c r="C46" s="45" t="s">
        <v>204</v>
      </c>
      <c r="D46" s="46" t="s">
        <v>143</v>
      </c>
      <c r="E46" s="47">
        <v>8.0</v>
      </c>
      <c r="F46" s="47">
        <v>2.0</v>
      </c>
      <c r="G46" s="48"/>
      <c r="H46" s="48">
        <f t="shared" si="1"/>
        <v>10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226</v>
      </c>
      <c r="D47" s="46" t="s">
        <v>227</v>
      </c>
      <c r="E47" s="47">
        <v>8.0</v>
      </c>
      <c r="F47" s="47">
        <v>2.0</v>
      </c>
      <c r="G47" s="48"/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228</v>
      </c>
      <c r="C48" s="45" t="s">
        <v>137</v>
      </c>
      <c r="D48" s="46" t="s">
        <v>229</v>
      </c>
      <c r="E48" s="47">
        <v>8.0</v>
      </c>
      <c r="F48" s="47">
        <v>2.0</v>
      </c>
      <c r="G48" s="48"/>
      <c r="H48" s="48">
        <f t="shared" si="1"/>
        <v>10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230</v>
      </c>
      <c r="C49" s="45" t="s">
        <v>231</v>
      </c>
      <c r="D49" s="46" t="s">
        <v>232</v>
      </c>
      <c r="E49" s="47">
        <v>6.5</v>
      </c>
      <c r="F49" s="47">
        <v>2.0</v>
      </c>
      <c r="G49" s="47">
        <v>1.0</v>
      </c>
      <c r="H49" s="48">
        <f t="shared" si="1"/>
        <v>9.5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233</v>
      </c>
      <c r="C50" s="45" t="s">
        <v>234</v>
      </c>
      <c r="D50" s="46" t="s">
        <v>235</v>
      </c>
      <c r="E50" s="47">
        <v>8.0</v>
      </c>
      <c r="F50" s="47">
        <v>2.0</v>
      </c>
      <c r="G50" s="48"/>
      <c r="H50" s="48">
        <f t="shared" si="1"/>
        <v>10</v>
      </c>
      <c r="I50" s="49">
        <v>0.0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236</v>
      </c>
      <c r="D51" s="46" t="s">
        <v>237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173</v>
      </c>
      <c r="D52" s="46" t="s">
        <v>238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239</v>
      </c>
      <c r="C53" s="45" t="s">
        <v>240</v>
      </c>
      <c r="D53" s="46" t="s">
        <v>241</v>
      </c>
      <c r="E53" s="47">
        <v>6.5</v>
      </c>
      <c r="F53" s="47">
        <v>2.0</v>
      </c>
      <c r="G53" s="48"/>
      <c r="H53" s="48">
        <f t="shared" si="1"/>
        <v>8.5</v>
      </c>
      <c r="I53" s="49">
        <v>0.0</v>
      </c>
      <c r="J53" s="50">
        <f t="shared" si="2"/>
        <v>9</v>
      </c>
      <c r="K53" s="44"/>
      <c r="L53" s="51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216</v>
      </c>
      <c r="D54" s="46" t="s">
        <v>242</v>
      </c>
      <c r="E54" s="47">
        <v>6.5</v>
      </c>
      <c r="F54" s="47">
        <v>2.0</v>
      </c>
      <c r="G54" s="48"/>
      <c r="H54" s="48">
        <f t="shared" si="1"/>
        <v>8.5</v>
      </c>
      <c r="I54" s="49">
        <v>0.0</v>
      </c>
      <c r="J54" s="50">
        <f t="shared" si="2"/>
        <v>9</v>
      </c>
      <c r="K54" s="44"/>
      <c r="L54" s="51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243</v>
      </c>
      <c r="C55" s="45" t="s">
        <v>175</v>
      </c>
      <c r="D55" s="46" t="s">
        <v>71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46" t="s">
        <v>246</v>
      </c>
      <c r="E56" s="47">
        <v>8.0</v>
      </c>
      <c r="F56" s="47">
        <v>2.0</v>
      </c>
      <c r="G56" s="48"/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36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4</v>
      </c>
      <c r="E62" s="59"/>
      <c r="F62" s="71"/>
      <c r="G62" s="59"/>
      <c r="H62" s="71"/>
      <c r="I62" s="106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90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9.125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0"/>
      <c r="G66" s="90"/>
      <c r="H66" s="90"/>
      <c r="I66" s="90"/>
      <c r="J66" s="91"/>
      <c r="K66" s="92"/>
      <c r="L66" s="91"/>
      <c r="M66" s="2"/>
      <c r="N66" s="2"/>
      <c r="O66" s="2"/>
      <c r="P66" s="2"/>
      <c r="Q66" s="2"/>
    </row>
    <row r="67" ht="24.75" customHeight="1">
      <c r="A67" s="107"/>
      <c r="B67" s="91"/>
      <c r="C67" s="91"/>
      <c r="D67" s="91"/>
      <c r="E67" s="90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07"/>
      <c r="B68" s="91"/>
      <c r="C68" s="91"/>
      <c r="D68" s="95"/>
      <c r="E68" s="90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08"/>
      <c r="B69" s="99"/>
      <c r="C69" s="99"/>
      <c r="D69" s="109"/>
      <c r="E69" s="110"/>
      <c r="F69" s="100"/>
      <c r="G69" s="100"/>
      <c r="H69" s="100"/>
      <c r="I69" s="100"/>
      <c r="J69" s="102"/>
      <c r="K69" s="103"/>
      <c r="L69" s="83"/>
      <c r="M69" s="2"/>
      <c r="N69" s="2"/>
      <c r="O69" s="2"/>
      <c r="P69" s="2"/>
      <c r="Q69" s="2"/>
    </row>
    <row r="70" ht="24.75" customHeight="1">
      <c r="A70" s="2"/>
      <c r="B70" s="91"/>
      <c r="C70" s="91"/>
      <c r="D70" s="91"/>
      <c r="E70" s="90"/>
      <c r="F70" s="84"/>
      <c r="G70" s="84"/>
      <c r="H70" s="84"/>
      <c r="I70" s="85"/>
      <c r="J70" s="111"/>
      <c r="K70" s="105"/>
      <c r="L70" s="111"/>
      <c r="M70" s="2"/>
      <c r="N70" s="2"/>
      <c r="O70" s="2"/>
      <c r="P70" s="2"/>
      <c r="Q70" s="2"/>
    </row>
    <row r="71" ht="24.75" customHeight="1">
      <c r="A71" s="2"/>
      <c r="B71" s="91"/>
      <c r="C71" s="91"/>
      <c r="D71" s="91"/>
      <c r="E71" s="90"/>
      <c r="F71" s="84"/>
      <c r="G71" s="84"/>
      <c r="H71" s="84"/>
      <c r="I71" s="84"/>
      <c r="J71" s="111"/>
      <c r="K71" s="105"/>
      <c r="L71" s="111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0" priority="1" stopIfTrue="1">
      <formula>TRUE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J17:J56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0.0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8.0</v>
      </c>
      <c r="F18" s="47">
        <v>2.0</v>
      </c>
      <c r="G18" s="48"/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8.0</v>
      </c>
      <c r="F19" s="47">
        <v>2.0</v>
      </c>
      <c r="G19" s="48"/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11.0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8.0</v>
      </c>
      <c r="F20" s="47">
        <v>2.0</v>
      </c>
      <c r="G20" s="47"/>
      <c r="H20" s="48">
        <f t="shared" si="1"/>
        <v>10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8.0</v>
      </c>
      <c r="F21" s="47">
        <v>2.0</v>
      </c>
      <c r="G21" s="48"/>
      <c r="H21" s="48">
        <f t="shared" si="1"/>
        <v>10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9.0</v>
      </c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7.0</v>
      </c>
      <c r="F22" s="47">
        <v>2.0</v>
      </c>
      <c r="G22" s="47">
        <v>0.5</v>
      </c>
      <c r="H22" s="48">
        <f t="shared" si="1"/>
        <v>9.5</v>
      </c>
      <c r="I22" s="49">
        <v>0.0</v>
      </c>
      <c r="J22" s="50">
        <f t="shared" si="2"/>
        <v>10</v>
      </c>
      <c r="K22" s="44"/>
      <c r="L22" s="52">
        <f t="shared" si="3"/>
        <v>10</v>
      </c>
      <c r="M22" s="54" t="s">
        <v>43</v>
      </c>
      <c r="N22" s="49">
        <v>13.0</v>
      </c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112">
        <v>7.0</v>
      </c>
      <c r="F23" s="47">
        <v>2.0</v>
      </c>
      <c r="G23" s="48"/>
      <c r="H23" s="48">
        <f t="shared" si="1"/>
        <v>9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8.0</v>
      </c>
      <c r="F24" s="47">
        <v>2.0</v>
      </c>
      <c r="G24" s="48"/>
      <c r="H24" s="48">
        <f t="shared" si="1"/>
        <v>10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56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6.0</v>
      </c>
      <c r="F26" s="47">
        <v>0.0</v>
      </c>
      <c r="G26" s="48"/>
      <c r="H26" s="48">
        <f t="shared" si="1"/>
        <v>6</v>
      </c>
      <c r="I26" s="49">
        <v>0.0</v>
      </c>
      <c r="J26" s="50">
        <f t="shared" si="2"/>
        <v>6</v>
      </c>
      <c r="K26" s="44"/>
      <c r="L26" s="52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8.0</v>
      </c>
      <c r="F27" s="47">
        <v>2.0</v>
      </c>
      <c r="G27" s="48"/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7.0</v>
      </c>
      <c r="F28" s="47">
        <v>2.0</v>
      </c>
      <c r="G28" s="47">
        <v>1.0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8.0</v>
      </c>
      <c r="F31" s="47">
        <v>2.0</v>
      </c>
      <c r="G31" s="48"/>
      <c r="H31" s="48">
        <f t="shared" si="1"/>
        <v>10</v>
      </c>
      <c r="I31" s="49">
        <v>0.0</v>
      </c>
      <c r="J31" s="50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7.0</v>
      </c>
      <c r="F33" s="47">
        <v>2.0</v>
      </c>
      <c r="G33" s="48"/>
      <c r="H33" s="48">
        <f t="shared" si="1"/>
        <v>9</v>
      </c>
      <c r="I33" s="49">
        <v>0.0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8.0</v>
      </c>
      <c r="F34" s="47">
        <v>2.0</v>
      </c>
      <c r="G34" s="48"/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5.6</v>
      </c>
      <c r="F35" s="47">
        <v>2.0</v>
      </c>
      <c r="G35" s="48"/>
      <c r="H35" s="48">
        <f t="shared" si="1"/>
        <v>7.6</v>
      </c>
      <c r="I35" s="49">
        <v>0.0</v>
      </c>
      <c r="J35" s="50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6.0</v>
      </c>
      <c r="F36" s="47">
        <v>0.0</v>
      </c>
      <c r="G36" s="48"/>
      <c r="H36" s="48">
        <f t="shared" si="1"/>
        <v>6</v>
      </c>
      <c r="I36" s="49">
        <v>0.0</v>
      </c>
      <c r="J36" s="50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4.0</v>
      </c>
      <c r="F37" s="47">
        <v>2.0</v>
      </c>
      <c r="G37" s="48"/>
      <c r="H37" s="48">
        <f t="shared" si="1"/>
        <v>6</v>
      </c>
      <c r="I37" s="49">
        <v>0.0</v>
      </c>
      <c r="J37" s="50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7.0</v>
      </c>
      <c r="F38" s="47">
        <v>0.0</v>
      </c>
      <c r="G38" s="48"/>
      <c r="H38" s="48">
        <f t="shared" si="1"/>
        <v>7</v>
      </c>
      <c r="I38" s="49">
        <v>0.0</v>
      </c>
      <c r="J38" s="50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8.0</v>
      </c>
      <c r="F39" s="47">
        <v>2.0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8.0</v>
      </c>
      <c r="F42" s="47">
        <v>2.0</v>
      </c>
      <c r="G42" s="48"/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8.0</v>
      </c>
      <c r="F43" s="47">
        <v>2.0</v>
      </c>
      <c r="G43" s="48"/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0.0</v>
      </c>
      <c r="F44" s="47">
        <v>2.0</v>
      </c>
      <c r="G44" s="48"/>
      <c r="H44" s="48">
        <f t="shared" si="1"/>
        <v>2</v>
      </c>
      <c r="I44" s="49">
        <v>0.0</v>
      </c>
      <c r="J44" s="50">
        <f t="shared" si="2"/>
        <v>5</v>
      </c>
      <c r="K44" s="44"/>
      <c r="L44" s="52">
        <f t="shared" si="3"/>
        <v>2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4.0</v>
      </c>
      <c r="F46" s="47">
        <v>2.0</v>
      </c>
      <c r="G46" s="48"/>
      <c r="H46" s="48">
        <f t="shared" si="1"/>
        <v>6</v>
      </c>
      <c r="I46" s="49">
        <v>0.0</v>
      </c>
      <c r="J46" s="50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7.0</v>
      </c>
      <c r="F47" s="47">
        <v>2.0</v>
      </c>
      <c r="G47" s="47">
        <v>0.5</v>
      </c>
      <c r="H47" s="48">
        <f t="shared" si="1"/>
        <v>9.5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5.0</v>
      </c>
      <c r="F48" s="47">
        <v>2.0</v>
      </c>
      <c r="G48" s="48"/>
      <c r="H48" s="48">
        <f t="shared" si="1"/>
        <v>7</v>
      </c>
      <c r="I48" s="49">
        <v>0.0</v>
      </c>
      <c r="J48" s="50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7.0</v>
      </c>
      <c r="F49" s="47">
        <v>2.0</v>
      </c>
      <c r="G49" s="48"/>
      <c r="H49" s="48">
        <f t="shared" si="1"/>
        <v>9</v>
      </c>
      <c r="I49" s="49">
        <v>0.0</v>
      </c>
      <c r="J49" s="50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7.0</v>
      </c>
      <c r="F50" s="47">
        <v>2.0</v>
      </c>
      <c r="G50" s="48"/>
      <c r="H50" s="48">
        <f t="shared" si="1"/>
        <v>9</v>
      </c>
      <c r="I50" s="49">
        <v>0.0</v>
      </c>
      <c r="J50" s="50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7.0</v>
      </c>
      <c r="F52" s="47">
        <v>2.0</v>
      </c>
      <c r="G52" s="48"/>
      <c r="H52" s="48">
        <f t="shared" si="1"/>
        <v>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8.0</v>
      </c>
      <c r="F53" s="47">
        <v>2.0</v>
      </c>
      <c r="G53" s="48"/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4.0</v>
      </c>
      <c r="F54" s="47">
        <v>2.0</v>
      </c>
      <c r="G54" s="47"/>
      <c r="H54" s="48">
        <f t="shared" si="1"/>
        <v>6</v>
      </c>
      <c r="I54" s="49">
        <v>0.0</v>
      </c>
      <c r="J54" s="50">
        <f t="shared" si="2"/>
        <v>6</v>
      </c>
      <c r="K54" s="44"/>
      <c r="L54" s="51">
        <f t="shared" si="3"/>
        <v>6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7.0</v>
      </c>
      <c r="F56" s="47">
        <v>2.0</v>
      </c>
      <c r="G56" s="47">
        <v>1.0</v>
      </c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7.0</v>
      </c>
      <c r="F57" s="47">
        <v>2.0</v>
      </c>
      <c r="G57" s="48"/>
      <c r="H57" s="48">
        <f t="shared" si="1"/>
        <v>9</v>
      </c>
      <c r="I57" s="49">
        <v>0.0</v>
      </c>
      <c r="J57" s="50">
        <f t="shared" si="2"/>
        <v>9</v>
      </c>
      <c r="K57" s="44"/>
      <c r="L57" s="51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5.6</v>
      </c>
      <c r="F58" s="47">
        <v>2.0</v>
      </c>
      <c r="G58" s="48"/>
      <c r="H58" s="48">
        <f t="shared" si="1"/>
        <v>7.6</v>
      </c>
      <c r="I58" s="49">
        <v>0.0</v>
      </c>
      <c r="J58" s="50">
        <f t="shared" si="2"/>
        <v>8</v>
      </c>
      <c r="K58" s="44"/>
      <c r="L58" s="51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6.0</v>
      </c>
      <c r="F59" s="47">
        <v>0.0</v>
      </c>
      <c r="G59" s="48"/>
      <c r="H59" s="48">
        <f t="shared" si="1"/>
        <v>6</v>
      </c>
      <c r="I59" s="47">
        <v>1.0</v>
      </c>
      <c r="J59" s="50">
        <f t="shared" si="2"/>
        <v>6</v>
      </c>
      <c r="K59" s="44"/>
      <c r="L59" s="51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8.0</v>
      </c>
      <c r="F60" s="47">
        <v>2.0</v>
      </c>
      <c r="G60" s="48"/>
      <c r="H60" s="48">
        <f t="shared" si="1"/>
        <v>10</v>
      </c>
      <c r="I60" s="49">
        <v>0.0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8.0</v>
      </c>
      <c r="F61" s="47">
        <v>2.0</v>
      </c>
      <c r="G61" s="48"/>
      <c r="H61" s="48">
        <f t="shared" si="1"/>
        <v>10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48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13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14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44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1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97.77777778</v>
      </c>
      <c r="E68" s="59"/>
      <c r="F68" s="75" t="s">
        <v>157</v>
      </c>
      <c r="G68" s="59"/>
      <c r="H68" s="76" t="s">
        <v>335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9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89"/>
      <c r="E71" s="90"/>
      <c r="G71" s="90"/>
      <c r="H71" s="90"/>
      <c r="I71" s="90"/>
      <c r="J71" s="91"/>
      <c r="K71" s="92"/>
      <c r="L71" s="91"/>
      <c r="M71" s="2"/>
      <c r="N71" s="2"/>
      <c r="O71" s="2"/>
      <c r="P71" s="2"/>
      <c r="Q71" s="2"/>
    </row>
    <row r="72" ht="21.75" customHeight="1">
      <c r="A72" s="93"/>
      <c r="B72" s="94"/>
      <c r="C72" s="94"/>
      <c r="D72" s="95"/>
      <c r="E72" s="96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3"/>
      <c r="B73" s="96"/>
      <c r="C73" s="96"/>
      <c r="D73" s="95"/>
      <c r="E73" s="96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7"/>
      <c r="B74" s="98"/>
      <c r="C74" s="98"/>
      <c r="D74" s="99"/>
      <c r="E74" s="98"/>
      <c r="F74" s="100"/>
      <c r="G74" s="101"/>
      <c r="H74" s="100"/>
      <c r="I74" s="100"/>
      <c r="J74" s="102"/>
      <c r="K74" s="103"/>
      <c r="L74" s="2"/>
      <c r="M74" s="2"/>
      <c r="N74" s="2"/>
      <c r="O74" s="2"/>
      <c r="P74" s="2"/>
      <c r="Q74" s="2"/>
    </row>
    <row r="75" ht="21.75" customHeight="1">
      <c r="A75" s="104"/>
      <c r="B75" s="96"/>
      <c r="C75" s="96"/>
      <c r="D75" s="91"/>
      <c r="E75" s="96"/>
      <c r="F75" s="2"/>
      <c r="G75" s="2"/>
      <c r="H75" s="2"/>
      <c r="I75" s="2"/>
      <c r="J75" s="105"/>
      <c r="K75" s="111"/>
      <c r="L75" s="105"/>
      <c r="M75" s="2"/>
      <c r="N75" s="2"/>
      <c r="O75" s="2"/>
      <c r="P75" s="2"/>
      <c r="Q75" s="2"/>
    </row>
    <row r="76" ht="21.75" customHeight="1">
      <c r="A76" s="104"/>
      <c r="B76" s="96"/>
      <c r="C76" s="96"/>
      <c r="D76" s="91"/>
      <c r="E76" s="96"/>
      <c r="F76" s="2"/>
      <c r="G76" s="2"/>
      <c r="H76" s="2"/>
      <c r="I76" s="2"/>
      <c r="J76" s="105"/>
      <c r="K76" s="105"/>
      <c r="L76" s="10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E62 F17:G61">
    <cfRule type="expression" dxfId="0" priority="1" stopIfTrue="1">
      <formula>TRUE</formula>
    </cfRule>
  </conditionalFormatting>
  <conditionalFormatting sqref="J17:J61">
    <cfRule type="cellIs" dxfId="1" priority="2" stopIfTrue="1" operator="equal">
      <formula>5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