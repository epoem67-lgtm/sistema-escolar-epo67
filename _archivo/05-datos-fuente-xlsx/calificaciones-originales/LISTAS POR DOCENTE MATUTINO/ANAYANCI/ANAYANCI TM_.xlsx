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pensamiento matematico ii" sheetId="1" r:id="rId5"/>
  </sheets>
  <definedNames/>
  <calcPr/>
</workbook>
</file>

<file path=xl/sharedStrings.xml><?xml version="1.0" encoding="utf-8"?>
<sst xmlns="http://schemas.openxmlformats.org/spreadsheetml/2006/main" count="210" uniqueCount="177">
  <si>
    <t>ESCUELA PREPARATORIA OFICIAL NÚM. 67</t>
  </si>
  <si>
    <t xml:space="preserve">CONTROL PRIMER PARCIAL </t>
  </si>
  <si>
    <t xml:space="preserve">PROFESOR (A): </t>
  </si>
  <si>
    <t>ANAYANCY QUIJADA PIÑA</t>
  </si>
  <si>
    <t>II</t>
  </si>
  <si>
    <t>III</t>
  </si>
  <si>
    <t>PUNTAJE EXTRA</t>
  </si>
  <si>
    <t>SEGUNDO SEMESTRE
MATUTINO</t>
  </si>
  <si>
    <t>UAC</t>
  </si>
  <si>
    <t>PENSAMIENTO MATEMÁTICO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</si>
  <si>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</si>
  <si>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</si>
  <si>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</si>
  <si>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</si>
  <si>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</si>
  <si>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</si>
  <si>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</si>
  <si>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</si>
  <si>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</si>
  <si>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</si>
  <si>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</si>
  <si>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</si>
  <si>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</si>
  <si>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</si>
  <si>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</si>
  <si>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</si>
  <si>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</si>
  <si>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</si>
  <si>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</si>
  <si>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</si>
  <si>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</si>
  <si>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</si>
  <si>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</si>
  <si>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</si>
  <si>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</si>
  <si>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</si>
  <si>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</si>
  <si>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</si>
  <si>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</si>
  <si>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</si>
  <si>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</si>
  <si>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</si>
  <si>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</si>
  <si>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</si>
  <si>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</si>
  <si>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</si>
  <si>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</si>
  <si>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</si>
  <si>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</si>
  <si>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</si>
  <si>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</si>
  <si>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</si>
  <si>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</si>
  <si>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</si>
  <si>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</si>
  <si>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</si>
  <si>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</si>
  <si>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</si>
  <si>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</si>
  <si>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</si>
  <si>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</si>
  <si>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</si>
  <si>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</si>
  <si>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</si>
  <si>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</si>
  <si>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</si>
  <si>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</si>
  <si>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</si>
  <si>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</si>
  <si>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</si>
  <si>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</si>
  <si>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</si>
  <si>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</si>
  <si>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</si>
  <si>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</si>
  <si>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</si>
  <si>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</si>
  <si>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</si>
  <si>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</si>
  <si>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</si>
  <si>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</si>
  <si>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</si>
  <si>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</si>
  <si>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</si>
  <si>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</si>
  <si>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</si>
  <si>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</si>
  <si>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</si>
  <si>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</si>
  <si>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</si>
  <si>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</si>
  <si>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</si>
  <si>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</si>
  <si>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</si>
  <si>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</si>
  <si>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</si>
  <si>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</si>
  <si>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</si>
  <si>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</si>
  <si>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</si>
  <si>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</si>
  <si>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</si>
  <si>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</si>
  <si>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</si>
  <si>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</si>
  <si>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</si>
  <si>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</si>
  <si>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</si>
  <si>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</si>
  <si>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</si>
  <si>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</si>
  <si>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</si>
  <si>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</si>
  <si>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</si>
  <si>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</si>
  <si>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</si>
  <si>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</si>
  <si>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</si>
  <si>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</si>
  <si>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</si>
  <si>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</si>
  <si>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</si>
  <si>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</si>
  <si>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</si>
  <si>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</si>
  <si>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</si>
  <si>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</si>
  <si>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</si>
  <si>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</si>
  <si>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</si>
  <si>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</si>
  <si>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</si>
  <si>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</si>
  <si>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</si>
  <si>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</si>
  <si>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</si>
  <si>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</si>
  <si>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</si>
  <si>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</si>
  <si>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</si>
  <si>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</si>
  <si>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</si>
  <si>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</si>
  <si>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</si>
  <si>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</si>
  <si>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</si>
  <si>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</si>
  <si>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</si>
  <si>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</si>
  <si>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</si>
  <si>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</si>
  <si>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</si>
  <si>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</si>
  <si>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</si>
  <si>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</si>
  <si>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</si>
  <si>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</si>
  <si>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</si>
  <si>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</si>
  <si>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</si>
  <si>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</si>
  <si>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</si>
  <si>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</si>
  <si>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</si>
  <si>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</si>
  <si>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</si>
  <si>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</si>
  <si>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</si>
  <si>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</si>
  <si>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</si>
  <si>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</si>
  <si>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</si>
  <si>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>PROFR. ANAYANCY QUIJADA PIÑA</t>
  </si>
  <si>
    <t>PROFR. JOSÉ EDGAR SALAZAR ZÚÑIGA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</si>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</sst>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color rgb="FF000000"/>
      <name val="Calibri"/>
    </font>
    <font>
      <color rgb="FF000000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18" fillId="0" fontId="5" numFmtId="164" xfId="0" applyAlignment="1" applyBorder="1" applyFont="1" applyNumberFormat="1">
      <alignment horizontal="right" readingOrder="0" shrinkToFit="0" vertical="bottom" wrapText="0"/>
    </xf>
    <xf borderId="18" fillId="0" fontId="5" numFmtId="164" xfId="0" applyAlignment="1" applyBorder="1" applyFont="1" applyNumberFormat="1">
      <alignment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6" numFmtId="164" xfId="0" applyAlignment="1" applyBorder="1" applyFont="1" applyNumberFormat="1">
      <alignment horizontal="right" readingOrder="0" shrinkToFit="0" vertical="bottom" wrapText="0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0" fontId="6" numFmtId="164" xfId="0" applyAlignment="1" applyBorder="1" applyFont="1" applyNumberFormat="1">
      <alignment readingOrder="0" shrinkToFit="0" vertical="bottom" wrapText="0"/>
    </xf>
    <xf borderId="23" fillId="0" fontId="1" numFmtId="0" xfId="0" applyAlignment="1" applyBorder="1" applyFont="1">
      <alignment horizontal="center" vertical="center"/>
    </xf>
    <xf borderId="23" fillId="4" fontId="6" numFmtId="164" xfId="0" applyAlignment="1" applyBorder="1" applyFill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79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3.7</v>
      </c>
      <c r="F17" s="49">
        <v>0.0</v>
      </c>
      <c r="G17" s="50"/>
      <c r="H17" s="50">
        <f t="shared" ref="H17:H71" si="1">SUM(E17:G17)</f>
        <v>3.7</v>
      </c>
      <c r="I17" s="44"/>
      <c r="J17" s="51">
        <f t="shared" ref="J17:J71" si="2">IF(H17&lt;6, 5, MIN(ROUND(H17,0), 10))</f>
        <v>5</v>
      </c>
      <c r="K17" s="46"/>
      <c r="L17" s="52">
        <f t="shared" ref="L17:L69" si="3">IF(H17&gt;=6,ROUND(H17,0),TRUNC(H17,0))</f>
        <v>3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6.4</v>
      </c>
      <c r="F18" s="54">
        <v>2.0</v>
      </c>
      <c r="G18" s="55">
        <v>1.0</v>
      </c>
      <c r="H18" s="50">
        <f t="shared" si="1"/>
        <v>9.4</v>
      </c>
      <c r="I18" s="44"/>
      <c r="J18" s="51">
        <f t="shared" si="2"/>
        <v>9</v>
      </c>
      <c r="K18" s="44"/>
      <c r="L18" s="52">
        <f t="shared" si="3"/>
        <v>9</v>
      </c>
      <c r="M18" s="56" t="s">
        <v>28</v>
      </c>
      <c r="N18" s="57">
        <v>7.0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4.38</v>
      </c>
      <c r="F19" s="54">
        <v>2.0</v>
      </c>
      <c r="G19" s="55">
        <v>1.0</v>
      </c>
      <c r="H19" s="50">
        <f t="shared" si="1"/>
        <v>7.38</v>
      </c>
      <c r="I19" s="44"/>
      <c r="J19" s="51">
        <f t="shared" si="2"/>
        <v>7</v>
      </c>
      <c r="K19" s="44"/>
      <c r="L19" s="52">
        <f t="shared" si="3"/>
        <v>7</v>
      </c>
      <c r="M19" s="56" t="s">
        <v>32</v>
      </c>
      <c r="N19" s="57">
        <v>8.0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7.9</v>
      </c>
      <c r="F20" s="54">
        <v>2.0</v>
      </c>
      <c r="G20" s="55">
        <v>1.0</v>
      </c>
      <c r="H20" s="50">
        <f t="shared" si="1"/>
        <v>10.9</v>
      </c>
      <c r="I20" s="44"/>
      <c r="J20" s="51">
        <f t="shared" si="2"/>
        <v>10</v>
      </c>
      <c r="K20" s="44"/>
      <c r="L20" s="52">
        <f t="shared" si="3"/>
        <v>11</v>
      </c>
      <c r="M20" s="56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7.0</v>
      </c>
      <c r="F21" s="54">
        <v>1.5</v>
      </c>
      <c r="G21" s="50"/>
      <c r="H21" s="50">
        <f t="shared" si="1"/>
        <v>8.5</v>
      </c>
      <c r="I21" s="44"/>
      <c r="J21" s="51">
        <f t="shared" si="2"/>
        <v>9</v>
      </c>
      <c r="K21" s="44"/>
      <c r="L21" s="52">
        <f t="shared" si="3"/>
        <v>9</v>
      </c>
      <c r="M21" s="56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7.8</v>
      </c>
      <c r="F22" s="54">
        <v>2.0</v>
      </c>
      <c r="G22" s="55">
        <v>1.0</v>
      </c>
      <c r="H22" s="50">
        <f t="shared" si="1"/>
        <v>10.8</v>
      </c>
      <c r="I22" s="44"/>
      <c r="J22" s="51">
        <f t="shared" si="2"/>
        <v>10</v>
      </c>
      <c r="K22" s="44"/>
      <c r="L22" s="52">
        <f t="shared" si="3"/>
        <v>11</v>
      </c>
      <c r="M22" s="56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7.7</v>
      </c>
      <c r="F23" s="54">
        <v>1.7</v>
      </c>
      <c r="G23" s="55">
        <v>1.0</v>
      </c>
      <c r="H23" s="50">
        <f t="shared" si="1"/>
        <v>10.4</v>
      </c>
      <c r="I23" s="44"/>
      <c r="J23" s="51">
        <f t="shared" si="2"/>
        <v>10</v>
      </c>
      <c r="K23" s="44"/>
      <c r="L23" s="52">
        <f t="shared" si="3"/>
        <v>10</v>
      </c>
      <c r="M23" s="56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4.95</v>
      </c>
      <c r="F24" s="58">
        <v>0.0</v>
      </c>
      <c r="G24" s="50"/>
      <c r="H24" s="50">
        <f t="shared" si="1"/>
        <v>4.95</v>
      </c>
      <c r="I24" s="44"/>
      <c r="J24" s="51">
        <f t="shared" si="2"/>
        <v>5</v>
      </c>
      <c r="K24" s="44"/>
      <c r="L24" s="52">
        <f t="shared" si="3"/>
        <v>4</v>
      </c>
      <c r="M24" s="56" t="s">
        <v>52</v>
      </c>
      <c r="N24" s="56">
        <f>SUM(N18:N23)</f>
        <v>15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6.9</v>
      </c>
      <c r="F25" s="54">
        <v>1.8</v>
      </c>
      <c r="G25" s="50"/>
      <c r="H25" s="50">
        <f t="shared" si="1"/>
        <v>8.7</v>
      </c>
      <c r="I25" s="44"/>
      <c r="J25" s="51">
        <f t="shared" si="2"/>
        <v>9</v>
      </c>
      <c r="K25" s="44"/>
      <c r="L25" s="52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7.8</v>
      </c>
      <c r="F26" s="54">
        <v>2.0</v>
      </c>
      <c r="G26" s="50"/>
      <c r="H26" s="50">
        <f t="shared" si="1"/>
        <v>9.8</v>
      </c>
      <c r="I26" s="44"/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7.5</v>
      </c>
      <c r="F27" s="54">
        <v>2.0</v>
      </c>
      <c r="G27" s="50"/>
      <c r="H27" s="50">
        <f t="shared" si="1"/>
        <v>9.5</v>
      </c>
      <c r="I27" s="44"/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6.25</v>
      </c>
      <c r="F28" s="54">
        <v>1.0</v>
      </c>
      <c r="G28" s="50"/>
      <c r="H28" s="50">
        <f t="shared" si="1"/>
        <v>7.25</v>
      </c>
      <c r="I28" s="44"/>
      <c r="J28" s="51">
        <f t="shared" si="2"/>
        <v>7</v>
      </c>
      <c r="K28" s="44"/>
      <c r="L28" s="52">
        <f t="shared" si="3"/>
        <v>7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3.8</v>
      </c>
      <c r="F29" s="58">
        <v>0.0</v>
      </c>
      <c r="G29" s="50"/>
      <c r="H29" s="50">
        <f t="shared" si="1"/>
        <v>3.8</v>
      </c>
      <c r="I29" s="44"/>
      <c r="J29" s="51">
        <f t="shared" si="2"/>
        <v>5</v>
      </c>
      <c r="K29" s="44"/>
      <c r="L29" s="52">
        <f t="shared" si="3"/>
        <v>3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6.4</v>
      </c>
      <c r="F30" s="54">
        <v>1.8</v>
      </c>
      <c r="G30" s="50"/>
      <c r="H30" s="50">
        <f t="shared" si="1"/>
        <v>8.2</v>
      </c>
      <c r="I30" s="44"/>
      <c r="J30" s="51">
        <f t="shared" si="2"/>
        <v>8</v>
      </c>
      <c r="K30" s="44"/>
      <c r="L30" s="52">
        <f t="shared" si="3"/>
        <v>8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54">
        <v>2.0</v>
      </c>
      <c r="G31" s="50"/>
      <c r="H31" s="50">
        <f t="shared" si="1"/>
        <v>10</v>
      </c>
      <c r="I31" s="44"/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7.5</v>
      </c>
      <c r="F32" s="54">
        <v>2.0</v>
      </c>
      <c r="G32" s="50"/>
      <c r="H32" s="50">
        <f t="shared" si="1"/>
        <v>9.5</v>
      </c>
      <c r="I32" s="44"/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7.08</v>
      </c>
      <c r="F33" s="58">
        <v>0.0</v>
      </c>
      <c r="G33" s="50"/>
      <c r="H33" s="50">
        <f t="shared" si="1"/>
        <v>7.08</v>
      </c>
      <c r="I33" s="44"/>
      <c r="J33" s="51">
        <f t="shared" si="2"/>
        <v>7</v>
      </c>
      <c r="K33" s="44"/>
      <c r="L33" s="52">
        <f t="shared" si="3"/>
        <v>7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6.3</v>
      </c>
      <c r="F34" s="58">
        <v>0.0</v>
      </c>
      <c r="G34" s="50"/>
      <c r="H34" s="50">
        <f t="shared" si="1"/>
        <v>6.3</v>
      </c>
      <c r="I34" s="44"/>
      <c r="J34" s="51">
        <f t="shared" si="2"/>
        <v>6</v>
      </c>
      <c r="K34" s="44"/>
      <c r="L34" s="52">
        <f t="shared" si="3"/>
        <v>6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7.8</v>
      </c>
      <c r="F35" s="54">
        <v>2.0</v>
      </c>
      <c r="G35" s="50"/>
      <c r="H35" s="50">
        <f t="shared" si="1"/>
        <v>9.8</v>
      </c>
      <c r="I35" s="44"/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5.45</v>
      </c>
      <c r="F36" s="54">
        <v>0.5</v>
      </c>
      <c r="G36" s="50"/>
      <c r="H36" s="50">
        <f t="shared" si="1"/>
        <v>5.95</v>
      </c>
      <c r="I36" s="44"/>
      <c r="J36" s="51">
        <f t="shared" si="2"/>
        <v>5</v>
      </c>
      <c r="K36" s="44"/>
      <c r="L36" s="52">
        <f t="shared" si="3"/>
        <v>5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6.9</v>
      </c>
      <c r="F37" s="54">
        <v>1.5</v>
      </c>
      <c r="G37" s="50"/>
      <c r="H37" s="50">
        <f t="shared" si="1"/>
        <v>8.4</v>
      </c>
      <c r="I37" s="44"/>
      <c r="J37" s="51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7.6</v>
      </c>
      <c r="F38" s="54">
        <v>1.0</v>
      </c>
      <c r="G38" s="55">
        <v>1.0</v>
      </c>
      <c r="H38" s="50">
        <f t="shared" si="1"/>
        <v>9.6</v>
      </c>
      <c r="I38" s="44"/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6.9</v>
      </c>
      <c r="F39" s="54">
        <v>2.0</v>
      </c>
      <c r="G39" s="50"/>
      <c r="H39" s="50">
        <f t="shared" si="1"/>
        <v>8.9</v>
      </c>
      <c r="I39" s="44"/>
      <c r="J39" s="51">
        <f t="shared" si="2"/>
        <v>9</v>
      </c>
      <c r="K39" s="44"/>
      <c r="L39" s="52">
        <f t="shared" si="3"/>
        <v>9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6.08</v>
      </c>
      <c r="F40" s="58">
        <v>0.0</v>
      </c>
      <c r="G40" s="50"/>
      <c r="H40" s="50">
        <f t="shared" si="1"/>
        <v>6.08</v>
      </c>
      <c r="I40" s="44"/>
      <c r="J40" s="51">
        <f t="shared" si="2"/>
        <v>6</v>
      </c>
      <c r="K40" s="44"/>
      <c r="L40" s="52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7.9</v>
      </c>
      <c r="F41" s="54">
        <v>1.8</v>
      </c>
      <c r="G41" s="50"/>
      <c r="H41" s="50">
        <f t="shared" si="1"/>
        <v>9.7</v>
      </c>
      <c r="I41" s="44"/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7.6</v>
      </c>
      <c r="F42" s="58">
        <v>0.0</v>
      </c>
      <c r="G42" s="50"/>
      <c r="H42" s="50">
        <f t="shared" si="1"/>
        <v>7.6</v>
      </c>
      <c r="I42" s="44"/>
      <c r="J42" s="51">
        <f t="shared" si="2"/>
        <v>8</v>
      </c>
      <c r="K42" s="44"/>
      <c r="L42" s="52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5.45</v>
      </c>
      <c r="F43" s="54">
        <v>2.0</v>
      </c>
      <c r="G43" s="50"/>
      <c r="H43" s="50">
        <f t="shared" si="1"/>
        <v>7.45</v>
      </c>
      <c r="I43" s="44"/>
      <c r="J43" s="51">
        <f t="shared" si="2"/>
        <v>7</v>
      </c>
      <c r="K43" s="44"/>
      <c r="L43" s="52">
        <f t="shared" si="3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6.6</v>
      </c>
      <c r="F44" s="54">
        <v>1.5</v>
      </c>
      <c r="G44" s="50"/>
      <c r="H44" s="50">
        <f t="shared" si="1"/>
        <v>8.1</v>
      </c>
      <c r="I44" s="44"/>
      <c r="J44" s="51">
        <f t="shared" si="2"/>
        <v>8</v>
      </c>
      <c r="K44" s="44"/>
      <c r="L44" s="52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6.9</v>
      </c>
      <c r="F45" s="54">
        <v>2.0</v>
      </c>
      <c r="G45" s="50"/>
      <c r="H45" s="50">
        <f t="shared" si="1"/>
        <v>8.9</v>
      </c>
      <c r="I45" s="44"/>
      <c r="J45" s="51">
        <f t="shared" si="2"/>
        <v>9</v>
      </c>
      <c r="K45" s="44"/>
      <c r="L45" s="52">
        <f t="shared" si="3"/>
        <v>9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0.0</v>
      </c>
      <c r="F46" s="58">
        <v>0.0</v>
      </c>
      <c r="G46" s="50"/>
      <c r="H46" s="50">
        <f t="shared" si="1"/>
        <v>0</v>
      </c>
      <c r="I46" s="44"/>
      <c r="J46" s="51">
        <f t="shared" si="2"/>
        <v>5</v>
      </c>
      <c r="K46" s="44"/>
      <c r="L46" s="52">
        <f t="shared" si="3"/>
        <v>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7.0</v>
      </c>
      <c r="F47" s="58">
        <v>0.0</v>
      </c>
      <c r="G47" s="50"/>
      <c r="H47" s="50">
        <f t="shared" si="1"/>
        <v>7</v>
      </c>
      <c r="I47" s="44"/>
      <c r="J47" s="51">
        <f t="shared" si="2"/>
        <v>7</v>
      </c>
      <c r="K47" s="44"/>
      <c r="L47" s="52">
        <f t="shared" si="3"/>
        <v>7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7.28</v>
      </c>
      <c r="F48" s="54">
        <v>1.5</v>
      </c>
      <c r="G48" s="50"/>
      <c r="H48" s="50">
        <f t="shared" si="1"/>
        <v>8.78</v>
      </c>
      <c r="I48" s="44"/>
      <c r="J48" s="51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3.75</v>
      </c>
      <c r="F49" s="54">
        <v>1.5</v>
      </c>
      <c r="G49" s="50"/>
      <c r="H49" s="50">
        <f t="shared" si="1"/>
        <v>5.25</v>
      </c>
      <c r="I49" s="44"/>
      <c r="J49" s="51">
        <f t="shared" si="2"/>
        <v>5</v>
      </c>
      <c r="K49" s="44"/>
      <c r="L49" s="52">
        <f t="shared" si="3"/>
        <v>5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4.2</v>
      </c>
      <c r="F50" s="58">
        <v>0.0</v>
      </c>
      <c r="G50" s="50"/>
      <c r="H50" s="50">
        <f t="shared" si="1"/>
        <v>4.2</v>
      </c>
      <c r="I50" s="44"/>
      <c r="J50" s="51">
        <f t="shared" si="2"/>
        <v>5</v>
      </c>
      <c r="K50" s="44"/>
      <c r="L50" s="52">
        <f t="shared" si="3"/>
        <v>4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6.2</v>
      </c>
      <c r="F51" s="54">
        <v>2.0</v>
      </c>
      <c r="G51" s="50"/>
      <c r="H51" s="50">
        <f t="shared" si="1"/>
        <v>8.2</v>
      </c>
      <c r="I51" s="44"/>
      <c r="J51" s="51">
        <f t="shared" si="2"/>
        <v>8</v>
      </c>
      <c r="K51" s="44"/>
      <c r="L51" s="52">
        <f t="shared" si="3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7.8</v>
      </c>
      <c r="F52" s="54">
        <v>2.0</v>
      </c>
      <c r="G52" s="50"/>
      <c r="H52" s="50">
        <f t="shared" si="1"/>
        <v>9.8</v>
      </c>
      <c r="I52" s="44"/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4.88</v>
      </c>
      <c r="F53" s="58">
        <v>0.0</v>
      </c>
      <c r="G53" s="50"/>
      <c r="H53" s="50">
        <f t="shared" si="1"/>
        <v>4.88</v>
      </c>
      <c r="I53" s="44"/>
      <c r="J53" s="51">
        <f t="shared" si="2"/>
        <v>5</v>
      </c>
      <c r="K53" s="44"/>
      <c r="L53" s="46">
        <f t="shared" si="3"/>
        <v>4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6.9</v>
      </c>
      <c r="F54" s="54">
        <v>2.0</v>
      </c>
      <c r="G54" s="50"/>
      <c r="H54" s="50">
        <f t="shared" si="1"/>
        <v>8.9</v>
      </c>
      <c r="I54" s="44"/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8.0</v>
      </c>
      <c r="F55" s="54">
        <v>1.5</v>
      </c>
      <c r="G55" s="50"/>
      <c r="H55" s="50">
        <f t="shared" si="1"/>
        <v>9.5</v>
      </c>
      <c r="I55" s="59"/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6.9</v>
      </c>
      <c r="F56" s="60">
        <v>2.0</v>
      </c>
      <c r="G56" s="50"/>
      <c r="H56" s="50">
        <f t="shared" si="1"/>
        <v>8.9</v>
      </c>
      <c r="I56" s="59"/>
      <c r="J56" s="51">
        <f t="shared" si="2"/>
        <v>9</v>
      </c>
      <c r="K56" s="44"/>
      <c r="L56" s="46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5.0</v>
      </c>
      <c r="F57" s="54">
        <v>2.0</v>
      </c>
      <c r="G57" s="50"/>
      <c r="H57" s="50">
        <f t="shared" si="1"/>
        <v>7</v>
      </c>
      <c r="I57" s="59"/>
      <c r="J57" s="51">
        <f t="shared" si="2"/>
        <v>7</v>
      </c>
      <c r="K57" s="44"/>
      <c r="L57" s="46">
        <f t="shared" si="3"/>
        <v>7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6.6</v>
      </c>
      <c r="F58" s="54">
        <v>2.0</v>
      </c>
      <c r="G58" s="50"/>
      <c r="H58" s="50">
        <f t="shared" si="1"/>
        <v>8.6</v>
      </c>
      <c r="I58" s="59"/>
      <c r="J58" s="51">
        <f t="shared" si="2"/>
        <v>9</v>
      </c>
      <c r="K58" s="44"/>
      <c r="L58" s="46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6.4</v>
      </c>
      <c r="F59" s="54">
        <v>1.8</v>
      </c>
      <c r="G59" s="50"/>
      <c r="H59" s="50">
        <f t="shared" si="1"/>
        <v>8.2</v>
      </c>
      <c r="I59" s="59"/>
      <c r="J59" s="51">
        <f t="shared" si="2"/>
        <v>8</v>
      </c>
      <c r="K59" s="44"/>
      <c r="L59" s="46">
        <f t="shared" si="3"/>
        <v>8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2.25</v>
      </c>
      <c r="F60" s="58">
        <v>0.0</v>
      </c>
      <c r="G60" s="50"/>
      <c r="H60" s="50">
        <f t="shared" si="1"/>
        <v>2.25</v>
      </c>
      <c r="I60" s="59"/>
      <c r="J60" s="51">
        <f t="shared" si="2"/>
        <v>5</v>
      </c>
      <c r="K60" s="44"/>
      <c r="L60" s="46">
        <f t="shared" si="3"/>
        <v>2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7.7</v>
      </c>
      <c r="F61" s="54">
        <v>2.0</v>
      </c>
      <c r="G61" s="50"/>
      <c r="H61" s="50">
        <f t="shared" si="1"/>
        <v>9.7</v>
      </c>
      <c r="I61" s="59"/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6.48</v>
      </c>
      <c r="F62" s="54">
        <v>2.0</v>
      </c>
      <c r="G62" s="55">
        <v>1.0</v>
      </c>
      <c r="H62" s="50">
        <f t="shared" si="1"/>
        <v>9.48</v>
      </c>
      <c r="I62" s="59"/>
      <c r="J62" s="51">
        <f t="shared" si="2"/>
        <v>9</v>
      </c>
      <c r="K62" s="44"/>
      <c r="L62" s="46">
        <f t="shared" si="3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4.63</v>
      </c>
      <c r="F63" s="54">
        <v>1.5</v>
      </c>
      <c r="G63" s="55">
        <v>1.0</v>
      </c>
      <c r="H63" s="50">
        <f t="shared" si="1"/>
        <v>7.13</v>
      </c>
      <c r="I63" s="59"/>
      <c r="J63" s="51">
        <f t="shared" si="2"/>
        <v>7</v>
      </c>
      <c r="K63" s="44"/>
      <c r="L63" s="46">
        <f t="shared" si="3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5.5</v>
      </c>
      <c r="F64" s="54">
        <v>1.0</v>
      </c>
      <c r="G64" s="50"/>
      <c r="H64" s="50">
        <f t="shared" si="1"/>
        <v>6.5</v>
      </c>
      <c r="I64" s="59"/>
      <c r="J64" s="51">
        <f t="shared" si="2"/>
        <v>7</v>
      </c>
      <c r="K64" s="44"/>
      <c r="L64" s="46">
        <f t="shared" si="3"/>
        <v>7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6.9</v>
      </c>
      <c r="F65" s="54">
        <v>2.0</v>
      </c>
      <c r="G65" s="50"/>
      <c r="H65" s="50">
        <f t="shared" si="1"/>
        <v>8.9</v>
      </c>
      <c r="I65" s="59"/>
      <c r="J65" s="51">
        <f t="shared" si="2"/>
        <v>9</v>
      </c>
      <c r="K65" s="44"/>
      <c r="L65" s="46">
        <f t="shared" si="3"/>
        <v>9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7" t="s">
        <v>151</v>
      </c>
      <c r="E66" s="48">
        <v>8.0</v>
      </c>
      <c r="F66" s="54">
        <v>1.8</v>
      </c>
      <c r="G66" s="55">
        <v>1.0</v>
      </c>
      <c r="H66" s="50">
        <f t="shared" si="1"/>
        <v>10.8</v>
      </c>
      <c r="I66" s="59"/>
      <c r="J66" s="51">
        <f t="shared" si="2"/>
        <v>10</v>
      </c>
      <c r="K66" s="44"/>
      <c r="L66" s="46">
        <f t="shared" si="3"/>
        <v>11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7" t="s">
        <v>110</v>
      </c>
      <c r="E67" s="48">
        <v>4.63</v>
      </c>
      <c r="F67" s="58">
        <v>0.0</v>
      </c>
      <c r="G67" s="50"/>
      <c r="H67" s="50">
        <f t="shared" si="1"/>
        <v>4.63</v>
      </c>
      <c r="I67" s="59"/>
      <c r="J67" s="51">
        <f t="shared" si="2"/>
        <v>5</v>
      </c>
      <c r="K67" s="44"/>
      <c r="L67" s="46">
        <f t="shared" si="3"/>
        <v>4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47" t="s">
        <v>155</v>
      </c>
      <c r="E68" s="48">
        <v>6.2</v>
      </c>
      <c r="F68" s="54">
        <v>1.7</v>
      </c>
      <c r="G68" s="50"/>
      <c r="H68" s="50">
        <f t="shared" si="1"/>
        <v>7.9</v>
      </c>
      <c r="I68" s="59"/>
      <c r="J68" s="51">
        <f t="shared" si="2"/>
        <v>8</v>
      </c>
      <c r="K68" s="44"/>
      <c r="L68" s="46">
        <f t="shared" si="3"/>
        <v>8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47" t="s">
        <v>158</v>
      </c>
      <c r="E69" s="48">
        <v>6.1</v>
      </c>
      <c r="F69" s="54">
        <v>2.0</v>
      </c>
      <c r="G69" s="50"/>
      <c r="H69" s="50">
        <f t="shared" si="1"/>
        <v>8.1</v>
      </c>
      <c r="I69" s="59"/>
      <c r="J69" s="51">
        <f t="shared" si="2"/>
        <v>8</v>
      </c>
      <c r="K69" s="44"/>
      <c r="L69" s="46">
        <f t="shared" si="3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7" t="s">
        <v>159</v>
      </c>
      <c r="E70" s="48">
        <v>6.9</v>
      </c>
      <c r="F70" s="54">
        <v>1.8</v>
      </c>
      <c r="G70" s="50"/>
      <c r="H70" s="50">
        <f t="shared" si="1"/>
        <v>8.7</v>
      </c>
      <c r="I70" s="59"/>
      <c r="J70" s="51">
        <f t="shared" si="2"/>
        <v>9</v>
      </c>
      <c r="K70" s="44"/>
      <c r="L70" s="61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47" t="s">
        <v>161</v>
      </c>
      <c r="E71" s="48">
        <v>8.0</v>
      </c>
      <c r="F71" s="54">
        <v>2.0</v>
      </c>
      <c r="G71" s="50"/>
      <c r="H71" s="50">
        <f t="shared" si="1"/>
        <v>10</v>
      </c>
      <c r="I71" s="59"/>
      <c r="J71" s="51">
        <f t="shared" si="2"/>
        <v>10</v>
      </c>
      <c r="K71" s="44"/>
      <c r="L71" s="61"/>
      <c r="M71" s="1"/>
      <c r="N71" s="1"/>
      <c r="O71" s="2"/>
      <c r="P71" s="2"/>
      <c r="Q71" s="2"/>
    </row>
    <row r="72" ht="21.75" customHeight="1">
      <c r="A72" s="62"/>
      <c r="B72" s="11"/>
      <c r="C72" s="11"/>
      <c r="D72" s="1"/>
      <c r="E72" s="1"/>
      <c r="F72" s="1"/>
      <c r="G72" s="1"/>
      <c r="H72" s="1"/>
      <c r="I72" s="1"/>
      <c r="J72" s="1"/>
      <c r="K72" s="7"/>
      <c r="L72" s="1"/>
      <c r="M72" s="1"/>
      <c r="N72" s="1"/>
      <c r="O72" s="2"/>
      <c r="P72" s="2"/>
      <c r="Q72" s="2"/>
    </row>
    <row r="73" ht="21.75" customHeight="1">
      <c r="A73" s="63"/>
      <c r="B73" s="64" t="s">
        <v>162</v>
      </c>
      <c r="C73" s="65"/>
      <c r="D73" s="66">
        <f>COUNT(A17:A71)</f>
        <v>55</v>
      </c>
      <c r="E73" s="1"/>
      <c r="F73" s="67" t="s">
        <v>163</v>
      </c>
      <c r="G73" s="1"/>
      <c r="H73" s="67" t="s">
        <v>164</v>
      </c>
      <c r="J73" s="67" t="s">
        <v>165</v>
      </c>
      <c r="K73" s="68" t="s">
        <v>166</v>
      </c>
      <c r="L73" s="1"/>
      <c r="M73" s="1"/>
      <c r="N73" s="1"/>
      <c r="O73" s="2"/>
      <c r="P73" s="2"/>
      <c r="Q73" s="2"/>
    </row>
    <row r="74" ht="21.75" customHeight="1">
      <c r="A74" s="63"/>
      <c r="B74" s="69" t="s">
        <v>167</v>
      </c>
      <c r="C74" s="70"/>
      <c r="D74" s="71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3"/>
      <c r="B75" s="69" t="s">
        <v>168</v>
      </c>
      <c r="C75" s="70"/>
      <c r="D75" s="72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3"/>
      <c r="B76" s="69" t="s">
        <v>169</v>
      </c>
      <c r="C76" s="70"/>
      <c r="D76" s="72">
        <f>COUNTIF(J17:J71,"&gt;=6")</f>
        <v>45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3"/>
      <c r="B77" s="69" t="s">
        <v>170</v>
      </c>
      <c r="C77" s="70"/>
      <c r="D77" s="72">
        <f>D75-D76</f>
        <v>10</v>
      </c>
      <c r="E77" s="1"/>
      <c r="F77" s="73"/>
      <c r="G77" s="1"/>
      <c r="H77" s="73"/>
      <c r="I77" s="73"/>
      <c r="J77" s="73"/>
      <c r="K77" s="74"/>
      <c r="L77" s="1"/>
      <c r="M77" s="1"/>
      <c r="N77" s="1"/>
      <c r="O77" s="2"/>
      <c r="P77" s="2"/>
      <c r="Q77" s="2"/>
    </row>
    <row r="78" ht="36.0" customHeight="1">
      <c r="A78" s="63"/>
      <c r="B78" s="75" t="s">
        <v>171</v>
      </c>
      <c r="C78" s="70"/>
      <c r="D78" s="76">
        <f>D76*100/D75</f>
        <v>81.81818182</v>
      </c>
      <c r="E78" s="1"/>
      <c r="F78" s="77" t="s">
        <v>172</v>
      </c>
      <c r="G78" s="1"/>
      <c r="H78" s="78" t="s">
        <v>173</v>
      </c>
      <c r="J78" s="79" t="s">
        <v>174</v>
      </c>
      <c r="K78" s="80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81" t="s">
        <v>176</v>
      </c>
      <c r="C79" s="82"/>
      <c r="D79" s="83">
        <f>AVERAGE(J17:J71)</f>
        <v>8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4"/>
      <c r="B80" s="2"/>
      <c r="C80" s="2"/>
      <c r="D80" s="2"/>
      <c r="E80" s="2"/>
      <c r="F80" s="2"/>
      <c r="G80" s="2"/>
      <c r="H80" s="2"/>
      <c r="I80" s="2"/>
      <c r="J80" s="2"/>
      <c r="K80" s="85"/>
      <c r="L80" s="2"/>
      <c r="M80" s="2"/>
      <c r="N80" s="2"/>
      <c r="O80" s="2"/>
      <c r="P80" s="2"/>
      <c r="Q80" s="2"/>
    </row>
    <row r="81" ht="13.5" customHeight="1">
      <c r="A81" s="86"/>
      <c r="B81" s="87"/>
      <c r="C81" s="88"/>
      <c r="D81" s="88"/>
      <c r="E81" s="89"/>
      <c r="G81" s="89"/>
      <c r="H81" s="89"/>
      <c r="I81" s="89"/>
      <c r="J81" s="89"/>
      <c r="K81" s="90"/>
      <c r="L81" s="89"/>
      <c r="M81" s="2"/>
      <c r="N81" s="2"/>
      <c r="O81" s="2"/>
      <c r="P81" s="2"/>
      <c r="Q81" s="2"/>
    </row>
    <row r="82" ht="13.5" customHeight="1">
      <c r="A82" s="91"/>
      <c r="B82" s="89"/>
      <c r="C82" s="89"/>
      <c r="D82" s="89"/>
      <c r="E82" s="89"/>
      <c r="F82" s="2"/>
      <c r="G82" s="2"/>
      <c r="H82" s="2"/>
      <c r="I82" s="2"/>
      <c r="J82" s="2"/>
      <c r="K82" s="85"/>
      <c r="L82" s="2"/>
      <c r="M82" s="2"/>
      <c r="N82" s="2"/>
      <c r="O82" s="2"/>
      <c r="P82" s="2"/>
      <c r="Q82" s="2"/>
    </row>
    <row r="83" ht="13.5" customHeight="1">
      <c r="A83" s="91"/>
      <c r="B83" s="89"/>
      <c r="C83" s="89"/>
      <c r="D83" s="89"/>
      <c r="E83" s="89"/>
      <c r="F83" s="2"/>
      <c r="G83" s="2"/>
      <c r="H83" s="2"/>
      <c r="I83" s="2"/>
      <c r="J83" s="2"/>
      <c r="K83" s="85"/>
      <c r="L83" s="2"/>
      <c r="M83" s="2"/>
      <c r="N83" s="2"/>
      <c r="O83" s="2"/>
      <c r="P83" s="2"/>
      <c r="Q83" s="2"/>
    </row>
    <row r="84" ht="14.25" customHeight="1">
      <c r="A84" s="92"/>
      <c r="B84" s="93"/>
      <c r="C84" s="93"/>
      <c r="D84" s="93"/>
      <c r="E84" s="93"/>
      <c r="F84" s="94"/>
      <c r="G84" s="94"/>
      <c r="H84" s="94"/>
      <c r="I84" s="94"/>
      <c r="J84" s="94"/>
      <c r="K84" s="95"/>
      <c r="L84" s="2"/>
      <c r="M84" s="2"/>
      <c r="N84" s="2"/>
      <c r="O84" s="2"/>
      <c r="P84" s="2"/>
      <c r="Q84" s="2"/>
    </row>
    <row r="85" ht="14.25" customHeight="1">
      <c r="A85" s="2"/>
      <c r="B85" s="89"/>
      <c r="C85" s="89"/>
      <c r="D85" s="89"/>
      <c r="E85" s="89"/>
      <c r="F85" s="2"/>
      <c r="G85" s="2"/>
      <c r="H85" s="2"/>
      <c r="I85" s="2"/>
      <c r="J85" s="96"/>
      <c r="K85" s="96"/>
      <c r="L85" s="96"/>
      <c r="M85" s="2"/>
      <c r="N85" s="2"/>
      <c r="O85" s="2"/>
      <c r="P85" s="2"/>
      <c r="Q85" s="2"/>
    </row>
    <row r="86" ht="14.25" customHeight="1">
      <c r="A86" s="2"/>
      <c r="B86" s="89"/>
      <c r="C86" s="89"/>
      <c r="D86" s="89"/>
      <c r="E86" s="89"/>
      <c r="F86" s="2"/>
      <c r="G86" s="2"/>
      <c r="H86" s="2"/>
      <c r="I86" s="2"/>
      <c r="J86" s="96"/>
      <c r="K86" s="96"/>
      <c r="L86" s="96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0" priority="2" stopIfTrue="1" operator="greaterThan">
      <formula>5</formula>
    </cfRule>
  </conditionalFormatting>
  <conditionalFormatting sqref="J17:J7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