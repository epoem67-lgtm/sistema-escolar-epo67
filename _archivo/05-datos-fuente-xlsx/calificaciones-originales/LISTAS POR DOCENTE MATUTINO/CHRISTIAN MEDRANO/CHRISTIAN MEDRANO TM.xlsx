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ingles ii" sheetId="1" r:id="rId5"/>
    <sheet state="visible" name="1-2 ingles ii" sheetId="2" r:id="rId6"/>
    <sheet state="visible" name="1-3 ingles ii" sheetId="3" r:id="rId7"/>
    <sheet state="visible" name="2-3 ingles iv" sheetId="4" r:id="rId8"/>
  </sheets>
  <definedNames/>
  <calcPr/>
</workbook>
</file>

<file path=xl/sharedStrings.xml><?xml version="1.0" encoding="utf-8"?>
<sst xmlns="http://schemas.openxmlformats.org/spreadsheetml/2006/main" count="807" uniqueCount="452">
  <si>
    <t>ESCUELA PREPARATORIA OFICIAL NÚM. 67</t>
  </si>
  <si>
    <t xml:space="preserve">CONTROL PRIMER PARCIAL </t>
  </si>
  <si>
    <t xml:space="preserve">PROFESOR (A): </t>
  </si>
  <si>
    <t>Christian Medrano Valdez</t>
  </si>
  <si>
    <t>II</t>
  </si>
  <si>
    <t>III</t>
  </si>
  <si>
    <t>PUNTAJE EXTRA</t>
  </si>
  <si>
    <t>SEGUNDO SEMESTRE
MATUTINO</t>
  </si>
  <si>
    <t>UAC</t>
  </si>
  <si>
    <t>INGLÉS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</si>
  <si>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</si>
  <si>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</si>
  <si>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</si>
  <si>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</si>
  <si>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</si>
  <si>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</si>
  <si>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</si>
  <si>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</si>
  <si>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</si>
  <si>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</si>
  <si>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</si>
  <si>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</si>
  <si>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</si>
  <si>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</si>
  <si>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</si>
  <si>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</si>
  <si>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</si>
  <si>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</si>
  <si>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</si>
  <si>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</si>
  <si>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</si>
  <si>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</si>
  <si>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</si>
  <si>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</si>
  <si>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</si>
  <si>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</si>
  <si>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</si>
  <si>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</si>
  <si>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</si>
  <si>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</si>
  <si>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</si>
  <si>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</si>
  <si>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</si>
  <si>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</si>
  <si>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</si>
  <si>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</si>
  <si>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</si>
  <si>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</si>
  <si>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</si>
  <si>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</si>
  <si>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</si>
  <si>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</si>
  <si>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</si>
  <si>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</si>
  <si>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</si>
  <si>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</si>
  <si>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</si>
  <si>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</si>
  <si>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</si>
  <si>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</si>
  <si>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</si>
  <si>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</si>
  <si>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</si>
  <si>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</si>
  <si>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</si>
  <si>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</si>
  <si>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</si>
  <si>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</si>
  <si>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</si>
  <si>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</si>
  <si>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</si>
  <si>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</si>
  <si>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</si>
  <si>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</si>
  <si>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</si>
  <si>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</si>
  <si>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</si>
  <si>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</si>
  <si>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</si>
  <si>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</si>
  <si>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</si>
  <si>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</si>
  <si>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</si>
  <si>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</si>
  <si>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</si>
  <si>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</si>
  <si>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</si>
  <si>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</si>
  <si>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</si>
  <si>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</si>
  <si>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</si>
  <si>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</si>
  <si>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</si>
  <si>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</si>
  <si>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</si>
  <si>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</si>
  <si>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</si>
  <si>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</si>
  <si>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</si>
  <si>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</si>
  <si>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</si>
  <si>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</si>
  <si>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</si>
  <si>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</si>
  <si>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</si>
  <si>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</si>
  <si>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</si>
  <si>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</si>
  <si>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</si>
  <si>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</si>
  <si>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</si>
  <si>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</si>
  <si>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</si>
  <si>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</si>
  <si>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</si>
  <si>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</si>
  <si>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</si>
  <si>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</si>
  <si>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</si>
  <si>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</si>
  <si>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</si>
  <si>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</si>
  <si>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</si>
  <si>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</si>
  <si>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</si>
  <si>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</si>
  <si>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</si>
  <si>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</si>
  <si>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</si>
  <si>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</si>
  <si>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</si>
  <si>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</si>
  <si>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</si>
  <si>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</si>
  <si>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</si>
  <si>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</si>
  <si>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</si>
  <si>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</si>
  <si>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</si>
  <si>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</si>
  <si>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</si>
  <si>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</si>
  <si>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</si>
  <si>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</si>
  <si>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</si>
  <si>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</si>
  <si>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</si>
  <si>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</si>
  <si>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</si>
  <si>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</si>
  <si>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</si>
  <si>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</si>
  <si>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</si>
  <si>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</si>
  <si>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</si>
  <si>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</si>
  <si>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</si>
  <si>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</si>
  <si>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</si>
  <si>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</si>
  <si>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</si>
  <si>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</si>
  <si>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</si>
  <si>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</si>
  <si>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</si>
  <si>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</si>
  <si>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</si>
  <si>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</si>
  <si>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</si>
  <si>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</si>
  <si>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</si>
  <si>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</si>
  <si>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</si>
  <si>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</si>
  <si>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</si>
  <si>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</si>
  <si>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</si>
  <si>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</si>
  <si>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</si>
  <si>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</si>
  <si>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</si>
  <si>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</si>
  <si>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</si>
  <si>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</si>
  <si>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</si>
  <si>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</si>
  <si>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</si>
  <si>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</si>
  <si>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</si>
  <si>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</si>
  <si>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</si>
  <si>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</si>
  <si>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</si>
  <si>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</si>
  <si>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</si>
  <si>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</si>
  <si>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</si>
  <si>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</si>
  <si>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</si>
  <si>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</si>
  <si>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</si>
  <si>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</si>
  <si>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</si>
  <si>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</si>
  <si>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</si>
  <si>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</si>
  <si>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</si>
  <si>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</si>
  <si>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</si>
  <si>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</si>
  <si>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</si>
  <si>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</si>
  <si>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</si>
  <si>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</si>
  <si>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</si>
  <si>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</si>
  <si>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</si>
  <si>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</si>
  <si>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</si>
  <si>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</si>
  <si>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</si>
  <si>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</si>
  <si>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</si>
  <si>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</si>
  <si>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</si>
  <si>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</si>
  <si>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</si>
  <si>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</si>
  <si>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</si>
  <si>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</si>
  <si>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</si>
  <si>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</si>
  <si>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</si>
  <si>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</si>
  <si>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</si>
  <si>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</si>
  <si>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</si>
  <si>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</si>
  <si>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</si>
  <si>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</si>
  <si>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</si>
  <si>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</si>
  <si>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</si>
  <si>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</si>
  <si>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</si>
  <si>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</si>
  <si>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</si>
  <si>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</si>
  <si>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</si>
  <si>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</si>
  <si>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</si>
  <si>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</si>
  <si>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</si>
  <si>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</si>
  <si>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</si>
  <si>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</si>
  <si>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</si>
  <si>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</si>
  <si>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</si>
  <si>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</si>
  <si>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</si>
  <si>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</si>
  <si>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</si>
  <si>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</si>
  <si>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</si>
  <si>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</si>
  <si>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</si>
  <si>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</si>
  <si>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</si>
  <si>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</si>
  <si>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</si>
  <si>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</si>
  <si>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</si>
  <si>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</si>
  <si>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</si>
  <si>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</si>
  <si>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</si>
  <si>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</si>
  <si>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</si>
  <si>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</si>
  <si>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</si>
  <si>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</si>
  <si>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</si>
  <si>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</si>
  <si>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</si>
  <si>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</si>
  <si>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</si>
  <si>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</si>
  <si>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</si>
  <si>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</si>
  <si>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</si>
  <si>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</si>
  <si>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</si>
  <si>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</si>
  <si>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</si>
  <si>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</si>
  <si>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</si>
  <si>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</si>
  <si>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</si>
  <si>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</si>
  <si>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</si>
  <si>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</si>
  <si>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</si>
  <si>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</si>
  <si>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</si>
  <si>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</si>
  <si>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</si>
  <si>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</si>
  <si>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</si>
  <si>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</si>
  <si>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</si>
  <si>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</si>
  <si>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</si>
  <si>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</si>
  <si>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</si>
  <si>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</si>
  <si>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</si>
  <si>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</si>
  <si>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</si>
  <si>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</si>
  <si>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</si>
  <si>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</si>
  <si>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</si>
  <si>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</si>
  <si>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</si>
  <si>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</si>
  <si>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</si>
  <si>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</si>
  <si>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</si>
  <si>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</si>
  <si>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</si>
  <si>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</si>
  <si>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</si>
  <si>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</si>
  <si>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</si>
  <si>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</si>
  <si>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</si>
  <si>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</si>
  <si>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</si>
  <si>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</si>
  <si>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</si>
  <si>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</si>
  <si>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</si>
  <si>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</si>
  <si>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</si>
  <si>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</si>
  <si>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</si>
  <si>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</si>
  <si>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</si>
  <si>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</si>
  <si>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</si>
  <si>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</si>
  <si>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</si>
  <si>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</si>
  <si>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</si>
  <si>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</si>
  <si>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</si>
  <si>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</si>
  <si>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</si>
  <si>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</si>
  <si>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</si>
  <si>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</si>
  <si>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</si>
  <si>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</si>
  <si>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</si>
  <si>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</si>
  <si>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</si>
  <si>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</si>
  <si>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</si>
  <si>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</si>
  <si>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</si>
  <si>
    <t>CUARTO SEMESTRE
MATUTINO</t>
  </si>
  <si>
    <t>INGLÉS IV</t>
  </si>
  <si>
    <t>2°</t>
  </si>
  <si>
    <t>ACUÑA</t>
  </si>
  <si>
    <t>ALLISON MALILLANY</t>
  </si>
  <si>
    <t>ALCANTARA</t>
  </si>
  <si>
    <t>SANTIAGO EFRAIN</t>
  </si>
  <si>
    <t>ALEMAN</t>
  </si>
  <si>
    <t>JAIME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</si>
  <si>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</si>
  <si>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</si>
  <si>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</si>
  <si>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</si>
  <si>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</si>
  <si>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</si>
  <si>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</si>
  <si>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</si>
  <si>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DANIEL ALEXIS</t>
  </si>
  <si>
    <t>GUSTAVO JULIAN</t>
  </si>
  <si>
    <t>CERDA</t>
  </si>
  <si>
    <t>ANGEL JORELL</t>
  </si>
  <si>
    <t>CERVANTES</t>
  </si>
  <si>
    <t>CRISOSTOMO</t>
  </si>
  <si>
    <t>SANTIAGO DAVID</t>
  </si>
  <si>
    <t>CORTEZ</t>
  </si>
  <si>
    <t>KAREN</t>
  </si>
  <si>
    <t>DALVEZ</t>
  </si>
  <si>
    <t>ESCAMILLA</t>
  </si>
  <si>
    <t>JOSUE ALEJANDRO</t>
  </si>
  <si>
    <t>YESID XIMENA</t>
  </si>
  <si>
    <t>GOMEZ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</si>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</sst>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23" fillId="3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81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73</xdr:row>
      <xdr:rowOff>104775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71</xdr:row>
      <xdr:rowOff>257175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8.0</v>
      </c>
      <c r="F17" s="48">
        <v>0.0</v>
      </c>
      <c r="G17" s="48">
        <v>0.0</v>
      </c>
      <c r="H17" s="49">
        <f t="shared" ref="H17:H71" si="1">SUM(E17:G17)</f>
        <v>8</v>
      </c>
      <c r="I17" s="50">
        <v>2.0</v>
      </c>
      <c r="J17" s="51">
        <f t="shared" ref="J17:J71" si="2">IF(H17&lt;6, 5, MIN(10, ROUND(H17, 0)))</f>
        <v>8</v>
      </c>
      <c r="K17" s="46"/>
      <c r="L17" s="52">
        <f t="shared" ref="L17:L69" si="3">IF(H17&gt;=6,ROUND(H17,0),TRUNC(H17,0))</f>
        <v>8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8.0</v>
      </c>
      <c r="F18" s="48">
        <v>2.0</v>
      </c>
      <c r="G18" s="48">
        <v>1.0</v>
      </c>
      <c r="H18" s="49">
        <f t="shared" si="1"/>
        <v>11</v>
      </c>
      <c r="I18" s="50">
        <v>0.0</v>
      </c>
      <c r="J18" s="51">
        <f t="shared" si="2"/>
        <v>10</v>
      </c>
      <c r="K18" s="44"/>
      <c r="L18" s="52">
        <f t="shared" si="3"/>
        <v>11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8.0</v>
      </c>
      <c r="F19" s="48">
        <v>2.0</v>
      </c>
      <c r="G19" s="48">
        <v>1.0</v>
      </c>
      <c r="H19" s="49">
        <f t="shared" si="1"/>
        <v>11</v>
      </c>
      <c r="I19" s="50">
        <v>0.0</v>
      </c>
      <c r="J19" s="51">
        <f t="shared" si="2"/>
        <v>10</v>
      </c>
      <c r="K19" s="44"/>
      <c r="L19" s="52">
        <f t="shared" si="3"/>
        <v>11</v>
      </c>
      <c r="M19" s="54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2.0</v>
      </c>
      <c r="J20" s="51">
        <f t="shared" si="2"/>
        <v>10</v>
      </c>
      <c r="K20" s="44"/>
      <c r="L20" s="52">
        <f t="shared" si="3"/>
        <v>11</v>
      </c>
      <c r="M20" s="54" t="s">
        <v>36</v>
      </c>
      <c r="N20" s="50">
        <v>7.0</v>
      </c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9.0</v>
      </c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1.0</v>
      </c>
      <c r="J22" s="51">
        <f t="shared" si="2"/>
        <v>10</v>
      </c>
      <c r="K22" s="44"/>
      <c r="L22" s="52">
        <f t="shared" si="3"/>
        <v>11</v>
      </c>
      <c r="M22" s="54" t="s">
        <v>44</v>
      </c>
      <c r="N22" s="50">
        <v>13.0</v>
      </c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f t="shared" si="2"/>
        <v>10</v>
      </c>
      <c r="K23" s="44"/>
      <c r="L23" s="52">
        <f t="shared" si="3"/>
        <v>11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6.0</v>
      </c>
      <c r="F24" s="48">
        <v>0.0</v>
      </c>
      <c r="G24" s="48">
        <v>0.0</v>
      </c>
      <c r="H24" s="49">
        <f t="shared" si="1"/>
        <v>6</v>
      </c>
      <c r="I24" s="50">
        <v>1.0</v>
      </c>
      <c r="J24" s="51">
        <f t="shared" si="2"/>
        <v>6</v>
      </c>
      <c r="K24" s="44"/>
      <c r="L24" s="52">
        <f t="shared" si="3"/>
        <v>6</v>
      </c>
      <c r="M24" s="54" t="s">
        <v>52</v>
      </c>
      <c r="N24" s="54">
        <f>SUM(N18:N23)</f>
        <v>52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8">
        <v>0.0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6.0</v>
      </c>
      <c r="F28" s="48">
        <v>0.0</v>
      </c>
      <c r="G28" s="48">
        <v>0.0</v>
      </c>
      <c r="H28" s="49">
        <f t="shared" si="1"/>
        <v>6</v>
      </c>
      <c r="I28" s="50">
        <v>2.0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7.0</v>
      </c>
      <c r="F29" s="48">
        <v>2.0</v>
      </c>
      <c r="G29" s="48">
        <v>0.0</v>
      </c>
      <c r="H29" s="49">
        <f t="shared" si="1"/>
        <v>9</v>
      </c>
      <c r="I29" s="50">
        <v>4.0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8.0</v>
      </c>
      <c r="F30" s="48">
        <v>2.0</v>
      </c>
      <c r="G30" s="48">
        <v>0.0</v>
      </c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7.0</v>
      </c>
      <c r="F31" s="48">
        <v>2.0</v>
      </c>
      <c r="G31" s="48">
        <v>0.0</v>
      </c>
      <c r="H31" s="49">
        <f t="shared" si="1"/>
        <v>9</v>
      </c>
      <c r="I31" s="50">
        <v>0.0</v>
      </c>
      <c r="J31" s="51">
        <f t="shared" si="2"/>
        <v>9</v>
      </c>
      <c r="K31" s="44"/>
      <c r="L31" s="52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8">
        <v>0.0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6.0</v>
      </c>
      <c r="F34" s="48">
        <v>2.0</v>
      </c>
      <c r="G34" s="48">
        <v>0.0</v>
      </c>
      <c r="H34" s="49">
        <f t="shared" si="1"/>
        <v>8</v>
      </c>
      <c r="I34" s="50">
        <v>0.0</v>
      </c>
      <c r="J34" s="51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8">
        <v>0.0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6.0</v>
      </c>
      <c r="F36" s="48">
        <v>0.0</v>
      </c>
      <c r="G36" s="48">
        <v>0.0</v>
      </c>
      <c r="H36" s="49">
        <f t="shared" si="1"/>
        <v>6</v>
      </c>
      <c r="I36" s="50">
        <v>0.0</v>
      </c>
      <c r="J36" s="51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8.0</v>
      </c>
      <c r="F37" s="48">
        <v>2.0</v>
      </c>
      <c r="G37" s="48">
        <v>0.0</v>
      </c>
      <c r="H37" s="49">
        <f t="shared" si="1"/>
        <v>10</v>
      </c>
      <c r="I37" s="50">
        <v>2.0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1.0</v>
      </c>
      <c r="J38" s="51">
        <f t="shared" si="2"/>
        <v>10</v>
      </c>
      <c r="K38" s="44"/>
      <c r="L38" s="52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7.0</v>
      </c>
      <c r="F40" s="48">
        <v>1.0</v>
      </c>
      <c r="G40" s="48">
        <v>0.0</v>
      </c>
      <c r="H40" s="49">
        <f t="shared" si="1"/>
        <v>8</v>
      </c>
      <c r="I40" s="50">
        <v>0.0</v>
      </c>
      <c r="J40" s="51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1.0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8">
        <v>0.0</v>
      </c>
      <c r="H42" s="49">
        <f t="shared" si="1"/>
        <v>10</v>
      </c>
      <c r="I42" s="50">
        <v>1.0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1.0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4.0</v>
      </c>
      <c r="F44" s="48">
        <v>2.0</v>
      </c>
      <c r="G44" s="48">
        <v>0.0</v>
      </c>
      <c r="H44" s="49">
        <f t="shared" si="1"/>
        <v>6</v>
      </c>
      <c r="I44" s="50">
        <v>0.0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6.0</v>
      </c>
      <c r="F46" s="48">
        <v>2.0</v>
      </c>
      <c r="G46" s="48">
        <v>0.0</v>
      </c>
      <c r="H46" s="49">
        <f t="shared" si="1"/>
        <v>8</v>
      </c>
      <c r="I46" s="50">
        <v>4.0</v>
      </c>
      <c r="J46" s="51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6.0</v>
      </c>
      <c r="F47" s="48">
        <v>0.0</v>
      </c>
      <c r="G47" s="48">
        <v>0.0</v>
      </c>
      <c r="H47" s="49">
        <f t="shared" si="1"/>
        <v>6</v>
      </c>
      <c r="I47" s="50">
        <v>3.0</v>
      </c>
      <c r="J47" s="51">
        <f t="shared" si="2"/>
        <v>6</v>
      </c>
      <c r="K47" s="44"/>
      <c r="L47" s="52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8.0</v>
      </c>
      <c r="F48" s="48">
        <v>2.0</v>
      </c>
      <c r="G48" s="48">
        <v>0.0</v>
      </c>
      <c r="H48" s="49">
        <f t="shared" si="1"/>
        <v>10</v>
      </c>
      <c r="I48" s="50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7.0</v>
      </c>
      <c r="F49" s="48">
        <v>2.0</v>
      </c>
      <c r="G49" s="48">
        <v>0.0</v>
      </c>
      <c r="H49" s="49">
        <f t="shared" si="1"/>
        <v>9</v>
      </c>
      <c r="I49" s="50">
        <v>1.0</v>
      </c>
      <c r="J49" s="51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8.0</v>
      </c>
      <c r="F50" s="48">
        <v>1.0</v>
      </c>
      <c r="G50" s="48">
        <v>0.0</v>
      </c>
      <c r="H50" s="49">
        <f t="shared" si="1"/>
        <v>9</v>
      </c>
      <c r="I50" s="50">
        <v>2.0</v>
      </c>
      <c r="J50" s="51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7.0</v>
      </c>
      <c r="F53" s="48">
        <v>2.0</v>
      </c>
      <c r="G53" s="48">
        <v>0.0</v>
      </c>
      <c r="H53" s="49">
        <f t="shared" si="1"/>
        <v>9</v>
      </c>
      <c r="I53" s="50">
        <v>0.0</v>
      </c>
      <c r="J53" s="51">
        <f t="shared" si="2"/>
        <v>9</v>
      </c>
      <c r="K53" s="44"/>
      <c r="L53" s="46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4.0</v>
      </c>
      <c r="F55" s="48">
        <v>2.0</v>
      </c>
      <c r="G55" s="48">
        <v>0.0</v>
      </c>
      <c r="H55" s="49">
        <f t="shared" si="1"/>
        <v>6</v>
      </c>
      <c r="I55" s="50">
        <v>0.0</v>
      </c>
      <c r="J55" s="51">
        <f t="shared" si="2"/>
        <v>6</v>
      </c>
      <c r="K55" s="44"/>
      <c r="L55" s="46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8">
        <v>0.0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6.0</v>
      </c>
      <c r="F57" s="48">
        <v>2.0</v>
      </c>
      <c r="G57" s="48">
        <v>0.0</v>
      </c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8.0</v>
      </c>
      <c r="F58" s="48">
        <v>2.0</v>
      </c>
      <c r="G58" s="48">
        <v>0.0</v>
      </c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8.0</v>
      </c>
      <c r="F59" s="48">
        <v>0.0</v>
      </c>
      <c r="G59" s="48">
        <v>0.0</v>
      </c>
      <c r="H59" s="49">
        <f t="shared" si="1"/>
        <v>8</v>
      </c>
      <c r="I59" s="50">
        <v>0.0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7.0</v>
      </c>
      <c r="F60" s="48">
        <v>0.0</v>
      </c>
      <c r="G60" s="48">
        <v>0.0</v>
      </c>
      <c r="H60" s="49">
        <f t="shared" si="1"/>
        <v>7</v>
      </c>
      <c r="I60" s="50">
        <v>1.0</v>
      </c>
      <c r="J60" s="51">
        <f t="shared" si="2"/>
        <v>7</v>
      </c>
      <c r="K60" s="44"/>
      <c r="L60" s="46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1.0</v>
      </c>
      <c r="J62" s="51">
        <f t="shared" si="2"/>
        <v>10</v>
      </c>
      <c r="K62" s="44"/>
      <c r="L62" s="46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6.0</v>
      </c>
      <c r="F63" s="48">
        <v>0.0</v>
      </c>
      <c r="G63" s="48">
        <v>1.0</v>
      </c>
      <c r="H63" s="49">
        <f t="shared" si="1"/>
        <v>7</v>
      </c>
      <c r="I63" s="50">
        <v>0.0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8.0</v>
      </c>
      <c r="F64" s="48">
        <v>0.0</v>
      </c>
      <c r="G64" s="48">
        <v>0.0</v>
      </c>
      <c r="H64" s="49">
        <f t="shared" si="1"/>
        <v>8</v>
      </c>
      <c r="I64" s="50">
        <v>4.0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8">
        <v>0.0</v>
      </c>
      <c r="H65" s="49">
        <f t="shared" si="1"/>
        <v>10</v>
      </c>
      <c r="I65" s="50">
        <v>1.0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7" t="s">
        <v>151</v>
      </c>
      <c r="E66" s="48">
        <v>8.0</v>
      </c>
      <c r="F66" s="48">
        <v>2.0</v>
      </c>
      <c r="G66" s="48">
        <v>1.0</v>
      </c>
      <c r="H66" s="49">
        <f t="shared" si="1"/>
        <v>11</v>
      </c>
      <c r="I66" s="48">
        <v>0.0</v>
      </c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7" t="s">
        <v>110</v>
      </c>
      <c r="E67" s="48">
        <v>6.0</v>
      </c>
      <c r="F67" s="48">
        <v>0.0</v>
      </c>
      <c r="G67" s="48">
        <v>1.0</v>
      </c>
      <c r="H67" s="49">
        <f t="shared" si="1"/>
        <v>7</v>
      </c>
      <c r="I67" s="48">
        <v>2.0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47" t="s">
        <v>155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50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5" t="s">
        <v>158</v>
      </c>
      <c r="E69" s="48">
        <v>8.0</v>
      </c>
      <c r="F69" s="48">
        <v>2.0</v>
      </c>
      <c r="G69" s="48">
        <v>0.0</v>
      </c>
      <c r="H69" s="49">
        <f t="shared" si="1"/>
        <v>10</v>
      </c>
      <c r="I69" s="50">
        <v>0.0</v>
      </c>
      <c r="J69" s="51">
        <f t="shared" si="2"/>
        <v>10</v>
      </c>
      <c r="K69" s="44"/>
      <c r="L69" s="46">
        <f t="shared" si="3"/>
        <v>10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8.0</v>
      </c>
      <c r="F70" s="48">
        <v>0.0</v>
      </c>
      <c r="G70" s="48">
        <v>0.0</v>
      </c>
      <c r="H70" s="49">
        <f t="shared" si="1"/>
        <v>8</v>
      </c>
      <c r="I70" s="50">
        <v>0.0</v>
      </c>
      <c r="J70" s="51">
        <f t="shared" si="2"/>
        <v>8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6" t="s">
        <v>161</v>
      </c>
      <c r="E71" s="48">
        <v>8.0</v>
      </c>
      <c r="F71" s="48">
        <v>2.0</v>
      </c>
      <c r="G71" s="48">
        <v>0.0</v>
      </c>
      <c r="H71" s="49">
        <f t="shared" si="1"/>
        <v>10</v>
      </c>
      <c r="I71" s="48">
        <v>0.0</v>
      </c>
      <c r="J71" s="51">
        <f t="shared" si="2"/>
        <v>10</v>
      </c>
      <c r="K71" s="44"/>
      <c r="L71" s="55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5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55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0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100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9.018181818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9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0" priority="2" stopIfTrue="1" operator="greaterThan">
      <formula>5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5" t="s">
        <v>178</v>
      </c>
      <c r="E17" s="48">
        <v>8.0</v>
      </c>
      <c r="F17" s="48">
        <v>2.0</v>
      </c>
      <c r="G17" s="48">
        <v>0.0</v>
      </c>
      <c r="H17" s="49">
        <f t="shared" ref="H17:H70" si="1">SUM(E17:G17)</f>
        <v>10</v>
      </c>
      <c r="I17" s="48">
        <v>0.0</v>
      </c>
      <c r="J17" s="51">
        <f t="shared" ref="J17:J70" si="2">IF(H17&lt;6, 5, MIN(10, ROUND(H17, 0)))</f>
        <v>10</v>
      </c>
      <c r="K17" s="44"/>
      <c r="L17" s="52">
        <f t="shared" ref="L17:L68" si="3">IF(H17&gt;=6,ROUND(H17,0),TRUNC(H17,0))</f>
        <v>10</v>
      </c>
      <c r="M17" s="54" t="s">
        <v>28</v>
      </c>
      <c r="N17" s="50">
        <v>7.0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5" t="s">
        <v>180</v>
      </c>
      <c r="E18" s="48">
        <v>8.0</v>
      </c>
      <c r="F18" s="48">
        <v>0.0</v>
      </c>
      <c r="G18" s="48">
        <v>0.0</v>
      </c>
      <c r="H18" s="49">
        <f t="shared" si="1"/>
        <v>8</v>
      </c>
      <c r="I18" s="48">
        <v>2.0</v>
      </c>
      <c r="J18" s="51">
        <f t="shared" si="2"/>
        <v>8</v>
      </c>
      <c r="K18" s="44"/>
      <c r="L18" s="52">
        <f t="shared" si="3"/>
        <v>8</v>
      </c>
      <c r="M18" s="54" t="s">
        <v>32</v>
      </c>
      <c r="N18" s="50">
        <v>11.0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5" t="s">
        <v>110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48">
        <v>1.0</v>
      </c>
      <c r="J19" s="51">
        <f t="shared" si="2"/>
        <v>10</v>
      </c>
      <c r="K19" s="44"/>
      <c r="L19" s="52">
        <f t="shared" si="3"/>
        <v>10</v>
      </c>
      <c r="M19" s="54" t="s">
        <v>36</v>
      </c>
      <c r="N19" s="50">
        <v>9.0</v>
      </c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5" t="s">
        <v>183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48">
        <v>0.0</v>
      </c>
      <c r="J20" s="51">
        <f t="shared" si="2"/>
        <v>10</v>
      </c>
      <c r="K20" s="44"/>
      <c r="L20" s="52">
        <f t="shared" si="3"/>
        <v>11</v>
      </c>
      <c r="M20" s="54" t="s">
        <v>40</v>
      </c>
      <c r="N20" s="50">
        <v>10.0</v>
      </c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5" t="s">
        <v>185</v>
      </c>
      <c r="E21" s="48">
        <v>8.0</v>
      </c>
      <c r="F21" s="48">
        <v>2.0</v>
      </c>
      <c r="G21" s="48">
        <v>1.0</v>
      </c>
      <c r="H21" s="49">
        <f t="shared" si="1"/>
        <v>11</v>
      </c>
      <c r="I21" s="48">
        <v>0.0</v>
      </c>
      <c r="J21" s="51">
        <f t="shared" si="2"/>
        <v>10</v>
      </c>
      <c r="K21" s="44"/>
      <c r="L21" s="52">
        <f t="shared" si="3"/>
        <v>11</v>
      </c>
      <c r="M21" s="54" t="s">
        <v>44</v>
      </c>
      <c r="N21" s="50">
        <v>13.0</v>
      </c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5.0</v>
      </c>
      <c r="F22" s="48">
        <v>2.0</v>
      </c>
      <c r="G22" s="48">
        <v>0.0</v>
      </c>
      <c r="H22" s="49">
        <f t="shared" si="1"/>
        <v>7</v>
      </c>
      <c r="I22" s="48">
        <v>1.0</v>
      </c>
      <c r="J22" s="51">
        <f t="shared" si="2"/>
        <v>7</v>
      </c>
      <c r="K22" s="44"/>
      <c r="L22" s="52">
        <f t="shared" si="3"/>
        <v>7</v>
      </c>
      <c r="M22" s="54" t="s">
        <v>48</v>
      </c>
      <c r="N22" s="50">
        <v>6.0</v>
      </c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5" t="s">
        <v>190</v>
      </c>
      <c r="E23" s="48">
        <v>7.0</v>
      </c>
      <c r="F23" s="48">
        <v>2.0</v>
      </c>
      <c r="G23" s="48">
        <v>0.0</v>
      </c>
      <c r="H23" s="49">
        <f t="shared" si="1"/>
        <v>9</v>
      </c>
      <c r="I23" s="48">
        <v>1.0</v>
      </c>
      <c r="J23" s="51">
        <f t="shared" si="2"/>
        <v>9</v>
      </c>
      <c r="K23" s="44"/>
      <c r="L23" s="52">
        <f t="shared" si="3"/>
        <v>9</v>
      </c>
      <c r="M23" s="54" t="s">
        <v>52</v>
      </c>
      <c r="N23" s="54">
        <f>SUM(N17:N22)</f>
        <v>56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5" t="s">
        <v>192</v>
      </c>
      <c r="E24" s="48">
        <v>7.0</v>
      </c>
      <c r="F24" s="48">
        <v>2.0</v>
      </c>
      <c r="G24" s="48">
        <v>0.0</v>
      </c>
      <c r="H24" s="49">
        <f t="shared" si="1"/>
        <v>9</v>
      </c>
      <c r="I24" s="48">
        <v>1.0</v>
      </c>
      <c r="J24" s="51">
        <f t="shared" si="2"/>
        <v>9</v>
      </c>
      <c r="K24" s="44"/>
      <c r="L24" s="52">
        <f t="shared" si="3"/>
        <v>9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5" t="s">
        <v>194</v>
      </c>
      <c r="E25" s="48">
        <v>4.0</v>
      </c>
      <c r="F25" s="48">
        <v>2.0</v>
      </c>
      <c r="G25" s="48">
        <v>1.0</v>
      </c>
      <c r="H25" s="49">
        <f t="shared" si="1"/>
        <v>7</v>
      </c>
      <c r="I25" s="48">
        <v>0.0</v>
      </c>
      <c r="J25" s="51">
        <f t="shared" si="2"/>
        <v>7</v>
      </c>
      <c r="K25" s="44"/>
      <c r="L25" s="52">
        <f t="shared" si="3"/>
        <v>7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48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5" t="s">
        <v>198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48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5" t="s">
        <v>200</v>
      </c>
      <c r="E28" s="48">
        <v>8.0</v>
      </c>
      <c r="F28" s="48">
        <v>2.0</v>
      </c>
      <c r="G28" s="48">
        <v>0.0</v>
      </c>
      <c r="H28" s="49">
        <f t="shared" si="1"/>
        <v>10</v>
      </c>
      <c r="I28" s="48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5" t="s">
        <v>202</v>
      </c>
      <c r="E29" s="48">
        <v>7.0</v>
      </c>
      <c r="F29" s="48">
        <v>2.0</v>
      </c>
      <c r="G29" s="48">
        <v>0.0</v>
      </c>
      <c r="H29" s="49">
        <f t="shared" si="1"/>
        <v>9</v>
      </c>
      <c r="I29" s="48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5" t="s">
        <v>204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48">
        <v>0.0</v>
      </c>
      <c r="J30" s="51">
        <f t="shared" si="2"/>
        <v>10</v>
      </c>
      <c r="K30" s="44"/>
      <c r="L30" s="52">
        <f t="shared" si="3"/>
        <v>11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5" t="s">
        <v>206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48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5" t="s">
        <v>207</v>
      </c>
      <c r="E32" s="48">
        <v>7.0</v>
      </c>
      <c r="F32" s="48">
        <v>2.0</v>
      </c>
      <c r="G32" s="48">
        <v>0.0</v>
      </c>
      <c r="H32" s="49">
        <f t="shared" si="1"/>
        <v>9</v>
      </c>
      <c r="I32" s="48">
        <v>0.0</v>
      </c>
      <c r="J32" s="51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5" t="s">
        <v>209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48">
        <v>0.0</v>
      </c>
      <c r="J33" s="51">
        <f t="shared" si="2"/>
        <v>10</v>
      </c>
      <c r="K33" s="44"/>
      <c r="L33" s="52">
        <f t="shared" si="3"/>
        <v>11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5" t="s">
        <v>211</v>
      </c>
      <c r="E34" s="48">
        <v>6.0</v>
      </c>
      <c r="F34" s="48">
        <v>2.0</v>
      </c>
      <c r="G34" s="48">
        <v>0.0</v>
      </c>
      <c r="H34" s="49">
        <f t="shared" si="1"/>
        <v>8</v>
      </c>
      <c r="I34" s="48">
        <v>0.0</v>
      </c>
      <c r="J34" s="51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5" t="s">
        <v>212</v>
      </c>
      <c r="E35" s="48">
        <v>8.0</v>
      </c>
      <c r="F35" s="48">
        <v>2.0</v>
      </c>
      <c r="G35" s="48">
        <v>1.0</v>
      </c>
      <c r="H35" s="49">
        <f t="shared" si="1"/>
        <v>11</v>
      </c>
      <c r="I35" s="48">
        <v>0.0</v>
      </c>
      <c r="J35" s="51">
        <f t="shared" si="2"/>
        <v>10</v>
      </c>
      <c r="K35" s="44"/>
      <c r="L35" s="52">
        <f t="shared" si="3"/>
        <v>11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5" t="s">
        <v>213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48">
        <v>0.0</v>
      </c>
      <c r="J36" s="51">
        <f t="shared" si="2"/>
        <v>10</v>
      </c>
      <c r="K36" s="44"/>
      <c r="L36" s="52">
        <f t="shared" si="3"/>
        <v>11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5" t="s">
        <v>214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48">
        <v>0.0</v>
      </c>
      <c r="J37" s="51">
        <f t="shared" si="2"/>
        <v>10</v>
      </c>
      <c r="K37" s="44"/>
      <c r="L37" s="52">
        <f t="shared" si="3"/>
        <v>11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5" t="s">
        <v>215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48">
        <v>1.0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6.0</v>
      </c>
      <c r="F39" s="48">
        <v>2.0</v>
      </c>
      <c r="G39" s="48">
        <v>0.0</v>
      </c>
      <c r="H39" s="49">
        <f t="shared" si="1"/>
        <v>8</v>
      </c>
      <c r="I39" s="48">
        <v>1.0</v>
      </c>
      <c r="J39" s="51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5" t="s">
        <v>218</v>
      </c>
      <c r="E40" s="48">
        <v>6.0</v>
      </c>
      <c r="F40" s="48">
        <v>2.0</v>
      </c>
      <c r="G40" s="48">
        <v>0.0</v>
      </c>
      <c r="H40" s="49">
        <f t="shared" si="1"/>
        <v>8</v>
      </c>
      <c r="I40" s="48">
        <v>0.0</v>
      </c>
      <c r="J40" s="51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6.0</v>
      </c>
      <c r="F41" s="48">
        <v>2.0</v>
      </c>
      <c r="G41" s="48">
        <v>0.0</v>
      </c>
      <c r="H41" s="49">
        <f t="shared" si="1"/>
        <v>8</v>
      </c>
      <c r="I41" s="48">
        <v>2.0</v>
      </c>
      <c r="J41" s="51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5" t="s">
        <v>222</v>
      </c>
      <c r="E42" s="48">
        <v>8.0</v>
      </c>
      <c r="F42" s="48">
        <v>2.0</v>
      </c>
      <c r="G42" s="48">
        <v>0.0</v>
      </c>
      <c r="H42" s="49">
        <f t="shared" si="1"/>
        <v>10</v>
      </c>
      <c r="I42" s="48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5" t="s">
        <v>224</v>
      </c>
      <c r="E43" s="48">
        <v>8.0</v>
      </c>
      <c r="F43" s="48">
        <v>2.0</v>
      </c>
      <c r="G43" s="48">
        <v>1.0</v>
      </c>
      <c r="H43" s="49">
        <f t="shared" si="1"/>
        <v>11</v>
      </c>
      <c r="I43" s="48">
        <v>0.0</v>
      </c>
      <c r="J43" s="51">
        <f t="shared" si="2"/>
        <v>10</v>
      </c>
      <c r="K43" s="44"/>
      <c r="L43" s="52">
        <f t="shared" si="3"/>
        <v>11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5" t="s">
        <v>226</v>
      </c>
      <c r="E44" s="48">
        <v>8.0</v>
      </c>
      <c r="F44" s="48">
        <v>2.0</v>
      </c>
      <c r="G44" s="48">
        <v>0.0</v>
      </c>
      <c r="H44" s="49">
        <f t="shared" si="1"/>
        <v>10</v>
      </c>
      <c r="I44" s="48">
        <v>2.0</v>
      </c>
      <c r="J44" s="51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5" t="s">
        <v>229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48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5" t="s">
        <v>231</v>
      </c>
      <c r="E46" s="48">
        <v>5.0</v>
      </c>
      <c r="F46" s="48">
        <v>2.0</v>
      </c>
      <c r="G46" s="48">
        <v>0.0</v>
      </c>
      <c r="H46" s="49">
        <f t="shared" si="1"/>
        <v>7</v>
      </c>
      <c r="I46" s="48">
        <v>4.0</v>
      </c>
      <c r="J46" s="51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5" t="s">
        <v>234</v>
      </c>
      <c r="E47" s="48">
        <v>8.0</v>
      </c>
      <c r="F47" s="48">
        <v>0.0</v>
      </c>
      <c r="G47" s="48">
        <v>0.0</v>
      </c>
      <c r="H47" s="49">
        <f t="shared" si="1"/>
        <v>8</v>
      </c>
      <c r="I47" s="48">
        <v>0.0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5" t="s">
        <v>236</v>
      </c>
      <c r="E48" s="48">
        <v>8.0</v>
      </c>
      <c r="F48" s="48">
        <v>2.0</v>
      </c>
      <c r="G48" s="48">
        <v>0.0</v>
      </c>
      <c r="H48" s="49">
        <f t="shared" si="1"/>
        <v>10</v>
      </c>
      <c r="I48" s="48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5" t="s">
        <v>238</v>
      </c>
      <c r="E49" s="48">
        <v>7.0</v>
      </c>
      <c r="F49" s="48">
        <v>2.0</v>
      </c>
      <c r="G49" s="48">
        <v>0.0</v>
      </c>
      <c r="H49" s="49">
        <f t="shared" si="1"/>
        <v>9</v>
      </c>
      <c r="I49" s="48">
        <v>3.0</v>
      </c>
      <c r="J49" s="51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5" t="s">
        <v>240</v>
      </c>
      <c r="E50" s="48">
        <v>6.0</v>
      </c>
      <c r="F50" s="48">
        <v>2.0</v>
      </c>
      <c r="G50" s="48">
        <v>0.0</v>
      </c>
      <c r="H50" s="49">
        <f t="shared" si="1"/>
        <v>8</v>
      </c>
      <c r="I50" s="48">
        <v>3.0</v>
      </c>
      <c r="J50" s="51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5" t="s">
        <v>242</v>
      </c>
      <c r="E51" s="48">
        <v>5.0</v>
      </c>
      <c r="F51" s="48">
        <v>2.0</v>
      </c>
      <c r="G51" s="48">
        <v>0.0</v>
      </c>
      <c r="H51" s="49">
        <f t="shared" si="1"/>
        <v>7</v>
      </c>
      <c r="I51" s="48">
        <v>2.0</v>
      </c>
      <c r="J51" s="51">
        <f t="shared" si="2"/>
        <v>7</v>
      </c>
      <c r="K51" s="44"/>
      <c r="L51" s="46">
        <f t="shared" si="3"/>
        <v>7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5" t="s">
        <v>245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48">
        <v>1.0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5" t="s">
        <v>247</v>
      </c>
      <c r="E53" s="48">
        <v>7.0</v>
      </c>
      <c r="F53" s="48">
        <v>1.0</v>
      </c>
      <c r="G53" s="48">
        <v>1.0</v>
      </c>
      <c r="H53" s="49">
        <f t="shared" si="1"/>
        <v>9</v>
      </c>
      <c r="I53" s="48">
        <v>1.0</v>
      </c>
      <c r="J53" s="51">
        <f t="shared" si="2"/>
        <v>9</v>
      </c>
      <c r="K53" s="44"/>
      <c r="L53" s="46">
        <f t="shared" si="3"/>
        <v>9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5" t="s">
        <v>249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48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5" t="s">
        <v>252</v>
      </c>
      <c r="E55" s="48">
        <v>7.0</v>
      </c>
      <c r="F55" s="48">
        <v>2.0</v>
      </c>
      <c r="G55" s="48">
        <v>0.0</v>
      </c>
      <c r="H55" s="49">
        <f t="shared" si="1"/>
        <v>9</v>
      </c>
      <c r="I55" s="48">
        <v>0.0</v>
      </c>
      <c r="J55" s="51">
        <f t="shared" si="2"/>
        <v>9</v>
      </c>
      <c r="K55" s="44"/>
      <c r="L55" s="46">
        <f t="shared" si="3"/>
        <v>9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5" t="s">
        <v>253</v>
      </c>
      <c r="E56" s="48">
        <v>8.0</v>
      </c>
      <c r="F56" s="48">
        <v>2.0</v>
      </c>
      <c r="G56" s="48">
        <v>0.0</v>
      </c>
      <c r="H56" s="49">
        <f t="shared" si="1"/>
        <v>10</v>
      </c>
      <c r="I56" s="48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5" t="s">
        <v>256</v>
      </c>
      <c r="E57" s="48">
        <v>6.0</v>
      </c>
      <c r="F57" s="48">
        <v>2.0</v>
      </c>
      <c r="G57" s="48">
        <v>0.0</v>
      </c>
      <c r="H57" s="49">
        <f t="shared" si="1"/>
        <v>8</v>
      </c>
      <c r="I57" s="48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5" t="s">
        <v>257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48">
        <v>0.0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5" t="s">
        <v>259</v>
      </c>
      <c r="E59" s="48">
        <v>8.0</v>
      </c>
      <c r="F59" s="48">
        <v>2.0</v>
      </c>
      <c r="G59" s="48">
        <v>0.0</v>
      </c>
      <c r="H59" s="49">
        <f t="shared" si="1"/>
        <v>10</v>
      </c>
      <c r="I59" s="48">
        <v>0.0</v>
      </c>
      <c r="J59" s="51">
        <f t="shared" si="2"/>
        <v>10</v>
      </c>
      <c r="K59" s="44"/>
      <c r="L59" s="46">
        <f t="shared" si="3"/>
        <v>10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48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5" t="s">
        <v>262</v>
      </c>
      <c r="E61" s="48">
        <v>6.0</v>
      </c>
      <c r="F61" s="48">
        <v>0.0</v>
      </c>
      <c r="G61" s="48">
        <v>0.0</v>
      </c>
      <c r="H61" s="49">
        <f t="shared" si="1"/>
        <v>6</v>
      </c>
      <c r="I61" s="48">
        <v>4.0</v>
      </c>
      <c r="J61" s="51">
        <f t="shared" si="2"/>
        <v>6</v>
      </c>
      <c r="K61" s="44"/>
      <c r="L61" s="46">
        <f t="shared" si="3"/>
        <v>6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5" t="s">
        <v>264</v>
      </c>
      <c r="E62" s="48">
        <v>6.0</v>
      </c>
      <c r="F62" s="48">
        <v>2.0</v>
      </c>
      <c r="G62" s="48">
        <v>0.0</v>
      </c>
      <c r="H62" s="49">
        <f t="shared" si="1"/>
        <v>8</v>
      </c>
      <c r="I62" s="48">
        <v>3.0</v>
      </c>
      <c r="J62" s="51">
        <f t="shared" si="2"/>
        <v>8</v>
      </c>
      <c r="K62" s="44"/>
      <c r="L62" s="46">
        <f t="shared" si="3"/>
        <v>8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5" t="s">
        <v>266</v>
      </c>
      <c r="E63" s="48">
        <v>8.0</v>
      </c>
      <c r="F63" s="48">
        <v>2.0</v>
      </c>
      <c r="G63" s="48">
        <v>1.0</v>
      </c>
      <c r="H63" s="49">
        <f t="shared" si="1"/>
        <v>11</v>
      </c>
      <c r="I63" s="48">
        <v>0.0</v>
      </c>
      <c r="J63" s="51">
        <f t="shared" si="2"/>
        <v>10</v>
      </c>
      <c r="K63" s="44"/>
      <c r="L63" s="46">
        <f t="shared" si="3"/>
        <v>11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5" t="s">
        <v>268</v>
      </c>
      <c r="E64" s="48">
        <v>8.0</v>
      </c>
      <c r="F64" s="48">
        <v>2.0</v>
      </c>
      <c r="G64" s="48">
        <v>0.0</v>
      </c>
      <c r="H64" s="49">
        <f t="shared" si="1"/>
        <v>10</v>
      </c>
      <c r="I64" s="48">
        <v>1.0</v>
      </c>
      <c r="J64" s="51">
        <f t="shared" si="2"/>
        <v>10</v>
      </c>
      <c r="K64" s="44"/>
      <c r="L64" s="46">
        <f t="shared" si="3"/>
        <v>10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95" t="s">
        <v>269</v>
      </c>
      <c r="E65" s="48">
        <v>8.0</v>
      </c>
      <c r="F65" s="48">
        <v>2.0</v>
      </c>
      <c r="G65" s="48">
        <v>0.0</v>
      </c>
      <c r="H65" s="49">
        <f t="shared" si="1"/>
        <v>10</v>
      </c>
      <c r="I65" s="48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95" t="s">
        <v>271</v>
      </c>
      <c r="E66" s="48">
        <v>8.0</v>
      </c>
      <c r="F66" s="48">
        <v>2.0</v>
      </c>
      <c r="G66" s="48">
        <v>0.0</v>
      </c>
      <c r="H66" s="49">
        <f t="shared" si="1"/>
        <v>10</v>
      </c>
      <c r="I66" s="48">
        <v>2.0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5" t="s">
        <v>272</v>
      </c>
      <c r="E67" s="48">
        <v>8.0</v>
      </c>
      <c r="F67" s="48">
        <v>2.0</v>
      </c>
      <c r="G67" s="48">
        <v>1.0</v>
      </c>
      <c r="H67" s="49">
        <f t="shared" si="1"/>
        <v>11</v>
      </c>
      <c r="I67" s="48">
        <v>0.0</v>
      </c>
      <c r="J67" s="51">
        <f t="shared" si="2"/>
        <v>10</v>
      </c>
      <c r="K67" s="44"/>
      <c r="L67" s="46">
        <f t="shared" si="3"/>
        <v>11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46" t="s">
        <v>275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48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7.0</v>
      </c>
      <c r="F69" s="48">
        <v>2.0</v>
      </c>
      <c r="G69" s="48">
        <v>0.0</v>
      </c>
      <c r="H69" s="49">
        <f t="shared" si="1"/>
        <v>9</v>
      </c>
      <c r="I69" s="48">
        <v>2.0</v>
      </c>
      <c r="J69" s="51">
        <f t="shared" si="2"/>
        <v>9</v>
      </c>
      <c r="K69" s="44"/>
      <c r="L69" s="55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96" t="s">
        <v>110</v>
      </c>
      <c r="E70" s="48">
        <v>6.0</v>
      </c>
      <c r="F70" s="48">
        <v>2.0</v>
      </c>
      <c r="G70" s="48">
        <v>0.0</v>
      </c>
      <c r="H70" s="49">
        <f t="shared" si="1"/>
        <v>8</v>
      </c>
      <c r="I70" s="48">
        <v>2.0</v>
      </c>
      <c r="J70" s="51">
        <f t="shared" si="2"/>
        <v>8</v>
      </c>
      <c r="K70" s="44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100</v>
      </c>
      <c r="E77" s="1"/>
      <c r="F77" s="74" t="s">
        <v>172</v>
      </c>
      <c r="G77" s="1"/>
      <c r="H77" s="75" t="s">
        <v>173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9.185185185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expression" dxfId="0" priority="2" stopIfTrue="1">
      <formula>TRUE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21</v>
      </c>
      <c r="C17" s="46" t="s">
        <v>280</v>
      </c>
      <c r="D17" s="47" t="s">
        <v>281</v>
      </c>
      <c r="E17" s="48">
        <v>8.0</v>
      </c>
      <c r="F17" s="48">
        <v>2.0</v>
      </c>
      <c r="G17" s="48">
        <v>0.0</v>
      </c>
      <c r="H17" s="49">
        <f t="shared" ref="H17:H70" si="1">SUM(E17:G17)</f>
        <v>10</v>
      </c>
      <c r="I17" s="50">
        <v>0.0</v>
      </c>
      <c r="J17" s="51">
        <f t="shared" ref="J17:J70" si="2">IF(H17&lt;6, 5, MIN(10, ROUND(H17, 0)))</f>
        <v>10</v>
      </c>
      <c r="K17" s="46"/>
      <c r="L17" s="52">
        <f t="shared" ref="L17:L68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282</v>
      </c>
      <c r="C18" s="46" t="s">
        <v>225</v>
      </c>
      <c r="D18" s="47" t="s">
        <v>283</v>
      </c>
      <c r="E18" s="48">
        <v>8.0</v>
      </c>
      <c r="F18" s="48">
        <v>2.0</v>
      </c>
      <c r="G18" s="48">
        <v>0.0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11.0</v>
      </c>
      <c r="O19" s="2"/>
      <c r="P19" s="2"/>
      <c r="Q19" s="2"/>
    </row>
    <row r="20" ht="24.75" customHeight="1">
      <c r="A20" s="44">
        <v>4.0</v>
      </c>
      <c r="B20" s="46" t="s">
        <v>179</v>
      </c>
      <c r="C20" s="46" t="s">
        <v>82</v>
      </c>
      <c r="D20" s="47" t="s">
        <v>284</v>
      </c>
      <c r="E20" s="48">
        <v>8.0</v>
      </c>
      <c r="F20" s="48">
        <v>2.0</v>
      </c>
      <c r="G20" s="48">
        <v>0.0</v>
      </c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50">
        <v>9.0</v>
      </c>
      <c r="O20" s="2"/>
      <c r="P20" s="2"/>
      <c r="Q20" s="2"/>
    </row>
    <row r="21" ht="24.75" customHeight="1">
      <c r="A21" s="44">
        <v>5.0</v>
      </c>
      <c r="B21" s="46" t="s">
        <v>285</v>
      </c>
      <c r="C21" s="46"/>
      <c r="D21" s="47" t="s">
        <v>286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12.0</v>
      </c>
      <c r="O21" s="2"/>
      <c r="P21" s="2"/>
      <c r="Q21" s="2"/>
    </row>
    <row r="22" ht="24.75" customHeight="1">
      <c r="A22" s="44">
        <v>6.0</v>
      </c>
      <c r="B22" s="46" t="s">
        <v>287</v>
      </c>
      <c r="C22" s="46" t="s">
        <v>288</v>
      </c>
      <c r="D22" s="47" t="s">
        <v>289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f t="shared" si="2"/>
        <v>10</v>
      </c>
      <c r="K22" s="44"/>
      <c r="L22" s="52">
        <f t="shared" si="3"/>
        <v>11</v>
      </c>
      <c r="M22" s="54" t="s">
        <v>44</v>
      </c>
      <c r="N22" s="50">
        <v>12.0</v>
      </c>
      <c r="O22" s="2"/>
      <c r="P22" s="2"/>
      <c r="Q22" s="2"/>
    </row>
    <row r="23" ht="24.75" customHeight="1">
      <c r="A23" s="44">
        <v>7.0</v>
      </c>
      <c r="B23" s="46" t="s">
        <v>290</v>
      </c>
      <c r="C23" s="46" t="s">
        <v>291</v>
      </c>
      <c r="D23" s="47" t="s">
        <v>292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f t="shared" si="2"/>
        <v>10</v>
      </c>
      <c r="K23" s="44"/>
      <c r="L23" s="52">
        <f t="shared" si="3"/>
        <v>11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6" t="s">
        <v>293</v>
      </c>
      <c r="C24" s="46" t="s">
        <v>22</v>
      </c>
      <c r="D24" s="47" t="s">
        <v>35</v>
      </c>
      <c r="E24" s="48">
        <v>8.0</v>
      </c>
      <c r="F24" s="48">
        <v>2.0</v>
      </c>
      <c r="G24" s="48">
        <v>1.0</v>
      </c>
      <c r="H24" s="49">
        <f t="shared" si="1"/>
        <v>11</v>
      </c>
      <c r="I24" s="50">
        <v>0.0</v>
      </c>
      <c r="J24" s="51">
        <f t="shared" si="2"/>
        <v>10</v>
      </c>
      <c r="K24" s="44"/>
      <c r="L24" s="52">
        <f t="shared" si="3"/>
        <v>11</v>
      </c>
      <c r="M24" s="54" t="s">
        <v>52</v>
      </c>
      <c r="N24" s="54">
        <f>SUM(N18:N23)</f>
        <v>59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6" t="s">
        <v>294</v>
      </c>
      <c r="D25" s="47" t="s">
        <v>295</v>
      </c>
      <c r="E25" s="48">
        <v>6.0</v>
      </c>
      <c r="F25" s="48">
        <v>2.0</v>
      </c>
      <c r="G25" s="48">
        <v>1.0</v>
      </c>
      <c r="H25" s="49">
        <f t="shared" si="1"/>
        <v>9</v>
      </c>
      <c r="I25" s="50">
        <v>0.0</v>
      </c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296</v>
      </c>
      <c r="C26" s="46" t="s">
        <v>297</v>
      </c>
      <c r="D26" s="47" t="s">
        <v>298</v>
      </c>
      <c r="E26" s="48">
        <v>8.0</v>
      </c>
      <c r="F26" s="48">
        <v>2.0</v>
      </c>
      <c r="G26" s="48">
        <v>1.0</v>
      </c>
      <c r="H26" s="49">
        <f t="shared" si="1"/>
        <v>11</v>
      </c>
      <c r="I26" s="50">
        <v>0.0</v>
      </c>
      <c r="J26" s="51">
        <f t="shared" si="2"/>
        <v>10</v>
      </c>
      <c r="K26" s="44"/>
      <c r="L26" s="52">
        <f t="shared" si="3"/>
        <v>11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299</v>
      </c>
      <c r="C27" s="46" t="s">
        <v>273</v>
      </c>
      <c r="D27" s="46" t="s">
        <v>300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6" t="s">
        <v>301</v>
      </c>
      <c r="D28" s="47" t="s">
        <v>302</v>
      </c>
      <c r="E28" s="48">
        <v>8.0</v>
      </c>
      <c r="F28" s="48">
        <v>2.0</v>
      </c>
      <c r="G28" s="48">
        <v>0.0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303</v>
      </c>
      <c r="D29" s="47" t="s">
        <v>304</v>
      </c>
      <c r="E29" s="48">
        <v>8.0</v>
      </c>
      <c r="F29" s="48">
        <v>2.0</v>
      </c>
      <c r="G29" s="48">
        <v>1.0</v>
      </c>
      <c r="H29" s="49">
        <f t="shared" si="1"/>
        <v>11</v>
      </c>
      <c r="I29" s="50">
        <v>0.0</v>
      </c>
      <c r="J29" s="51">
        <f t="shared" si="2"/>
        <v>10</v>
      </c>
      <c r="K29" s="44"/>
      <c r="L29" s="52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305</v>
      </c>
      <c r="C30" s="46" t="s">
        <v>95</v>
      </c>
      <c r="D30" s="47" t="s">
        <v>306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0.0</v>
      </c>
      <c r="J30" s="51">
        <f t="shared" si="2"/>
        <v>10</v>
      </c>
      <c r="K30" s="44"/>
      <c r="L30" s="52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307</v>
      </c>
      <c r="C31" s="46" t="s">
        <v>132</v>
      </c>
      <c r="D31" s="47" t="s">
        <v>308</v>
      </c>
      <c r="E31" s="48">
        <v>8.0</v>
      </c>
      <c r="F31" s="48">
        <v>2.0</v>
      </c>
      <c r="G31" s="48">
        <v>1.0</v>
      </c>
      <c r="H31" s="49">
        <f t="shared" si="1"/>
        <v>11</v>
      </c>
      <c r="I31" s="50">
        <v>0.0</v>
      </c>
      <c r="J31" s="51">
        <f t="shared" si="2"/>
        <v>10</v>
      </c>
      <c r="K31" s="44"/>
      <c r="L31" s="52">
        <f t="shared" si="3"/>
        <v>11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294</v>
      </c>
      <c r="C32" s="46" t="s">
        <v>46</v>
      </c>
      <c r="D32" s="47" t="s">
        <v>309</v>
      </c>
      <c r="E32" s="48">
        <v>8.0</v>
      </c>
      <c r="F32" s="48">
        <v>2.0</v>
      </c>
      <c r="G32" s="48">
        <v>1.0</v>
      </c>
      <c r="H32" s="49">
        <f t="shared" si="1"/>
        <v>11</v>
      </c>
      <c r="I32" s="50">
        <v>0.0</v>
      </c>
      <c r="J32" s="51">
        <f t="shared" si="2"/>
        <v>10</v>
      </c>
      <c r="K32" s="44"/>
      <c r="L32" s="52">
        <f t="shared" si="3"/>
        <v>11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310</v>
      </c>
      <c r="C33" s="46" t="s">
        <v>311</v>
      </c>
      <c r="D33" s="47" t="s">
        <v>312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0.0</v>
      </c>
      <c r="J33" s="51">
        <f t="shared" si="2"/>
        <v>10</v>
      </c>
      <c r="K33" s="44"/>
      <c r="L33" s="52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75</v>
      </c>
      <c r="C34" s="46" t="s">
        <v>82</v>
      </c>
      <c r="D34" s="47" t="s">
        <v>313</v>
      </c>
      <c r="E34" s="48">
        <v>8.0</v>
      </c>
      <c r="F34" s="48">
        <v>2.0</v>
      </c>
      <c r="G34" s="48">
        <v>1.0</v>
      </c>
      <c r="H34" s="49">
        <f t="shared" si="1"/>
        <v>11</v>
      </c>
      <c r="I34" s="50">
        <v>0.0</v>
      </c>
      <c r="J34" s="51">
        <f t="shared" si="2"/>
        <v>10</v>
      </c>
      <c r="K34" s="44"/>
      <c r="L34" s="52">
        <f t="shared" si="3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82</v>
      </c>
      <c r="C35" s="46" t="s">
        <v>314</v>
      </c>
      <c r="D35" s="47" t="s">
        <v>315</v>
      </c>
      <c r="E35" s="48">
        <v>8.0</v>
      </c>
      <c r="F35" s="48">
        <v>2.0</v>
      </c>
      <c r="G35" s="48">
        <v>1.0</v>
      </c>
      <c r="H35" s="49">
        <f t="shared" si="1"/>
        <v>11</v>
      </c>
      <c r="I35" s="50">
        <v>0.0</v>
      </c>
      <c r="J35" s="51">
        <f t="shared" si="2"/>
        <v>10</v>
      </c>
      <c r="K35" s="44"/>
      <c r="L35" s="52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95</v>
      </c>
      <c r="C36" s="46" t="s">
        <v>316</v>
      </c>
      <c r="D36" s="47" t="s">
        <v>317</v>
      </c>
      <c r="E36" s="48">
        <v>8.0</v>
      </c>
      <c r="F36" s="48">
        <v>2.0</v>
      </c>
      <c r="G36" s="48">
        <v>0.0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318</v>
      </c>
      <c r="D37" s="47" t="s">
        <v>319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50">
        <v>0.0</v>
      </c>
      <c r="J37" s="51">
        <f t="shared" si="2"/>
        <v>10</v>
      </c>
      <c r="K37" s="44"/>
      <c r="L37" s="52">
        <f t="shared" si="3"/>
        <v>11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320</v>
      </c>
      <c r="C38" s="46" t="s">
        <v>98</v>
      </c>
      <c r="D38" s="47" t="s">
        <v>321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</v>
      </c>
      <c r="C39" s="45" t="s">
        <v>322</v>
      </c>
      <c r="D39" s="47" t="s">
        <v>323</v>
      </c>
      <c r="E39" s="48">
        <v>8.0</v>
      </c>
      <c r="F39" s="48">
        <v>2.0</v>
      </c>
      <c r="G39" s="48">
        <v>1.0</v>
      </c>
      <c r="H39" s="49">
        <f t="shared" si="1"/>
        <v>11</v>
      </c>
      <c r="I39" s="50">
        <v>0.0</v>
      </c>
      <c r="J39" s="51">
        <f t="shared" si="2"/>
        <v>10</v>
      </c>
      <c r="K39" s="44"/>
      <c r="L39" s="52">
        <f t="shared" si="3"/>
        <v>11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324</v>
      </c>
      <c r="D40" s="47" t="s">
        <v>325</v>
      </c>
      <c r="E40" s="48">
        <v>8.0</v>
      </c>
      <c r="F40" s="48">
        <v>2.0</v>
      </c>
      <c r="G40" s="48">
        <v>0.0</v>
      </c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</v>
      </c>
      <c r="C41" s="46" t="s">
        <v>125</v>
      </c>
      <c r="D41" s="47" t="s">
        <v>326</v>
      </c>
      <c r="E41" s="48">
        <v>8.0</v>
      </c>
      <c r="F41" s="48">
        <v>2.0</v>
      </c>
      <c r="G41" s="48">
        <v>1.0</v>
      </c>
      <c r="H41" s="49">
        <f t="shared" si="1"/>
        <v>11</v>
      </c>
      <c r="I41" s="50">
        <v>0.0</v>
      </c>
      <c r="J41" s="51">
        <f t="shared" si="2"/>
        <v>10</v>
      </c>
      <c r="K41" s="44"/>
      <c r="L41" s="52">
        <f t="shared" si="3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288</v>
      </c>
      <c r="C42" s="46" t="s">
        <v>121</v>
      </c>
      <c r="D42" s="47" t="s">
        <v>327</v>
      </c>
      <c r="E42" s="48">
        <v>8.0</v>
      </c>
      <c r="F42" s="48">
        <v>2.0</v>
      </c>
      <c r="G42" s="48">
        <v>1.0</v>
      </c>
      <c r="H42" s="49">
        <f t="shared" si="1"/>
        <v>11</v>
      </c>
      <c r="I42" s="50">
        <v>0.0</v>
      </c>
      <c r="J42" s="51">
        <f t="shared" si="2"/>
        <v>10</v>
      </c>
      <c r="K42" s="44"/>
      <c r="L42" s="52">
        <f t="shared" si="3"/>
        <v>11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328</v>
      </c>
      <c r="C43" s="46" t="s">
        <v>179</v>
      </c>
      <c r="D43" s="47" t="s">
        <v>329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225</v>
      </c>
      <c r="C44" s="46" t="s">
        <v>129</v>
      </c>
      <c r="D44" s="47" t="s">
        <v>330</v>
      </c>
      <c r="E44" s="48">
        <v>8.0</v>
      </c>
      <c r="F44" s="48">
        <v>2.0</v>
      </c>
      <c r="G44" s="48">
        <v>1.0</v>
      </c>
      <c r="H44" s="49">
        <f t="shared" si="1"/>
        <v>11</v>
      </c>
      <c r="I44" s="50">
        <v>0.0</v>
      </c>
      <c r="J44" s="51">
        <f t="shared" si="2"/>
        <v>10</v>
      </c>
      <c r="K44" s="44"/>
      <c r="L44" s="52">
        <f t="shared" si="3"/>
        <v>11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225</v>
      </c>
      <c r="C45" s="46" t="s">
        <v>331</v>
      </c>
      <c r="D45" s="47" t="s">
        <v>332</v>
      </c>
      <c r="E45" s="48">
        <v>8.0</v>
      </c>
      <c r="F45" s="48">
        <v>2.0</v>
      </c>
      <c r="G45" s="48">
        <v>1.0</v>
      </c>
      <c r="H45" s="49">
        <f t="shared" si="1"/>
        <v>11</v>
      </c>
      <c r="I45" s="50">
        <v>0.0</v>
      </c>
      <c r="J45" s="51">
        <f t="shared" si="2"/>
        <v>10</v>
      </c>
      <c r="K45" s="44"/>
      <c r="L45" s="52">
        <f t="shared" si="3"/>
        <v>11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160</v>
      </c>
      <c r="C46" s="46" t="s">
        <v>22</v>
      </c>
      <c r="D46" s="47" t="s">
        <v>333</v>
      </c>
      <c r="E46" s="48">
        <v>8.0</v>
      </c>
      <c r="F46" s="48">
        <v>2.0</v>
      </c>
      <c r="G46" s="48">
        <v>1.0</v>
      </c>
      <c r="H46" s="49">
        <f t="shared" si="1"/>
        <v>11</v>
      </c>
      <c r="I46" s="50">
        <v>0.0</v>
      </c>
      <c r="J46" s="51">
        <f t="shared" si="2"/>
        <v>10</v>
      </c>
      <c r="K46" s="44"/>
      <c r="L46" s="52">
        <f t="shared" si="3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334</v>
      </c>
      <c r="C47" s="46" t="s">
        <v>95</v>
      </c>
      <c r="D47" s="47" t="s">
        <v>335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2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90</v>
      </c>
      <c r="C48" s="46" t="s">
        <v>279</v>
      </c>
      <c r="D48" s="47" t="s">
        <v>336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157</v>
      </c>
      <c r="D49" s="47" t="s">
        <v>337</v>
      </c>
      <c r="E49" s="48">
        <v>8.0</v>
      </c>
      <c r="F49" s="48">
        <v>2.0</v>
      </c>
      <c r="G49" s="48">
        <v>0.0</v>
      </c>
      <c r="H49" s="49">
        <f t="shared" si="1"/>
        <v>10</v>
      </c>
      <c r="I49" s="50">
        <v>0.0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338</v>
      </c>
      <c r="C50" s="46" t="s">
        <v>339</v>
      </c>
      <c r="D50" s="47" t="s">
        <v>340</v>
      </c>
      <c r="E50" s="48">
        <v>8.0</v>
      </c>
      <c r="F50" s="48">
        <v>2.0</v>
      </c>
      <c r="G50" s="48">
        <v>0.0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50</v>
      </c>
      <c r="C51" s="46" t="s">
        <v>341</v>
      </c>
      <c r="D51" s="47" t="s">
        <v>342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46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303</v>
      </c>
      <c r="C52" s="46" t="s">
        <v>75</v>
      </c>
      <c r="D52" s="47" t="s">
        <v>343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344</v>
      </c>
      <c r="C53" s="46" t="s">
        <v>225</v>
      </c>
      <c r="D53" s="95" t="s">
        <v>345</v>
      </c>
      <c r="E53" s="48">
        <v>8.0</v>
      </c>
      <c r="F53" s="48">
        <v>2.0</v>
      </c>
      <c r="G53" s="48">
        <v>1.0</v>
      </c>
      <c r="H53" s="49">
        <f t="shared" si="1"/>
        <v>11</v>
      </c>
      <c r="I53" s="50">
        <v>0.0</v>
      </c>
      <c r="J53" s="51">
        <f t="shared" si="2"/>
        <v>10</v>
      </c>
      <c r="K53" s="44"/>
      <c r="L53" s="46">
        <f t="shared" si="3"/>
        <v>11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99</v>
      </c>
      <c r="C54" s="46" t="s">
        <v>46</v>
      </c>
      <c r="D54" s="47" t="s">
        <v>346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1.0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134</v>
      </c>
      <c r="C55" s="46" t="s">
        <v>347</v>
      </c>
      <c r="D55" s="47" t="s">
        <v>348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210</v>
      </c>
      <c r="C56" s="46" t="s">
        <v>349</v>
      </c>
      <c r="D56" s="47" t="s">
        <v>350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351</v>
      </c>
      <c r="C57" s="46" t="s">
        <v>147</v>
      </c>
      <c r="D57" s="47" t="s">
        <v>352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1.0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138</v>
      </c>
      <c r="C58" s="45" t="s">
        <v>353</v>
      </c>
      <c r="D58" s="47" t="s">
        <v>128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50">
        <v>1.0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279</v>
      </c>
      <c r="C59" s="46" t="s">
        <v>156</v>
      </c>
      <c r="D59" s="47" t="s">
        <v>354</v>
      </c>
      <c r="E59" s="48">
        <v>8.0</v>
      </c>
      <c r="F59" s="48">
        <v>2.0</v>
      </c>
      <c r="G59" s="48">
        <v>1.0</v>
      </c>
      <c r="H59" s="49">
        <f t="shared" si="1"/>
        <v>11</v>
      </c>
      <c r="I59" s="50">
        <v>0.0</v>
      </c>
      <c r="J59" s="51">
        <f t="shared" si="2"/>
        <v>10</v>
      </c>
      <c r="K59" s="44"/>
      <c r="L59" s="46">
        <f t="shared" si="3"/>
        <v>11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46</v>
      </c>
      <c r="C60" s="46" t="s">
        <v>265</v>
      </c>
      <c r="D60" s="47" t="s">
        <v>355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50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142</v>
      </c>
      <c r="C61" s="46" t="s">
        <v>22</v>
      </c>
      <c r="D61" s="47" t="s">
        <v>356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f t="shared" si="2"/>
        <v>10</v>
      </c>
      <c r="K61" s="44"/>
      <c r="L61" s="46">
        <f t="shared" si="3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357</v>
      </c>
      <c r="C62" s="46" t="s">
        <v>255</v>
      </c>
      <c r="D62" s="47" t="s">
        <v>358</v>
      </c>
      <c r="E62" s="48">
        <v>8.0</v>
      </c>
      <c r="F62" s="48">
        <v>2.0</v>
      </c>
      <c r="G62" s="48">
        <v>0.0</v>
      </c>
      <c r="H62" s="49">
        <f t="shared" si="1"/>
        <v>10</v>
      </c>
      <c r="I62" s="50">
        <v>2.0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149</v>
      </c>
      <c r="C63" s="46" t="s">
        <v>95</v>
      </c>
      <c r="D63" s="47" t="s">
        <v>359</v>
      </c>
      <c r="E63" s="48">
        <v>8.0</v>
      </c>
      <c r="F63" s="48">
        <v>2.0</v>
      </c>
      <c r="G63" s="48">
        <v>1.0</v>
      </c>
      <c r="H63" s="49">
        <f t="shared" si="1"/>
        <v>11</v>
      </c>
      <c r="I63" s="50">
        <v>0.0</v>
      </c>
      <c r="J63" s="51">
        <f t="shared" si="2"/>
        <v>10</v>
      </c>
      <c r="K63" s="44"/>
      <c r="L63" s="46">
        <f t="shared" si="3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349</v>
      </c>
      <c r="C64" s="46" t="s">
        <v>125</v>
      </c>
      <c r="D64" s="47" t="s">
        <v>360</v>
      </c>
      <c r="E64" s="48">
        <v>8.0</v>
      </c>
      <c r="F64" s="48">
        <v>2.0</v>
      </c>
      <c r="G64" s="48">
        <v>1.0</v>
      </c>
      <c r="H64" s="49">
        <f t="shared" si="1"/>
        <v>11</v>
      </c>
      <c r="I64" s="50">
        <v>0.0</v>
      </c>
      <c r="J64" s="51">
        <f t="shared" si="2"/>
        <v>10</v>
      </c>
      <c r="K64" s="44"/>
      <c r="L64" s="46">
        <f t="shared" si="3"/>
        <v>11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258</v>
      </c>
      <c r="C65" s="46" t="s">
        <v>361</v>
      </c>
      <c r="D65" s="47" t="s">
        <v>362</v>
      </c>
      <c r="E65" s="48">
        <v>8.0</v>
      </c>
      <c r="F65" s="48">
        <v>2.0</v>
      </c>
      <c r="G65" s="48">
        <v>1.0</v>
      </c>
      <c r="H65" s="49">
        <f t="shared" si="1"/>
        <v>11</v>
      </c>
      <c r="I65" s="50">
        <v>0.0</v>
      </c>
      <c r="J65" s="51">
        <f t="shared" si="2"/>
        <v>10</v>
      </c>
      <c r="K65" s="44"/>
      <c r="L65" s="46">
        <f t="shared" si="3"/>
        <v>11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363</v>
      </c>
      <c r="C66" s="46" t="s">
        <v>233</v>
      </c>
      <c r="D66" s="47" t="s">
        <v>364</v>
      </c>
      <c r="E66" s="48">
        <v>8.0</v>
      </c>
      <c r="F66" s="48">
        <v>2.0</v>
      </c>
      <c r="G66" s="48">
        <v>1.0</v>
      </c>
      <c r="H66" s="49">
        <f t="shared" si="1"/>
        <v>11</v>
      </c>
      <c r="I66" s="50">
        <v>0.0</v>
      </c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76</v>
      </c>
      <c r="C67" s="46" t="s">
        <v>365</v>
      </c>
      <c r="D67" s="47" t="s">
        <v>366</v>
      </c>
      <c r="E67" s="48">
        <v>8.0</v>
      </c>
      <c r="F67" s="48">
        <v>2.0</v>
      </c>
      <c r="G67" s="48">
        <v>1.0</v>
      </c>
      <c r="H67" s="49">
        <f t="shared" si="1"/>
        <v>11</v>
      </c>
      <c r="I67" s="50">
        <v>0.0</v>
      </c>
      <c r="J67" s="51">
        <f t="shared" si="2"/>
        <v>10</v>
      </c>
      <c r="K67" s="44"/>
      <c r="L67" s="46">
        <f t="shared" si="3"/>
        <v>11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157</v>
      </c>
      <c r="C68" s="46" t="s">
        <v>367</v>
      </c>
      <c r="D68" s="45" t="s">
        <v>368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50">
        <v>1.0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8.0</v>
      </c>
      <c r="F69" s="48">
        <v>2.0</v>
      </c>
      <c r="G69" s="48">
        <v>1.0</v>
      </c>
      <c r="H69" s="49">
        <f t="shared" si="1"/>
        <v>11</v>
      </c>
      <c r="I69" s="50">
        <v>0.0</v>
      </c>
      <c r="J69" s="51">
        <f t="shared" si="2"/>
        <v>10</v>
      </c>
      <c r="K69" s="44"/>
      <c r="L69" s="55"/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278</v>
      </c>
      <c r="C70" s="46" t="s">
        <v>369</v>
      </c>
      <c r="D70" s="56" t="s">
        <v>158</v>
      </c>
      <c r="E70" s="48">
        <v>8.0</v>
      </c>
      <c r="F70" s="48">
        <v>2.0</v>
      </c>
      <c r="G70" s="48">
        <v>0.0</v>
      </c>
      <c r="H70" s="49">
        <f t="shared" si="1"/>
        <v>10</v>
      </c>
      <c r="I70" s="50">
        <v>0.0</v>
      </c>
      <c r="J70" s="51">
        <f t="shared" si="2"/>
        <v>10</v>
      </c>
      <c r="K70" s="44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100</v>
      </c>
      <c r="E77" s="1"/>
      <c r="F77" s="74" t="s">
        <v>172</v>
      </c>
      <c r="G77" s="1"/>
      <c r="H77" s="75" t="s">
        <v>370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9.981481481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372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374</v>
      </c>
      <c r="C17" s="45" t="s">
        <v>138</v>
      </c>
      <c r="D17" s="47" t="s">
        <v>375</v>
      </c>
      <c r="E17" s="48">
        <v>6.0</v>
      </c>
      <c r="F17" s="48">
        <v>2.0</v>
      </c>
      <c r="G17" s="48">
        <v>1.0</v>
      </c>
      <c r="H17" s="49">
        <f t="shared" ref="H17:H63" si="1">SUM(E17:G17)</f>
        <v>9</v>
      </c>
      <c r="I17" s="50">
        <v>0.0</v>
      </c>
      <c r="J17" s="51">
        <f t="shared" ref="J17:J63" si="2">IF(H17&lt;6, 5, MIN(10, ROUND(H17, 0)))</f>
        <v>9</v>
      </c>
      <c r="K17" s="46"/>
      <c r="L17" s="52">
        <f t="shared" ref="L17:L63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376</v>
      </c>
      <c r="C18" s="46" t="s">
        <v>22</v>
      </c>
      <c r="D18" s="47" t="s">
        <v>377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44"/>
      <c r="O18" s="2"/>
      <c r="P18" s="2"/>
      <c r="Q18" s="2"/>
    </row>
    <row r="19" ht="24.75" customHeight="1">
      <c r="A19" s="44">
        <v>3.0</v>
      </c>
      <c r="B19" s="46" t="s">
        <v>378</v>
      </c>
      <c r="C19" s="46" t="s">
        <v>95</v>
      </c>
      <c r="D19" s="47" t="s">
        <v>379</v>
      </c>
      <c r="E19" s="48">
        <v>7.0</v>
      </c>
      <c r="F19" s="48">
        <v>2.0</v>
      </c>
      <c r="G19" s="48">
        <v>0.0</v>
      </c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44"/>
      <c r="O19" s="2"/>
      <c r="P19" s="2"/>
      <c r="Q19" s="2"/>
    </row>
    <row r="20" ht="24.75" customHeight="1">
      <c r="A20" s="44">
        <v>4.0</v>
      </c>
      <c r="B20" s="46" t="s">
        <v>25</v>
      </c>
      <c r="C20" s="46" t="s">
        <v>380</v>
      </c>
      <c r="D20" s="47" t="s">
        <v>381</v>
      </c>
      <c r="E20" s="48">
        <v>6.0</v>
      </c>
      <c r="F20" s="48">
        <v>2.0</v>
      </c>
      <c r="G20" s="48">
        <v>1.0</v>
      </c>
      <c r="H20" s="49">
        <f t="shared" si="1"/>
        <v>9</v>
      </c>
      <c r="I20" s="50">
        <v>1.0</v>
      </c>
      <c r="J20" s="51">
        <f t="shared" si="2"/>
        <v>9</v>
      </c>
      <c r="K20" s="44"/>
      <c r="L20" s="52">
        <f t="shared" si="3"/>
        <v>9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382</v>
      </c>
      <c r="C21" s="46" t="s">
        <v>383</v>
      </c>
      <c r="D21" s="47" t="s">
        <v>384</v>
      </c>
      <c r="E21" s="48">
        <v>6.0</v>
      </c>
      <c r="F21" s="48">
        <v>2.0</v>
      </c>
      <c r="G21" s="48">
        <v>0.0</v>
      </c>
      <c r="H21" s="49">
        <f t="shared" si="1"/>
        <v>8</v>
      </c>
      <c r="I21" s="50">
        <v>0.0</v>
      </c>
      <c r="J21" s="51">
        <f t="shared" si="2"/>
        <v>8</v>
      </c>
      <c r="K21" s="44"/>
      <c r="L21" s="52">
        <f t="shared" si="3"/>
        <v>8</v>
      </c>
      <c r="M21" s="54" t="s">
        <v>44</v>
      </c>
      <c r="N21" s="44"/>
      <c r="O21" s="2"/>
      <c r="P21" s="2"/>
      <c r="Q21" s="2"/>
    </row>
    <row r="22" ht="24.75" customHeight="1">
      <c r="A22" s="44">
        <v>6.0</v>
      </c>
      <c r="B22" s="46" t="s">
        <v>385</v>
      </c>
      <c r="C22" s="46" t="s">
        <v>386</v>
      </c>
      <c r="D22" s="47" t="s">
        <v>387</v>
      </c>
      <c r="E22" s="48">
        <v>6.0</v>
      </c>
      <c r="F22" s="48">
        <v>2.0</v>
      </c>
      <c r="G22" s="48">
        <v>0.0</v>
      </c>
      <c r="H22" s="49">
        <f t="shared" si="1"/>
        <v>8</v>
      </c>
      <c r="I22" s="50">
        <v>0.0</v>
      </c>
      <c r="J22" s="51">
        <f t="shared" si="2"/>
        <v>8</v>
      </c>
      <c r="K22" s="44"/>
      <c r="L22" s="52">
        <f t="shared" si="3"/>
        <v>8</v>
      </c>
      <c r="M22" s="54" t="s">
        <v>48</v>
      </c>
      <c r="N22" s="44"/>
      <c r="O22" s="2"/>
      <c r="P22" s="2"/>
      <c r="Q22" s="2"/>
    </row>
    <row r="23" ht="24.75" customHeight="1">
      <c r="A23" s="44">
        <v>7.0</v>
      </c>
      <c r="B23" s="46" t="s">
        <v>248</v>
      </c>
      <c r="C23" s="46" t="s">
        <v>45</v>
      </c>
      <c r="D23" s="47" t="s">
        <v>388</v>
      </c>
      <c r="E23" s="48">
        <v>6.0</v>
      </c>
      <c r="F23" s="48">
        <v>2.0</v>
      </c>
      <c r="G23" s="48">
        <v>0.0</v>
      </c>
      <c r="H23" s="49">
        <f t="shared" si="1"/>
        <v>8</v>
      </c>
      <c r="I23" s="50">
        <v>0.0</v>
      </c>
      <c r="J23" s="51">
        <f t="shared" si="2"/>
        <v>8</v>
      </c>
      <c r="K23" s="44"/>
      <c r="L23" s="52">
        <f t="shared" si="3"/>
        <v>8</v>
      </c>
      <c r="M23" s="54" t="s">
        <v>52</v>
      </c>
      <c r="N23" s="54">
        <f>SUM(N18:N22)</f>
        <v>0</v>
      </c>
      <c r="O23" s="2"/>
      <c r="P23" s="2"/>
      <c r="Q23" s="2"/>
    </row>
    <row r="24" ht="24.75" customHeight="1">
      <c r="A24" s="44">
        <v>8.0</v>
      </c>
      <c r="B24" s="46" t="s">
        <v>53</v>
      </c>
      <c r="C24" s="46" t="s">
        <v>279</v>
      </c>
      <c r="D24" s="47" t="s">
        <v>389</v>
      </c>
      <c r="E24" s="48">
        <v>6.0</v>
      </c>
      <c r="F24" s="48">
        <v>2.0</v>
      </c>
      <c r="G24" s="48">
        <v>0.0</v>
      </c>
      <c r="H24" s="49">
        <f t="shared" si="1"/>
        <v>8</v>
      </c>
      <c r="I24" s="50">
        <v>0.0</v>
      </c>
      <c r="J24" s="51">
        <f t="shared" si="2"/>
        <v>8</v>
      </c>
      <c r="K24" s="44"/>
      <c r="L24" s="52">
        <f t="shared" si="3"/>
        <v>8</v>
      </c>
      <c r="M24" s="1"/>
      <c r="N24" s="1"/>
      <c r="O24" s="2"/>
      <c r="P24" s="2"/>
      <c r="Q24" s="2"/>
    </row>
    <row r="25" ht="24.75" customHeight="1">
      <c r="A25" s="44">
        <v>9.0</v>
      </c>
      <c r="B25" s="46" t="s">
        <v>390</v>
      </c>
      <c r="C25" s="46" t="s">
        <v>154</v>
      </c>
      <c r="D25" s="47" t="s">
        <v>391</v>
      </c>
      <c r="E25" s="48">
        <v>6.0</v>
      </c>
      <c r="F25" s="48">
        <v>2.0</v>
      </c>
      <c r="G25" s="48">
        <v>1.0</v>
      </c>
      <c r="H25" s="49">
        <f t="shared" si="1"/>
        <v>9</v>
      </c>
      <c r="I25" s="50">
        <v>0.0</v>
      </c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392</v>
      </c>
      <c r="C26" s="46" t="s">
        <v>393</v>
      </c>
      <c r="D26" s="45" t="s">
        <v>394</v>
      </c>
      <c r="E26" s="48">
        <v>6.0</v>
      </c>
      <c r="F26" s="48">
        <v>2.0</v>
      </c>
      <c r="G26" s="48">
        <v>0.0</v>
      </c>
      <c r="H26" s="49">
        <f t="shared" si="1"/>
        <v>8</v>
      </c>
      <c r="I26" s="50">
        <v>0.0</v>
      </c>
      <c r="J26" s="51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395</v>
      </c>
      <c r="C27" s="46" t="s">
        <v>301</v>
      </c>
      <c r="D27" s="47" t="s">
        <v>396</v>
      </c>
      <c r="E27" s="48">
        <v>6.0</v>
      </c>
      <c r="F27" s="48">
        <v>2.0</v>
      </c>
      <c r="G27" s="48">
        <v>0.0</v>
      </c>
      <c r="H27" s="49">
        <f t="shared" si="1"/>
        <v>8</v>
      </c>
      <c r="I27" s="50">
        <v>0.0</v>
      </c>
      <c r="J27" s="51">
        <f t="shared" si="2"/>
        <v>8</v>
      </c>
      <c r="K27" s="44"/>
      <c r="L27" s="52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397</v>
      </c>
      <c r="C28" s="46" t="s">
        <v>85</v>
      </c>
      <c r="D28" s="47" t="s">
        <v>110</v>
      </c>
      <c r="E28" s="48">
        <v>6.0</v>
      </c>
      <c r="F28" s="48">
        <v>0.0</v>
      </c>
      <c r="G28" s="48">
        <v>0.0</v>
      </c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398</v>
      </c>
      <c r="C29" s="46" t="s">
        <v>72</v>
      </c>
      <c r="D29" s="47" t="s">
        <v>399</v>
      </c>
      <c r="E29" s="48">
        <v>6.0</v>
      </c>
      <c r="F29" s="48">
        <v>2.0</v>
      </c>
      <c r="G29" s="48">
        <v>0.0</v>
      </c>
      <c r="H29" s="49">
        <f t="shared" si="1"/>
        <v>8</v>
      </c>
      <c r="I29" s="50">
        <v>0.0</v>
      </c>
      <c r="J29" s="51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75</v>
      </c>
      <c r="C30" s="46" t="s">
        <v>75</v>
      </c>
      <c r="D30" s="47" t="s">
        <v>400</v>
      </c>
      <c r="E30" s="48">
        <v>6.0</v>
      </c>
      <c r="F30" s="48">
        <v>2.0</v>
      </c>
      <c r="G30" s="48">
        <v>0.0</v>
      </c>
      <c r="H30" s="49">
        <f t="shared" si="1"/>
        <v>8</v>
      </c>
      <c r="I30" s="50">
        <v>0.0</v>
      </c>
      <c r="J30" s="51">
        <f t="shared" si="2"/>
        <v>8</v>
      </c>
      <c r="K30" s="44"/>
      <c r="L30" s="52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401</v>
      </c>
      <c r="C31" s="46" t="s">
        <v>90</v>
      </c>
      <c r="D31" s="47" t="s">
        <v>196</v>
      </c>
      <c r="E31" s="48">
        <v>6.0</v>
      </c>
      <c r="F31" s="48">
        <v>2.0</v>
      </c>
      <c r="G31" s="48">
        <v>0.0</v>
      </c>
      <c r="H31" s="49">
        <f t="shared" si="1"/>
        <v>8</v>
      </c>
      <c r="I31" s="50">
        <v>0.0</v>
      </c>
      <c r="J31" s="51">
        <f t="shared" si="2"/>
        <v>8</v>
      </c>
      <c r="K31" s="44"/>
      <c r="L31" s="52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401</v>
      </c>
      <c r="C32" s="46" t="s">
        <v>402</v>
      </c>
      <c r="D32" s="47" t="s">
        <v>403</v>
      </c>
      <c r="E32" s="48">
        <v>6.0</v>
      </c>
      <c r="F32" s="48">
        <v>2.0</v>
      </c>
      <c r="G32" s="48">
        <v>0.0</v>
      </c>
      <c r="H32" s="49">
        <f t="shared" si="1"/>
        <v>8</v>
      </c>
      <c r="I32" s="50">
        <v>3.0</v>
      </c>
      <c r="J32" s="51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401</v>
      </c>
      <c r="C33" s="46" t="s">
        <v>404</v>
      </c>
      <c r="D33" s="47" t="s">
        <v>405</v>
      </c>
      <c r="E33" s="48">
        <v>6.0</v>
      </c>
      <c r="F33" s="48">
        <v>2.0</v>
      </c>
      <c r="G33" s="48">
        <v>0.0</v>
      </c>
      <c r="H33" s="49">
        <f t="shared" si="1"/>
        <v>8</v>
      </c>
      <c r="I33" s="50">
        <v>0.0</v>
      </c>
      <c r="J33" s="51">
        <f t="shared" si="2"/>
        <v>8</v>
      </c>
      <c r="K33" s="4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95</v>
      </c>
      <c r="C34" s="46" t="s">
        <v>132</v>
      </c>
      <c r="D34" s="47" t="s">
        <v>406</v>
      </c>
      <c r="E34" s="48">
        <v>7.0</v>
      </c>
      <c r="F34" s="48">
        <v>2.0</v>
      </c>
      <c r="G34" s="48">
        <v>1.0</v>
      </c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98</v>
      </c>
      <c r="C35" s="46" t="s">
        <v>21</v>
      </c>
      <c r="D35" s="47" t="s">
        <v>407</v>
      </c>
      <c r="E35" s="48">
        <v>6.0</v>
      </c>
      <c r="F35" s="48">
        <v>2.0</v>
      </c>
      <c r="G35" s="48">
        <v>0.0</v>
      </c>
      <c r="H35" s="49">
        <f t="shared" si="1"/>
        <v>8</v>
      </c>
      <c r="I35" s="50">
        <v>0.0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101</v>
      </c>
      <c r="C36" s="46" t="s">
        <v>408</v>
      </c>
      <c r="D36" s="47" t="s">
        <v>409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101</v>
      </c>
      <c r="C37" s="46" t="s">
        <v>82</v>
      </c>
      <c r="D37" s="47" t="s">
        <v>128</v>
      </c>
      <c r="E37" s="48">
        <v>7.0</v>
      </c>
      <c r="F37" s="48">
        <v>2.0</v>
      </c>
      <c r="G37" s="48">
        <v>1.0</v>
      </c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</v>
      </c>
      <c r="C38" s="46" t="s">
        <v>410</v>
      </c>
      <c r="D38" s="47" t="s">
        <v>411</v>
      </c>
      <c r="E38" s="48">
        <v>7.0</v>
      </c>
      <c r="F38" s="48">
        <v>2.0</v>
      </c>
      <c r="G38" s="48">
        <v>0.0</v>
      </c>
      <c r="H38" s="49">
        <f t="shared" si="1"/>
        <v>9</v>
      </c>
      <c r="I38" s="50">
        <v>0.0</v>
      </c>
      <c r="J38" s="51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147</v>
      </c>
      <c r="C39" s="46" t="s">
        <v>401</v>
      </c>
      <c r="D39" s="47" t="s">
        <v>412</v>
      </c>
      <c r="E39" s="48">
        <v>6.0</v>
      </c>
      <c r="F39" s="48">
        <v>2.0</v>
      </c>
      <c r="G39" s="48">
        <v>0.0</v>
      </c>
      <c r="H39" s="49">
        <f t="shared" si="1"/>
        <v>8</v>
      </c>
      <c r="I39" s="50">
        <v>0.0</v>
      </c>
      <c r="J39" s="51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225</v>
      </c>
      <c r="C40" s="46" t="s">
        <v>258</v>
      </c>
      <c r="D40" s="47" t="s">
        <v>413</v>
      </c>
      <c r="E40" s="48">
        <v>6.0</v>
      </c>
      <c r="F40" s="48">
        <v>2.0</v>
      </c>
      <c r="G40" s="48">
        <v>0.0</v>
      </c>
      <c r="H40" s="49">
        <f t="shared" si="1"/>
        <v>8</v>
      </c>
      <c r="I40" s="50">
        <v>0.0</v>
      </c>
      <c r="J40" s="51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380</v>
      </c>
      <c r="D41" s="47" t="s">
        <v>414</v>
      </c>
      <c r="E41" s="48">
        <v>6.0</v>
      </c>
      <c r="F41" s="48">
        <v>2.0</v>
      </c>
      <c r="G41" s="48">
        <v>1.0</v>
      </c>
      <c r="H41" s="49">
        <f t="shared" si="1"/>
        <v>9</v>
      </c>
      <c r="I41" s="50">
        <v>0.0</v>
      </c>
      <c r="J41" s="51">
        <f t="shared" si="2"/>
        <v>9</v>
      </c>
      <c r="K41" s="44"/>
      <c r="L41" s="52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258</v>
      </c>
      <c r="D42" s="47" t="s">
        <v>415</v>
      </c>
      <c r="E42" s="48">
        <v>6.0</v>
      </c>
      <c r="F42" s="48">
        <v>2.0</v>
      </c>
      <c r="G42" s="48">
        <v>1.0</v>
      </c>
      <c r="H42" s="49">
        <f t="shared" si="1"/>
        <v>9</v>
      </c>
      <c r="I42" s="50">
        <v>0.0</v>
      </c>
      <c r="J42" s="51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416</v>
      </c>
      <c r="C43" s="46" t="s">
        <v>95</v>
      </c>
      <c r="D43" s="47" t="s">
        <v>417</v>
      </c>
      <c r="E43" s="48">
        <v>6.0</v>
      </c>
      <c r="F43" s="48">
        <v>2.0</v>
      </c>
      <c r="G43" s="48">
        <v>0.0</v>
      </c>
      <c r="H43" s="49">
        <f t="shared" si="1"/>
        <v>8</v>
      </c>
      <c r="I43" s="50">
        <v>0.0</v>
      </c>
      <c r="J43" s="51">
        <f t="shared" si="2"/>
        <v>8</v>
      </c>
      <c r="K43" s="44"/>
      <c r="L43" s="52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418</v>
      </c>
      <c r="C44" s="46" t="s">
        <v>419</v>
      </c>
      <c r="D44" s="47" t="s">
        <v>420</v>
      </c>
      <c r="E44" s="48">
        <v>6.0</v>
      </c>
      <c r="F44" s="48">
        <v>0.0</v>
      </c>
      <c r="G44" s="48">
        <v>0.0</v>
      </c>
      <c r="H44" s="49">
        <f t="shared" si="1"/>
        <v>6</v>
      </c>
      <c r="I44" s="50">
        <v>0.0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56</v>
      </c>
      <c r="C45" s="46" t="s">
        <v>156</v>
      </c>
      <c r="D45" s="47" t="s">
        <v>421</v>
      </c>
      <c r="E45" s="48">
        <v>5.0</v>
      </c>
      <c r="F45" s="48">
        <v>2.0</v>
      </c>
      <c r="G45" s="48">
        <v>0.0</v>
      </c>
      <c r="H45" s="49">
        <f t="shared" si="1"/>
        <v>7</v>
      </c>
      <c r="I45" s="50">
        <v>0.0</v>
      </c>
      <c r="J45" s="51">
        <f t="shared" si="2"/>
        <v>7</v>
      </c>
      <c r="K45" s="44"/>
      <c r="L45" s="52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422</v>
      </c>
      <c r="C46" s="46" t="s">
        <v>258</v>
      </c>
      <c r="D46" s="47" t="s">
        <v>423</v>
      </c>
      <c r="E46" s="48">
        <v>6.0</v>
      </c>
      <c r="F46" s="48">
        <v>2.0</v>
      </c>
      <c r="G46" s="48">
        <v>0.0</v>
      </c>
      <c r="H46" s="49">
        <f t="shared" si="1"/>
        <v>8</v>
      </c>
      <c r="I46" s="50">
        <v>0.0</v>
      </c>
      <c r="J46" s="51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424</v>
      </c>
      <c r="C47" s="46" t="s">
        <v>132</v>
      </c>
      <c r="D47" s="47" t="s">
        <v>425</v>
      </c>
      <c r="E47" s="48">
        <v>6.0</v>
      </c>
      <c r="F47" s="48">
        <v>2.0</v>
      </c>
      <c r="G47" s="48">
        <v>1.0</v>
      </c>
      <c r="H47" s="49">
        <f t="shared" si="1"/>
        <v>9</v>
      </c>
      <c r="I47" s="50">
        <v>0.0</v>
      </c>
      <c r="J47" s="51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210</v>
      </c>
      <c r="C48" s="46" t="s">
        <v>90</v>
      </c>
      <c r="D48" s="47" t="s">
        <v>426</v>
      </c>
      <c r="E48" s="48">
        <v>5.0</v>
      </c>
      <c r="F48" s="48">
        <v>2.0</v>
      </c>
      <c r="G48" s="48">
        <v>0.0</v>
      </c>
      <c r="H48" s="49">
        <f t="shared" si="1"/>
        <v>7</v>
      </c>
      <c r="I48" s="50">
        <v>0.0</v>
      </c>
      <c r="J48" s="51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427</v>
      </c>
      <c r="C49" s="46" t="s">
        <v>75</v>
      </c>
      <c r="D49" s="47" t="s">
        <v>428</v>
      </c>
      <c r="E49" s="48">
        <v>6.0</v>
      </c>
      <c r="F49" s="48">
        <v>2.0</v>
      </c>
      <c r="G49" s="48">
        <v>0.0</v>
      </c>
      <c r="H49" s="49">
        <f t="shared" si="1"/>
        <v>8</v>
      </c>
      <c r="I49" s="50">
        <v>0.0</v>
      </c>
      <c r="J49" s="51">
        <f t="shared" si="2"/>
        <v>8</v>
      </c>
      <c r="K49" s="44"/>
      <c r="L49" s="52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138</v>
      </c>
      <c r="C50" s="46" t="s">
        <v>80</v>
      </c>
      <c r="D50" s="47" t="s">
        <v>429</v>
      </c>
      <c r="E50" s="48">
        <v>7.0</v>
      </c>
      <c r="F50" s="48">
        <v>2.0</v>
      </c>
      <c r="G50" s="48">
        <v>0.0</v>
      </c>
      <c r="H50" s="49">
        <f t="shared" si="1"/>
        <v>9</v>
      </c>
      <c r="I50" s="50">
        <v>0.0</v>
      </c>
      <c r="J50" s="51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96</v>
      </c>
      <c r="C51" s="46" t="s">
        <v>132</v>
      </c>
      <c r="D51" s="47" t="s">
        <v>430</v>
      </c>
      <c r="E51" s="48">
        <v>6.0</v>
      </c>
      <c r="F51" s="48">
        <v>2.0</v>
      </c>
      <c r="G51" s="48">
        <v>0.0</v>
      </c>
      <c r="H51" s="49">
        <f t="shared" si="1"/>
        <v>8</v>
      </c>
      <c r="I51" s="50">
        <v>0.0</v>
      </c>
      <c r="J51" s="51">
        <f t="shared" si="2"/>
        <v>8</v>
      </c>
      <c r="K51" s="44"/>
      <c r="L51" s="46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96</v>
      </c>
      <c r="C52" s="46" t="s">
        <v>431</v>
      </c>
      <c r="D52" s="47" t="s">
        <v>211</v>
      </c>
      <c r="E52" s="48">
        <v>6.0</v>
      </c>
      <c r="F52" s="48">
        <v>2.0</v>
      </c>
      <c r="G52" s="48">
        <v>0.0</v>
      </c>
      <c r="H52" s="49">
        <f t="shared" si="1"/>
        <v>8</v>
      </c>
      <c r="I52" s="50">
        <v>0.0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279</v>
      </c>
      <c r="C53" s="46" t="s">
        <v>46</v>
      </c>
      <c r="D53" s="47" t="s">
        <v>432</v>
      </c>
      <c r="E53" s="48">
        <v>6.0</v>
      </c>
      <c r="F53" s="48">
        <v>2.0</v>
      </c>
      <c r="G53" s="48">
        <v>0.0</v>
      </c>
      <c r="H53" s="49">
        <f t="shared" si="1"/>
        <v>8</v>
      </c>
      <c r="I53" s="50">
        <v>2.0</v>
      </c>
      <c r="J53" s="51">
        <f t="shared" si="2"/>
        <v>8</v>
      </c>
      <c r="K53" s="44"/>
      <c r="L53" s="46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132</v>
      </c>
      <c r="C54" s="46" t="s">
        <v>210</v>
      </c>
      <c r="D54" s="47" t="s">
        <v>433</v>
      </c>
      <c r="E54" s="48">
        <v>6.0</v>
      </c>
      <c r="F54" s="48">
        <v>2.0</v>
      </c>
      <c r="G54" s="48">
        <v>0.0</v>
      </c>
      <c r="H54" s="49">
        <f t="shared" si="1"/>
        <v>8</v>
      </c>
      <c r="I54" s="50">
        <v>0.0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357</v>
      </c>
      <c r="C55" s="46" t="s">
        <v>434</v>
      </c>
      <c r="D55" s="47" t="s">
        <v>435</v>
      </c>
      <c r="E55" s="48">
        <v>6.0</v>
      </c>
      <c r="F55" s="48">
        <v>2.0</v>
      </c>
      <c r="G55" s="48">
        <v>0.0</v>
      </c>
      <c r="H55" s="49">
        <f t="shared" si="1"/>
        <v>8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149</v>
      </c>
      <c r="C56" s="46" t="s">
        <v>436</v>
      </c>
      <c r="D56" s="47" t="s">
        <v>437</v>
      </c>
      <c r="E56" s="48">
        <v>6.0</v>
      </c>
      <c r="F56" s="48">
        <v>2.0</v>
      </c>
      <c r="G56" s="48">
        <v>0.0</v>
      </c>
      <c r="H56" s="49">
        <f t="shared" si="1"/>
        <v>8</v>
      </c>
      <c r="I56" s="50">
        <v>0.0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438</v>
      </c>
      <c r="C57" s="46" t="s">
        <v>90</v>
      </c>
      <c r="D57" s="47" t="s">
        <v>439</v>
      </c>
      <c r="E57" s="48">
        <v>6.0</v>
      </c>
      <c r="F57" s="48">
        <v>2.0</v>
      </c>
      <c r="G57" s="48">
        <v>0.0</v>
      </c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349</v>
      </c>
      <c r="C58" s="46" t="s">
        <v>95</v>
      </c>
      <c r="D58" s="47" t="s">
        <v>440</v>
      </c>
      <c r="E58" s="48">
        <v>6.0</v>
      </c>
      <c r="F58" s="48">
        <v>2.0</v>
      </c>
      <c r="G58" s="48">
        <v>0.0</v>
      </c>
      <c r="H58" s="49">
        <f t="shared" si="1"/>
        <v>8</v>
      </c>
      <c r="I58" s="50">
        <v>0.0</v>
      </c>
      <c r="J58" s="51">
        <f t="shared" si="2"/>
        <v>8</v>
      </c>
      <c r="K58" s="44"/>
      <c r="L58" s="4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441</v>
      </c>
      <c r="C59" s="46" t="s">
        <v>56</v>
      </c>
      <c r="D59" s="47" t="s">
        <v>126</v>
      </c>
      <c r="E59" s="48">
        <v>6.0</v>
      </c>
      <c r="F59" s="48">
        <v>2.0</v>
      </c>
      <c r="G59" s="48">
        <v>0.0</v>
      </c>
      <c r="H59" s="49">
        <f t="shared" si="1"/>
        <v>8</v>
      </c>
      <c r="I59" s="50">
        <v>0.0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109</v>
      </c>
      <c r="C60" s="46" t="s">
        <v>46</v>
      </c>
      <c r="D60" s="47" t="s">
        <v>442</v>
      </c>
      <c r="E60" s="48">
        <v>6.0</v>
      </c>
      <c r="F60" s="48">
        <v>2.0</v>
      </c>
      <c r="G60" s="48">
        <v>0.0</v>
      </c>
      <c r="H60" s="49">
        <f t="shared" si="1"/>
        <v>8</v>
      </c>
      <c r="I60" s="50">
        <v>0.0</v>
      </c>
      <c r="J60" s="51">
        <f t="shared" si="2"/>
        <v>8</v>
      </c>
      <c r="K60" s="44"/>
      <c r="L60" s="46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443</v>
      </c>
      <c r="C61" s="46" t="s">
        <v>444</v>
      </c>
      <c r="D61" s="47" t="s">
        <v>445</v>
      </c>
      <c r="E61" s="48">
        <v>6.0</v>
      </c>
      <c r="F61" s="48">
        <v>2.0</v>
      </c>
      <c r="G61" s="48">
        <v>1.0</v>
      </c>
      <c r="H61" s="49">
        <f t="shared" si="1"/>
        <v>9</v>
      </c>
      <c r="I61" s="50">
        <v>0.0</v>
      </c>
      <c r="J61" s="51">
        <f t="shared" si="2"/>
        <v>9</v>
      </c>
      <c r="K61" s="44"/>
      <c r="L61" s="46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446</v>
      </c>
      <c r="C62" s="46" t="s">
        <v>447</v>
      </c>
      <c r="D62" s="47" t="s">
        <v>448</v>
      </c>
      <c r="E62" s="48">
        <v>6.0</v>
      </c>
      <c r="F62" s="48">
        <v>2.0</v>
      </c>
      <c r="G62" s="48">
        <v>1.0</v>
      </c>
      <c r="H62" s="49">
        <f t="shared" si="1"/>
        <v>9</v>
      </c>
      <c r="I62" s="50">
        <v>0.0</v>
      </c>
      <c r="J62" s="51">
        <f t="shared" si="2"/>
        <v>9</v>
      </c>
      <c r="K62" s="44"/>
      <c r="L62" s="46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446</v>
      </c>
      <c r="C63" s="46" t="s">
        <v>449</v>
      </c>
      <c r="D63" s="47" t="s">
        <v>450</v>
      </c>
      <c r="E63" s="48">
        <v>6.0</v>
      </c>
      <c r="F63" s="48">
        <v>2.0</v>
      </c>
      <c r="G63" s="48">
        <v>1.0</v>
      </c>
      <c r="H63" s="49">
        <f t="shared" si="1"/>
        <v>9</v>
      </c>
      <c r="I63" s="50">
        <v>0.0</v>
      </c>
      <c r="J63" s="51">
        <f t="shared" si="2"/>
        <v>9</v>
      </c>
      <c r="K63" s="44"/>
      <c r="L63" s="46">
        <f t="shared" si="3"/>
        <v>9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97" t="s">
        <v>162</v>
      </c>
      <c r="C65" s="62"/>
      <c r="D65" s="98">
        <f>COUNT(A17:A63)</f>
        <v>47</v>
      </c>
      <c r="E65" s="59"/>
      <c r="F65" s="99" t="s">
        <v>163</v>
      </c>
      <c r="G65" s="59"/>
      <c r="H65" s="99" t="s">
        <v>164</v>
      </c>
      <c r="J65" s="100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1" t="s">
        <v>167</v>
      </c>
      <c r="C66" s="67"/>
      <c r="D66" s="102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1" t="s">
        <v>168</v>
      </c>
      <c r="C67" s="67"/>
      <c r="D67" s="103">
        <f>D65-D66</f>
        <v>47</v>
      </c>
      <c r="E67" s="59"/>
      <c r="F67" s="59"/>
      <c r="G67" s="59"/>
      <c r="H67" s="59"/>
      <c r="I67" s="11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1" t="s">
        <v>169</v>
      </c>
      <c r="C68" s="67"/>
      <c r="D68" s="69">
        <f>COUNTIF(J17:J63,"&gt;=6")</f>
        <v>47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1" t="s">
        <v>170</v>
      </c>
      <c r="C69" s="67"/>
      <c r="D69" s="69">
        <f>D67-D68</f>
        <v>0</v>
      </c>
      <c r="E69" s="59"/>
      <c r="F69" s="104"/>
      <c r="G69" s="59"/>
      <c r="H69" s="104"/>
      <c r="I69" s="70"/>
      <c r="J69" s="105"/>
      <c r="K69" s="106"/>
      <c r="L69" s="55"/>
      <c r="M69" s="1"/>
      <c r="N69" s="1"/>
      <c r="O69" s="2"/>
      <c r="P69" s="2"/>
      <c r="Q69" s="2"/>
    </row>
    <row r="70" ht="36.0" customHeight="1">
      <c r="A70" s="1"/>
      <c r="B70" s="101" t="s">
        <v>171</v>
      </c>
      <c r="C70" s="67"/>
      <c r="D70" s="73">
        <f>D68*100/D67</f>
        <v>100</v>
      </c>
      <c r="E70" s="59"/>
      <c r="F70" s="107" t="s">
        <v>172</v>
      </c>
      <c r="G70" s="59"/>
      <c r="H70" s="108" t="s">
        <v>451</v>
      </c>
      <c r="J70" s="109" t="s">
        <v>174</v>
      </c>
      <c r="K70" s="110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1" t="s">
        <v>176</v>
      </c>
      <c r="C71" s="79"/>
      <c r="D71" s="80">
        <f>AVERAGE(J17:J63)</f>
        <v>8.29787234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2"/>
      <c r="B72" s="2"/>
      <c r="C72" s="2"/>
      <c r="D72" s="2"/>
      <c r="E72" s="2"/>
      <c r="F72" s="2"/>
      <c r="G72" s="2"/>
      <c r="H72" s="2"/>
      <c r="I72" s="2"/>
      <c r="J72" s="2"/>
      <c r="K72" s="82"/>
      <c r="L72" s="2"/>
      <c r="M72" s="2"/>
      <c r="N72" s="2"/>
      <c r="O72" s="2"/>
      <c r="P72" s="2"/>
      <c r="Q72" s="2"/>
    </row>
    <row r="73" ht="21.75" customHeight="1">
      <c r="A73" s="113"/>
      <c r="B73" s="84"/>
      <c r="C73" s="85"/>
      <c r="D73" s="85"/>
      <c r="E73" s="86"/>
      <c r="G73" s="86"/>
      <c r="H73" s="86"/>
      <c r="I73" s="86"/>
      <c r="J73" s="86"/>
      <c r="K73" s="87"/>
      <c r="L73" s="86"/>
      <c r="M73" s="2"/>
      <c r="N73" s="2"/>
      <c r="O73" s="2"/>
      <c r="P73" s="2"/>
      <c r="Q73" s="2"/>
    </row>
    <row r="74" ht="21.75" customHeight="1">
      <c r="A74" s="114"/>
      <c r="B74" s="86"/>
      <c r="C74" s="86"/>
      <c r="D74" s="115"/>
      <c r="E74" s="86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14"/>
      <c r="B75" s="86"/>
      <c r="C75" s="86"/>
      <c r="D75" s="115"/>
      <c r="E75" s="86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16"/>
      <c r="B76" s="91"/>
      <c r="C76" s="91"/>
      <c r="D76" s="117"/>
      <c r="E76" s="91"/>
      <c r="F76" s="118"/>
      <c r="G76" s="92"/>
      <c r="H76" s="118"/>
      <c r="I76" s="118"/>
      <c r="J76" s="118"/>
      <c r="K76" s="119"/>
      <c r="L76" s="2"/>
      <c r="M76" s="2"/>
      <c r="N76" s="2"/>
      <c r="O76" s="2"/>
      <c r="P76" s="2"/>
      <c r="Q76" s="2"/>
    </row>
    <row r="77" ht="21.75" customHeight="1">
      <c r="A77" s="120"/>
      <c r="B77" s="121"/>
      <c r="C77" s="121"/>
      <c r="D77" s="122"/>
      <c r="E77" s="86"/>
      <c r="F77" s="123"/>
      <c r="G77" s="2"/>
      <c r="H77" s="123"/>
      <c r="I77" s="123"/>
      <c r="J77" s="124"/>
      <c r="K77" s="124"/>
      <c r="L77" s="94"/>
      <c r="M77" s="2"/>
      <c r="N77" s="2"/>
      <c r="O77" s="2"/>
      <c r="P77" s="2"/>
      <c r="Q77" s="2"/>
    </row>
    <row r="78" ht="13.5" customHeight="1">
      <c r="A78" s="2"/>
      <c r="B78" s="86"/>
      <c r="C78" s="86"/>
      <c r="D78" s="122"/>
      <c r="E78" s="86"/>
      <c r="F78" s="123"/>
      <c r="G78" s="2"/>
      <c r="H78" s="123"/>
      <c r="I78" s="123"/>
      <c r="J78" s="124"/>
      <c r="K78" s="124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