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pensamiento matematico ii" sheetId="1" r:id="rId5"/>
    <sheet state="visible" name="1-3 pensamiento matematico ii" sheetId="2" r:id="rId6"/>
  </sheets>
  <definedNames/>
  <calcPr/>
</workbook>
</file>

<file path=xl/sharedStrings.xml><?xml version="1.0" encoding="utf-8"?>
<sst xmlns="http://schemas.openxmlformats.org/spreadsheetml/2006/main" count="325" uniqueCount="228">
  <si>
    <t>ESCUELA PREPARATORIA OFICIAL NÚM. 67</t>
  </si>
  <si>
    <t xml:space="preserve">CONTROL PRIMER PARCIAL </t>
  </si>
  <si>
    <t xml:space="preserve">PROFESOR (A): </t>
  </si>
  <si>
    <t>DANIELA VICTORIA HERNÁNDEZ VIVEROS</t>
  </si>
  <si>
    <t>I</t>
  </si>
  <si>
    <t>II</t>
  </si>
  <si>
    <t>III</t>
  </si>
  <si>
    <t>PUNTAJE EXTRA</t>
  </si>
  <si>
    <t>SEGUNDO SEMESTRE
VESPERTINO</t>
  </si>
  <si>
    <t>UAC</t>
  </si>
  <si>
    <t>PENSAMIENTO MATEMÁTICO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</si>
  <si>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</si>
  <si>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</si>
  <si>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</si>
  <si>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</si>
  <si>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</si>
  <si>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</si>
  <si>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</si>
  <si>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</si>
  <si>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</si>
  <si>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</si>
  <si>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</si>
  <si>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</si>
  <si>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AMBROSIO</t>
  </si>
  <si>
    <t>RAMIREZ</t>
  </si>
  <si>
    <t>LUIS ENRIQUE</t>
  </si>
  <si>
    <t>HORAS IMPARTIDAS</t>
  </si>
  <si>
    <t>CARRANZA</t>
  </si>
  <si>
    <t>SOTO</t>
  </si>
  <si>
    <t>MELANY GERALDINE</t>
  </si>
  <si>
    <t>Febrero</t>
  </si>
  <si>
    <t>CASTILLO</t>
  </si>
  <si>
    <t>TINAJERO</t>
  </si>
  <si>
    <t>IAN JAEL</t>
  </si>
  <si>
    <t>Marzo</t>
  </si>
  <si>
    <t>CHAVEZ</t>
  </si>
  <si>
    <t>CARDENAS</t>
  </si>
  <si>
    <t>MARIO YAEL</t>
  </si>
  <si>
    <t>Abril</t>
  </si>
  <si>
    <t>TENORIO</t>
  </si>
  <si>
    <t>LIA REGINA</t>
  </si>
  <si>
    <t>Mayo</t>
  </si>
  <si>
    <t xml:space="preserve">ESCOBAR </t>
  </si>
  <si>
    <t>CORTES</t>
  </si>
  <si>
    <t>CRISTIAN</t>
  </si>
  <si>
    <t>Junio</t>
  </si>
  <si>
    <t>ESPINOSA</t>
  </si>
  <si>
    <t>ALBA</t>
  </si>
  <si>
    <t>SEBASTIAN</t>
  </si>
  <si>
    <t>Julio</t>
  </si>
  <si>
    <t>ESQUIVEL</t>
  </si>
  <si>
    <t>VAZQUEZ</t>
  </si>
  <si>
    <t>EDER OMAR</t>
  </si>
  <si>
    <t>TOTAL</t>
  </si>
  <si>
    <t xml:space="preserve">FRANCO </t>
  </si>
  <si>
    <t>SANTILLAN</t>
  </si>
  <si>
    <t>MELANI VANESSA</t>
  </si>
  <si>
    <t>GARCIA</t>
  </si>
  <si>
    <t>SARAHI</t>
  </si>
  <si>
    <t>HERNANDEZ</t>
  </si>
  <si>
    <t>JOSE DAMIAN</t>
  </si>
  <si>
    <t>LOZANO</t>
  </si>
  <si>
    <t>SHARON ALEXA</t>
  </si>
  <si>
    <t>GONZALEZ</t>
  </si>
  <si>
    <t>LARA</t>
  </si>
  <si>
    <t>ARELY SAMANTHA</t>
  </si>
  <si>
    <t>REYNA</t>
  </si>
  <si>
    <t>MEGAN ALEXA</t>
  </si>
  <si>
    <t>MIRANDA</t>
  </si>
  <si>
    <t>EMILIANO</t>
  </si>
  <si>
    <t>HORTA</t>
  </si>
  <si>
    <t>PEREZ</t>
  </si>
  <si>
    <t>EINAR HAZEL</t>
  </si>
  <si>
    <t>JASSO</t>
  </si>
  <si>
    <t>CARDOSO</t>
  </si>
  <si>
    <t>WENDY FRIDA</t>
  </si>
  <si>
    <t>LEAL</t>
  </si>
  <si>
    <t>MORA</t>
  </si>
  <si>
    <t>EMILIANO KALEB</t>
  </si>
  <si>
    <t>LOPEZ</t>
  </si>
  <si>
    <t>LOMELI</t>
  </si>
  <si>
    <t>SAYURI NAYELI</t>
  </si>
  <si>
    <t>LOYOLA</t>
  </si>
  <si>
    <t>ELSA ELOISA</t>
  </si>
  <si>
    <t>MARTINEZ</t>
  </si>
  <si>
    <t>SANCHEZ</t>
  </si>
  <si>
    <t>JOSS ANTONIO</t>
  </si>
  <si>
    <t>MAYA</t>
  </si>
  <si>
    <t>YARAZET</t>
  </si>
  <si>
    <t>MEJIA</t>
  </si>
  <si>
    <t>CRUZ</t>
  </si>
  <si>
    <t>ZOE XANAT</t>
  </si>
  <si>
    <t>MIRON</t>
  </si>
  <si>
    <t>JIMENEZ</t>
  </si>
  <si>
    <t>IAN ALEXANDRE</t>
  </si>
  <si>
    <t>NAVARRO</t>
  </si>
  <si>
    <t>ALCALA</t>
  </si>
  <si>
    <t>DALI MARIDSHI</t>
  </si>
  <si>
    <t>ORIZABA</t>
  </si>
  <si>
    <t>ESPINOZA</t>
  </si>
  <si>
    <t>IRIS LUCIA</t>
  </si>
  <si>
    <t>OSNAYA</t>
  </si>
  <si>
    <t>GUERRERO</t>
  </si>
  <si>
    <t>BRITANY SAMIRA</t>
  </si>
  <si>
    <t>ALONSO</t>
  </si>
  <si>
    <t>GOMEZ</t>
  </si>
  <si>
    <t>FATIMA JUDIT</t>
  </si>
  <si>
    <t>VALLEJO</t>
  </si>
  <si>
    <t>XIMENA</t>
  </si>
  <si>
    <t>PRADO</t>
  </si>
  <si>
    <t>YOLTZIN XQUENDA</t>
  </si>
  <si>
    <t>RABADAN</t>
  </si>
  <si>
    <t>PONCE</t>
  </si>
  <si>
    <t>AXEL SAID</t>
  </si>
  <si>
    <t>RIOS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</si>
  <si>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</si>
  <si>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</si>
  <si>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</si>
  <si>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</si>
  <si>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</si>
  <si>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</si>
  <si>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</si>
  <si>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</si>
  <si>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</si>
  <si>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</si>
  <si>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</si>
  <si>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</si>
  <si>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</si>
  <si>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</si>
  <si>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</si>
  <si>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</si>
  <si>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</si>
  <si>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</si>
  <si>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</si>
  <si>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</si>
  <si>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</si>
  <si>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</si>
  <si>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</si>
  <si>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</si>
  <si>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</si>
  <si>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</si>
  <si>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</si>
  <si>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</si>
  <si>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</si>
  <si>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</si>
  <si>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</si>
  <si>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PROFRA. DANIELA VICTORIA HERNÁNDEZ VIVEROS</t>
  </si>
  <si>
    <t>PROFRA. LAURITA MARTÍNEZ</t>
  </si>
  <si>
    <t>PROFR. OCTAVIO VÁZQUEZ BARRETO</t>
  </si>
  <si>
    <t xml:space="preserve">PROFR. ROBERTO PALOMARES MEJÍA </t>
  </si>
  <si>
    <t>PROMEDIO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</si>
  <si>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</si>
  <si>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</si>
  <si>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</si>
  <si>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</si>
  <si>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</si>
  <si>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</si>
  <si>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</si>
  <si>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</si>
  <si>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</si>
  <si>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</si>
  <si>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</si>
  <si>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>GAMEZ</t>
  </si>
  <si>
    <t xml:space="preserve">XIMENA SARAHI </t>
  </si>
  <si>
    <t>ROLDAN</t>
  </si>
  <si>
    <t>LUIS ANGEL</t>
  </si>
  <si>
    <t>DIAZ</t>
  </si>
  <si>
    <t>CONTRERAS</t>
  </si>
  <si>
    <t>ERICK ALEJANDRO</t>
  </si>
  <si>
    <t>SANDOVAL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</si>
  <si>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</si>
  <si>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</si>
  <si>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</si>
  <si>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</si>
  <si>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</si>
  <si>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</si>
  <si>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</si>
  <si>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</si>
  <si>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</si>
  <si>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</si>
  <si>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</si>
  <si>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</si>
  <si>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</si>
  <si>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</si>
  <si>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</si>
  <si>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</si>
  <si>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VELAZQUEZ</t>
  </si>
  <si>
    <t>SANTIAGO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</si>
  <si>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</si>
  <si>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</si>
  <si>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</si>
  <si>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</si>
  <si>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</si>
  <si>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</si>
  <si>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</si>
  <si>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</si>
  <si>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</si>
  <si>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</si>
  <si>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</si>
  <si>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</si>
  <si>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MENDOZA</t>
  </si>
  <si>
    <t>SUAREZ</t>
  </si>
  <si>
    <t>ARTURO SAID</t>
  </si>
  <si>
    <t>MILLAN</t>
  </si>
  <si>
    <t>AJAY JARED</t>
  </si>
  <si>
    <t>NORIEGA</t>
  </si>
  <si>
    <t>AVILA</t>
  </si>
  <si>
    <t>JOEL ADRIAN</t>
  </si>
  <si>
    <t>OLVERA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</si>
  <si>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</si>
  <si>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</si>
  <si>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</si>
  <si>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</si>
  <si>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</si>
  <si>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</si>
  <si>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</si>
  <si>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</si>
  <si>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REYES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</si>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</sst>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readingOrder="0" shrinkToFit="0" vertical="center" wrapText="1"/>
    </xf>
    <xf borderId="36" fillId="0" fontId="4" numFmtId="0" xfId="0" applyBorder="1" applyFont="1"/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Border="1" applyFon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60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59</xdr:row>
      <xdr:rowOff>314325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4.2</v>
      </c>
      <c r="F17" s="47">
        <v>1.8</v>
      </c>
      <c r="G17" s="47">
        <v>2.0</v>
      </c>
      <c r="H17" s="48"/>
      <c r="I17" s="48">
        <f t="shared" ref="I17:I58" si="1">SUM(E17:H17)</f>
        <v>8</v>
      </c>
      <c r="J17" s="49">
        <v>1.0</v>
      </c>
      <c r="K17" s="50">
        <f t="shared" ref="K17:K58" si="2">IF(SUM(E17:H17)&lt;6, 5, MIN(10, ROUND(SUM(E17:H17), 0)))</f>
        <v>8</v>
      </c>
      <c r="L17" s="45"/>
      <c r="M17" s="51">
        <f t="shared" ref="M17:M58" si="3">IF(I17&gt;=6,ROUND(I17,0),TRUNC(I17,0))</f>
        <v>8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4.4</v>
      </c>
      <c r="F18" s="47">
        <v>2.1</v>
      </c>
      <c r="G18" s="47">
        <v>2.0</v>
      </c>
      <c r="H18" s="48"/>
      <c r="I18" s="48">
        <f t="shared" si="1"/>
        <v>8.5</v>
      </c>
      <c r="J18" s="49">
        <v>5.0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10.0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4.1</v>
      </c>
      <c r="F19" s="47">
        <v>1.2</v>
      </c>
      <c r="G19" s="47">
        <v>2.0</v>
      </c>
      <c r="H19" s="48"/>
      <c r="I19" s="48">
        <f t="shared" si="1"/>
        <v>7.3</v>
      </c>
      <c r="J19" s="49">
        <v>1.0</v>
      </c>
      <c r="K19" s="50">
        <f t="shared" si="2"/>
        <v>7</v>
      </c>
      <c r="L19" s="44"/>
      <c r="M19" s="51">
        <f t="shared" si="3"/>
        <v>7</v>
      </c>
      <c r="N19" s="53" t="s">
        <v>34</v>
      </c>
      <c r="O19" s="49">
        <v>16.0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3.0</v>
      </c>
      <c r="F20" s="47">
        <v>1.2</v>
      </c>
      <c r="G20" s="47">
        <v>1.8</v>
      </c>
      <c r="H20" s="48"/>
      <c r="I20" s="48">
        <f t="shared" si="1"/>
        <v>6</v>
      </c>
      <c r="J20" s="49">
        <v>3.0</v>
      </c>
      <c r="K20" s="50">
        <f t="shared" si="2"/>
        <v>6</v>
      </c>
      <c r="L20" s="44"/>
      <c r="M20" s="51">
        <f t="shared" si="3"/>
        <v>6</v>
      </c>
      <c r="N20" s="53" t="s">
        <v>38</v>
      </c>
      <c r="O20" s="49">
        <v>11.0</v>
      </c>
      <c r="P20" s="2"/>
      <c r="Q20" s="2"/>
      <c r="R20" s="2"/>
    </row>
    <row r="21" ht="24.75" customHeight="1">
      <c r="A21" s="44">
        <v>5.0</v>
      </c>
      <c r="B21" s="45" t="s">
        <v>35</v>
      </c>
      <c r="C21" s="45" t="s">
        <v>39</v>
      </c>
      <c r="D21" s="46" t="s">
        <v>40</v>
      </c>
      <c r="E21" s="47">
        <v>5.0</v>
      </c>
      <c r="F21" s="47">
        <v>2.0</v>
      </c>
      <c r="G21" s="47">
        <v>2.0</v>
      </c>
      <c r="H21" s="47">
        <v>1.0</v>
      </c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9">
        <v>14.0</v>
      </c>
      <c r="P21" s="2"/>
      <c r="Q21" s="2"/>
      <c r="R21" s="2"/>
    </row>
    <row r="22" ht="24.75" customHeight="1">
      <c r="A22" s="44">
        <v>6.0</v>
      </c>
      <c r="B22" s="45" t="s">
        <v>42</v>
      </c>
      <c r="C22" s="45" t="s">
        <v>43</v>
      </c>
      <c r="D22" s="46" t="s">
        <v>44</v>
      </c>
      <c r="E22" s="47">
        <v>4.4</v>
      </c>
      <c r="F22" s="47">
        <v>2.1</v>
      </c>
      <c r="G22" s="47">
        <v>1.8</v>
      </c>
      <c r="H22" s="48"/>
      <c r="I22" s="48">
        <f t="shared" si="1"/>
        <v>8.3</v>
      </c>
      <c r="J22" s="49">
        <v>1.0</v>
      </c>
      <c r="K22" s="50">
        <f t="shared" si="2"/>
        <v>8</v>
      </c>
      <c r="L22" s="44"/>
      <c r="M22" s="51">
        <f t="shared" si="3"/>
        <v>8</v>
      </c>
      <c r="N22" s="53" t="s">
        <v>45</v>
      </c>
      <c r="O22" s="49">
        <v>17.0</v>
      </c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47</v>
      </c>
      <c r="D23" s="46" t="s">
        <v>48</v>
      </c>
      <c r="E23" s="47">
        <v>1.1</v>
      </c>
      <c r="F23" s="47">
        <v>2.4</v>
      </c>
      <c r="G23" s="47">
        <v>2.0</v>
      </c>
      <c r="H23" s="48"/>
      <c r="I23" s="48">
        <f t="shared" si="1"/>
        <v>5.5</v>
      </c>
      <c r="J23" s="49">
        <v>7.0</v>
      </c>
      <c r="K23" s="50">
        <f t="shared" si="2"/>
        <v>5</v>
      </c>
      <c r="L23" s="44"/>
      <c r="M23" s="51">
        <f t="shared" si="3"/>
        <v>5</v>
      </c>
      <c r="N23" s="53" t="s">
        <v>49</v>
      </c>
      <c r="O23" s="49">
        <v>8.0</v>
      </c>
      <c r="P23" s="2"/>
      <c r="Q23" s="2"/>
      <c r="R23" s="2"/>
    </row>
    <row r="24" ht="24.75" customHeight="1">
      <c r="A24" s="44">
        <v>8.0</v>
      </c>
      <c r="B24" s="45" t="s">
        <v>50</v>
      </c>
      <c r="C24" s="45" t="s">
        <v>51</v>
      </c>
      <c r="D24" s="46" t="s">
        <v>52</v>
      </c>
      <c r="E24" s="47">
        <v>0.5</v>
      </c>
      <c r="F24" s="47">
        <v>1.0</v>
      </c>
      <c r="G24" s="47">
        <v>0.0</v>
      </c>
      <c r="H24" s="48"/>
      <c r="I24" s="48">
        <f t="shared" si="1"/>
        <v>1.5</v>
      </c>
      <c r="J24" s="49">
        <v>9.0</v>
      </c>
      <c r="K24" s="50">
        <f t="shared" si="2"/>
        <v>5</v>
      </c>
      <c r="L24" s="44"/>
      <c r="M24" s="51">
        <f t="shared" si="3"/>
        <v>1</v>
      </c>
      <c r="N24" s="53" t="s">
        <v>53</v>
      </c>
      <c r="O24" s="53">
        <f>SUM(O18:O23)</f>
        <v>76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55</v>
      </c>
      <c r="D25" s="46" t="s">
        <v>56</v>
      </c>
      <c r="E25" s="47">
        <v>4.5</v>
      </c>
      <c r="F25" s="47">
        <v>0.8</v>
      </c>
      <c r="G25" s="47">
        <v>1.2</v>
      </c>
      <c r="H25" s="48"/>
      <c r="I25" s="48">
        <f t="shared" si="1"/>
        <v>6.5</v>
      </c>
      <c r="J25" s="49">
        <v>1.0</v>
      </c>
      <c r="K25" s="50">
        <f t="shared" si="2"/>
        <v>7</v>
      </c>
      <c r="L25" s="44"/>
      <c r="M25" s="51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57</v>
      </c>
      <c r="C26" s="45" t="s">
        <v>57</v>
      </c>
      <c r="D26" s="46" t="s">
        <v>58</v>
      </c>
      <c r="E26" s="47">
        <v>4.4</v>
      </c>
      <c r="F26" s="47">
        <v>1.2</v>
      </c>
      <c r="G26" s="47">
        <v>2.0</v>
      </c>
      <c r="H26" s="48"/>
      <c r="I26" s="48">
        <f t="shared" si="1"/>
        <v>7.6</v>
      </c>
      <c r="J26" s="49">
        <v>6.0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59</v>
      </c>
      <c r="D27" s="45" t="s">
        <v>60</v>
      </c>
      <c r="E27" s="47">
        <v>4.2</v>
      </c>
      <c r="F27" s="47">
        <v>1.5</v>
      </c>
      <c r="G27" s="47">
        <v>2.0</v>
      </c>
      <c r="H27" s="47">
        <v>1.0</v>
      </c>
      <c r="I27" s="48">
        <f t="shared" si="1"/>
        <v>8.7</v>
      </c>
      <c r="J27" s="49">
        <v>0.0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57</v>
      </c>
      <c r="C28" s="45" t="s">
        <v>61</v>
      </c>
      <c r="D28" s="46" t="s">
        <v>62</v>
      </c>
      <c r="E28" s="47">
        <v>5.0</v>
      </c>
      <c r="F28" s="47">
        <v>2.0</v>
      </c>
      <c r="G28" s="47">
        <v>2.0</v>
      </c>
      <c r="H28" s="47">
        <v>1.0</v>
      </c>
      <c r="I28" s="48">
        <f t="shared" si="1"/>
        <v>10</v>
      </c>
      <c r="J28" s="49">
        <v>4.0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7.7</v>
      </c>
      <c r="F29" s="47">
        <v>0.0</v>
      </c>
      <c r="G29" s="47">
        <v>1.8</v>
      </c>
      <c r="H29" s="48"/>
      <c r="I29" s="48">
        <f t="shared" si="1"/>
        <v>9.5</v>
      </c>
      <c r="J29" s="49">
        <v>3.0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63</v>
      </c>
      <c r="C30" s="45" t="s">
        <v>66</v>
      </c>
      <c r="D30" s="46" t="s">
        <v>67</v>
      </c>
      <c r="E30" s="47">
        <v>3.1</v>
      </c>
      <c r="F30" s="47">
        <v>1.0</v>
      </c>
      <c r="G30" s="47">
        <v>2.0</v>
      </c>
      <c r="H30" s="48"/>
      <c r="I30" s="48">
        <f t="shared" si="1"/>
        <v>6.1</v>
      </c>
      <c r="J30" s="49">
        <v>7.0</v>
      </c>
      <c r="K30" s="50">
        <f t="shared" si="2"/>
        <v>6</v>
      </c>
      <c r="L30" s="44"/>
      <c r="M30" s="51">
        <f t="shared" si="3"/>
        <v>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59</v>
      </c>
      <c r="C31" s="45" t="s">
        <v>68</v>
      </c>
      <c r="D31" s="46" t="s">
        <v>69</v>
      </c>
      <c r="E31" s="47">
        <v>5.0</v>
      </c>
      <c r="F31" s="47">
        <v>2.6</v>
      </c>
      <c r="G31" s="47">
        <v>2.0</v>
      </c>
      <c r="H31" s="47">
        <v>1.0</v>
      </c>
      <c r="I31" s="48">
        <f t="shared" si="1"/>
        <v>10.6</v>
      </c>
      <c r="J31" s="49">
        <v>0.0</v>
      </c>
      <c r="K31" s="50">
        <f t="shared" si="2"/>
        <v>10</v>
      </c>
      <c r="L31" s="44"/>
      <c r="M31" s="51">
        <f t="shared" si="3"/>
        <v>11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70</v>
      </c>
      <c r="C32" s="45" t="s">
        <v>71</v>
      </c>
      <c r="D32" s="46" t="s">
        <v>72</v>
      </c>
      <c r="E32" s="47">
        <v>4.3</v>
      </c>
      <c r="F32" s="47">
        <v>1.9</v>
      </c>
      <c r="G32" s="47">
        <v>2.0</v>
      </c>
      <c r="H32" s="48"/>
      <c r="I32" s="48">
        <f t="shared" si="1"/>
        <v>8.2</v>
      </c>
      <c r="J32" s="49">
        <v>0.0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74</v>
      </c>
      <c r="D33" s="46" t="s">
        <v>75</v>
      </c>
      <c r="E33" s="47">
        <v>4.9</v>
      </c>
      <c r="F33" s="47">
        <v>2.0</v>
      </c>
      <c r="G33" s="47">
        <v>1.2</v>
      </c>
      <c r="H33" s="47">
        <v>1.0</v>
      </c>
      <c r="I33" s="48">
        <f t="shared" si="1"/>
        <v>9.1</v>
      </c>
      <c r="J33" s="49">
        <v>1.0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76</v>
      </c>
      <c r="C34" s="45" t="s">
        <v>77</v>
      </c>
      <c r="D34" s="46" t="s">
        <v>78</v>
      </c>
      <c r="E34" s="47">
        <v>0.0</v>
      </c>
      <c r="F34" s="47">
        <v>1.7</v>
      </c>
      <c r="G34" s="47">
        <v>0.0</v>
      </c>
      <c r="H34" s="48"/>
      <c r="I34" s="48">
        <f t="shared" si="1"/>
        <v>1.7</v>
      </c>
      <c r="J34" s="49">
        <v>4.0</v>
      </c>
      <c r="K34" s="50">
        <f t="shared" si="2"/>
        <v>5</v>
      </c>
      <c r="L34" s="44"/>
      <c r="M34" s="51">
        <f t="shared" si="3"/>
        <v>1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3.5</v>
      </c>
      <c r="F35" s="47">
        <v>1.1</v>
      </c>
      <c r="G35" s="47">
        <v>2.0</v>
      </c>
      <c r="H35" s="48"/>
      <c r="I35" s="48">
        <f t="shared" si="1"/>
        <v>6.6</v>
      </c>
      <c r="J35" s="49">
        <v>5.0</v>
      </c>
      <c r="K35" s="50">
        <f t="shared" si="2"/>
        <v>7</v>
      </c>
      <c r="L35" s="44"/>
      <c r="M35" s="51">
        <f t="shared" si="3"/>
        <v>7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82</v>
      </c>
      <c r="C36" s="45" t="s">
        <v>79</v>
      </c>
      <c r="D36" s="46" t="s">
        <v>83</v>
      </c>
      <c r="E36" s="47">
        <v>4.7</v>
      </c>
      <c r="F36" s="47">
        <v>2.0</v>
      </c>
      <c r="G36" s="47">
        <v>1.2</v>
      </c>
      <c r="H36" s="47">
        <v>1.0</v>
      </c>
      <c r="I36" s="48">
        <f t="shared" si="1"/>
        <v>8.9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3.5</v>
      </c>
      <c r="F37" s="47">
        <v>0.8</v>
      </c>
      <c r="G37" s="47">
        <v>2.0</v>
      </c>
      <c r="H37" s="48"/>
      <c r="I37" s="48">
        <f t="shared" si="1"/>
        <v>6.3</v>
      </c>
      <c r="J37" s="49">
        <v>1.0</v>
      </c>
      <c r="K37" s="50">
        <f t="shared" si="2"/>
        <v>6</v>
      </c>
      <c r="L37" s="44"/>
      <c r="M37" s="51">
        <f t="shared" si="3"/>
        <v>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59</v>
      </c>
      <c r="D38" s="46" t="s">
        <v>88</v>
      </c>
      <c r="E38" s="47">
        <v>5.0</v>
      </c>
      <c r="F38" s="47">
        <v>2.3</v>
      </c>
      <c r="G38" s="47">
        <v>2.0</v>
      </c>
      <c r="H38" s="47">
        <v>1.0</v>
      </c>
      <c r="I38" s="48">
        <f t="shared" si="1"/>
        <v>10.3</v>
      </c>
      <c r="J38" s="49">
        <v>2.0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90</v>
      </c>
      <c r="D39" s="46" t="s">
        <v>91</v>
      </c>
      <c r="E39" s="47">
        <v>4.9</v>
      </c>
      <c r="F39" s="47">
        <v>1.7</v>
      </c>
      <c r="G39" s="47">
        <v>2.0</v>
      </c>
      <c r="H39" s="47">
        <v>1.0</v>
      </c>
      <c r="I39" s="48">
        <f t="shared" si="1"/>
        <v>9.6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92</v>
      </c>
      <c r="C40" s="45" t="s">
        <v>93</v>
      </c>
      <c r="D40" s="46" t="s">
        <v>94</v>
      </c>
      <c r="E40" s="47">
        <v>3.3</v>
      </c>
      <c r="F40" s="47">
        <v>0.9</v>
      </c>
      <c r="G40" s="47">
        <v>2.0</v>
      </c>
      <c r="H40" s="48"/>
      <c r="I40" s="48">
        <f t="shared" si="1"/>
        <v>6.2</v>
      </c>
      <c r="J40" s="49">
        <v>4.0</v>
      </c>
      <c r="K40" s="50">
        <f t="shared" si="2"/>
        <v>6</v>
      </c>
      <c r="L40" s="44"/>
      <c r="M40" s="51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4.1</v>
      </c>
      <c r="F41" s="47">
        <v>0.5</v>
      </c>
      <c r="G41" s="47">
        <v>2.0</v>
      </c>
      <c r="H41" s="48"/>
      <c r="I41" s="48">
        <f t="shared" si="1"/>
        <v>6.6</v>
      </c>
      <c r="J41" s="49">
        <v>5.0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98</v>
      </c>
      <c r="C42" s="45" t="s">
        <v>99</v>
      </c>
      <c r="D42" s="46" t="s">
        <v>100</v>
      </c>
      <c r="E42" s="47">
        <v>3.3</v>
      </c>
      <c r="F42" s="47">
        <v>1.7</v>
      </c>
      <c r="G42" s="47">
        <v>2.0</v>
      </c>
      <c r="H42" s="48"/>
      <c r="I42" s="48">
        <f t="shared" si="1"/>
        <v>7</v>
      </c>
      <c r="J42" s="49">
        <v>2.0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101</v>
      </c>
      <c r="C43" s="45" t="s">
        <v>102</v>
      </c>
      <c r="D43" s="46" t="s">
        <v>103</v>
      </c>
      <c r="E43" s="47">
        <v>4.7</v>
      </c>
      <c r="F43" s="47">
        <v>1.1</v>
      </c>
      <c r="G43" s="47">
        <v>2.0</v>
      </c>
      <c r="H43" s="48"/>
      <c r="I43" s="48">
        <f t="shared" si="1"/>
        <v>7.8</v>
      </c>
      <c r="J43" s="49">
        <v>0.0</v>
      </c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71</v>
      </c>
      <c r="C44" s="45" t="s">
        <v>104</v>
      </c>
      <c r="D44" s="46" t="s">
        <v>48</v>
      </c>
      <c r="E44" s="47">
        <v>3.0</v>
      </c>
      <c r="F44" s="47">
        <v>1.0</v>
      </c>
      <c r="G44" s="47">
        <v>2.0</v>
      </c>
      <c r="H44" s="48"/>
      <c r="I44" s="48">
        <f t="shared" si="1"/>
        <v>6</v>
      </c>
      <c r="J44" s="49">
        <v>6.0</v>
      </c>
      <c r="K44" s="50">
        <f t="shared" si="2"/>
        <v>6</v>
      </c>
      <c r="L44" s="44"/>
      <c r="M44" s="51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71</v>
      </c>
      <c r="C45" s="45" t="s">
        <v>105</v>
      </c>
      <c r="D45" s="46" t="s">
        <v>106</v>
      </c>
      <c r="E45" s="47">
        <v>5.0</v>
      </c>
      <c r="F45" s="47">
        <v>1.8</v>
      </c>
      <c r="G45" s="47">
        <v>1.8</v>
      </c>
      <c r="H45" s="47">
        <v>1.0</v>
      </c>
      <c r="I45" s="48">
        <f t="shared" si="1"/>
        <v>9.6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71</v>
      </c>
      <c r="C46" s="45" t="s">
        <v>107</v>
      </c>
      <c r="D46" s="46" t="s">
        <v>108</v>
      </c>
      <c r="E46" s="47">
        <v>5.0</v>
      </c>
      <c r="F46" s="47">
        <v>2.0</v>
      </c>
      <c r="G46" s="47">
        <v>2.0</v>
      </c>
      <c r="H46" s="47">
        <v>1.0</v>
      </c>
      <c r="I46" s="48">
        <f t="shared" si="1"/>
        <v>10</v>
      </c>
      <c r="J46" s="49">
        <v>2.0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109</v>
      </c>
      <c r="C47" s="45" t="s">
        <v>63</v>
      </c>
      <c r="D47" s="46" t="s">
        <v>110</v>
      </c>
      <c r="E47" s="47">
        <v>3.6</v>
      </c>
      <c r="F47" s="47">
        <v>2.0</v>
      </c>
      <c r="G47" s="47">
        <v>2.0</v>
      </c>
      <c r="H47" s="48"/>
      <c r="I47" s="48">
        <f t="shared" si="1"/>
        <v>7.6</v>
      </c>
      <c r="J47" s="49">
        <v>6.0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3.4</v>
      </c>
      <c r="F48" s="47">
        <v>1.5</v>
      </c>
      <c r="G48" s="47">
        <v>2.0</v>
      </c>
      <c r="H48" s="48"/>
      <c r="I48" s="48">
        <f t="shared" si="1"/>
        <v>6.9</v>
      </c>
      <c r="J48" s="49">
        <v>4.0</v>
      </c>
      <c r="K48" s="50">
        <f t="shared" si="2"/>
        <v>7</v>
      </c>
      <c r="L48" s="44"/>
      <c r="M48" s="51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115</v>
      </c>
      <c r="D49" s="46" t="s">
        <v>116</v>
      </c>
      <c r="E49" s="47">
        <v>4.1</v>
      </c>
      <c r="F49" s="47">
        <v>1.5</v>
      </c>
      <c r="G49" s="47">
        <v>2.0</v>
      </c>
      <c r="H49" s="48"/>
      <c r="I49" s="48">
        <f t="shared" si="1"/>
        <v>7.6</v>
      </c>
      <c r="J49" s="49">
        <v>3.0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117</v>
      </c>
      <c r="C50" s="45" t="s">
        <v>57</v>
      </c>
      <c r="D50" s="46" t="s">
        <v>118</v>
      </c>
      <c r="E50" s="47">
        <v>4.6</v>
      </c>
      <c r="F50" s="47">
        <v>1.9</v>
      </c>
      <c r="G50" s="47">
        <v>1.2</v>
      </c>
      <c r="H50" s="48"/>
      <c r="I50" s="48">
        <f t="shared" si="1"/>
        <v>7.7</v>
      </c>
      <c r="J50" s="49">
        <v>3.0</v>
      </c>
      <c r="K50" s="50">
        <f t="shared" si="2"/>
        <v>8</v>
      </c>
      <c r="L50" s="44"/>
      <c r="M50" s="51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85</v>
      </c>
      <c r="C51" s="45" t="s">
        <v>35</v>
      </c>
      <c r="D51" s="46" t="s">
        <v>119</v>
      </c>
      <c r="E51" s="47">
        <v>3.4</v>
      </c>
      <c r="F51" s="47">
        <v>0.9</v>
      </c>
      <c r="G51" s="47">
        <v>1.8</v>
      </c>
      <c r="H51" s="48"/>
      <c r="I51" s="48">
        <f t="shared" si="1"/>
        <v>6.1</v>
      </c>
      <c r="J51" s="49">
        <v>1.0</v>
      </c>
      <c r="K51" s="50">
        <f t="shared" si="2"/>
        <v>6</v>
      </c>
      <c r="L51" s="44"/>
      <c r="M51" s="51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120</v>
      </c>
      <c r="C52" s="45" t="s">
        <v>79</v>
      </c>
      <c r="D52" s="46" t="s">
        <v>121</v>
      </c>
      <c r="E52" s="47">
        <v>3.9</v>
      </c>
      <c r="F52" s="47">
        <v>2.3</v>
      </c>
      <c r="G52" s="47">
        <v>2.0</v>
      </c>
      <c r="H52" s="48"/>
      <c r="I52" s="48">
        <f t="shared" si="1"/>
        <v>8.2</v>
      </c>
      <c r="J52" s="49">
        <v>2.0</v>
      </c>
      <c r="K52" s="50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122</v>
      </c>
      <c r="C53" s="45" t="s">
        <v>123</v>
      </c>
      <c r="D53" s="46" t="s">
        <v>124</v>
      </c>
      <c r="E53" s="47">
        <v>4.9</v>
      </c>
      <c r="F53" s="47">
        <v>2.3</v>
      </c>
      <c r="G53" s="47">
        <v>2.0</v>
      </c>
      <c r="H53" s="47">
        <v>1.0</v>
      </c>
      <c r="I53" s="48">
        <f t="shared" si="1"/>
        <v>10.2</v>
      </c>
      <c r="J53" s="49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125</v>
      </c>
      <c r="C54" s="45" t="s">
        <v>59</v>
      </c>
      <c r="D54" s="46" t="s">
        <v>126</v>
      </c>
      <c r="E54" s="47">
        <v>2.2</v>
      </c>
      <c r="F54" s="47">
        <v>2.3</v>
      </c>
      <c r="G54" s="47">
        <v>2.0</v>
      </c>
      <c r="H54" s="48"/>
      <c r="I54" s="48">
        <f t="shared" si="1"/>
        <v>6.5</v>
      </c>
      <c r="J54" s="49">
        <v>3.0</v>
      </c>
      <c r="K54" s="50">
        <f t="shared" si="2"/>
        <v>7</v>
      </c>
      <c r="L54" s="44"/>
      <c r="M54" s="45">
        <f t="shared" si="3"/>
        <v>7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127</v>
      </c>
      <c r="C55" s="45" t="s">
        <v>93</v>
      </c>
      <c r="D55" s="46" t="s">
        <v>128</v>
      </c>
      <c r="E55" s="47">
        <v>2.4</v>
      </c>
      <c r="F55" s="47">
        <v>1.9</v>
      </c>
      <c r="G55" s="47">
        <v>2.0</v>
      </c>
      <c r="H55" s="48"/>
      <c r="I55" s="48">
        <f t="shared" si="1"/>
        <v>6.3</v>
      </c>
      <c r="J55" s="49">
        <v>0.0</v>
      </c>
      <c r="K55" s="50">
        <f t="shared" si="2"/>
        <v>6</v>
      </c>
      <c r="L55" s="44"/>
      <c r="M55" s="45">
        <f t="shared" si="3"/>
        <v>6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129</v>
      </c>
      <c r="C56" s="45" t="s">
        <v>90</v>
      </c>
      <c r="D56" s="45" t="s">
        <v>130</v>
      </c>
      <c r="E56" s="47">
        <v>3.5</v>
      </c>
      <c r="F56" s="47">
        <v>2.0</v>
      </c>
      <c r="G56" s="47">
        <v>2.0</v>
      </c>
      <c r="H56" s="48"/>
      <c r="I56" s="48">
        <f t="shared" si="1"/>
        <v>7.5</v>
      </c>
      <c r="J56" s="49">
        <v>1.0</v>
      </c>
      <c r="K56" s="50">
        <f t="shared" si="2"/>
        <v>8</v>
      </c>
      <c r="L56" s="44"/>
      <c r="M56" s="45">
        <f t="shared" si="3"/>
        <v>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131</v>
      </c>
      <c r="C57" s="45" t="s">
        <v>59</v>
      </c>
      <c r="D57" s="45" t="s">
        <v>132</v>
      </c>
      <c r="E57" s="47">
        <v>4.9</v>
      </c>
      <c r="F57" s="47">
        <v>1.4</v>
      </c>
      <c r="G57" s="47">
        <v>1.2</v>
      </c>
      <c r="H57" s="47">
        <v>2.0</v>
      </c>
      <c r="I57" s="48">
        <f t="shared" si="1"/>
        <v>9.5</v>
      </c>
      <c r="J57" s="49">
        <v>0.0</v>
      </c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133</v>
      </c>
      <c r="C58" s="45" t="s">
        <v>134</v>
      </c>
      <c r="D58" s="54" t="s">
        <v>135</v>
      </c>
      <c r="E58" s="47">
        <v>1.9</v>
      </c>
      <c r="F58" s="47">
        <v>0.0</v>
      </c>
      <c r="G58" s="47">
        <v>2.0</v>
      </c>
      <c r="H58" s="48"/>
      <c r="I58" s="48">
        <f t="shared" si="1"/>
        <v>3.9</v>
      </c>
      <c r="J58" s="49">
        <v>0.0</v>
      </c>
      <c r="K58" s="50">
        <f t="shared" si="2"/>
        <v>5</v>
      </c>
      <c r="L58" s="44"/>
      <c r="M58" s="45">
        <f t="shared" si="3"/>
        <v>3</v>
      </c>
      <c r="N58" s="1"/>
      <c r="O58" s="1"/>
      <c r="P58" s="2"/>
      <c r="Q58" s="2"/>
      <c r="R58" s="2"/>
    </row>
    <row r="59" ht="24.75" customHeight="1">
      <c r="A59" s="6"/>
      <c r="B59" s="55"/>
      <c r="C59" s="55"/>
      <c r="D59" s="56"/>
      <c r="E59" s="57"/>
      <c r="F59" s="57"/>
      <c r="G59" s="57"/>
      <c r="H59" s="57"/>
      <c r="I59" s="57"/>
      <c r="J59" s="57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58" t="s">
        <v>136</v>
      </c>
      <c r="C60" s="59"/>
      <c r="D60" s="60">
        <f>COUNT(A17:A58)</f>
        <v>42</v>
      </c>
      <c r="E60" s="57"/>
      <c r="F60" s="57"/>
      <c r="G60" s="61" t="s">
        <v>137</v>
      </c>
      <c r="H60" s="57"/>
      <c r="I60" s="61" t="s">
        <v>138</v>
      </c>
      <c r="K60" s="62" t="s">
        <v>139</v>
      </c>
      <c r="L60" s="63" t="s">
        <v>140</v>
      </c>
      <c r="M60" s="55"/>
      <c r="N60" s="1"/>
      <c r="O60" s="1"/>
      <c r="P60" s="2"/>
      <c r="Q60" s="2"/>
      <c r="R60" s="2"/>
    </row>
    <row r="61" ht="24.75" customHeight="1">
      <c r="A61" s="1"/>
      <c r="B61" s="64" t="s">
        <v>141</v>
      </c>
      <c r="C61" s="65"/>
      <c r="D61" s="66">
        <f>COUNTIF(K17:K58,"BAJA")</f>
        <v>0</v>
      </c>
      <c r="E61" s="57"/>
      <c r="F61" s="57"/>
      <c r="H61" s="57"/>
      <c r="L61" s="9"/>
      <c r="M61" s="55"/>
      <c r="N61" s="1"/>
      <c r="O61" s="1"/>
      <c r="P61" s="2"/>
      <c r="Q61" s="2"/>
      <c r="R61" s="2"/>
    </row>
    <row r="62" ht="24.75" customHeight="1">
      <c r="A62" s="1"/>
      <c r="B62" s="64" t="s">
        <v>142</v>
      </c>
      <c r="C62" s="65"/>
      <c r="D62" s="67">
        <f>D60-D61</f>
        <v>42</v>
      </c>
      <c r="E62" s="57"/>
      <c r="F62" s="57"/>
      <c r="G62" s="57"/>
      <c r="H62" s="57"/>
      <c r="I62" s="57"/>
      <c r="J62" s="57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4" t="s">
        <v>143</v>
      </c>
      <c r="C63" s="65"/>
      <c r="D63" s="67">
        <f>COUNTIF(K17:K58,"&gt;=6")</f>
        <v>38</v>
      </c>
      <c r="E63" s="57"/>
      <c r="F63" s="57"/>
      <c r="G63" s="57"/>
      <c r="H63" s="57"/>
      <c r="I63" s="57"/>
      <c r="J63" s="57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64" t="s">
        <v>144</v>
      </c>
      <c r="C64" s="65"/>
      <c r="D64" s="67">
        <f>D62-D63</f>
        <v>4</v>
      </c>
      <c r="E64" s="57"/>
      <c r="F64" s="57"/>
      <c r="G64" s="68"/>
      <c r="H64" s="57"/>
      <c r="I64" s="68"/>
      <c r="J64" s="68"/>
      <c r="K64" s="69"/>
      <c r="L64" s="70"/>
      <c r="M64" s="55"/>
      <c r="N64" s="1"/>
      <c r="O64" s="1"/>
      <c r="P64" s="2"/>
      <c r="Q64" s="2"/>
      <c r="R64" s="2"/>
    </row>
    <row r="65" ht="24.75" customHeight="1">
      <c r="A65" s="1"/>
      <c r="B65" s="64" t="s">
        <v>145</v>
      </c>
      <c r="C65" s="65"/>
      <c r="D65" s="71">
        <f>D63*100/D62</f>
        <v>90.47619048</v>
      </c>
      <c r="E65" s="57"/>
      <c r="F65" s="57"/>
      <c r="G65" s="72" t="s">
        <v>146</v>
      </c>
      <c r="H65" s="73"/>
      <c r="I65" s="74" t="s">
        <v>147</v>
      </c>
      <c r="K65" s="75" t="s">
        <v>148</v>
      </c>
      <c r="L65" s="76" t="s">
        <v>149</v>
      </c>
      <c r="M65" s="55"/>
      <c r="N65" s="1"/>
      <c r="O65" s="1"/>
      <c r="P65" s="2"/>
      <c r="Q65" s="2"/>
      <c r="R65" s="2"/>
    </row>
    <row r="66" ht="24.75" customHeight="1">
      <c r="A66" s="1"/>
      <c r="B66" s="77" t="s">
        <v>150</v>
      </c>
      <c r="C66" s="78"/>
      <c r="D66" s="79">
        <f>AVERAGE(K17:K58)</f>
        <v>7.785714286</v>
      </c>
      <c r="E66" s="57"/>
      <c r="F66" s="57"/>
      <c r="L66" s="9"/>
      <c r="M66" s="55"/>
      <c r="N66" s="1"/>
      <c r="O66" s="1"/>
      <c r="P66" s="2"/>
      <c r="Q66" s="2"/>
      <c r="R66" s="2"/>
    </row>
    <row r="67" ht="24.75" customHeight="1">
      <c r="A67" s="80"/>
      <c r="B67" s="81"/>
      <c r="C67" s="81"/>
      <c r="D67" s="81"/>
      <c r="E67" s="82"/>
      <c r="F67" s="82"/>
      <c r="G67" s="82"/>
      <c r="H67" s="82"/>
      <c r="I67" s="82"/>
      <c r="J67" s="83"/>
      <c r="K67" s="81"/>
      <c r="L67" s="84"/>
      <c r="M67" s="81"/>
      <c r="N67" s="2"/>
      <c r="O67" s="2"/>
      <c r="P67" s="2"/>
      <c r="Q67" s="2"/>
      <c r="R67" s="2"/>
    </row>
    <row r="68" ht="24.75" customHeight="1">
      <c r="A68" s="85"/>
      <c r="B68" s="86"/>
      <c r="C68" s="87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3"/>
      <c r="E69" s="88"/>
      <c r="F69" s="88"/>
      <c r="G69" s="82"/>
      <c r="H69" s="82"/>
      <c r="I69" s="82"/>
      <c r="J69" s="82"/>
      <c r="K69" s="81"/>
      <c r="L69" s="84"/>
      <c r="M69" s="81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93"/>
      <c r="E70" s="88"/>
      <c r="F70" s="88"/>
      <c r="G70" s="82"/>
      <c r="H70" s="82"/>
      <c r="I70" s="82"/>
      <c r="J70" s="82"/>
      <c r="K70" s="81"/>
      <c r="L70" s="94"/>
      <c r="M70" s="81"/>
      <c r="N70" s="2"/>
      <c r="O70" s="2"/>
      <c r="P70" s="2"/>
      <c r="Q70" s="2"/>
      <c r="R70" s="2"/>
    </row>
    <row r="71" ht="24.75" customHeight="1">
      <c r="A71" s="95"/>
      <c r="B71" s="96"/>
      <c r="C71" s="96"/>
      <c r="D71" s="97"/>
      <c r="E71" s="98"/>
      <c r="F71" s="98"/>
      <c r="G71" s="99"/>
      <c r="H71" s="99"/>
      <c r="I71" s="99"/>
      <c r="J71" s="100"/>
      <c r="K71" s="101"/>
      <c r="L71" s="102"/>
      <c r="M71" s="81"/>
      <c r="N71" s="2"/>
      <c r="O71" s="2"/>
      <c r="P71" s="2"/>
      <c r="Q71" s="2"/>
      <c r="R71" s="2"/>
    </row>
    <row r="72" ht="21.75" customHeight="1">
      <c r="A72" s="103"/>
      <c r="B72" s="89"/>
      <c r="C72" s="89"/>
      <c r="D72" s="104"/>
      <c r="E72" s="104"/>
      <c r="F72" s="104"/>
      <c r="G72" s="2"/>
      <c r="H72" s="2"/>
      <c r="I72" s="2"/>
      <c r="J72" s="2"/>
      <c r="K72" s="105"/>
      <c r="L72" s="105"/>
      <c r="M72" s="105"/>
      <c r="N72" s="2"/>
      <c r="O72" s="2"/>
      <c r="P72" s="2"/>
      <c r="Q72" s="2"/>
      <c r="R72" s="2"/>
    </row>
    <row r="73" ht="21.75" customHeight="1">
      <c r="A73" s="103"/>
      <c r="B73" s="104"/>
      <c r="C73" s="104"/>
      <c r="D73" s="104"/>
      <c r="E73" s="104"/>
      <c r="F73" s="104"/>
      <c r="G73" s="2"/>
      <c r="H73" s="2"/>
      <c r="I73" s="2"/>
      <c r="J73" s="2"/>
      <c r="K73" s="105"/>
      <c r="L73" s="105"/>
      <c r="M73" s="105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H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1" priority="2" stopIfTrue="1" operator="equal">
      <formula>5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47</v>
      </c>
      <c r="C17" s="45" t="s">
        <v>105</v>
      </c>
      <c r="D17" s="46" t="s">
        <v>151</v>
      </c>
      <c r="E17" s="47">
        <v>4.8</v>
      </c>
      <c r="F17" s="47">
        <v>1.0</v>
      </c>
      <c r="G17" s="47">
        <v>2.0</v>
      </c>
      <c r="H17" s="47">
        <v>1.0</v>
      </c>
      <c r="I17" s="48">
        <f t="shared" ref="I17:I51" si="1">SUM(E17:H17)</f>
        <v>8.8</v>
      </c>
      <c r="J17" s="49">
        <v>4.0</v>
      </c>
      <c r="K17" s="50">
        <f t="shared" ref="K17:K51" si="2">IF(SUM(E17:H17)&lt;6, 5, MIN(10, ROUND(SUM(E17:H17), 0)))</f>
        <v>9</v>
      </c>
      <c r="L17" s="45"/>
      <c r="M17" s="51">
        <f t="shared" ref="M17:M51" si="3">IF(I17&gt;=6,ROUND(I17,0),TRUNC(I17,0))</f>
        <v>9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152</v>
      </c>
      <c r="C18" s="45" t="s">
        <v>79</v>
      </c>
      <c r="D18" s="46" t="s">
        <v>153</v>
      </c>
      <c r="E18" s="47">
        <v>2.5</v>
      </c>
      <c r="F18" s="47">
        <v>2.1</v>
      </c>
      <c r="G18" s="47">
        <v>2.0</v>
      </c>
      <c r="H18" s="48"/>
      <c r="I18" s="48">
        <f t="shared" si="1"/>
        <v>6.6</v>
      </c>
      <c r="J18" s="49">
        <v>4.0</v>
      </c>
      <c r="K18" s="50">
        <f t="shared" si="2"/>
        <v>7</v>
      </c>
      <c r="L18" s="44"/>
      <c r="M18" s="51">
        <f t="shared" si="3"/>
        <v>7</v>
      </c>
      <c r="N18" s="53" t="s">
        <v>30</v>
      </c>
      <c r="O18" s="49">
        <v>10.0</v>
      </c>
      <c r="P18" s="2"/>
      <c r="Q18" s="2"/>
      <c r="R18" s="2"/>
    </row>
    <row r="19" ht="24.75" customHeight="1">
      <c r="A19" s="44">
        <v>3.0</v>
      </c>
      <c r="B19" s="45" t="s">
        <v>154</v>
      </c>
      <c r="C19" s="45" t="s">
        <v>96</v>
      </c>
      <c r="D19" s="46" t="s">
        <v>155</v>
      </c>
      <c r="E19" s="47">
        <v>4.5</v>
      </c>
      <c r="F19" s="47">
        <v>2.2</v>
      </c>
      <c r="G19" s="47">
        <v>1.6</v>
      </c>
      <c r="H19" s="48"/>
      <c r="I19" s="48">
        <f t="shared" si="1"/>
        <v>8.3</v>
      </c>
      <c r="J19" s="49">
        <v>0.0</v>
      </c>
      <c r="K19" s="50">
        <f t="shared" si="2"/>
        <v>8</v>
      </c>
      <c r="L19" s="44"/>
      <c r="M19" s="51">
        <f t="shared" si="3"/>
        <v>8</v>
      </c>
      <c r="N19" s="53" t="s">
        <v>34</v>
      </c>
      <c r="O19" s="49">
        <v>14.0</v>
      </c>
      <c r="P19" s="2"/>
      <c r="Q19" s="2"/>
      <c r="R19" s="2"/>
    </row>
    <row r="20" ht="24.75" customHeight="1">
      <c r="A20" s="44">
        <v>4.0</v>
      </c>
      <c r="B20" s="45" t="s">
        <v>156</v>
      </c>
      <c r="C20" s="45" t="s">
        <v>157</v>
      </c>
      <c r="D20" s="46" t="s">
        <v>158</v>
      </c>
      <c r="E20" s="47">
        <v>3.2</v>
      </c>
      <c r="F20" s="47">
        <v>1.7</v>
      </c>
      <c r="G20" s="47">
        <v>2.0</v>
      </c>
      <c r="H20" s="48"/>
      <c r="I20" s="48">
        <f t="shared" si="1"/>
        <v>6.9</v>
      </c>
      <c r="J20" s="49">
        <v>6.0</v>
      </c>
      <c r="K20" s="50">
        <f t="shared" si="2"/>
        <v>7</v>
      </c>
      <c r="L20" s="44"/>
      <c r="M20" s="51">
        <f t="shared" si="3"/>
        <v>7</v>
      </c>
      <c r="N20" s="53" t="s">
        <v>38</v>
      </c>
      <c r="O20" s="49">
        <v>11.0</v>
      </c>
      <c r="P20" s="2"/>
      <c r="Q20" s="2"/>
      <c r="R20" s="2"/>
    </row>
    <row r="21" ht="24.75" customHeight="1">
      <c r="A21" s="44">
        <v>5.0</v>
      </c>
      <c r="B21" s="45" t="s">
        <v>159</v>
      </c>
      <c r="C21" s="45" t="s">
        <v>160</v>
      </c>
      <c r="D21" s="46" t="s">
        <v>161</v>
      </c>
      <c r="E21" s="47">
        <v>3.4</v>
      </c>
      <c r="F21" s="47">
        <v>2.0</v>
      </c>
      <c r="G21" s="47">
        <v>2.0</v>
      </c>
      <c r="H21" s="48"/>
      <c r="I21" s="48">
        <f t="shared" si="1"/>
        <v>7.4</v>
      </c>
      <c r="J21" s="49">
        <v>7.0</v>
      </c>
      <c r="K21" s="50">
        <f t="shared" si="2"/>
        <v>7</v>
      </c>
      <c r="L21" s="44"/>
      <c r="M21" s="51">
        <f t="shared" si="3"/>
        <v>7</v>
      </c>
      <c r="N21" s="53" t="s">
        <v>41</v>
      </c>
      <c r="O21" s="49">
        <v>15.0</v>
      </c>
      <c r="P21" s="2"/>
      <c r="Q21" s="2"/>
      <c r="R21" s="2"/>
    </row>
    <row r="22" ht="24.75" customHeight="1">
      <c r="A22" s="44">
        <v>6.0</v>
      </c>
      <c r="B22" s="45" t="s">
        <v>90</v>
      </c>
      <c r="C22" s="45" t="s">
        <v>162</v>
      </c>
      <c r="D22" s="46" t="s">
        <v>163</v>
      </c>
      <c r="E22" s="47">
        <v>4.8</v>
      </c>
      <c r="F22" s="47">
        <v>1.1</v>
      </c>
      <c r="G22" s="47">
        <v>2.0</v>
      </c>
      <c r="H22" s="47">
        <v>1.0</v>
      </c>
      <c r="I22" s="48">
        <f t="shared" si="1"/>
        <v>8.9</v>
      </c>
      <c r="J22" s="49">
        <v>1.0</v>
      </c>
      <c r="K22" s="50">
        <f t="shared" si="2"/>
        <v>9</v>
      </c>
      <c r="L22" s="44"/>
      <c r="M22" s="51">
        <f t="shared" si="3"/>
        <v>9</v>
      </c>
      <c r="N22" s="53" t="s">
        <v>45</v>
      </c>
      <c r="O22" s="49">
        <v>16.0</v>
      </c>
      <c r="P22" s="2"/>
      <c r="Q22" s="2"/>
      <c r="R22" s="2"/>
    </row>
    <row r="23" ht="24.75" customHeight="1">
      <c r="A23" s="44">
        <v>7.0</v>
      </c>
      <c r="B23" s="45" t="s">
        <v>90</v>
      </c>
      <c r="C23" s="45" t="s">
        <v>164</v>
      </c>
      <c r="D23" s="46" t="s">
        <v>165</v>
      </c>
      <c r="E23" s="47">
        <v>4.4</v>
      </c>
      <c r="F23" s="47">
        <v>1.6</v>
      </c>
      <c r="G23" s="47">
        <v>0.0</v>
      </c>
      <c r="H23" s="48"/>
      <c r="I23" s="48">
        <f t="shared" si="1"/>
        <v>6</v>
      </c>
      <c r="J23" s="49">
        <v>8.0</v>
      </c>
      <c r="K23" s="50">
        <f t="shared" si="2"/>
        <v>6</v>
      </c>
      <c r="L23" s="44"/>
      <c r="M23" s="51">
        <f t="shared" si="3"/>
        <v>6</v>
      </c>
      <c r="N23" s="53" t="s">
        <v>49</v>
      </c>
      <c r="O23" s="49">
        <v>8.0</v>
      </c>
      <c r="P23" s="2"/>
      <c r="Q23" s="2"/>
      <c r="R23" s="2"/>
    </row>
    <row r="24" ht="24.75" customHeight="1">
      <c r="A24" s="44">
        <v>8.0</v>
      </c>
      <c r="B24" s="45" t="s">
        <v>166</v>
      </c>
      <c r="C24" s="45" t="s">
        <v>167</v>
      </c>
      <c r="D24" s="46" t="s">
        <v>168</v>
      </c>
      <c r="E24" s="47">
        <v>1.7</v>
      </c>
      <c r="F24" s="47">
        <v>1.6</v>
      </c>
      <c r="G24" s="47">
        <v>0.0</v>
      </c>
      <c r="H24" s="48"/>
      <c r="I24" s="48">
        <f t="shared" si="1"/>
        <v>3.3</v>
      </c>
      <c r="J24" s="49">
        <v>6.0</v>
      </c>
      <c r="K24" s="50">
        <f t="shared" si="2"/>
        <v>5</v>
      </c>
      <c r="L24" s="44"/>
      <c r="M24" s="51">
        <f t="shared" si="3"/>
        <v>3</v>
      </c>
      <c r="N24" s="53" t="s">
        <v>53</v>
      </c>
      <c r="O24" s="53">
        <f>SUM(O18:O23)</f>
        <v>74</v>
      </c>
      <c r="P24" s="2"/>
      <c r="Q24" s="2"/>
      <c r="R24" s="2"/>
    </row>
    <row r="25" ht="24.75" customHeight="1">
      <c r="A25" s="44">
        <v>9.0</v>
      </c>
      <c r="B25" s="45" t="s">
        <v>46</v>
      </c>
      <c r="C25" s="45" t="s">
        <v>169</v>
      </c>
      <c r="D25" s="46" t="s">
        <v>170</v>
      </c>
      <c r="E25" s="47">
        <v>4.9</v>
      </c>
      <c r="F25" s="47">
        <v>2.3</v>
      </c>
      <c r="G25" s="47">
        <v>1.0</v>
      </c>
      <c r="H25" s="47">
        <v>1.0</v>
      </c>
      <c r="I25" s="48">
        <f t="shared" si="1"/>
        <v>9.2</v>
      </c>
      <c r="J25" s="49">
        <v>1.0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171</v>
      </c>
      <c r="C26" s="45" t="s">
        <v>172</v>
      </c>
      <c r="D26" s="46" t="s">
        <v>173</v>
      </c>
      <c r="E26" s="47">
        <v>0.6</v>
      </c>
      <c r="F26" s="47">
        <v>0.9</v>
      </c>
      <c r="G26" s="47">
        <v>0.0</v>
      </c>
      <c r="H26" s="48"/>
      <c r="I26" s="48">
        <f t="shared" si="1"/>
        <v>1.5</v>
      </c>
      <c r="J26" s="49">
        <v>2.0</v>
      </c>
      <c r="K26" s="50">
        <f t="shared" si="2"/>
        <v>5</v>
      </c>
      <c r="L26" s="44"/>
      <c r="M26" s="51">
        <f t="shared" si="3"/>
        <v>1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171</v>
      </c>
      <c r="C27" s="45" t="s">
        <v>174</v>
      </c>
      <c r="D27" s="45" t="s">
        <v>175</v>
      </c>
      <c r="E27" s="47">
        <v>2.4</v>
      </c>
      <c r="F27" s="47">
        <v>1.5</v>
      </c>
      <c r="G27" s="47">
        <v>0.0</v>
      </c>
      <c r="H27" s="48"/>
      <c r="I27" s="48">
        <f t="shared" si="1"/>
        <v>3.9</v>
      </c>
      <c r="J27" s="49">
        <v>1.0</v>
      </c>
      <c r="K27" s="50">
        <f t="shared" si="2"/>
        <v>5</v>
      </c>
      <c r="L27" s="44"/>
      <c r="M27" s="51">
        <f t="shared" si="3"/>
        <v>3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176</v>
      </c>
      <c r="C28" s="45" t="s">
        <v>177</v>
      </c>
      <c r="D28" s="46" t="s">
        <v>178</v>
      </c>
      <c r="E28" s="47">
        <v>4.1</v>
      </c>
      <c r="F28" s="47">
        <v>1.9</v>
      </c>
      <c r="G28" s="47">
        <v>0.0</v>
      </c>
      <c r="H28" s="48"/>
      <c r="I28" s="48">
        <f t="shared" si="1"/>
        <v>6</v>
      </c>
      <c r="J28" s="49">
        <v>0.0</v>
      </c>
      <c r="K28" s="50">
        <f t="shared" si="2"/>
        <v>6</v>
      </c>
      <c r="L28" s="44"/>
      <c r="M28" s="51">
        <f t="shared" si="3"/>
        <v>6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179</v>
      </c>
      <c r="C29" s="45" t="s">
        <v>63</v>
      </c>
      <c r="D29" s="46" t="s">
        <v>180</v>
      </c>
      <c r="E29" s="47">
        <v>4.7</v>
      </c>
      <c r="F29" s="47">
        <v>1.2</v>
      </c>
      <c r="G29" s="47">
        <v>2.0</v>
      </c>
      <c r="H29" s="47">
        <v>1.0</v>
      </c>
      <c r="I29" s="48">
        <f t="shared" si="1"/>
        <v>8.9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63</v>
      </c>
      <c r="C30" s="45" t="s">
        <v>57</v>
      </c>
      <c r="D30" s="46" t="s">
        <v>181</v>
      </c>
      <c r="E30" s="47">
        <v>4.5</v>
      </c>
      <c r="F30" s="47">
        <v>1.5</v>
      </c>
      <c r="G30" s="47">
        <v>0.0</v>
      </c>
      <c r="H30" s="48"/>
      <c r="I30" s="48">
        <f t="shared" si="1"/>
        <v>6</v>
      </c>
      <c r="J30" s="49">
        <v>4.0</v>
      </c>
      <c r="K30" s="50">
        <f t="shared" si="2"/>
        <v>6</v>
      </c>
      <c r="L30" s="44"/>
      <c r="M30" s="51">
        <f t="shared" si="3"/>
        <v>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182</v>
      </c>
      <c r="C31" s="45" t="s">
        <v>183</v>
      </c>
      <c r="D31" s="46" t="s">
        <v>184</v>
      </c>
      <c r="E31" s="47">
        <v>0.7</v>
      </c>
      <c r="F31" s="47">
        <v>1.8</v>
      </c>
      <c r="G31" s="47">
        <v>2.0</v>
      </c>
      <c r="H31" s="48"/>
      <c r="I31" s="48">
        <f t="shared" si="1"/>
        <v>4.5</v>
      </c>
      <c r="J31" s="49">
        <v>4.0</v>
      </c>
      <c r="K31" s="50">
        <f t="shared" si="2"/>
        <v>5</v>
      </c>
      <c r="L31" s="44"/>
      <c r="M31" s="51">
        <f t="shared" si="3"/>
        <v>4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59</v>
      </c>
      <c r="C32" s="45" t="s">
        <v>85</v>
      </c>
      <c r="D32" s="46" t="s">
        <v>185</v>
      </c>
      <c r="E32" s="47">
        <v>4.9</v>
      </c>
      <c r="F32" s="47">
        <v>1.7</v>
      </c>
      <c r="G32" s="47">
        <v>1.0</v>
      </c>
      <c r="H32" s="47">
        <v>1.0</v>
      </c>
      <c r="I32" s="48">
        <f t="shared" si="1"/>
        <v>8.6</v>
      </c>
      <c r="J32" s="49">
        <v>1.0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59</v>
      </c>
      <c r="C33" s="45" t="s">
        <v>186</v>
      </c>
      <c r="D33" s="46" t="s">
        <v>187</v>
      </c>
      <c r="E33" s="47">
        <v>1.6</v>
      </c>
      <c r="F33" s="47">
        <v>1.6</v>
      </c>
      <c r="G33" s="47">
        <v>0.0</v>
      </c>
      <c r="H33" s="48"/>
      <c r="I33" s="48">
        <f t="shared" si="1"/>
        <v>3.2</v>
      </c>
      <c r="J33" s="49">
        <v>7.0</v>
      </c>
      <c r="K33" s="50">
        <f t="shared" si="2"/>
        <v>5</v>
      </c>
      <c r="L33" s="44"/>
      <c r="M33" s="51">
        <f t="shared" si="3"/>
        <v>3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188</v>
      </c>
      <c r="C34" s="45" t="s">
        <v>189</v>
      </c>
      <c r="D34" s="46" t="s">
        <v>190</v>
      </c>
      <c r="E34" s="47">
        <v>4.5</v>
      </c>
      <c r="F34" s="47">
        <v>1.7</v>
      </c>
      <c r="G34" s="47">
        <v>2.0</v>
      </c>
      <c r="H34" s="47">
        <v>1.0</v>
      </c>
      <c r="I34" s="48">
        <f t="shared" si="1"/>
        <v>9.2</v>
      </c>
      <c r="J34" s="49">
        <v>3.0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79</v>
      </c>
      <c r="C35" s="45" t="s">
        <v>191</v>
      </c>
      <c r="D35" s="46" t="s">
        <v>192</v>
      </c>
      <c r="E35" s="47">
        <v>4.0</v>
      </c>
      <c r="F35" s="47">
        <v>1.0</v>
      </c>
      <c r="G35" s="47">
        <v>1.0</v>
      </c>
      <c r="H35" s="48"/>
      <c r="I35" s="48">
        <f t="shared" si="1"/>
        <v>6</v>
      </c>
      <c r="J35" s="49">
        <v>8.0</v>
      </c>
      <c r="K35" s="50">
        <f t="shared" si="2"/>
        <v>6</v>
      </c>
      <c r="L35" s="44"/>
      <c r="M35" s="51">
        <f t="shared" si="3"/>
        <v>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193</v>
      </c>
      <c r="C36" s="45" t="s">
        <v>194</v>
      </c>
      <c r="D36" s="46" t="s">
        <v>195</v>
      </c>
      <c r="E36" s="47">
        <v>2.4</v>
      </c>
      <c r="F36" s="47">
        <v>2.4</v>
      </c>
      <c r="G36" s="47">
        <v>1.6</v>
      </c>
      <c r="H36" s="47">
        <v>1.0</v>
      </c>
      <c r="I36" s="48">
        <f t="shared" si="1"/>
        <v>7.4</v>
      </c>
      <c r="J36" s="49">
        <v>6.0</v>
      </c>
      <c r="K36" s="50">
        <f t="shared" si="2"/>
        <v>7</v>
      </c>
      <c r="L36" s="44"/>
      <c r="M36" s="51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79</v>
      </c>
      <c r="D37" s="46" t="s">
        <v>196</v>
      </c>
      <c r="E37" s="47">
        <v>4.8</v>
      </c>
      <c r="F37" s="47">
        <v>1.7</v>
      </c>
      <c r="G37" s="47">
        <v>2.0</v>
      </c>
      <c r="H37" s="47">
        <v>1.0</v>
      </c>
      <c r="I37" s="48">
        <f t="shared" si="1"/>
        <v>9.5</v>
      </c>
      <c r="J37" s="49">
        <v>5.0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197</v>
      </c>
      <c r="C38" s="45" t="s">
        <v>198</v>
      </c>
      <c r="D38" s="46" t="s">
        <v>199</v>
      </c>
      <c r="E38" s="47">
        <v>3.0</v>
      </c>
      <c r="F38" s="47">
        <v>1.4</v>
      </c>
      <c r="G38" s="47">
        <v>1.6</v>
      </c>
      <c r="H38" s="48"/>
      <c r="I38" s="48">
        <f t="shared" si="1"/>
        <v>6</v>
      </c>
      <c r="J38" s="49">
        <v>7.0</v>
      </c>
      <c r="K38" s="50">
        <f t="shared" si="2"/>
        <v>6</v>
      </c>
      <c r="L38" s="44"/>
      <c r="M38" s="51">
        <f t="shared" si="3"/>
        <v>6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200</v>
      </c>
      <c r="C39" s="45" t="s">
        <v>201</v>
      </c>
      <c r="D39" s="46" t="s">
        <v>202</v>
      </c>
      <c r="E39" s="47">
        <v>2.2</v>
      </c>
      <c r="F39" s="47">
        <v>1.8</v>
      </c>
      <c r="G39" s="47">
        <v>2.0</v>
      </c>
      <c r="H39" s="48"/>
      <c r="I39" s="48">
        <f t="shared" si="1"/>
        <v>6</v>
      </c>
      <c r="J39" s="49">
        <v>7.0</v>
      </c>
      <c r="K39" s="50">
        <f t="shared" si="2"/>
        <v>6</v>
      </c>
      <c r="L39" s="44"/>
      <c r="M39" s="51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203</v>
      </c>
      <c r="C40" s="45" t="s">
        <v>76</v>
      </c>
      <c r="D40" s="46" t="s">
        <v>204</v>
      </c>
      <c r="E40" s="47">
        <v>4.0</v>
      </c>
      <c r="F40" s="47">
        <v>1.4</v>
      </c>
      <c r="G40" s="47">
        <v>1.0</v>
      </c>
      <c r="H40" s="48"/>
      <c r="I40" s="48">
        <f t="shared" si="1"/>
        <v>6.4</v>
      </c>
      <c r="J40" s="49">
        <v>6.0</v>
      </c>
      <c r="K40" s="50">
        <f t="shared" si="2"/>
        <v>6</v>
      </c>
      <c r="L40" s="44"/>
      <c r="M40" s="51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205</v>
      </c>
      <c r="C41" s="45" t="s">
        <v>206</v>
      </c>
      <c r="D41" s="46" t="s">
        <v>207</v>
      </c>
      <c r="E41" s="47">
        <v>4.0</v>
      </c>
      <c r="F41" s="47">
        <v>1.6</v>
      </c>
      <c r="G41" s="47">
        <v>1.6</v>
      </c>
      <c r="H41" s="47">
        <v>1.0</v>
      </c>
      <c r="I41" s="48">
        <f t="shared" si="1"/>
        <v>8.2</v>
      </c>
      <c r="J41" s="49">
        <v>3.0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208</v>
      </c>
      <c r="C42" s="45" t="s">
        <v>209</v>
      </c>
      <c r="D42" s="46" t="s">
        <v>210</v>
      </c>
      <c r="E42" s="47">
        <v>3.5</v>
      </c>
      <c r="F42" s="47">
        <v>1.1</v>
      </c>
      <c r="G42" s="47">
        <v>2.0</v>
      </c>
      <c r="H42" s="48"/>
      <c r="I42" s="48">
        <f t="shared" si="1"/>
        <v>6.6</v>
      </c>
      <c r="J42" s="49">
        <v>8.0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71</v>
      </c>
      <c r="C43" s="45" t="s">
        <v>211</v>
      </c>
      <c r="D43" s="46" t="s">
        <v>212</v>
      </c>
      <c r="E43" s="47">
        <v>5.0</v>
      </c>
      <c r="F43" s="47">
        <v>0.0</v>
      </c>
      <c r="G43" s="47">
        <v>1.0</v>
      </c>
      <c r="H43" s="48"/>
      <c r="I43" s="48">
        <f t="shared" si="1"/>
        <v>6</v>
      </c>
      <c r="J43" s="49">
        <v>6.0</v>
      </c>
      <c r="K43" s="50">
        <f t="shared" si="2"/>
        <v>6</v>
      </c>
      <c r="L43" s="44"/>
      <c r="M43" s="51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71</v>
      </c>
      <c r="C44" s="45" t="s">
        <v>213</v>
      </c>
      <c r="D44" s="46" t="s">
        <v>214</v>
      </c>
      <c r="E44" s="47">
        <v>4.0</v>
      </c>
      <c r="F44" s="47">
        <v>1.0</v>
      </c>
      <c r="G44" s="47">
        <v>1.0</v>
      </c>
      <c r="H44" s="48"/>
      <c r="I44" s="48">
        <f t="shared" si="1"/>
        <v>6</v>
      </c>
      <c r="J44" s="49">
        <v>5.0</v>
      </c>
      <c r="K44" s="50">
        <f t="shared" si="2"/>
        <v>6</v>
      </c>
      <c r="L44" s="44"/>
      <c r="M44" s="51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71</v>
      </c>
      <c r="C45" s="45" t="s">
        <v>215</v>
      </c>
      <c r="D45" s="46" t="s">
        <v>216</v>
      </c>
      <c r="E45" s="47">
        <v>2.7</v>
      </c>
      <c r="F45" s="47">
        <v>2.3</v>
      </c>
      <c r="G45" s="47">
        <v>2.0</v>
      </c>
      <c r="H45" s="47">
        <v>1.0</v>
      </c>
      <c r="I45" s="48">
        <f t="shared" si="1"/>
        <v>8</v>
      </c>
      <c r="J45" s="49">
        <v>1.0</v>
      </c>
      <c r="K45" s="50">
        <f t="shared" si="2"/>
        <v>8</v>
      </c>
      <c r="L45" s="44"/>
      <c r="M45" s="51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217</v>
      </c>
      <c r="C46" s="45" t="s">
        <v>59</v>
      </c>
      <c r="D46" s="46" t="s">
        <v>218</v>
      </c>
      <c r="E46" s="47">
        <v>4.8</v>
      </c>
      <c r="F46" s="47">
        <v>0.9</v>
      </c>
      <c r="G46" s="47">
        <v>2.0</v>
      </c>
      <c r="H46" s="48"/>
      <c r="I46" s="48">
        <f t="shared" si="1"/>
        <v>7.7</v>
      </c>
      <c r="J46" s="49">
        <v>0.0</v>
      </c>
      <c r="K46" s="50">
        <f t="shared" si="2"/>
        <v>8</v>
      </c>
      <c r="L46" s="44"/>
      <c r="M46" s="51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219</v>
      </c>
      <c r="C47" s="45" t="s">
        <v>220</v>
      </c>
      <c r="D47" s="46" t="s">
        <v>221</v>
      </c>
      <c r="E47" s="47">
        <v>4.0</v>
      </c>
      <c r="F47" s="47">
        <v>1.3</v>
      </c>
      <c r="G47" s="47">
        <v>1.6</v>
      </c>
      <c r="H47" s="47">
        <v>1.0</v>
      </c>
      <c r="I47" s="48">
        <f t="shared" si="1"/>
        <v>7.9</v>
      </c>
      <c r="J47" s="49">
        <v>1.0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85</v>
      </c>
      <c r="C48" s="45" t="s">
        <v>43</v>
      </c>
      <c r="D48" s="46" t="s">
        <v>222</v>
      </c>
      <c r="E48" s="47">
        <v>4.4</v>
      </c>
      <c r="F48" s="47">
        <v>1.4</v>
      </c>
      <c r="G48" s="47">
        <v>1.0</v>
      </c>
      <c r="H48" s="48"/>
      <c r="I48" s="48">
        <f t="shared" si="1"/>
        <v>6.8</v>
      </c>
      <c r="J48" s="49">
        <v>4.0</v>
      </c>
      <c r="K48" s="50">
        <f t="shared" si="2"/>
        <v>7</v>
      </c>
      <c r="L48" s="44"/>
      <c r="M48" s="51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223</v>
      </c>
      <c r="C49" s="45" t="s">
        <v>71</v>
      </c>
      <c r="D49" s="46" t="s">
        <v>165</v>
      </c>
      <c r="E49" s="47">
        <v>6.0</v>
      </c>
      <c r="F49" s="47">
        <v>0.0</v>
      </c>
      <c r="G49" s="47">
        <v>0.0</v>
      </c>
      <c r="H49" s="48"/>
      <c r="I49" s="48">
        <f t="shared" si="1"/>
        <v>6</v>
      </c>
      <c r="J49" s="49">
        <v>8.0</v>
      </c>
      <c r="K49" s="50">
        <f t="shared" si="2"/>
        <v>6</v>
      </c>
      <c r="L49" s="44"/>
      <c r="M49" s="51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201</v>
      </c>
      <c r="C50" s="45" t="s">
        <v>57</v>
      </c>
      <c r="D50" s="46" t="s">
        <v>224</v>
      </c>
      <c r="E50" s="47">
        <v>4.8</v>
      </c>
      <c r="F50" s="47">
        <v>2.7</v>
      </c>
      <c r="G50" s="47">
        <v>2.0</v>
      </c>
      <c r="H50" s="47">
        <v>1.0</v>
      </c>
      <c r="I50" s="48">
        <f t="shared" si="1"/>
        <v>10.5</v>
      </c>
      <c r="J50" s="49">
        <v>0.0</v>
      </c>
      <c r="K50" s="50">
        <f t="shared" si="2"/>
        <v>10</v>
      </c>
      <c r="L50" s="44"/>
      <c r="M50" s="51">
        <f t="shared" si="3"/>
        <v>11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129</v>
      </c>
      <c r="C51" s="45" t="s">
        <v>225</v>
      </c>
      <c r="D51" s="46" t="s">
        <v>226</v>
      </c>
      <c r="E51" s="47">
        <v>4.3</v>
      </c>
      <c r="F51" s="47">
        <v>2.4</v>
      </c>
      <c r="G51" s="47">
        <v>0.0</v>
      </c>
      <c r="H51" s="47">
        <v>1.0</v>
      </c>
      <c r="I51" s="48">
        <f t="shared" si="1"/>
        <v>7.7</v>
      </c>
      <c r="J51" s="49">
        <v>1.0</v>
      </c>
      <c r="K51" s="50">
        <f t="shared" si="2"/>
        <v>8</v>
      </c>
      <c r="L51" s="44"/>
      <c r="M51" s="51">
        <f t="shared" si="3"/>
        <v>8</v>
      </c>
      <c r="N51" s="1"/>
      <c r="O51" s="1"/>
      <c r="P51" s="2"/>
      <c r="Q51" s="2"/>
      <c r="R51" s="2"/>
    </row>
    <row r="52" ht="24.75" customHeight="1">
      <c r="A52" s="6"/>
      <c r="B52" s="55"/>
      <c r="C52" s="55"/>
      <c r="D52" s="11"/>
      <c r="E52" s="57"/>
      <c r="F52" s="57"/>
      <c r="G52" s="57"/>
      <c r="H52" s="57"/>
      <c r="I52" s="57"/>
      <c r="J52" s="1"/>
      <c r="K52" s="55"/>
      <c r="L52" s="7"/>
      <c r="M52" s="55"/>
      <c r="N52" s="1"/>
      <c r="O52" s="1"/>
      <c r="P52" s="2"/>
      <c r="Q52" s="2"/>
      <c r="R52" s="2"/>
    </row>
    <row r="53" ht="24.75" customHeight="1">
      <c r="A53" s="1"/>
      <c r="B53" s="58" t="s">
        <v>136</v>
      </c>
      <c r="C53" s="59"/>
      <c r="D53" s="106">
        <f>COUNT(A17:A51)</f>
        <v>35</v>
      </c>
      <c r="E53" s="57"/>
      <c r="F53" s="57"/>
      <c r="G53" s="61" t="s">
        <v>137</v>
      </c>
      <c r="H53" s="57"/>
      <c r="I53" s="61" t="s">
        <v>138</v>
      </c>
      <c r="K53" s="62" t="s">
        <v>139</v>
      </c>
      <c r="L53" s="63" t="s">
        <v>140</v>
      </c>
      <c r="M53" s="55"/>
      <c r="N53" s="1"/>
      <c r="O53" s="1"/>
      <c r="P53" s="2"/>
      <c r="Q53" s="2"/>
      <c r="R53" s="2"/>
    </row>
    <row r="54" ht="24.75" customHeight="1">
      <c r="A54" s="1"/>
      <c r="B54" s="64" t="s">
        <v>141</v>
      </c>
      <c r="C54" s="65"/>
      <c r="D54" s="107">
        <f>COUNTIF(K17:K51,"BAJA")</f>
        <v>0</v>
      </c>
      <c r="E54" s="57"/>
      <c r="F54" s="57"/>
      <c r="H54" s="57"/>
      <c r="L54" s="9"/>
      <c r="M54" s="55"/>
      <c r="N54" s="1"/>
      <c r="O54" s="1"/>
      <c r="P54" s="2"/>
      <c r="Q54" s="2"/>
      <c r="R54" s="2"/>
    </row>
    <row r="55" ht="24.75" customHeight="1">
      <c r="A55" s="1"/>
      <c r="B55" s="64" t="s">
        <v>142</v>
      </c>
      <c r="C55" s="65"/>
      <c r="D55" s="108">
        <f>D53-D54</f>
        <v>35</v>
      </c>
      <c r="E55" s="57"/>
      <c r="F55" s="57"/>
      <c r="G55" s="57"/>
      <c r="H55" s="57"/>
      <c r="I55" s="57"/>
      <c r="J55" s="11"/>
      <c r="K55" s="55"/>
      <c r="L55" s="7"/>
      <c r="M55" s="55"/>
      <c r="N55" s="1"/>
      <c r="O55" s="1"/>
      <c r="P55" s="2"/>
      <c r="Q55" s="2"/>
      <c r="R55" s="2"/>
    </row>
    <row r="56" ht="24.75" customHeight="1">
      <c r="A56" s="1"/>
      <c r="B56" s="64" t="s">
        <v>143</v>
      </c>
      <c r="C56" s="65"/>
      <c r="D56" s="67">
        <f>COUNTIF(K17:K51,"&gt;=6")</f>
        <v>30</v>
      </c>
      <c r="E56" s="57"/>
      <c r="F56" s="57"/>
      <c r="G56" s="57"/>
      <c r="H56" s="57"/>
      <c r="I56" s="57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64" t="s">
        <v>144</v>
      </c>
      <c r="C57" s="65"/>
      <c r="D57" s="67">
        <f>D55-D56</f>
        <v>5</v>
      </c>
      <c r="E57" s="57"/>
      <c r="F57" s="57"/>
      <c r="G57" s="68"/>
      <c r="H57" s="57"/>
      <c r="I57" s="68"/>
      <c r="J57" s="68"/>
      <c r="K57" s="69"/>
      <c r="L57" s="70"/>
      <c r="M57" s="55"/>
      <c r="N57" s="1"/>
      <c r="O57" s="1"/>
      <c r="P57" s="2"/>
      <c r="Q57" s="2"/>
      <c r="R57" s="2"/>
    </row>
    <row r="58" ht="24.75" customHeight="1">
      <c r="A58" s="1"/>
      <c r="B58" s="64" t="s">
        <v>145</v>
      </c>
      <c r="C58" s="65"/>
      <c r="D58" s="71">
        <f>D56*100/D55</f>
        <v>85.71428571</v>
      </c>
      <c r="E58" s="57"/>
      <c r="F58" s="57"/>
      <c r="G58" s="72" t="s">
        <v>146</v>
      </c>
      <c r="H58" s="73"/>
      <c r="I58" s="74" t="s">
        <v>227</v>
      </c>
      <c r="K58" s="75" t="s">
        <v>148</v>
      </c>
      <c r="L58" s="76" t="s">
        <v>149</v>
      </c>
      <c r="M58" s="55"/>
      <c r="N58" s="1"/>
      <c r="O58" s="1"/>
      <c r="P58" s="2"/>
      <c r="Q58" s="2"/>
      <c r="R58" s="2"/>
    </row>
    <row r="59" ht="24.75" customHeight="1">
      <c r="A59" s="1"/>
      <c r="B59" s="77" t="s">
        <v>150</v>
      </c>
      <c r="C59" s="78"/>
      <c r="D59" s="79">
        <f>AVERAGE(K17:K51)</f>
        <v>7.114285714</v>
      </c>
      <c r="E59" s="57"/>
      <c r="F59" s="57"/>
      <c r="L59" s="9"/>
      <c r="M59" s="55"/>
      <c r="N59" s="1"/>
      <c r="O59" s="1"/>
      <c r="P59" s="2"/>
      <c r="Q59" s="2"/>
      <c r="R59" s="2"/>
    </row>
    <row r="60" ht="24.75" customHeight="1">
      <c r="A60" s="80"/>
      <c r="B60" s="81"/>
      <c r="C60" s="81"/>
      <c r="D60" s="81"/>
      <c r="E60" s="82"/>
      <c r="F60" s="82"/>
      <c r="G60" s="82"/>
      <c r="H60" s="82"/>
      <c r="I60" s="82"/>
      <c r="J60" s="82"/>
      <c r="K60" s="81"/>
      <c r="L60" s="84"/>
      <c r="M60" s="81"/>
      <c r="N60" s="2"/>
      <c r="O60" s="2"/>
      <c r="P60" s="2"/>
      <c r="Q60" s="2"/>
      <c r="R60" s="2"/>
    </row>
    <row r="61" ht="24.75" customHeight="1">
      <c r="A61" s="85"/>
      <c r="B61" s="86"/>
      <c r="C61" s="87"/>
      <c r="D61" s="87"/>
      <c r="E61" s="88"/>
      <c r="H61" s="88"/>
      <c r="I61" s="88"/>
      <c r="J61" s="88"/>
      <c r="K61" s="90"/>
      <c r="L61" s="91"/>
      <c r="M61" s="90"/>
      <c r="N61" s="2"/>
      <c r="O61" s="2"/>
      <c r="P61" s="2"/>
      <c r="Q61" s="2"/>
      <c r="R61" s="2"/>
    </row>
    <row r="62" ht="24.75" customHeight="1">
      <c r="A62" s="92"/>
      <c r="B62" s="90"/>
      <c r="C62" s="90"/>
      <c r="D62" s="90"/>
      <c r="E62" s="88"/>
      <c r="F62" s="88"/>
      <c r="G62" s="82"/>
      <c r="H62" s="82"/>
      <c r="I62" s="82"/>
      <c r="J62" s="82"/>
      <c r="K62" s="81"/>
      <c r="L62" s="84"/>
      <c r="M62" s="81"/>
      <c r="N62" s="2"/>
      <c r="O62" s="2"/>
      <c r="P62" s="2"/>
      <c r="Q62" s="2"/>
      <c r="R62" s="2"/>
    </row>
    <row r="63" ht="24.75" customHeight="1">
      <c r="A63" s="92"/>
      <c r="B63" s="90"/>
      <c r="C63" s="90"/>
      <c r="D63" s="90"/>
      <c r="E63" s="88"/>
      <c r="F63" s="88"/>
      <c r="G63" s="82"/>
      <c r="H63" s="82"/>
      <c r="I63" s="82"/>
      <c r="J63" s="82"/>
      <c r="K63" s="81"/>
      <c r="L63" s="84"/>
      <c r="M63" s="81"/>
      <c r="N63" s="2"/>
      <c r="O63" s="2"/>
      <c r="P63" s="2"/>
      <c r="Q63" s="2"/>
      <c r="R63" s="2"/>
    </row>
    <row r="64" ht="24.75" customHeight="1">
      <c r="A64" s="95"/>
      <c r="B64" s="96"/>
      <c r="C64" s="96"/>
      <c r="D64" s="96"/>
      <c r="E64" s="98"/>
      <c r="F64" s="98"/>
      <c r="G64" s="99"/>
      <c r="H64" s="99"/>
      <c r="I64" s="99"/>
      <c r="J64" s="99"/>
      <c r="K64" s="101"/>
      <c r="L64" s="102"/>
      <c r="M64" s="81"/>
      <c r="N64" s="2"/>
      <c r="O64" s="2"/>
      <c r="P64" s="2"/>
      <c r="Q64" s="2"/>
      <c r="R64" s="2"/>
    </row>
    <row r="65" ht="24.75" customHeight="1">
      <c r="A65" s="2"/>
      <c r="B65" s="90"/>
      <c r="C65" s="90"/>
      <c r="D65" s="93"/>
      <c r="E65" s="88"/>
      <c r="F65" s="88"/>
      <c r="G65" s="82"/>
      <c r="H65" s="82"/>
      <c r="I65" s="82"/>
      <c r="J65" s="82"/>
      <c r="K65" s="109"/>
      <c r="L65" s="105"/>
      <c r="M65" s="109"/>
      <c r="N65" s="2"/>
      <c r="O65" s="2"/>
      <c r="P65" s="2"/>
      <c r="Q65" s="2"/>
      <c r="R65" s="2"/>
    </row>
    <row r="66" ht="24.75" customHeight="1">
      <c r="A66" s="2"/>
      <c r="B66" s="90"/>
      <c r="C66" s="90"/>
      <c r="D66" s="93"/>
      <c r="E66" s="88"/>
      <c r="F66" s="88"/>
      <c r="G66" s="82"/>
      <c r="H66" s="82"/>
      <c r="I66" s="82"/>
      <c r="J66" s="82"/>
      <c r="K66" s="109"/>
      <c r="L66" s="105"/>
      <c r="M66" s="109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H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K17:K51">
    <cfRule type="cellIs" dxfId="0" priority="1" stopIfTrue="1" operator="greaterThan">
      <formula>5</formula>
    </cfRule>
  </conditionalFormatting>
  <conditionalFormatting sqref="E17:H51">
    <cfRule type="expression" dxfId="0" priority="2" stopIfTrue="1">
      <formula>TRUE</formula>
    </cfRule>
  </conditionalFormatting>
  <conditionalFormatting sqref="K17:K5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