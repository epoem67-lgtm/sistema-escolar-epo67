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2 temas selectos de ingles ii" sheetId="1" r:id="rId5"/>
  </sheets>
  <definedNames/>
  <calcPr/>
</workbook>
</file>

<file path=xl/sharedStrings.xml><?xml version="1.0" encoding="utf-8"?>
<sst xmlns="http://schemas.openxmlformats.org/spreadsheetml/2006/main" count="185" uniqueCount="165">
  <si>
    <t>ESCUELA PREPARATORIA OFICIAL NÚM. 67</t>
  </si>
  <si>
    <t xml:space="preserve">CONTROL PRIMER PARCIAL </t>
  </si>
  <si>
    <t xml:space="preserve">PROFESOR (A): </t>
  </si>
  <si>
    <t>Christian Medrano Valdez</t>
  </si>
  <si>
    <t>I</t>
  </si>
  <si>
    <t>II</t>
  </si>
  <si>
    <t>III</t>
  </si>
  <si>
    <t>PUNTAJE EXTRA</t>
  </si>
  <si>
    <t>SEXTO SEMESTRE
VESPERTINO</t>
  </si>
  <si>
    <t>UAC</t>
  </si>
  <si>
    <t>TEMAS SELECTOS DE INGLÉS II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</si>
  <si>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</si>
  <si>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</si>
  <si>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</si>
  <si>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</si>
  <si>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</si>
  <si>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</si>
  <si>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</si>
  <si>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</si>
  <si>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</si>
  <si>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</si>
  <si>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</si>
  <si>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</si>
  <si>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</si>
  <si>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MELENDEZ</t>
  </si>
  <si>
    <t>JUNO SHAKTY</t>
  </si>
  <si>
    <t>HORAS IMPARTIDAS</t>
  </si>
  <si>
    <t>AMAYA</t>
  </si>
  <si>
    <t>PULIDO</t>
  </si>
  <si>
    <t>ZOE VICTORIA</t>
  </si>
  <si>
    <t>Febrero</t>
  </si>
  <si>
    <t>BARCENAS</t>
  </si>
  <si>
    <t>GONZALEZ</t>
  </si>
  <si>
    <t>RICARDO YAMIL</t>
  </si>
  <si>
    <t>Marzo</t>
  </si>
  <si>
    <t>BUENDIA</t>
  </si>
  <si>
    <t>CASTRO</t>
  </si>
  <si>
    <t>ERIC RAFAEL</t>
  </si>
  <si>
    <t>Abril</t>
  </si>
  <si>
    <t>CACIQUE</t>
  </si>
  <si>
    <t>HIDALGO</t>
  </si>
  <si>
    <t>CARLOS FERNANDO</t>
  </si>
  <si>
    <t>Mayo</t>
  </si>
  <si>
    <t>CAMACHO</t>
  </si>
  <si>
    <t>VILLA</t>
  </si>
  <si>
    <t>CARLOS RODRIGO</t>
  </si>
  <si>
    <t>Junio</t>
  </si>
  <si>
    <t>CASTILLO</t>
  </si>
  <si>
    <t>DOMINGUEZ</t>
  </si>
  <si>
    <t xml:space="preserve">DANNA PAOLA </t>
  </si>
  <si>
    <t>Julio</t>
  </si>
  <si>
    <t>CHAN</t>
  </si>
  <si>
    <t>AVILA</t>
  </si>
  <si>
    <t>KEVIN GAEL</t>
  </si>
  <si>
    <t>TOTAL</t>
  </si>
  <si>
    <t xml:space="preserve">CONTRERAS </t>
  </si>
  <si>
    <t>QUIJADA</t>
  </si>
  <si>
    <t>HANNA DANAE</t>
  </si>
  <si>
    <t xml:space="preserve">CRESPO </t>
  </si>
  <si>
    <t xml:space="preserve">TORRES </t>
  </si>
  <si>
    <t>DANIEL</t>
  </si>
  <si>
    <t>DENYS ABRIL</t>
  </si>
  <si>
    <t>GARCIA</t>
  </si>
  <si>
    <t>CARDENAS</t>
  </si>
  <si>
    <t>JERSON SEBASTIAN</t>
  </si>
  <si>
    <t>GARDUÑO</t>
  </si>
  <si>
    <t>SALCEDO</t>
  </si>
  <si>
    <t>LEONARDO</t>
  </si>
  <si>
    <t>GODINEZ</t>
  </si>
  <si>
    <t>ALCALA</t>
  </si>
  <si>
    <t>JOSHUA TRISTAN</t>
  </si>
  <si>
    <t>BAUTISTA</t>
  </si>
  <si>
    <t>EMILIANO</t>
  </si>
  <si>
    <t xml:space="preserve">JACQUELINE </t>
  </si>
  <si>
    <t>MARTINEZ</t>
  </si>
  <si>
    <t>SANTIAGO</t>
  </si>
  <si>
    <t>RAMIREZ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</si>
  <si>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</si>
  <si>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</si>
  <si>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</si>
  <si>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</si>
  <si>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</si>
  <si>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</si>
  <si>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</si>
  <si>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>FLORES</t>
  </si>
  <si>
    <t>XIMENA</t>
  </si>
  <si>
    <t xml:space="preserve">IBARRA </t>
  </si>
  <si>
    <t>MORALES</t>
  </si>
  <si>
    <t>URIEL</t>
  </si>
  <si>
    <t>JIMENEZ</t>
  </si>
  <si>
    <t>CONTRERAS</t>
  </si>
  <si>
    <t>BERENICE</t>
  </si>
  <si>
    <t>SANTILLAN</t>
  </si>
  <si>
    <t>HECTOR</t>
  </si>
  <si>
    <t>LOMELI</t>
  </si>
  <si>
    <t>LEZAMA</t>
  </si>
  <si>
    <t>MARIANA</t>
  </si>
  <si>
    <t>LUNA</t>
  </si>
  <si>
    <t>SANCHEZ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</si>
  <si>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</si>
  <si>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</si>
  <si>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</si>
  <si>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</si>
  <si>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</si>
  <si>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</si>
  <si>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</si>
  <si>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</si>
  <si>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</si>
  <si>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</si>
  <si>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</si>
  <si>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</si>
  <si>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</si>
  <si>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PEÑA</t>
  </si>
  <si>
    <t>SANDOVAL</t>
  </si>
  <si>
    <t>DAYANNE PAULETTE</t>
  </si>
  <si>
    <t>PEREZ</t>
  </si>
  <si>
    <t>HERNANDEZ</t>
  </si>
  <si>
    <t>RAMSES</t>
  </si>
  <si>
    <t>PICAZO</t>
  </si>
  <si>
    <t>ESCOBEDO</t>
  </si>
  <si>
    <t>EMILIO MATEO</t>
  </si>
  <si>
    <t>RENTERIA</t>
  </si>
  <si>
    <t>CUEVAS</t>
  </si>
  <si>
    <t>INGRID VALERIA</t>
  </si>
  <si>
    <t>RIOS</t>
  </si>
  <si>
    <t>LOPEZ</t>
  </si>
  <si>
    <t>RICARDO AXEL</t>
  </si>
  <si>
    <t>RODRIGUEZ</t>
  </si>
  <si>
    <t>BOLAÑOS</t>
  </si>
  <si>
    <t>ZAVALA</t>
  </si>
  <si>
    <t>VALERIA CITLALLI</t>
  </si>
  <si>
    <t>SAAVEDRA</t>
  </si>
  <si>
    <t>SOTO</t>
  </si>
  <si>
    <t>BETSY KAROLINA</t>
  </si>
  <si>
    <t>SALAZAR</t>
  </si>
  <si>
    <t>ALVAREZ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</si>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</sst>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" xfId="0" applyFont="1" applyNumberFormat="1"/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71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1.0</v>
      </c>
      <c r="G17" s="47">
        <v>0.0</v>
      </c>
      <c r="H17" s="47">
        <v>1.0</v>
      </c>
      <c r="I17" s="48">
        <f t="shared" ref="I17:I62" si="1">SUM(E17:H17)</f>
        <v>7</v>
      </c>
      <c r="J17" s="49">
        <v>0.0</v>
      </c>
      <c r="K17" s="50">
        <f t="shared" ref="K17:K62" si="2">IF(I17&lt;6, 5, MIN(10, ROUND(I17, 0)))</f>
        <v>7</v>
      </c>
      <c r="L17" s="45"/>
      <c r="M17" s="51">
        <f t="shared" ref="M17:M61" si="3">IF(I17&gt;=6,ROUND(I17,0),TRUNC(I17,0))</f>
        <v>7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5.0</v>
      </c>
      <c r="F18" s="47">
        <v>1.0</v>
      </c>
      <c r="G18" s="47">
        <v>2.0</v>
      </c>
      <c r="H18" s="47">
        <v>1.0</v>
      </c>
      <c r="I18" s="48">
        <f t="shared" si="1"/>
        <v>9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4.0</v>
      </c>
      <c r="F19" s="47">
        <v>1.0</v>
      </c>
      <c r="G19" s="47">
        <v>2.0</v>
      </c>
      <c r="H19" s="47">
        <v>0.0</v>
      </c>
      <c r="I19" s="48">
        <f t="shared" si="1"/>
        <v>7</v>
      </c>
      <c r="J19" s="49">
        <v>0.0</v>
      </c>
      <c r="K19" s="50">
        <f t="shared" si="2"/>
        <v>7</v>
      </c>
      <c r="L19" s="44"/>
      <c r="M19" s="51">
        <f t="shared" si="3"/>
        <v>7</v>
      </c>
      <c r="N19" s="53" t="s">
        <v>34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5.0</v>
      </c>
      <c r="F20" s="47">
        <v>1.0</v>
      </c>
      <c r="G20" s="47">
        <v>2.0</v>
      </c>
      <c r="H20" s="47">
        <v>1.0</v>
      </c>
      <c r="I20" s="48">
        <f t="shared" si="1"/>
        <v>9</v>
      </c>
      <c r="J20" s="49">
        <v>0.0</v>
      </c>
      <c r="K20" s="50">
        <f t="shared" si="2"/>
        <v>9</v>
      </c>
      <c r="L20" s="44"/>
      <c r="M20" s="51">
        <f t="shared" si="3"/>
        <v>9</v>
      </c>
      <c r="N20" s="53" t="s">
        <v>38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5.0</v>
      </c>
      <c r="F21" s="47">
        <v>1.0</v>
      </c>
      <c r="G21" s="47">
        <v>0.0</v>
      </c>
      <c r="H21" s="47">
        <v>0.0</v>
      </c>
      <c r="I21" s="48">
        <f t="shared" si="1"/>
        <v>6</v>
      </c>
      <c r="J21" s="49">
        <v>0.0</v>
      </c>
      <c r="K21" s="50">
        <f t="shared" si="2"/>
        <v>6</v>
      </c>
      <c r="L21" s="44"/>
      <c r="M21" s="51">
        <f t="shared" si="3"/>
        <v>6</v>
      </c>
      <c r="N21" s="53" t="s">
        <v>42</v>
      </c>
      <c r="O21" s="49">
        <v>11.0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5.0</v>
      </c>
      <c r="F22" s="47">
        <v>2.0</v>
      </c>
      <c r="G22" s="47">
        <v>2.0</v>
      </c>
      <c r="H22" s="47">
        <v>1.0</v>
      </c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46</v>
      </c>
      <c r="O22" s="49">
        <v>12.0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5.0</v>
      </c>
      <c r="F23" s="47">
        <v>1.0</v>
      </c>
      <c r="G23" s="47">
        <v>2.0</v>
      </c>
      <c r="H23" s="47">
        <v>1.0</v>
      </c>
      <c r="I23" s="48">
        <f t="shared" si="1"/>
        <v>9</v>
      </c>
      <c r="J23" s="49">
        <v>0.0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5.0</v>
      </c>
      <c r="F24" s="47">
        <v>1.0</v>
      </c>
      <c r="G24" s="47">
        <v>2.0</v>
      </c>
      <c r="H24" s="47">
        <v>1.0</v>
      </c>
      <c r="I24" s="48">
        <f t="shared" si="1"/>
        <v>9</v>
      </c>
      <c r="J24" s="49">
        <v>1.0</v>
      </c>
      <c r="K24" s="50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56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4.0</v>
      </c>
      <c r="F25" s="47">
        <v>1.0</v>
      </c>
      <c r="G25" s="47">
        <v>2.0</v>
      </c>
      <c r="H25" s="47">
        <v>1.0</v>
      </c>
      <c r="I25" s="48">
        <f t="shared" si="1"/>
        <v>8</v>
      </c>
      <c r="J25" s="49">
        <v>0.0</v>
      </c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5.0</v>
      </c>
      <c r="F26" s="47">
        <v>1.0</v>
      </c>
      <c r="G26" s="47">
        <v>2.0</v>
      </c>
      <c r="H26" s="47">
        <v>1.0</v>
      </c>
      <c r="I26" s="48">
        <f t="shared" si="1"/>
        <v>9</v>
      </c>
      <c r="J26" s="49">
        <v>0.0</v>
      </c>
      <c r="K26" s="50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48</v>
      </c>
      <c r="C27" s="45" t="s">
        <v>44</v>
      </c>
      <c r="D27" s="45" t="s">
        <v>61</v>
      </c>
      <c r="E27" s="47">
        <v>5.0</v>
      </c>
      <c r="F27" s="47">
        <v>1.0</v>
      </c>
      <c r="G27" s="47">
        <v>2.0</v>
      </c>
      <c r="H27" s="47">
        <v>1.0</v>
      </c>
      <c r="I27" s="48">
        <f t="shared" si="1"/>
        <v>9</v>
      </c>
      <c r="J27" s="49">
        <v>1.0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63</v>
      </c>
      <c r="D28" s="46" t="s">
        <v>64</v>
      </c>
      <c r="E28" s="47">
        <v>5.0</v>
      </c>
      <c r="F28" s="47">
        <v>1.0</v>
      </c>
      <c r="G28" s="47">
        <v>2.0</v>
      </c>
      <c r="H28" s="47">
        <v>1.0</v>
      </c>
      <c r="I28" s="48">
        <f t="shared" si="1"/>
        <v>9</v>
      </c>
      <c r="J28" s="49">
        <v>1.0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65</v>
      </c>
      <c r="C29" s="45" t="s">
        <v>66</v>
      </c>
      <c r="D29" s="46" t="s">
        <v>67</v>
      </c>
      <c r="E29" s="47">
        <v>5.0</v>
      </c>
      <c r="F29" s="47">
        <v>1.0</v>
      </c>
      <c r="G29" s="47">
        <v>2.0</v>
      </c>
      <c r="H29" s="47">
        <v>1.0</v>
      </c>
      <c r="I29" s="48">
        <f t="shared" si="1"/>
        <v>9</v>
      </c>
      <c r="J29" s="49">
        <v>1.0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68</v>
      </c>
      <c r="C30" s="45" t="s">
        <v>69</v>
      </c>
      <c r="D30" s="46" t="s">
        <v>70</v>
      </c>
      <c r="E30" s="47">
        <v>0.0</v>
      </c>
      <c r="F30" s="47">
        <v>0.0</v>
      </c>
      <c r="G30" s="47">
        <v>0.0</v>
      </c>
      <c r="H30" s="47">
        <v>1.0</v>
      </c>
      <c r="I30" s="48">
        <f t="shared" si="1"/>
        <v>1</v>
      </c>
      <c r="J30" s="49">
        <v>2.0</v>
      </c>
      <c r="K30" s="50">
        <f t="shared" si="2"/>
        <v>5</v>
      </c>
      <c r="L30" s="44"/>
      <c r="M30" s="51">
        <f t="shared" si="3"/>
        <v>1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32</v>
      </c>
      <c r="C31" s="45" t="s">
        <v>71</v>
      </c>
      <c r="D31" s="46" t="s">
        <v>72</v>
      </c>
      <c r="E31" s="47">
        <v>5.0</v>
      </c>
      <c r="F31" s="47">
        <v>2.0</v>
      </c>
      <c r="G31" s="47">
        <v>2.0</v>
      </c>
      <c r="H31" s="47">
        <v>1.0</v>
      </c>
      <c r="I31" s="48">
        <f t="shared" si="1"/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32</v>
      </c>
      <c r="C32" s="45" t="s">
        <v>47</v>
      </c>
      <c r="D32" s="46" t="s">
        <v>73</v>
      </c>
      <c r="E32" s="47">
        <v>5.0</v>
      </c>
      <c r="F32" s="47">
        <v>2.0</v>
      </c>
      <c r="G32" s="47">
        <v>0.0</v>
      </c>
      <c r="H32" s="47">
        <v>1.0</v>
      </c>
      <c r="I32" s="48">
        <f t="shared" si="1"/>
        <v>8</v>
      </c>
      <c r="J32" s="49">
        <v>1.0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32</v>
      </c>
      <c r="C33" s="45" t="s">
        <v>74</v>
      </c>
      <c r="D33" s="46" t="s">
        <v>75</v>
      </c>
      <c r="E33" s="47">
        <v>5.0</v>
      </c>
      <c r="F33" s="47">
        <v>1.0</v>
      </c>
      <c r="G33" s="47">
        <v>1.0</v>
      </c>
      <c r="H33" s="47">
        <v>1.0</v>
      </c>
      <c r="I33" s="48">
        <f t="shared" si="1"/>
        <v>8</v>
      </c>
      <c r="J33" s="49">
        <v>0.0</v>
      </c>
      <c r="K33" s="50">
        <f t="shared" si="2"/>
        <v>8</v>
      </c>
      <c r="L33" s="44"/>
      <c r="M33" s="51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32</v>
      </c>
      <c r="C34" s="45" t="s">
        <v>76</v>
      </c>
      <c r="D34" s="46" t="s">
        <v>77</v>
      </c>
      <c r="E34" s="47">
        <v>5.0</v>
      </c>
      <c r="F34" s="47">
        <v>1.0</v>
      </c>
      <c r="G34" s="47">
        <v>2.0</v>
      </c>
      <c r="H34" s="47">
        <v>1.0</v>
      </c>
      <c r="I34" s="48">
        <f t="shared" si="1"/>
        <v>9</v>
      </c>
      <c r="J34" s="49">
        <v>1.0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79</v>
      </c>
      <c r="D35" s="46" t="s">
        <v>80</v>
      </c>
      <c r="E35" s="47">
        <v>5.0</v>
      </c>
      <c r="F35" s="47">
        <v>1.0</v>
      </c>
      <c r="G35" s="47">
        <v>2.0</v>
      </c>
      <c r="H35" s="47">
        <v>1.0</v>
      </c>
      <c r="I35" s="48">
        <f t="shared" si="1"/>
        <v>9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78</v>
      </c>
      <c r="C36" s="45" t="s">
        <v>81</v>
      </c>
      <c r="D36" s="46" t="s">
        <v>82</v>
      </c>
      <c r="E36" s="47">
        <v>5.0</v>
      </c>
      <c r="F36" s="47">
        <v>1.0</v>
      </c>
      <c r="G36" s="47">
        <v>2.0</v>
      </c>
      <c r="H36" s="47">
        <v>1.0</v>
      </c>
      <c r="I36" s="48">
        <f t="shared" si="1"/>
        <v>9</v>
      </c>
      <c r="J36" s="49">
        <v>3.0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>
        <v>5.0</v>
      </c>
      <c r="F37" s="47">
        <v>1.0</v>
      </c>
      <c r="G37" s="47">
        <v>2.0</v>
      </c>
      <c r="H37" s="47">
        <v>1.0</v>
      </c>
      <c r="I37" s="48">
        <f t="shared" si="1"/>
        <v>9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87</v>
      </c>
      <c r="D38" s="46" t="s">
        <v>88</v>
      </c>
      <c r="E38" s="47">
        <v>5.0</v>
      </c>
      <c r="F38" s="47">
        <v>1.0</v>
      </c>
      <c r="G38" s="47">
        <v>2.0</v>
      </c>
      <c r="H38" s="47">
        <v>1.0</v>
      </c>
      <c r="I38" s="48">
        <f t="shared" si="1"/>
        <v>9</v>
      </c>
      <c r="J38" s="49">
        <v>1.0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90</v>
      </c>
      <c r="D39" s="46" t="s">
        <v>91</v>
      </c>
      <c r="E39" s="47">
        <v>5.0</v>
      </c>
      <c r="F39" s="47">
        <v>1.0</v>
      </c>
      <c r="G39" s="47">
        <v>2.0</v>
      </c>
      <c r="H39" s="47">
        <v>1.0</v>
      </c>
      <c r="I39" s="48">
        <f t="shared" si="1"/>
        <v>9</v>
      </c>
      <c r="J39" s="49">
        <v>0.0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92</v>
      </c>
      <c r="D40" s="46" t="s">
        <v>93</v>
      </c>
      <c r="E40" s="47">
        <v>5.0</v>
      </c>
      <c r="F40" s="47">
        <v>1.0</v>
      </c>
      <c r="G40" s="47">
        <v>2.0</v>
      </c>
      <c r="H40" s="47">
        <v>1.0</v>
      </c>
      <c r="I40" s="48">
        <f t="shared" si="1"/>
        <v>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94</v>
      </c>
      <c r="C41" s="45" t="s">
        <v>95</v>
      </c>
      <c r="D41" s="46" t="s">
        <v>96</v>
      </c>
      <c r="E41" s="47">
        <v>5.0</v>
      </c>
      <c r="F41" s="47">
        <v>2.0</v>
      </c>
      <c r="G41" s="47">
        <v>2.0</v>
      </c>
      <c r="H41" s="47">
        <v>1.0</v>
      </c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97</v>
      </c>
      <c r="C42" s="45" t="s">
        <v>98</v>
      </c>
      <c r="D42" s="46" t="s">
        <v>99</v>
      </c>
      <c r="E42" s="47">
        <v>5.0</v>
      </c>
      <c r="F42" s="47">
        <v>2.0</v>
      </c>
      <c r="G42" s="47">
        <v>2.0</v>
      </c>
      <c r="H42" s="47">
        <v>1.0</v>
      </c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74</v>
      </c>
      <c r="C43" s="45" t="s">
        <v>100</v>
      </c>
      <c r="D43" s="46" t="s">
        <v>101</v>
      </c>
      <c r="E43" s="47">
        <v>5.0</v>
      </c>
      <c r="F43" s="47">
        <v>1.0</v>
      </c>
      <c r="G43" s="47">
        <v>2.0</v>
      </c>
      <c r="H43" s="47">
        <v>0.0</v>
      </c>
      <c r="I43" s="48">
        <f t="shared" si="1"/>
        <v>8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102</v>
      </c>
      <c r="C44" s="45" t="s">
        <v>103</v>
      </c>
      <c r="D44" s="46" t="s">
        <v>104</v>
      </c>
      <c r="E44" s="47">
        <v>5.0</v>
      </c>
      <c r="F44" s="47">
        <v>1.0</v>
      </c>
      <c r="G44" s="47">
        <v>2.0</v>
      </c>
      <c r="H44" s="47">
        <v>0.0</v>
      </c>
      <c r="I44" s="48">
        <f t="shared" si="1"/>
        <v>8</v>
      </c>
      <c r="J44" s="49">
        <v>1.0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87</v>
      </c>
      <c r="C45" s="45" t="s">
        <v>36</v>
      </c>
      <c r="D45" s="46" t="s">
        <v>105</v>
      </c>
      <c r="E45" s="47">
        <v>4.0</v>
      </c>
      <c r="F45" s="47">
        <v>1.0</v>
      </c>
      <c r="G45" s="47">
        <v>2.0</v>
      </c>
      <c r="H45" s="47">
        <v>1.0</v>
      </c>
      <c r="I45" s="48">
        <f t="shared" si="1"/>
        <v>8</v>
      </c>
      <c r="J45" s="49">
        <v>2.0</v>
      </c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107</v>
      </c>
      <c r="D46" s="46" t="s">
        <v>108</v>
      </c>
      <c r="E46" s="47">
        <v>5.0</v>
      </c>
      <c r="F46" s="47">
        <v>1.0</v>
      </c>
      <c r="G46" s="47">
        <v>2.0</v>
      </c>
      <c r="H46" s="47">
        <v>1.0</v>
      </c>
      <c r="I46" s="48">
        <f t="shared" si="1"/>
        <v>9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109</v>
      </c>
      <c r="C47" s="45" t="s">
        <v>110</v>
      </c>
      <c r="D47" s="46" t="s">
        <v>111</v>
      </c>
      <c r="E47" s="47">
        <v>5.0</v>
      </c>
      <c r="F47" s="47">
        <v>2.0</v>
      </c>
      <c r="G47" s="47">
        <v>0.0</v>
      </c>
      <c r="H47" s="47">
        <v>1.0</v>
      </c>
      <c r="I47" s="48">
        <f t="shared" si="1"/>
        <v>8</v>
      </c>
      <c r="J47" s="49">
        <v>1.0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112</v>
      </c>
      <c r="C48" s="45" t="s">
        <v>113</v>
      </c>
      <c r="D48" s="46" t="s">
        <v>114</v>
      </c>
      <c r="E48" s="47">
        <v>5.0</v>
      </c>
      <c r="F48" s="47">
        <v>1.0</v>
      </c>
      <c r="G48" s="47">
        <v>0.0</v>
      </c>
      <c r="H48" s="47">
        <v>1.0</v>
      </c>
      <c r="I48" s="48">
        <f t="shared" si="1"/>
        <v>7</v>
      </c>
      <c r="J48" s="49">
        <v>1.0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115</v>
      </c>
      <c r="C49" s="45" t="s">
        <v>116</v>
      </c>
      <c r="D49" s="46" t="s">
        <v>77</v>
      </c>
      <c r="E49" s="47">
        <v>5.0</v>
      </c>
      <c r="F49" s="47">
        <v>1.0</v>
      </c>
      <c r="G49" s="47">
        <v>2.0</v>
      </c>
      <c r="H49" s="47">
        <v>1.0</v>
      </c>
      <c r="I49" s="48">
        <f t="shared" si="1"/>
        <v>9</v>
      </c>
      <c r="J49" s="49">
        <v>0.0</v>
      </c>
      <c r="K49" s="50">
        <f t="shared" si="2"/>
        <v>9</v>
      </c>
      <c r="L49" s="44"/>
      <c r="M49" s="51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115</v>
      </c>
      <c r="C50" s="45" t="s">
        <v>74</v>
      </c>
      <c r="D50" s="46" t="s">
        <v>117</v>
      </c>
      <c r="E50" s="47">
        <v>5.0</v>
      </c>
      <c r="F50" s="47">
        <v>1.0</v>
      </c>
      <c r="G50" s="47">
        <v>0.0</v>
      </c>
      <c r="H50" s="47">
        <v>1.0</v>
      </c>
      <c r="I50" s="48">
        <f t="shared" si="1"/>
        <v>7</v>
      </c>
      <c r="J50" s="49">
        <v>0.0</v>
      </c>
      <c r="K50" s="50">
        <f t="shared" si="2"/>
        <v>7</v>
      </c>
      <c r="L50" s="44"/>
      <c r="M50" s="51">
        <f t="shared" si="3"/>
        <v>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118</v>
      </c>
      <c r="C51" s="45" t="s">
        <v>119</v>
      </c>
      <c r="D51" s="46" t="s">
        <v>120</v>
      </c>
      <c r="E51" s="47">
        <v>5.0</v>
      </c>
      <c r="F51" s="47">
        <v>1.0</v>
      </c>
      <c r="G51" s="47">
        <v>2.0</v>
      </c>
      <c r="H51" s="47">
        <v>1.0</v>
      </c>
      <c r="I51" s="48">
        <f t="shared" si="1"/>
        <v>9</v>
      </c>
      <c r="J51" s="49">
        <v>2.0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121</v>
      </c>
      <c r="C52" s="45" t="s">
        <v>122</v>
      </c>
      <c r="D52" s="46" t="s">
        <v>123</v>
      </c>
      <c r="E52" s="47">
        <v>5.0</v>
      </c>
      <c r="F52" s="47">
        <v>1.0</v>
      </c>
      <c r="G52" s="47">
        <v>2.0</v>
      </c>
      <c r="H52" s="47">
        <v>1.0</v>
      </c>
      <c r="I52" s="48">
        <f t="shared" si="1"/>
        <v>9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3.0</v>
      </c>
      <c r="F53" s="47">
        <v>2.0</v>
      </c>
      <c r="G53" s="47">
        <v>2.0</v>
      </c>
      <c r="H53" s="47">
        <v>1.0</v>
      </c>
      <c r="I53" s="48">
        <f t="shared" si="1"/>
        <v>8</v>
      </c>
      <c r="J53" s="49">
        <v>0.0</v>
      </c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127</v>
      </c>
      <c r="C54" s="45" t="s">
        <v>128</v>
      </c>
      <c r="D54" s="46" t="s">
        <v>67</v>
      </c>
      <c r="E54" s="47">
        <v>5.0</v>
      </c>
      <c r="F54" s="47">
        <v>1.0</v>
      </c>
      <c r="G54" s="47">
        <v>2.0</v>
      </c>
      <c r="H54" s="47">
        <v>1.0</v>
      </c>
      <c r="I54" s="48">
        <f t="shared" si="1"/>
        <v>9</v>
      </c>
      <c r="J54" s="49">
        <v>0.0</v>
      </c>
      <c r="K54" s="50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129</v>
      </c>
      <c r="D55" s="46" t="s">
        <v>130</v>
      </c>
      <c r="E55" s="47">
        <v>5.0</v>
      </c>
      <c r="F55" s="47">
        <v>1.0</v>
      </c>
      <c r="G55" s="47">
        <v>2.0</v>
      </c>
      <c r="H55" s="47">
        <v>1.0</v>
      </c>
      <c r="I55" s="48">
        <f t="shared" si="1"/>
        <v>9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131</v>
      </c>
      <c r="C56" s="45" t="s">
        <v>132</v>
      </c>
      <c r="D56" s="46" t="s">
        <v>133</v>
      </c>
      <c r="E56" s="47">
        <v>5.0</v>
      </c>
      <c r="F56" s="47">
        <v>1.0</v>
      </c>
      <c r="G56" s="47">
        <v>2.0</v>
      </c>
      <c r="H56" s="47">
        <v>1.0</v>
      </c>
      <c r="I56" s="48">
        <f t="shared" si="1"/>
        <v>9</v>
      </c>
      <c r="J56" s="49">
        <v>2.0</v>
      </c>
      <c r="K56" s="50">
        <f t="shared" si="2"/>
        <v>9</v>
      </c>
      <c r="L56" s="44"/>
      <c r="M56" s="45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134</v>
      </c>
      <c r="C57" s="45" t="s">
        <v>135</v>
      </c>
      <c r="D57" s="46" t="s">
        <v>136</v>
      </c>
      <c r="E57" s="47">
        <v>3.0</v>
      </c>
      <c r="F57" s="47">
        <v>1.0</v>
      </c>
      <c r="G57" s="47">
        <v>2.0</v>
      </c>
      <c r="H57" s="47">
        <v>1.0</v>
      </c>
      <c r="I57" s="48">
        <f t="shared" si="1"/>
        <v>7</v>
      </c>
      <c r="J57" s="49">
        <v>0.0</v>
      </c>
      <c r="K57" s="50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75</v>
      </c>
      <c r="C58" s="45" t="s">
        <v>137</v>
      </c>
      <c r="D58" s="46" t="s">
        <v>138</v>
      </c>
      <c r="E58" s="47">
        <v>4.0</v>
      </c>
      <c r="F58" s="47">
        <v>2.0</v>
      </c>
      <c r="G58" s="47">
        <v>2.0</v>
      </c>
      <c r="H58" s="47">
        <v>1.0</v>
      </c>
      <c r="I58" s="48">
        <f t="shared" si="1"/>
        <v>9</v>
      </c>
      <c r="J58" s="49">
        <v>0.0</v>
      </c>
      <c r="K58" s="50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139</v>
      </c>
      <c r="C59" s="45" t="s">
        <v>140</v>
      </c>
      <c r="D59" s="46" t="s">
        <v>141</v>
      </c>
      <c r="E59" s="47">
        <v>4.0</v>
      </c>
      <c r="F59" s="47">
        <v>1.0</v>
      </c>
      <c r="G59" s="47">
        <v>2.0</v>
      </c>
      <c r="H59" s="47">
        <v>1.0</v>
      </c>
      <c r="I59" s="48">
        <f t="shared" si="1"/>
        <v>8</v>
      </c>
      <c r="J59" s="49">
        <v>2.0</v>
      </c>
      <c r="K59" s="50">
        <f t="shared" si="2"/>
        <v>8</v>
      </c>
      <c r="L59" s="44"/>
      <c r="M59" s="45">
        <f t="shared" si="3"/>
        <v>8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142</v>
      </c>
      <c r="C60" s="45" t="s">
        <v>143</v>
      </c>
      <c r="D60" s="45" t="s">
        <v>144</v>
      </c>
      <c r="E60" s="47">
        <v>5.0</v>
      </c>
      <c r="F60" s="47">
        <v>2.0</v>
      </c>
      <c r="G60" s="47">
        <v>2.0</v>
      </c>
      <c r="H60" s="47">
        <v>1.0</v>
      </c>
      <c r="I60" s="48">
        <f t="shared" si="1"/>
        <v>10</v>
      </c>
      <c r="J60" s="49">
        <v>0.0</v>
      </c>
      <c r="K60" s="50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145</v>
      </c>
      <c r="C61" s="45" t="s">
        <v>137</v>
      </c>
      <c r="D61" s="45" t="s">
        <v>146</v>
      </c>
      <c r="E61" s="47">
        <v>4.0</v>
      </c>
      <c r="F61" s="47">
        <v>2.0</v>
      </c>
      <c r="G61" s="47">
        <v>2.0</v>
      </c>
      <c r="H61" s="47">
        <v>1.0</v>
      </c>
      <c r="I61" s="48">
        <f t="shared" si="1"/>
        <v>9</v>
      </c>
      <c r="J61" s="49">
        <v>0.0</v>
      </c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147</v>
      </c>
      <c r="C62" s="45" t="s">
        <v>148</v>
      </c>
      <c r="D62" s="45" t="s">
        <v>149</v>
      </c>
      <c r="E62" s="47">
        <v>5.0</v>
      </c>
      <c r="F62" s="47">
        <v>1.0</v>
      </c>
      <c r="G62" s="47">
        <v>2.0</v>
      </c>
      <c r="H62" s="47">
        <v>1.0</v>
      </c>
      <c r="I62" s="48">
        <f t="shared" si="1"/>
        <v>9</v>
      </c>
      <c r="J62" s="49">
        <v>0.0</v>
      </c>
      <c r="K62" s="50">
        <f t="shared" si="2"/>
        <v>9</v>
      </c>
      <c r="L62" s="44"/>
      <c r="M62" s="54"/>
      <c r="N62" s="1"/>
      <c r="O62" s="1"/>
      <c r="P62" s="2"/>
      <c r="Q62" s="2"/>
      <c r="R62" s="2"/>
    </row>
    <row r="63" ht="24.75" customHeight="1">
      <c r="A63" s="6"/>
      <c r="B63" s="54"/>
      <c r="C63" s="54"/>
      <c r="D63" s="54"/>
      <c r="E63" s="55"/>
      <c r="F63" s="55"/>
      <c r="G63" s="55"/>
      <c r="H63" s="55"/>
      <c r="I63" s="55"/>
      <c r="J63" s="55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56" t="s">
        <v>150</v>
      </c>
      <c r="C64" s="57"/>
      <c r="D64" s="58">
        <f>COUNT(A17:A62)</f>
        <v>46</v>
      </c>
      <c r="E64" s="55"/>
      <c r="F64" s="55"/>
      <c r="G64" s="59" t="s">
        <v>151</v>
      </c>
      <c r="H64" s="55"/>
      <c r="I64" s="59" t="s">
        <v>152</v>
      </c>
      <c r="K64" s="60" t="s">
        <v>153</v>
      </c>
      <c r="L64" s="61" t="s">
        <v>154</v>
      </c>
      <c r="M64" s="54"/>
      <c r="N64" s="1"/>
      <c r="O64" s="1"/>
      <c r="P64" s="2"/>
      <c r="Q64" s="2"/>
      <c r="R64" s="2"/>
    </row>
    <row r="65" ht="24.75" customHeight="1">
      <c r="A65" s="1"/>
      <c r="B65" s="62" t="s">
        <v>155</v>
      </c>
      <c r="C65" s="63"/>
      <c r="D65" s="64">
        <f>COUNTIF(K17:K62,"BAJA")</f>
        <v>0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1"/>
      <c r="B66" s="62" t="s">
        <v>156</v>
      </c>
      <c r="C66" s="63"/>
      <c r="D66" s="65">
        <f>D64-D65</f>
        <v>46</v>
      </c>
      <c r="E66" s="55"/>
      <c r="F66" s="55"/>
      <c r="G66" s="55"/>
      <c r="H66" s="55"/>
      <c r="I66" s="55"/>
      <c r="J66" s="55"/>
      <c r="K66" s="54"/>
      <c r="L66" s="7"/>
      <c r="M66" s="54"/>
      <c r="N66" s="1"/>
      <c r="O66" s="1"/>
      <c r="P66" s="2"/>
      <c r="Q66" s="2"/>
      <c r="R66" s="2"/>
    </row>
    <row r="67" ht="24.75" customHeight="1">
      <c r="A67" s="1"/>
      <c r="B67" s="62" t="s">
        <v>157</v>
      </c>
      <c r="C67" s="63"/>
      <c r="D67" s="65">
        <f>COUNTIF(K17:K62,"&gt;=6")</f>
        <v>45</v>
      </c>
      <c r="E67" s="55"/>
      <c r="F67" s="55"/>
      <c r="G67" s="55"/>
      <c r="H67" s="55"/>
      <c r="I67" s="55"/>
      <c r="J67" s="11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158</v>
      </c>
      <c r="C68" s="63"/>
      <c r="D68" s="65">
        <f>D66-D67</f>
        <v>1</v>
      </c>
      <c r="E68" s="55"/>
      <c r="F68" s="55"/>
      <c r="G68" s="66"/>
      <c r="H68" s="55"/>
      <c r="I68" s="66"/>
      <c r="J68" s="67"/>
      <c r="K68" s="68"/>
      <c r="L68" s="69"/>
      <c r="M68" s="54"/>
      <c r="N68" s="1"/>
      <c r="O68" s="1"/>
      <c r="P68" s="2"/>
      <c r="Q68" s="2"/>
      <c r="R68" s="2"/>
    </row>
    <row r="69" ht="36.0" customHeight="1">
      <c r="A69" s="1"/>
      <c r="B69" s="62" t="s">
        <v>159</v>
      </c>
      <c r="C69" s="63"/>
      <c r="D69" s="70">
        <f>D67*100/D66</f>
        <v>97.82608696</v>
      </c>
      <c r="E69" s="55"/>
      <c r="F69" s="55"/>
      <c r="G69" s="71" t="s">
        <v>160</v>
      </c>
      <c r="H69" s="55"/>
      <c r="I69" s="72" t="s">
        <v>161</v>
      </c>
      <c r="K69" s="73" t="s">
        <v>162</v>
      </c>
      <c r="L69" s="74" t="s">
        <v>163</v>
      </c>
      <c r="M69" s="54"/>
      <c r="N69" s="1"/>
      <c r="O69" s="1"/>
      <c r="P69" s="2"/>
      <c r="Q69" s="2"/>
      <c r="R69" s="2"/>
    </row>
    <row r="70" ht="24.75" customHeight="1">
      <c r="A70" s="1"/>
      <c r="B70" s="75" t="s">
        <v>164</v>
      </c>
      <c r="C70" s="76"/>
      <c r="D70" s="77">
        <f>AVERAGE(K17:K62)</f>
        <v>8.543478261</v>
      </c>
      <c r="E70" s="55"/>
      <c r="F70" s="55"/>
      <c r="H70" s="55"/>
      <c r="L70" s="9"/>
      <c r="M70" s="54"/>
      <c r="N70" s="1"/>
      <c r="O70" s="1"/>
      <c r="P70" s="2"/>
      <c r="Q70" s="2"/>
      <c r="R70" s="2"/>
    </row>
    <row r="71" ht="24.75" customHeight="1">
      <c r="A71" s="78"/>
      <c r="B71" s="79"/>
      <c r="C71" s="79"/>
      <c r="D71" s="80"/>
      <c r="E71" s="81"/>
      <c r="F71" s="81"/>
      <c r="G71" s="81"/>
      <c r="H71" s="81"/>
      <c r="I71" s="81"/>
      <c r="J71" s="80"/>
      <c r="K71" s="79"/>
      <c r="L71" s="82"/>
      <c r="M71" s="79"/>
      <c r="N71" s="2"/>
      <c r="O71" s="2"/>
      <c r="P71" s="2"/>
      <c r="Q71" s="2"/>
      <c r="R71" s="2"/>
    </row>
    <row r="72" ht="21.75" customHeight="1">
      <c r="A72" s="83"/>
      <c r="B72" s="84"/>
      <c r="C72" s="85"/>
      <c r="D72" s="86"/>
      <c r="E72" s="87"/>
      <c r="H72" s="87"/>
      <c r="I72" s="87"/>
      <c r="J72" s="87"/>
      <c r="K72" s="87"/>
      <c r="L72" s="88"/>
      <c r="M72" s="87"/>
      <c r="N72" s="2"/>
      <c r="O72" s="2"/>
      <c r="P72" s="2"/>
      <c r="Q72" s="2"/>
      <c r="R72" s="2"/>
    </row>
    <row r="73" ht="21.75" customHeight="1">
      <c r="A73" s="89"/>
      <c r="B73" s="87"/>
      <c r="C73" s="87"/>
      <c r="D73" s="87"/>
      <c r="E73" s="87"/>
      <c r="F73" s="87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89"/>
      <c r="B74" s="87"/>
      <c r="C74" s="87"/>
      <c r="D74" s="87"/>
      <c r="E74" s="87"/>
      <c r="F74" s="87"/>
      <c r="G74" s="2"/>
      <c r="H74" s="2"/>
      <c r="I74" s="2"/>
      <c r="J74" s="2"/>
      <c r="K74" s="2"/>
      <c r="L74" s="90"/>
      <c r="M74" s="2"/>
      <c r="N74" s="2"/>
      <c r="O74" s="2"/>
      <c r="P74" s="2"/>
      <c r="Q74" s="2"/>
      <c r="R74" s="2"/>
    </row>
    <row r="75" ht="21.75" customHeight="1">
      <c r="A75" s="91"/>
      <c r="B75" s="92"/>
      <c r="C75" s="92"/>
      <c r="D75" s="93"/>
      <c r="E75" s="92"/>
      <c r="F75" s="92"/>
      <c r="G75" s="94"/>
      <c r="H75" s="94"/>
      <c r="I75" s="94"/>
      <c r="J75" s="94"/>
      <c r="K75" s="94"/>
      <c r="L75" s="95"/>
      <c r="M75" s="2"/>
      <c r="N75" s="2"/>
      <c r="O75" s="2"/>
      <c r="P75" s="2"/>
      <c r="Q75" s="2"/>
      <c r="R75" s="2"/>
    </row>
    <row r="76" ht="21.75" customHeight="1">
      <c r="A76" s="96"/>
      <c r="B76" s="87"/>
      <c r="C76" s="87"/>
      <c r="D76" s="97"/>
      <c r="E76" s="87"/>
      <c r="F76" s="87"/>
      <c r="G76" s="2"/>
      <c r="H76" s="2"/>
      <c r="I76" s="2"/>
      <c r="J76" s="2"/>
      <c r="K76" s="98"/>
      <c r="L76" s="99"/>
      <c r="M76" s="98"/>
      <c r="N76" s="2"/>
      <c r="O76" s="2"/>
      <c r="P76" s="2"/>
      <c r="Q76" s="2"/>
      <c r="R76" s="2"/>
    </row>
    <row r="77" ht="27.75" customHeight="1">
      <c r="A77" s="96"/>
      <c r="B77" s="87"/>
      <c r="C77" s="87"/>
      <c r="D77" s="97"/>
      <c r="E77" s="87"/>
      <c r="F77" s="87"/>
      <c r="G77" s="80"/>
      <c r="H77" s="2"/>
      <c r="I77" s="80"/>
      <c r="J77" s="80"/>
      <c r="K77" s="100"/>
      <c r="L77" s="99"/>
      <c r="M77" s="98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