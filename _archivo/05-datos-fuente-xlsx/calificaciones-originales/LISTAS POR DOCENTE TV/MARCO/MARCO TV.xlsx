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ingles iv" sheetId="1" r:id="rId5"/>
    <sheet state="visible" name="2-3 ingles iv" sheetId="2" r:id="rId6"/>
  </sheets>
  <definedNames/>
  <calcPr/>
</workbook>
</file>

<file path=xl/sharedStrings.xml><?xml version="1.0" encoding="utf-8"?>
<sst xmlns="http://schemas.openxmlformats.org/spreadsheetml/2006/main" count="321" uniqueCount="232">
  <si>
    <t>ESCUELA PREPARATORIA OFICIAL NÚM. 67</t>
  </si>
  <si>
    <t xml:space="preserve">CONTROL PRIMER PARCIAL </t>
  </si>
  <si>
    <t xml:space="preserve">PROFESOR (A): </t>
  </si>
  <si>
    <t>Marco Antonio Velez Salazar</t>
  </si>
  <si>
    <t>I</t>
  </si>
  <si>
    <t>II</t>
  </si>
  <si>
    <t>III</t>
  </si>
  <si>
    <t>PUNTAJE EXTRA</t>
  </si>
  <si>
    <t>SEGUNDO SEMESTRE
VESPERTINO</t>
  </si>
  <si>
    <t>UAC</t>
  </si>
  <si>
    <t>INGLÉS IV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</si>
  <si>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</si>
  <si>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</si>
  <si>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</si>
  <si>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</si>
  <si>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</si>
  <si>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</si>
  <si>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</si>
  <si>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</si>
  <si>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</si>
  <si>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</si>
  <si>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</si>
  <si>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</si>
  <si>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 xml:space="preserve">BAUTISTA </t>
  </si>
  <si>
    <t>JUAREZ</t>
  </si>
  <si>
    <t>LUIS ERNESTO</t>
  </si>
  <si>
    <t>HORAS IMPARTIDAS</t>
  </si>
  <si>
    <t xml:space="preserve">BOLAÑOS </t>
  </si>
  <si>
    <t>ARREDONDO</t>
  </si>
  <si>
    <t>ANTONIO ALEXANDER</t>
  </si>
  <si>
    <t>Febrero</t>
  </si>
  <si>
    <t xml:space="preserve">CANO </t>
  </si>
  <si>
    <t>GUZMAN</t>
  </si>
  <si>
    <t>LUKA PAOLO</t>
  </si>
  <si>
    <t>Marzo</t>
  </si>
  <si>
    <t xml:space="preserve">CID </t>
  </si>
  <si>
    <t>MARISCAL</t>
  </si>
  <si>
    <t>KIMBERLY</t>
  </si>
  <si>
    <t>Abril</t>
  </si>
  <si>
    <t xml:space="preserve">CISNEROS  </t>
  </si>
  <si>
    <t>RODRIGUEZ</t>
  </si>
  <si>
    <t>DIEGO LEONEL</t>
  </si>
  <si>
    <t>Mayo</t>
  </si>
  <si>
    <t xml:space="preserve">CRUZ </t>
  </si>
  <si>
    <t>ORTEGA</t>
  </si>
  <si>
    <t>MARY CARMEN</t>
  </si>
  <si>
    <t>Junio</t>
  </si>
  <si>
    <t xml:space="preserve">DE LA LUZ </t>
  </si>
  <si>
    <t>VILLANUEVA</t>
  </si>
  <si>
    <t>JONATHAN</t>
  </si>
  <si>
    <t>Julio</t>
  </si>
  <si>
    <t xml:space="preserve">DIAZ  </t>
  </si>
  <si>
    <t>LOPEZ</t>
  </si>
  <si>
    <t>BRYAN ALEJANDRO</t>
  </si>
  <si>
    <t>TOTAL</t>
  </si>
  <si>
    <t xml:space="preserve">ESCUTIA </t>
  </si>
  <si>
    <t>ROMERO</t>
  </si>
  <si>
    <t>YANELY SCARLET</t>
  </si>
  <si>
    <t xml:space="preserve">FLORES </t>
  </si>
  <si>
    <t>GARCIA</t>
  </si>
  <si>
    <t>ZOE NAOMI</t>
  </si>
  <si>
    <t xml:space="preserve">GALVAN </t>
  </si>
  <si>
    <t>HERNANDEZ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</si>
  <si>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</si>
  <si>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</si>
  <si>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</si>
  <si>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</si>
  <si>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</si>
  <si>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</si>
  <si>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</si>
  <si>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</si>
  <si>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</si>
  <si>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</si>
  <si>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RAMIREZ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</si>
  <si>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</si>
  <si>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</si>
  <si>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</si>
  <si>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</si>
  <si>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</si>
  <si>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</si>
  <si>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</si>
  <si>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</si>
  <si>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</si>
  <si>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</si>
  <si>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</si>
  <si>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</si>
  <si>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</si>
  <si>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</si>
  <si>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</si>
  <si>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</si>
  <si>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</si>
  <si>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</si>
  <si>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</si>
  <si>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VELAZQUEZ</t>
  </si>
  <si>
    <t>ARIADNA</t>
  </si>
  <si>
    <t>VERA</t>
  </si>
  <si>
    <t>EMILIANO</t>
  </si>
  <si>
    <t xml:space="preserve">NAVA </t>
  </si>
  <si>
    <t>ARTEAGA</t>
  </si>
  <si>
    <t>ANALIA ZOE</t>
  </si>
  <si>
    <t>OLMOS</t>
  </si>
  <si>
    <t>SANCHEZ</t>
  </si>
  <si>
    <t>STEFANY QUETZALLI</t>
  </si>
  <si>
    <t xml:space="preserve">OLVERA </t>
  </si>
  <si>
    <t>SOLIS</t>
  </si>
  <si>
    <t>VALENTINA GUADALUPE</t>
  </si>
  <si>
    <t>VALERIO</t>
  </si>
  <si>
    <t>PAOLA AILANY</t>
  </si>
  <si>
    <t xml:space="preserve">RICO </t>
  </si>
  <si>
    <t>OJEDA</t>
  </si>
  <si>
    <t>FERNANDA YARELI</t>
  </si>
  <si>
    <t>SUAREZ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</si>
  <si>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</si>
  <si>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</si>
  <si>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</si>
  <si>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</si>
  <si>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</si>
  <si>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</si>
  <si>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</si>
  <si>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</si>
  <si>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</si>
  <si>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</si>
  <si>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</si>
  <si>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</si>
  <si>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</si>
  <si>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</si>
  <si>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</si>
  <si>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</si>
  <si>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</si>
  <si>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</si>
  <si>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</si>
  <si>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</si>
  <si>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</si>
  <si>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</si>
  <si>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</si>
  <si>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</si>
  <si>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</si>
  <si>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BEATRIZ ALEJANDRA GARCÍA GONZÁLEZ</t>
  </si>
  <si>
    <t>PROFR. OCTAVIO VÁZQUEZ BARRETO</t>
  </si>
  <si>
    <t xml:space="preserve">PROFR. ROBERTO PALOMARES MEJÍA </t>
  </si>
  <si>
    <t>PROMEDIO</t>
  </si>
  <si>
    <t>CALZADA</t>
  </si>
  <si>
    <t>SOTO</t>
  </si>
  <si>
    <t>ANDRE SEBASTIAN</t>
  </si>
  <si>
    <t>CERON</t>
  </si>
  <si>
    <t>MARTINEZ</t>
  </si>
  <si>
    <t>ERICK</t>
  </si>
  <si>
    <t>ELIZALDE</t>
  </si>
  <si>
    <t>KARLA VALENTINA</t>
  </si>
  <si>
    <t>FLORES</t>
  </si>
  <si>
    <t>ROBLES</t>
  </si>
  <si>
    <t>SUSANA MIRANDA</t>
  </si>
  <si>
    <t>FUENTES</t>
  </si>
  <si>
    <t>GUTIERREZ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</si>
  <si>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</si>
  <si>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</si>
  <si>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</si>
  <si>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</si>
  <si>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</si>
  <si>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</si>
  <si>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</si>
  <si>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CABRERA</t>
  </si>
  <si>
    <t>BEATRIZ</t>
  </si>
  <si>
    <t>MEREDITH SOFIA</t>
  </si>
  <si>
    <t>MARIA FERNANDA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</si>
  <si>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</si>
  <si>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</si>
  <si>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</si>
  <si>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</si>
  <si>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</si>
  <si>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</si>
  <si>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</si>
  <si>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</si>
  <si>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</si>
  <si>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</si>
  <si>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</si>
  <si>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</si>
  <si>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</si>
  <si>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</si>
  <si>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</si>
  <si>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</si>
  <si>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</si>
  <si>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</si>
  <si>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</si>
  <si>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MORALES</t>
  </si>
  <si>
    <t>VALENTINA</t>
  </si>
  <si>
    <t>MORENO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</si>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</sst>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theme="1"/>
      <name val="Century Gothic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readingOrder="0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" xfId="0" applyAlignment="1" applyBorder="1" applyFont="1" applyNumberFormat="1">
      <alignment horizontal="center" vertical="bottom"/>
    </xf>
    <xf borderId="23" fillId="0" fontId="5" numFmtId="0" xfId="0" applyAlignment="1" applyBorder="1" applyFont="1">
      <alignment horizontal="center" vertical="bottom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top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15" fillId="2" fontId="3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60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3.0</v>
      </c>
      <c r="G17" s="47">
        <v>2.0</v>
      </c>
      <c r="H17" s="48"/>
      <c r="I17" s="48">
        <f t="shared" ref="I17:I51" si="1">SUM(E17:H17)</f>
        <v>10</v>
      </c>
      <c r="J17" s="44"/>
      <c r="K17" s="49">
        <f t="shared" ref="K17:K51" si="2">IF(I17&lt;6, 5, MIN(10, ROUND(I17, 0)))</f>
        <v>10</v>
      </c>
      <c r="L17" s="50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4"/>
      <c r="K18" s="49">
        <f t="shared" si="2"/>
        <v>10</v>
      </c>
      <c r="L18" s="44"/>
      <c r="M18" s="51">
        <f t="shared" si="3"/>
        <v>10</v>
      </c>
      <c r="N18" s="53" t="s">
        <v>30</v>
      </c>
      <c r="O18" s="54">
        <v>7.0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4"/>
      <c r="K19" s="49">
        <f t="shared" si="2"/>
        <v>10</v>
      </c>
      <c r="L19" s="44"/>
      <c r="M19" s="51">
        <f t="shared" si="3"/>
        <v>10</v>
      </c>
      <c r="N19" s="53" t="s">
        <v>34</v>
      </c>
      <c r="O19" s="54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4"/>
      <c r="K20" s="49">
        <f t="shared" si="2"/>
        <v>10</v>
      </c>
      <c r="L20" s="44"/>
      <c r="M20" s="51">
        <f t="shared" si="3"/>
        <v>10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4"/>
      <c r="K21" s="49">
        <f t="shared" si="2"/>
        <v>10</v>
      </c>
      <c r="L21" s="44"/>
      <c r="M21" s="51">
        <f t="shared" si="3"/>
        <v>10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4"/>
      <c r="K22" s="49">
        <f t="shared" si="2"/>
        <v>10</v>
      </c>
      <c r="L22" s="44"/>
      <c r="M22" s="51">
        <f t="shared" si="3"/>
        <v>10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44"/>
      <c r="K23" s="49">
        <f t="shared" si="2"/>
        <v>10</v>
      </c>
      <c r="L23" s="44"/>
      <c r="M23" s="51">
        <f t="shared" si="3"/>
        <v>10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4.0</v>
      </c>
      <c r="F24" s="47">
        <v>3.0</v>
      </c>
      <c r="G24" s="47">
        <v>2.0</v>
      </c>
      <c r="H24" s="48"/>
      <c r="I24" s="48">
        <f t="shared" si="1"/>
        <v>9</v>
      </c>
      <c r="J24" s="44"/>
      <c r="K24" s="49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4"/>
      <c r="K25" s="49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5.0</v>
      </c>
      <c r="F26" s="47">
        <v>3.0</v>
      </c>
      <c r="G26" s="47">
        <v>2.0</v>
      </c>
      <c r="H26" s="48"/>
      <c r="I26" s="48">
        <f t="shared" si="1"/>
        <v>10</v>
      </c>
      <c r="J26" s="44"/>
      <c r="K26" s="49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4"/>
      <c r="K27" s="49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64</v>
      </c>
      <c r="C28" s="45" t="s">
        <v>65</v>
      </c>
      <c r="D28" s="46" t="s">
        <v>66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4"/>
      <c r="K28" s="49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64</v>
      </c>
      <c r="C29" s="45" t="s">
        <v>67</v>
      </c>
      <c r="D29" s="46" t="s">
        <v>68</v>
      </c>
      <c r="E29" s="47">
        <v>4.0</v>
      </c>
      <c r="F29" s="47">
        <v>3.0</v>
      </c>
      <c r="G29" s="47">
        <v>2.0</v>
      </c>
      <c r="H29" s="48"/>
      <c r="I29" s="48">
        <f t="shared" si="1"/>
        <v>9</v>
      </c>
      <c r="J29" s="44"/>
      <c r="K29" s="49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69</v>
      </c>
      <c r="C30" s="45" t="s">
        <v>70</v>
      </c>
      <c r="D30" s="46" t="s">
        <v>71</v>
      </c>
      <c r="E30" s="47">
        <v>4.0</v>
      </c>
      <c r="F30" s="47">
        <v>3.0</v>
      </c>
      <c r="G30" s="47">
        <v>2.0</v>
      </c>
      <c r="H30" s="47">
        <v>1.0</v>
      </c>
      <c r="I30" s="48">
        <f t="shared" si="1"/>
        <v>10</v>
      </c>
      <c r="J30" s="44"/>
      <c r="K30" s="49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72</v>
      </c>
      <c r="C31" s="45" t="s">
        <v>73</v>
      </c>
      <c r="D31" s="46" t="s">
        <v>74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44"/>
      <c r="K31" s="49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75</v>
      </c>
      <c r="C32" s="45" t="s">
        <v>76</v>
      </c>
      <c r="D32" s="46" t="s">
        <v>77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4"/>
      <c r="K32" s="49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78</v>
      </c>
      <c r="C33" s="45" t="s">
        <v>79</v>
      </c>
      <c r="D33" s="46" t="s">
        <v>80</v>
      </c>
      <c r="E33" s="47">
        <v>2.0</v>
      </c>
      <c r="F33" s="47">
        <v>3.0</v>
      </c>
      <c r="G33" s="47">
        <v>2.0</v>
      </c>
      <c r="H33" s="48"/>
      <c r="I33" s="48">
        <f t="shared" si="1"/>
        <v>7</v>
      </c>
      <c r="J33" s="54">
        <v>1.0</v>
      </c>
      <c r="K33" s="49">
        <f t="shared" si="2"/>
        <v>7</v>
      </c>
      <c r="L33" s="44"/>
      <c r="M33" s="51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81</v>
      </c>
      <c r="C34" s="45" t="s">
        <v>82</v>
      </c>
      <c r="D34" s="46" t="s">
        <v>83</v>
      </c>
      <c r="E34" s="47">
        <v>5.0</v>
      </c>
      <c r="F34" s="47">
        <v>3.0</v>
      </c>
      <c r="G34" s="47">
        <v>2.0</v>
      </c>
      <c r="H34" s="47">
        <v>1.0</v>
      </c>
      <c r="I34" s="48">
        <f t="shared" si="1"/>
        <v>11</v>
      </c>
      <c r="J34" s="44"/>
      <c r="K34" s="49">
        <f t="shared" si="2"/>
        <v>10</v>
      </c>
      <c r="L34" s="44"/>
      <c r="M34" s="51">
        <f t="shared" si="3"/>
        <v>11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84</v>
      </c>
      <c r="C35" s="45" t="s">
        <v>85</v>
      </c>
      <c r="D35" s="46" t="s">
        <v>86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4"/>
      <c r="K35" s="49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87</v>
      </c>
      <c r="C36" s="45" t="s">
        <v>88</v>
      </c>
      <c r="D36" s="46" t="s">
        <v>89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4"/>
      <c r="K36" s="49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87</v>
      </c>
      <c r="C37" s="45" t="s">
        <v>90</v>
      </c>
      <c r="D37" s="46" t="s">
        <v>91</v>
      </c>
      <c r="E37" s="47">
        <v>4.0</v>
      </c>
      <c r="F37" s="47">
        <v>3.0</v>
      </c>
      <c r="G37" s="47">
        <v>2.0</v>
      </c>
      <c r="H37" s="48"/>
      <c r="I37" s="48">
        <f t="shared" si="1"/>
        <v>9</v>
      </c>
      <c r="J37" s="54">
        <v>1.0</v>
      </c>
      <c r="K37" s="49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56</v>
      </c>
      <c r="D38" s="46" t="s">
        <v>92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4"/>
      <c r="K38" s="49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87</v>
      </c>
      <c r="C39" s="45" t="s">
        <v>93</v>
      </c>
      <c r="D39" s="46" t="s">
        <v>94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54">
        <v>1.0</v>
      </c>
      <c r="K39" s="49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87</v>
      </c>
      <c r="C40" s="45" t="s">
        <v>95</v>
      </c>
      <c r="D40" s="46" t="s">
        <v>96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54">
        <v>1.0</v>
      </c>
      <c r="K40" s="49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4"/>
      <c r="K41" s="49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5.0</v>
      </c>
      <c r="F42" s="47">
        <v>3.0</v>
      </c>
      <c r="G42" s="47">
        <v>2.0</v>
      </c>
      <c r="H42" s="47">
        <v>1.0</v>
      </c>
      <c r="I42" s="48">
        <f t="shared" si="1"/>
        <v>11</v>
      </c>
      <c r="J42" s="44"/>
      <c r="K42" s="49">
        <f t="shared" si="2"/>
        <v>10</v>
      </c>
      <c r="L42" s="44"/>
      <c r="M42" s="51">
        <f t="shared" si="3"/>
        <v>11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4"/>
      <c r="K43" s="49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73</v>
      </c>
      <c r="C44" s="45" t="s">
        <v>106</v>
      </c>
      <c r="D44" s="46" t="s">
        <v>107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44"/>
      <c r="K44" s="49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108</v>
      </c>
      <c r="C45" s="45" t="s">
        <v>109</v>
      </c>
      <c r="D45" s="46" t="s">
        <v>68</v>
      </c>
      <c r="E45" s="47">
        <v>5.0</v>
      </c>
      <c r="F45" s="47">
        <v>3.0</v>
      </c>
      <c r="G45" s="47">
        <v>2.0</v>
      </c>
      <c r="H45" s="47">
        <v>1.0</v>
      </c>
      <c r="I45" s="48">
        <f t="shared" si="1"/>
        <v>11</v>
      </c>
      <c r="J45" s="44"/>
      <c r="K45" s="49">
        <f t="shared" si="2"/>
        <v>10</v>
      </c>
      <c r="L45" s="44"/>
      <c r="M45" s="51">
        <f t="shared" si="3"/>
        <v>11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40</v>
      </c>
      <c r="C46" s="45" t="s">
        <v>52</v>
      </c>
      <c r="D46" s="46" t="s">
        <v>110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4"/>
      <c r="K46" s="49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111</v>
      </c>
      <c r="C47" s="45" t="s">
        <v>112</v>
      </c>
      <c r="D47" s="46" t="s">
        <v>113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4"/>
      <c r="K47" s="49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114</v>
      </c>
      <c r="C48" s="45" t="s">
        <v>115</v>
      </c>
      <c r="D48" s="46" t="s">
        <v>116</v>
      </c>
      <c r="E48" s="47">
        <v>5.0</v>
      </c>
      <c r="F48" s="47">
        <v>3.0</v>
      </c>
      <c r="G48" s="47">
        <v>2.0</v>
      </c>
      <c r="H48" s="48"/>
      <c r="I48" s="48">
        <f t="shared" si="1"/>
        <v>10</v>
      </c>
      <c r="J48" s="44"/>
      <c r="K48" s="49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118</v>
      </c>
      <c r="D49" s="46" t="s">
        <v>119</v>
      </c>
      <c r="E49" s="47">
        <v>4.0</v>
      </c>
      <c r="F49" s="47">
        <v>3.0</v>
      </c>
      <c r="G49" s="47">
        <v>2.0</v>
      </c>
      <c r="H49" s="48"/>
      <c r="I49" s="48">
        <f t="shared" si="1"/>
        <v>9</v>
      </c>
      <c r="J49" s="44"/>
      <c r="K49" s="49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120</v>
      </c>
      <c r="C50" s="45" t="s">
        <v>121</v>
      </c>
      <c r="D50" s="46" t="s">
        <v>122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4"/>
      <c r="K50" s="49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124</v>
      </c>
      <c r="D51" s="46" t="s">
        <v>125</v>
      </c>
      <c r="E51" s="47">
        <v>5.0</v>
      </c>
      <c r="F51" s="47">
        <v>3.0</v>
      </c>
      <c r="G51" s="47">
        <v>2.0</v>
      </c>
      <c r="H51" s="48"/>
      <c r="I51" s="48">
        <f t="shared" si="1"/>
        <v>10</v>
      </c>
      <c r="J51" s="44"/>
      <c r="K51" s="49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56"/>
      <c r="E52" s="57"/>
      <c r="F52" s="58"/>
      <c r="G52" s="58"/>
      <c r="H52" s="58"/>
      <c r="I52" s="58"/>
      <c r="J52" s="58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9" t="s">
        <v>126</v>
      </c>
      <c r="C53" s="60"/>
      <c r="D53" s="61">
        <f>COUNT(A17:A51)</f>
        <v>35</v>
      </c>
      <c r="E53" s="58"/>
      <c r="F53" s="58"/>
      <c r="G53" s="62" t="s">
        <v>127</v>
      </c>
      <c r="H53" s="58"/>
      <c r="I53" s="62" t="s">
        <v>128</v>
      </c>
      <c r="K53" s="63" t="s">
        <v>129</v>
      </c>
      <c r="L53" s="64" t="s">
        <v>130</v>
      </c>
      <c r="M53" s="55"/>
      <c r="N53" s="1"/>
      <c r="O53" s="1"/>
      <c r="P53" s="2"/>
      <c r="Q53" s="2"/>
      <c r="R53" s="2"/>
    </row>
    <row r="54" ht="24.75" customHeight="1">
      <c r="A54" s="1"/>
      <c r="B54" s="65" t="s">
        <v>131</v>
      </c>
      <c r="C54" s="66"/>
      <c r="D54" s="67">
        <f>COUNTIF(K17:K51,"BAJA")</f>
        <v>0</v>
      </c>
      <c r="E54" s="58"/>
      <c r="F54" s="58"/>
      <c r="H54" s="58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5" t="s">
        <v>132</v>
      </c>
      <c r="C55" s="66"/>
      <c r="D55" s="68">
        <f>D53-D54</f>
        <v>35</v>
      </c>
      <c r="E55" s="58"/>
      <c r="F55" s="58"/>
      <c r="G55" s="58"/>
      <c r="H55" s="58"/>
      <c r="I55" s="58"/>
      <c r="J55" s="58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5" t="s">
        <v>133</v>
      </c>
      <c r="C56" s="66"/>
      <c r="D56" s="69">
        <f>COUNTIF(K17:K51,"&gt;=6")</f>
        <v>35</v>
      </c>
      <c r="E56" s="58"/>
      <c r="F56" s="58"/>
      <c r="G56" s="58"/>
      <c r="H56" s="58"/>
      <c r="I56" s="58"/>
      <c r="J56" s="58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5" t="s">
        <v>134</v>
      </c>
      <c r="C57" s="66"/>
      <c r="D57" s="69">
        <f>D55-D56</f>
        <v>0</v>
      </c>
      <c r="E57" s="58"/>
      <c r="F57" s="58"/>
      <c r="G57" s="70"/>
      <c r="H57" s="58"/>
      <c r="I57" s="70"/>
      <c r="J57" s="70"/>
      <c r="K57" s="71"/>
      <c r="L57" s="72"/>
      <c r="M57" s="55"/>
      <c r="N57" s="1"/>
      <c r="O57" s="1"/>
      <c r="P57" s="2"/>
      <c r="Q57" s="2"/>
      <c r="R57" s="2"/>
    </row>
    <row r="58" ht="24.75" customHeight="1">
      <c r="A58" s="1"/>
      <c r="B58" s="65" t="s">
        <v>135</v>
      </c>
      <c r="C58" s="66"/>
      <c r="D58" s="68">
        <f>D56*100/D55</f>
        <v>100</v>
      </c>
      <c r="E58" s="58"/>
      <c r="F58" s="58"/>
      <c r="G58" s="73" t="s">
        <v>136</v>
      </c>
      <c r="H58" s="58"/>
      <c r="I58" s="74" t="s">
        <v>137</v>
      </c>
      <c r="K58" s="75" t="s">
        <v>138</v>
      </c>
      <c r="L58" s="76" t="s">
        <v>139</v>
      </c>
      <c r="M58" s="55"/>
      <c r="N58" s="1"/>
      <c r="O58" s="1"/>
      <c r="P58" s="2"/>
      <c r="Q58" s="2"/>
      <c r="R58" s="2"/>
    </row>
    <row r="59" ht="24.75" customHeight="1">
      <c r="A59" s="1"/>
      <c r="B59" s="77" t="s">
        <v>140</v>
      </c>
      <c r="C59" s="78"/>
      <c r="D59" s="79">
        <f>AVERAGE(K17:K51)</f>
        <v>9.8</v>
      </c>
      <c r="E59" s="58"/>
      <c r="F59" s="58"/>
      <c r="H59" s="58"/>
      <c r="L59" s="9"/>
      <c r="M59" s="55"/>
      <c r="N59" s="1"/>
      <c r="O59" s="1"/>
      <c r="P59" s="2"/>
      <c r="Q59" s="2"/>
      <c r="R59" s="2"/>
    </row>
    <row r="60" ht="24.75" customHeight="1">
      <c r="A60" s="80"/>
      <c r="B60" s="81"/>
      <c r="C60" s="81"/>
      <c r="D60" s="81"/>
      <c r="E60" s="82"/>
      <c r="F60" s="82"/>
      <c r="G60" s="82"/>
      <c r="H60" s="82"/>
      <c r="I60" s="82"/>
      <c r="J60" s="83"/>
      <c r="K60" s="81"/>
      <c r="L60" s="84"/>
      <c r="M60" s="81"/>
      <c r="N60" s="2"/>
      <c r="O60" s="2"/>
      <c r="P60" s="2"/>
      <c r="Q60" s="2"/>
      <c r="R60" s="2"/>
    </row>
    <row r="61" ht="24.75" customHeight="1">
      <c r="A61" s="85"/>
      <c r="B61" s="86"/>
      <c r="C61" s="87"/>
      <c r="D61" s="87"/>
      <c r="E61" s="88"/>
      <c r="H61" s="88"/>
      <c r="I61" s="88"/>
      <c r="J61" s="89"/>
      <c r="K61" s="90"/>
      <c r="L61" s="91"/>
      <c r="M61" s="90"/>
      <c r="N61" s="2"/>
      <c r="O61" s="2"/>
      <c r="P61" s="2"/>
      <c r="Q61" s="2"/>
      <c r="R61" s="2"/>
    </row>
    <row r="62" ht="24.75" customHeight="1">
      <c r="A62" s="92"/>
      <c r="B62" s="90"/>
      <c r="C62" s="90"/>
      <c r="D62" s="90"/>
      <c r="E62" s="88"/>
      <c r="F62" s="88"/>
      <c r="G62" s="82"/>
      <c r="H62" s="82"/>
      <c r="I62" s="82"/>
      <c r="J62" s="82"/>
      <c r="K62" s="81"/>
      <c r="L62" s="84"/>
      <c r="M62" s="81"/>
      <c r="N62" s="2"/>
      <c r="O62" s="2"/>
      <c r="P62" s="2"/>
      <c r="Q62" s="2"/>
      <c r="R62" s="2"/>
    </row>
    <row r="63" ht="24.75" customHeight="1">
      <c r="A63" s="92"/>
      <c r="B63" s="90"/>
      <c r="C63" s="90"/>
      <c r="D63" s="93"/>
      <c r="E63" s="88"/>
      <c r="F63" s="88"/>
      <c r="G63" s="82"/>
      <c r="H63" s="82"/>
      <c r="I63" s="82"/>
      <c r="J63" s="82"/>
      <c r="K63" s="81"/>
      <c r="L63" s="94"/>
      <c r="M63" s="81"/>
      <c r="N63" s="2"/>
      <c r="O63" s="2"/>
      <c r="P63" s="2"/>
      <c r="Q63" s="2"/>
      <c r="R63" s="2"/>
    </row>
    <row r="64" ht="24.75" customHeight="1">
      <c r="A64" s="95"/>
      <c r="B64" s="96"/>
      <c r="C64" s="96"/>
      <c r="D64" s="97"/>
      <c r="E64" s="98"/>
      <c r="F64" s="98"/>
      <c r="G64" s="99"/>
      <c r="H64" s="99"/>
      <c r="I64" s="99"/>
      <c r="J64" s="99"/>
      <c r="K64" s="100"/>
      <c r="L64" s="101"/>
      <c r="M64" s="81"/>
      <c r="N64" s="2"/>
      <c r="O64" s="2"/>
      <c r="P64" s="2"/>
      <c r="Q64" s="2"/>
      <c r="R64" s="2"/>
    </row>
    <row r="65" ht="21.75" customHeight="1">
      <c r="A65" s="102"/>
      <c r="B65" s="89"/>
      <c r="C65" s="89"/>
      <c r="D65" s="103"/>
      <c r="E65" s="103"/>
      <c r="F65" s="103"/>
      <c r="G65" s="2"/>
      <c r="H65" s="2"/>
      <c r="I65" s="2"/>
      <c r="J65" s="2"/>
      <c r="K65" s="104"/>
      <c r="L65" s="104"/>
      <c r="M65" s="104"/>
      <c r="N65" s="2"/>
      <c r="O65" s="2"/>
      <c r="P65" s="2"/>
      <c r="Q65" s="2"/>
      <c r="R65" s="2"/>
    </row>
    <row r="66" ht="21.75" customHeight="1">
      <c r="A66" s="102"/>
      <c r="B66" s="103"/>
      <c r="C66" s="103"/>
      <c r="D66" s="103"/>
      <c r="E66" s="103"/>
      <c r="F66" s="103"/>
      <c r="G66" s="2"/>
      <c r="H66" s="2"/>
      <c r="I66" s="2"/>
      <c r="J66" s="2"/>
      <c r="K66" s="104"/>
      <c r="L66" s="104"/>
      <c r="M66" s="104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4 L18:L63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105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141</v>
      </c>
      <c r="C17" s="45" t="s">
        <v>142</v>
      </c>
      <c r="D17" s="46" t="s">
        <v>143</v>
      </c>
      <c r="E17" s="47">
        <v>5.0</v>
      </c>
      <c r="F17" s="47">
        <v>3.0</v>
      </c>
      <c r="G17" s="47">
        <v>2.0</v>
      </c>
      <c r="H17" s="47"/>
      <c r="I17" s="48">
        <f t="shared" ref="I17:I57" si="1">SUM(E17:H17)</f>
        <v>10</v>
      </c>
      <c r="J17" s="54">
        <v>1.0</v>
      </c>
      <c r="K17" s="49">
        <f t="shared" ref="K17:K57" si="2">IF(I17&lt;6, 5, MIN(10, ROUND(I17, 0)))</f>
        <v>10</v>
      </c>
      <c r="L17" s="50"/>
      <c r="M17" s="51">
        <f t="shared" ref="M17:M57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144</v>
      </c>
      <c r="C18" s="45" t="s">
        <v>145</v>
      </c>
      <c r="D18" s="46" t="s">
        <v>146</v>
      </c>
      <c r="E18" s="47">
        <v>4.0</v>
      </c>
      <c r="F18" s="47">
        <v>3.0</v>
      </c>
      <c r="G18" s="47">
        <v>2.0</v>
      </c>
      <c r="H18" s="47"/>
      <c r="I18" s="48">
        <f t="shared" si="1"/>
        <v>9</v>
      </c>
      <c r="J18" s="54">
        <v>1.0</v>
      </c>
      <c r="K18" s="49">
        <f t="shared" si="2"/>
        <v>9</v>
      </c>
      <c r="L18" s="44"/>
      <c r="M18" s="51">
        <f t="shared" si="3"/>
        <v>9</v>
      </c>
      <c r="N18" s="53" t="s">
        <v>30</v>
      </c>
      <c r="O18" s="54">
        <v>7.0</v>
      </c>
      <c r="P18" s="2"/>
      <c r="Q18" s="2"/>
      <c r="R18" s="2"/>
    </row>
    <row r="19" ht="24.75" customHeight="1">
      <c r="A19" s="44">
        <v>3.0</v>
      </c>
      <c r="B19" s="45" t="s">
        <v>147</v>
      </c>
      <c r="C19" s="45" t="s">
        <v>142</v>
      </c>
      <c r="D19" s="46" t="s">
        <v>148</v>
      </c>
      <c r="E19" s="47">
        <v>5.0</v>
      </c>
      <c r="F19" s="47">
        <v>3.0</v>
      </c>
      <c r="G19" s="47">
        <v>2.0</v>
      </c>
      <c r="H19" s="47"/>
      <c r="I19" s="48">
        <f t="shared" si="1"/>
        <v>10</v>
      </c>
      <c r="J19" s="54">
        <v>1.0</v>
      </c>
      <c r="K19" s="49">
        <f t="shared" si="2"/>
        <v>10</v>
      </c>
      <c r="L19" s="44"/>
      <c r="M19" s="51">
        <f t="shared" si="3"/>
        <v>10</v>
      </c>
      <c r="N19" s="53" t="s">
        <v>34</v>
      </c>
      <c r="O19" s="54">
        <v>12.0</v>
      </c>
      <c r="P19" s="2"/>
      <c r="Q19" s="2"/>
      <c r="R19" s="2"/>
    </row>
    <row r="20" ht="24.75" customHeight="1">
      <c r="A20" s="44">
        <v>4.0</v>
      </c>
      <c r="B20" s="45" t="s">
        <v>149</v>
      </c>
      <c r="C20" s="45" t="s">
        <v>150</v>
      </c>
      <c r="D20" s="46" t="s">
        <v>151</v>
      </c>
      <c r="E20" s="47">
        <v>5.0</v>
      </c>
      <c r="F20" s="47">
        <v>3.0</v>
      </c>
      <c r="G20" s="47">
        <v>2.0</v>
      </c>
      <c r="H20" s="47">
        <v>1.0</v>
      </c>
      <c r="I20" s="48">
        <f t="shared" si="1"/>
        <v>11</v>
      </c>
      <c r="J20" s="44"/>
      <c r="K20" s="49">
        <f t="shared" si="2"/>
        <v>10</v>
      </c>
      <c r="L20" s="44"/>
      <c r="M20" s="51">
        <f t="shared" si="3"/>
        <v>11</v>
      </c>
      <c r="N20" s="53" t="s">
        <v>38</v>
      </c>
      <c r="O20" s="44"/>
      <c r="P20" s="2"/>
      <c r="Q20" s="2"/>
      <c r="R20" s="2"/>
    </row>
    <row r="21" ht="24.75" customHeight="1">
      <c r="A21" s="44">
        <v>5.0</v>
      </c>
      <c r="B21" s="45" t="s">
        <v>152</v>
      </c>
      <c r="C21" s="45" t="s">
        <v>153</v>
      </c>
      <c r="D21" s="46" t="s">
        <v>154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4"/>
      <c r="K21" s="49">
        <f t="shared" si="2"/>
        <v>10</v>
      </c>
      <c r="L21" s="44"/>
      <c r="M21" s="51">
        <f t="shared" si="3"/>
        <v>10</v>
      </c>
      <c r="N21" s="53" t="s">
        <v>42</v>
      </c>
      <c r="O21" s="44"/>
      <c r="P21" s="2"/>
      <c r="Q21" s="2"/>
      <c r="R21" s="2"/>
    </row>
    <row r="22" ht="24.75" customHeight="1">
      <c r="A22" s="44">
        <v>6.0</v>
      </c>
      <c r="B22" s="45" t="s">
        <v>152</v>
      </c>
      <c r="C22" s="45" t="s">
        <v>56</v>
      </c>
      <c r="D22" s="46" t="s">
        <v>155</v>
      </c>
      <c r="E22" s="47">
        <v>3.0</v>
      </c>
      <c r="F22" s="47">
        <v>3.0</v>
      </c>
      <c r="G22" s="47">
        <v>2.0</v>
      </c>
      <c r="H22" s="48"/>
      <c r="I22" s="48">
        <f t="shared" si="1"/>
        <v>8</v>
      </c>
      <c r="J22" s="54">
        <v>1.0</v>
      </c>
      <c r="K22" s="49">
        <f t="shared" si="2"/>
        <v>8</v>
      </c>
      <c r="L22" s="44"/>
      <c r="M22" s="51">
        <f t="shared" si="3"/>
        <v>8</v>
      </c>
      <c r="N22" s="53" t="s">
        <v>46</v>
      </c>
      <c r="O22" s="44"/>
      <c r="P22" s="2"/>
      <c r="Q22" s="2"/>
      <c r="R22" s="2"/>
    </row>
    <row r="23" ht="24.75" customHeight="1">
      <c r="A23" s="44">
        <v>7.0</v>
      </c>
      <c r="B23" s="45" t="s">
        <v>156</v>
      </c>
      <c r="C23" s="45" t="s">
        <v>157</v>
      </c>
      <c r="D23" s="46" t="s">
        <v>158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44"/>
      <c r="K23" s="49">
        <f t="shared" si="2"/>
        <v>10</v>
      </c>
      <c r="L23" s="44"/>
      <c r="M23" s="51">
        <f t="shared" si="3"/>
        <v>10</v>
      </c>
      <c r="N23" s="53" t="s">
        <v>50</v>
      </c>
      <c r="O23" s="44"/>
      <c r="P23" s="2"/>
      <c r="Q23" s="2"/>
      <c r="R23" s="2"/>
    </row>
    <row r="24" ht="24.75" customHeight="1">
      <c r="A24" s="44">
        <v>8.0</v>
      </c>
      <c r="B24" s="45" t="s">
        <v>59</v>
      </c>
      <c r="C24" s="45" t="s">
        <v>159</v>
      </c>
      <c r="D24" s="46" t="s">
        <v>160</v>
      </c>
      <c r="E24" s="47">
        <v>4.0</v>
      </c>
      <c r="F24" s="47">
        <v>3.0</v>
      </c>
      <c r="G24" s="47">
        <v>2.0</v>
      </c>
      <c r="H24" s="48"/>
      <c r="I24" s="48">
        <f t="shared" si="1"/>
        <v>9</v>
      </c>
      <c r="J24" s="44"/>
      <c r="K24" s="49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19</v>
      </c>
      <c r="P24" s="2"/>
      <c r="Q24" s="2"/>
      <c r="R24" s="2"/>
    </row>
    <row r="25" ht="24.75" customHeight="1">
      <c r="A25" s="44">
        <v>9.0</v>
      </c>
      <c r="B25" s="45" t="s">
        <v>59</v>
      </c>
      <c r="C25" s="45" t="s">
        <v>161</v>
      </c>
      <c r="D25" s="46" t="s">
        <v>162</v>
      </c>
      <c r="E25" s="47">
        <v>4.0</v>
      </c>
      <c r="F25" s="47">
        <v>3.0</v>
      </c>
      <c r="G25" s="47">
        <v>2.0</v>
      </c>
      <c r="H25" s="47">
        <v>1.0</v>
      </c>
      <c r="I25" s="48">
        <f t="shared" si="1"/>
        <v>10</v>
      </c>
      <c r="J25" s="44"/>
      <c r="K25" s="49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59</v>
      </c>
      <c r="C26" s="45" t="s">
        <v>48</v>
      </c>
      <c r="D26" s="46" t="s">
        <v>163</v>
      </c>
      <c r="E26" s="47">
        <v>4.0</v>
      </c>
      <c r="F26" s="47">
        <v>3.0</v>
      </c>
      <c r="G26" s="47">
        <v>2.0</v>
      </c>
      <c r="H26" s="48"/>
      <c r="I26" s="48">
        <f t="shared" si="1"/>
        <v>9</v>
      </c>
      <c r="J26" s="44"/>
      <c r="K26" s="49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32</v>
      </c>
      <c r="C27" s="45" t="s">
        <v>59</v>
      </c>
      <c r="D27" s="45" t="s">
        <v>164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4"/>
      <c r="K27" s="49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165</v>
      </c>
      <c r="D28" s="46" t="s">
        <v>166</v>
      </c>
      <c r="E28" s="47">
        <v>4.0</v>
      </c>
      <c r="F28" s="47">
        <v>3.0</v>
      </c>
      <c r="G28" s="47">
        <v>2.0</v>
      </c>
      <c r="H28" s="48"/>
      <c r="I28" s="48">
        <f t="shared" si="1"/>
        <v>9</v>
      </c>
      <c r="J28" s="44"/>
      <c r="K28" s="49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167</v>
      </c>
      <c r="D29" s="46" t="s">
        <v>168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4"/>
      <c r="K29" s="49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62</v>
      </c>
      <c r="C30" s="45" t="s">
        <v>169</v>
      </c>
      <c r="D30" s="46" t="s">
        <v>170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44"/>
      <c r="K30" s="49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62</v>
      </c>
      <c r="C31" s="45" t="s">
        <v>171</v>
      </c>
      <c r="D31" s="46" t="s">
        <v>172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54">
        <v>1.0</v>
      </c>
      <c r="K31" s="49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62</v>
      </c>
      <c r="C32" s="45" t="s">
        <v>101</v>
      </c>
      <c r="D32" s="46" t="s">
        <v>173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4"/>
      <c r="K32" s="49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24</v>
      </c>
      <c r="C33" s="45" t="s">
        <v>62</v>
      </c>
      <c r="D33" s="46" t="s">
        <v>174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4"/>
      <c r="K33" s="49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175</v>
      </c>
      <c r="C34" s="45" t="s">
        <v>176</v>
      </c>
      <c r="D34" s="46" t="s">
        <v>177</v>
      </c>
      <c r="E34" s="47">
        <v>5.0</v>
      </c>
      <c r="F34" s="47">
        <v>3.0</v>
      </c>
      <c r="G34" s="47">
        <v>2.0</v>
      </c>
      <c r="H34" s="47">
        <v>1.0</v>
      </c>
      <c r="I34" s="48">
        <f t="shared" si="1"/>
        <v>11</v>
      </c>
      <c r="J34" s="44"/>
      <c r="K34" s="49">
        <f t="shared" si="2"/>
        <v>10</v>
      </c>
      <c r="L34" s="44"/>
      <c r="M34" s="51">
        <f t="shared" si="3"/>
        <v>11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52</v>
      </c>
      <c r="C35" s="45" t="s">
        <v>73</v>
      </c>
      <c r="D35" s="46" t="s">
        <v>178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4"/>
      <c r="K35" s="49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145</v>
      </c>
      <c r="C36" s="45" t="s">
        <v>179</v>
      </c>
      <c r="D36" s="46" t="s">
        <v>180</v>
      </c>
      <c r="E36" s="47">
        <v>5.0</v>
      </c>
      <c r="F36" s="47">
        <v>3.0</v>
      </c>
      <c r="G36" s="47">
        <v>2.0</v>
      </c>
      <c r="H36" s="47">
        <v>1.0</v>
      </c>
      <c r="I36" s="48">
        <f t="shared" si="1"/>
        <v>11</v>
      </c>
      <c r="J36" s="44"/>
      <c r="K36" s="49">
        <f t="shared" si="2"/>
        <v>10</v>
      </c>
      <c r="L36" s="44"/>
      <c r="M36" s="51">
        <f t="shared" si="3"/>
        <v>11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181</v>
      </c>
      <c r="C37" s="45" t="s">
        <v>182</v>
      </c>
      <c r="D37" s="46" t="s">
        <v>183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4"/>
      <c r="K37" s="49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184</v>
      </c>
      <c r="C38" s="45" t="s">
        <v>70</v>
      </c>
      <c r="D38" s="46" t="s">
        <v>185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4"/>
      <c r="K38" s="49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186</v>
      </c>
      <c r="C39" s="45" t="s">
        <v>187</v>
      </c>
      <c r="D39" s="46" t="s">
        <v>188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4"/>
      <c r="K39" s="49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189</v>
      </c>
      <c r="C40" s="45" t="s">
        <v>117</v>
      </c>
      <c r="D40" s="46" t="s">
        <v>190</v>
      </c>
      <c r="E40" s="47">
        <v>5.0</v>
      </c>
      <c r="F40" s="47">
        <v>3.0</v>
      </c>
      <c r="G40" s="47">
        <v>2.0</v>
      </c>
      <c r="H40" s="47">
        <v>1.0</v>
      </c>
      <c r="I40" s="48">
        <f t="shared" si="1"/>
        <v>11</v>
      </c>
      <c r="J40" s="44"/>
      <c r="K40" s="49">
        <f t="shared" si="2"/>
        <v>10</v>
      </c>
      <c r="L40" s="44"/>
      <c r="M40" s="51">
        <f t="shared" si="3"/>
        <v>11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191</v>
      </c>
      <c r="C41" s="45" t="s">
        <v>192</v>
      </c>
      <c r="D41" s="46" t="s">
        <v>193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4"/>
      <c r="K41" s="49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194</v>
      </c>
      <c r="C42" s="45" t="s">
        <v>195</v>
      </c>
      <c r="D42" s="46" t="s">
        <v>196</v>
      </c>
      <c r="E42" s="47">
        <v>3.0</v>
      </c>
      <c r="F42" s="47">
        <v>3.0</v>
      </c>
      <c r="G42" s="47">
        <v>2.0</v>
      </c>
      <c r="H42" s="48"/>
      <c r="I42" s="48">
        <f t="shared" si="1"/>
        <v>8</v>
      </c>
      <c r="J42" s="44"/>
      <c r="K42" s="49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197</v>
      </c>
      <c r="C43" s="45" t="s">
        <v>198</v>
      </c>
      <c r="D43" s="46" t="s">
        <v>199</v>
      </c>
      <c r="E43" s="47">
        <v>4.0</v>
      </c>
      <c r="F43" s="47">
        <v>3.0</v>
      </c>
      <c r="G43" s="47">
        <v>2.0</v>
      </c>
      <c r="H43" s="48"/>
      <c r="I43" s="48">
        <f t="shared" si="1"/>
        <v>9</v>
      </c>
      <c r="J43" s="44"/>
      <c r="K43" s="49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200</v>
      </c>
      <c r="C44" s="45" t="s">
        <v>201</v>
      </c>
      <c r="D44" s="46" t="s">
        <v>202</v>
      </c>
      <c r="E44" s="47">
        <v>5.0</v>
      </c>
      <c r="F44" s="47">
        <v>3.0</v>
      </c>
      <c r="G44" s="47">
        <v>2.0</v>
      </c>
      <c r="H44" s="47">
        <v>1.0</v>
      </c>
      <c r="I44" s="48">
        <f t="shared" si="1"/>
        <v>11</v>
      </c>
      <c r="J44" s="44"/>
      <c r="K44" s="49">
        <f t="shared" si="2"/>
        <v>10</v>
      </c>
      <c r="L44" s="44"/>
      <c r="M44" s="51">
        <f t="shared" si="3"/>
        <v>11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150</v>
      </c>
      <c r="C45" s="45" t="s">
        <v>203</v>
      </c>
      <c r="D45" s="46" t="s">
        <v>204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4"/>
      <c r="K45" s="49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40</v>
      </c>
      <c r="C46" s="45" t="s">
        <v>59</v>
      </c>
      <c r="D46" s="46" t="s">
        <v>68</v>
      </c>
      <c r="E46" s="47">
        <v>4.0</v>
      </c>
      <c r="F46" s="47">
        <v>3.0</v>
      </c>
      <c r="G46" s="47">
        <v>2.0</v>
      </c>
      <c r="H46" s="48"/>
      <c r="I46" s="48">
        <f t="shared" si="1"/>
        <v>9</v>
      </c>
      <c r="J46" s="44"/>
      <c r="K46" s="49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56</v>
      </c>
      <c r="C47" s="45" t="s">
        <v>205</v>
      </c>
      <c r="D47" s="46" t="s">
        <v>206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4"/>
      <c r="K47" s="49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207</v>
      </c>
      <c r="C48" s="45" t="s">
        <v>208</v>
      </c>
      <c r="D48" s="46" t="s">
        <v>209</v>
      </c>
      <c r="E48" s="47">
        <v>5.0</v>
      </c>
      <c r="F48" s="47">
        <v>3.0</v>
      </c>
      <c r="G48" s="47">
        <v>2.0</v>
      </c>
      <c r="H48" s="47">
        <v>1.0</v>
      </c>
      <c r="I48" s="48">
        <f t="shared" si="1"/>
        <v>11</v>
      </c>
      <c r="J48" s="44"/>
      <c r="K48" s="49">
        <f t="shared" si="2"/>
        <v>10</v>
      </c>
      <c r="L48" s="44"/>
      <c r="M48" s="51">
        <f t="shared" si="3"/>
        <v>11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101</v>
      </c>
      <c r="C49" s="45" t="s">
        <v>167</v>
      </c>
      <c r="D49" s="46" t="s">
        <v>210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4"/>
      <c r="K49" s="49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101</v>
      </c>
      <c r="C50" s="45" t="s">
        <v>62</v>
      </c>
      <c r="D50" s="46" t="s">
        <v>211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4"/>
      <c r="K50" s="49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201</v>
      </c>
      <c r="C51" s="45" t="s">
        <v>212</v>
      </c>
      <c r="D51" s="46" t="s">
        <v>213</v>
      </c>
      <c r="E51" s="47">
        <v>5.0</v>
      </c>
      <c r="F51" s="47">
        <v>3.0</v>
      </c>
      <c r="G51" s="47">
        <v>2.0</v>
      </c>
      <c r="H51" s="47">
        <v>1.0</v>
      </c>
      <c r="I51" s="48">
        <f t="shared" si="1"/>
        <v>11</v>
      </c>
      <c r="J51" s="44"/>
      <c r="K51" s="49">
        <f t="shared" si="2"/>
        <v>10</v>
      </c>
      <c r="L51" s="44"/>
      <c r="M51" s="51">
        <f t="shared" si="3"/>
        <v>11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214</v>
      </c>
      <c r="C52" s="45" t="s">
        <v>215</v>
      </c>
      <c r="D52" s="46" t="s">
        <v>216</v>
      </c>
      <c r="E52" s="47">
        <v>3.0</v>
      </c>
      <c r="F52" s="47">
        <v>3.0</v>
      </c>
      <c r="G52" s="47">
        <v>2.0</v>
      </c>
      <c r="H52" s="47">
        <v>1.0</v>
      </c>
      <c r="I52" s="48">
        <f t="shared" si="1"/>
        <v>9</v>
      </c>
      <c r="J52" s="44"/>
      <c r="K52" s="49">
        <f t="shared" si="2"/>
        <v>9</v>
      </c>
      <c r="L52" s="44"/>
      <c r="M52" s="50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217</v>
      </c>
      <c r="C53" s="45" t="s">
        <v>218</v>
      </c>
      <c r="D53" s="46" t="s">
        <v>219</v>
      </c>
      <c r="E53" s="47">
        <v>5.0</v>
      </c>
      <c r="F53" s="47">
        <v>3.0</v>
      </c>
      <c r="G53" s="47">
        <v>2.0</v>
      </c>
      <c r="H53" s="47">
        <v>1.0</v>
      </c>
      <c r="I53" s="48">
        <f t="shared" si="1"/>
        <v>11</v>
      </c>
      <c r="J53" s="48"/>
      <c r="K53" s="49">
        <f t="shared" si="2"/>
        <v>10</v>
      </c>
      <c r="L53" s="44"/>
      <c r="M53" s="50">
        <f t="shared" si="3"/>
        <v>11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220</v>
      </c>
      <c r="C54" s="45" t="s">
        <v>221</v>
      </c>
      <c r="D54" s="46" t="s">
        <v>222</v>
      </c>
      <c r="E54" s="47">
        <v>4.0</v>
      </c>
      <c r="F54" s="47">
        <v>3.0</v>
      </c>
      <c r="G54" s="47">
        <v>2.0</v>
      </c>
      <c r="H54" s="48"/>
      <c r="I54" s="48">
        <f t="shared" si="1"/>
        <v>9</v>
      </c>
      <c r="J54" s="48"/>
      <c r="K54" s="49">
        <f t="shared" si="2"/>
        <v>9</v>
      </c>
      <c r="L54" s="44"/>
      <c r="M54" s="50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223</v>
      </c>
      <c r="C55" s="45" t="s">
        <v>224</v>
      </c>
      <c r="D55" s="46" t="s">
        <v>225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106"/>
      <c r="K55" s="49">
        <f t="shared" si="2"/>
        <v>10</v>
      </c>
      <c r="L55" s="44"/>
      <c r="M55" s="50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226</v>
      </c>
      <c r="C56" s="45" t="s">
        <v>227</v>
      </c>
      <c r="D56" s="45" t="s">
        <v>228</v>
      </c>
      <c r="E56" s="47">
        <v>4.0</v>
      </c>
      <c r="F56" s="47">
        <v>3.0</v>
      </c>
      <c r="G56" s="47">
        <v>2.0</v>
      </c>
      <c r="H56" s="48"/>
      <c r="I56" s="48">
        <f t="shared" si="1"/>
        <v>9</v>
      </c>
      <c r="J56" s="54">
        <v>1.0</v>
      </c>
      <c r="K56" s="49">
        <f t="shared" si="2"/>
        <v>9</v>
      </c>
      <c r="L56" s="44"/>
      <c r="M56" s="50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229</v>
      </c>
      <c r="C57" s="45" t="s">
        <v>230</v>
      </c>
      <c r="D57" s="45" t="s">
        <v>231</v>
      </c>
      <c r="E57" s="47">
        <v>2.0</v>
      </c>
      <c r="F57" s="47">
        <v>3.0</v>
      </c>
      <c r="G57" s="47">
        <v>2.0</v>
      </c>
      <c r="H57" s="48"/>
      <c r="I57" s="48">
        <f t="shared" si="1"/>
        <v>7</v>
      </c>
      <c r="J57" s="48"/>
      <c r="K57" s="49">
        <f t="shared" si="2"/>
        <v>7</v>
      </c>
      <c r="L57" s="44"/>
      <c r="M57" s="50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5"/>
      <c r="C58" s="55"/>
      <c r="D58" s="56"/>
      <c r="E58" s="58"/>
      <c r="F58" s="58"/>
      <c r="G58" s="58"/>
      <c r="H58" s="58"/>
      <c r="I58" s="58"/>
      <c r="J58" s="58"/>
      <c r="K58" s="55"/>
      <c r="L58" s="7"/>
      <c r="M58" s="55"/>
      <c r="N58" s="1"/>
      <c r="O58" s="1"/>
      <c r="P58" s="2"/>
      <c r="Q58" s="2"/>
      <c r="R58" s="2"/>
    </row>
    <row r="59" ht="24.75" customHeight="1">
      <c r="A59" s="1"/>
      <c r="B59" s="59" t="s">
        <v>126</v>
      </c>
      <c r="C59" s="60"/>
      <c r="D59" s="61">
        <f>COUNT(A17:A57)</f>
        <v>41</v>
      </c>
      <c r="E59" s="58"/>
      <c r="F59" s="58"/>
      <c r="G59" s="62" t="s">
        <v>127</v>
      </c>
      <c r="H59" s="58"/>
      <c r="I59" s="62" t="s">
        <v>128</v>
      </c>
      <c r="K59" s="63" t="s">
        <v>129</v>
      </c>
      <c r="L59" s="64" t="s">
        <v>130</v>
      </c>
      <c r="M59" s="55"/>
      <c r="N59" s="1"/>
      <c r="O59" s="1"/>
      <c r="P59" s="2"/>
      <c r="Q59" s="2"/>
      <c r="R59" s="2"/>
    </row>
    <row r="60" ht="24.75" customHeight="1">
      <c r="A60" s="1"/>
      <c r="B60" s="65" t="s">
        <v>131</v>
      </c>
      <c r="C60" s="66"/>
      <c r="D60" s="67">
        <f>COUNTIF(K17:K57,"BAJA")</f>
        <v>0</v>
      </c>
      <c r="E60" s="58"/>
      <c r="F60" s="58"/>
      <c r="H60" s="58"/>
      <c r="L60" s="9"/>
      <c r="M60" s="55"/>
      <c r="N60" s="1"/>
      <c r="O60" s="1"/>
      <c r="P60" s="2"/>
      <c r="Q60" s="2"/>
      <c r="R60" s="2"/>
    </row>
    <row r="61" ht="24.75" customHeight="1">
      <c r="A61" s="1"/>
      <c r="B61" s="65" t="s">
        <v>132</v>
      </c>
      <c r="C61" s="66"/>
      <c r="D61" s="68">
        <f>D59-D60</f>
        <v>41</v>
      </c>
      <c r="E61" s="58"/>
      <c r="F61" s="58"/>
      <c r="G61" s="58"/>
      <c r="H61" s="58"/>
      <c r="I61" s="58"/>
      <c r="J61" s="58"/>
      <c r="K61" s="55"/>
      <c r="L61" s="7"/>
      <c r="M61" s="55"/>
      <c r="N61" s="1"/>
      <c r="O61" s="1"/>
      <c r="P61" s="2"/>
      <c r="Q61" s="2"/>
      <c r="R61" s="2"/>
    </row>
    <row r="62" ht="24.75" customHeight="1">
      <c r="A62" s="1"/>
      <c r="B62" s="65" t="s">
        <v>133</v>
      </c>
      <c r="C62" s="66"/>
      <c r="D62" s="69">
        <f>COUNTIF(K17:K57,"&gt;=6")</f>
        <v>41</v>
      </c>
      <c r="E62" s="58"/>
      <c r="F62" s="58"/>
      <c r="G62" s="58"/>
      <c r="H62" s="58"/>
      <c r="I62" s="58"/>
      <c r="J62" s="58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5" t="s">
        <v>134</v>
      </c>
      <c r="C63" s="66"/>
      <c r="D63" s="69">
        <f>D61-D62</f>
        <v>0</v>
      </c>
      <c r="E63" s="58"/>
      <c r="F63" s="58"/>
      <c r="G63" s="70"/>
      <c r="H63" s="58"/>
      <c r="I63" s="70"/>
      <c r="J63" s="70"/>
      <c r="K63" s="71"/>
      <c r="L63" s="72"/>
      <c r="M63" s="55"/>
      <c r="N63" s="1"/>
      <c r="O63" s="1"/>
      <c r="P63" s="2"/>
      <c r="Q63" s="2"/>
      <c r="R63" s="2"/>
    </row>
    <row r="64" ht="24.75" customHeight="1">
      <c r="A64" s="1"/>
      <c r="B64" s="65" t="s">
        <v>135</v>
      </c>
      <c r="C64" s="66"/>
      <c r="D64" s="68">
        <f>D62*100/D61</f>
        <v>100</v>
      </c>
      <c r="E64" s="58"/>
      <c r="F64" s="58"/>
      <c r="G64" s="73" t="s">
        <v>136</v>
      </c>
      <c r="H64" s="58"/>
      <c r="I64" s="107"/>
      <c r="K64" s="75" t="s">
        <v>138</v>
      </c>
      <c r="L64" s="76" t="s">
        <v>139</v>
      </c>
      <c r="M64" s="55"/>
      <c r="N64" s="1"/>
      <c r="O64" s="1"/>
      <c r="P64" s="2"/>
      <c r="Q64" s="2"/>
      <c r="R64" s="2"/>
    </row>
    <row r="65" ht="24.75" customHeight="1">
      <c r="A65" s="1"/>
      <c r="B65" s="77" t="s">
        <v>140</v>
      </c>
      <c r="C65" s="78"/>
      <c r="D65" s="79">
        <f>AVERAGE(K17:K57)</f>
        <v>9.609756098</v>
      </c>
      <c r="E65" s="58"/>
      <c r="F65" s="58"/>
      <c r="H65" s="58"/>
      <c r="L65" s="9"/>
      <c r="M65" s="55"/>
      <c r="N65" s="1"/>
      <c r="O65" s="1"/>
      <c r="P65" s="2"/>
      <c r="Q65" s="2"/>
      <c r="R65" s="2"/>
    </row>
    <row r="66" ht="24.75" customHeight="1">
      <c r="A66" s="80"/>
      <c r="B66" s="81"/>
      <c r="C66" s="81"/>
      <c r="D66" s="81"/>
      <c r="E66" s="82"/>
      <c r="F66" s="82"/>
      <c r="G66" s="82"/>
      <c r="H66" s="82"/>
      <c r="I66" s="82"/>
      <c r="J66" s="83"/>
      <c r="K66" s="81"/>
      <c r="L66" s="84"/>
      <c r="M66" s="81"/>
      <c r="N66" s="2"/>
      <c r="O66" s="2"/>
      <c r="P66" s="2"/>
      <c r="Q66" s="2"/>
      <c r="R66" s="2"/>
    </row>
    <row r="67" ht="24.75" customHeight="1">
      <c r="A67" s="85"/>
      <c r="B67" s="86"/>
      <c r="C67" s="87"/>
      <c r="D67" s="87"/>
      <c r="E67" s="88"/>
      <c r="H67" s="88"/>
      <c r="I67" s="88"/>
      <c r="J67" s="89"/>
      <c r="K67" s="90"/>
      <c r="L67" s="91"/>
      <c r="M67" s="90"/>
      <c r="N67" s="2"/>
      <c r="O67" s="2"/>
      <c r="P67" s="2"/>
      <c r="Q67" s="2"/>
      <c r="R67" s="2"/>
    </row>
    <row r="68" ht="24.75" customHeight="1">
      <c r="A68" s="92"/>
      <c r="B68" s="90"/>
      <c r="C68" s="90"/>
      <c r="D68" s="90"/>
      <c r="E68" s="88"/>
      <c r="F68" s="88"/>
      <c r="G68" s="82"/>
      <c r="H68" s="82"/>
      <c r="I68" s="82"/>
      <c r="J68" s="82"/>
      <c r="K68" s="81"/>
      <c r="L68" s="84"/>
      <c r="M68" s="81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3"/>
      <c r="E69" s="88"/>
      <c r="F69" s="88"/>
      <c r="G69" s="82"/>
      <c r="H69" s="82"/>
      <c r="I69" s="82"/>
      <c r="J69" s="82"/>
      <c r="K69" s="81"/>
      <c r="L69" s="94"/>
      <c r="M69" s="81"/>
      <c r="N69" s="2"/>
      <c r="O69" s="2"/>
      <c r="P69" s="2"/>
      <c r="Q69" s="2"/>
      <c r="R69" s="2"/>
    </row>
    <row r="70" ht="24.75" customHeight="1">
      <c r="A70" s="95"/>
      <c r="B70" s="96"/>
      <c r="C70" s="96"/>
      <c r="D70" s="97"/>
      <c r="E70" s="98"/>
      <c r="F70" s="98"/>
      <c r="G70" s="99"/>
      <c r="H70" s="99"/>
      <c r="I70" s="99"/>
      <c r="J70" s="99"/>
      <c r="K70" s="100"/>
      <c r="L70" s="101"/>
      <c r="M70" s="81"/>
      <c r="N70" s="2"/>
      <c r="O70" s="2"/>
      <c r="P70" s="2"/>
      <c r="Q70" s="2"/>
      <c r="R70" s="2"/>
    </row>
    <row r="71" ht="21.75" customHeight="1">
      <c r="A71" s="102"/>
      <c r="B71" s="89"/>
      <c r="C71" s="89"/>
      <c r="D71" s="103"/>
      <c r="E71" s="103"/>
      <c r="F71" s="103"/>
      <c r="G71" s="2"/>
      <c r="H71" s="2"/>
      <c r="I71" s="2"/>
      <c r="J71" s="2"/>
      <c r="K71" s="104"/>
      <c r="L71" s="104"/>
      <c r="M71" s="104"/>
      <c r="N71" s="2"/>
      <c r="O71" s="2"/>
      <c r="P71" s="2"/>
      <c r="Q71" s="2"/>
      <c r="R71" s="2"/>
    </row>
    <row r="72" ht="21.75" customHeight="1">
      <c r="A72" s="102"/>
      <c r="B72" s="103"/>
      <c r="C72" s="103"/>
      <c r="D72" s="103"/>
      <c r="E72" s="103"/>
      <c r="F72" s="103"/>
      <c r="G72" s="2"/>
      <c r="H72" s="2"/>
      <c r="I72" s="2"/>
      <c r="J72" s="2"/>
      <c r="K72" s="104"/>
      <c r="L72" s="104"/>
      <c r="M72" s="104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1" priority="2" stopIfTrue="1" operator="equal">
      <formula>5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