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pensamiento filosofico y hu" sheetId="1" r:id="rId5"/>
  </sheets>
  <definedNames/>
  <calcPr/>
</workbook>
</file>

<file path=xl/sharedStrings.xml><?xml version="1.0" encoding="utf-8"?>
<sst xmlns="http://schemas.openxmlformats.org/spreadsheetml/2006/main" count="152" uniqueCount="137">
  <si>
    <t>ESCUELA PREPARATORIA OFICIAL NÚM. 67</t>
  </si>
  <si>
    <t xml:space="preserve">CONTROL PRIMER PARCIAL </t>
  </si>
  <si>
    <t xml:space="preserve">PROFESOR (A): </t>
  </si>
  <si>
    <t>Lizette Martínez Pérez</t>
  </si>
  <si>
    <t>I</t>
  </si>
  <si>
    <t>II</t>
  </si>
  <si>
    <t>III</t>
  </si>
  <si>
    <t>PUNTAJE EXTRA</t>
  </si>
  <si>
    <t>SEGUNDO SEMESTRE
VESPERTINO</t>
  </si>
  <si>
    <t>UAC</t>
  </si>
  <si>
    <t>PENSAMIENTO FILOSÓFICO Y HUMANIDADES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</si>
  <si>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</si>
  <si>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</si>
  <si>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</si>
  <si>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</si>
  <si>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</si>
  <si>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</si>
  <si>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</si>
  <si>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</si>
  <si>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</si>
  <si>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</si>
  <si>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</si>
  <si>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</si>
  <si>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ALBA</t>
  </si>
  <si>
    <t>GOMEZ</t>
  </si>
  <si>
    <t>ALLISON NAOMI</t>
  </si>
  <si>
    <t>HORAS IMPARTIDAS</t>
  </si>
  <si>
    <t>ARIAS</t>
  </si>
  <si>
    <t>LOPEZ</t>
  </si>
  <si>
    <t>ALONDRA</t>
  </si>
  <si>
    <t>Febrero</t>
  </si>
  <si>
    <t>BOCHE</t>
  </si>
  <si>
    <t>ALCALA</t>
  </si>
  <si>
    <t>ANGELICA</t>
  </si>
  <si>
    <t>Marzo</t>
  </si>
  <si>
    <t>BRAVO</t>
  </si>
  <si>
    <t>VALENTIN</t>
  </si>
  <si>
    <t>MARCO ANTONIO</t>
  </si>
  <si>
    <t>Abril</t>
  </si>
  <si>
    <t>CACIQUE</t>
  </si>
  <si>
    <t>HIDALGO</t>
  </si>
  <si>
    <t>PAMELA JAQUELINE</t>
  </si>
  <si>
    <t>Mayo</t>
  </si>
  <si>
    <t>CRUZ</t>
  </si>
  <si>
    <t>GAMEZ</t>
  </si>
  <si>
    <t xml:space="preserve">XIMENA SARAHI </t>
  </si>
  <si>
    <t>Junio</t>
  </si>
  <si>
    <t>ROLDAN</t>
  </si>
  <si>
    <t>LUIS ANGEL</t>
  </si>
  <si>
    <t>Julio</t>
  </si>
  <si>
    <t>DIAZ</t>
  </si>
  <si>
    <t>CONTRERAS</t>
  </si>
  <si>
    <t>ERICK ALEJANDRO</t>
  </si>
  <si>
    <t>TOTAL</t>
  </si>
  <si>
    <t>ESPINOSA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</si>
  <si>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</si>
  <si>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</si>
  <si>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</si>
  <si>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</si>
  <si>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</si>
  <si>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</si>
  <si>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</si>
  <si>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</si>
  <si>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</si>
  <si>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</si>
  <si>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</si>
  <si>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GONZALEZ</t>
  </si>
  <si>
    <t>KAREN DANNAE</t>
  </si>
  <si>
    <t>GARCIA</t>
  </si>
  <si>
    <t>YURITZY YOLOTZIN</t>
  </si>
  <si>
    <t>GUZMAN</t>
  </si>
  <si>
    <t>BARCENAS</t>
  </si>
  <si>
    <t>EVAN ALEJANDRO</t>
  </si>
  <si>
    <t>HERNANDEZ</t>
  </si>
  <si>
    <t>SANCHEZ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</si>
  <si>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</si>
  <si>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</si>
  <si>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</si>
  <si>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</si>
  <si>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</si>
  <si>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</si>
  <si>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</si>
  <si>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</si>
  <si>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</si>
  <si>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</si>
  <si>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</si>
  <si>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MARTINEZ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</si>
  <si>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</si>
  <si>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</si>
  <si>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</si>
  <si>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</si>
  <si>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</si>
  <si>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</si>
  <si>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</si>
  <si>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</si>
  <si>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LEAL</t>
  </si>
  <si>
    <t>AJAY JARED</t>
  </si>
  <si>
    <t>NORIEGA</t>
  </si>
  <si>
    <t>AVILA</t>
  </si>
  <si>
    <t>JOEL ADRIAN</t>
  </si>
  <si>
    <t>OLVERA</t>
  </si>
  <si>
    <t>MACIAS</t>
  </si>
  <si>
    <t>KARIME VALERIA</t>
  </si>
  <si>
    <t>PEREZ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</si>
  <si>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</si>
  <si>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</si>
  <si>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</si>
  <si>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</si>
  <si>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</si>
  <si>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</si>
  <si>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</si>
  <si>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</si>
  <si>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</si>
  <si>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</si>
  <si>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</si>
  <si>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CORTES</t>
  </si>
  <si>
    <t>MARIA JOSE</t>
  </si>
  <si>
    <t xml:space="preserve">SANTILLAN </t>
  </si>
  <si>
    <t>JADE AZUL</t>
  </si>
  <si>
    <t>TORRES</t>
  </si>
  <si>
    <t>VILLALBA</t>
  </si>
  <si>
    <t>ARY SANTIAGO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</si>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</sst>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3.7</v>
      </c>
      <c r="F17" s="47">
        <v>2.85</v>
      </c>
      <c r="G17" s="47">
        <v>2.0</v>
      </c>
      <c r="H17" s="47">
        <v>1.0</v>
      </c>
      <c r="I17" s="48">
        <f t="shared" ref="I17:I51" si="1">SUM(E17:H17)</f>
        <v>9.55</v>
      </c>
      <c r="J17" s="49">
        <v>4.0</v>
      </c>
      <c r="K17" s="50">
        <f t="shared" ref="K17:K51" si="2">IF(SUM(E17:H17)&lt;6, 5, MIN(10, ROUND(SUM(E17:H17), 0)))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2.5</v>
      </c>
      <c r="F18" s="47">
        <v>2.85</v>
      </c>
      <c r="G18" s="47">
        <v>2.0</v>
      </c>
      <c r="H18" s="48"/>
      <c r="I18" s="48">
        <f t="shared" si="1"/>
        <v>7.35</v>
      </c>
      <c r="J18" s="49">
        <v>7.0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2.7</v>
      </c>
      <c r="G19" s="47">
        <v>2.0</v>
      </c>
      <c r="H19" s="48"/>
      <c r="I19" s="48">
        <f t="shared" si="1"/>
        <v>9.7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2.5</v>
      </c>
      <c r="F20" s="47">
        <v>3.0</v>
      </c>
      <c r="G20" s="47">
        <v>1.0</v>
      </c>
      <c r="H20" s="48"/>
      <c r="I20" s="48">
        <f t="shared" si="1"/>
        <v>6.5</v>
      </c>
      <c r="J20" s="49">
        <v>3.0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9">
        <v>8.0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3.2</v>
      </c>
      <c r="F21" s="47">
        <v>3.0</v>
      </c>
      <c r="G21" s="47">
        <v>1.0</v>
      </c>
      <c r="H21" s="48"/>
      <c r="I21" s="48">
        <f t="shared" si="1"/>
        <v>7.2</v>
      </c>
      <c r="J21" s="49">
        <v>3.0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9">
        <v>16.0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5.0</v>
      </c>
      <c r="F22" s="47">
        <v>3.0</v>
      </c>
      <c r="G22" s="47">
        <v>1.0</v>
      </c>
      <c r="H22" s="47">
        <v>1.0</v>
      </c>
      <c r="I22" s="48">
        <f t="shared" si="1"/>
        <v>10</v>
      </c>
      <c r="J22" s="49">
        <v>2.0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16.0</v>
      </c>
      <c r="P22" s="2"/>
      <c r="Q22" s="2"/>
      <c r="R22" s="2"/>
    </row>
    <row r="23" ht="24.75" customHeight="1">
      <c r="A23" s="44">
        <v>7.0</v>
      </c>
      <c r="B23" s="45" t="s">
        <v>43</v>
      </c>
      <c r="C23" s="45" t="s">
        <v>47</v>
      </c>
      <c r="D23" s="46" t="s">
        <v>48</v>
      </c>
      <c r="E23" s="47">
        <v>2.2</v>
      </c>
      <c r="F23" s="47">
        <v>2.52</v>
      </c>
      <c r="G23" s="47">
        <v>1.3</v>
      </c>
      <c r="H23" s="48"/>
      <c r="I23" s="48">
        <f t="shared" si="1"/>
        <v>6.02</v>
      </c>
      <c r="J23" s="49">
        <v>7.0</v>
      </c>
      <c r="K23" s="50">
        <f t="shared" si="2"/>
        <v>6</v>
      </c>
      <c r="L23" s="44"/>
      <c r="M23" s="51">
        <f t="shared" si="3"/>
        <v>6</v>
      </c>
      <c r="N23" s="53" t="s">
        <v>49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4.0</v>
      </c>
      <c r="F24" s="47">
        <v>1.44</v>
      </c>
      <c r="G24" s="47">
        <v>1.0</v>
      </c>
      <c r="H24" s="48"/>
      <c r="I24" s="48">
        <f t="shared" si="1"/>
        <v>6.44</v>
      </c>
      <c r="J24" s="49">
        <v>4.0</v>
      </c>
      <c r="K24" s="50">
        <f t="shared" si="2"/>
        <v>6</v>
      </c>
      <c r="L24" s="44"/>
      <c r="M24" s="51">
        <f t="shared" si="3"/>
        <v>6</v>
      </c>
      <c r="N24" s="53" t="s">
        <v>53</v>
      </c>
      <c r="O24" s="53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5.2</v>
      </c>
      <c r="F25" s="47">
        <v>3.0</v>
      </c>
      <c r="G25" s="47">
        <v>1.8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0.0</v>
      </c>
      <c r="F26" s="47">
        <v>1.59</v>
      </c>
      <c r="G26" s="47">
        <v>0.0</v>
      </c>
      <c r="H26" s="48"/>
      <c r="I26" s="48">
        <f t="shared" si="1"/>
        <v>1.59</v>
      </c>
      <c r="J26" s="49">
        <v>1.0</v>
      </c>
      <c r="K26" s="50">
        <f t="shared" si="2"/>
        <v>5</v>
      </c>
      <c r="L26" s="44"/>
      <c r="M26" s="51">
        <f t="shared" si="3"/>
        <v>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60</v>
      </c>
      <c r="D27" s="45" t="s">
        <v>61</v>
      </c>
      <c r="E27" s="47">
        <v>5.0</v>
      </c>
      <c r="F27" s="47">
        <v>1.0</v>
      </c>
      <c r="G27" s="47">
        <v>0.0</v>
      </c>
      <c r="H27" s="48"/>
      <c r="I27" s="48">
        <f t="shared" si="1"/>
        <v>6</v>
      </c>
      <c r="J27" s="49">
        <v>0.0</v>
      </c>
      <c r="K27" s="50">
        <f t="shared" si="2"/>
        <v>6</v>
      </c>
      <c r="L27" s="44"/>
      <c r="M27" s="51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47">
        <v>3.5</v>
      </c>
      <c r="F28" s="47">
        <v>2.25</v>
      </c>
      <c r="G28" s="47">
        <v>1.0</v>
      </c>
      <c r="H28" s="48"/>
      <c r="I28" s="48">
        <f t="shared" si="1"/>
        <v>6.75</v>
      </c>
      <c r="J28" s="49">
        <v>2.0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47">
        <v>4.7</v>
      </c>
      <c r="F29" s="47">
        <v>3.0</v>
      </c>
      <c r="G29" s="47">
        <v>1.0</v>
      </c>
      <c r="H29" s="47">
        <v>1.0</v>
      </c>
      <c r="I29" s="48">
        <f t="shared" si="1"/>
        <v>9.7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68</v>
      </c>
      <c r="D30" s="46" t="s">
        <v>69</v>
      </c>
      <c r="E30" s="47">
        <v>3.5</v>
      </c>
      <c r="F30" s="47">
        <v>2.85</v>
      </c>
      <c r="G30" s="47">
        <v>1.0</v>
      </c>
      <c r="H30" s="47">
        <v>1.0</v>
      </c>
      <c r="I30" s="48">
        <f t="shared" si="1"/>
        <v>8.35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1.5</v>
      </c>
      <c r="F31" s="47">
        <v>2.61</v>
      </c>
      <c r="G31" s="47">
        <v>2.0</v>
      </c>
      <c r="H31" s="48"/>
      <c r="I31" s="48">
        <f t="shared" si="1"/>
        <v>6.11</v>
      </c>
      <c r="J31" s="49">
        <v>3.0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5.5</v>
      </c>
      <c r="F32" s="47">
        <v>3.0</v>
      </c>
      <c r="G32" s="47">
        <v>1.0</v>
      </c>
      <c r="H32" s="48"/>
      <c r="I32" s="48">
        <f t="shared" si="1"/>
        <v>9.5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5.0</v>
      </c>
      <c r="F33" s="47">
        <v>1.5</v>
      </c>
      <c r="G33" s="47">
        <v>0.4</v>
      </c>
      <c r="H33" s="48"/>
      <c r="I33" s="48">
        <f t="shared" si="1"/>
        <v>6.9</v>
      </c>
      <c r="J33" s="49">
        <v>1.0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79</v>
      </c>
      <c r="D34" s="46" t="s">
        <v>80</v>
      </c>
      <c r="E34" s="47">
        <v>5.0</v>
      </c>
      <c r="F34" s="47">
        <v>3.0</v>
      </c>
      <c r="G34" s="47">
        <v>1.0</v>
      </c>
      <c r="H34" s="47">
        <v>1.0</v>
      </c>
      <c r="I34" s="48">
        <f t="shared" si="1"/>
        <v>10</v>
      </c>
      <c r="J34" s="49">
        <v>4.0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81</v>
      </c>
      <c r="D35" s="46" t="s">
        <v>82</v>
      </c>
      <c r="E35" s="47">
        <v>5.0</v>
      </c>
      <c r="F35" s="47">
        <v>2.55</v>
      </c>
      <c r="G35" s="47">
        <v>1.0</v>
      </c>
      <c r="H35" s="47">
        <v>1.0</v>
      </c>
      <c r="I35" s="48">
        <f t="shared" si="1"/>
        <v>9.55</v>
      </c>
      <c r="J35" s="49">
        <v>3.0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83</v>
      </c>
      <c r="C36" s="45" t="s">
        <v>84</v>
      </c>
      <c r="D36" s="46" t="s">
        <v>85</v>
      </c>
      <c r="E36" s="47">
        <v>2.7</v>
      </c>
      <c r="F36" s="47">
        <v>3.0</v>
      </c>
      <c r="G36" s="47">
        <v>1.0</v>
      </c>
      <c r="H36" s="47">
        <v>1.0</v>
      </c>
      <c r="I36" s="48">
        <f t="shared" si="1"/>
        <v>7.7</v>
      </c>
      <c r="J36" s="49">
        <v>4.0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86</v>
      </c>
      <c r="C37" s="45" t="s">
        <v>28</v>
      </c>
      <c r="D37" s="46" t="s">
        <v>87</v>
      </c>
      <c r="E37" s="47">
        <v>5.0</v>
      </c>
      <c r="F37" s="47">
        <v>3.0</v>
      </c>
      <c r="G37" s="47">
        <v>1.0</v>
      </c>
      <c r="H37" s="47">
        <v>1.0</v>
      </c>
      <c r="I37" s="48">
        <f t="shared" si="1"/>
        <v>10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89</v>
      </c>
      <c r="D38" s="46" t="s">
        <v>90</v>
      </c>
      <c r="E38" s="47">
        <v>2.2</v>
      </c>
      <c r="F38" s="47">
        <v>2.79</v>
      </c>
      <c r="G38" s="47">
        <v>2.0</v>
      </c>
      <c r="H38" s="48"/>
      <c r="I38" s="48">
        <f t="shared" si="1"/>
        <v>6.99</v>
      </c>
      <c r="J38" s="49">
        <v>4.0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91</v>
      </c>
      <c r="C39" s="45" t="s">
        <v>92</v>
      </c>
      <c r="D39" s="46" t="s">
        <v>93</v>
      </c>
      <c r="E39" s="47">
        <v>2.7</v>
      </c>
      <c r="F39" s="47">
        <v>2.85</v>
      </c>
      <c r="G39" s="47">
        <v>2.0</v>
      </c>
      <c r="H39" s="48"/>
      <c r="I39" s="48">
        <f t="shared" si="1"/>
        <v>7.55</v>
      </c>
      <c r="J39" s="49">
        <v>8.0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94</v>
      </c>
      <c r="C40" s="45" t="s">
        <v>95</v>
      </c>
      <c r="D40" s="46" t="s">
        <v>96</v>
      </c>
      <c r="E40" s="47">
        <v>4.2</v>
      </c>
      <c r="F40" s="47">
        <v>2.46</v>
      </c>
      <c r="G40" s="47">
        <v>2.0</v>
      </c>
      <c r="H40" s="48"/>
      <c r="I40" s="48">
        <f t="shared" si="1"/>
        <v>8.66</v>
      </c>
      <c r="J40" s="49">
        <v>2.0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5.2</v>
      </c>
      <c r="F41" s="47">
        <v>2.73</v>
      </c>
      <c r="G41" s="47">
        <v>1.0</v>
      </c>
      <c r="H41" s="47">
        <v>1.0</v>
      </c>
      <c r="I41" s="48">
        <f t="shared" si="1"/>
        <v>9.93</v>
      </c>
      <c r="J41" s="49">
        <v>3.0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4.0</v>
      </c>
      <c r="F42" s="47">
        <v>3.0</v>
      </c>
      <c r="G42" s="47">
        <v>1.0</v>
      </c>
      <c r="H42" s="48"/>
      <c r="I42" s="48">
        <f t="shared" si="1"/>
        <v>8</v>
      </c>
      <c r="J42" s="49">
        <v>6.0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0.0</v>
      </c>
      <c r="F43" s="47">
        <v>0.0</v>
      </c>
      <c r="G43" s="47">
        <v>0.0</v>
      </c>
      <c r="H43" s="48"/>
      <c r="I43" s="48">
        <f t="shared" si="1"/>
        <v>0</v>
      </c>
      <c r="J43" s="49">
        <v>3.0</v>
      </c>
      <c r="K43" s="50">
        <f t="shared" si="2"/>
        <v>5</v>
      </c>
      <c r="L43" s="44"/>
      <c r="M43" s="51">
        <f t="shared" si="3"/>
        <v>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106</v>
      </c>
      <c r="D44" s="46" t="s">
        <v>107</v>
      </c>
      <c r="E44" s="47">
        <v>3.7</v>
      </c>
      <c r="F44" s="47">
        <v>2.9</v>
      </c>
      <c r="G44" s="47">
        <v>1.0</v>
      </c>
      <c r="H44" s="47">
        <v>1.0</v>
      </c>
      <c r="I44" s="48">
        <f t="shared" si="1"/>
        <v>8.6</v>
      </c>
      <c r="J44" s="49">
        <v>4.0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108</v>
      </c>
      <c r="D45" s="46" t="s">
        <v>109</v>
      </c>
      <c r="E45" s="47">
        <v>3.5</v>
      </c>
      <c r="F45" s="47">
        <v>3.0</v>
      </c>
      <c r="G45" s="47">
        <v>1.0</v>
      </c>
      <c r="H45" s="47">
        <v>1.0</v>
      </c>
      <c r="I45" s="48">
        <f t="shared" si="1"/>
        <v>8.5</v>
      </c>
      <c r="J45" s="49">
        <v>4.0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110</v>
      </c>
      <c r="C46" s="45" t="s">
        <v>73</v>
      </c>
      <c r="D46" s="46" t="s">
        <v>111</v>
      </c>
      <c r="E46" s="47">
        <v>5.0</v>
      </c>
      <c r="F46" s="47">
        <v>2.7</v>
      </c>
      <c r="G46" s="47">
        <v>2.0</v>
      </c>
      <c r="H46" s="48"/>
      <c r="I46" s="48">
        <f t="shared" si="1"/>
        <v>9.7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112</v>
      </c>
      <c r="C47" s="45" t="s">
        <v>113</v>
      </c>
      <c r="D47" s="46" t="s">
        <v>114</v>
      </c>
      <c r="E47" s="47">
        <v>5.0</v>
      </c>
      <c r="F47" s="47">
        <v>3.0</v>
      </c>
      <c r="G47" s="47">
        <v>1.0</v>
      </c>
      <c r="H47" s="47">
        <v>1.0</v>
      </c>
      <c r="I47" s="48">
        <f t="shared" si="1"/>
        <v>10</v>
      </c>
      <c r="J47" s="49">
        <v>2.0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74</v>
      </c>
      <c r="C48" s="45" t="s">
        <v>115</v>
      </c>
      <c r="D48" s="46" t="s">
        <v>116</v>
      </c>
      <c r="E48" s="47">
        <v>4.0</v>
      </c>
      <c r="F48" s="47">
        <v>2.85</v>
      </c>
      <c r="G48" s="47">
        <v>2.0</v>
      </c>
      <c r="H48" s="48"/>
      <c r="I48" s="48">
        <f t="shared" si="1"/>
        <v>8.85</v>
      </c>
      <c r="J48" s="49">
        <v>4.0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103</v>
      </c>
      <c r="D49" s="46" t="s">
        <v>48</v>
      </c>
      <c r="E49" s="47">
        <v>1.2</v>
      </c>
      <c r="F49" s="47">
        <v>0.0</v>
      </c>
      <c r="G49" s="47">
        <v>0.0</v>
      </c>
      <c r="H49" s="48"/>
      <c r="I49" s="48">
        <f t="shared" si="1"/>
        <v>1.2</v>
      </c>
      <c r="J49" s="49">
        <v>10.0</v>
      </c>
      <c r="K49" s="50">
        <f t="shared" si="2"/>
        <v>5</v>
      </c>
      <c r="L49" s="44"/>
      <c r="M49" s="51">
        <f t="shared" si="3"/>
        <v>1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92</v>
      </c>
      <c r="C50" s="45" t="s">
        <v>68</v>
      </c>
      <c r="D50" s="46" t="s">
        <v>118</v>
      </c>
      <c r="E50" s="47">
        <v>5.7</v>
      </c>
      <c r="F50" s="47">
        <v>3.0</v>
      </c>
      <c r="G50" s="47">
        <v>1.0</v>
      </c>
      <c r="H50" s="47">
        <v>1.0</v>
      </c>
      <c r="I50" s="48">
        <f t="shared" si="1"/>
        <v>10.7</v>
      </c>
      <c r="J50" s="49">
        <v>1.0</v>
      </c>
      <c r="K50" s="50">
        <f t="shared" si="2"/>
        <v>10</v>
      </c>
      <c r="L50" s="44"/>
      <c r="M50" s="51">
        <f t="shared" si="3"/>
        <v>11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119</v>
      </c>
      <c r="C51" s="45" t="s">
        <v>120</v>
      </c>
      <c r="D51" s="46" t="s">
        <v>121</v>
      </c>
      <c r="E51" s="47">
        <v>5.2</v>
      </c>
      <c r="F51" s="47">
        <v>2.76</v>
      </c>
      <c r="G51" s="47">
        <v>1.0</v>
      </c>
      <c r="H51" s="47">
        <v>1.0</v>
      </c>
      <c r="I51" s="48">
        <f t="shared" si="1"/>
        <v>9.96</v>
      </c>
      <c r="J51" s="49">
        <v>2.0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122</v>
      </c>
      <c r="C53" s="57"/>
      <c r="D53" s="58">
        <f>COUNT(A17:A51)</f>
        <v>35</v>
      </c>
      <c r="E53" s="55"/>
      <c r="F53" s="55"/>
      <c r="G53" s="59" t="s">
        <v>123</v>
      </c>
      <c r="H53" s="55"/>
      <c r="I53" s="59" t="s">
        <v>124</v>
      </c>
      <c r="K53" s="60" t="s">
        <v>125</v>
      </c>
      <c r="L53" s="61" t="s">
        <v>126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127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128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129</v>
      </c>
      <c r="C56" s="63"/>
      <c r="D56" s="66">
        <f>COUNTIF(K17:K51,"&gt;=6")</f>
        <v>32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130</v>
      </c>
      <c r="C57" s="63"/>
      <c r="D57" s="66">
        <f>D55-D56</f>
        <v>3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131</v>
      </c>
      <c r="C58" s="63"/>
      <c r="D58" s="70">
        <f>D56*100/D55</f>
        <v>91.42857143</v>
      </c>
      <c r="E58" s="55"/>
      <c r="F58" s="55"/>
      <c r="G58" s="71" t="s">
        <v>132</v>
      </c>
      <c r="H58" s="55"/>
      <c r="I58" s="72" t="s">
        <v>133</v>
      </c>
      <c r="K58" s="73" t="s">
        <v>134</v>
      </c>
      <c r="L58" s="74" t="s">
        <v>135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136</v>
      </c>
      <c r="C59" s="76"/>
      <c r="D59" s="77">
        <f>AVERAGE(K17:K51)</f>
        <v>8.257142857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0"/>
      <c r="F60" s="80"/>
      <c r="G60" s="80"/>
      <c r="H60" s="80"/>
      <c r="I60" s="80"/>
      <c r="J60" s="80"/>
      <c r="K60" s="79"/>
      <c r="L60" s="81"/>
      <c r="M60" s="79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84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80"/>
      <c r="H62" s="80"/>
      <c r="I62" s="80"/>
      <c r="J62" s="80"/>
      <c r="K62" s="79"/>
      <c r="L62" s="81"/>
      <c r="M62" s="79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6"/>
      <c r="E63" s="85"/>
      <c r="F63" s="85"/>
      <c r="G63" s="80"/>
      <c r="H63" s="80"/>
      <c r="I63" s="80"/>
      <c r="J63" s="80"/>
      <c r="K63" s="79"/>
      <c r="L63" s="81"/>
      <c r="M63" s="79"/>
      <c r="N63" s="2"/>
      <c r="O63" s="2"/>
      <c r="P63" s="2"/>
      <c r="Q63" s="2"/>
      <c r="R63" s="2"/>
    </row>
    <row r="64" ht="24.75" customHeight="1">
      <c r="A64" s="90"/>
      <c r="B64" s="91"/>
      <c r="C64" s="91"/>
      <c r="D64" s="91"/>
      <c r="E64" s="92"/>
      <c r="F64" s="92"/>
      <c r="G64" s="93"/>
      <c r="H64" s="93"/>
      <c r="I64" s="93"/>
      <c r="J64" s="93"/>
      <c r="K64" s="94"/>
      <c r="L64" s="95"/>
      <c r="M64" s="79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9"/>
      <c r="E65" s="85"/>
      <c r="F65" s="85"/>
      <c r="G65" s="80"/>
      <c r="H65" s="80"/>
      <c r="I65" s="80"/>
      <c r="J65" s="80"/>
      <c r="K65" s="96"/>
      <c r="L65" s="97"/>
      <c r="M65" s="96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9"/>
      <c r="E66" s="85"/>
      <c r="F66" s="85"/>
      <c r="G66" s="80"/>
      <c r="H66" s="80"/>
      <c r="I66" s="80"/>
      <c r="J66" s="80"/>
      <c r="K66" s="96"/>
      <c r="L66" s="97"/>
      <c r="M66" s="9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