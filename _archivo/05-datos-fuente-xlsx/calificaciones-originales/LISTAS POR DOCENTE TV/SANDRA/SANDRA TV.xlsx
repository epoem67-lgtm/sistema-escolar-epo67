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temas selectos de igualdad " sheetId="1" r:id="rId5"/>
    <sheet state="visible" name="2-2 temas selectos de igualdad " sheetId="2" r:id="rId6"/>
    <sheet state="visible" name="2-3 temas selectos de igualdad " sheetId="3" r:id="rId7"/>
    <sheet state="visible" name="3-1 temas selectos de igualdad " sheetId="4" r:id="rId8"/>
    <sheet state="visible" name="3-2 temas selectos de igualdad " sheetId="5" r:id="rId9"/>
    <sheet state="visible" name="3-3 temas selectos de igualdad " sheetId="6" r:id="rId10"/>
  </sheets>
  <definedNames/>
  <calcPr/>
</workbook>
</file>

<file path=xl/sharedStrings.xml><?xml version="1.0" encoding="utf-8"?>
<sst xmlns="http://schemas.openxmlformats.org/spreadsheetml/2006/main" count="1049" uniqueCount="562">
  <si>
    <t>ESCUELA PREPARATORIA OFICIAL NÚM. 67</t>
  </si>
  <si>
    <t xml:space="preserve">CONTROL PRIMER PARCIAL </t>
  </si>
  <si>
    <t xml:space="preserve">PROFESOR (A): </t>
  </si>
  <si>
    <t>SANDRA VIDAL HERNANDEZ</t>
  </si>
  <si>
    <t>I</t>
  </si>
  <si>
    <t>II</t>
  </si>
  <si>
    <t>III</t>
  </si>
  <si>
    <t>PUNTAJE EXTRA</t>
  </si>
  <si>
    <t>CUARTO SEMESTRE
VESPERTINO</t>
  </si>
  <si>
    <t>UAC</t>
  </si>
  <si>
    <t>TEMAS SELECTOS DE IGUALDAD Y DERECHOS HUMANOS IV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</si>
  <si>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</si>
  <si>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</si>
  <si>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</si>
  <si>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</si>
  <si>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</si>
  <si>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</si>
  <si>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</si>
  <si>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</si>
  <si>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</si>
  <si>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</si>
  <si>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</si>
  <si>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</si>
  <si>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</si>
  <si>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</si>
  <si>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</si>
  <si>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</si>
  <si>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</si>
  <si>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</si>
  <si>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</si>
  <si>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</si>
  <si>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</si>
  <si>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</si>
  <si>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</si>
  <si>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</si>
  <si>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</si>
  <si>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</si>
  <si>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</si>
  <si>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</si>
  <si>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</si>
  <si>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</si>
  <si>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</si>
  <si>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</si>
  <si>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</si>
  <si>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</si>
  <si>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</si>
  <si>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</si>
  <si>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</si>
  <si>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</si>
  <si>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</si>
  <si>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</si>
  <si>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</si>
  <si>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</si>
  <si>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</si>
  <si>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</si>
  <si>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</si>
  <si>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</si>
  <si>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</si>
  <si>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</si>
  <si>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</si>
  <si>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</si>
  <si>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</si>
  <si>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</si>
  <si>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</si>
  <si>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</si>
  <si>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</si>
  <si>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</si>
  <si>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</si>
  <si>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</si>
  <si>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</si>
  <si>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</si>
  <si>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</si>
  <si>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</si>
  <si>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</si>
  <si>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</si>
  <si>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</si>
  <si>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</si>
  <si>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</si>
  <si>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</si>
  <si>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</si>
  <si>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</si>
  <si>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</si>
  <si>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</si>
  <si>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</si>
  <si>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</si>
  <si>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</si>
  <si>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</si>
  <si>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</si>
  <si>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</si>
  <si>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</si>
  <si>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</si>
  <si>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</si>
  <si>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</si>
  <si>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</si>
  <si>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</si>
  <si>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</si>
  <si>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</si>
  <si>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</si>
  <si>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</si>
  <si>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</si>
  <si>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</si>
  <si>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</si>
  <si>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</si>
  <si>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</si>
  <si>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</si>
  <si>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</si>
  <si>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</si>
  <si>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</si>
  <si>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</si>
  <si>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</si>
  <si>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</si>
  <si>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</si>
  <si>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</si>
  <si>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</si>
  <si>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</si>
  <si>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</si>
  <si>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</si>
  <si>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</si>
  <si>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</si>
  <si>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</si>
  <si>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</si>
  <si>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</si>
  <si>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</si>
  <si>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</si>
  <si>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</si>
  <si>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</si>
  <si>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</si>
  <si>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</si>
  <si>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</si>
  <si>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</si>
  <si>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</si>
  <si>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</si>
  <si>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</si>
  <si>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</si>
  <si>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</si>
  <si>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</si>
  <si>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</si>
  <si>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</si>
  <si>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</si>
  <si>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</si>
  <si>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</si>
  <si>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</si>
  <si>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</si>
  <si>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</si>
  <si>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</si>
  <si>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</si>
  <si>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</si>
  <si>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</si>
  <si>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</si>
  <si>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</si>
  <si>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</si>
  <si>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</si>
  <si>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</si>
  <si>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</si>
  <si>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</si>
  <si>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</si>
  <si>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</si>
  <si>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</si>
  <si>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</si>
  <si>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</si>
  <si>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</si>
  <si>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</si>
  <si>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</si>
  <si>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</si>
  <si>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</si>
  <si>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</si>
  <si>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</si>
  <si>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</si>
  <si>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</si>
  <si>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</si>
  <si>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</si>
  <si>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</si>
  <si>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</si>
  <si>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</si>
  <si>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</si>
  <si>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</si>
  <si>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</si>
  <si>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</si>
  <si>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</si>
  <si>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</si>
  <si>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</si>
  <si>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</si>
  <si>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</si>
  <si>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</si>
  <si>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</si>
  <si>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</si>
  <si>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</si>
  <si>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</si>
  <si>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</si>
  <si>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</si>
  <si>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</si>
  <si>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</si>
  <si>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</si>
  <si>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</si>
  <si>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</si>
  <si>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</si>
  <si>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</si>
  <si>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</si>
  <si>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</si>
  <si>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</si>
  <si>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</si>
  <si>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</si>
  <si>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</si>
  <si>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</si>
  <si>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</si>
  <si>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</si>
  <si>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</si>
  <si>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</si>
  <si>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</si>
  <si>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</si>
  <si>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</si>
  <si>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</si>
  <si>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</si>
  <si>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</si>
  <si>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</si>
  <si>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</si>
  <si>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</si>
  <si>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</si>
  <si>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</si>
  <si>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</si>
  <si>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</si>
  <si>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</si>
  <si>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</si>
  <si>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</si>
  <si>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</si>
  <si>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</si>
  <si>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</si>
  <si>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 xml:space="preserve">SANDRA VIDAL HERNANDEZ 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</si>
  <si>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</si>
  <si>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</si>
  <si>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</si>
  <si>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</si>
  <si>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</si>
  <si>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</si>
  <si>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</si>
  <si>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</si>
  <si>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</si>
  <si>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</si>
  <si>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</si>
  <si>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</si>
  <si>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</si>
  <si>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</si>
  <si>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</si>
  <si>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</si>
  <si>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</si>
  <si>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</si>
  <si>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</si>
  <si>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</si>
  <si>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</si>
  <si>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</si>
  <si>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</si>
  <si>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</si>
  <si>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</si>
  <si>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</si>
  <si>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</si>
  <si>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</si>
  <si>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</si>
  <si>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</si>
  <si>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</si>
  <si>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</si>
  <si>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</si>
  <si>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</si>
  <si>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</si>
  <si>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</si>
  <si>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</si>
  <si>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</si>
  <si>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</si>
  <si>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</si>
  <si>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</si>
  <si>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</si>
  <si>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</si>
  <si>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</si>
  <si>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</si>
  <si>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</si>
  <si>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</si>
  <si>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</si>
  <si>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</si>
  <si>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</si>
  <si>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</si>
  <si>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</si>
  <si>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</si>
  <si>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</si>
  <si>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</si>
  <si>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</si>
  <si>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</si>
  <si>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</si>
  <si>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</si>
  <si>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</si>
  <si>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</si>
  <si>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</si>
  <si>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</si>
  <si>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</si>
  <si>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</si>
  <si>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</si>
  <si>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</si>
  <si>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</si>
  <si>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</si>
  <si>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</si>
  <si>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</si>
  <si>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</si>
  <si>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</si>
  <si>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</si>
  <si>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</si>
  <si>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</si>
  <si>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</si>
  <si>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</si>
  <si>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</si>
  <si>
    <t>SEXTO SEMESTRE
VESPERTINO</t>
  </si>
  <si>
    <t>3°</t>
  </si>
  <si>
    <t>AGUILAR</t>
  </si>
  <si>
    <t>ALEXA</t>
  </si>
  <si>
    <t xml:space="preserve">ARANA </t>
  </si>
  <si>
    <t xml:space="preserve">DOMINGUEZ </t>
  </si>
  <si>
    <t>JORGE</t>
  </si>
  <si>
    <t>AVILA</t>
  </si>
  <si>
    <t>ANDY JOSHUA</t>
  </si>
  <si>
    <t>BARRERA</t>
  </si>
  <si>
    <t>MARLEN GUADALUPE</t>
  </si>
  <si>
    <t>BRAVO</t>
  </si>
  <si>
    <t>ESQUIVEL</t>
  </si>
  <si>
    <t>DANIELA NICOLE</t>
  </si>
  <si>
    <t>CAMACHO</t>
  </si>
  <si>
    <t>AZUL VALENTINA</t>
  </si>
  <si>
    <t>CHERON</t>
  </si>
  <si>
    <t>CARRASCO</t>
  </si>
  <si>
    <t>ORLANDO MANUEL</t>
  </si>
  <si>
    <t>CRESCENCIO</t>
  </si>
  <si>
    <t>LEONARDO</t>
  </si>
  <si>
    <t>ARANZA MABEL</t>
  </si>
  <si>
    <t>ROLDAN</t>
  </si>
  <si>
    <t>IVANNA GISELLE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</si>
  <si>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</si>
  <si>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</si>
  <si>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</si>
  <si>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</si>
  <si>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</si>
  <si>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</si>
  <si>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</si>
  <si>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</si>
  <si>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</si>
  <si>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</si>
  <si>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</si>
  <si>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</si>
  <si>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</si>
  <si>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NAZUKI ARAMI</t>
  </si>
  <si>
    <t xml:space="preserve">LOPEZ </t>
  </si>
  <si>
    <t xml:space="preserve">CHAVEZ </t>
  </si>
  <si>
    <t>ANDREA</t>
  </si>
  <si>
    <t>IAN HUMBERTO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</si>
  <si>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</si>
  <si>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</si>
  <si>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</si>
  <si>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</si>
  <si>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</si>
  <si>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</si>
  <si>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</si>
  <si>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</si>
  <si>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DURAN </t>
  </si>
  <si>
    <t>ALEXA GUADALUPE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</si>
  <si>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</si>
  <si>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</si>
  <si>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</si>
  <si>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</si>
  <si>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</si>
  <si>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</si>
  <si>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</si>
  <si>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</si>
  <si>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</si>
  <si>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</si>
  <si>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</si>
  <si>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</si>
  <si>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</si>
  <si>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</si>
  <si>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</si>
  <si>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</si>
  <si>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</si>
  <si>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</si>
  <si>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</si>
  <si>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</si>
  <si>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</si>
  <si>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</si>
  <si>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</si>
  <si>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</si>
  <si>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SANTIAGO</t>
  </si>
  <si>
    <t>ZARA JOSELYN</t>
  </si>
  <si>
    <t>CASTRO</t>
  </si>
  <si>
    <t>URIBE</t>
  </si>
  <si>
    <t>SERGIO</t>
  </si>
  <si>
    <t>ALCALA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</si>
  <si>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</si>
  <si>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</si>
  <si>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</si>
  <si>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</si>
  <si>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</si>
  <si>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</si>
  <si>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</si>
  <si>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PROFRA. IVONNE GABRIELA CEDILLO POLO</t>
  </si>
  <si>
    <t xml:space="preserve">SANDRA VIDAL HERNDEZ 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</si>
  <si>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</si>
  <si>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</si>
  <si>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</si>
  <si>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</si>
  <si>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</si>
  <si>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</si>
  <si>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</si>
  <si>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</si>
  <si>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</si>
  <si>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</si>
  <si>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</si>
  <si>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</si>
  <si>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</si>
  <si>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</si>
  <si>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</si>
  <si>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 xml:space="preserve">DANNA PAOLA </t>
  </si>
  <si>
    <t>CHAN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</si>
  <si>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</si>
  <si>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</si>
  <si>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</si>
  <si>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</si>
  <si>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</si>
  <si>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</si>
  <si>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</si>
  <si>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</si>
  <si>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</si>
  <si>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</si>
  <si>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</si>
  <si>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</si>
  <si>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 xml:space="preserve">JACQUELINE 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</si>
  <si>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</si>
  <si>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</si>
  <si>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</si>
  <si>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</si>
  <si>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</si>
  <si>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</si>
  <si>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</si>
  <si>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</si>
  <si>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</si>
  <si>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</si>
  <si>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</si>
  <si>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</si>
  <si>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</si>
  <si>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</si>
  <si>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</si>
  <si>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</si>
  <si>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VANESSA LORELY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</si>
  <si>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</si>
  <si>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</si>
  <si>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</si>
  <si>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</si>
  <si>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</si>
  <si>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</si>
  <si>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</si>
  <si>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</si>
  <si>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</si>
  <si>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</si>
  <si>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</si>
  <si>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</si>
  <si>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</si>
  <si>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</si>
  <si>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</si>
  <si>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</si>
  <si>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</si>
  <si>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</si>
  <si>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</si>
  <si>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</si>
  <si>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</si>
  <si>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</si>
  <si>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</si>
  <si>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YULEYDI</t>
  </si>
  <si>
    <t>SERRANO</t>
  </si>
  <si>
    <t>MICHAUS</t>
  </si>
  <si>
    <t>ZOE</t>
  </si>
  <si>
    <t>SIMON</t>
  </si>
  <si>
    <t>KENIA ALEXA</t>
  </si>
  <si>
    <t>TORNERO</t>
  </si>
  <si>
    <t>KEVIN ALI</t>
  </si>
  <si>
    <t>VITE</t>
  </si>
  <si>
    <t>CORTES</t>
  </si>
  <si>
    <t>XANAT VALENTINA</t>
  </si>
  <si>
    <t>ADRIAN MARTIN</t>
  </si>
  <si>
    <t>ARRIAGA</t>
  </si>
  <si>
    <t>LEYTE</t>
  </si>
  <si>
    <t>RENATA</t>
  </si>
  <si>
    <t>LUIS ANGEL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</si>
  <si>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</si>
  <si>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</si>
  <si>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</si>
  <si>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</si>
  <si>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</si>
  <si>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</si>
  <si>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</si>
  <si>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</si>
  <si>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</si>
  <si>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</si>
  <si>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</si>
  <si>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</si>
  <si>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</si>
  <si>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</si>
  <si>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</si>
  <si>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</si>
  <si>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</si>
  <si>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</si>
  <si>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</si>
  <si>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</si>
  <si>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</si>
  <si>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ALEMAN</t>
  </si>
  <si>
    <t>AMERICA GUADALUPE</t>
  </si>
  <si>
    <t>LEDESMA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</si>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</sst>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ill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23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1" fillId="3" fontId="2" numFmtId="0" xfId="0" applyBorder="1" applyFont="1"/>
    <xf borderId="0" fillId="3" fontId="2" numFmtId="0" xfId="0" applyFont="1"/>
    <xf borderId="23" fillId="3" fontId="3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304800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60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60</xdr:row>
      <xdr:rowOff>47625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67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66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71</xdr:row>
      <xdr:rowOff>219075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295275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66675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0.0</v>
      </c>
      <c r="F17" s="47">
        <v>0.0</v>
      </c>
      <c r="G17" s="47">
        <v>0.0</v>
      </c>
      <c r="H17" s="47"/>
      <c r="I17" s="48">
        <f t="shared" ref="I17:I55" si="1">SUM(E17:H17)</f>
        <v>0</v>
      </c>
      <c r="J17" s="49">
        <v>0.0</v>
      </c>
      <c r="K17" s="50">
        <f t="shared" ref="K17:K55" si="2">IF(I17&lt;6, 5, MIN(ROUND(I17,0), 10))</f>
        <v>5</v>
      </c>
      <c r="L17" s="45"/>
      <c r="M17" s="51">
        <f t="shared" ref="M17:M55" si="3">IF(I17&gt;=6,ROUND(I17,0),TRUNC(I17,0))</f>
        <v>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4.0</v>
      </c>
      <c r="F18" s="47">
        <v>3.0</v>
      </c>
      <c r="G18" s="47">
        <v>1.0</v>
      </c>
      <c r="H18" s="48"/>
      <c r="I18" s="48">
        <f t="shared" si="1"/>
        <v>8</v>
      </c>
      <c r="J18" s="49">
        <v>0.0</v>
      </c>
      <c r="K18" s="50">
        <f t="shared" si="2"/>
        <v>8</v>
      </c>
      <c r="L18" s="44"/>
      <c r="M18" s="51">
        <f t="shared" si="3"/>
        <v>8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2.0</v>
      </c>
      <c r="F19" s="47">
        <v>1.0</v>
      </c>
      <c r="G19" s="47">
        <v>1.0</v>
      </c>
      <c r="H19" s="48"/>
      <c r="I19" s="48">
        <f t="shared" si="1"/>
        <v>4</v>
      </c>
      <c r="J19" s="49">
        <v>1.0</v>
      </c>
      <c r="K19" s="50">
        <f t="shared" si="2"/>
        <v>5</v>
      </c>
      <c r="L19" s="44"/>
      <c r="M19" s="51">
        <f t="shared" si="3"/>
        <v>4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4.0</v>
      </c>
      <c r="F20" s="47">
        <v>3.0</v>
      </c>
      <c r="G20" s="47">
        <v>1.0</v>
      </c>
      <c r="H20" s="48"/>
      <c r="I20" s="48">
        <f t="shared" si="1"/>
        <v>8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4.0</v>
      </c>
      <c r="F21" s="47">
        <v>3.0</v>
      </c>
      <c r="G21" s="47">
        <v>1.0</v>
      </c>
      <c r="H21" s="48"/>
      <c r="I21" s="48">
        <f t="shared" si="1"/>
        <v>8</v>
      </c>
      <c r="J21" s="49">
        <v>0.0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2.0</v>
      </c>
      <c r="F22" s="47">
        <v>2.0</v>
      </c>
      <c r="G22" s="47">
        <v>2.0</v>
      </c>
      <c r="H22" s="48"/>
      <c r="I22" s="48">
        <f t="shared" si="1"/>
        <v>6</v>
      </c>
      <c r="J22" s="49">
        <v>0.0</v>
      </c>
      <c r="K22" s="50">
        <f t="shared" si="2"/>
        <v>6</v>
      </c>
      <c r="L22" s="44"/>
      <c r="M22" s="51">
        <f t="shared" si="3"/>
        <v>6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2.0</v>
      </c>
      <c r="F23" s="47">
        <v>1.0</v>
      </c>
      <c r="G23" s="47">
        <v>1.0</v>
      </c>
      <c r="H23" s="48"/>
      <c r="I23" s="48">
        <f t="shared" si="1"/>
        <v>4</v>
      </c>
      <c r="J23" s="49">
        <v>0.0</v>
      </c>
      <c r="K23" s="50">
        <f t="shared" si="2"/>
        <v>5</v>
      </c>
      <c r="L23" s="44"/>
      <c r="M23" s="51">
        <f t="shared" si="3"/>
        <v>4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2.0</v>
      </c>
      <c r="F24" s="47">
        <v>2.0</v>
      </c>
      <c r="G24" s="47">
        <v>2.0</v>
      </c>
      <c r="H24" s="48"/>
      <c r="I24" s="48">
        <f t="shared" si="1"/>
        <v>6</v>
      </c>
      <c r="J24" s="49">
        <v>0.0</v>
      </c>
      <c r="K24" s="50">
        <f t="shared" si="2"/>
        <v>6</v>
      </c>
      <c r="L24" s="44"/>
      <c r="M24" s="51">
        <f t="shared" si="3"/>
        <v>6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2.0</v>
      </c>
      <c r="F25" s="47">
        <v>2.0</v>
      </c>
      <c r="G25" s="47">
        <v>2.0</v>
      </c>
      <c r="H25" s="48"/>
      <c r="I25" s="48">
        <f t="shared" si="1"/>
        <v>6</v>
      </c>
      <c r="J25" s="49">
        <v>0.0</v>
      </c>
      <c r="K25" s="50">
        <f t="shared" si="2"/>
        <v>6</v>
      </c>
      <c r="L25" s="44"/>
      <c r="M25" s="51">
        <f t="shared" si="3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3.0</v>
      </c>
      <c r="F26" s="47">
        <v>2.0</v>
      </c>
      <c r="G26" s="47">
        <v>2.0</v>
      </c>
      <c r="H26" s="48"/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62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36</v>
      </c>
      <c r="D28" s="46" t="s">
        <v>63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64</v>
      </c>
      <c r="D29" s="46" t="s">
        <v>65</v>
      </c>
      <c r="E29" s="47">
        <v>4.0</v>
      </c>
      <c r="F29" s="47">
        <v>3.0</v>
      </c>
      <c r="G29" s="47">
        <v>2.0</v>
      </c>
      <c r="H29" s="48"/>
      <c r="I29" s="48">
        <f t="shared" si="1"/>
        <v>9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58</v>
      </c>
      <c r="D30" s="46" t="s">
        <v>67</v>
      </c>
      <c r="E30" s="47">
        <v>5.0</v>
      </c>
      <c r="F30" s="47">
        <v>3.0</v>
      </c>
      <c r="G30" s="47">
        <v>2.0</v>
      </c>
      <c r="H30" s="48"/>
      <c r="I30" s="48">
        <f t="shared" si="1"/>
        <v>10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43</v>
      </c>
      <c r="D32" s="46" t="s">
        <v>72</v>
      </c>
      <c r="E32" s="47">
        <v>3.0</v>
      </c>
      <c r="F32" s="47">
        <v>2.0</v>
      </c>
      <c r="G32" s="47">
        <v>2.0</v>
      </c>
      <c r="H32" s="48"/>
      <c r="I32" s="48">
        <f t="shared" si="1"/>
        <v>7</v>
      </c>
      <c r="J32" s="49">
        <v>0.0</v>
      </c>
      <c r="K32" s="50">
        <f t="shared" si="2"/>
        <v>7</v>
      </c>
      <c r="L32" s="44"/>
      <c r="M32" s="51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2.0</v>
      </c>
      <c r="F33" s="47">
        <v>2.0</v>
      </c>
      <c r="G33" s="47">
        <v>2.0</v>
      </c>
      <c r="H33" s="48"/>
      <c r="I33" s="48">
        <f t="shared" si="1"/>
        <v>6</v>
      </c>
      <c r="J33" s="49">
        <v>1.0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51</v>
      </c>
      <c r="D35" s="46" t="s">
        <v>79</v>
      </c>
      <c r="E35" s="47">
        <v>5.0</v>
      </c>
      <c r="F35" s="47">
        <v>2.0</v>
      </c>
      <c r="G35" s="47">
        <v>1.0</v>
      </c>
      <c r="H35" s="48"/>
      <c r="I35" s="48">
        <f t="shared" si="1"/>
        <v>8</v>
      </c>
      <c r="J35" s="49">
        <v>0.0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48</v>
      </c>
      <c r="D37" s="46" t="s">
        <v>84</v>
      </c>
      <c r="E37" s="47">
        <v>2.0</v>
      </c>
      <c r="F37" s="47">
        <v>2.0</v>
      </c>
      <c r="G37" s="47">
        <v>2.0</v>
      </c>
      <c r="H37" s="48"/>
      <c r="I37" s="48">
        <f t="shared" si="1"/>
        <v>6</v>
      </c>
      <c r="J37" s="49">
        <v>0.0</v>
      </c>
      <c r="K37" s="50">
        <f t="shared" si="2"/>
        <v>6</v>
      </c>
      <c r="L37" s="44"/>
      <c r="M37" s="51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85</v>
      </c>
      <c r="D38" s="46" t="s">
        <v>86</v>
      </c>
      <c r="E38" s="47">
        <v>4.0</v>
      </c>
      <c r="F38" s="47">
        <v>3.0</v>
      </c>
      <c r="G38" s="47">
        <v>1.0</v>
      </c>
      <c r="H38" s="48"/>
      <c r="I38" s="48">
        <f t="shared" si="1"/>
        <v>8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87</v>
      </c>
      <c r="D39" s="46" t="s">
        <v>88</v>
      </c>
      <c r="E39" s="47">
        <v>4.0</v>
      </c>
      <c r="F39" s="47">
        <v>3.0</v>
      </c>
      <c r="G39" s="47">
        <v>2.0</v>
      </c>
      <c r="H39" s="48"/>
      <c r="I39" s="48">
        <f t="shared" si="1"/>
        <v>9</v>
      </c>
      <c r="J39" s="49">
        <v>0.0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48</v>
      </c>
      <c r="C40" s="45" t="s">
        <v>89</v>
      </c>
      <c r="D40" s="46" t="s">
        <v>90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91</v>
      </c>
      <c r="D41" s="46" t="s">
        <v>92</v>
      </c>
      <c r="E41" s="47">
        <v>4.0</v>
      </c>
      <c r="F41" s="47">
        <v>3.0</v>
      </c>
      <c r="G41" s="47">
        <v>2.0</v>
      </c>
      <c r="H41" s="48"/>
      <c r="I41" s="48">
        <f t="shared" si="1"/>
        <v>9</v>
      </c>
      <c r="J41" s="49">
        <v>0.0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94</v>
      </c>
      <c r="D42" s="46" t="s">
        <v>95</v>
      </c>
      <c r="E42" s="47">
        <v>2.0</v>
      </c>
      <c r="F42" s="47">
        <v>2.0</v>
      </c>
      <c r="G42" s="47">
        <v>2.0</v>
      </c>
      <c r="H42" s="48"/>
      <c r="I42" s="48">
        <f t="shared" si="1"/>
        <v>6</v>
      </c>
      <c r="J42" s="49">
        <v>0.0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96</v>
      </c>
      <c r="C43" s="45" t="s">
        <v>55</v>
      </c>
      <c r="D43" s="46" t="s">
        <v>97</v>
      </c>
      <c r="E43" s="47">
        <v>2.0</v>
      </c>
      <c r="F43" s="47">
        <v>2.0</v>
      </c>
      <c r="G43" s="47">
        <v>2.0</v>
      </c>
      <c r="H43" s="48"/>
      <c r="I43" s="48">
        <f t="shared" si="1"/>
        <v>6</v>
      </c>
      <c r="J43" s="49">
        <v>0.0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98</v>
      </c>
      <c r="C44" s="45" t="s">
        <v>99</v>
      </c>
      <c r="D44" s="46" t="s">
        <v>100</v>
      </c>
      <c r="E44" s="47">
        <v>2.0</v>
      </c>
      <c r="F44" s="47">
        <v>1.0</v>
      </c>
      <c r="G44" s="47">
        <v>1.0</v>
      </c>
      <c r="H44" s="48"/>
      <c r="I44" s="48">
        <f t="shared" si="1"/>
        <v>4</v>
      </c>
      <c r="J44" s="49">
        <v>0.0</v>
      </c>
      <c r="K44" s="50">
        <f t="shared" si="2"/>
        <v>5</v>
      </c>
      <c r="L44" s="44"/>
      <c r="M44" s="51">
        <f t="shared" si="3"/>
        <v>4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101</v>
      </c>
      <c r="C45" s="45" t="s">
        <v>102</v>
      </c>
      <c r="D45" s="46" t="s">
        <v>103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48</v>
      </c>
      <c r="D46" s="46" t="s">
        <v>104</v>
      </c>
      <c r="E46" s="47">
        <v>4.0</v>
      </c>
      <c r="F46" s="47">
        <v>3.0</v>
      </c>
      <c r="G46" s="47">
        <v>2.0</v>
      </c>
      <c r="H46" s="48"/>
      <c r="I46" s="48">
        <f t="shared" si="1"/>
        <v>9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105</v>
      </c>
      <c r="C47" s="45" t="s">
        <v>66</v>
      </c>
      <c r="D47" s="46" t="s">
        <v>106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107</v>
      </c>
      <c r="C48" s="45" t="s">
        <v>108</v>
      </c>
      <c r="D48" s="46" t="s">
        <v>109</v>
      </c>
      <c r="E48" s="47">
        <v>3.0</v>
      </c>
      <c r="F48" s="47">
        <v>3.0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110</v>
      </c>
      <c r="C49" s="45" t="s">
        <v>111</v>
      </c>
      <c r="D49" s="46" t="s">
        <v>112</v>
      </c>
      <c r="E49" s="47">
        <v>2.0</v>
      </c>
      <c r="F49" s="47">
        <v>1.0</v>
      </c>
      <c r="G49" s="47">
        <v>1.0</v>
      </c>
      <c r="H49" s="48"/>
      <c r="I49" s="48">
        <f t="shared" si="1"/>
        <v>4</v>
      </c>
      <c r="J49" s="49">
        <v>1.0</v>
      </c>
      <c r="K49" s="50">
        <f t="shared" si="2"/>
        <v>5</v>
      </c>
      <c r="L49" s="44"/>
      <c r="M49" s="51">
        <f t="shared" si="3"/>
        <v>4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114</v>
      </c>
      <c r="D50" s="46" t="s">
        <v>115</v>
      </c>
      <c r="E50" s="47">
        <v>3.0</v>
      </c>
      <c r="F50" s="47">
        <v>2.0</v>
      </c>
      <c r="G50" s="47">
        <v>2.0</v>
      </c>
      <c r="H50" s="48"/>
      <c r="I50" s="48">
        <f t="shared" si="1"/>
        <v>7</v>
      </c>
      <c r="J50" s="49">
        <v>0.0</v>
      </c>
      <c r="K50" s="50">
        <f t="shared" si="2"/>
        <v>7</v>
      </c>
      <c r="L50" s="44"/>
      <c r="M50" s="51">
        <f t="shared" si="3"/>
        <v>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81</v>
      </c>
      <c r="C51" s="45" t="s">
        <v>116</v>
      </c>
      <c r="D51" s="46" t="s">
        <v>117</v>
      </c>
      <c r="E51" s="47">
        <v>2.0</v>
      </c>
      <c r="F51" s="47">
        <v>2.0</v>
      </c>
      <c r="G51" s="47">
        <v>2.0</v>
      </c>
      <c r="H51" s="48"/>
      <c r="I51" s="48">
        <f t="shared" si="1"/>
        <v>6</v>
      </c>
      <c r="J51" s="49">
        <v>0.0</v>
      </c>
      <c r="K51" s="50">
        <f t="shared" si="2"/>
        <v>6</v>
      </c>
      <c r="L51" s="44"/>
      <c r="M51" s="51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118</v>
      </c>
      <c r="C52" s="45" t="s">
        <v>119</v>
      </c>
      <c r="D52" s="46" t="s">
        <v>120</v>
      </c>
      <c r="E52" s="47">
        <v>2.0</v>
      </c>
      <c r="F52" s="47">
        <v>2.0</v>
      </c>
      <c r="G52" s="47">
        <v>2.0</v>
      </c>
      <c r="H52" s="48"/>
      <c r="I52" s="48">
        <f t="shared" si="1"/>
        <v>6</v>
      </c>
      <c r="J52" s="49">
        <v>1.0</v>
      </c>
      <c r="K52" s="50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3.0</v>
      </c>
      <c r="F53" s="47">
        <v>2.0</v>
      </c>
      <c r="G53" s="47">
        <v>2.0</v>
      </c>
      <c r="H53" s="48"/>
      <c r="I53" s="48">
        <f t="shared" si="1"/>
        <v>7</v>
      </c>
      <c r="J53" s="49">
        <v>0.0</v>
      </c>
      <c r="K53" s="50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125</v>
      </c>
      <c r="D54" s="46" t="s">
        <v>126</v>
      </c>
      <c r="E54" s="47">
        <v>2.0</v>
      </c>
      <c r="F54" s="47">
        <v>1.0</v>
      </c>
      <c r="G54" s="47">
        <v>1.0</v>
      </c>
      <c r="H54" s="48"/>
      <c r="I54" s="48">
        <f t="shared" si="1"/>
        <v>4</v>
      </c>
      <c r="J54" s="49">
        <v>0.0</v>
      </c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40</v>
      </c>
      <c r="D55" s="46" t="s">
        <v>128</v>
      </c>
      <c r="E55" s="47">
        <v>2.0</v>
      </c>
      <c r="F55" s="47">
        <v>1.0</v>
      </c>
      <c r="G55" s="47">
        <v>1.0</v>
      </c>
      <c r="H55" s="48"/>
      <c r="I55" s="48">
        <f t="shared" si="1"/>
        <v>4</v>
      </c>
      <c r="J55" s="49">
        <v>0.0</v>
      </c>
      <c r="K55" s="50">
        <f t="shared" si="2"/>
        <v>5</v>
      </c>
      <c r="L55" s="44"/>
      <c r="M55" s="45">
        <f t="shared" si="3"/>
        <v>4</v>
      </c>
      <c r="N55" s="1"/>
      <c r="O55" s="1"/>
      <c r="P55" s="2"/>
      <c r="Q55" s="2"/>
      <c r="R55" s="2"/>
    </row>
    <row r="56" ht="24.75" customHeight="1">
      <c r="A56" s="6"/>
      <c r="B56" s="54"/>
      <c r="C56" s="54"/>
      <c r="D56" s="54"/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56" t="s">
        <v>129</v>
      </c>
      <c r="C57" s="57"/>
      <c r="D57" s="58">
        <f>COUNT(A17:A55)</f>
        <v>39</v>
      </c>
      <c r="E57" s="55"/>
      <c r="F57" s="55"/>
      <c r="G57" s="59" t="s">
        <v>130</v>
      </c>
      <c r="H57" s="55"/>
      <c r="I57" s="59" t="s">
        <v>131</v>
      </c>
      <c r="K57" s="60" t="s">
        <v>132</v>
      </c>
      <c r="L57" s="61" t="s">
        <v>133</v>
      </c>
      <c r="M57" s="54"/>
      <c r="N57" s="1"/>
      <c r="O57" s="1"/>
      <c r="P57" s="2"/>
      <c r="Q57" s="2"/>
      <c r="R57" s="2"/>
    </row>
    <row r="58" ht="24.75" customHeight="1">
      <c r="A58" s="1"/>
      <c r="B58" s="62" t="s">
        <v>134</v>
      </c>
      <c r="C58" s="63"/>
      <c r="D58" s="64">
        <f>COUNTIF(K17:K55,"BAJA")</f>
        <v>0</v>
      </c>
      <c r="E58" s="55"/>
      <c r="F58" s="55"/>
      <c r="H58" s="55"/>
      <c r="L58" s="9"/>
      <c r="M58" s="54"/>
      <c r="N58" s="1"/>
      <c r="O58" s="1"/>
      <c r="P58" s="2"/>
      <c r="Q58" s="2"/>
      <c r="R58" s="2"/>
    </row>
    <row r="59" ht="24.75" customHeight="1">
      <c r="A59" s="1"/>
      <c r="B59" s="62" t="s">
        <v>135</v>
      </c>
      <c r="C59" s="63"/>
      <c r="D59" s="65">
        <f>D57-D58</f>
        <v>39</v>
      </c>
      <c r="E59" s="55"/>
      <c r="F59" s="55"/>
      <c r="G59" s="55"/>
      <c r="H59" s="55"/>
      <c r="I59" s="55"/>
      <c r="J59" s="55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62" t="s">
        <v>136</v>
      </c>
      <c r="C60" s="63"/>
      <c r="D60" s="66">
        <f>COUNTIF(K17:K55,"&gt;=6")</f>
        <v>32</v>
      </c>
      <c r="E60" s="55"/>
      <c r="F60" s="55"/>
      <c r="G60" s="55"/>
      <c r="H60" s="55"/>
      <c r="I60" s="55"/>
      <c r="J60" s="55"/>
      <c r="K60" s="54"/>
      <c r="L60" s="7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137</v>
      </c>
      <c r="C61" s="63"/>
      <c r="D61" s="66">
        <f>D59-D60</f>
        <v>7</v>
      </c>
      <c r="E61" s="55"/>
      <c r="F61" s="55"/>
      <c r="G61" s="67"/>
      <c r="H61" s="55"/>
      <c r="I61" s="67"/>
      <c r="J61" s="67"/>
      <c r="K61" s="68"/>
      <c r="L61" s="69"/>
      <c r="M61" s="54"/>
      <c r="N61" s="1"/>
      <c r="O61" s="1"/>
      <c r="P61" s="2"/>
      <c r="Q61" s="2"/>
      <c r="R61" s="2"/>
    </row>
    <row r="62" ht="36.0" customHeight="1">
      <c r="A62" s="1"/>
      <c r="B62" s="62" t="s">
        <v>138</v>
      </c>
      <c r="C62" s="63"/>
      <c r="D62" s="65">
        <f>D60*100/D59</f>
        <v>82.05128205</v>
      </c>
      <c r="E62" s="55"/>
      <c r="F62" s="55"/>
      <c r="G62" s="70" t="s">
        <v>139</v>
      </c>
      <c r="H62" s="55"/>
      <c r="I62" s="71" t="s">
        <v>140</v>
      </c>
      <c r="K62" s="72" t="s">
        <v>141</v>
      </c>
      <c r="L62" s="73" t="s">
        <v>142</v>
      </c>
      <c r="M62" s="54"/>
      <c r="N62" s="1"/>
      <c r="O62" s="1"/>
      <c r="P62" s="2"/>
      <c r="Q62" s="2"/>
      <c r="R62" s="2"/>
    </row>
    <row r="63" ht="24.75" customHeight="1">
      <c r="A63" s="1"/>
      <c r="B63" s="74" t="s">
        <v>143</v>
      </c>
      <c r="C63" s="75"/>
      <c r="D63" s="76">
        <f>AVERAGE(K17:K55)</f>
        <v>7.358974359</v>
      </c>
      <c r="E63" s="55"/>
      <c r="F63" s="55"/>
      <c r="H63" s="55"/>
      <c r="L63" s="9"/>
      <c r="M63" s="54"/>
      <c r="N63" s="1"/>
      <c r="O63" s="1"/>
      <c r="P63" s="2"/>
      <c r="Q63" s="2"/>
      <c r="R63" s="2"/>
    </row>
    <row r="64" ht="24.75" customHeight="1">
      <c r="A64" s="77"/>
      <c r="B64" s="78"/>
      <c r="C64" s="78"/>
      <c r="D64" s="78"/>
      <c r="E64" s="79"/>
      <c r="F64" s="79"/>
      <c r="G64" s="79"/>
      <c r="H64" s="79"/>
      <c r="I64" s="79"/>
      <c r="J64" s="79"/>
      <c r="K64" s="78"/>
      <c r="L64" s="80"/>
      <c r="M64" s="78"/>
      <c r="N64" s="2"/>
      <c r="O64" s="2"/>
      <c r="P64" s="2"/>
      <c r="Q64" s="2"/>
      <c r="R64" s="2"/>
    </row>
    <row r="65" ht="24.75" customHeight="1">
      <c r="A65" s="81"/>
      <c r="B65" s="82"/>
      <c r="C65" s="83"/>
      <c r="D65" s="83"/>
      <c r="E65" s="79"/>
      <c r="H65" s="79"/>
      <c r="I65" s="79"/>
      <c r="J65" s="79"/>
      <c r="K65" s="78"/>
      <c r="L65" s="80"/>
      <c r="M65" s="78"/>
      <c r="N65" s="2"/>
      <c r="O65" s="2"/>
      <c r="P65" s="2"/>
      <c r="Q65" s="2"/>
      <c r="R65" s="2"/>
    </row>
    <row r="66" ht="24.75" customHeight="1">
      <c r="A66" s="77"/>
      <c r="B66" s="78"/>
      <c r="C66" s="78"/>
      <c r="D66" s="78"/>
      <c r="E66" s="79"/>
      <c r="F66" s="79"/>
      <c r="G66" s="79"/>
      <c r="H66" s="79"/>
      <c r="I66" s="79"/>
      <c r="J66" s="79"/>
      <c r="K66" s="78"/>
      <c r="L66" s="80"/>
      <c r="M66" s="78"/>
      <c r="N66" s="2"/>
      <c r="O66" s="2"/>
      <c r="P66" s="2"/>
      <c r="Q66" s="2"/>
      <c r="R66" s="2"/>
    </row>
    <row r="67" ht="24.75" customHeight="1">
      <c r="A67" s="77"/>
      <c r="B67" s="78"/>
      <c r="C67" s="78"/>
      <c r="D67" s="84"/>
      <c r="E67" s="79"/>
      <c r="F67" s="79"/>
      <c r="G67" s="79"/>
      <c r="H67" s="79"/>
      <c r="I67" s="79"/>
      <c r="J67" s="79"/>
      <c r="K67" s="78"/>
      <c r="L67" s="80"/>
      <c r="M67" s="78"/>
      <c r="N67" s="2"/>
      <c r="O67" s="2"/>
      <c r="P67" s="2"/>
      <c r="Q67" s="2"/>
      <c r="R67" s="2"/>
    </row>
    <row r="68" ht="24.75" customHeight="1">
      <c r="A68" s="85"/>
      <c r="B68" s="86"/>
      <c r="C68" s="86"/>
      <c r="D68" s="87"/>
      <c r="E68" s="88"/>
      <c r="F68" s="88"/>
      <c r="G68" s="88"/>
      <c r="H68" s="88"/>
      <c r="I68" s="88"/>
      <c r="J68" s="89"/>
      <c r="K68" s="86"/>
      <c r="L68" s="90"/>
      <c r="M68" s="78"/>
      <c r="N68" s="2"/>
      <c r="O68" s="2"/>
      <c r="P68" s="2"/>
      <c r="Q68" s="2"/>
      <c r="R68" s="2"/>
    </row>
    <row r="69" ht="24.75" customHeight="1">
      <c r="A69" s="2"/>
      <c r="B69" s="78"/>
      <c r="C69" s="78"/>
      <c r="D69" s="78"/>
      <c r="E69" s="79"/>
      <c r="F69" s="79"/>
      <c r="G69" s="79"/>
      <c r="H69" s="79"/>
      <c r="I69" s="79"/>
      <c r="J69" s="79"/>
      <c r="K69" s="91"/>
      <c r="L69" s="92"/>
      <c r="M69" s="91"/>
      <c r="N69" s="2"/>
      <c r="O69" s="2"/>
      <c r="P69" s="2"/>
      <c r="Q69" s="2"/>
      <c r="R69" s="2"/>
    </row>
    <row r="70" ht="24.75" customHeight="1">
      <c r="A70" s="2"/>
      <c r="B70" s="78"/>
      <c r="C70" s="78"/>
      <c r="D70" s="78"/>
      <c r="E70" s="79"/>
      <c r="F70" s="79"/>
      <c r="G70" s="79"/>
      <c r="H70" s="79"/>
      <c r="I70" s="79"/>
      <c r="J70" s="79"/>
      <c r="K70" s="91"/>
      <c r="L70" s="91"/>
      <c r="M70" s="91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144</v>
      </c>
      <c r="C17" s="45" t="s">
        <v>145</v>
      </c>
      <c r="D17" s="46" t="s">
        <v>146</v>
      </c>
      <c r="E17" s="47">
        <v>5.0</v>
      </c>
      <c r="F17" s="47">
        <v>3.0</v>
      </c>
      <c r="G17" s="47">
        <v>2.0</v>
      </c>
      <c r="H17" s="48"/>
      <c r="I17" s="48">
        <f t="shared" ref="I17:I51" si="1">SUM(E17:H17)</f>
        <v>10</v>
      </c>
      <c r="J17" s="49">
        <v>0.0</v>
      </c>
      <c r="K17" s="50">
        <f t="shared" ref="K17:K51" si="2">IF(I17&lt;6, 5, MIN(ROUND(I17,0), 10))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147</v>
      </c>
      <c r="C18" s="45" t="s">
        <v>148</v>
      </c>
      <c r="D18" s="46" t="s">
        <v>149</v>
      </c>
      <c r="E18" s="47">
        <v>4.0</v>
      </c>
      <c r="F18" s="47">
        <v>3.0</v>
      </c>
      <c r="G18" s="47">
        <v>2.0</v>
      </c>
      <c r="H18" s="48"/>
      <c r="I18" s="48">
        <f t="shared" si="1"/>
        <v>9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150</v>
      </c>
      <c r="C19" s="45" t="s">
        <v>61</v>
      </c>
      <c r="D19" s="46" t="s">
        <v>151</v>
      </c>
      <c r="E19" s="47">
        <v>3.0</v>
      </c>
      <c r="F19" s="47">
        <v>3.0</v>
      </c>
      <c r="G19" s="47">
        <v>2.0</v>
      </c>
      <c r="H19" s="48"/>
      <c r="I19" s="48">
        <f t="shared" si="1"/>
        <v>8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152</v>
      </c>
      <c r="C20" s="45" t="s">
        <v>153</v>
      </c>
      <c r="D20" s="46" t="s">
        <v>154</v>
      </c>
      <c r="E20" s="47">
        <v>4.0</v>
      </c>
      <c r="F20" s="47">
        <v>3.0</v>
      </c>
      <c r="G20" s="47">
        <v>2.0</v>
      </c>
      <c r="H20" s="48"/>
      <c r="I20" s="48">
        <f t="shared" si="1"/>
        <v>9</v>
      </c>
      <c r="J20" s="49">
        <v>0.0</v>
      </c>
      <c r="K20" s="50">
        <f t="shared" si="2"/>
        <v>9</v>
      </c>
      <c r="L20" s="44"/>
      <c r="M20" s="51">
        <f t="shared" si="3"/>
        <v>9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124</v>
      </c>
      <c r="D21" s="46" t="s">
        <v>156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157</v>
      </c>
      <c r="C22" s="45" t="s">
        <v>89</v>
      </c>
      <c r="D22" s="46" t="s">
        <v>158</v>
      </c>
      <c r="E22" s="47">
        <v>3.0</v>
      </c>
      <c r="F22" s="47">
        <v>2.0</v>
      </c>
      <c r="G22" s="47">
        <v>2.0</v>
      </c>
      <c r="H22" s="48"/>
      <c r="I22" s="48">
        <f t="shared" si="1"/>
        <v>7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159</v>
      </c>
      <c r="C23" s="45" t="s">
        <v>160</v>
      </c>
      <c r="D23" s="46" t="s">
        <v>161</v>
      </c>
      <c r="E23" s="47">
        <v>5.0</v>
      </c>
      <c r="F23" s="47">
        <v>3.0</v>
      </c>
      <c r="G23" s="47">
        <v>2.0</v>
      </c>
      <c r="H23" s="48"/>
      <c r="I23" s="48">
        <f t="shared" si="1"/>
        <v>10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162</v>
      </c>
      <c r="C24" s="45" t="s">
        <v>76</v>
      </c>
      <c r="D24" s="46" t="s">
        <v>163</v>
      </c>
      <c r="E24" s="47">
        <v>2.0</v>
      </c>
      <c r="F24" s="47">
        <v>2.0</v>
      </c>
      <c r="G24" s="47">
        <v>2.0</v>
      </c>
      <c r="H24" s="48"/>
      <c r="I24" s="48">
        <f t="shared" si="1"/>
        <v>6</v>
      </c>
      <c r="J24" s="49">
        <v>0.0</v>
      </c>
      <c r="K24" s="50">
        <f t="shared" si="2"/>
        <v>6</v>
      </c>
      <c r="L24" s="44"/>
      <c r="M24" s="51">
        <f t="shared" si="3"/>
        <v>6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122</v>
      </c>
      <c r="D25" s="46" t="s">
        <v>165</v>
      </c>
      <c r="E25" s="47">
        <v>4.0</v>
      </c>
      <c r="F25" s="47">
        <v>3.0</v>
      </c>
      <c r="G25" s="47">
        <v>2.0</v>
      </c>
      <c r="H25" s="48"/>
      <c r="I25" s="48">
        <f t="shared" si="1"/>
        <v>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166</v>
      </c>
      <c r="C26" s="45" t="s">
        <v>55</v>
      </c>
      <c r="D26" s="46" t="s">
        <v>167</v>
      </c>
      <c r="E26" s="47">
        <v>3.0</v>
      </c>
      <c r="F26" s="47">
        <v>2.0</v>
      </c>
      <c r="G26" s="47">
        <v>2.0</v>
      </c>
      <c r="H26" s="48"/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36</v>
      </c>
      <c r="D27" s="45" t="s">
        <v>169</v>
      </c>
      <c r="E27" s="47">
        <v>4.0</v>
      </c>
      <c r="F27" s="47">
        <v>3.0</v>
      </c>
      <c r="G27" s="47">
        <v>1.0</v>
      </c>
      <c r="H27" s="48"/>
      <c r="I27" s="48">
        <f t="shared" si="1"/>
        <v>8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170</v>
      </c>
      <c r="C28" s="45" t="s">
        <v>171</v>
      </c>
      <c r="D28" s="46" t="s">
        <v>172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170</v>
      </c>
      <c r="C29" s="45" t="s">
        <v>173</v>
      </c>
      <c r="D29" s="46" t="s">
        <v>174</v>
      </c>
      <c r="E29" s="47">
        <v>4.0</v>
      </c>
      <c r="F29" s="47">
        <v>2.0</v>
      </c>
      <c r="G29" s="47">
        <v>2.0</v>
      </c>
      <c r="H29" s="48"/>
      <c r="I29" s="48">
        <f t="shared" si="1"/>
        <v>8</v>
      </c>
      <c r="J29" s="49">
        <v>0.0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175</v>
      </c>
      <c r="C30" s="45" t="s">
        <v>176</v>
      </c>
      <c r="D30" s="46" t="s">
        <v>177</v>
      </c>
      <c r="E30" s="47">
        <v>2.0</v>
      </c>
      <c r="F30" s="47">
        <v>2.0</v>
      </c>
      <c r="G30" s="47">
        <v>2.0</v>
      </c>
      <c r="H30" s="48"/>
      <c r="I30" s="48">
        <f t="shared" si="1"/>
        <v>6</v>
      </c>
      <c r="J30" s="49">
        <v>0.0</v>
      </c>
      <c r="K30" s="50">
        <f t="shared" si="2"/>
        <v>6</v>
      </c>
      <c r="L30" s="44"/>
      <c r="M30" s="51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178</v>
      </c>
      <c r="C31" s="45" t="s">
        <v>81</v>
      </c>
      <c r="D31" s="46" t="s">
        <v>179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181</v>
      </c>
      <c r="D32" s="46" t="s">
        <v>182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183</v>
      </c>
      <c r="C33" s="45" t="s">
        <v>184</v>
      </c>
      <c r="D33" s="46" t="s">
        <v>185</v>
      </c>
      <c r="E33" s="47">
        <v>2.0</v>
      </c>
      <c r="F33" s="47">
        <v>1.0</v>
      </c>
      <c r="G33" s="47">
        <v>1.0</v>
      </c>
      <c r="H33" s="48"/>
      <c r="I33" s="48">
        <f t="shared" si="1"/>
        <v>4</v>
      </c>
      <c r="J33" s="49">
        <v>0.0</v>
      </c>
      <c r="K33" s="50">
        <f t="shared" si="2"/>
        <v>5</v>
      </c>
      <c r="L33" s="44"/>
      <c r="M33" s="51">
        <f t="shared" si="3"/>
        <v>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186</v>
      </c>
      <c r="C34" s="45" t="s">
        <v>187</v>
      </c>
      <c r="D34" s="46" t="s">
        <v>188</v>
      </c>
      <c r="E34" s="47">
        <v>3.0</v>
      </c>
      <c r="F34" s="47">
        <v>2.0</v>
      </c>
      <c r="G34" s="47">
        <v>2.0</v>
      </c>
      <c r="H34" s="48"/>
      <c r="I34" s="48">
        <f t="shared" si="1"/>
        <v>7</v>
      </c>
      <c r="J34" s="49">
        <v>0.0</v>
      </c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189</v>
      </c>
      <c r="C35" s="45" t="s">
        <v>190</v>
      </c>
      <c r="D35" s="46" t="s">
        <v>191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193</v>
      </c>
      <c r="D36" s="46" t="s">
        <v>194</v>
      </c>
      <c r="E36" s="47">
        <v>2.0</v>
      </c>
      <c r="F36" s="47">
        <v>2.0</v>
      </c>
      <c r="G36" s="47">
        <v>2.0</v>
      </c>
      <c r="H36" s="48"/>
      <c r="I36" s="48">
        <f t="shared" si="1"/>
        <v>6</v>
      </c>
      <c r="J36" s="49">
        <v>0.0</v>
      </c>
      <c r="K36" s="50">
        <f t="shared" si="2"/>
        <v>6</v>
      </c>
      <c r="L36" s="44"/>
      <c r="M36" s="51">
        <f t="shared" si="3"/>
        <v>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195</v>
      </c>
      <c r="D37" s="46" t="s">
        <v>196</v>
      </c>
      <c r="E37" s="47">
        <v>4.0</v>
      </c>
      <c r="F37" s="47">
        <v>2.0</v>
      </c>
      <c r="G37" s="47">
        <v>2.0</v>
      </c>
      <c r="H37" s="48"/>
      <c r="I37" s="48">
        <f t="shared" si="1"/>
        <v>8</v>
      </c>
      <c r="J37" s="49">
        <v>0.0</v>
      </c>
      <c r="K37" s="50">
        <f t="shared" si="2"/>
        <v>8</v>
      </c>
      <c r="L37" s="44"/>
      <c r="M37" s="51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122</v>
      </c>
      <c r="D38" s="46" t="s">
        <v>197</v>
      </c>
      <c r="E38" s="47">
        <v>3.0</v>
      </c>
      <c r="F38" s="47">
        <v>2.0</v>
      </c>
      <c r="G38" s="47">
        <v>2.0</v>
      </c>
      <c r="H38" s="48"/>
      <c r="I38" s="48">
        <f t="shared" si="1"/>
        <v>7</v>
      </c>
      <c r="J38" s="49">
        <v>0.0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192</v>
      </c>
      <c r="C39" s="45" t="s">
        <v>127</v>
      </c>
      <c r="D39" s="46" t="s">
        <v>198</v>
      </c>
      <c r="E39" s="47">
        <v>3.0</v>
      </c>
      <c r="F39" s="47">
        <v>2.0</v>
      </c>
      <c r="G39" s="47">
        <v>2.0</v>
      </c>
      <c r="H39" s="48"/>
      <c r="I39" s="48">
        <f t="shared" si="1"/>
        <v>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192</v>
      </c>
      <c r="C40" s="45" t="s">
        <v>199</v>
      </c>
      <c r="D40" s="46" t="s">
        <v>200</v>
      </c>
      <c r="E40" s="47">
        <v>4.0</v>
      </c>
      <c r="F40" s="47">
        <v>2.0</v>
      </c>
      <c r="G40" s="47">
        <v>2.0</v>
      </c>
      <c r="H40" s="48"/>
      <c r="I40" s="48">
        <f t="shared" si="1"/>
        <v>8</v>
      </c>
      <c r="J40" s="49">
        <v>0.0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201</v>
      </c>
      <c r="C41" s="45" t="s">
        <v>202</v>
      </c>
      <c r="D41" s="46" t="s">
        <v>203</v>
      </c>
      <c r="E41" s="47">
        <v>3.0</v>
      </c>
      <c r="F41" s="47">
        <v>2.0</v>
      </c>
      <c r="G41" s="47">
        <v>2.0</v>
      </c>
      <c r="H41" s="48"/>
      <c r="I41" s="48">
        <f t="shared" si="1"/>
        <v>7</v>
      </c>
      <c r="J41" s="49">
        <v>0.0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119</v>
      </c>
      <c r="D42" s="46" t="s">
        <v>204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205</v>
      </c>
      <c r="C43" s="45" t="s">
        <v>206</v>
      </c>
      <c r="D43" s="46" t="s">
        <v>207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81</v>
      </c>
      <c r="C44" s="45" t="s">
        <v>116</v>
      </c>
      <c r="D44" s="46" t="s">
        <v>208</v>
      </c>
      <c r="E44" s="47">
        <v>3.0</v>
      </c>
      <c r="F44" s="47">
        <v>2.0</v>
      </c>
      <c r="G44" s="47">
        <v>2.0</v>
      </c>
      <c r="H44" s="48"/>
      <c r="I44" s="48">
        <f t="shared" si="1"/>
        <v>7</v>
      </c>
      <c r="J44" s="49">
        <v>0.0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209</v>
      </c>
      <c r="C45" s="45" t="s">
        <v>210</v>
      </c>
      <c r="D45" s="46" t="s">
        <v>174</v>
      </c>
      <c r="E45" s="47">
        <v>4.0</v>
      </c>
      <c r="F45" s="47">
        <v>3.0</v>
      </c>
      <c r="G45" s="47">
        <v>2.0</v>
      </c>
      <c r="H45" s="48"/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76</v>
      </c>
      <c r="D46" s="46" t="s">
        <v>211</v>
      </c>
      <c r="E46" s="47">
        <v>4.0</v>
      </c>
      <c r="F46" s="47">
        <v>2.0</v>
      </c>
      <c r="G46" s="47">
        <v>2.0</v>
      </c>
      <c r="H46" s="48"/>
      <c r="I46" s="48">
        <f t="shared" si="1"/>
        <v>8</v>
      </c>
      <c r="J46" s="49">
        <v>0.0</v>
      </c>
      <c r="K46" s="50">
        <f t="shared" si="2"/>
        <v>8</v>
      </c>
      <c r="L46" s="44"/>
      <c r="M46" s="51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91</v>
      </c>
      <c r="C47" s="45" t="s">
        <v>212</v>
      </c>
      <c r="D47" s="46" t="s">
        <v>213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5.0</v>
      </c>
      <c r="F48" s="47">
        <v>3.0</v>
      </c>
      <c r="G48" s="47">
        <v>2.0</v>
      </c>
      <c r="H48" s="48"/>
      <c r="I48" s="48">
        <f t="shared" si="1"/>
        <v>10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218</v>
      </c>
      <c r="D49" s="46" t="s">
        <v>219</v>
      </c>
      <c r="E49" s="47">
        <v>3.0</v>
      </c>
      <c r="F49" s="47">
        <v>2.0</v>
      </c>
      <c r="G49" s="47">
        <v>2.0</v>
      </c>
      <c r="H49" s="48"/>
      <c r="I49" s="48">
        <f t="shared" si="1"/>
        <v>7</v>
      </c>
      <c r="J49" s="49">
        <v>0.0</v>
      </c>
      <c r="K49" s="50">
        <f t="shared" si="2"/>
        <v>7</v>
      </c>
      <c r="L49" s="44"/>
      <c r="M49" s="51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220</v>
      </c>
      <c r="C50" s="45" t="s">
        <v>221</v>
      </c>
      <c r="D50" s="46" t="s">
        <v>222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223</v>
      </c>
      <c r="C51" s="45" t="s">
        <v>224</v>
      </c>
      <c r="D51" s="46" t="s">
        <v>225</v>
      </c>
      <c r="E51" s="47">
        <v>4.0</v>
      </c>
      <c r="F51" s="47">
        <v>3.0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129</v>
      </c>
      <c r="C53" s="57"/>
      <c r="D53" s="93">
        <f>COUNT(A17:A51)</f>
        <v>35</v>
      </c>
      <c r="E53" s="55"/>
      <c r="F53" s="55"/>
      <c r="G53" s="59" t="s">
        <v>130</v>
      </c>
      <c r="H53" s="55"/>
      <c r="I53" s="59" t="s">
        <v>131</v>
      </c>
      <c r="K53" s="60" t="s">
        <v>132</v>
      </c>
      <c r="L53" s="61" t="s">
        <v>133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134</v>
      </c>
      <c r="C54" s="63"/>
      <c r="D54" s="9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135</v>
      </c>
      <c r="C55" s="63"/>
      <c r="D55" s="9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136</v>
      </c>
      <c r="C56" s="63"/>
      <c r="D56" s="66">
        <f>COUNTIF(K17:K51,"&gt;=6")</f>
        <v>34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137</v>
      </c>
      <c r="C57" s="63"/>
      <c r="D57" s="66">
        <f>D55-D56</f>
        <v>1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36.0" customHeight="1">
      <c r="A58" s="1"/>
      <c r="B58" s="62" t="s">
        <v>138</v>
      </c>
      <c r="C58" s="63"/>
      <c r="D58" s="65">
        <f>D56*100/D55</f>
        <v>97.14285714</v>
      </c>
      <c r="E58" s="55"/>
      <c r="F58" s="55"/>
      <c r="G58" s="70" t="s">
        <v>139</v>
      </c>
      <c r="H58" s="55"/>
      <c r="I58" s="71" t="s">
        <v>226</v>
      </c>
      <c r="K58" s="72" t="s">
        <v>141</v>
      </c>
      <c r="L58" s="73" t="s">
        <v>142</v>
      </c>
      <c r="M58" s="54"/>
      <c r="N58" s="1"/>
      <c r="O58" s="1"/>
      <c r="P58" s="2"/>
      <c r="Q58" s="2"/>
      <c r="R58" s="2"/>
    </row>
    <row r="59" ht="24.75" customHeight="1">
      <c r="A59" s="1"/>
      <c r="B59" s="74" t="s">
        <v>143</v>
      </c>
      <c r="C59" s="75"/>
      <c r="D59" s="76">
        <f>AVERAGE(K17:K51)</f>
        <v>8.228571429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78"/>
      <c r="E60" s="79"/>
      <c r="F60" s="79"/>
      <c r="G60" s="79"/>
      <c r="H60" s="79"/>
      <c r="I60" s="79"/>
      <c r="J60" s="79"/>
      <c r="K60" s="78"/>
      <c r="L60" s="80"/>
      <c r="M60" s="78"/>
      <c r="N60" s="2"/>
      <c r="O60" s="2"/>
      <c r="P60" s="2"/>
      <c r="Q60" s="2"/>
      <c r="R60" s="2"/>
    </row>
    <row r="61" ht="24.75" customHeight="1">
      <c r="A61" s="96"/>
      <c r="B61" s="97"/>
      <c r="C61" s="98"/>
      <c r="D61" s="98"/>
      <c r="E61" s="99"/>
      <c r="H61" s="99"/>
      <c r="I61" s="99"/>
      <c r="J61" s="99"/>
      <c r="K61" s="100"/>
      <c r="L61" s="101"/>
      <c r="M61" s="100"/>
      <c r="N61" s="2"/>
      <c r="O61" s="2"/>
      <c r="P61" s="2"/>
      <c r="Q61" s="2"/>
      <c r="R61" s="2"/>
    </row>
    <row r="62" ht="24.75" customHeight="1">
      <c r="A62" s="102"/>
      <c r="B62" s="100"/>
      <c r="C62" s="100"/>
      <c r="D62" s="103"/>
      <c r="E62" s="99"/>
      <c r="F62" s="99"/>
      <c r="G62" s="79"/>
      <c r="H62" s="79"/>
      <c r="I62" s="79"/>
      <c r="J62" s="79"/>
      <c r="K62" s="78"/>
      <c r="L62" s="80"/>
      <c r="M62" s="78"/>
      <c r="N62" s="2"/>
      <c r="O62" s="2"/>
      <c r="P62" s="2"/>
      <c r="Q62" s="2"/>
      <c r="R62" s="2"/>
    </row>
    <row r="63" ht="24.75" customHeight="1">
      <c r="A63" s="102"/>
      <c r="B63" s="100"/>
      <c r="C63" s="100"/>
      <c r="D63" s="103"/>
      <c r="E63" s="99"/>
      <c r="F63" s="99"/>
      <c r="G63" s="79"/>
      <c r="H63" s="79"/>
      <c r="I63" s="79"/>
      <c r="J63" s="79"/>
      <c r="K63" s="78"/>
      <c r="L63" s="80"/>
      <c r="M63" s="78"/>
      <c r="N63" s="2"/>
      <c r="O63" s="2"/>
      <c r="P63" s="2"/>
      <c r="Q63" s="2"/>
      <c r="R63" s="2"/>
    </row>
    <row r="64" ht="24.75" customHeight="1">
      <c r="A64" s="104"/>
      <c r="B64" s="105"/>
      <c r="C64" s="105"/>
      <c r="D64" s="105"/>
      <c r="E64" s="106"/>
      <c r="F64" s="106"/>
      <c r="G64" s="88"/>
      <c r="H64" s="88"/>
      <c r="I64" s="88"/>
      <c r="J64" s="88"/>
      <c r="K64" s="86"/>
      <c r="L64" s="90"/>
      <c r="M64" s="78"/>
      <c r="N64" s="2"/>
      <c r="O64" s="2"/>
      <c r="P64" s="2"/>
      <c r="Q64" s="2"/>
      <c r="R64" s="2"/>
    </row>
    <row r="65" ht="24.75" customHeight="1">
      <c r="A65" s="2"/>
      <c r="B65" s="100"/>
      <c r="C65" s="100"/>
      <c r="D65" s="100"/>
      <c r="E65" s="99"/>
      <c r="F65" s="99"/>
      <c r="G65" s="79"/>
      <c r="H65" s="79"/>
      <c r="I65" s="79"/>
      <c r="J65" s="79"/>
      <c r="K65" s="91"/>
      <c r="L65" s="92"/>
      <c r="M65" s="91"/>
      <c r="N65" s="2"/>
      <c r="O65" s="2"/>
      <c r="P65" s="2"/>
      <c r="Q65" s="2"/>
      <c r="R65" s="2"/>
    </row>
    <row r="66" ht="24.75" customHeight="1">
      <c r="A66" s="2"/>
      <c r="B66" s="100"/>
      <c r="C66" s="100"/>
      <c r="D66" s="100"/>
      <c r="E66" s="99"/>
      <c r="F66" s="99"/>
      <c r="G66" s="79"/>
      <c r="H66" s="79"/>
      <c r="I66" s="79"/>
      <c r="J66" s="79"/>
      <c r="K66" s="91"/>
      <c r="L66" s="92"/>
      <c r="M66" s="91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1" priority="1" stopIfTrue="1" operator="equal">
      <formula>5</formula>
    </cfRule>
  </conditionalFormatting>
  <conditionalFormatting sqref="E17:H51">
    <cfRule type="expression" dxfId="0" priority="2" stopIfTrue="1">
      <formula>TRUE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227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228</v>
      </c>
      <c r="C17" s="45" t="s">
        <v>229</v>
      </c>
      <c r="D17" s="46" t="s">
        <v>230</v>
      </c>
      <c r="E17" s="47">
        <v>4.0</v>
      </c>
      <c r="F17" s="47">
        <v>2.0</v>
      </c>
      <c r="G17" s="47">
        <v>2.0</v>
      </c>
      <c r="H17" s="48"/>
      <c r="I17" s="48">
        <f t="shared" ref="I17:I57" si="1">SUM(E17:H17)</f>
        <v>8</v>
      </c>
      <c r="J17" s="49">
        <v>0.0</v>
      </c>
      <c r="K17" s="50">
        <f t="shared" ref="K17:K57" si="2">IF(I17&lt;6, 5, MIN(ROUND(I17,0), 10))</f>
        <v>8</v>
      </c>
      <c r="L17" s="45"/>
      <c r="M17" s="51">
        <f t="shared" ref="M17:M57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231</v>
      </c>
      <c r="C18" s="45" t="s">
        <v>48</v>
      </c>
      <c r="D18" s="46" t="s">
        <v>232</v>
      </c>
      <c r="E18" s="47">
        <v>2.0</v>
      </c>
      <c r="F18" s="47">
        <v>2.0</v>
      </c>
      <c r="G18" s="47">
        <v>2.0</v>
      </c>
      <c r="H18" s="48"/>
      <c r="I18" s="48">
        <f t="shared" si="1"/>
        <v>6</v>
      </c>
      <c r="J18" s="49">
        <v>0.0</v>
      </c>
      <c r="K18" s="50">
        <f t="shared" si="2"/>
        <v>6</v>
      </c>
      <c r="L18" s="44"/>
      <c r="M18" s="51">
        <f t="shared" si="3"/>
        <v>6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233</v>
      </c>
      <c r="C19" s="45" t="s">
        <v>229</v>
      </c>
      <c r="D19" s="46" t="s">
        <v>234</v>
      </c>
      <c r="E19" s="47">
        <v>2.0</v>
      </c>
      <c r="F19" s="47">
        <v>2.0</v>
      </c>
      <c r="G19" s="47">
        <v>2.0</v>
      </c>
      <c r="H19" s="48"/>
      <c r="I19" s="48">
        <f t="shared" si="1"/>
        <v>6</v>
      </c>
      <c r="J19" s="49">
        <v>0.0</v>
      </c>
      <c r="K19" s="50">
        <f t="shared" si="2"/>
        <v>6</v>
      </c>
      <c r="L19" s="44"/>
      <c r="M19" s="51">
        <f t="shared" si="3"/>
        <v>6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51</v>
      </c>
      <c r="C20" s="45" t="s">
        <v>235</v>
      </c>
      <c r="D20" s="46" t="s">
        <v>236</v>
      </c>
      <c r="E20" s="47">
        <v>4.0</v>
      </c>
      <c r="F20" s="47">
        <v>2.0</v>
      </c>
      <c r="G20" s="47">
        <v>2.0</v>
      </c>
      <c r="H20" s="48"/>
      <c r="I20" s="48">
        <f t="shared" si="1"/>
        <v>8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237</v>
      </c>
      <c r="C21" s="45" t="s">
        <v>56</v>
      </c>
      <c r="D21" s="46" t="s">
        <v>238</v>
      </c>
      <c r="E21" s="47">
        <v>4.0</v>
      </c>
      <c r="F21" s="47">
        <v>3.0</v>
      </c>
      <c r="G21" s="47">
        <v>2.0</v>
      </c>
      <c r="H21" s="48"/>
      <c r="I21" s="48">
        <f t="shared" si="1"/>
        <v>9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237</v>
      </c>
      <c r="C22" s="45" t="s">
        <v>122</v>
      </c>
      <c r="D22" s="46" t="s">
        <v>239</v>
      </c>
      <c r="E22" s="47">
        <v>3.0</v>
      </c>
      <c r="F22" s="47">
        <v>2.0</v>
      </c>
      <c r="G22" s="47">
        <v>2.0</v>
      </c>
      <c r="H22" s="48"/>
      <c r="I22" s="48">
        <f t="shared" si="1"/>
        <v>7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240</v>
      </c>
      <c r="C23" s="45" t="s">
        <v>241</v>
      </c>
      <c r="D23" s="46" t="s">
        <v>242</v>
      </c>
      <c r="E23" s="47">
        <v>4.0</v>
      </c>
      <c r="F23" s="47">
        <v>2.0</v>
      </c>
      <c r="G23" s="47">
        <v>2.0</v>
      </c>
      <c r="H23" s="48"/>
      <c r="I23" s="48">
        <f t="shared" si="1"/>
        <v>8</v>
      </c>
      <c r="J23" s="49">
        <v>0.0</v>
      </c>
      <c r="K23" s="50">
        <f t="shared" si="2"/>
        <v>8</v>
      </c>
      <c r="L23" s="44"/>
      <c r="M23" s="51">
        <f t="shared" si="3"/>
        <v>8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55</v>
      </c>
      <c r="C24" s="45" t="s">
        <v>243</v>
      </c>
      <c r="D24" s="46" t="s">
        <v>244</v>
      </c>
      <c r="E24" s="47">
        <v>4.0</v>
      </c>
      <c r="F24" s="47">
        <v>2.0</v>
      </c>
      <c r="G24" s="47">
        <v>2.0</v>
      </c>
      <c r="H24" s="48"/>
      <c r="I24" s="48">
        <f t="shared" si="1"/>
        <v>8</v>
      </c>
      <c r="J24" s="49">
        <v>0.0</v>
      </c>
      <c r="K24" s="50">
        <f t="shared" si="2"/>
        <v>8</v>
      </c>
      <c r="L24" s="44"/>
      <c r="M24" s="51">
        <f t="shared" si="3"/>
        <v>8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40</v>
      </c>
      <c r="D25" s="46" t="s">
        <v>245</v>
      </c>
      <c r="E25" s="47">
        <v>4.0</v>
      </c>
      <c r="F25" s="47">
        <v>2.0</v>
      </c>
      <c r="G25" s="47">
        <v>2.0</v>
      </c>
      <c r="H25" s="48"/>
      <c r="I25" s="48">
        <f t="shared" si="1"/>
        <v>8</v>
      </c>
      <c r="J25" s="49">
        <v>0.0</v>
      </c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160</v>
      </c>
      <c r="D26" s="46" t="s">
        <v>246</v>
      </c>
      <c r="E26" s="47">
        <v>4.0</v>
      </c>
      <c r="F26" s="47">
        <v>2.0</v>
      </c>
      <c r="G26" s="47">
        <v>2.0</v>
      </c>
      <c r="H26" s="48"/>
      <c r="I26" s="48">
        <f t="shared" si="1"/>
        <v>8</v>
      </c>
      <c r="J26" s="49">
        <v>0.0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247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248</v>
      </c>
      <c r="D28" s="46" t="s">
        <v>249</v>
      </c>
      <c r="E28" s="47">
        <v>4.0</v>
      </c>
      <c r="F28" s="47">
        <v>1.0</v>
      </c>
      <c r="G28" s="47">
        <v>2.0</v>
      </c>
      <c r="H28" s="48"/>
      <c r="I28" s="48">
        <f t="shared" si="1"/>
        <v>7</v>
      </c>
      <c r="J28" s="49">
        <v>0.0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58</v>
      </c>
      <c r="D29" s="46" t="s">
        <v>250</v>
      </c>
      <c r="E29" s="47">
        <v>5.0</v>
      </c>
      <c r="F29" s="47">
        <v>2.0</v>
      </c>
      <c r="G29" s="47">
        <v>2.0</v>
      </c>
      <c r="H29" s="48"/>
      <c r="I29" s="48">
        <f t="shared" si="1"/>
        <v>9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251</v>
      </c>
      <c r="D30" s="46" t="s">
        <v>252</v>
      </c>
      <c r="E30" s="47">
        <v>4.0</v>
      </c>
      <c r="F30" s="47">
        <v>2.0</v>
      </c>
      <c r="G30" s="47">
        <v>2.0</v>
      </c>
      <c r="H30" s="48"/>
      <c r="I30" s="48">
        <f t="shared" si="1"/>
        <v>8</v>
      </c>
      <c r="J30" s="49">
        <v>0.0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253</v>
      </c>
      <c r="D31" s="46" t="s">
        <v>254</v>
      </c>
      <c r="E31" s="47">
        <v>5.0</v>
      </c>
      <c r="F31" s="47">
        <v>3.0</v>
      </c>
      <c r="G31" s="47">
        <v>2.0</v>
      </c>
      <c r="H31" s="48"/>
      <c r="I31" s="48">
        <f t="shared" si="1"/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119</v>
      </c>
      <c r="D32" s="46" t="s">
        <v>255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145</v>
      </c>
      <c r="C33" s="45" t="s">
        <v>36</v>
      </c>
      <c r="D33" s="46" t="s">
        <v>256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257</v>
      </c>
      <c r="C34" s="45" t="s">
        <v>258</v>
      </c>
      <c r="D34" s="46" t="s">
        <v>259</v>
      </c>
      <c r="E34" s="47">
        <v>4.0</v>
      </c>
      <c r="F34" s="47">
        <v>3.0</v>
      </c>
      <c r="G34" s="47">
        <v>2.0</v>
      </c>
      <c r="H34" s="48"/>
      <c r="I34" s="48">
        <f t="shared" si="1"/>
        <v>9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81</v>
      </c>
      <c r="D35" s="46" t="s">
        <v>260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48</v>
      </c>
      <c r="C36" s="45" t="s">
        <v>261</v>
      </c>
      <c r="D36" s="46" t="s">
        <v>262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263</v>
      </c>
      <c r="C37" s="45" t="s">
        <v>264</v>
      </c>
      <c r="D37" s="46" t="s">
        <v>265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96</v>
      </c>
      <c r="C38" s="45" t="s">
        <v>176</v>
      </c>
      <c r="D38" s="46" t="s">
        <v>266</v>
      </c>
      <c r="E38" s="47">
        <v>4.0</v>
      </c>
      <c r="F38" s="47">
        <v>3.0</v>
      </c>
      <c r="G38" s="47">
        <v>2.0</v>
      </c>
      <c r="H38" s="48"/>
      <c r="I38" s="48">
        <f t="shared" si="1"/>
        <v>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98</v>
      </c>
      <c r="C39" s="45" t="s">
        <v>267</v>
      </c>
      <c r="D39" s="46" t="s">
        <v>268</v>
      </c>
      <c r="E39" s="47">
        <v>3.0</v>
      </c>
      <c r="F39" s="47">
        <v>3.0</v>
      </c>
      <c r="G39" s="47">
        <v>1.0</v>
      </c>
      <c r="H39" s="48"/>
      <c r="I39" s="48">
        <f t="shared" si="1"/>
        <v>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269</v>
      </c>
      <c r="C40" s="45" t="s">
        <v>217</v>
      </c>
      <c r="D40" s="46" t="s">
        <v>270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271</v>
      </c>
      <c r="C41" s="45" t="s">
        <v>272</v>
      </c>
      <c r="D41" s="46" t="s">
        <v>273</v>
      </c>
      <c r="E41" s="47">
        <v>3.0</v>
      </c>
      <c r="F41" s="47">
        <v>3.0</v>
      </c>
      <c r="G41" s="47">
        <v>1.0</v>
      </c>
      <c r="H41" s="48"/>
      <c r="I41" s="48">
        <f t="shared" si="1"/>
        <v>7</v>
      </c>
      <c r="J41" s="49">
        <v>1.0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274</v>
      </c>
      <c r="C42" s="45" t="s">
        <v>275</v>
      </c>
      <c r="D42" s="46" t="s">
        <v>276</v>
      </c>
      <c r="E42" s="47">
        <v>4.0</v>
      </c>
      <c r="F42" s="47">
        <v>2.0</v>
      </c>
      <c r="G42" s="47">
        <v>2.0</v>
      </c>
      <c r="H42" s="48"/>
      <c r="I42" s="48">
        <f t="shared" si="1"/>
        <v>8</v>
      </c>
      <c r="J42" s="49">
        <v>0.0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107</v>
      </c>
      <c r="C43" s="45" t="s">
        <v>277</v>
      </c>
      <c r="D43" s="46" t="s">
        <v>278</v>
      </c>
      <c r="E43" s="47">
        <v>3.0</v>
      </c>
      <c r="F43" s="47">
        <v>2.0</v>
      </c>
      <c r="G43" s="47">
        <v>2.0</v>
      </c>
      <c r="H43" s="48"/>
      <c r="I43" s="48">
        <f t="shared" si="1"/>
        <v>7</v>
      </c>
      <c r="J43" s="49">
        <v>0.0</v>
      </c>
      <c r="K43" s="50">
        <f t="shared" si="2"/>
        <v>7</v>
      </c>
      <c r="L43" s="44"/>
      <c r="M43" s="51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279</v>
      </c>
      <c r="C44" s="45" t="s">
        <v>280</v>
      </c>
      <c r="D44" s="46" t="s">
        <v>281</v>
      </c>
      <c r="E44" s="47">
        <v>4.0</v>
      </c>
      <c r="F44" s="47">
        <v>3.0</v>
      </c>
      <c r="G44" s="47">
        <v>2.0</v>
      </c>
      <c r="H44" s="48"/>
      <c r="I44" s="48">
        <f t="shared" si="1"/>
        <v>9</v>
      </c>
      <c r="J44" s="49">
        <v>1.0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235</v>
      </c>
      <c r="C45" s="45" t="s">
        <v>282</v>
      </c>
      <c r="D45" s="46" t="s">
        <v>283</v>
      </c>
      <c r="E45" s="47">
        <v>5.0</v>
      </c>
      <c r="F45" s="47">
        <v>2.0</v>
      </c>
      <c r="G45" s="47">
        <v>2.0</v>
      </c>
      <c r="H45" s="48"/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55</v>
      </c>
      <c r="D46" s="46" t="s">
        <v>174</v>
      </c>
      <c r="E46" s="47">
        <v>4.0</v>
      </c>
      <c r="F46" s="47">
        <v>3.0</v>
      </c>
      <c r="G46" s="47">
        <v>2.0</v>
      </c>
      <c r="H46" s="48"/>
      <c r="I46" s="48">
        <f t="shared" si="1"/>
        <v>9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122</v>
      </c>
      <c r="C47" s="45" t="s">
        <v>284</v>
      </c>
      <c r="D47" s="46" t="s">
        <v>285</v>
      </c>
      <c r="E47" s="47">
        <v>4.0</v>
      </c>
      <c r="F47" s="47">
        <v>3.0</v>
      </c>
      <c r="G47" s="47">
        <v>2.0</v>
      </c>
      <c r="H47" s="48"/>
      <c r="I47" s="48">
        <f t="shared" si="1"/>
        <v>9</v>
      </c>
      <c r="J47" s="49">
        <v>0.0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286</v>
      </c>
      <c r="C48" s="45" t="s">
        <v>287</v>
      </c>
      <c r="D48" s="46" t="s">
        <v>288</v>
      </c>
      <c r="E48" s="47">
        <v>4.0</v>
      </c>
      <c r="F48" s="47">
        <v>2.0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119</v>
      </c>
      <c r="C49" s="45" t="s">
        <v>58</v>
      </c>
      <c r="D49" s="46" t="s">
        <v>289</v>
      </c>
      <c r="E49" s="47">
        <v>5.0</v>
      </c>
      <c r="F49" s="47">
        <v>2.0</v>
      </c>
      <c r="G49" s="47">
        <v>2.0</v>
      </c>
      <c r="H49" s="48"/>
      <c r="I49" s="48">
        <f t="shared" si="1"/>
        <v>9</v>
      </c>
      <c r="J49" s="49">
        <v>0.0</v>
      </c>
      <c r="K49" s="50">
        <f t="shared" si="2"/>
        <v>9</v>
      </c>
      <c r="L49" s="44"/>
      <c r="M49" s="51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119</v>
      </c>
      <c r="C50" s="45" t="s">
        <v>36</v>
      </c>
      <c r="D50" s="46" t="s">
        <v>290</v>
      </c>
      <c r="E50" s="47">
        <v>4.0</v>
      </c>
      <c r="F50" s="47">
        <v>2.0</v>
      </c>
      <c r="G50" s="47">
        <v>2.0</v>
      </c>
      <c r="H50" s="48"/>
      <c r="I50" s="48">
        <f t="shared" si="1"/>
        <v>8</v>
      </c>
      <c r="J50" s="49">
        <v>0.0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280</v>
      </c>
      <c r="C51" s="45" t="s">
        <v>291</v>
      </c>
      <c r="D51" s="46" t="s">
        <v>292</v>
      </c>
      <c r="E51" s="47">
        <v>5.0</v>
      </c>
      <c r="F51" s="47">
        <v>2.0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293</v>
      </c>
      <c r="C52" s="45" t="s">
        <v>294</v>
      </c>
      <c r="D52" s="46" t="s">
        <v>295</v>
      </c>
      <c r="E52" s="47">
        <v>4.0</v>
      </c>
      <c r="F52" s="47">
        <v>3.0</v>
      </c>
      <c r="G52" s="47">
        <v>2.0</v>
      </c>
      <c r="H52" s="48"/>
      <c r="I52" s="48">
        <f t="shared" si="1"/>
        <v>9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59</v>
      </c>
      <c r="C53" s="45" t="s">
        <v>296</v>
      </c>
      <c r="D53" s="46" t="s">
        <v>297</v>
      </c>
      <c r="E53" s="47">
        <v>3.0</v>
      </c>
      <c r="F53" s="47">
        <v>3.0</v>
      </c>
      <c r="G53" s="47">
        <v>2.0</v>
      </c>
      <c r="H53" s="48"/>
      <c r="I53" s="48">
        <f t="shared" si="1"/>
        <v>8</v>
      </c>
      <c r="J53" s="49">
        <v>0.0</v>
      </c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298</v>
      </c>
      <c r="C54" s="45" t="s">
        <v>299</v>
      </c>
      <c r="D54" s="46" t="s">
        <v>300</v>
      </c>
      <c r="E54" s="47">
        <v>4.0</v>
      </c>
      <c r="F54" s="47">
        <v>3.0</v>
      </c>
      <c r="G54" s="47">
        <v>2.0</v>
      </c>
      <c r="H54" s="48"/>
      <c r="I54" s="48">
        <f t="shared" si="1"/>
        <v>9</v>
      </c>
      <c r="J54" s="49">
        <v>0.0</v>
      </c>
      <c r="K54" s="50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102</v>
      </c>
      <c r="C55" s="45" t="s">
        <v>301</v>
      </c>
      <c r="D55" s="46" t="s">
        <v>302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303</v>
      </c>
      <c r="C56" s="45" t="s">
        <v>32</v>
      </c>
      <c r="D56" s="45" t="s">
        <v>120</v>
      </c>
      <c r="E56" s="47">
        <v>3.0</v>
      </c>
      <c r="F56" s="47">
        <v>2.0</v>
      </c>
      <c r="G56" s="47">
        <v>2.0</v>
      </c>
      <c r="H56" s="48"/>
      <c r="I56" s="48">
        <f t="shared" si="1"/>
        <v>7</v>
      </c>
      <c r="J56" s="49">
        <v>0.0</v>
      </c>
      <c r="K56" s="50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304</v>
      </c>
      <c r="C57" s="45" t="s">
        <v>305</v>
      </c>
      <c r="D57" s="45" t="s">
        <v>306</v>
      </c>
      <c r="E57" s="47">
        <v>2.0</v>
      </c>
      <c r="F57" s="47">
        <v>2.0</v>
      </c>
      <c r="G57" s="47">
        <v>2.0</v>
      </c>
      <c r="H57" s="48"/>
      <c r="I57" s="48">
        <f t="shared" si="1"/>
        <v>6</v>
      </c>
      <c r="J57" s="49">
        <v>0.0</v>
      </c>
      <c r="K57" s="50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6"/>
      <c r="B58" s="54"/>
      <c r="C58" s="54"/>
      <c r="D58" s="107"/>
      <c r="E58" s="55"/>
      <c r="F58" s="55"/>
      <c r="G58" s="55"/>
      <c r="H58" s="55"/>
      <c r="I58" s="55"/>
      <c r="J58" s="55"/>
      <c r="K58" s="54"/>
      <c r="L58" s="7"/>
      <c r="M58" s="54"/>
      <c r="N58" s="1"/>
      <c r="O58" s="1"/>
      <c r="P58" s="2"/>
      <c r="Q58" s="2"/>
      <c r="R58" s="2"/>
    </row>
    <row r="59" ht="24.75" customHeight="1">
      <c r="A59" s="1"/>
      <c r="B59" s="56" t="s">
        <v>129</v>
      </c>
      <c r="C59" s="57"/>
      <c r="D59" s="108">
        <f>COUNT(A17:A57)</f>
        <v>41</v>
      </c>
      <c r="E59" s="55"/>
      <c r="F59" s="55"/>
      <c r="G59" s="59" t="s">
        <v>130</v>
      </c>
      <c r="H59" s="55"/>
      <c r="I59" s="59" t="s">
        <v>131</v>
      </c>
      <c r="K59" s="60" t="s">
        <v>132</v>
      </c>
      <c r="L59" s="61" t="s">
        <v>133</v>
      </c>
      <c r="M59" s="54"/>
      <c r="N59" s="1"/>
      <c r="O59" s="1"/>
      <c r="P59" s="2"/>
      <c r="Q59" s="2"/>
      <c r="R59" s="2"/>
    </row>
    <row r="60" ht="24.75" customHeight="1">
      <c r="A60" s="1"/>
      <c r="B60" s="62" t="s">
        <v>134</v>
      </c>
      <c r="C60" s="63"/>
      <c r="D60" s="109">
        <f>COUNTIF(K17:K57,"BAJA")</f>
        <v>0</v>
      </c>
      <c r="E60" s="55"/>
      <c r="F60" s="55"/>
      <c r="H60" s="55"/>
      <c r="L60" s="9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135</v>
      </c>
      <c r="C61" s="63"/>
      <c r="D61" s="66">
        <f>D59-D60</f>
        <v>41</v>
      </c>
      <c r="E61" s="55"/>
      <c r="F61" s="55"/>
      <c r="G61" s="55"/>
      <c r="H61" s="55"/>
      <c r="I61" s="55"/>
      <c r="J61" s="55"/>
      <c r="K61" s="54"/>
      <c r="L61" s="7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136</v>
      </c>
      <c r="C62" s="63"/>
      <c r="D62" s="66">
        <f>COUNTIF(K17:K57,"&gt;=6")</f>
        <v>41</v>
      </c>
      <c r="E62" s="55"/>
      <c r="F62" s="55"/>
      <c r="G62" s="55"/>
      <c r="H62" s="55"/>
      <c r="I62" s="55"/>
      <c r="J62" s="55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137</v>
      </c>
      <c r="C63" s="63"/>
      <c r="D63" s="66">
        <f>D61-D62</f>
        <v>0</v>
      </c>
      <c r="E63" s="55"/>
      <c r="F63" s="55"/>
      <c r="G63" s="67"/>
      <c r="H63" s="55"/>
      <c r="I63" s="67"/>
      <c r="J63" s="67"/>
      <c r="K63" s="68"/>
      <c r="L63" s="69"/>
      <c r="M63" s="54"/>
      <c r="N63" s="1"/>
      <c r="O63" s="1"/>
      <c r="P63" s="2"/>
      <c r="Q63" s="2"/>
      <c r="R63" s="2"/>
    </row>
    <row r="64" ht="36.0" customHeight="1">
      <c r="A64" s="1"/>
      <c r="B64" s="62" t="s">
        <v>138</v>
      </c>
      <c r="C64" s="63"/>
      <c r="D64" s="65">
        <f>D62*100/D61</f>
        <v>100</v>
      </c>
      <c r="E64" s="55"/>
      <c r="F64" s="55"/>
      <c r="G64" s="70" t="s">
        <v>139</v>
      </c>
      <c r="H64" s="55"/>
      <c r="I64" s="55"/>
      <c r="K64" s="72" t="s">
        <v>141</v>
      </c>
      <c r="L64" s="73" t="s">
        <v>142</v>
      </c>
      <c r="M64" s="54"/>
      <c r="N64" s="1"/>
      <c r="O64" s="1"/>
      <c r="P64" s="2"/>
      <c r="Q64" s="2"/>
      <c r="R64" s="2"/>
    </row>
    <row r="65" ht="24.75" customHeight="1">
      <c r="A65" s="1"/>
      <c r="B65" s="74" t="s">
        <v>143</v>
      </c>
      <c r="C65" s="75"/>
      <c r="D65" s="76">
        <f>AVERAGE(K17:K57)</f>
        <v>8.43902439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77"/>
      <c r="B66" s="78"/>
      <c r="C66" s="78"/>
      <c r="D66" s="78"/>
      <c r="E66" s="79"/>
      <c r="F66" s="79"/>
      <c r="G66" s="79"/>
      <c r="H66" s="79"/>
      <c r="I66" s="79"/>
      <c r="J66" s="79"/>
      <c r="K66" s="78"/>
      <c r="L66" s="80"/>
      <c r="M66" s="78"/>
      <c r="N66" s="2"/>
      <c r="O66" s="2"/>
      <c r="P66" s="2"/>
      <c r="Q66" s="2"/>
      <c r="R66" s="2"/>
    </row>
    <row r="67" ht="24.75" customHeight="1">
      <c r="A67" s="96"/>
      <c r="B67" s="97"/>
      <c r="C67" s="98"/>
      <c r="D67" s="110"/>
      <c r="E67" s="99"/>
      <c r="H67" s="99"/>
      <c r="I67" s="99"/>
      <c r="J67" s="99"/>
      <c r="K67" s="100"/>
      <c r="L67" s="101"/>
      <c r="M67" s="100"/>
      <c r="N67" s="2"/>
      <c r="O67" s="2"/>
      <c r="P67" s="2"/>
      <c r="Q67" s="2"/>
      <c r="R67" s="2"/>
    </row>
    <row r="68" ht="24.75" customHeight="1">
      <c r="A68" s="102"/>
      <c r="B68" s="100"/>
      <c r="C68" s="100"/>
      <c r="D68" s="103"/>
      <c r="E68" s="99"/>
      <c r="F68" s="99"/>
      <c r="G68" s="79"/>
      <c r="H68" s="79"/>
      <c r="I68" s="79"/>
      <c r="J68" s="111"/>
      <c r="K68" s="78"/>
      <c r="L68" s="80"/>
      <c r="M68" s="78"/>
      <c r="N68" s="2"/>
      <c r="O68" s="2"/>
      <c r="P68" s="2"/>
      <c r="Q68" s="2"/>
      <c r="R68" s="2"/>
    </row>
    <row r="69" ht="24.75" customHeight="1">
      <c r="A69" s="102"/>
      <c r="B69" s="100"/>
      <c r="C69" s="100"/>
      <c r="D69" s="100"/>
      <c r="E69" s="99"/>
      <c r="F69" s="99"/>
      <c r="G69" s="79"/>
      <c r="H69" s="79"/>
      <c r="I69" s="79"/>
      <c r="J69" s="79"/>
      <c r="K69" s="78"/>
      <c r="L69" s="80"/>
      <c r="M69" s="78"/>
      <c r="N69" s="2"/>
      <c r="O69" s="2"/>
      <c r="P69" s="2"/>
      <c r="Q69" s="2"/>
      <c r="R69" s="2"/>
    </row>
    <row r="70" ht="24.75" customHeight="1">
      <c r="A70" s="104"/>
      <c r="B70" s="105"/>
      <c r="C70" s="105"/>
      <c r="D70" s="105"/>
      <c r="E70" s="106"/>
      <c r="F70" s="106"/>
      <c r="G70" s="88"/>
      <c r="H70" s="88"/>
      <c r="I70" s="88"/>
      <c r="J70" s="88"/>
      <c r="K70" s="86"/>
      <c r="L70" s="112"/>
      <c r="M70" s="78"/>
      <c r="N70" s="2"/>
      <c r="O70" s="2"/>
      <c r="P70" s="2"/>
      <c r="Q70" s="2"/>
      <c r="R70" s="2"/>
    </row>
    <row r="71" ht="24.75" customHeight="1">
      <c r="A71" s="2"/>
      <c r="B71" s="100"/>
      <c r="C71" s="100"/>
      <c r="D71" s="103"/>
      <c r="E71" s="99"/>
      <c r="F71" s="99"/>
      <c r="G71" s="79"/>
      <c r="H71" s="79"/>
      <c r="I71" s="79"/>
      <c r="J71" s="79"/>
      <c r="K71" s="91"/>
      <c r="L71" s="91"/>
      <c r="M71" s="91"/>
      <c r="N71" s="2"/>
      <c r="O71" s="2"/>
      <c r="P71" s="2"/>
      <c r="Q71" s="2"/>
      <c r="R71" s="2"/>
    </row>
    <row r="72" ht="21.75" customHeight="1">
      <c r="A72" s="113"/>
      <c r="B72" s="114"/>
      <c r="C72" s="114"/>
      <c r="D72" s="103"/>
      <c r="E72" s="115"/>
      <c r="F72" s="115"/>
      <c r="G72" s="79"/>
      <c r="H72" s="2"/>
      <c r="I72" s="79"/>
      <c r="J72" s="79"/>
      <c r="K72" s="91"/>
      <c r="L72" s="91"/>
      <c r="M72" s="92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0" priority="2" stopIfTrue="1" operator="greaterThan">
      <formula>5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309</v>
      </c>
      <c r="C17" s="45" t="s">
        <v>124</v>
      </c>
      <c r="D17" s="46" t="s">
        <v>310</v>
      </c>
      <c r="E17" s="47">
        <v>5.0</v>
      </c>
      <c r="F17" s="47">
        <v>2.0</v>
      </c>
      <c r="G17" s="47">
        <v>2.0</v>
      </c>
      <c r="H17" s="48"/>
      <c r="I17" s="48">
        <f t="shared" ref="I17:I64" si="1">SUM(E17:H17)</f>
        <v>9</v>
      </c>
      <c r="J17" s="49">
        <v>1.0</v>
      </c>
      <c r="K17" s="50">
        <f t="shared" ref="K17:K64" si="2">IF(I17&lt;6, 5, MIN(ROUND(I17,0), 10))</f>
        <v>9</v>
      </c>
      <c r="L17" s="45"/>
      <c r="M17" s="51">
        <f t="shared" ref="M17:M64" si="3">IF(I17&gt;=6,ROUND(I17,0),TRUNC(I17,0))</f>
        <v>9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311</v>
      </c>
      <c r="C18" s="45" t="s">
        <v>312</v>
      </c>
      <c r="D18" s="46" t="s">
        <v>313</v>
      </c>
      <c r="E18" s="47">
        <v>4.0</v>
      </c>
      <c r="F18" s="47">
        <v>3.0</v>
      </c>
      <c r="G18" s="47">
        <v>2.0</v>
      </c>
      <c r="H18" s="48"/>
      <c r="I18" s="48">
        <f t="shared" si="1"/>
        <v>9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314</v>
      </c>
      <c r="C19" s="45" t="s">
        <v>253</v>
      </c>
      <c r="D19" s="46" t="s">
        <v>315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316</v>
      </c>
      <c r="C20" s="45" t="s">
        <v>48</v>
      </c>
      <c r="D20" s="46" t="s">
        <v>317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318</v>
      </c>
      <c r="C21" s="45" t="s">
        <v>319</v>
      </c>
      <c r="D21" s="46" t="s">
        <v>320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321</v>
      </c>
      <c r="C22" s="45" t="s">
        <v>294</v>
      </c>
      <c r="D22" s="46" t="s">
        <v>322</v>
      </c>
      <c r="E22" s="47">
        <v>3.0</v>
      </c>
      <c r="F22" s="47">
        <v>3.0</v>
      </c>
      <c r="G22" s="47">
        <v>2.0</v>
      </c>
      <c r="H22" s="48"/>
      <c r="I22" s="48">
        <f t="shared" si="1"/>
        <v>8</v>
      </c>
      <c r="J22" s="49">
        <v>0.0</v>
      </c>
      <c r="K22" s="50">
        <f t="shared" si="2"/>
        <v>8</v>
      </c>
      <c r="L22" s="44"/>
      <c r="M22" s="51">
        <f t="shared" si="3"/>
        <v>8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323</v>
      </c>
      <c r="C23" s="45" t="s">
        <v>324</v>
      </c>
      <c r="D23" s="46" t="s">
        <v>325</v>
      </c>
      <c r="E23" s="47">
        <v>5.0</v>
      </c>
      <c r="F23" s="47">
        <v>2.0</v>
      </c>
      <c r="G23" s="47">
        <v>1.0</v>
      </c>
      <c r="H23" s="48"/>
      <c r="I23" s="48">
        <f t="shared" si="1"/>
        <v>8</v>
      </c>
      <c r="J23" s="49">
        <v>0.0</v>
      </c>
      <c r="K23" s="50">
        <f t="shared" si="2"/>
        <v>8</v>
      </c>
      <c r="L23" s="44"/>
      <c r="M23" s="51">
        <f t="shared" si="3"/>
        <v>8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326</v>
      </c>
      <c r="C24" s="45" t="s">
        <v>111</v>
      </c>
      <c r="D24" s="46" t="s">
        <v>327</v>
      </c>
      <c r="E24" s="47">
        <v>5.0</v>
      </c>
      <c r="F24" s="47">
        <v>3.0</v>
      </c>
      <c r="G24" s="47">
        <v>2.0</v>
      </c>
      <c r="H24" s="48"/>
      <c r="I24" s="48">
        <f t="shared" si="1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157</v>
      </c>
      <c r="C25" s="45" t="s">
        <v>76</v>
      </c>
      <c r="D25" s="46" t="s">
        <v>328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43</v>
      </c>
      <c r="C26" s="45" t="s">
        <v>329</v>
      </c>
      <c r="D26" s="46" t="s">
        <v>330</v>
      </c>
      <c r="E26" s="47">
        <v>3.0</v>
      </c>
      <c r="F26" s="47">
        <v>3.0</v>
      </c>
      <c r="G26" s="47">
        <v>2.0</v>
      </c>
      <c r="H26" s="48"/>
      <c r="I26" s="48">
        <f t="shared" si="1"/>
        <v>8</v>
      </c>
      <c r="J26" s="49">
        <v>0.0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47</v>
      </c>
      <c r="C27" s="45" t="s">
        <v>59</v>
      </c>
      <c r="D27" s="45" t="s">
        <v>331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111</v>
      </c>
      <c r="C28" s="45" t="s">
        <v>264</v>
      </c>
      <c r="D28" s="46" t="s">
        <v>332</v>
      </c>
      <c r="E28" s="47">
        <v>4.0</v>
      </c>
      <c r="F28" s="47">
        <v>3.0</v>
      </c>
      <c r="G28" s="47">
        <v>2.0</v>
      </c>
      <c r="H28" s="48"/>
      <c r="I28" s="48">
        <f t="shared" si="1"/>
        <v>9</v>
      </c>
      <c r="J28" s="49">
        <v>0.0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333</v>
      </c>
      <c r="C29" s="45" t="s">
        <v>56</v>
      </c>
      <c r="D29" s="46" t="s">
        <v>334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319</v>
      </c>
      <c r="C30" s="45" t="s">
        <v>303</v>
      </c>
      <c r="D30" s="46" t="s">
        <v>335</v>
      </c>
      <c r="E30" s="47">
        <v>3.0</v>
      </c>
      <c r="F30" s="47">
        <v>2.0</v>
      </c>
      <c r="G30" s="47">
        <v>2.0</v>
      </c>
      <c r="H30" s="48"/>
      <c r="I30" s="48">
        <f t="shared" si="1"/>
        <v>7</v>
      </c>
      <c r="J30" s="49">
        <v>0.0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55</v>
      </c>
      <c r="C31" s="45" t="s">
        <v>48</v>
      </c>
      <c r="D31" s="46" t="s">
        <v>336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337</v>
      </c>
      <c r="C32" s="45" t="s">
        <v>338</v>
      </c>
      <c r="D32" s="46" t="s">
        <v>339</v>
      </c>
      <c r="E32" s="47">
        <v>4.0</v>
      </c>
      <c r="F32" s="47">
        <v>2.0</v>
      </c>
      <c r="G32" s="47">
        <v>2.0</v>
      </c>
      <c r="H32" s="48"/>
      <c r="I32" s="48">
        <f t="shared" si="1"/>
        <v>8</v>
      </c>
      <c r="J32" s="49">
        <v>0.0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58</v>
      </c>
      <c r="C33" s="45" t="s">
        <v>58</v>
      </c>
      <c r="D33" s="46" t="s">
        <v>340</v>
      </c>
      <c r="E33" s="47">
        <v>5.0</v>
      </c>
      <c r="F33" s="47">
        <v>2.0</v>
      </c>
      <c r="G33" s="47">
        <v>2.0</v>
      </c>
      <c r="H33" s="48"/>
      <c r="I33" s="48">
        <f t="shared" si="1"/>
        <v>9</v>
      </c>
      <c r="J33" s="49">
        <v>1.0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36</v>
      </c>
      <c r="C34" s="45" t="s">
        <v>58</v>
      </c>
      <c r="D34" s="46" t="s">
        <v>341</v>
      </c>
      <c r="E34" s="47">
        <v>5.0</v>
      </c>
      <c r="F34" s="47">
        <v>2.0</v>
      </c>
      <c r="G34" s="47">
        <v>2.0</v>
      </c>
      <c r="H34" s="48"/>
      <c r="I34" s="48">
        <f t="shared" si="1"/>
        <v>9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36</v>
      </c>
      <c r="C35" s="45" t="s">
        <v>342</v>
      </c>
      <c r="D35" s="46" t="s">
        <v>343</v>
      </c>
      <c r="E35" s="47">
        <v>5.0</v>
      </c>
      <c r="F35" s="47">
        <v>2.0</v>
      </c>
      <c r="G35" s="47">
        <v>2.0</v>
      </c>
      <c r="H35" s="48"/>
      <c r="I35" s="48">
        <f t="shared" si="1"/>
        <v>9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71</v>
      </c>
      <c r="C36" s="45" t="s">
        <v>294</v>
      </c>
      <c r="D36" s="46" t="s">
        <v>344</v>
      </c>
      <c r="E36" s="47">
        <v>5.0</v>
      </c>
      <c r="F36" s="47">
        <v>2.0</v>
      </c>
      <c r="G36" s="47">
        <v>2.0</v>
      </c>
      <c r="H36" s="48"/>
      <c r="I36" s="48">
        <f t="shared" si="1"/>
        <v>9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345</v>
      </c>
      <c r="C37" s="45" t="s">
        <v>346</v>
      </c>
      <c r="D37" s="46" t="s">
        <v>347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76</v>
      </c>
      <c r="C38" s="45" t="s">
        <v>55</v>
      </c>
      <c r="D38" s="46" t="s">
        <v>348</v>
      </c>
      <c r="E38" s="47">
        <v>3.0</v>
      </c>
      <c r="F38" s="47">
        <v>3.0</v>
      </c>
      <c r="G38" s="47">
        <v>2.0</v>
      </c>
      <c r="H38" s="48"/>
      <c r="I38" s="48">
        <f t="shared" si="1"/>
        <v>8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80</v>
      </c>
      <c r="C39" s="45" t="s">
        <v>349</v>
      </c>
      <c r="D39" s="46" t="s">
        <v>350</v>
      </c>
      <c r="E39" s="47">
        <v>2.0</v>
      </c>
      <c r="F39" s="47">
        <v>2.0</v>
      </c>
      <c r="G39" s="47">
        <v>2.0</v>
      </c>
      <c r="H39" s="48"/>
      <c r="I39" s="48">
        <f t="shared" si="1"/>
        <v>6</v>
      </c>
      <c r="J39" s="49">
        <v>0.0</v>
      </c>
      <c r="K39" s="50">
        <f t="shared" si="2"/>
        <v>6</v>
      </c>
      <c r="L39" s="44"/>
      <c r="M39" s="51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80</v>
      </c>
      <c r="C40" s="45" t="s">
        <v>81</v>
      </c>
      <c r="D40" s="46" t="s">
        <v>351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352</v>
      </c>
      <c r="D41" s="46" t="s">
        <v>353</v>
      </c>
      <c r="E41" s="47">
        <v>3.0</v>
      </c>
      <c r="F41" s="47">
        <v>3.0</v>
      </c>
      <c r="G41" s="47">
        <v>2.0</v>
      </c>
      <c r="H41" s="48"/>
      <c r="I41" s="48">
        <f t="shared" si="1"/>
        <v>8</v>
      </c>
      <c r="J41" s="49">
        <v>0.0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261</v>
      </c>
      <c r="C42" s="45" t="s">
        <v>55</v>
      </c>
      <c r="D42" s="46" t="s">
        <v>354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355</v>
      </c>
      <c r="C43" s="45" t="s">
        <v>253</v>
      </c>
      <c r="D43" s="46" t="s">
        <v>356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201</v>
      </c>
      <c r="C44" s="45" t="s">
        <v>357</v>
      </c>
      <c r="D44" s="46" t="s">
        <v>358</v>
      </c>
      <c r="E44" s="47">
        <v>5.0</v>
      </c>
      <c r="F44" s="47">
        <v>3.0</v>
      </c>
      <c r="G44" s="47">
        <v>2.0</v>
      </c>
      <c r="H44" s="48"/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274</v>
      </c>
      <c r="C45" s="45" t="s">
        <v>96</v>
      </c>
      <c r="D45" s="46" t="s">
        <v>359</v>
      </c>
      <c r="E45" s="47">
        <v>4.0</v>
      </c>
      <c r="F45" s="47">
        <v>3.0</v>
      </c>
      <c r="G45" s="47">
        <v>1.0</v>
      </c>
      <c r="H45" s="48"/>
      <c r="I45" s="48">
        <f t="shared" si="1"/>
        <v>8</v>
      </c>
      <c r="J45" s="49">
        <v>0.0</v>
      </c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360</v>
      </c>
      <c r="C46" s="45" t="s">
        <v>361</v>
      </c>
      <c r="D46" s="46" t="s">
        <v>362</v>
      </c>
      <c r="E46" s="47">
        <v>4.0</v>
      </c>
      <c r="F46" s="47">
        <v>3.0</v>
      </c>
      <c r="G46" s="47">
        <v>1.0</v>
      </c>
      <c r="H46" s="48"/>
      <c r="I46" s="48">
        <f t="shared" si="1"/>
        <v>8</v>
      </c>
      <c r="J46" s="49">
        <v>0.0</v>
      </c>
      <c r="K46" s="50">
        <f t="shared" si="2"/>
        <v>8</v>
      </c>
      <c r="L46" s="44"/>
      <c r="M46" s="51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363</v>
      </c>
      <c r="C47" s="45" t="s">
        <v>364</v>
      </c>
      <c r="D47" s="46" t="s">
        <v>365</v>
      </c>
      <c r="E47" s="47">
        <v>3.0</v>
      </c>
      <c r="F47" s="47">
        <v>3.0</v>
      </c>
      <c r="G47" s="47">
        <v>2.0</v>
      </c>
      <c r="H47" s="48"/>
      <c r="I47" s="48">
        <f t="shared" si="1"/>
        <v>8</v>
      </c>
      <c r="J47" s="49">
        <v>0.0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366</v>
      </c>
      <c r="C48" s="45" t="s">
        <v>367</v>
      </c>
      <c r="D48" s="46" t="s">
        <v>368</v>
      </c>
      <c r="E48" s="47">
        <v>3.0</v>
      </c>
      <c r="F48" s="47">
        <v>3.0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369</v>
      </c>
      <c r="C49" s="45" t="s">
        <v>309</v>
      </c>
      <c r="D49" s="46" t="s">
        <v>370</v>
      </c>
      <c r="E49" s="47">
        <v>2.0</v>
      </c>
      <c r="F49" s="47">
        <v>2.0</v>
      </c>
      <c r="G49" s="47">
        <v>2.0</v>
      </c>
      <c r="H49" s="48"/>
      <c r="I49" s="48">
        <f t="shared" si="1"/>
        <v>6</v>
      </c>
      <c r="J49" s="49">
        <v>0.0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124</v>
      </c>
      <c r="C50" s="45" t="s">
        <v>371</v>
      </c>
      <c r="D50" s="46" t="s">
        <v>372</v>
      </c>
      <c r="E50" s="47">
        <v>4.0</v>
      </c>
      <c r="F50" s="47">
        <v>3.0</v>
      </c>
      <c r="G50" s="47">
        <v>2.0</v>
      </c>
      <c r="H50" s="48"/>
      <c r="I50" s="48">
        <f t="shared" si="1"/>
        <v>9</v>
      </c>
      <c r="J50" s="49">
        <v>0.0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373</v>
      </c>
      <c r="D51" s="46" t="s">
        <v>374</v>
      </c>
      <c r="E51" s="47">
        <v>4.0</v>
      </c>
      <c r="F51" s="47">
        <v>2.0</v>
      </c>
      <c r="G51" s="47">
        <v>2.0</v>
      </c>
      <c r="H51" s="48"/>
      <c r="I51" s="48">
        <f t="shared" si="1"/>
        <v>8</v>
      </c>
      <c r="J51" s="49">
        <v>0.0</v>
      </c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173</v>
      </c>
      <c r="C52" s="45" t="s">
        <v>55</v>
      </c>
      <c r="D52" s="46" t="s">
        <v>375</v>
      </c>
      <c r="E52" s="47">
        <v>4.0</v>
      </c>
      <c r="F52" s="47">
        <v>2.0</v>
      </c>
      <c r="G52" s="47">
        <v>2.0</v>
      </c>
      <c r="H52" s="48"/>
      <c r="I52" s="48">
        <f t="shared" si="1"/>
        <v>8</v>
      </c>
      <c r="J52" s="49">
        <v>0.0</v>
      </c>
      <c r="K52" s="50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173</v>
      </c>
      <c r="C53" s="45" t="s">
        <v>71</v>
      </c>
      <c r="D53" s="46" t="s">
        <v>376</v>
      </c>
      <c r="E53" s="47">
        <v>4.0</v>
      </c>
      <c r="F53" s="47">
        <v>3.0</v>
      </c>
      <c r="G53" s="47">
        <v>2.0</v>
      </c>
      <c r="H53" s="48"/>
      <c r="I53" s="48">
        <f t="shared" si="1"/>
        <v>9</v>
      </c>
      <c r="J53" s="49">
        <v>0.0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119</v>
      </c>
      <c r="C54" s="45" t="s">
        <v>36</v>
      </c>
      <c r="D54" s="46" t="s">
        <v>377</v>
      </c>
      <c r="E54" s="47">
        <v>5.0</v>
      </c>
      <c r="F54" s="47">
        <v>3.0</v>
      </c>
      <c r="G54" s="47">
        <v>2.0</v>
      </c>
      <c r="H54" s="48"/>
      <c r="I54" s="48">
        <f t="shared" si="1"/>
        <v>10</v>
      </c>
      <c r="J54" s="49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280</v>
      </c>
      <c r="C55" s="45" t="s">
        <v>378</v>
      </c>
      <c r="D55" s="46" t="s">
        <v>379</v>
      </c>
      <c r="E55" s="47">
        <v>4.0</v>
      </c>
      <c r="F55" s="47">
        <v>2.0</v>
      </c>
      <c r="G55" s="47">
        <v>2.0</v>
      </c>
      <c r="H55" s="48"/>
      <c r="I55" s="48">
        <f t="shared" si="1"/>
        <v>8</v>
      </c>
      <c r="J55" s="49">
        <v>0.0</v>
      </c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380</v>
      </c>
      <c r="C56" s="45" t="s">
        <v>381</v>
      </c>
      <c r="D56" s="45" t="s">
        <v>382</v>
      </c>
      <c r="E56" s="47">
        <v>4.0</v>
      </c>
      <c r="F56" s="47">
        <v>2.0</v>
      </c>
      <c r="G56" s="47">
        <v>2.0</v>
      </c>
      <c r="H56" s="48"/>
      <c r="I56" s="48">
        <f t="shared" si="1"/>
        <v>8</v>
      </c>
      <c r="J56" s="49">
        <v>0.0</v>
      </c>
      <c r="K56" s="50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91</v>
      </c>
      <c r="C57" s="45" t="s">
        <v>217</v>
      </c>
      <c r="D57" s="45" t="s">
        <v>383</v>
      </c>
      <c r="E57" s="47">
        <v>4.0</v>
      </c>
      <c r="F57" s="47">
        <v>3.0</v>
      </c>
      <c r="G57" s="47">
        <v>1.0</v>
      </c>
      <c r="H57" s="48"/>
      <c r="I57" s="48">
        <f t="shared" si="1"/>
        <v>8</v>
      </c>
      <c r="J57" s="49">
        <v>0.0</v>
      </c>
      <c r="K57" s="50">
        <f t="shared" si="2"/>
        <v>8</v>
      </c>
      <c r="L57" s="44"/>
      <c r="M57" s="45">
        <f t="shared" si="3"/>
        <v>8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217</v>
      </c>
      <c r="C58" s="45" t="s">
        <v>201</v>
      </c>
      <c r="D58" s="116" t="s">
        <v>384</v>
      </c>
      <c r="E58" s="47">
        <v>2.0</v>
      </c>
      <c r="F58" s="47">
        <v>2.0</v>
      </c>
      <c r="G58" s="47">
        <v>2.0</v>
      </c>
      <c r="H58" s="48"/>
      <c r="I58" s="48">
        <f t="shared" si="1"/>
        <v>6</v>
      </c>
      <c r="J58" s="49">
        <v>0.0</v>
      </c>
      <c r="K58" s="50">
        <f t="shared" si="2"/>
        <v>6</v>
      </c>
      <c r="L58" s="44"/>
      <c r="M58" s="45">
        <f t="shared" si="3"/>
        <v>6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361</v>
      </c>
      <c r="C59" s="45" t="s">
        <v>385</v>
      </c>
      <c r="D59" s="116" t="s">
        <v>292</v>
      </c>
      <c r="E59" s="47">
        <v>2.0</v>
      </c>
      <c r="F59" s="47">
        <v>2.0</v>
      </c>
      <c r="G59" s="47">
        <v>2.0</v>
      </c>
      <c r="H59" s="48"/>
      <c r="I59" s="48">
        <f t="shared" si="1"/>
        <v>6</v>
      </c>
      <c r="J59" s="49">
        <v>0.0</v>
      </c>
      <c r="K59" s="50">
        <f t="shared" si="2"/>
        <v>6</v>
      </c>
      <c r="L59" s="44"/>
      <c r="M59" s="45">
        <f t="shared" si="3"/>
        <v>6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386</v>
      </c>
      <c r="C60" s="45" t="s">
        <v>383</v>
      </c>
      <c r="D60" s="45" t="s">
        <v>387</v>
      </c>
      <c r="E60" s="47">
        <v>3.0</v>
      </c>
      <c r="F60" s="47">
        <v>3.0</v>
      </c>
      <c r="G60" s="47">
        <v>1.0</v>
      </c>
      <c r="H60" s="48"/>
      <c r="I60" s="48">
        <f t="shared" si="1"/>
        <v>7</v>
      </c>
      <c r="J60" s="49">
        <v>0.0</v>
      </c>
      <c r="K60" s="50">
        <f t="shared" si="2"/>
        <v>7</v>
      </c>
      <c r="L60" s="44"/>
      <c r="M60" s="45">
        <f t="shared" si="3"/>
        <v>7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102</v>
      </c>
      <c r="C61" s="45" t="s">
        <v>388</v>
      </c>
      <c r="D61" s="45" t="s">
        <v>389</v>
      </c>
      <c r="E61" s="47">
        <v>4.0</v>
      </c>
      <c r="F61" s="47">
        <v>2.0</v>
      </c>
      <c r="G61" s="47">
        <v>1.0</v>
      </c>
      <c r="H61" s="48"/>
      <c r="I61" s="48">
        <f t="shared" si="1"/>
        <v>7</v>
      </c>
      <c r="J61" s="49">
        <v>0.0</v>
      </c>
      <c r="K61" s="50">
        <f t="shared" si="2"/>
        <v>7</v>
      </c>
      <c r="L61" s="44"/>
      <c r="M61" s="45">
        <f t="shared" si="3"/>
        <v>7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127</v>
      </c>
      <c r="C62" s="45" t="s">
        <v>58</v>
      </c>
      <c r="D62" s="45" t="s">
        <v>390</v>
      </c>
      <c r="E62" s="47">
        <v>3.0</v>
      </c>
      <c r="F62" s="47">
        <v>3.0</v>
      </c>
      <c r="G62" s="47">
        <v>1.0</v>
      </c>
      <c r="H62" s="48"/>
      <c r="I62" s="48">
        <f t="shared" si="1"/>
        <v>7</v>
      </c>
      <c r="J62" s="49">
        <v>0.0</v>
      </c>
      <c r="K62" s="50">
        <f t="shared" si="2"/>
        <v>7</v>
      </c>
      <c r="L62" s="44"/>
      <c r="M62" s="45">
        <f t="shared" si="3"/>
        <v>7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391</v>
      </c>
      <c r="C63" s="45" t="s">
        <v>392</v>
      </c>
      <c r="D63" s="45" t="s">
        <v>393</v>
      </c>
      <c r="E63" s="47">
        <v>2.0</v>
      </c>
      <c r="F63" s="47">
        <v>2.0</v>
      </c>
      <c r="G63" s="47">
        <v>2.0</v>
      </c>
      <c r="H63" s="48"/>
      <c r="I63" s="48">
        <f t="shared" si="1"/>
        <v>6</v>
      </c>
      <c r="J63" s="49">
        <v>0.0</v>
      </c>
      <c r="K63" s="50">
        <f t="shared" si="2"/>
        <v>6</v>
      </c>
      <c r="L63" s="44"/>
      <c r="M63" s="45">
        <f t="shared" si="3"/>
        <v>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394</v>
      </c>
      <c r="C64" s="45" t="s">
        <v>58</v>
      </c>
      <c r="D64" s="116" t="s">
        <v>395</v>
      </c>
      <c r="E64" s="47">
        <v>4.0</v>
      </c>
      <c r="F64" s="47">
        <v>4.0</v>
      </c>
      <c r="G64" s="47">
        <v>1.0</v>
      </c>
      <c r="H64" s="48"/>
      <c r="I64" s="48">
        <f t="shared" si="1"/>
        <v>9</v>
      </c>
      <c r="J64" s="49">
        <v>0.0</v>
      </c>
      <c r="K64" s="50">
        <f t="shared" si="2"/>
        <v>9</v>
      </c>
      <c r="L64" s="44"/>
      <c r="M64" s="45">
        <f t="shared" si="3"/>
        <v>9</v>
      </c>
      <c r="N64" s="1"/>
      <c r="O64" s="1"/>
      <c r="P64" s="2"/>
      <c r="Q64" s="2"/>
      <c r="R64" s="2"/>
    </row>
    <row r="65" ht="24.75" customHeight="1">
      <c r="A65" s="6"/>
      <c r="B65" s="54"/>
      <c r="C65" s="54"/>
      <c r="D65" s="107"/>
      <c r="E65" s="55"/>
      <c r="F65" s="55"/>
      <c r="G65" s="55"/>
      <c r="H65" s="55"/>
      <c r="I65" s="55"/>
      <c r="J65" s="55"/>
      <c r="K65" s="54"/>
      <c r="L65" s="7"/>
      <c r="M65" s="54"/>
      <c r="N65" s="1"/>
      <c r="O65" s="1"/>
      <c r="P65" s="2"/>
      <c r="Q65" s="2"/>
      <c r="R65" s="2"/>
    </row>
    <row r="66" ht="24.75" customHeight="1">
      <c r="A66" s="1"/>
      <c r="B66" s="56" t="s">
        <v>129</v>
      </c>
      <c r="C66" s="57"/>
      <c r="D66" s="58">
        <f>COUNT(A17:A64)</f>
        <v>48</v>
      </c>
      <c r="E66" s="55"/>
      <c r="F66" s="55"/>
      <c r="G66" s="59" t="s">
        <v>130</v>
      </c>
      <c r="H66" s="55"/>
      <c r="I66" s="59" t="s">
        <v>131</v>
      </c>
      <c r="K66" s="60" t="s">
        <v>132</v>
      </c>
      <c r="L66" s="61" t="s">
        <v>133</v>
      </c>
      <c r="M66" s="54"/>
      <c r="N66" s="1"/>
      <c r="O66" s="1"/>
      <c r="P66" s="2"/>
      <c r="Q66" s="2"/>
      <c r="R66" s="2"/>
    </row>
    <row r="67" ht="24.75" customHeight="1">
      <c r="A67" s="1"/>
      <c r="B67" s="62" t="s">
        <v>134</v>
      </c>
      <c r="C67" s="63"/>
      <c r="D67" s="64">
        <f>COUNTIF(K17:K64,"BAJA")</f>
        <v>0</v>
      </c>
      <c r="E67" s="55"/>
      <c r="F67" s="55"/>
      <c r="H67" s="55"/>
      <c r="L67" s="9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135</v>
      </c>
      <c r="C68" s="63"/>
      <c r="D68" s="65">
        <f>D66-D67</f>
        <v>48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136</v>
      </c>
      <c r="C69" s="63"/>
      <c r="D69" s="66">
        <f>COUNTIF(K17:K64,"&gt;=6")</f>
        <v>48</v>
      </c>
      <c r="E69" s="55"/>
      <c r="F69" s="55"/>
      <c r="G69" s="55"/>
      <c r="H69" s="55"/>
      <c r="I69" s="55"/>
      <c r="J69" s="55"/>
      <c r="K69" s="54"/>
      <c r="L69" s="7"/>
      <c r="M69" s="54"/>
      <c r="N69" s="1"/>
      <c r="O69" s="1"/>
      <c r="P69" s="2"/>
      <c r="Q69" s="2"/>
      <c r="R69" s="2"/>
    </row>
    <row r="70" ht="24.75" customHeight="1">
      <c r="A70" s="1"/>
      <c r="B70" s="62" t="s">
        <v>137</v>
      </c>
      <c r="C70" s="63"/>
      <c r="D70" s="66">
        <f>D68-D69</f>
        <v>0</v>
      </c>
      <c r="E70" s="55"/>
      <c r="F70" s="55"/>
      <c r="G70" s="67"/>
      <c r="H70" s="55"/>
      <c r="I70" s="67"/>
      <c r="J70" s="67"/>
      <c r="K70" s="68"/>
      <c r="L70" s="117"/>
      <c r="M70" s="54"/>
      <c r="N70" s="1"/>
      <c r="O70" s="1"/>
      <c r="P70" s="2"/>
      <c r="Q70" s="2"/>
      <c r="R70" s="2"/>
    </row>
    <row r="71" ht="36.0" customHeight="1">
      <c r="A71" s="1"/>
      <c r="B71" s="62" t="s">
        <v>138</v>
      </c>
      <c r="C71" s="63"/>
      <c r="D71" s="65">
        <f>D69*100/D68</f>
        <v>100</v>
      </c>
      <c r="E71" s="55"/>
      <c r="F71" s="55"/>
      <c r="G71" s="70" t="s">
        <v>139</v>
      </c>
      <c r="H71" s="55"/>
      <c r="I71" s="71" t="s">
        <v>396</v>
      </c>
      <c r="K71" s="72" t="s">
        <v>141</v>
      </c>
      <c r="L71" s="118" t="s">
        <v>142</v>
      </c>
      <c r="M71" s="54"/>
      <c r="N71" s="1"/>
      <c r="O71" s="1"/>
      <c r="P71" s="2"/>
      <c r="Q71" s="2"/>
      <c r="R71" s="2"/>
    </row>
    <row r="72" ht="21.75" customHeight="1">
      <c r="A72" s="119"/>
      <c r="B72" s="120" t="s">
        <v>143</v>
      </c>
      <c r="C72" s="75"/>
      <c r="D72" s="76">
        <f>AVERAGE(K17:K64)</f>
        <v>8.416666667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21"/>
      <c r="B73" s="2"/>
      <c r="C73" s="2"/>
      <c r="D73" s="2"/>
      <c r="E73" s="2"/>
      <c r="F73" s="2"/>
      <c r="G73" s="2"/>
      <c r="H73" s="2"/>
      <c r="I73" s="2"/>
      <c r="J73" s="2"/>
      <c r="K73" s="2"/>
      <c r="L73" s="80"/>
      <c r="M73" s="2"/>
      <c r="N73" s="2"/>
      <c r="O73" s="2"/>
      <c r="P73" s="2"/>
      <c r="Q73" s="2"/>
      <c r="R73" s="2"/>
    </row>
    <row r="74" ht="21.75" customHeight="1">
      <c r="A74" s="122"/>
      <c r="B74" s="123"/>
      <c r="C74" s="124"/>
      <c r="D74" s="124"/>
      <c r="E74" s="115"/>
      <c r="H74" s="115"/>
      <c r="I74" s="115"/>
      <c r="J74" s="115"/>
      <c r="K74" s="115"/>
      <c r="L74" s="125"/>
      <c r="M74" s="115"/>
      <c r="N74" s="2"/>
      <c r="O74" s="2"/>
      <c r="P74" s="2"/>
      <c r="Q74" s="2"/>
      <c r="R74" s="2"/>
    </row>
    <row r="75" ht="21.75" customHeight="1">
      <c r="A75" s="126"/>
      <c r="B75" s="115"/>
      <c r="C75" s="115"/>
      <c r="D75" s="100"/>
      <c r="E75" s="115"/>
      <c r="F75" s="115"/>
      <c r="G75" s="2"/>
      <c r="H75" s="2"/>
      <c r="I75" s="2"/>
      <c r="J75" s="2"/>
      <c r="K75" s="2"/>
      <c r="L75" s="80"/>
      <c r="M75" s="2"/>
      <c r="N75" s="2"/>
      <c r="O75" s="2"/>
      <c r="P75" s="2"/>
      <c r="Q75" s="2"/>
      <c r="R75" s="2"/>
    </row>
    <row r="76" ht="21.75" customHeight="1">
      <c r="A76" s="126"/>
      <c r="B76" s="115"/>
      <c r="C76" s="115"/>
      <c r="D76" s="100"/>
      <c r="E76" s="115"/>
      <c r="F76" s="115"/>
      <c r="G76" s="2"/>
      <c r="H76" s="2"/>
      <c r="I76" s="2"/>
      <c r="J76" s="2"/>
      <c r="K76" s="2"/>
      <c r="L76" s="127"/>
      <c r="M76" s="2"/>
      <c r="N76" s="2"/>
      <c r="O76" s="2"/>
      <c r="P76" s="2"/>
      <c r="Q76" s="2"/>
      <c r="R76" s="2"/>
    </row>
    <row r="77" ht="27.75" customHeight="1">
      <c r="A77" s="128"/>
      <c r="B77" s="129"/>
      <c r="C77" s="129"/>
      <c r="D77" s="105"/>
      <c r="E77" s="129"/>
      <c r="F77" s="129"/>
      <c r="G77" s="89"/>
      <c r="H77" s="130"/>
      <c r="I77" s="89"/>
      <c r="J77" s="89"/>
      <c r="K77" s="89"/>
      <c r="L77" s="112"/>
      <c r="M77" s="2"/>
      <c r="N77" s="2"/>
      <c r="O77" s="2"/>
      <c r="P77" s="2"/>
      <c r="Q77" s="2"/>
      <c r="R77" s="2"/>
    </row>
    <row r="78" ht="21.75" customHeight="1">
      <c r="A78" s="113"/>
      <c r="B78" s="114"/>
      <c r="C78" s="114"/>
      <c r="D78" s="103"/>
      <c r="E78" s="115"/>
      <c r="F78" s="115"/>
      <c r="G78" s="111"/>
      <c r="H78" s="2"/>
      <c r="I78" s="111"/>
      <c r="J78" s="111"/>
      <c r="K78" s="131"/>
      <c r="L78" s="131"/>
      <c r="M78" s="92"/>
      <c r="N78" s="2"/>
      <c r="O78" s="2"/>
      <c r="P78" s="2"/>
      <c r="Q78" s="2"/>
      <c r="R78" s="2"/>
    </row>
    <row r="79" ht="13.5" customHeight="1">
      <c r="A79" s="2"/>
      <c r="B79" s="115"/>
      <c r="C79" s="115"/>
      <c r="D79" s="103"/>
      <c r="E79" s="115"/>
      <c r="F79" s="115"/>
      <c r="G79" s="111"/>
      <c r="H79" s="2"/>
      <c r="I79" s="111"/>
      <c r="J79" s="111"/>
      <c r="K79" s="131"/>
      <c r="L79" s="91"/>
      <c r="M79" s="92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1" priority="2" stopIfTrue="1" operator="equal">
      <formula>5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397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398</v>
      </c>
      <c r="C17" s="45" t="s">
        <v>399</v>
      </c>
      <c r="D17" s="46" t="s">
        <v>400</v>
      </c>
      <c r="E17" s="47">
        <v>5.0</v>
      </c>
      <c r="F17" s="47">
        <v>2.0</v>
      </c>
      <c r="G17" s="47">
        <v>2.0</v>
      </c>
      <c r="H17" s="48"/>
      <c r="I17" s="48">
        <f t="shared" ref="I17:I62" si="1">SUM(E17:H17)</f>
        <v>9</v>
      </c>
      <c r="J17" s="49">
        <v>0.0</v>
      </c>
      <c r="K17" s="50">
        <f t="shared" ref="K17:K62" si="2">IF(I17&lt;6, 5, MIN(ROUND(I17,0), 10))</f>
        <v>9</v>
      </c>
      <c r="L17" s="45"/>
      <c r="M17" s="51">
        <f t="shared" ref="M17:M61" si="3">IF(I17&gt;=6,ROUND(I17,0),TRUNC(I17,0))</f>
        <v>9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401</v>
      </c>
      <c r="C18" s="45" t="s">
        <v>402</v>
      </c>
      <c r="D18" s="46" t="s">
        <v>403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3.0</v>
      </c>
      <c r="P18" s="2"/>
      <c r="Q18" s="2"/>
      <c r="R18" s="2"/>
    </row>
    <row r="19" ht="24.75" customHeight="1">
      <c r="A19" s="44">
        <v>3.0</v>
      </c>
      <c r="B19" s="45" t="s">
        <v>404</v>
      </c>
      <c r="C19" s="45" t="s">
        <v>58</v>
      </c>
      <c r="D19" s="46" t="s">
        <v>405</v>
      </c>
      <c r="E19" s="47">
        <v>3.0</v>
      </c>
      <c r="F19" s="47">
        <v>3.0</v>
      </c>
      <c r="G19" s="47">
        <v>2.0</v>
      </c>
      <c r="H19" s="48"/>
      <c r="I19" s="48">
        <f t="shared" si="1"/>
        <v>8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406</v>
      </c>
      <c r="C20" s="45" t="s">
        <v>385</v>
      </c>
      <c r="D20" s="46" t="s">
        <v>407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408</v>
      </c>
      <c r="C21" s="45" t="s">
        <v>409</v>
      </c>
      <c r="D21" s="46" t="s">
        <v>410</v>
      </c>
      <c r="E21" s="47">
        <v>3.0</v>
      </c>
      <c r="F21" s="47">
        <v>3.0</v>
      </c>
      <c r="G21" s="47">
        <v>2.0</v>
      </c>
      <c r="H21" s="48"/>
      <c r="I21" s="48">
        <f t="shared" si="1"/>
        <v>8</v>
      </c>
      <c r="J21" s="49">
        <v>0.0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9">
        <v>4.0</v>
      </c>
      <c r="P21" s="2"/>
      <c r="Q21" s="2"/>
      <c r="R21" s="2"/>
    </row>
    <row r="22" ht="24.75" customHeight="1">
      <c r="A22" s="44">
        <v>6.0</v>
      </c>
      <c r="B22" s="45" t="s">
        <v>321</v>
      </c>
      <c r="C22" s="45" t="s">
        <v>411</v>
      </c>
      <c r="D22" s="46" t="s">
        <v>412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305</v>
      </c>
      <c r="C23" s="45" t="s">
        <v>111</v>
      </c>
      <c r="D23" s="46" t="s">
        <v>413</v>
      </c>
      <c r="E23" s="47">
        <v>5.0</v>
      </c>
      <c r="F23" s="47">
        <v>3.0</v>
      </c>
      <c r="G23" s="47">
        <v>2.0</v>
      </c>
      <c r="H23" s="48"/>
      <c r="I23" s="48">
        <f t="shared" si="1"/>
        <v>10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50</v>
      </c>
      <c r="O23" s="49">
        <v>3.0</v>
      </c>
      <c r="P23" s="2"/>
      <c r="Q23" s="2"/>
      <c r="R23" s="2"/>
    </row>
    <row r="24" ht="24.75" customHeight="1">
      <c r="A24" s="44">
        <v>8.0</v>
      </c>
      <c r="B24" s="45" t="s">
        <v>414</v>
      </c>
      <c r="C24" s="45" t="s">
        <v>314</v>
      </c>
      <c r="D24" s="46" t="s">
        <v>415</v>
      </c>
      <c r="E24" s="47">
        <v>5.0</v>
      </c>
      <c r="F24" s="47">
        <v>2.0</v>
      </c>
      <c r="G24" s="47">
        <v>2.0</v>
      </c>
      <c r="H24" s="48"/>
      <c r="I24" s="48">
        <f t="shared" si="1"/>
        <v>9</v>
      </c>
      <c r="J24" s="49">
        <v>0.0</v>
      </c>
      <c r="K24" s="50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193</v>
      </c>
      <c r="C25" s="45" t="s">
        <v>416</v>
      </c>
      <c r="D25" s="46" t="s">
        <v>417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418</v>
      </c>
      <c r="C26" s="45" t="s">
        <v>419</v>
      </c>
      <c r="D26" s="46" t="s">
        <v>255</v>
      </c>
      <c r="E26" s="47">
        <v>5.0</v>
      </c>
      <c r="F26" s="47">
        <v>2.0</v>
      </c>
      <c r="G26" s="47">
        <v>2.0</v>
      </c>
      <c r="H26" s="48"/>
      <c r="I26" s="48">
        <f t="shared" si="1"/>
        <v>9</v>
      </c>
      <c r="J26" s="49">
        <v>0.0</v>
      </c>
      <c r="K26" s="50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111</v>
      </c>
      <c r="C27" s="45" t="s">
        <v>411</v>
      </c>
      <c r="D27" s="45" t="s">
        <v>420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55</v>
      </c>
      <c r="C28" s="45" t="s">
        <v>421</v>
      </c>
      <c r="D28" s="46" t="s">
        <v>422</v>
      </c>
      <c r="E28" s="47">
        <v>5.0</v>
      </c>
      <c r="F28" s="47">
        <v>2.0</v>
      </c>
      <c r="G28" s="47">
        <v>2.0</v>
      </c>
      <c r="H28" s="48"/>
      <c r="I28" s="48">
        <f t="shared" si="1"/>
        <v>9</v>
      </c>
      <c r="J28" s="49">
        <v>0.0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423</v>
      </c>
      <c r="C29" s="45" t="s">
        <v>424</v>
      </c>
      <c r="D29" s="46" t="s">
        <v>327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425</v>
      </c>
      <c r="C30" s="45" t="s">
        <v>388</v>
      </c>
      <c r="D30" s="46" t="s">
        <v>426</v>
      </c>
      <c r="E30" s="47">
        <v>5.0</v>
      </c>
      <c r="F30" s="47">
        <v>3.0</v>
      </c>
      <c r="G30" s="47">
        <v>2.0</v>
      </c>
      <c r="H30" s="48"/>
      <c r="I30" s="48">
        <f t="shared" si="1"/>
        <v>10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275</v>
      </c>
      <c r="D31" s="46" t="s">
        <v>200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58</v>
      </c>
      <c r="C32" s="45" t="s">
        <v>305</v>
      </c>
      <c r="D32" s="46" t="s">
        <v>427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58</v>
      </c>
      <c r="C33" s="45" t="s">
        <v>48</v>
      </c>
      <c r="D33" s="46" t="s">
        <v>383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58</v>
      </c>
      <c r="C34" s="45" t="s">
        <v>81</v>
      </c>
      <c r="D34" s="46" t="s">
        <v>428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178</v>
      </c>
      <c r="C35" s="45" t="s">
        <v>429</v>
      </c>
      <c r="D35" s="46" t="s">
        <v>430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178</v>
      </c>
      <c r="C36" s="45" t="s">
        <v>431</v>
      </c>
      <c r="D36" s="46" t="s">
        <v>432</v>
      </c>
      <c r="E36" s="47">
        <v>5.0</v>
      </c>
      <c r="F36" s="47">
        <v>2.0</v>
      </c>
      <c r="G36" s="47">
        <v>2.0</v>
      </c>
      <c r="H36" s="48"/>
      <c r="I36" s="48">
        <f t="shared" si="1"/>
        <v>9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433</v>
      </c>
      <c r="C37" s="45" t="s">
        <v>51</v>
      </c>
      <c r="D37" s="46" t="s">
        <v>174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434</v>
      </c>
      <c r="C38" s="45" t="s">
        <v>96</v>
      </c>
      <c r="D38" s="46" t="s">
        <v>435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71</v>
      </c>
      <c r="C39" s="45" t="s">
        <v>436</v>
      </c>
      <c r="D39" s="46" t="s">
        <v>437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71</v>
      </c>
      <c r="C40" s="45" t="s">
        <v>438</v>
      </c>
      <c r="D40" s="46" t="s">
        <v>439</v>
      </c>
      <c r="E40" s="47">
        <v>5.0</v>
      </c>
      <c r="F40" s="47">
        <v>2.0</v>
      </c>
      <c r="G40" s="47">
        <v>2.0</v>
      </c>
      <c r="H40" s="48"/>
      <c r="I40" s="48">
        <f t="shared" si="1"/>
        <v>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440</v>
      </c>
      <c r="C41" s="45" t="s">
        <v>441</v>
      </c>
      <c r="D41" s="46" t="s">
        <v>442</v>
      </c>
      <c r="E41" s="47">
        <v>2.0</v>
      </c>
      <c r="F41" s="47">
        <v>2.0</v>
      </c>
      <c r="G41" s="47">
        <v>2.0</v>
      </c>
      <c r="H41" s="48"/>
      <c r="I41" s="48">
        <f t="shared" si="1"/>
        <v>6</v>
      </c>
      <c r="J41" s="49">
        <v>0.0</v>
      </c>
      <c r="K41" s="50">
        <f t="shared" si="2"/>
        <v>6</v>
      </c>
      <c r="L41" s="44"/>
      <c r="M41" s="51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80</v>
      </c>
      <c r="C42" s="45" t="s">
        <v>119</v>
      </c>
      <c r="D42" s="46" t="s">
        <v>443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48</v>
      </c>
      <c r="C43" s="45" t="s">
        <v>85</v>
      </c>
      <c r="D43" s="46" t="s">
        <v>444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64</v>
      </c>
      <c r="C44" s="45" t="s">
        <v>263</v>
      </c>
      <c r="D44" s="46" t="s">
        <v>445</v>
      </c>
      <c r="E44" s="47">
        <v>5.0</v>
      </c>
      <c r="F44" s="47">
        <v>3.0</v>
      </c>
      <c r="G44" s="47">
        <v>2.0</v>
      </c>
      <c r="H44" s="48"/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96</v>
      </c>
      <c r="C45" s="45" t="s">
        <v>385</v>
      </c>
      <c r="D45" s="46" t="s">
        <v>446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447</v>
      </c>
      <c r="C46" s="45" t="s">
        <v>448</v>
      </c>
      <c r="D46" s="46" t="s">
        <v>449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450</v>
      </c>
      <c r="C47" s="45" t="s">
        <v>451</v>
      </c>
      <c r="D47" s="46" t="s">
        <v>452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279</v>
      </c>
      <c r="C48" s="45" t="s">
        <v>280</v>
      </c>
      <c r="D48" s="46" t="s">
        <v>453</v>
      </c>
      <c r="E48" s="47">
        <v>0.0</v>
      </c>
      <c r="F48" s="47">
        <v>0.0</v>
      </c>
      <c r="G48" s="47">
        <v>0.0</v>
      </c>
      <c r="H48" s="48"/>
      <c r="I48" s="48">
        <f t="shared" si="1"/>
        <v>0</v>
      </c>
      <c r="J48" s="49">
        <v>0.0</v>
      </c>
      <c r="K48" s="50">
        <f t="shared" si="2"/>
        <v>5</v>
      </c>
      <c r="L48" s="44"/>
      <c r="M48" s="51">
        <f t="shared" si="3"/>
        <v>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253</v>
      </c>
      <c r="C49" s="45" t="s">
        <v>36</v>
      </c>
      <c r="D49" s="46" t="s">
        <v>428</v>
      </c>
      <c r="E49" s="47">
        <v>5.0</v>
      </c>
      <c r="F49" s="47">
        <v>3.0</v>
      </c>
      <c r="G49" s="47">
        <v>2.0</v>
      </c>
      <c r="H49" s="48"/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253</v>
      </c>
      <c r="C50" s="45" t="s">
        <v>48</v>
      </c>
      <c r="D50" s="46" t="s">
        <v>454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113</v>
      </c>
      <c r="C51" s="45" t="s">
        <v>455</v>
      </c>
      <c r="D51" s="46" t="s">
        <v>456</v>
      </c>
      <c r="E51" s="47">
        <v>5.0</v>
      </c>
      <c r="F51" s="47">
        <v>2.0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457</v>
      </c>
      <c r="C52" s="45" t="s">
        <v>241</v>
      </c>
      <c r="D52" s="46" t="s">
        <v>458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459</v>
      </c>
      <c r="C53" s="45" t="s">
        <v>76</v>
      </c>
      <c r="D53" s="46" t="s">
        <v>460</v>
      </c>
      <c r="E53" s="47">
        <v>2.0</v>
      </c>
      <c r="F53" s="47">
        <v>2.0</v>
      </c>
      <c r="G53" s="47">
        <v>2.0</v>
      </c>
      <c r="H53" s="48"/>
      <c r="I53" s="48">
        <f t="shared" si="1"/>
        <v>6</v>
      </c>
      <c r="J53" s="49">
        <v>0.0</v>
      </c>
      <c r="K53" s="50">
        <f t="shared" si="2"/>
        <v>6</v>
      </c>
      <c r="L53" s="44"/>
      <c r="M53" s="45">
        <f t="shared" si="3"/>
        <v>6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461</v>
      </c>
      <c r="D54" s="46" t="s">
        <v>327</v>
      </c>
      <c r="E54" s="47">
        <v>5.0</v>
      </c>
      <c r="F54" s="47">
        <v>3.0</v>
      </c>
      <c r="G54" s="47">
        <v>2.0</v>
      </c>
      <c r="H54" s="48"/>
      <c r="I54" s="48">
        <f t="shared" si="1"/>
        <v>10</v>
      </c>
      <c r="J54" s="49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462</v>
      </c>
      <c r="D55" s="46" t="s">
        <v>463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464</v>
      </c>
      <c r="C56" s="45" t="s">
        <v>229</v>
      </c>
      <c r="D56" s="45" t="s">
        <v>465</v>
      </c>
      <c r="E56" s="47">
        <v>2.0</v>
      </c>
      <c r="F56" s="47">
        <v>2.0</v>
      </c>
      <c r="G56" s="47">
        <v>2.0</v>
      </c>
      <c r="H56" s="48"/>
      <c r="I56" s="48">
        <f t="shared" si="1"/>
        <v>6</v>
      </c>
      <c r="J56" s="49">
        <v>0.0</v>
      </c>
      <c r="K56" s="50">
        <f t="shared" si="2"/>
        <v>6</v>
      </c>
      <c r="L56" s="44"/>
      <c r="M56" s="45">
        <f t="shared" si="3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466</v>
      </c>
      <c r="C57" s="45" t="s">
        <v>264</v>
      </c>
      <c r="D57" s="45" t="s">
        <v>467</v>
      </c>
      <c r="E57" s="47">
        <v>5.0</v>
      </c>
      <c r="F57" s="47">
        <v>2.0</v>
      </c>
      <c r="G57" s="47">
        <v>2.0</v>
      </c>
      <c r="H57" s="48"/>
      <c r="I57" s="48">
        <f t="shared" si="1"/>
        <v>9</v>
      </c>
      <c r="J57" s="49">
        <v>0.0</v>
      </c>
      <c r="K57" s="50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383</v>
      </c>
      <c r="C58" s="45" t="s">
        <v>24</v>
      </c>
      <c r="D58" s="116" t="s">
        <v>468</v>
      </c>
      <c r="E58" s="47">
        <v>5.0</v>
      </c>
      <c r="F58" s="47">
        <v>3.0</v>
      </c>
      <c r="G58" s="47">
        <v>2.0</v>
      </c>
      <c r="H58" s="48"/>
      <c r="I58" s="48">
        <f t="shared" si="1"/>
        <v>10</v>
      </c>
      <c r="J58" s="49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469</v>
      </c>
      <c r="C59" s="45" t="s">
        <v>470</v>
      </c>
      <c r="D59" s="116" t="s">
        <v>471</v>
      </c>
      <c r="E59" s="47">
        <v>5.0</v>
      </c>
      <c r="F59" s="47">
        <v>2.0</v>
      </c>
      <c r="G59" s="47">
        <v>2.0</v>
      </c>
      <c r="H59" s="48"/>
      <c r="I59" s="48">
        <f t="shared" si="1"/>
        <v>9</v>
      </c>
      <c r="J59" s="49">
        <v>0.0</v>
      </c>
      <c r="K59" s="50">
        <f t="shared" si="2"/>
        <v>9</v>
      </c>
      <c r="L59" s="44"/>
      <c r="M59" s="45">
        <f t="shared" si="3"/>
        <v>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472</v>
      </c>
      <c r="C60" s="45" t="s">
        <v>28</v>
      </c>
      <c r="D60" s="45" t="s">
        <v>473</v>
      </c>
      <c r="E60" s="47">
        <v>5.0</v>
      </c>
      <c r="F60" s="47">
        <v>3.0</v>
      </c>
      <c r="G60" s="47">
        <v>2.0</v>
      </c>
      <c r="H60" s="48"/>
      <c r="I60" s="48">
        <f t="shared" si="1"/>
        <v>10</v>
      </c>
      <c r="J60" s="49">
        <v>0.0</v>
      </c>
      <c r="K60" s="50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474</v>
      </c>
      <c r="C61" s="45" t="s">
        <v>24</v>
      </c>
      <c r="D61" s="45" t="s">
        <v>475</v>
      </c>
      <c r="E61" s="47">
        <v>5.0</v>
      </c>
      <c r="F61" s="47">
        <v>2.0</v>
      </c>
      <c r="G61" s="47">
        <v>2.0</v>
      </c>
      <c r="H61" s="48"/>
      <c r="I61" s="48">
        <f t="shared" si="1"/>
        <v>9</v>
      </c>
      <c r="J61" s="49">
        <v>0.0</v>
      </c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476</v>
      </c>
      <c r="C62" s="45" t="s">
        <v>477</v>
      </c>
      <c r="D62" s="45" t="s">
        <v>478</v>
      </c>
      <c r="E62" s="47">
        <v>5.0</v>
      </c>
      <c r="F62" s="47">
        <v>3.0</v>
      </c>
      <c r="G62" s="47">
        <v>2.0</v>
      </c>
      <c r="H62" s="48"/>
      <c r="I62" s="48">
        <f t="shared" si="1"/>
        <v>10</v>
      </c>
      <c r="J62" s="49">
        <v>0.0</v>
      </c>
      <c r="K62" s="50">
        <f t="shared" si="2"/>
        <v>10</v>
      </c>
      <c r="L62" s="44"/>
      <c r="M62" s="54"/>
      <c r="N62" s="1"/>
      <c r="O62" s="1"/>
      <c r="P62" s="2"/>
      <c r="Q62" s="2"/>
      <c r="R62" s="2"/>
    </row>
    <row r="63" ht="24.75" customHeight="1">
      <c r="A63" s="6"/>
      <c r="B63" s="54"/>
      <c r="C63" s="54"/>
      <c r="D63" s="54"/>
      <c r="E63" s="55"/>
      <c r="F63" s="55"/>
      <c r="G63" s="55"/>
      <c r="H63" s="55"/>
      <c r="I63" s="55"/>
      <c r="J63" s="55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56" t="s">
        <v>129</v>
      </c>
      <c r="C64" s="57"/>
      <c r="D64" s="108">
        <f>COUNT(A17:A62)</f>
        <v>46</v>
      </c>
      <c r="E64" s="55"/>
      <c r="F64" s="55"/>
      <c r="G64" s="59" t="s">
        <v>130</v>
      </c>
      <c r="H64" s="55"/>
      <c r="I64" s="59" t="s">
        <v>131</v>
      </c>
      <c r="K64" s="60" t="s">
        <v>132</v>
      </c>
      <c r="L64" s="61" t="s">
        <v>133</v>
      </c>
      <c r="M64" s="54"/>
      <c r="N64" s="1"/>
      <c r="O64" s="1"/>
      <c r="P64" s="2"/>
      <c r="Q64" s="2"/>
      <c r="R64" s="2"/>
    </row>
    <row r="65" ht="24.75" customHeight="1">
      <c r="A65" s="1"/>
      <c r="B65" s="62" t="s">
        <v>134</v>
      </c>
      <c r="C65" s="63"/>
      <c r="D65" s="64">
        <f>COUNTIF(K17:K62,"BAJA")</f>
        <v>0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1"/>
      <c r="B66" s="62" t="s">
        <v>135</v>
      </c>
      <c r="C66" s="63"/>
      <c r="D66" s="66">
        <f>D64-D65</f>
        <v>46</v>
      </c>
      <c r="E66" s="55"/>
      <c r="F66" s="55"/>
      <c r="G66" s="55"/>
      <c r="H66" s="55"/>
      <c r="I66" s="55"/>
      <c r="J66" s="55"/>
      <c r="K66" s="54"/>
      <c r="L66" s="7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136</v>
      </c>
      <c r="C67" s="63"/>
      <c r="D67" s="66">
        <f>COUNTIF(K17:K62,"&gt;=6")</f>
        <v>45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137</v>
      </c>
      <c r="C68" s="63"/>
      <c r="D68" s="66">
        <f>D66-D67</f>
        <v>1</v>
      </c>
      <c r="E68" s="55"/>
      <c r="F68" s="55"/>
      <c r="G68" s="67"/>
      <c r="H68" s="55"/>
      <c r="I68" s="67"/>
      <c r="J68" s="132"/>
      <c r="K68" s="68"/>
      <c r="L68" s="69"/>
      <c r="M68" s="54"/>
      <c r="N68" s="1"/>
      <c r="O68" s="1"/>
      <c r="P68" s="2"/>
      <c r="Q68" s="2"/>
      <c r="R68" s="2"/>
    </row>
    <row r="69" ht="36.0" customHeight="1">
      <c r="A69" s="1"/>
      <c r="B69" s="62" t="s">
        <v>138</v>
      </c>
      <c r="C69" s="63"/>
      <c r="D69" s="65">
        <f>D67*100/D66</f>
        <v>97.82608696</v>
      </c>
      <c r="E69" s="55"/>
      <c r="F69" s="55"/>
      <c r="G69" s="70" t="s">
        <v>139</v>
      </c>
      <c r="H69" s="55"/>
      <c r="I69" s="71" t="s">
        <v>140</v>
      </c>
      <c r="K69" s="72" t="s">
        <v>141</v>
      </c>
      <c r="L69" s="73" t="s">
        <v>142</v>
      </c>
      <c r="M69" s="54"/>
      <c r="N69" s="1"/>
      <c r="O69" s="1"/>
      <c r="P69" s="2"/>
      <c r="Q69" s="2"/>
      <c r="R69" s="2"/>
    </row>
    <row r="70" ht="24.75" customHeight="1">
      <c r="A70" s="1"/>
      <c r="B70" s="74" t="s">
        <v>143</v>
      </c>
      <c r="C70" s="75"/>
      <c r="D70" s="76">
        <f>AVERAGE(K17:K62)</f>
        <v>9.239130435</v>
      </c>
      <c r="E70" s="55"/>
      <c r="F70" s="55"/>
      <c r="H70" s="55"/>
      <c r="L70" s="9"/>
      <c r="M70" s="54"/>
      <c r="N70" s="1"/>
      <c r="O70" s="1"/>
      <c r="P70" s="2"/>
      <c r="Q70" s="2"/>
      <c r="R70" s="2"/>
    </row>
    <row r="71" ht="24.75" customHeight="1">
      <c r="A71" s="77"/>
      <c r="B71" s="78"/>
      <c r="C71" s="78"/>
      <c r="D71" s="84"/>
      <c r="E71" s="79"/>
      <c r="F71" s="79"/>
      <c r="G71" s="79"/>
      <c r="H71" s="79"/>
      <c r="I71" s="79"/>
      <c r="J71" s="79"/>
      <c r="K71" s="78"/>
      <c r="L71" s="127"/>
      <c r="M71" s="78"/>
      <c r="N71" s="2"/>
      <c r="O71" s="2"/>
      <c r="P71" s="2"/>
      <c r="Q71" s="2"/>
      <c r="R71" s="2"/>
    </row>
    <row r="72" ht="21.75" customHeight="1">
      <c r="A72" s="122"/>
      <c r="B72" s="133"/>
      <c r="C72" s="134"/>
      <c r="D72" s="110"/>
      <c r="E72" s="115"/>
      <c r="H72" s="115"/>
      <c r="I72" s="99"/>
      <c r="J72" s="99"/>
      <c r="K72" s="100"/>
      <c r="L72" s="125"/>
      <c r="M72" s="115"/>
      <c r="N72" s="2"/>
      <c r="O72" s="2"/>
      <c r="P72" s="2"/>
      <c r="Q72" s="2"/>
      <c r="R72" s="2"/>
    </row>
    <row r="73" ht="21.75" customHeight="1">
      <c r="A73" s="126"/>
      <c r="B73" s="115"/>
      <c r="C73" s="115"/>
      <c r="D73" s="115"/>
      <c r="E73" s="115"/>
      <c r="F73" s="115"/>
      <c r="G73" s="2"/>
      <c r="H73" s="2"/>
      <c r="I73" s="2"/>
      <c r="J73" s="2"/>
      <c r="K73" s="2"/>
      <c r="L73" s="80"/>
      <c r="M73" s="2"/>
      <c r="N73" s="2"/>
      <c r="O73" s="2"/>
      <c r="P73" s="2"/>
      <c r="Q73" s="2"/>
      <c r="R73" s="2"/>
    </row>
    <row r="74" ht="21.75" customHeight="1">
      <c r="A74" s="126"/>
      <c r="B74" s="115"/>
      <c r="C74" s="115"/>
      <c r="D74" s="115"/>
      <c r="E74" s="115"/>
      <c r="F74" s="115"/>
      <c r="G74" s="2"/>
      <c r="H74" s="2"/>
      <c r="I74" s="2"/>
      <c r="J74" s="2"/>
      <c r="K74" s="2"/>
      <c r="L74" s="127"/>
      <c r="M74" s="2"/>
      <c r="N74" s="2"/>
      <c r="O74" s="2"/>
      <c r="P74" s="2"/>
      <c r="Q74" s="2"/>
      <c r="R74" s="2"/>
    </row>
    <row r="75" ht="21.75" customHeight="1">
      <c r="A75" s="128"/>
      <c r="B75" s="129"/>
      <c r="C75" s="129"/>
      <c r="D75" s="105"/>
      <c r="E75" s="129"/>
      <c r="F75" s="129"/>
      <c r="G75" s="130"/>
      <c r="H75" s="130"/>
      <c r="I75" s="130"/>
      <c r="J75" s="130"/>
      <c r="K75" s="130"/>
      <c r="L75" s="90"/>
      <c r="M75" s="2"/>
      <c r="N75" s="2"/>
      <c r="O75" s="2"/>
      <c r="P75" s="2"/>
      <c r="Q75" s="2"/>
      <c r="R75" s="2"/>
    </row>
    <row r="76" ht="21.75" customHeight="1">
      <c r="A76" s="113"/>
      <c r="B76" s="115"/>
      <c r="C76" s="115"/>
      <c r="D76" s="100"/>
      <c r="E76" s="115"/>
      <c r="F76" s="115"/>
      <c r="G76" s="2"/>
      <c r="H76" s="2"/>
      <c r="I76" s="2"/>
      <c r="J76" s="2"/>
      <c r="K76" s="92"/>
      <c r="L76" s="91"/>
      <c r="M76" s="92"/>
      <c r="N76" s="2"/>
      <c r="O76" s="2"/>
      <c r="P76" s="2"/>
      <c r="Q76" s="2"/>
      <c r="R76" s="2"/>
    </row>
    <row r="77" ht="27.75" customHeight="1">
      <c r="A77" s="113"/>
      <c r="B77" s="115"/>
      <c r="C77" s="115"/>
      <c r="D77" s="100"/>
      <c r="E77" s="115"/>
      <c r="F77" s="115"/>
      <c r="G77" s="111"/>
      <c r="H77" s="2"/>
      <c r="I77" s="111"/>
      <c r="J77" s="111"/>
      <c r="K77" s="131"/>
      <c r="L77" s="91"/>
      <c r="M77" s="92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398</v>
      </c>
      <c r="C17" s="45" t="s">
        <v>36</v>
      </c>
      <c r="D17" s="46" t="s">
        <v>479</v>
      </c>
      <c r="E17" s="47">
        <v>2.0</v>
      </c>
      <c r="F17" s="47">
        <v>2.0</v>
      </c>
      <c r="G17" s="47">
        <v>2.0</v>
      </c>
      <c r="H17" s="48"/>
      <c r="I17" s="48">
        <f t="shared" ref="I17:I63" si="1">SUM(E17:H17)</f>
        <v>6</v>
      </c>
      <c r="J17" s="49">
        <v>0.0</v>
      </c>
      <c r="K17" s="50">
        <f t="shared" ref="K17:K51" si="2">IF(I17&lt;6, 5, MIN(ROUND(I17,0), 10))</f>
        <v>6</v>
      </c>
      <c r="L17" s="45"/>
      <c r="M17" s="51">
        <f t="shared" ref="M17:M61" si="3">IF(I17&gt;=6,ROUND(I17,0),TRUNC(I17,0))</f>
        <v>6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480</v>
      </c>
      <c r="C18" s="45" t="s">
        <v>481</v>
      </c>
      <c r="D18" s="46" t="s">
        <v>482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3.0</v>
      </c>
      <c r="P18" s="2"/>
      <c r="Q18" s="2"/>
      <c r="R18" s="2"/>
    </row>
    <row r="19" ht="24.75" customHeight="1">
      <c r="A19" s="44">
        <v>3.0</v>
      </c>
      <c r="B19" s="45" t="s">
        <v>40</v>
      </c>
      <c r="C19" s="45" t="s">
        <v>391</v>
      </c>
      <c r="D19" s="46" t="s">
        <v>483</v>
      </c>
      <c r="E19" s="47">
        <v>2.0</v>
      </c>
      <c r="F19" s="47">
        <v>2.0</v>
      </c>
      <c r="G19" s="47">
        <v>2.0</v>
      </c>
      <c r="H19" s="48"/>
      <c r="I19" s="48">
        <f t="shared" si="1"/>
        <v>6</v>
      </c>
      <c r="J19" s="49">
        <v>0.0</v>
      </c>
      <c r="K19" s="50">
        <f t="shared" si="2"/>
        <v>6</v>
      </c>
      <c r="L19" s="44"/>
      <c r="M19" s="51">
        <f t="shared" si="3"/>
        <v>6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484</v>
      </c>
      <c r="D20" s="46" t="s">
        <v>485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486</v>
      </c>
      <c r="C21" s="45" t="s">
        <v>487</v>
      </c>
      <c r="D21" s="46" t="s">
        <v>488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4.0</v>
      </c>
      <c r="P21" s="2"/>
      <c r="Q21" s="2"/>
      <c r="R21" s="2"/>
    </row>
    <row r="22" ht="24.75" customHeight="1">
      <c r="A22" s="44">
        <v>6.0</v>
      </c>
      <c r="B22" s="45" t="s">
        <v>305</v>
      </c>
      <c r="C22" s="45" t="s">
        <v>178</v>
      </c>
      <c r="D22" s="46" t="s">
        <v>489</v>
      </c>
      <c r="E22" s="47">
        <v>0.0</v>
      </c>
      <c r="F22" s="47">
        <v>0.0</v>
      </c>
      <c r="G22" s="47">
        <v>0.0</v>
      </c>
      <c r="H22" s="48"/>
      <c r="I22" s="48">
        <f t="shared" si="1"/>
        <v>0</v>
      </c>
      <c r="J22" s="49">
        <v>0.0</v>
      </c>
      <c r="K22" s="50">
        <f t="shared" si="2"/>
        <v>5</v>
      </c>
      <c r="L22" s="44"/>
      <c r="M22" s="51">
        <f t="shared" si="3"/>
        <v>0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305</v>
      </c>
      <c r="C23" s="45" t="s">
        <v>36</v>
      </c>
      <c r="D23" s="46" t="s">
        <v>490</v>
      </c>
      <c r="E23" s="47">
        <v>0.0</v>
      </c>
      <c r="F23" s="47">
        <v>0.0</v>
      </c>
      <c r="G23" s="47">
        <v>0.0</v>
      </c>
      <c r="H23" s="48"/>
      <c r="I23" s="48">
        <f t="shared" si="1"/>
        <v>0</v>
      </c>
      <c r="J23" s="49">
        <v>0.0</v>
      </c>
      <c r="K23" s="50">
        <f t="shared" si="2"/>
        <v>5</v>
      </c>
      <c r="L23" s="44"/>
      <c r="M23" s="51">
        <f t="shared" si="3"/>
        <v>0</v>
      </c>
      <c r="N23" s="53" t="s">
        <v>50</v>
      </c>
      <c r="O23" s="49">
        <v>3.0</v>
      </c>
      <c r="P23" s="2"/>
      <c r="Q23" s="2"/>
      <c r="R23" s="2"/>
    </row>
    <row r="24" ht="24.75" customHeight="1">
      <c r="A24" s="44">
        <v>8.0</v>
      </c>
      <c r="B24" s="45" t="s">
        <v>491</v>
      </c>
      <c r="C24" s="45" t="s">
        <v>492</v>
      </c>
      <c r="D24" s="46" t="s">
        <v>493</v>
      </c>
      <c r="E24" s="47">
        <v>5.0</v>
      </c>
      <c r="F24" s="47">
        <v>3.0</v>
      </c>
      <c r="G24" s="47">
        <v>2.0</v>
      </c>
      <c r="H24" s="48"/>
      <c r="I24" s="48">
        <f t="shared" si="1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494</v>
      </c>
      <c r="C25" s="45" t="s">
        <v>495</v>
      </c>
      <c r="D25" s="46" t="s">
        <v>496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423</v>
      </c>
      <c r="C26" s="45" t="s">
        <v>58</v>
      </c>
      <c r="D26" s="46" t="s">
        <v>497</v>
      </c>
      <c r="E26" s="47">
        <v>3.0</v>
      </c>
      <c r="F26" s="47">
        <v>2.0</v>
      </c>
      <c r="G26" s="47">
        <v>2.0</v>
      </c>
      <c r="H26" s="48"/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175</v>
      </c>
      <c r="C27" s="45" t="s">
        <v>176</v>
      </c>
      <c r="D27" s="45" t="s">
        <v>498</v>
      </c>
      <c r="E27" s="47">
        <v>5.0</v>
      </c>
      <c r="F27" s="47">
        <v>2.0</v>
      </c>
      <c r="G27" s="47">
        <v>2.0</v>
      </c>
      <c r="H27" s="48"/>
      <c r="I27" s="48">
        <f t="shared" si="1"/>
        <v>9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58</v>
      </c>
      <c r="C28" s="45" t="s">
        <v>253</v>
      </c>
      <c r="D28" s="46" t="s">
        <v>499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500</v>
      </c>
      <c r="D29" s="46" t="s">
        <v>501</v>
      </c>
      <c r="E29" s="47">
        <v>5.0</v>
      </c>
      <c r="F29" s="47">
        <v>2.0</v>
      </c>
      <c r="G29" s="47">
        <v>2.0</v>
      </c>
      <c r="H29" s="48"/>
      <c r="I29" s="48">
        <f t="shared" si="1"/>
        <v>9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81</v>
      </c>
      <c r="D30" s="46" t="s">
        <v>502</v>
      </c>
      <c r="E30" s="47">
        <v>5.0</v>
      </c>
      <c r="F30" s="47">
        <v>2.0</v>
      </c>
      <c r="G30" s="47">
        <v>2.0</v>
      </c>
      <c r="H30" s="48"/>
      <c r="I30" s="48">
        <f t="shared" si="1"/>
        <v>9</v>
      </c>
      <c r="J30" s="49">
        <v>0.0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28</v>
      </c>
      <c r="D31" s="46" t="s">
        <v>503</v>
      </c>
      <c r="E31" s="47">
        <v>5.0</v>
      </c>
      <c r="F31" s="47">
        <v>2.0</v>
      </c>
      <c r="G31" s="47">
        <v>1.0</v>
      </c>
      <c r="H31" s="48"/>
      <c r="I31" s="48">
        <f t="shared" si="1"/>
        <v>8</v>
      </c>
      <c r="J31" s="49">
        <v>0.0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280</v>
      </c>
      <c r="D32" s="46" t="s">
        <v>504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66</v>
      </c>
      <c r="C33" s="45" t="s">
        <v>505</v>
      </c>
      <c r="D33" s="46" t="s">
        <v>506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66</v>
      </c>
      <c r="C34" s="45" t="s">
        <v>48</v>
      </c>
      <c r="D34" s="46" t="s">
        <v>200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507</v>
      </c>
      <c r="C35" s="45" t="s">
        <v>199</v>
      </c>
      <c r="D35" s="46" t="s">
        <v>508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76</v>
      </c>
      <c r="C36" s="45" t="s">
        <v>509</v>
      </c>
      <c r="D36" s="46" t="s">
        <v>510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511</v>
      </c>
      <c r="C37" s="45" t="s">
        <v>512</v>
      </c>
      <c r="D37" s="46" t="s">
        <v>513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514</v>
      </c>
      <c r="D38" s="46" t="s">
        <v>515</v>
      </c>
      <c r="E38" s="47">
        <v>5.0</v>
      </c>
      <c r="F38" s="47">
        <v>2.0</v>
      </c>
      <c r="G38" s="47">
        <v>2.0</v>
      </c>
      <c r="H38" s="48"/>
      <c r="I38" s="48">
        <f t="shared" si="1"/>
        <v>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425</v>
      </c>
      <c r="D39" s="46" t="s">
        <v>516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517</v>
      </c>
      <c r="C40" s="45" t="s">
        <v>518</v>
      </c>
      <c r="D40" s="46" t="s">
        <v>519</v>
      </c>
      <c r="E40" s="47">
        <v>5.0</v>
      </c>
      <c r="F40" s="47">
        <v>2.0</v>
      </c>
      <c r="G40" s="47">
        <v>2.0</v>
      </c>
      <c r="H40" s="48"/>
      <c r="I40" s="48">
        <f t="shared" si="1"/>
        <v>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261</v>
      </c>
      <c r="C41" s="45" t="s">
        <v>520</v>
      </c>
      <c r="D41" s="46" t="s">
        <v>521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522</v>
      </c>
      <c r="C42" s="45" t="s">
        <v>523</v>
      </c>
      <c r="D42" s="46" t="s">
        <v>524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525</v>
      </c>
      <c r="C43" s="45" t="s">
        <v>261</v>
      </c>
      <c r="D43" s="46" t="s">
        <v>526</v>
      </c>
      <c r="E43" s="47">
        <v>2.0</v>
      </c>
      <c r="F43" s="47">
        <v>2.0</v>
      </c>
      <c r="G43" s="47">
        <v>2.0</v>
      </c>
      <c r="H43" s="48"/>
      <c r="I43" s="48">
        <f t="shared" si="1"/>
        <v>6</v>
      </c>
      <c r="J43" s="49">
        <v>0.0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96</v>
      </c>
      <c r="C44" s="45" t="s">
        <v>55</v>
      </c>
      <c r="D44" s="46" t="s">
        <v>527</v>
      </c>
      <c r="E44" s="47">
        <v>4.0</v>
      </c>
      <c r="F44" s="47">
        <v>2.0</v>
      </c>
      <c r="G44" s="47">
        <v>2.0</v>
      </c>
      <c r="H44" s="48"/>
      <c r="I44" s="48">
        <f t="shared" si="1"/>
        <v>8</v>
      </c>
      <c r="J44" s="49">
        <v>0.0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528</v>
      </c>
      <c r="C45" s="45" t="s">
        <v>371</v>
      </c>
      <c r="D45" s="46" t="s">
        <v>529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96</v>
      </c>
      <c r="C46" s="45" t="s">
        <v>530</v>
      </c>
      <c r="D46" s="46" t="s">
        <v>531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96</v>
      </c>
      <c r="C47" s="45" t="s">
        <v>532</v>
      </c>
      <c r="D47" s="46" t="s">
        <v>533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534</v>
      </c>
      <c r="C48" s="45" t="s">
        <v>58</v>
      </c>
      <c r="D48" s="46" t="s">
        <v>535</v>
      </c>
      <c r="E48" s="47">
        <v>4.0</v>
      </c>
      <c r="F48" s="47">
        <v>2.0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294</v>
      </c>
      <c r="C49" s="45" t="s">
        <v>398</v>
      </c>
      <c r="D49" s="46" t="s">
        <v>536</v>
      </c>
      <c r="E49" s="47">
        <v>5.0</v>
      </c>
      <c r="F49" s="47">
        <v>3.0</v>
      </c>
      <c r="G49" s="47">
        <v>2.0</v>
      </c>
      <c r="H49" s="48"/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122</v>
      </c>
      <c r="C50" s="45" t="s">
        <v>321</v>
      </c>
      <c r="D50" s="46" t="s">
        <v>537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122</v>
      </c>
      <c r="C51" s="45" t="s">
        <v>96</v>
      </c>
      <c r="D51" s="46" t="s">
        <v>538</v>
      </c>
      <c r="E51" s="47">
        <v>5.0</v>
      </c>
      <c r="F51" s="47">
        <v>3.0</v>
      </c>
      <c r="G51" s="47">
        <v>2.0</v>
      </c>
      <c r="H51" s="48"/>
      <c r="I51" s="48">
        <f t="shared" si="1"/>
        <v>10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119</v>
      </c>
      <c r="C52" s="45" t="s">
        <v>539</v>
      </c>
      <c r="D52" s="46" t="s">
        <v>540</v>
      </c>
      <c r="E52" s="47"/>
      <c r="F52" s="47"/>
      <c r="G52" s="47"/>
      <c r="H52" s="48"/>
      <c r="I52" s="48">
        <f t="shared" si="1"/>
        <v>0</v>
      </c>
      <c r="J52" s="49"/>
      <c r="K52" s="135"/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541</v>
      </c>
      <c r="C53" s="45" t="s">
        <v>542</v>
      </c>
      <c r="D53" s="46" t="s">
        <v>543</v>
      </c>
      <c r="E53" s="47">
        <v>5.0</v>
      </c>
      <c r="F53" s="47">
        <v>3.0</v>
      </c>
      <c r="G53" s="47">
        <v>2.0</v>
      </c>
      <c r="H53" s="48"/>
      <c r="I53" s="48">
        <f t="shared" si="1"/>
        <v>10</v>
      </c>
      <c r="J53" s="49">
        <v>0.0</v>
      </c>
      <c r="K53" s="50">
        <f t="shared" ref="K53:K63" si="4">IF(I53&lt;6, 5, MIN(ROUND(I53,0), 10))</f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544</v>
      </c>
      <c r="C54" s="45" t="s">
        <v>545</v>
      </c>
      <c r="D54" s="46" t="s">
        <v>428</v>
      </c>
      <c r="E54" s="47">
        <v>4.0</v>
      </c>
      <c r="F54" s="47">
        <v>3.0</v>
      </c>
      <c r="G54" s="47">
        <v>2.0</v>
      </c>
      <c r="H54" s="48"/>
      <c r="I54" s="48">
        <f t="shared" si="1"/>
        <v>9</v>
      </c>
      <c r="J54" s="49">
        <v>0.0</v>
      </c>
      <c r="K54" s="50">
        <f t="shared" si="4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380</v>
      </c>
      <c r="C55" s="45" t="s">
        <v>58</v>
      </c>
      <c r="D55" s="46" t="s">
        <v>546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4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380</v>
      </c>
      <c r="C56" s="45" t="s">
        <v>119</v>
      </c>
      <c r="D56" s="45" t="s">
        <v>547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49">
        <v>0.0</v>
      </c>
      <c r="K56" s="50">
        <f t="shared" si="4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548</v>
      </c>
      <c r="C57" s="45" t="s">
        <v>81</v>
      </c>
      <c r="D57" s="45" t="s">
        <v>496</v>
      </c>
      <c r="E57" s="47">
        <v>5.0</v>
      </c>
      <c r="F57" s="47">
        <v>3.0</v>
      </c>
      <c r="G57" s="47">
        <v>2.0</v>
      </c>
      <c r="H57" s="48"/>
      <c r="I57" s="48">
        <f t="shared" si="1"/>
        <v>10</v>
      </c>
      <c r="J57" s="49">
        <v>0.0</v>
      </c>
      <c r="K57" s="50">
        <f t="shared" si="4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59</v>
      </c>
      <c r="C58" s="45" t="s">
        <v>549</v>
      </c>
      <c r="D58" s="116" t="s">
        <v>550</v>
      </c>
      <c r="E58" s="47">
        <v>5.0</v>
      </c>
      <c r="F58" s="47">
        <v>3.0</v>
      </c>
      <c r="G58" s="47">
        <v>2.0</v>
      </c>
      <c r="H58" s="48"/>
      <c r="I58" s="48">
        <f t="shared" si="1"/>
        <v>10</v>
      </c>
      <c r="J58" s="49">
        <v>0.0</v>
      </c>
      <c r="K58" s="50">
        <f t="shared" si="4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551</v>
      </c>
      <c r="C59" s="45" t="s">
        <v>124</v>
      </c>
      <c r="D59" s="116" t="s">
        <v>552</v>
      </c>
      <c r="E59" s="47">
        <v>5.0</v>
      </c>
      <c r="F59" s="47">
        <v>3.0</v>
      </c>
      <c r="G59" s="47">
        <v>2.0</v>
      </c>
      <c r="H59" s="48"/>
      <c r="I59" s="48">
        <f t="shared" si="1"/>
        <v>10</v>
      </c>
      <c r="J59" s="49">
        <v>0.0</v>
      </c>
      <c r="K59" s="50">
        <f t="shared" si="4"/>
        <v>10</v>
      </c>
      <c r="L59" s="44"/>
      <c r="M59" s="45">
        <f t="shared" si="3"/>
        <v>10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553</v>
      </c>
      <c r="C60" s="45" t="s">
        <v>119</v>
      </c>
      <c r="D60" s="45" t="s">
        <v>554</v>
      </c>
      <c r="E60" s="47">
        <v>5.0</v>
      </c>
      <c r="F60" s="47">
        <v>3.0</v>
      </c>
      <c r="G60" s="47">
        <v>2.0</v>
      </c>
      <c r="H60" s="48"/>
      <c r="I60" s="48">
        <f t="shared" si="1"/>
        <v>10</v>
      </c>
      <c r="J60" s="49">
        <v>0.0</v>
      </c>
      <c r="K60" s="50">
        <f t="shared" si="4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555</v>
      </c>
      <c r="C61" s="45" t="s">
        <v>43</v>
      </c>
      <c r="D61" s="45" t="s">
        <v>556</v>
      </c>
      <c r="E61" s="47">
        <v>5.0</v>
      </c>
      <c r="F61" s="47">
        <v>3.0</v>
      </c>
      <c r="G61" s="47">
        <v>2.0</v>
      </c>
      <c r="H61" s="48"/>
      <c r="I61" s="48">
        <f t="shared" si="1"/>
        <v>10</v>
      </c>
      <c r="J61" s="49">
        <v>0.0</v>
      </c>
      <c r="K61" s="50">
        <f t="shared" si="4"/>
        <v>10</v>
      </c>
      <c r="L61" s="44"/>
      <c r="M61" s="45">
        <f t="shared" si="3"/>
        <v>10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557</v>
      </c>
      <c r="C62" s="45" t="s">
        <v>558</v>
      </c>
      <c r="D62" s="45" t="s">
        <v>559</v>
      </c>
      <c r="E62" s="47">
        <v>2.0</v>
      </c>
      <c r="F62" s="47">
        <v>2.0</v>
      </c>
      <c r="G62" s="47">
        <v>2.0</v>
      </c>
      <c r="H62" s="48"/>
      <c r="I62" s="48">
        <f t="shared" si="1"/>
        <v>6</v>
      </c>
      <c r="J62" s="49">
        <v>0.0</v>
      </c>
      <c r="K62" s="50">
        <f t="shared" si="4"/>
        <v>6</v>
      </c>
      <c r="L62" s="44"/>
      <c r="M62" s="54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560</v>
      </c>
      <c r="C63" s="45" t="s">
        <v>43</v>
      </c>
      <c r="D63" s="45" t="s">
        <v>561</v>
      </c>
      <c r="E63" s="47">
        <v>5.0</v>
      </c>
      <c r="F63" s="47">
        <v>3.0</v>
      </c>
      <c r="G63" s="47">
        <v>2.0</v>
      </c>
      <c r="H63" s="48"/>
      <c r="I63" s="48">
        <f t="shared" si="1"/>
        <v>10</v>
      </c>
      <c r="J63" s="49">
        <v>0.0</v>
      </c>
      <c r="K63" s="50">
        <f t="shared" si="4"/>
        <v>10</v>
      </c>
      <c r="L63" s="44"/>
      <c r="M63" s="54"/>
      <c r="N63" s="1"/>
      <c r="O63" s="1"/>
      <c r="P63" s="2"/>
      <c r="Q63" s="2"/>
      <c r="R63" s="2"/>
    </row>
    <row r="64" ht="24.75" customHeight="1">
      <c r="A64" s="6"/>
      <c r="B64" s="54"/>
      <c r="C64" s="54"/>
      <c r="D64" s="107"/>
      <c r="E64" s="55"/>
      <c r="F64" s="55"/>
      <c r="G64" s="55"/>
      <c r="H64" s="55"/>
      <c r="I64" s="55"/>
      <c r="J64" s="55"/>
      <c r="K64" s="54"/>
      <c r="L64" s="7"/>
      <c r="M64" s="54"/>
      <c r="N64" s="1"/>
      <c r="O64" s="1"/>
      <c r="P64" s="2"/>
      <c r="Q64" s="2"/>
      <c r="R64" s="2"/>
    </row>
    <row r="65" ht="24.75" customHeight="1">
      <c r="A65" s="1"/>
      <c r="B65" s="56" t="s">
        <v>129</v>
      </c>
      <c r="C65" s="57"/>
      <c r="D65" s="108">
        <f>COUNT(A17:A63)</f>
        <v>47</v>
      </c>
      <c r="E65" s="55"/>
      <c r="F65" s="55"/>
      <c r="G65" s="59" t="s">
        <v>130</v>
      </c>
      <c r="H65" s="55"/>
      <c r="I65" s="59" t="s">
        <v>131</v>
      </c>
      <c r="K65" s="60" t="s">
        <v>132</v>
      </c>
      <c r="L65" s="61" t="s">
        <v>133</v>
      </c>
      <c r="M65" s="54"/>
      <c r="N65" s="1"/>
      <c r="O65" s="1"/>
      <c r="P65" s="2"/>
      <c r="Q65" s="2"/>
      <c r="R65" s="2"/>
    </row>
    <row r="66" ht="24.75" customHeight="1">
      <c r="A66" s="1"/>
      <c r="B66" s="62" t="s">
        <v>134</v>
      </c>
      <c r="C66" s="63"/>
      <c r="D66" s="109">
        <f>COUNTIF(K17:K63,"BAJA")</f>
        <v>0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135</v>
      </c>
      <c r="C67" s="63"/>
      <c r="D67" s="66">
        <f>D65-D66</f>
        <v>47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136</v>
      </c>
      <c r="C68" s="63"/>
      <c r="D68" s="66">
        <f>COUNTIF(K17:K63,"&gt;=6")</f>
        <v>44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137</v>
      </c>
      <c r="C69" s="63"/>
      <c r="D69" s="66">
        <f>D67-D68</f>
        <v>3</v>
      </c>
      <c r="E69" s="55"/>
      <c r="F69" s="55"/>
      <c r="G69" s="67"/>
      <c r="H69" s="55"/>
      <c r="I69" s="67"/>
      <c r="J69" s="67"/>
      <c r="K69" s="68"/>
      <c r="L69" s="69"/>
      <c r="M69" s="54"/>
      <c r="N69" s="1"/>
      <c r="O69" s="1"/>
      <c r="P69" s="2"/>
      <c r="Q69" s="2"/>
      <c r="R69" s="2"/>
    </row>
    <row r="70" ht="36.0" customHeight="1">
      <c r="A70" s="1"/>
      <c r="B70" s="62" t="s">
        <v>138</v>
      </c>
      <c r="C70" s="63"/>
      <c r="D70" s="65">
        <f>D68*100/D67</f>
        <v>93.61702128</v>
      </c>
      <c r="E70" s="55"/>
      <c r="F70" s="55"/>
      <c r="G70" s="70" t="s">
        <v>139</v>
      </c>
      <c r="H70" s="55"/>
      <c r="I70" s="71" t="s">
        <v>396</v>
      </c>
      <c r="K70" s="72" t="s">
        <v>141</v>
      </c>
      <c r="L70" s="73" t="s">
        <v>142</v>
      </c>
      <c r="M70" s="54"/>
      <c r="N70" s="1"/>
      <c r="O70" s="1"/>
      <c r="P70" s="2"/>
      <c r="Q70" s="2"/>
      <c r="R70" s="2"/>
    </row>
    <row r="71" ht="24.75" customHeight="1">
      <c r="A71" s="1"/>
      <c r="B71" s="74" t="s">
        <v>143</v>
      </c>
      <c r="C71" s="75"/>
      <c r="D71" s="76">
        <f>AVERAGE(K17:K63)</f>
        <v>9.108695652</v>
      </c>
      <c r="E71" s="55"/>
      <c r="F71" s="55"/>
      <c r="H71" s="55"/>
      <c r="L71" s="9"/>
      <c r="M71" s="54"/>
      <c r="N71" s="1"/>
      <c r="O71" s="1"/>
      <c r="P71" s="2"/>
      <c r="Q71" s="2"/>
      <c r="R71" s="2"/>
    </row>
    <row r="72" ht="21.75" customHeight="1">
      <c r="A72" s="121"/>
      <c r="B72" s="111"/>
      <c r="C72" s="111"/>
      <c r="D72" s="84"/>
      <c r="E72" s="2"/>
      <c r="F72" s="2"/>
      <c r="G72" s="2"/>
      <c r="H72" s="2"/>
      <c r="I72" s="79"/>
      <c r="J72" s="79"/>
      <c r="K72" s="78"/>
      <c r="L72" s="127"/>
      <c r="M72" s="2"/>
      <c r="N72" s="2"/>
      <c r="O72" s="2"/>
      <c r="P72" s="2"/>
      <c r="Q72" s="2"/>
      <c r="R72" s="2"/>
    </row>
    <row r="73" ht="21.75" customHeight="1">
      <c r="A73" s="122"/>
      <c r="B73" s="123"/>
      <c r="C73" s="124"/>
      <c r="D73" s="124"/>
      <c r="E73" s="115"/>
      <c r="H73" s="115"/>
      <c r="I73" s="115"/>
      <c r="J73" s="115"/>
      <c r="K73" s="115"/>
      <c r="L73" s="101"/>
      <c r="M73" s="115"/>
      <c r="N73" s="2"/>
      <c r="O73" s="2"/>
      <c r="P73" s="2"/>
      <c r="Q73" s="2"/>
      <c r="R73" s="2"/>
    </row>
    <row r="74" ht="21.75" customHeight="1">
      <c r="A74" s="126"/>
      <c r="B74" s="115"/>
      <c r="C74" s="115"/>
      <c r="D74" s="115"/>
      <c r="E74" s="115"/>
      <c r="F74" s="115"/>
      <c r="G74" s="2"/>
      <c r="H74" s="2"/>
      <c r="I74" s="2"/>
      <c r="J74" s="2"/>
      <c r="K74" s="2"/>
      <c r="L74" s="127"/>
      <c r="M74" s="2"/>
      <c r="N74" s="2"/>
      <c r="O74" s="2"/>
      <c r="P74" s="2"/>
      <c r="Q74" s="2"/>
      <c r="R74" s="2"/>
    </row>
    <row r="75" ht="21.75" customHeight="1">
      <c r="A75" s="126"/>
      <c r="B75" s="115"/>
      <c r="C75" s="115"/>
      <c r="D75" s="100"/>
      <c r="E75" s="115"/>
      <c r="F75" s="115"/>
      <c r="G75" s="2"/>
      <c r="H75" s="2"/>
      <c r="I75" s="2"/>
      <c r="J75" s="2"/>
      <c r="K75" s="2"/>
      <c r="L75" s="80"/>
      <c r="M75" s="2"/>
      <c r="N75" s="2"/>
      <c r="O75" s="2"/>
      <c r="P75" s="2"/>
      <c r="Q75" s="2"/>
      <c r="R75" s="2"/>
    </row>
    <row r="76" ht="21.75" customHeight="1">
      <c r="A76" s="128"/>
      <c r="B76" s="129"/>
      <c r="C76" s="129"/>
      <c r="D76" s="105"/>
      <c r="E76" s="129"/>
      <c r="F76" s="129"/>
      <c r="G76" s="130"/>
      <c r="H76" s="130"/>
      <c r="I76" s="130"/>
      <c r="J76" s="130"/>
      <c r="K76" s="130"/>
      <c r="L76" s="112"/>
      <c r="M76" s="2"/>
      <c r="N76" s="2"/>
      <c r="O76" s="2"/>
      <c r="P76" s="2"/>
      <c r="Q76" s="2"/>
      <c r="R76" s="2"/>
    </row>
    <row r="77" ht="27.75" customHeight="1">
      <c r="A77" s="113"/>
      <c r="B77" s="115"/>
      <c r="C77" s="115"/>
      <c r="D77" s="100"/>
      <c r="E77" s="115"/>
      <c r="F77" s="115"/>
      <c r="G77" s="111"/>
      <c r="H77" s="2"/>
      <c r="I77" s="111"/>
      <c r="J77" s="111"/>
      <c r="K77" s="131"/>
      <c r="L77" s="91"/>
      <c r="M77" s="92"/>
      <c r="N77" s="2"/>
      <c r="O77" s="2"/>
      <c r="P77" s="2"/>
      <c r="Q77" s="2"/>
      <c r="R77" s="2"/>
    </row>
    <row r="78" ht="21.75" customHeight="1">
      <c r="A78" s="113"/>
      <c r="B78" s="114"/>
      <c r="C78" s="114"/>
      <c r="D78" s="103"/>
      <c r="E78" s="115"/>
      <c r="F78" s="115"/>
      <c r="G78" s="111"/>
      <c r="H78" s="2"/>
      <c r="I78" s="111"/>
      <c r="J78" s="111"/>
      <c r="K78" s="131"/>
      <c r="L78" s="131"/>
      <c r="M78" s="9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K17:K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