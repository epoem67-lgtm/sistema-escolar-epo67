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ciencias sociales ii" sheetId="1" r:id="rId5"/>
  </sheets>
  <definedNames/>
  <calcPr/>
</workbook>
</file>

<file path=xl/sharedStrings.xml><?xml version="1.0" encoding="utf-8"?>
<sst xmlns="http://schemas.openxmlformats.org/spreadsheetml/2006/main" count="152" uniqueCount="137">
  <si>
    <t>ESCUELA PREPARATORIA OFICIAL NÚM. 67</t>
  </si>
  <si>
    <t xml:space="preserve">CONTROL PRIMER PARCIAL </t>
  </si>
  <si>
    <t xml:space="preserve">PROFESOR (A): </t>
  </si>
  <si>
    <t>CLAUDIA MELENDEZ ABAD</t>
  </si>
  <si>
    <t>I</t>
  </si>
  <si>
    <t>II</t>
  </si>
  <si>
    <t>III</t>
  </si>
  <si>
    <t>PUNTAJE EXTRA</t>
  </si>
  <si>
    <t>SEGUNDO SEMESTRE
VESPERTINO</t>
  </si>
  <si>
    <t>UAC</t>
  </si>
  <si>
    <t>CIENCIAS SOCIALES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</si>
  <si>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</si>
  <si>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</si>
  <si>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</si>
  <si>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</si>
  <si>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</si>
  <si>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</si>
  <si>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</si>
  <si>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</si>
  <si>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</si>
  <si>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</si>
  <si>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</si>
  <si>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</si>
  <si>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ALBA</t>
  </si>
  <si>
    <t>GOMEZ</t>
  </si>
  <si>
    <t>ALLISON NAOMI</t>
  </si>
  <si>
    <t>HORAS IMPARTIDAS</t>
  </si>
  <si>
    <t>ARIAS</t>
  </si>
  <si>
    <t>LOPEZ</t>
  </si>
  <si>
    <t>ALONDRA</t>
  </si>
  <si>
    <t>Febrero</t>
  </si>
  <si>
    <t>BOCHE</t>
  </si>
  <si>
    <t>ALCALA</t>
  </si>
  <si>
    <t>ANGELICA</t>
  </si>
  <si>
    <t>Marzo</t>
  </si>
  <si>
    <t>BRAVO</t>
  </si>
  <si>
    <t>VALENTIN</t>
  </si>
  <si>
    <t>MARCO ANTONIO</t>
  </si>
  <si>
    <t>Abril</t>
  </si>
  <si>
    <t>CACIQUE</t>
  </si>
  <si>
    <t>HIDALGO</t>
  </si>
  <si>
    <t>PAMELA JAQUELINE</t>
  </si>
  <si>
    <t>Mayo</t>
  </si>
  <si>
    <t>CRUZ</t>
  </si>
  <si>
    <t>GAMEZ</t>
  </si>
  <si>
    <t xml:space="preserve">XIMENA SARAHI </t>
  </si>
  <si>
    <t>Junio</t>
  </si>
  <si>
    <t>ROLDAN</t>
  </si>
  <si>
    <t>LUIS ANGEL</t>
  </si>
  <si>
    <t>Julio</t>
  </si>
  <si>
    <t>DIAZ</t>
  </si>
  <si>
    <t>CONTRERAS</t>
  </si>
  <si>
    <t>ERICK ALEJANDRO</t>
  </si>
  <si>
    <t>TOTAL</t>
  </si>
  <si>
    <t>ESPINOSA</t>
  </si>
  <si>
    <t>SANDOVAL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</si>
  <si>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</si>
  <si>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</si>
  <si>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</si>
  <si>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</si>
  <si>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</si>
  <si>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</si>
  <si>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</si>
  <si>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</si>
  <si>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</si>
  <si>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</si>
  <si>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GONZALEZ</t>
  </si>
  <si>
    <t>KAREN DANNAE</t>
  </si>
  <si>
    <t>GARCIA</t>
  </si>
  <si>
    <t>YURITZY YOLOTZIN</t>
  </si>
  <si>
    <t>GUZMAN</t>
  </si>
  <si>
    <t>BARCENAS</t>
  </si>
  <si>
    <t>EVAN ALEJANDRO</t>
  </si>
  <si>
    <t>HERNANDEZ</t>
  </si>
  <si>
    <t>SANCHEZ</t>
  </si>
  <si>
    <t>ALONDRA NICOLE</t>
  </si>
  <si>
    <t>VELAZQUEZ</t>
  </si>
  <si>
    <t>SANTIAGO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</si>
  <si>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</si>
  <si>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</si>
  <si>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</si>
  <si>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</si>
  <si>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</si>
  <si>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</si>
  <si>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</si>
  <si>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</si>
  <si>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MARTINEZ</t>
  </si>
  <si>
    <t>NAOMI ESMERALDA</t>
  </si>
  <si>
    <t xml:space="preserve">MEJIA </t>
  </si>
  <si>
    <t>ROCHA</t>
  </si>
  <si>
    <t>YAHEL ALEJANDRO</t>
  </si>
  <si>
    <t>MENDOZA</t>
  </si>
  <si>
    <t>SUAREZ</t>
  </si>
  <si>
    <t>ARTURO SAID</t>
  </si>
  <si>
    <t>MILLAN</t>
  </si>
  <si>
    <t>LEAL</t>
  </si>
  <si>
    <t>AJAY JARED</t>
  </si>
  <si>
    <t>NORIEGA</t>
  </si>
  <si>
    <t>AVILA</t>
  </si>
  <si>
    <t>JOEL ADRIAN</t>
  </si>
  <si>
    <t>OLVERA</t>
  </si>
  <si>
    <t>MACIAS</t>
  </si>
  <si>
    <t>KARIME VALERIA</t>
  </si>
  <si>
    <t>PEREZ</t>
  </si>
  <si>
    <t>CABRERA</t>
  </si>
  <si>
    <t>JONATHAN URIEL</t>
  </si>
  <si>
    <t>DE LA O</t>
  </si>
  <si>
    <t xml:space="preserve">XIMENA </t>
  </si>
  <si>
    <t>LABASTIDA</t>
  </si>
  <si>
    <t>JORGE ALBERTO</t>
  </si>
  <si>
    <t>REYES</t>
  </si>
  <si>
    <t>EVELIN MONSERRAT</t>
  </si>
  <si>
    <t>RIVAS</t>
  </si>
  <si>
    <t>BORBON</t>
  </si>
  <si>
    <t>ISACK ANGEL</t>
  </si>
  <si>
    <t>CORTES</t>
  </si>
  <si>
    <t>MARIA JOSE</t>
  </si>
  <si>
    <t xml:space="preserve">SANTILLAN </t>
  </si>
  <si>
    <t>JADE AZUL</t>
  </si>
  <si>
    <t>TORRES</t>
  </si>
  <si>
    <t>VILLALBA</t>
  </si>
  <si>
    <t>ARY SANTIAGO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</si>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</sst>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2" xfId="0" applyFont="1" applyNumberFormat="1"/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60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60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5.0</v>
      </c>
      <c r="F17" s="47">
        <v>2.4</v>
      </c>
      <c r="G17" s="47">
        <v>1.6</v>
      </c>
      <c r="H17" s="47">
        <v>1.0</v>
      </c>
      <c r="I17" s="48">
        <f t="shared" ref="I17:I51" si="1">SUM(E17:H17)</f>
        <v>10</v>
      </c>
      <c r="J17" s="49">
        <v>0.0</v>
      </c>
      <c r="K17" s="50">
        <f t="shared" ref="K17:K51" si="2">IF(I17&lt;6, 5, MIN(ROUND(I17, 0), 10))</f>
        <v>10</v>
      </c>
      <c r="L17" s="45"/>
      <c r="M17" s="51">
        <f t="shared" ref="M17:M51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4.0</v>
      </c>
      <c r="F18" s="47">
        <v>2.2</v>
      </c>
      <c r="G18" s="47">
        <v>2.0</v>
      </c>
      <c r="H18" s="48"/>
      <c r="I18" s="48">
        <f t="shared" si="1"/>
        <v>8.2</v>
      </c>
      <c r="J18" s="49">
        <v>0.0</v>
      </c>
      <c r="K18" s="50">
        <f t="shared" si="2"/>
        <v>8</v>
      </c>
      <c r="L18" s="44"/>
      <c r="M18" s="51">
        <f t="shared" si="3"/>
        <v>8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5.0</v>
      </c>
      <c r="F19" s="47">
        <v>2.2</v>
      </c>
      <c r="G19" s="47">
        <v>1.8</v>
      </c>
      <c r="H19" s="48"/>
      <c r="I19" s="48">
        <f t="shared" si="1"/>
        <v>9</v>
      </c>
      <c r="J19" s="49">
        <v>0.0</v>
      </c>
      <c r="K19" s="50">
        <f t="shared" si="2"/>
        <v>9</v>
      </c>
      <c r="L19" s="44"/>
      <c r="M19" s="51">
        <f t="shared" si="3"/>
        <v>9</v>
      </c>
      <c r="N19" s="53" t="s">
        <v>34</v>
      </c>
      <c r="O19" s="49">
        <v>6.0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4.0</v>
      </c>
      <c r="F20" s="47">
        <v>1.8</v>
      </c>
      <c r="G20" s="47">
        <v>2.0</v>
      </c>
      <c r="H20" s="48"/>
      <c r="I20" s="48">
        <f t="shared" si="1"/>
        <v>7.8</v>
      </c>
      <c r="J20" s="49">
        <v>0.0</v>
      </c>
      <c r="K20" s="50">
        <f t="shared" si="2"/>
        <v>8</v>
      </c>
      <c r="L20" s="44"/>
      <c r="M20" s="51">
        <f t="shared" si="3"/>
        <v>8</v>
      </c>
      <c r="N20" s="53" t="s">
        <v>38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4.0</v>
      </c>
      <c r="F21" s="47">
        <v>2.4</v>
      </c>
      <c r="G21" s="47">
        <v>2.0</v>
      </c>
      <c r="H21" s="48"/>
      <c r="I21" s="48">
        <f t="shared" si="1"/>
        <v>8.4</v>
      </c>
      <c r="J21" s="49">
        <v>0.0</v>
      </c>
      <c r="K21" s="50">
        <f t="shared" si="2"/>
        <v>8</v>
      </c>
      <c r="L21" s="44"/>
      <c r="M21" s="51">
        <f t="shared" si="3"/>
        <v>8</v>
      </c>
      <c r="N21" s="53" t="s">
        <v>42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4.0</v>
      </c>
      <c r="F22" s="47">
        <v>2.4</v>
      </c>
      <c r="G22" s="47">
        <v>1.6</v>
      </c>
      <c r="H22" s="47">
        <v>1.0</v>
      </c>
      <c r="I22" s="48">
        <f t="shared" si="1"/>
        <v>9</v>
      </c>
      <c r="J22" s="49">
        <v>0.0</v>
      </c>
      <c r="K22" s="50">
        <f t="shared" si="2"/>
        <v>9</v>
      </c>
      <c r="L22" s="44"/>
      <c r="M22" s="51">
        <f t="shared" si="3"/>
        <v>9</v>
      </c>
      <c r="N22" s="53" t="s">
        <v>46</v>
      </c>
      <c r="O22" s="49">
        <v>10.0</v>
      </c>
      <c r="P22" s="2"/>
      <c r="Q22" s="2"/>
      <c r="R22" s="2"/>
    </row>
    <row r="23" ht="24.75" customHeight="1">
      <c r="A23" s="44">
        <v>7.0</v>
      </c>
      <c r="B23" s="45" t="s">
        <v>43</v>
      </c>
      <c r="C23" s="45" t="s">
        <v>47</v>
      </c>
      <c r="D23" s="46" t="s">
        <v>48</v>
      </c>
      <c r="E23" s="47">
        <v>3.0</v>
      </c>
      <c r="F23" s="47">
        <v>2.4</v>
      </c>
      <c r="G23" s="47">
        <v>1.8</v>
      </c>
      <c r="H23" s="48"/>
      <c r="I23" s="48">
        <f t="shared" si="1"/>
        <v>7.2</v>
      </c>
      <c r="J23" s="49">
        <v>0.0</v>
      </c>
      <c r="K23" s="50">
        <f t="shared" si="2"/>
        <v>7</v>
      </c>
      <c r="L23" s="44"/>
      <c r="M23" s="51">
        <f t="shared" si="3"/>
        <v>7</v>
      </c>
      <c r="N23" s="53" t="s">
        <v>49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50</v>
      </c>
      <c r="C24" s="45" t="s">
        <v>51</v>
      </c>
      <c r="D24" s="46" t="s">
        <v>52</v>
      </c>
      <c r="E24" s="47">
        <v>3.0</v>
      </c>
      <c r="F24" s="47">
        <v>2.0</v>
      </c>
      <c r="G24" s="47">
        <v>1.0</v>
      </c>
      <c r="H24" s="48"/>
      <c r="I24" s="48">
        <f t="shared" si="1"/>
        <v>6</v>
      </c>
      <c r="J24" s="49">
        <v>0.0</v>
      </c>
      <c r="K24" s="50">
        <f t="shared" si="2"/>
        <v>6</v>
      </c>
      <c r="L24" s="44"/>
      <c r="M24" s="51">
        <f t="shared" si="3"/>
        <v>6</v>
      </c>
      <c r="N24" s="53" t="s">
        <v>53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55</v>
      </c>
      <c r="D25" s="46" t="s">
        <v>56</v>
      </c>
      <c r="E25" s="47">
        <v>5.0</v>
      </c>
      <c r="F25" s="47">
        <v>2.0</v>
      </c>
      <c r="G25" s="47">
        <v>1.8</v>
      </c>
      <c r="H25" s="48"/>
      <c r="I25" s="48">
        <f t="shared" si="1"/>
        <v>8.8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57</v>
      </c>
      <c r="C26" s="45" t="s">
        <v>58</v>
      </c>
      <c r="D26" s="46" t="s">
        <v>59</v>
      </c>
      <c r="E26" s="47">
        <v>2.0</v>
      </c>
      <c r="F26" s="47">
        <v>2.4</v>
      </c>
      <c r="G26" s="47">
        <v>2.0</v>
      </c>
      <c r="H26" s="48"/>
      <c r="I26" s="48">
        <f t="shared" si="1"/>
        <v>6.4</v>
      </c>
      <c r="J26" s="49">
        <v>0.0</v>
      </c>
      <c r="K26" s="50">
        <f t="shared" si="2"/>
        <v>6</v>
      </c>
      <c r="L26" s="44"/>
      <c r="M26" s="51">
        <f t="shared" si="3"/>
        <v>6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60</v>
      </c>
      <c r="D27" s="45" t="s">
        <v>61</v>
      </c>
      <c r="E27" s="47">
        <v>3.0</v>
      </c>
      <c r="F27" s="47">
        <v>2.0</v>
      </c>
      <c r="G27" s="47">
        <v>1.0</v>
      </c>
      <c r="H27" s="48"/>
      <c r="I27" s="48">
        <f t="shared" si="1"/>
        <v>6</v>
      </c>
      <c r="J27" s="49">
        <v>0.0</v>
      </c>
      <c r="K27" s="50">
        <f t="shared" si="2"/>
        <v>6</v>
      </c>
      <c r="L27" s="44"/>
      <c r="M27" s="51">
        <f t="shared" si="3"/>
        <v>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62</v>
      </c>
      <c r="C28" s="45" t="s">
        <v>63</v>
      </c>
      <c r="D28" s="46" t="s">
        <v>64</v>
      </c>
      <c r="E28" s="47">
        <v>3.0</v>
      </c>
      <c r="F28" s="47">
        <v>2.0</v>
      </c>
      <c r="G28" s="47">
        <v>1.0</v>
      </c>
      <c r="H28" s="48"/>
      <c r="I28" s="48">
        <f t="shared" si="1"/>
        <v>6</v>
      </c>
      <c r="J28" s="49">
        <v>0.0</v>
      </c>
      <c r="K28" s="50">
        <f t="shared" si="2"/>
        <v>6</v>
      </c>
      <c r="L28" s="44"/>
      <c r="M28" s="51">
        <f t="shared" si="3"/>
        <v>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65</v>
      </c>
      <c r="C29" s="45" t="s">
        <v>66</v>
      </c>
      <c r="D29" s="46" t="s">
        <v>67</v>
      </c>
      <c r="E29" s="47">
        <v>5.0</v>
      </c>
      <c r="F29" s="47">
        <v>1.6</v>
      </c>
      <c r="G29" s="47">
        <v>1.6</v>
      </c>
      <c r="H29" s="47">
        <v>1.0</v>
      </c>
      <c r="I29" s="48">
        <f t="shared" si="1"/>
        <v>9.2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68</v>
      </c>
      <c r="D30" s="46" t="s">
        <v>69</v>
      </c>
      <c r="E30" s="47">
        <v>5.0</v>
      </c>
      <c r="F30" s="47">
        <v>3.0</v>
      </c>
      <c r="G30" s="47">
        <v>1.5</v>
      </c>
      <c r="H30" s="47"/>
      <c r="I30" s="48">
        <f t="shared" si="1"/>
        <v>9.5</v>
      </c>
      <c r="J30" s="49">
        <v>0.0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70</v>
      </c>
      <c r="C31" s="45" t="s">
        <v>71</v>
      </c>
      <c r="D31" s="46" t="s">
        <v>72</v>
      </c>
      <c r="E31" s="47">
        <v>2.0</v>
      </c>
      <c r="F31" s="47">
        <v>2.4</v>
      </c>
      <c r="G31" s="47">
        <v>1.6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5.0</v>
      </c>
      <c r="F32" s="47">
        <v>2.4</v>
      </c>
      <c r="G32" s="47">
        <v>1.8</v>
      </c>
      <c r="H32" s="48"/>
      <c r="I32" s="48">
        <f t="shared" si="1"/>
        <v>9.2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76</v>
      </c>
      <c r="D33" s="46" t="s">
        <v>77</v>
      </c>
      <c r="E33" s="47">
        <v>0.0</v>
      </c>
      <c r="F33" s="47">
        <v>0.4</v>
      </c>
      <c r="G33" s="47">
        <v>1.5</v>
      </c>
      <c r="H33" s="48"/>
      <c r="I33" s="48">
        <f t="shared" si="1"/>
        <v>1.9</v>
      </c>
      <c r="J33" s="49">
        <v>0.0</v>
      </c>
      <c r="K33" s="50">
        <f t="shared" si="2"/>
        <v>5</v>
      </c>
      <c r="L33" s="44"/>
      <c r="M33" s="51">
        <f t="shared" si="3"/>
        <v>1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78</v>
      </c>
      <c r="C34" s="45" t="s">
        <v>79</v>
      </c>
      <c r="D34" s="46" t="s">
        <v>80</v>
      </c>
      <c r="E34" s="47">
        <v>5.0</v>
      </c>
      <c r="F34" s="47">
        <v>3.0</v>
      </c>
      <c r="G34" s="47">
        <v>1.6</v>
      </c>
      <c r="H34" s="47"/>
      <c r="I34" s="48">
        <f t="shared" si="1"/>
        <v>9.6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81</v>
      </c>
      <c r="D35" s="46" t="s">
        <v>82</v>
      </c>
      <c r="E35" s="47">
        <v>4.0</v>
      </c>
      <c r="F35" s="47">
        <v>1.6</v>
      </c>
      <c r="G35" s="47">
        <v>1.5</v>
      </c>
      <c r="H35" s="47">
        <v>1.0</v>
      </c>
      <c r="I35" s="48">
        <f t="shared" si="1"/>
        <v>8.1</v>
      </c>
      <c r="J35" s="49">
        <v>0.0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83</v>
      </c>
      <c r="C36" s="45" t="s">
        <v>84</v>
      </c>
      <c r="D36" s="46" t="s">
        <v>85</v>
      </c>
      <c r="E36" s="47">
        <v>2.0</v>
      </c>
      <c r="F36" s="47">
        <v>2.2</v>
      </c>
      <c r="G36" s="47">
        <v>1.8</v>
      </c>
      <c r="H36" s="47">
        <v>1.0</v>
      </c>
      <c r="I36" s="48">
        <f t="shared" si="1"/>
        <v>7</v>
      </c>
      <c r="J36" s="49">
        <v>0.0</v>
      </c>
      <c r="K36" s="50">
        <f t="shared" si="2"/>
        <v>7</v>
      </c>
      <c r="L36" s="44"/>
      <c r="M36" s="51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86</v>
      </c>
      <c r="C37" s="45" t="s">
        <v>28</v>
      </c>
      <c r="D37" s="46" t="s">
        <v>87</v>
      </c>
      <c r="E37" s="47">
        <v>5.0</v>
      </c>
      <c r="F37" s="47">
        <v>2.6</v>
      </c>
      <c r="G37" s="47">
        <v>2.0</v>
      </c>
      <c r="H37" s="47"/>
      <c r="I37" s="48">
        <f t="shared" si="1"/>
        <v>9.6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88</v>
      </c>
      <c r="C38" s="45" t="s">
        <v>89</v>
      </c>
      <c r="D38" s="46" t="s">
        <v>90</v>
      </c>
      <c r="E38" s="47">
        <v>2.4</v>
      </c>
      <c r="F38" s="47">
        <v>1.8</v>
      </c>
      <c r="G38" s="47">
        <v>1.8</v>
      </c>
      <c r="H38" s="48"/>
      <c r="I38" s="48">
        <f t="shared" si="1"/>
        <v>6</v>
      </c>
      <c r="J38" s="49">
        <v>0.0</v>
      </c>
      <c r="K38" s="50">
        <f t="shared" si="2"/>
        <v>6</v>
      </c>
      <c r="L38" s="44"/>
      <c r="M38" s="51">
        <f t="shared" si="3"/>
        <v>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91</v>
      </c>
      <c r="C39" s="45" t="s">
        <v>92</v>
      </c>
      <c r="D39" s="46" t="s">
        <v>93</v>
      </c>
      <c r="E39" s="47">
        <v>2.0</v>
      </c>
      <c r="F39" s="47">
        <v>0.0</v>
      </c>
      <c r="G39" s="47">
        <v>2.0</v>
      </c>
      <c r="H39" s="48"/>
      <c r="I39" s="48">
        <f t="shared" si="1"/>
        <v>4</v>
      </c>
      <c r="J39" s="49">
        <v>1.0</v>
      </c>
      <c r="K39" s="50">
        <f t="shared" si="2"/>
        <v>5</v>
      </c>
      <c r="L39" s="44"/>
      <c r="M39" s="51">
        <f t="shared" si="3"/>
        <v>4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94</v>
      </c>
      <c r="C40" s="45" t="s">
        <v>95</v>
      </c>
      <c r="D40" s="46" t="s">
        <v>96</v>
      </c>
      <c r="E40" s="47">
        <v>1.8</v>
      </c>
      <c r="F40" s="47">
        <v>2.4</v>
      </c>
      <c r="G40" s="47">
        <v>1.8</v>
      </c>
      <c r="H40" s="48"/>
      <c r="I40" s="48">
        <f t="shared" si="1"/>
        <v>6</v>
      </c>
      <c r="J40" s="49">
        <v>0.0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97</v>
      </c>
      <c r="C41" s="45" t="s">
        <v>98</v>
      </c>
      <c r="D41" s="46" t="s">
        <v>99</v>
      </c>
      <c r="E41" s="47">
        <v>2.0</v>
      </c>
      <c r="F41" s="47">
        <v>2.8</v>
      </c>
      <c r="G41" s="47">
        <v>1.8</v>
      </c>
      <c r="H41" s="47">
        <v>1.0</v>
      </c>
      <c r="I41" s="48">
        <f t="shared" si="1"/>
        <v>7.6</v>
      </c>
      <c r="J41" s="49">
        <v>0.0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100</v>
      </c>
      <c r="C42" s="45" t="s">
        <v>101</v>
      </c>
      <c r="D42" s="46" t="s">
        <v>102</v>
      </c>
      <c r="E42" s="47">
        <v>4.0</v>
      </c>
      <c r="F42" s="47">
        <v>2.0</v>
      </c>
      <c r="G42" s="47">
        <v>2.0</v>
      </c>
      <c r="H42" s="48"/>
      <c r="I42" s="48">
        <f t="shared" si="1"/>
        <v>8</v>
      </c>
      <c r="J42" s="49">
        <v>0.0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103</v>
      </c>
      <c r="C43" s="45" t="s">
        <v>104</v>
      </c>
      <c r="D43" s="46" t="s">
        <v>105</v>
      </c>
      <c r="E43" s="47">
        <v>2.0</v>
      </c>
      <c r="F43" s="47">
        <v>2.3</v>
      </c>
      <c r="G43" s="47">
        <v>1.8</v>
      </c>
      <c r="H43" s="48"/>
      <c r="I43" s="48">
        <f t="shared" si="1"/>
        <v>6.1</v>
      </c>
      <c r="J43" s="49">
        <v>0.0</v>
      </c>
      <c r="K43" s="50">
        <f t="shared" si="2"/>
        <v>6</v>
      </c>
      <c r="L43" s="44"/>
      <c r="M43" s="51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103</v>
      </c>
      <c r="C44" s="45" t="s">
        <v>106</v>
      </c>
      <c r="D44" s="46" t="s">
        <v>107</v>
      </c>
      <c r="E44" s="47">
        <v>5.0</v>
      </c>
      <c r="F44" s="47">
        <v>3.0</v>
      </c>
      <c r="G44" s="47">
        <v>1.5</v>
      </c>
      <c r="H44" s="47"/>
      <c r="I44" s="48">
        <f t="shared" si="1"/>
        <v>9.5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108</v>
      </c>
      <c r="D45" s="46" t="s">
        <v>109</v>
      </c>
      <c r="E45" s="47">
        <v>3.0</v>
      </c>
      <c r="F45" s="47">
        <v>2.8</v>
      </c>
      <c r="G45" s="47">
        <v>2.0</v>
      </c>
      <c r="H45" s="47">
        <v>1.0</v>
      </c>
      <c r="I45" s="48">
        <f t="shared" si="1"/>
        <v>8.8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110</v>
      </c>
      <c r="C46" s="45" t="s">
        <v>73</v>
      </c>
      <c r="D46" s="46" t="s">
        <v>111</v>
      </c>
      <c r="E46" s="47">
        <v>5.0</v>
      </c>
      <c r="F46" s="47">
        <v>2.2</v>
      </c>
      <c r="G46" s="47">
        <v>2.0</v>
      </c>
      <c r="H46" s="48"/>
      <c r="I46" s="48">
        <f t="shared" si="1"/>
        <v>9.2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112</v>
      </c>
      <c r="C47" s="45" t="s">
        <v>113</v>
      </c>
      <c r="D47" s="46" t="s">
        <v>114</v>
      </c>
      <c r="E47" s="47">
        <v>2.0</v>
      </c>
      <c r="F47" s="47">
        <v>3.0</v>
      </c>
      <c r="G47" s="47">
        <v>1.8</v>
      </c>
      <c r="H47" s="48"/>
      <c r="I47" s="48">
        <f t="shared" si="1"/>
        <v>6.8</v>
      </c>
      <c r="J47" s="49">
        <v>0.0</v>
      </c>
      <c r="K47" s="50">
        <f t="shared" si="2"/>
        <v>7</v>
      </c>
      <c r="L47" s="44"/>
      <c r="M47" s="51">
        <f t="shared" si="3"/>
        <v>7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74</v>
      </c>
      <c r="C48" s="45" t="s">
        <v>115</v>
      </c>
      <c r="D48" s="46" t="s">
        <v>116</v>
      </c>
      <c r="E48" s="47">
        <v>2.5</v>
      </c>
      <c r="F48" s="47">
        <v>0.0</v>
      </c>
      <c r="G48" s="47">
        <v>1.5</v>
      </c>
      <c r="H48" s="48"/>
      <c r="I48" s="48">
        <f t="shared" si="1"/>
        <v>4</v>
      </c>
      <c r="J48" s="49">
        <v>0.0</v>
      </c>
      <c r="K48" s="50">
        <f t="shared" si="2"/>
        <v>5</v>
      </c>
      <c r="L48" s="44"/>
      <c r="M48" s="51">
        <f t="shared" si="3"/>
        <v>4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117</v>
      </c>
      <c r="C49" s="45" t="s">
        <v>103</v>
      </c>
      <c r="D49" s="46" t="s">
        <v>48</v>
      </c>
      <c r="E49" s="47">
        <v>2.0</v>
      </c>
      <c r="F49" s="47">
        <v>0.0</v>
      </c>
      <c r="G49" s="47">
        <v>1.0</v>
      </c>
      <c r="H49" s="48"/>
      <c r="I49" s="48">
        <f t="shared" si="1"/>
        <v>3</v>
      </c>
      <c r="J49" s="49">
        <v>1.0</v>
      </c>
      <c r="K49" s="50">
        <f t="shared" si="2"/>
        <v>5</v>
      </c>
      <c r="L49" s="44"/>
      <c r="M49" s="51">
        <f t="shared" si="3"/>
        <v>3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92</v>
      </c>
      <c r="C50" s="45" t="s">
        <v>68</v>
      </c>
      <c r="D50" s="46" t="s">
        <v>118</v>
      </c>
      <c r="E50" s="47">
        <v>5.0</v>
      </c>
      <c r="F50" s="47">
        <v>2.0</v>
      </c>
      <c r="G50" s="47">
        <v>2.0</v>
      </c>
      <c r="H50" s="47">
        <v>1.0</v>
      </c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119</v>
      </c>
      <c r="C51" s="45" t="s">
        <v>120</v>
      </c>
      <c r="D51" s="46" t="s">
        <v>121</v>
      </c>
      <c r="E51" s="47">
        <v>2.0</v>
      </c>
      <c r="F51" s="47">
        <v>0.0</v>
      </c>
      <c r="G51" s="47">
        <v>2.0</v>
      </c>
      <c r="H51" s="47"/>
      <c r="I51" s="48">
        <f t="shared" si="1"/>
        <v>4</v>
      </c>
      <c r="J51" s="49">
        <v>0.0</v>
      </c>
      <c r="K51" s="50">
        <f t="shared" si="2"/>
        <v>5</v>
      </c>
      <c r="L51" s="44"/>
      <c r="M51" s="51">
        <f t="shared" si="3"/>
        <v>4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6"/>
      <c r="G52" s="56"/>
      <c r="H52" s="56"/>
      <c r="I52" s="56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7" t="s">
        <v>122</v>
      </c>
      <c r="C53" s="58"/>
      <c r="D53" s="59">
        <f>COUNT(A17:A51)</f>
        <v>35</v>
      </c>
      <c r="E53" s="56"/>
      <c r="F53" s="56"/>
      <c r="G53" s="60" t="s">
        <v>123</v>
      </c>
      <c r="H53" s="56"/>
      <c r="I53" s="60" t="s">
        <v>124</v>
      </c>
      <c r="K53" s="61" t="s">
        <v>125</v>
      </c>
      <c r="L53" s="62" t="s">
        <v>126</v>
      </c>
      <c r="M53" s="54"/>
      <c r="N53" s="1"/>
      <c r="O53" s="1"/>
      <c r="P53" s="2"/>
      <c r="Q53" s="2"/>
      <c r="R53" s="2"/>
    </row>
    <row r="54" ht="24.75" customHeight="1">
      <c r="A54" s="1"/>
      <c r="B54" s="63" t="s">
        <v>127</v>
      </c>
      <c r="C54" s="64"/>
      <c r="D54" s="65">
        <f>COUNTIF(K17:K51,"BAJA")</f>
        <v>0</v>
      </c>
      <c r="E54" s="56"/>
      <c r="F54" s="56"/>
      <c r="H54" s="56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3" t="s">
        <v>128</v>
      </c>
      <c r="C55" s="64"/>
      <c r="D55" s="66">
        <f>D53-D54</f>
        <v>35</v>
      </c>
      <c r="E55" s="56"/>
      <c r="F55" s="56"/>
      <c r="G55" s="56"/>
      <c r="H55" s="56"/>
      <c r="I55" s="56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3" t="s">
        <v>129</v>
      </c>
      <c r="C56" s="64"/>
      <c r="D56" s="67">
        <f>COUNTIF(K17:K51,"&gt;=6")</f>
        <v>30</v>
      </c>
      <c r="E56" s="56"/>
      <c r="F56" s="56"/>
      <c r="G56" s="56"/>
      <c r="H56" s="56"/>
      <c r="I56" s="56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3" t="s">
        <v>130</v>
      </c>
      <c r="C57" s="64"/>
      <c r="D57" s="67">
        <f>D55-D56</f>
        <v>5</v>
      </c>
      <c r="E57" s="56"/>
      <c r="F57" s="56"/>
      <c r="G57" s="68"/>
      <c r="H57" s="56"/>
      <c r="I57" s="68"/>
      <c r="J57" s="68"/>
      <c r="K57" s="69"/>
      <c r="L57" s="70"/>
      <c r="M57" s="54"/>
      <c r="N57" s="1"/>
      <c r="O57" s="1"/>
      <c r="P57" s="2"/>
      <c r="Q57" s="2"/>
      <c r="R57" s="2"/>
    </row>
    <row r="58" ht="24.75" customHeight="1">
      <c r="A58" s="1"/>
      <c r="B58" s="63" t="s">
        <v>131</v>
      </c>
      <c r="C58" s="64"/>
      <c r="D58" s="71">
        <f>D56*100/D55</f>
        <v>85.71428571</v>
      </c>
      <c r="E58" s="56"/>
      <c r="F58" s="56"/>
      <c r="G58" s="72" t="s">
        <v>132</v>
      </c>
      <c r="H58" s="56"/>
      <c r="I58" s="73" t="s">
        <v>133</v>
      </c>
      <c r="K58" s="74" t="s">
        <v>134</v>
      </c>
      <c r="L58" s="75" t="s">
        <v>135</v>
      </c>
      <c r="M58" s="54"/>
      <c r="N58" s="1"/>
      <c r="O58" s="1"/>
      <c r="P58" s="2"/>
      <c r="Q58" s="2"/>
      <c r="R58" s="2"/>
    </row>
    <row r="59" ht="24.75" customHeight="1">
      <c r="A59" s="1"/>
      <c r="B59" s="76" t="s">
        <v>136</v>
      </c>
      <c r="C59" s="77"/>
      <c r="D59" s="78">
        <f>AVERAGE(K17:K51)</f>
        <v>7.571428571</v>
      </c>
      <c r="E59" s="56"/>
      <c r="F59" s="56"/>
      <c r="H59" s="56"/>
      <c r="L59" s="9"/>
      <c r="M59" s="54"/>
      <c r="N59" s="1"/>
      <c r="O59" s="1"/>
      <c r="P59" s="2"/>
      <c r="Q59" s="2"/>
      <c r="R59" s="2"/>
    </row>
    <row r="60" ht="24.75" customHeight="1">
      <c r="A60" s="79"/>
      <c r="B60" s="80"/>
      <c r="C60" s="80"/>
      <c r="D60" s="80"/>
      <c r="E60" s="81"/>
      <c r="F60" s="81"/>
      <c r="G60" s="81"/>
      <c r="H60" s="81"/>
      <c r="I60" s="81"/>
      <c r="J60" s="81"/>
      <c r="K60" s="80"/>
      <c r="L60" s="82"/>
      <c r="M60" s="80"/>
      <c r="N60" s="2"/>
      <c r="O60" s="2"/>
      <c r="P60" s="2"/>
      <c r="Q60" s="2"/>
      <c r="R60" s="2"/>
    </row>
    <row r="61" ht="24.75" customHeight="1">
      <c r="A61" s="83"/>
      <c r="B61" s="84"/>
      <c r="C61" s="85"/>
      <c r="D61" s="85"/>
      <c r="E61" s="86"/>
      <c r="H61" s="86"/>
      <c r="I61" s="86"/>
      <c r="J61" s="86"/>
      <c r="K61" s="87"/>
      <c r="L61" s="88"/>
      <c r="M61" s="87"/>
      <c r="N61" s="2"/>
      <c r="O61" s="2"/>
      <c r="P61" s="2"/>
      <c r="Q61" s="2"/>
      <c r="R61" s="2"/>
    </row>
    <row r="62" ht="24.75" customHeight="1">
      <c r="A62" s="89"/>
      <c r="B62" s="87"/>
      <c r="C62" s="87"/>
      <c r="D62" s="87"/>
      <c r="E62" s="86"/>
      <c r="F62" s="86"/>
      <c r="G62" s="81"/>
      <c r="H62" s="81"/>
      <c r="I62" s="81"/>
      <c r="J62" s="81"/>
      <c r="K62" s="80"/>
      <c r="L62" s="82"/>
      <c r="M62" s="80"/>
      <c r="N62" s="2"/>
      <c r="O62" s="2"/>
      <c r="P62" s="2"/>
      <c r="Q62" s="2"/>
      <c r="R62" s="2"/>
    </row>
    <row r="63" ht="24.75" customHeight="1">
      <c r="A63" s="89"/>
      <c r="B63" s="87"/>
      <c r="C63" s="87"/>
      <c r="D63" s="87"/>
      <c r="E63" s="86"/>
      <c r="F63" s="86"/>
      <c r="G63" s="81"/>
      <c r="H63" s="81"/>
      <c r="I63" s="81"/>
      <c r="J63" s="81"/>
      <c r="K63" s="80"/>
      <c r="L63" s="82"/>
      <c r="M63" s="80"/>
      <c r="N63" s="2"/>
      <c r="O63" s="2"/>
      <c r="P63" s="2"/>
      <c r="Q63" s="2"/>
      <c r="R63" s="2"/>
    </row>
    <row r="64" ht="24.75" customHeight="1">
      <c r="A64" s="90"/>
      <c r="B64" s="91"/>
      <c r="C64" s="91"/>
      <c r="D64" s="92"/>
      <c r="E64" s="93"/>
      <c r="F64" s="93"/>
      <c r="G64" s="94"/>
      <c r="H64" s="94"/>
      <c r="I64" s="94"/>
      <c r="J64" s="94"/>
      <c r="K64" s="95"/>
      <c r="L64" s="96"/>
      <c r="M64" s="80"/>
      <c r="N64" s="2"/>
      <c r="O64" s="2"/>
      <c r="P64" s="2"/>
      <c r="Q64" s="2"/>
      <c r="R64" s="2"/>
    </row>
    <row r="65" ht="24.75" customHeight="1">
      <c r="A65" s="2"/>
      <c r="B65" s="87"/>
      <c r="C65" s="87"/>
      <c r="D65" s="97"/>
      <c r="E65" s="86"/>
      <c r="F65" s="86"/>
      <c r="G65" s="81"/>
      <c r="H65" s="81"/>
      <c r="I65" s="81"/>
      <c r="J65" s="81"/>
      <c r="K65" s="98"/>
      <c r="L65" s="99"/>
      <c r="M65" s="98"/>
      <c r="N65" s="2"/>
      <c r="O65" s="2"/>
      <c r="P65" s="2"/>
      <c r="Q65" s="2"/>
      <c r="R65" s="2"/>
    </row>
    <row r="66" ht="24.75" customHeight="1">
      <c r="A66" s="2"/>
      <c r="B66" s="87"/>
      <c r="C66" s="87"/>
      <c r="D66" s="87"/>
      <c r="E66" s="86"/>
      <c r="F66" s="86"/>
      <c r="G66" s="81"/>
      <c r="H66" s="81"/>
      <c r="I66" s="81"/>
      <c r="J66" s="81"/>
      <c r="K66" s="98"/>
      <c r="L66" s="99"/>
      <c r="M66" s="98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1" priority="2" stopIfTrue="1" operator="equal">
      <formula>5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