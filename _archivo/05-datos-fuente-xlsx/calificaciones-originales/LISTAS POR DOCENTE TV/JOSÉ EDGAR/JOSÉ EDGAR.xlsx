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ingles ii" sheetId="1" r:id="rId5"/>
    <sheet state="visible" name="1-2 ingles ii" sheetId="2" r:id="rId6"/>
    <sheet state="visible" name="1-3 ingles ii" sheetId="3" r:id="rId7"/>
    <sheet state="visible" name="2-1 ingles iv" sheetId="4" r:id="rId8"/>
  </sheets>
  <definedNames/>
  <calcPr/>
</workbook>
</file>

<file path=xl/sharedStrings.xml><?xml version="1.0" encoding="utf-8"?>
<sst xmlns="http://schemas.openxmlformats.org/spreadsheetml/2006/main" count="662" uniqueCount="380">
  <si>
    <t>ESCUELA PREPARATORIA OFICIAL NÚM. 67</t>
  </si>
  <si>
    <t xml:space="preserve">CONTROL PRIMER PARCIAL </t>
  </si>
  <si>
    <t xml:space="preserve">PROFESOR (A): </t>
  </si>
  <si>
    <t>JOSE EDGAR SALAZAR ZUÑIGA</t>
  </si>
  <si>
    <t>I</t>
  </si>
  <si>
    <t>II</t>
  </si>
  <si>
    <t>III</t>
  </si>
  <si>
    <t>PUNTAJE EXTRA</t>
  </si>
  <si>
    <t>SEGUNDO SEMESTRE
VESPERTINO</t>
  </si>
  <si>
    <t>UAC</t>
  </si>
  <si>
    <t>INGLÉS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</si>
  <si>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</si>
  <si>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</si>
  <si>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</si>
  <si>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</si>
  <si>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</si>
  <si>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</si>
  <si>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</si>
  <si>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</si>
  <si>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</si>
  <si>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</si>
  <si>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</si>
  <si>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</si>
  <si>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</si>
  <si>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</si>
  <si>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</si>
  <si>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</si>
  <si>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</si>
  <si>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</si>
  <si>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</si>
  <si>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</si>
  <si>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</si>
  <si>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</si>
  <si>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</si>
  <si>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</si>
  <si>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</si>
  <si>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</si>
  <si>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</si>
  <si>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</si>
  <si>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</si>
  <si>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</si>
  <si>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</si>
  <si>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</si>
  <si>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</si>
  <si>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</si>
  <si>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</si>
  <si>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</si>
  <si>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</si>
  <si>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</si>
  <si>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</si>
  <si>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</si>
  <si>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</si>
  <si>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</si>
  <si>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</si>
  <si>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</si>
  <si>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</si>
  <si>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</si>
  <si>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</si>
  <si>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</si>
  <si>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</si>
  <si>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</si>
  <si>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</si>
  <si>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</si>
  <si>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</si>
  <si>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</si>
  <si>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</si>
  <si>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</si>
  <si>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</si>
  <si>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</si>
  <si>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</si>
  <si>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</si>
  <si>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</si>
  <si>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</si>
  <si>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</si>
  <si>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</si>
  <si>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</si>
  <si>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</si>
  <si>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</si>
  <si>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</si>
  <si>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</si>
  <si>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</si>
  <si>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</si>
  <si>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</si>
  <si>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</si>
  <si>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</si>
  <si>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</si>
  <si>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</si>
  <si>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</si>
  <si>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</si>
  <si>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</si>
  <si>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</si>
  <si>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</si>
  <si>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</si>
  <si>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</si>
  <si>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</si>
  <si>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</si>
  <si>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</si>
  <si>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</si>
  <si>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</si>
  <si>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</si>
  <si>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</si>
  <si>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</si>
  <si>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</si>
  <si>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</si>
  <si>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</si>
  <si>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</si>
  <si>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</si>
  <si>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</si>
  <si>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</si>
  <si>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</si>
  <si>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</si>
  <si>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</si>
  <si>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</si>
  <si>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</si>
  <si>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</si>
  <si>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</si>
  <si>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</si>
  <si>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</si>
  <si>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</si>
  <si>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</si>
  <si>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</si>
  <si>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</si>
  <si>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</si>
  <si>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</si>
  <si>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</si>
  <si>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</si>
  <si>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</si>
  <si>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</si>
  <si>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</si>
  <si>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</si>
  <si>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</si>
  <si>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</si>
  <si>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</si>
  <si>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</si>
  <si>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</si>
  <si>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</si>
  <si>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</si>
  <si>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</si>
  <si>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</si>
  <si>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</si>
  <si>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</si>
  <si>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</si>
  <si>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</si>
  <si>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</si>
  <si>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</si>
  <si>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</si>
  <si>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</si>
  <si>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</si>
  <si>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</si>
  <si>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</si>
  <si>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</si>
  <si>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</si>
  <si>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</si>
  <si>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</si>
  <si>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</si>
  <si>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</si>
  <si>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</si>
  <si>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</si>
  <si>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</si>
  <si>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</si>
  <si>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</si>
  <si>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</si>
  <si>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</si>
  <si>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</si>
  <si>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</si>
  <si>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</si>
  <si>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</si>
  <si>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</si>
  <si>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</si>
  <si>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</si>
  <si>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</si>
  <si>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</si>
  <si>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</si>
  <si>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</si>
  <si>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</si>
  <si>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</si>
  <si>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</si>
  <si>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</si>
  <si>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</si>
  <si>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</si>
  <si>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</si>
  <si>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</si>
  <si>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</si>
  <si>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</si>
  <si>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</si>
  <si>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</si>
  <si>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</si>
  <si>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</si>
  <si>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</si>
  <si>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</si>
  <si>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</si>
  <si>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</si>
  <si>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</si>
  <si>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</si>
  <si>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</si>
  <si>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</si>
  <si>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</si>
  <si>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</si>
  <si>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</si>
  <si>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</si>
  <si>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</si>
  <si>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</si>
  <si>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</si>
  <si>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</si>
  <si>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</si>
  <si>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</si>
  <si>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</si>
  <si>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</si>
  <si>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</si>
  <si>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</si>
  <si>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</si>
  <si>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</si>
  <si>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</si>
  <si>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</si>
  <si>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</si>
  <si>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</si>
  <si>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</si>
  <si>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</si>
  <si>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</si>
  <si>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</si>
  <si>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</si>
  <si>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</si>
  <si>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</si>
  <si>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</si>
  <si>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</si>
  <si>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</si>
  <si>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</si>
  <si>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</si>
  <si>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</si>
  <si>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</si>
  <si>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</si>
  <si>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</si>
  <si>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</si>
  <si>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</si>
  <si>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</si>
  <si>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</si>
  <si>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</si>
  <si>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</si>
  <si>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</si>
  <si>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</si>
  <si>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</si>
  <si>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</si>
  <si>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</si>
  <si>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</si>
  <si>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</si>
  <si>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</si>
  <si>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</si>
  <si>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</si>
  <si>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</si>
  <si>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</si>
  <si>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</si>
  <si>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</si>
  <si>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</si>
  <si>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</si>
  <si>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</si>
  <si>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</si>
  <si>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</si>
  <si>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</si>
  <si>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</si>
  <si>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</si>
  <si>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</si>
  <si>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</si>
  <si>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</si>
  <si>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</si>
  <si>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</si>
  <si>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</si>
  <si>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</si>
  <si>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</si>
  <si>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</si>
  <si>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</si>
  <si>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</si>
  <si>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</si>
  <si>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</si>
  <si>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</si>
  <si>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</si>
  <si>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</si>
  <si>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</si>
  <si>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</si>
  <si>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</si>
  <si>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</si>
  <si>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</si>
  <si>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</si>
  <si>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</si>
  <si>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</si>
  <si>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</si>
  <si>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</si>
  <si>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</si>
  <si>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</si>
  <si>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</si>
  <si>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</si>
  <si>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</si>
  <si>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</si>
  <si>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</si>
  <si>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</si>
  <si>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</si>
  <si>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</si>
  <si>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</si>
  <si>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</si>
  <si>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</si>
  <si>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</si>
  <si>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</si>
  <si>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</si>
  <si>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</si>
  <si>
    <t>CUARTO SEMESTRE
VESPERTINO</t>
  </si>
  <si>
    <t>INGLÉS IV</t>
  </si>
  <si>
    <t>2°</t>
  </si>
  <si>
    <t>RAMOS</t>
  </si>
  <si>
    <t>RICARDO</t>
  </si>
  <si>
    <t>BADILLO</t>
  </si>
  <si>
    <t>ROSAS</t>
  </si>
  <si>
    <t>MELANIE</t>
  </si>
  <si>
    <t>BARRON</t>
  </si>
  <si>
    <t>MARQUEZ</t>
  </si>
  <si>
    <t>NATALY GISELL</t>
  </si>
  <si>
    <t>CALDERON</t>
  </si>
  <si>
    <t>PATRICIA VALENTINA</t>
  </si>
  <si>
    <t xml:space="preserve">CAMACHO </t>
  </si>
  <si>
    <t>ALLISON DANAE</t>
  </si>
  <si>
    <t>GIRON</t>
  </si>
  <si>
    <t>XIMENA PATRICIA</t>
  </si>
  <si>
    <t>SINAI ADRIANA</t>
  </si>
  <si>
    <t>BARRAGAN</t>
  </si>
  <si>
    <t>LUIS ANTONIO</t>
  </si>
  <si>
    <t>TABATA ROMINA</t>
  </si>
  <si>
    <t>AITANA MARIEL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</si>
  <si>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</si>
  <si>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</si>
  <si>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</si>
  <si>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</si>
  <si>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</si>
  <si>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</si>
  <si>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</si>
  <si>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</si>
  <si>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</si>
  <si>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JUAN CARLOS</t>
  </si>
  <si>
    <t>LARIOS</t>
  </si>
  <si>
    <t>DONNOVAN RODRIGO</t>
  </si>
  <si>
    <t>BETANCOURT</t>
  </si>
  <si>
    <t>SHECCID XIMENA</t>
  </si>
  <si>
    <t>YAEL ALEJANDRO</t>
  </si>
  <si>
    <t>LUNA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</si>
  <si>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</si>
  <si>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</si>
  <si>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</si>
  <si>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</si>
  <si>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</si>
  <si>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</si>
  <si>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</si>
  <si>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</si>
  <si>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</si>
  <si>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IAN LEONEL</t>
  </si>
  <si>
    <t>MOLINA</t>
  </si>
  <si>
    <t>CERVANTES</t>
  </si>
  <si>
    <t>ANGEL JARED</t>
  </si>
  <si>
    <t>CESAR URIEL</t>
  </si>
  <si>
    <t>MORENO</t>
  </si>
  <si>
    <t>ANGELES</t>
  </si>
  <si>
    <t>ALEXANDER</t>
  </si>
  <si>
    <t>NOLASCO</t>
  </si>
  <si>
    <t>ALINE SAORI</t>
  </si>
  <si>
    <t>ANDRES RUBEN</t>
  </si>
  <si>
    <t>OLMOS</t>
  </si>
  <si>
    <t>FATIMA KALEI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</si>
  <si>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</si>
  <si>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</si>
  <si>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</si>
  <si>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</si>
  <si>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</si>
  <si>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</si>
  <si>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</si>
  <si>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</si>
  <si>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</si>
  <si>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</si>
  <si>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DANIELA</t>
  </si>
  <si>
    <t>RIVERO</t>
  </si>
  <si>
    <t>MELANIE GUADALUPE</t>
  </si>
  <si>
    <t>AMARO</t>
  </si>
  <si>
    <t>THAILY</t>
  </si>
  <si>
    <t>GUILLERMO GABRIEL</t>
  </si>
  <si>
    <t>PROFRA. FERNANDA CITLALLI RODRÍGUEZ VIVAS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</si>
</sst>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3.0"/>
      <color theme="1"/>
      <name val="Calibri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5" numFmtId="0" xfId="0" applyAlignment="1" applyBorder="1" applyFont="1">
      <alignment horizontal="center" shrinkToFit="0" wrapText="0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readingOrder="0" shrinkToFit="0" wrapText="0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5" numFmtId="164" xfId="0" applyAlignment="1" applyBorder="1" applyFont="1" applyNumberFormat="1">
      <alignment horizontal="center" shrinkToFit="0" wrapText="0"/>
    </xf>
    <xf borderId="23" fillId="0" fontId="5" numFmtId="0" xfId="0" applyAlignment="1" applyBorder="1" applyFont="1">
      <alignment horizontal="center" shrinkToFit="0" wrapText="0"/>
    </xf>
    <xf borderId="23" fillId="0" fontId="5" numFmtId="164" xfId="0" applyAlignment="1" applyBorder="1" applyFont="1" applyNumberFormat="1">
      <alignment horizontal="center" readingOrder="0" shrinkToFit="0" wrapText="0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6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 shrinkToFit="0" wrapText="1"/>
    </xf>
    <xf borderId="11" fillId="2" fontId="3" numFmtId="9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shrinkToFit="0" wrapText="1"/>
    </xf>
    <xf borderId="14" fillId="2" fontId="3" numFmtId="0" xfId="0" applyAlignment="1" applyBorder="1" applyFont="1">
      <alignment horizontal="center" readingOrder="0" shrinkToFit="0" wrapText="1"/>
    </xf>
    <xf borderId="16" fillId="2" fontId="3" numFmtId="0" xfId="0" applyAlignment="1" applyBorder="1" applyFont="1">
      <alignment horizontal="center" shrinkToFit="0" wrapText="1"/>
    </xf>
    <xf borderId="22" fillId="2" fontId="3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8" fillId="2" fontId="2" numFmtId="0" xfId="0" applyBorder="1" applyFont="1"/>
    <xf borderId="25" fillId="2" fontId="2" numFmtId="0" xfId="0" applyBorder="1" applyFont="1"/>
    <xf borderId="22" fillId="2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/>
    </xf>
    <xf borderId="23" fillId="2" fontId="2" numFmtId="0" xfId="0" applyBorder="1" applyFont="1"/>
    <xf borderId="23" fillId="2" fontId="3" numFmtId="0" xfId="0" applyAlignment="1" applyBorder="1" applyFont="1">
      <alignment horizontal="center" shrinkToFit="0" wrapText="1"/>
    </xf>
    <xf borderId="23" fillId="2" fontId="3" numFmtId="0" xfId="0" applyAlignment="1" applyBorder="1" applyFont="1">
      <alignment horizontal="center" shrinkToFit="0" wrapText="1"/>
    </xf>
    <xf borderId="28" fillId="2" fontId="3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3" fontId="1" numFmtId="164" xfId="0" applyAlignment="1" applyBorder="1" applyFont="1" applyNumberFormat="1">
      <alignment horizontal="center"/>
    </xf>
    <xf borderId="23" fillId="0" fontId="1" numFmtId="164" xfId="0" applyAlignment="1" applyBorder="1" applyFont="1" applyNumberFormat="1">
      <alignment horizontal="center"/>
    </xf>
    <xf borderId="23" fillId="3" fontId="3" numFmtId="1" xfId="0" applyAlignment="1" applyBorder="1" applyFont="1" applyNumberFormat="1">
      <alignment horizontal="center"/>
    </xf>
    <xf borderId="23" fillId="0" fontId="2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7" fillId="0" fontId="1" numFmtId="0" xfId="0" applyAlignment="1" applyBorder="1" applyFont="1">
      <alignment horizontal="center" shrinkToFit="0" wrapText="1"/>
    </xf>
    <xf borderId="23" fillId="0" fontId="2" numFmtId="0" xfId="0" applyBorder="1" applyFont="1"/>
    <xf borderId="23" fillId="0" fontId="1" numFmtId="0" xfId="0" applyAlignment="1" applyBorder="1" applyFont="1">
      <alignment horizontal="center" shrinkToFit="0" wrapText="1"/>
    </xf>
    <xf borderId="23" fillId="0" fontId="6" numFmtId="0" xfId="0" applyAlignment="1" applyBorder="1" applyFont="1">
      <alignment horizontal="center" readingOrder="0"/>
    </xf>
    <xf borderId="23" fillId="4" fontId="3" numFmtId="1" xfId="0" applyAlignment="1" applyBorder="1" applyFill="1" applyFont="1" applyNumberFormat="1">
      <alignment horizontal="center"/>
    </xf>
    <xf borderId="29" fillId="0" fontId="1" numFmtId="1" xfId="0" applyAlignment="1" applyBorder="1" applyFont="1" applyNumberFormat="1">
      <alignment horizontal="center"/>
    </xf>
    <xf borderId="31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32" fillId="0" fontId="1" numFmtId="1" xfId="0" applyAlignment="1" applyBorder="1" applyFont="1" applyNumberFormat="1">
      <alignment horizontal="center"/>
    </xf>
    <xf borderId="34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5" fillId="0" fontId="1" numFmtId="1" xfId="0" applyAlignment="1" applyBorder="1" applyFont="1" applyNumberFormat="1">
      <alignment horizontal="center"/>
    </xf>
    <xf borderId="20" fillId="0" fontId="2" numFmtId="164" xfId="0" applyBorder="1" applyFont="1" applyNumberFormat="1"/>
    <xf borderId="20" fillId="0" fontId="2" numFmtId="1" xfId="0" applyBorder="1" applyFont="1" applyNumberFormat="1"/>
    <xf borderId="21" fillId="0" fontId="2" numFmtId="0" xfId="0" applyBorder="1" applyFont="1"/>
    <xf borderId="35" fillId="0" fontId="1" numFmtId="2" xfId="0" applyAlignment="1" applyBorder="1" applyFont="1" applyNumberFormat="1">
      <alignment horizontal="center"/>
    </xf>
    <xf borderId="36" fillId="0" fontId="3" numFmtId="164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37" fillId="0" fontId="1" numFmtId="1" xfId="0" applyAlignment="1" applyBorder="1" applyFont="1" applyNumberFormat="1">
      <alignment horizontal="center"/>
    </xf>
    <xf borderId="39" fillId="0" fontId="3" numFmtId="2" xfId="0" applyAlignment="1" applyBorder="1" applyFont="1" applyNumberFormat="1">
      <alignment horizont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4" fillId="2" fontId="3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vertical="center"/>
    </xf>
    <xf borderId="25" fillId="2" fontId="2" numFmtId="0" xfId="0" applyAlignment="1" applyBorder="1" applyFont="1">
      <alignment vertical="center"/>
    </xf>
    <xf borderId="23" fillId="2" fontId="2" numFmtId="0" xfId="0" applyAlignment="1" applyBorder="1" applyFont="1">
      <alignment vertical="center"/>
    </xf>
    <xf borderId="23" fillId="5" fontId="7" numFmtId="164" xfId="0" applyAlignment="1" applyBorder="1" applyFill="1" applyFont="1" applyNumberFormat="1">
      <alignment horizontal="center" readingOrder="0" shrinkToFit="0" wrapText="0"/>
    </xf>
    <xf borderId="23" fillId="3" fontId="2" numFmtId="164" xfId="0" applyAlignment="1" applyBorder="1" applyFont="1" applyNumberFormat="1">
      <alignment vertical="center"/>
    </xf>
    <xf borderId="23" fillId="6" fontId="3" numFmtId="1" xfId="0" applyAlignment="1" applyBorder="1" applyFill="1" applyFont="1" applyNumberFormat="1">
      <alignment horizontal="center" vertical="center"/>
    </xf>
    <xf borderId="23" fillId="0" fontId="2" numFmtId="1" xfId="0" applyAlignment="1" applyBorder="1" applyFont="1" applyNumberFormat="1">
      <alignment vertical="center"/>
    </xf>
    <xf borderId="23" fillId="3" fontId="3" numFmtId="1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vertical="center"/>
    </xf>
    <xf borderId="23" fillId="3" fontId="1" numFmtId="164" xfId="0" applyAlignment="1" applyBorder="1" applyFont="1" applyNumberFormat="1">
      <alignment horizontal="center" readingOrder="0" vertical="center"/>
    </xf>
    <xf borderId="23" fillId="7" fontId="7" numFmtId="164" xfId="0" applyAlignment="1" applyBorder="1" applyFill="1" applyFont="1" applyNumberFormat="1">
      <alignment horizontal="center" readingOrder="0" shrinkToFit="0" wrapText="0"/>
    </xf>
    <xf borderId="0" fillId="0" fontId="2" numFmtId="1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34" fillId="0" fontId="1" numFmtId="2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vertical="center"/>
    </xf>
    <xf borderId="20" fillId="0" fontId="2" numFmtId="1" xfId="0" applyAlignment="1" applyBorder="1" applyFont="1" applyNumberFormat="1">
      <alignment vertical="center"/>
    </xf>
    <xf borderId="21" fillId="0" fontId="2" numFmtId="0" xfId="0" applyAlignment="1" applyBorder="1" applyFont="1">
      <alignment vertical="center"/>
    </xf>
    <xf borderId="0" fillId="0" fontId="2" numFmtId="2" xfId="0" applyAlignment="1" applyFont="1" applyNumberFormat="1">
      <alignment vertical="center"/>
    </xf>
    <xf borderId="40" fillId="3" fontId="2" numFmtId="0" xfId="0" applyAlignment="1" applyBorder="1" applyFont="1">
      <alignment vertical="center"/>
    </xf>
    <xf borderId="41" fillId="3" fontId="2" numFmtId="1" xfId="0" applyAlignment="1" applyBorder="1" applyFont="1" applyNumberFormat="1">
      <alignment vertical="center"/>
    </xf>
    <xf borderId="0" fillId="3" fontId="2" numFmtId="1" xfId="0" applyAlignment="1" applyFont="1" applyNumberFormat="1">
      <alignment vertical="center"/>
    </xf>
    <xf borderId="0" fillId="3" fontId="2" numFmtId="2" xfId="0" applyAlignment="1" applyFont="1" applyNumberFormat="1">
      <alignment vertical="center"/>
    </xf>
    <xf borderId="42" fillId="0" fontId="2" numFmtId="0" xfId="0" applyAlignment="1" applyBorder="1" applyFont="1">
      <alignment vertical="center"/>
    </xf>
    <xf borderId="43" fillId="0" fontId="2" numFmtId="1" xfId="0" applyAlignment="1" applyBorder="1" applyFont="1" applyNumberFormat="1">
      <alignment vertical="center"/>
    </xf>
    <xf borderId="43" fillId="0" fontId="2" numFmtId="2" xfId="0" applyAlignment="1" applyBorder="1" applyFont="1" applyNumberFormat="1">
      <alignment vertical="center"/>
    </xf>
    <xf borderId="43" fillId="0" fontId="2" numFmtId="164" xfId="0" applyAlignment="1" applyBorder="1" applyFont="1" applyNumberFormat="1">
      <alignment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4.8</v>
      </c>
      <c r="F17" s="47">
        <v>2.9</v>
      </c>
      <c r="G17" s="47">
        <v>2.0</v>
      </c>
      <c r="H17" s="47">
        <v>1.0</v>
      </c>
      <c r="I17" s="48">
        <f t="shared" ref="I17:I58" si="1">SUM(E17:H17)</f>
        <v>10.7</v>
      </c>
      <c r="J17" s="49"/>
      <c r="K17" s="50">
        <f t="shared" ref="K17:K58" si="2">IF(I17 &lt; 6, 5, MIN(ROUND(I17,0), 10))</f>
        <v>10</v>
      </c>
      <c r="L17" s="45"/>
      <c r="M17" s="51">
        <f t="shared" ref="M17:M58" si="3">IF(I17&gt;=6,ROUND(I17,0),TRUNC(I17,0))</f>
        <v>11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4.8</v>
      </c>
      <c r="F18" s="47">
        <v>0.5</v>
      </c>
      <c r="G18" s="47">
        <v>1.7</v>
      </c>
      <c r="H18" s="48"/>
      <c r="I18" s="48">
        <f t="shared" si="1"/>
        <v>7</v>
      </c>
      <c r="J18" s="53">
        <v>1.0</v>
      </c>
      <c r="K18" s="50">
        <f t="shared" si="2"/>
        <v>7</v>
      </c>
      <c r="L18" s="44"/>
      <c r="M18" s="51">
        <f t="shared" si="3"/>
        <v>7</v>
      </c>
      <c r="N18" s="54" t="s">
        <v>30</v>
      </c>
      <c r="O18" s="55">
        <v>7.0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3.9</v>
      </c>
      <c r="F19" s="47">
        <v>1.1</v>
      </c>
      <c r="G19" s="47">
        <v>2.0</v>
      </c>
      <c r="H19" s="48"/>
      <c r="I19" s="48">
        <f t="shared" si="1"/>
        <v>7</v>
      </c>
      <c r="J19" s="53">
        <v>1.0</v>
      </c>
      <c r="K19" s="50">
        <f t="shared" si="2"/>
        <v>7</v>
      </c>
      <c r="L19" s="44"/>
      <c r="M19" s="51">
        <f t="shared" si="3"/>
        <v>7</v>
      </c>
      <c r="N19" s="54" t="s">
        <v>34</v>
      </c>
      <c r="O19" s="55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4.5</v>
      </c>
      <c r="F20" s="47">
        <v>1.5</v>
      </c>
      <c r="G20" s="47">
        <v>2.0</v>
      </c>
      <c r="H20" s="47">
        <v>1.0</v>
      </c>
      <c r="I20" s="48">
        <f t="shared" si="1"/>
        <v>9</v>
      </c>
      <c r="J20" s="49"/>
      <c r="K20" s="50">
        <f t="shared" si="2"/>
        <v>9</v>
      </c>
      <c r="L20" s="44"/>
      <c r="M20" s="51">
        <f t="shared" si="3"/>
        <v>9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3.2</v>
      </c>
      <c r="F21" s="47">
        <v>1.2</v>
      </c>
      <c r="G21" s="47">
        <v>2.0</v>
      </c>
      <c r="H21" s="48"/>
      <c r="I21" s="48">
        <f t="shared" si="1"/>
        <v>6.4</v>
      </c>
      <c r="J21" s="53">
        <v>1.0</v>
      </c>
      <c r="K21" s="50">
        <f t="shared" si="2"/>
        <v>6</v>
      </c>
      <c r="L21" s="44"/>
      <c r="M21" s="51">
        <f t="shared" si="3"/>
        <v>6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3.8</v>
      </c>
      <c r="F22" s="47">
        <v>1.8</v>
      </c>
      <c r="G22" s="47">
        <v>2.0</v>
      </c>
      <c r="H22" s="47">
        <v>1.0</v>
      </c>
      <c r="I22" s="48">
        <f t="shared" si="1"/>
        <v>8.6</v>
      </c>
      <c r="J22" s="53">
        <v>1.0</v>
      </c>
      <c r="K22" s="50">
        <f t="shared" si="2"/>
        <v>9</v>
      </c>
      <c r="L22" s="44"/>
      <c r="M22" s="51">
        <f t="shared" si="3"/>
        <v>9</v>
      </c>
      <c r="N22" s="54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3.4</v>
      </c>
      <c r="F23" s="47">
        <v>1.4</v>
      </c>
      <c r="G23" s="47">
        <v>2.0</v>
      </c>
      <c r="H23" s="48"/>
      <c r="I23" s="48">
        <f t="shared" si="1"/>
        <v>6.8</v>
      </c>
      <c r="J23" s="53">
        <v>2.0</v>
      </c>
      <c r="K23" s="50">
        <f t="shared" si="2"/>
        <v>7</v>
      </c>
      <c r="L23" s="44"/>
      <c r="M23" s="51">
        <f t="shared" si="3"/>
        <v>7</v>
      </c>
      <c r="N23" s="54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4.3</v>
      </c>
      <c r="F24" s="47">
        <v>1.5</v>
      </c>
      <c r="G24" s="47">
        <v>1.8</v>
      </c>
      <c r="H24" s="48"/>
      <c r="I24" s="48">
        <f t="shared" si="1"/>
        <v>7.6</v>
      </c>
      <c r="J24" s="49"/>
      <c r="K24" s="50">
        <f t="shared" si="2"/>
        <v>8</v>
      </c>
      <c r="L24" s="44"/>
      <c r="M24" s="51">
        <f t="shared" si="3"/>
        <v>8</v>
      </c>
      <c r="N24" s="54" t="s">
        <v>52</v>
      </c>
      <c r="O24" s="54">
        <f>SUM(O18:O23)</f>
        <v>15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4.5</v>
      </c>
      <c r="F25" s="47">
        <v>1.8</v>
      </c>
      <c r="G25" s="47">
        <v>2.0</v>
      </c>
      <c r="H25" s="48"/>
      <c r="I25" s="48">
        <f t="shared" si="1"/>
        <v>8.3</v>
      </c>
      <c r="J25" s="53">
        <v>1.0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3.6</v>
      </c>
      <c r="F26" s="47">
        <v>1.8</v>
      </c>
      <c r="G26" s="47">
        <v>2.0</v>
      </c>
      <c r="H26" s="48"/>
      <c r="I26" s="48">
        <f t="shared" si="1"/>
        <v>7.4</v>
      </c>
      <c r="J26" s="49"/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3.0</v>
      </c>
      <c r="F27" s="47">
        <v>1.5</v>
      </c>
      <c r="G27" s="47">
        <v>0.4</v>
      </c>
      <c r="H27" s="48"/>
      <c r="I27" s="48">
        <f t="shared" si="1"/>
        <v>4.9</v>
      </c>
      <c r="J27" s="53">
        <v>1.0</v>
      </c>
      <c r="K27" s="50">
        <f t="shared" si="2"/>
        <v>5</v>
      </c>
      <c r="L27" s="44"/>
      <c r="M27" s="51">
        <f t="shared" si="3"/>
        <v>4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4.1</v>
      </c>
      <c r="F28" s="47">
        <v>1.2</v>
      </c>
      <c r="G28" s="47">
        <v>2.0</v>
      </c>
      <c r="H28" s="47">
        <v>1.0</v>
      </c>
      <c r="I28" s="48">
        <f t="shared" si="1"/>
        <v>8.3</v>
      </c>
      <c r="J28" s="49"/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4.9</v>
      </c>
      <c r="F29" s="47">
        <v>1.0</v>
      </c>
      <c r="G29" s="47">
        <v>1.8</v>
      </c>
      <c r="H29" s="48"/>
      <c r="I29" s="48">
        <f t="shared" si="1"/>
        <v>7.7</v>
      </c>
      <c r="J29" s="53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4.4</v>
      </c>
      <c r="F30" s="47">
        <v>1.8</v>
      </c>
      <c r="G30" s="47">
        <v>2.0</v>
      </c>
      <c r="H30" s="48"/>
      <c r="I30" s="48">
        <f t="shared" si="1"/>
        <v>8.2</v>
      </c>
      <c r="J30" s="53">
        <v>1.0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3.8</v>
      </c>
      <c r="F31" s="47">
        <v>2.3</v>
      </c>
      <c r="G31" s="47">
        <v>2.0</v>
      </c>
      <c r="H31" s="48"/>
      <c r="I31" s="48">
        <f t="shared" si="1"/>
        <v>8.1</v>
      </c>
      <c r="J31" s="53">
        <v>1.0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4.0</v>
      </c>
      <c r="F32" s="47">
        <v>2.0</v>
      </c>
      <c r="G32" s="47">
        <v>2.0</v>
      </c>
      <c r="H32" s="48"/>
      <c r="I32" s="48">
        <f t="shared" si="1"/>
        <v>8</v>
      </c>
      <c r="J32" s="49"/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1.5</v>
      </c>
      <c r="F33" s="47">
        <v>2.9</v>
      </c>
      <c r="G33" s="47">
        <v>1.8</v>
      </c>
      <c r="H33" s="47">
        <v>1.0</v>
      </c>
      <c r="I33" s="48">
        <f t="shared" si="1"/>
        <v>7.2</v>
      </c>
      <c r="J33" s="53">
        <v>1.0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3.4</v>
      </c>
      <c r="F34" s="47">
        <v>2.8</v>
      </c>
      <c r="G34" s="47">
        <v>1.8</v>
      </c>
      <c r="H34" s="48"/>
      <c r="I34" s="48">
        <f t="shared" si="1"/>
        <v>8</v>
      </c>
      <c r="J34" s="49"/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3.7</v>
      </c>
      <c r="F35" s="47">
        <v>2.6</v>
      </c>
      <c r="G35" s="47">
        <v>1.8</v>
      </c>
      <c r="H35" s="48"/>
      <c r="I35" s="48">
        <f t="shared" si="1"/>
        <v>8.1</v>
      </c>
      <c r="J35" s="53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8"/>
      <c r="F36" s="48"/>
      <c r="G36" s="48"/>
      <c r="H36" s="48"/>
      <c r="I36" s="48">
        <f t="shared" si="1"/>
        <v>0</v>
      </c>
      <c r="J36" s="53">
        <v>2.0</v>
      </c>
      <c r="K36" s="50">
        <f t="shared" si="2"/>
        <v>5</v>
      </c>
      <c r="L36" s="44"/>
      <c r="M36" s="51">
        <f t="shared" si="3"/>
        <v>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3.8</v>
      </c>
      <c r="F37" s="47">
        <v>2.2</v>
      </c>
      <c r="G37" s="47">
        <v>1.8</v>
      </c>
      <c r="H37" s="48"/>
      <c r="I37" s="48">
        <f t="shared" si="1"/>
        <v>7.8</v>
      </c>
      <c r="J37" s="53">
        <v>2.0</v>
      </c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3.0</v>
      </c>
      <c r="F38" s="47">
        <v>1.0</v>
      </c>
      <c r="G38" s="47">
        <v>2.0</v>
      </c>
      <c r="H38" s="48"/>
      <c r="I38" s="48">
        <f t="shared" si="1"/>
        <v>6</v>
      </c>
      <c r="J38" s="49"/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5.0</v>
      </c>
      <c r="F39" s="47">
        <v>2.9</v>
      </c>
      <c r="G39" s="47">
        <v>2.0</v>
      </c>
      <c r="H39" s="48"/>
      <c r="I39" s="48">
        <f t="shared" si="1"/>
        <v>9.9</v>
      </c>
      <c r="J39" s="53">
        <v>1.0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2.9</v>
      </c>
      <c r="F40" s="47">
        <v>2.1</v>
      </c>
      <c r="G40" s="47">
        <v>2.0</v>
      </c>
      <c r="H40" s="47">
        <v>1.0</v>
      </c>
      <c r="I40" s="48">
        <f t="shared" si="1"/>
        <v>8</v>
      </c>
      <c r="J40" s="49"/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3.8</v>
      </c>
      <c r="F41" s="47">
        <v>1.2</v>
      </c>
      <c r="G41" s="47">
        <v>2.0</v>
      </c>
      <c r="H41" s="47">
        <v>1.0</v>
      </c>
      <c r="I41" s="48">
        <f t="shared" si="1"/>
        <v>8</v>
      </c>
      <c r="J41" s="49"/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1.6</v>
      </c>
      <c r="F42" s="47">
        <v>2.6</v>
      </c>
      <c r="G42" s="47">
        <v>1.8</v>
      </c>
      <c r="H42" s="48"/>
      <c r="I42" s="48">
        <f t="shared" si="1"/>
        <v>6</v>
      </c>
      <c r="J42" s="53">
        <v>2.0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4.0</v>
      </c>
      <c r="F43" s="47">
        <v>2.0</v>
      </c>
      <c r="G43" s="47">
        <v>2.0</v>
      </c>
      <c r="H43" s="48"/>
      <c r="I43" s="48">
        <f t="shared" si="1"/>
        <v>8</v>
      </c>
      <c r="J43" s="49"/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4.5</v>
      </c>
      <c r="F44" s="47">
        <v>1.5</v>
      </c>
      <c r="G44" s="47">
        <v>2.0</v>
      </c>
      <c r="H44" s="48"/>
      <c r="I44" s="48">
        <f t="shared" si="1"/>
        <v>8</v>
      </c>
      <c r="J44" s="53">
        <v>1.0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3.3</v>
      </c>
      <c r="F45" s="47">
        <v>1.7</v>
      </c>
      <c r="G45" s="47">
        <v>2.0</v>
      </c>
      <c r="H45" s="48"/>
      <c r="I45" s="48">
        <f t="shared" si="1"/>
        <v>7</v>
      </c>
      <c r="J45" s="49"/>
      <c r="K45" s="50">
        <f t="shared" si="2"/>
        <v>7</v>
      </c>
      <c r="L45" s="44"/>
      <c r="M45" s="51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3.0</v>
      </c>
      <c r="F46" s="47">
        <v>2.4</v>
      </c>
      <c r="G46" s="47">
        <v>2.0</v>
      </c>
      <c r="H46" s="48"/>
      <c r="I46" s="48">
        <f t="shared" si="1"/>
        <v>7.4</v>
      </c>
      <c r="J46" s="53">
        <v>1.0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0.0</v>
      </c>
      <c r="F47" s="47">
        <v>3.0</v>
      </c>
      <c r="G47" s="47">
        <v>2.0</v>
      </c>
      <c r="H47" s="48"/>
      <c r="I47" s="48">
        <f t="shared" si="1"/>
        <v>5</v>
      </c>
      <c r="J47" s="53">
        <v>4.0</v>
      </c>
      <c r="K47" s="50">
        <f t="shared" si="2"/>
        <v>5</v>
      </c>
      <c r="L47" s="44"/>
      <c r="M47" s="51">
        <f t="shared" si="3"/>
        <v>5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2.5</v>
      </c>
      <c r="F48" s="47">
        <v>1.5</v>
      </c>
      <c r="G48" s="47">
        <v>2.0</v>
      </c>
      <c r="H48" s="48"/>
      <c r="I48" s="48">
        <f t="shared" si="1"/>
        <v>6</v>
      </c>
      <c r="J48" s="53">
        <v>1.0</v>
      </c>
      <c r="K48" s="50">
        <f t="shared" si="2"/>
        <v>6</v>
      </c>
      <c r="L48" s="44"/>
      <c r="M48" s="51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4.6</v>
      </c>
      <c r="F49" s="47">
        <v>1.8</v>
      </c>
      <c r="G49" s="47">
        <v>1.8</v>
      </c>
      <c r="H49" s="48"/>
      <c r="I49" s="48">
        <f t="shared" si="1"/>
        <v>8.2</v>
      </c>
      <c r="J49" s="53">
        <v>1.0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1.0</v>
      </c>
      <c r="F50" s="47">
        <v>1.2</v>
      </c>
      <c r="G50" s="47">
        <v>1.8</v>
      </c>
      <c r="H50" s="47"/>
      <c r="I50" s="48">
        <f t="shared" si="1"/>
        <v>4</v>
      </c>
      <c r="J50" s="53">
        <v>1.0</v>
      </c>
      <c r="K50" s="50">
        <f t="shared" si="2"/>
        <v>5</v>
      </c>
      <c r="L50" s="44"/>
      <c r="M50" s="51">
        <f t="shared" si="3"/>
        <v>4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2.5</v>
      </c>
      <c r="F51" s="47">
        <v>0.8</v>
      </c>
      <c r="G51" s="47">
        <v>2.0</v>
      </c>
      <c r="H51" s="48"/>
      <c r="I51" s="48">
        <f t="shared" si="1"/>
        <v>5.3</v>
      </c>
      <c r="J51" s="53">
        <v>1.0</v>
      </c>
      <c r="K51" s="50">
        <f t="shared" si="2"/>
        <v>5</v>
      </c>
      <c r="L51" s="44"/>
      <c r="M51" s="51">
        <f t="shared" si="3"/>
        <v>5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0.0</v>
      </c>
      <c r="F52" s="47">
        <v>2.0</v>
      </c>
      <c r="G52" s="47">
        <v>1.8</v>
      </c>
      <c r="H52" s="48"/>
      <c r="I52" s="48">
        <f t="shared" si="1"/>
        <v>3.8</v>
      </c>
      <c r="J52" s="49"/>
      <c r="K52" s="50">
        <f t="shared" si="2"/>
        <v>5</v>
      </c>
      <c r="L52" s="44"/>
      <c r="M52" s="45">
        <f t="shared" si="3"/>
        <v>3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4.5</v>
      </c>
      <c r="F53" s="47">
        <v>1.5</v>
      </c>
      <c r="G53" s="47">
        <v>2.0</v>
      </c>
      <c r="H53" s="48"/>
      <c r="I53" s="48">
        <f t="shared" si="1"/>
        <v>8</v>
      </c>
      <c r="J53" s="56"/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0.0</v>
      </c>
      <c r="F54" s="47">
        <v>2.6</v>
      </c>
      <c r="G54" s="47">
        <v>1.8</v>
      </c>
      <c r="H54" s="48"/>
      <c r="I54" s="48">
        <f t="shared" si="1"/>
        <v>4.4</v>
      </c>
      <c r="J54" s="56"/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3.1</v>
      </c>
      <c r="F55" s="47">
        <v>1.7</v>
      </c>
      <c r="G55" s="47">
        <v>2.0</v>
      </c>
      <c r="H55" s="47">
        <v>1.0</v>
      </c>
      <c r="I55" s="48">
        <f t="shared" si="1"/>
        <v>7.8</v>
      </c>
      <c r="J55" s="57"/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57"/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0.0</v>
      </c>
      <c r="F57" s="47">
        <v>2.8</v>
      </c>
      <c r="G57" s="47">
        <v>2.0</v>
      </c>
      <c r="H57" s="48"/>
      <c r="I57" s="48">
        <f t="shared" si="1"/>
        <v>4.8</v>
      </c>
      <c r="J57" s="58">
        <v>3.0</v>
      </c>
      <c r="K57" s="50">
        <f t="shared" si="2"/>
        <v>5</v>
      </c>
      <c r="L57" s="44"/>
      <c r="M57" s="45">
        <f t="shared" si="3"/>
        <v>4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9" t="s">
        <v>134</v>
      </c>
      <c r="E58" s="47">
        <v>3.2</v>
      </c>
      <c r="F58" s="47">
        <v>1.8</v>
      </c>
      <c r="G58" s="47">
        <v>1.8</v>
      </c>
      <c r="H58" s="48"/>
      <c r="I58" s="48">
        <f t="shared" si="1"/>
        <v>6.8</v>
      </c>
      <c r="J58" s="58">
        <v>3.0</v>
      </c>
      <c r="K58" s="50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2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2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3">
        <f>COUNTIF(K17:K58,"&gt;=6")</f>
        <v>34</v>
      </c>
      <c r="E63" s="62"/>
      <c r="F63" s="62"/>
      <c r="G63" s="62"/>
      <c r="H63" s="62"/>
      <c r="I63" s="62"/>
      <c r="J63" s="62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3">
        <f>D62-D63</f>
        <v>8</v>
      </c>
      <c r="E64" s="62"/>
      <c r="F64" s="62"/>
      <c r="G64" s="74"/>
      <c r="H64" s="62"/>
      <c r="I64" s="74"/>
      <c r="J64" s="74"/>
      <c r="K64" s="75"/>
      <c r="L64" s="76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2">
        <f>D63*100/D62</f>
        <v>80.95238095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7.238095238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5"/>
      <c r="E67" s="86"/>
      <c r="F67" s="86"/>
      <c r="G67" s="86"/>
      <c r="H67" s="86"/>
      <c r="I67" s="86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1"/>
      <c r="E68" s="92"/>
      <c r="H68" s="92"/>
      <c r="I68" s="92"/>
      <c r="J68" s="93"/>
      <c r="K68" s="94"/>
      <c r="L68" s="95"/>
      <c r="M68" s="94"/>
      <c r="N68" s="2"/>
      <c r="O68" s="2"/>
      <c r="P68" s="2"/>
      <c r="Q68" s="2"/>
      <c r="R68" s="2"/>
    </row>
    <row r="69" ht="24.75" customHeight="1">
      <c r="A69" s="96"/>
      <c r="B69" s="94"/>
      <c r="C69" s="94"/>
      <c r="D69" s="94"/>
      <c r="E69" s="92"/>
      <c r="F69" s="92"/>
      <c r="G69" s="86"/>
      <c r="H69" s="86"/>
      <c r="I69" s="86"/>
      <c r="J69" s="86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6"/>
      <c r="B70" s="94"/>
      <c r="C70" s="94"/>
      <c r="D70" s="97"/>
      <c r="E70" s="92"/>
      <c r="F70" s="92"/>
      <c r="G70" s="86"/>
      <c r="H70" s="86"/>
      <c r="I70" s="86"/>
      <c r="J70" s="86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3"/>
      <c r="C72" s="93"/>
      <c r="D72" s="107"/>
      <c r="E72" s="107"/>
      <c r="F72" s="107"/>
      <c r="G72" s="2"/>
      <c r="H72" s="2"/>
      <c r="I72" s="2"/>
      <c r="J72" s="2"/>
      <c r="K72" s="108"/>
      <c r="L72" s="108"/>
      <c r="M72" s="108"/>
      <c r="N72" s="2"/>
      <c r="O72" s="2"/>
      <c r="P72" s="2"/>
      <c r="Q72" s="2"/>
      <c r="R72" s="2"/>
    </row>
    <row r="73" ht="21.75" customHeight="1">
      <c r="A73" s="106"/>
      <c r="B73" s="107"/>
      <c r="C73" s="107"/>
      <c r="D73" s="107"/>
      <c r="E73" s="107"/>
      <c r="F73" s="107"/>
      <c r="G73" s="2"/>
      <c r="H73" s="2"/>
      <c r="I73" s="2"/>
      <c r="J73" s="2"/>
      <c r="K73" s="108"/>
      <c r="L73" s="108"/>
      <c r="M73" s="108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equal">
      <formula>5</formula>
    </cfRule>
  </conditionalFormatting>
  <conditionalFormatting sqref="E17:H58">
    <cfRule type="expression" dxfId="1" priority="2" stopIfTrue="1">
      <formula>TRUE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5.0</v>
      </c>
      <c r="F17" s="47">
        <v>2.9</v>
      </c>
      <c r="G17" s="47">
        <v>2.0</v>
      </c>
      <c r="H17" s="48"/>
      <c r="I17" s="48">
        <f t="shared" ref="I17:I58" si="1">SUM(E17:H17)</f>
        <v>9.9</v>
      </c>
      <c r="J17" s="44"/>
      <c r="K17" s="50">
        <f t="shared" ref="K17:K58" si="2">IF(I17 &lt; 6, 5, MIN(ROUND(I17,0), 10))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4.2</v>
      </c>
      <c r="F18" s="47">
        <v>3.0</v>
      </c>
      <c r="G18" s="47">
        <v>2.0</v>
      </c>
      <c r="H18" s="48"/>
      <c r="I18" s="48">
        <f t="shared" si="1"/>
        <v>9.2</v>
      </c>
      <c r="J18" s="55">
        <v>1.0</v>
      </c>
      <c r="K18" s="50">
        <f t="shared" si="2"/>
        <v>9</v>
      </c>
      <c r="L18" s="44"/>
      <c r="M18" s="51">
        <f t="shared" si="3"/>
        <v>9</v>
      </c>
      <c r="N18" s="54" t="s">
        <v>30</v>
      </c>
      <c r="O18" s="55">
        <v>6.0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5.0</v>
      </c>
      <c r="F19" s="47">
        <v>2.9</v>
      </c>
      <c r="G19" s="47">
        <v>2.0</v>
      </c>
      <c r="H19" s="48"/>
      <c r="I19" s="48">
        <f t="shared" si="1"/>
        <v>9.9</v>
      </c>
      <c r="J19" s="55">
        <v>2.0</v>
      </c>
      <c r="K19" s="50">
        <f t="shared" si="2"/>
        <v>10</v>
      </c>
      <c r="L19" s="44"/>
      <c r="M19" s="51">
        <f t="shared" si="3"/>
        <v>10</v>
      </c>
      <c r="N19" s="54" t="s">
        <v>34</v>
      </c>
      <c r="O19" s="55">
        <v>10.0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4.4</v>
      </c>
      <c r="F20" s="47">
        <v>1.2</v>
      </c>
      <c r="G20" s="47">
        <v>2.0</v>
      </c>
      <c r="H20" s="48"/>
      <c r="I20" s="48">
        <f t="shared" si="1"/>
        <v>7.6</v>
      </c>
      <c r="J20" s="55">
        <v>4.0</v>
      </c>
      <c r="K20" s="50">
        <f t="shared" si="2"/>
        <v>8</v>
      </c>
      <c r="L20" s="44"/>
      <c r="M20" s="51">
        <f t="shared" si="3"/>
        <v>8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5.0</v>
      </c>
      <c r="F21" s="47">
        <v>2.0</v>
      </c>
      <c r="G21" s="47">
        <v>2.0</v>
      </c>
      <c r="H21" s="48"/>
      <c r="I21" s="48">
        <f t="shared" si="1"/>
        <v>9</v>
      </c>
      <c r="J21" s="44"/>
      <c r="K21" s="50">
        <f t="shared" si="2"/>
        <v>9</v>
      </c>
      <c r="L21" s="44"/>
      <c r="M21" s="51">
        <f t="shared" si="3"/>
        <v>9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3.8</v>
      </c>
      <c r="F22" s="47">
        <v>1.2</v>
      </c>
      <c r="G22" s="47">
        <v>2.0</v>
      </c>
      <c r="H22" s="48"/>
      <c r="I22" s="48">
        <f t="shared" si="1"/>
        <v>7</v>
      </c>
      <c r="J22" s="44"/>
      <c r="K22" s="50">
        <f t="shared" si="2"/>
        <v>7</v>
      </c>
      <c r="L22" s="44"/>
      <c r="M22" s="51">
        <f t="shared" si="3"/>
        <v>7</v>
      </c>
      <c r="N22" s="54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0.0</v>
      </c>
      <c r="F23" s="47">
        <v>1.2</v>
      </c>
      <c r="G23" s="47">
        <v>2.0</v>
      </c>
      <c r="H23" s="48"/>
      <c r="I23" s="48">
        <f t="shared" si="1"/>
        <v>3.2</v>
      </c>
      <c r="J23" s="55">
        <v>1.0</v>
      </c>
      <c r="K23" s="50">
        <f t="shared" si="2"/>
        <v>5</v>
      </c>
      <c r="L23" s="44"/>
      <c r="M23" s="51">
        <f t="shared" si="3"/>
        <v>3</v>
      </c>
      <c r="N23" s="54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0.0</v>
      </c>
      <c r="F24" s="47">
        <v>1.2</v>
      </c>
      <c r="G24" s="47">
        <v>1.8</v>
      </c>
      <c r="H24" s="48"/>
      <c r="I24" s="48">
        <f t="shared" si="1"/>
        <v>3</v>
      </c>
      <c r="J24" s="55">
        <v>5.0</v>
      </c>
      <c r="K24" s="50">
        <f t="shared" si="2"/>
        <v>5</v>
      </c>
      <c r="L24" s="44"/>
      <c r="M24" s="51">
        <f t="shared" si="3"/>
        <v>3</v>
      </c>
      <c r="N24" s="54" t="s">
        <v>52</v>
      </c>
      <c r="O24" s="54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4.7</v>
      </c>
      <c r="F25" s="47">
        <v>1.5</v>
      </c>
      <c r="G25" s="47">
        <v>1.8</v>
      </c>
      <c r="H25" s="47">
        <v>1.0</v>
      </c>
      <c r="I25" s="48">
        <f t="shared" si="1"/>
        <v>9</v>
      </c>
      <c r="J25" s="55">
        <v>1.0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0.0</v>
      </c>
      <c r="F26" s="47">
        <v>1.2</v>
      </c>
      <c r="G26" s="47">
        <v>2.0</v>
      </c>
      <c r="H26" s="48"/>
      <c r="I26" s="48">
        <f t="shared" si="1"/>
        <v>3.2</v>
      </c>
      <c r="J26" s="44"/>
      <c r="K26" s="50">
        <f t="shared" si="2"/>
        <v>5</v>
      </c>
      <c r="L26" s="44"/>
      <c r="M26" s="51">
        <f t="shared" si="3"/>
        <v>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4.7</v>
      </c>
      <c r="F27" s="47">
        <v>1.2</v>
      </c>
      <c r="G27" s="47">
        <v>1.8</v>
      </c>
      <c r="H27" s="47">
        <v>1.0</v>
      </c>
      <c r="I27" s="48">
        <f t="shared" si="1"/>
        <v>8.7</v>
      </c>
      <c r="J27" s="44"/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5.0</v>
      </c>
      <c r="F28" s="47">
        <v>3.2</v>
      </c>
      <c r="G28" s="47">
        <v>1.8</v>
      </c>
      <c r="H28" s="48"/>
      <c r="I28" s="48">
        <f t="shared" si="1"/>
        <v>10</v>
      </c>
      <c r="J28" s="44"/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1.5</v>
      </c>
      <c r="F29" s="47">
        <v>2.8</v>
      </c>
      <c r="G29" s="47">
        <v>2.0</v>
      </c>
      <c r="H29" s="48"/>
      <c r="I29" s="48">
        <f t="shared" si="1"/>
        <v>6.3</v>
      </c>
      <c r="J29" s="55">
        <v>1.0</v>
      </c>
      <c r="K29" s="50">
        <f t="shared" si="2"/>
        <v>6</v>
      </c>
      <c r="L29" s="44"/>
      <c r="M29" s="51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3.9</v>
      </c>
      <c r="F30" s="47">
        <v>1.0</v>
      </c>
      <c r="G30" s="47">
        <v>1.8</v>
      </c>
      <c r="H30" s="48"/>
      <c r="I30" s="48">
        <f t="shared" si="1"/>
        <v>6.7</v>
      </c>
      <c r="J30" s="55">
        <v>3.0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4.7</v>
      </c>
      <c r="F31" s="47">
        <v>2.6</v>
      </c>
      <c r="G31" s="47">
        <v>1.8</v>
      </c>
      <c r="H31" s="48"/>
      <c r="I31" s="48">
        <f t="shared" si="1"/>
        <v>9.1</v>
      </c>
      <c r="J31" s="44"/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4"/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5.0</v>
      </c>
      <c r="F33" s="47">
        <v>2.8</v>
      </c>
      <c r="G33" s="47">
        <v>2.0</v>
      </c>
      <c r="H33" s="48"/>
      <c r="I33" s="48">
        <f t="shared" si="1"/>
        <v>9.8</v>
      </c>
      <c r="J33" s="44"/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0.0</v>
      </c>
      <c r="F34" s="47">
        <v>1.8</v>
      </c>
      <c r="G34" s="47">
        <v>2.0</v>
      </c>
      <c r="H34" s="48"/>
      <c r="I34" s="48">
        <f t="shared" si="1"/>
        <v>3.8</v>
      </c>
      <c r="J34" s="55">
        <v>3.0</v>
      </c>
      <c r="K34" s="50">
        <f t="shared" si="2"/>
        <v>5</v>
      </c>
      <c r="L34" s="44"/>
      <c r="M34" s="51">
        <f t="shared" si="3"/>
        <v>3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2.8</v>
      </c>
      <c r="F35" s="47">
        <v>1.5</v>
      </c>
      <c r="G35" s="47">
        <v>2.0</v>
      </c>
      <c r="H35" s="48"/>
      <c r="I35" s="48">
        <f t="shared" si="1"/>
        <v>6.3</v>
      </c>
      <c r="J35" s="44"/>
      <c r="K35" s="50">
        <f t="shared" si="2"/>
        <v>6</v>
      </c>
      <c r="L35" s="44"/>
      <c r="M35" s="51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4.4</v>
      </c>
      <c r="F36" s="47">
        <v>2.9</v>
      </c>
      <c r="G36" s="47">
        <v>2.0</v>
      </c>
      <c r="H36" s="47">
        <v>1.0</v>
      </c>
      <c r="I36" s="48">
        <f t="shared" si="1"/>
        <v>10.3</v>
      </c>
      <c r="J36" s="44"/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4.4</v>
      </c>
      <c r="F37" s="47">
        <v>2.4</v>
      </c>
      <c r="G37" s="47">
        <v>2.0</v>
      </c>
      <c r="H37" s="48"/>
      <c r="I37" s="48">
        <f t="shared" si="1"/>
        <v>8.8</v>
      </c>
      <c r="J37" s="44"/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5.0</v>
      </c>
      <c r="F38" s="47">
        <v>2.2</v>
      </c>
      <c r="G38" s="47">
        <v>2.0</v>
      </c>
      <c r="H38" s="48"/>
      <c r="I38" s="48">
        <f t="shared" si="1"/>
        <v>9.2</v>
      </c>
      <c r="J38" s="44"/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5.0</v>
      </c>
      <c r="F39" s="47">
        <v>2.0</v>
      </c>
      <c r="G39" s="47">
        <v>2.0</v>
      </c>
      <c r="H39" s="48"/>
      <c r="I39" s="48">
        <f t="shared" si="1"/>
        <v>9</v>
      </c>
      <c r="J39" s="44"/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5.0</v>
      </c>
      <c r="F40" s="47">
        <v>1.1</v>
      </c>
      <c r="G40" s="47">
        <v>1.8</v>
      </c>
      <c r="H40" s="48"/>
      <c r="I40" s="48">
        <f t="shared" si="1"/>
        <v>7.9</v>
      </c>
      <c r="J40" s="55">
        <v>2.0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3.4</v>
      </c>
      <c r="F41" s="47">
        <v>0.9</v>
      </c>
      <c r="G41" s="47">
        <v>1.8</v>
      </c>
      <c r="H41" s="48"/>
      <c r="I41" s="48">
        <f t="shared" si="1"/>
        <v>6.1</v>
      </c>
      <c r="J41" s="55">
        <v>1.0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5.0</v>
      </c>
      <c r="F42" s="47">
        <v>2.6</v>
      </c>
      <c r="G42" s="47">
        <v>2.0</v>
      </c>
      <c r="H42" s="48"/>
      <c r="I42" s="48">
        <f t="shared" si="1"/>
        <v>9.6</v>
      </c>
      <c r="J42" s="55">
        <v>1.0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5.0</v>
      </c>
      <c r="F43" s="47">
        <v>1.0</v>
      </c>
      <c r="G43" s="47">
        <v>2.0</v>
      </c>
      <c r="H43" s="48"/>
      <c r="I43" s="48">
        <f t="shared" si="1"/>
        <v>8</v>
      </c>
      <c r="J43" s="55">
        <v>1.0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0.0</v>
      </c>
      <c r="F44" s="47">
        <v>0.0</v>
      </c>
      <c r="G44" s="47">
        <v>0.0</v>
      </c>
      <c r="H44" s="48"/>
      <c r="I44" s="48">
        <f t="shared" si="1"/>
        <v>0</v>
      </c>
      <c r="J44" s="55">
        <v>2.0</v>
      </c>
      <c r="K44" s="50">
        <f t="shared" si="2"/>
        <v>5</v>
      </c>
      <c r="L44" s="44"/>
      <c r="M44" s="51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5.0</v>
      </c>
      <c r="F45" s="47">
        <v>1.2</v>
      </c>
      <c r="G45" s="47">
        <v>2.0</v>
      </c>
      <c r="H45" s="47">
        <v>1.0</v>
      </c>
      <c r="I45" s="48">
        <f t="shared" si="1"/>
        <v>9.2</v>
      </c>
      <c r="J45" s="55">
        <v>1.0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5.0</v>
      </c>
      <c r="F46" s="47">
        <v>2.8</v>
      </c>
      <c r="G46" s="47">
        <v>2.0</v>
      </c>
      <c r="H46" s="48"/>
      <c r="I46" s="48">
        <f t="shared" si="1"/>
        <v>9.8</v>
      </c>
      <c r="J46" s="55">
        <v>1.0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4.7</v>
      </c>
      <c r="F47" s="47">
        <v>2.6</v>
      </c>
      <c r="G47" s="47">
        <v>2.0</v>
      </c>
      <c r="H47" s="48"/>
      <c r="I47" s="48">
        <f t="shared" si="1"/>
        <v>9.3</v>
      </c>
      <c r="J47" s="55">
        <v>1.0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4.4</v>
      </c>
      <c r="F48" s="47">
        <v>2.7</v>
      </c>
      <c r="G48" s="47">
        <v>2.0</v>
      </c>
      <c r="H48" s="48"/>
      <c r="I48" s="48">
        <f t="shared" si="1"/>
        <v>9.1</v>
      </c>
      <c r="J48" s="44"/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0.0</v>
      </c>
      <c r="F49" s="47">
        <v>1.2</v>
      </c>
      <c r="G49" s="47">
        <v>1.8</v>
      </c>
      <c r="H49" s="48"/>
      <c r="I49" s="48">
        <f t="shared" si="1"/>
        <v>3</v>
      </c>
      <c r="J49" s="55">
        <v>1.0</v>
      </c>
      <c r="K49" s="50">
        <f t="shared" si="2"/>
        <v>5</v>
      </c>
      <c r="L49" s="44"/>
      <c r="M49" s="51">
        <f t="shared" si="3"/>
        <v>3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4.7</v>
      </c>
      <c r="F50" s="47">
        <v>2.9</v>
      </c>
      <c r="G50" s="47">
        <v>2.0</v>
      </c>
      <c r="H50" s="48"/>
      <c r="I50" s="48">
        <f t="shared" si="1"/>
        <v>9.6</v>
      </c>
      <c r="J50" s="55">
        <v>2.0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2.5</v>
      </c>
      <c r="F51" s="47">
        <v>0.0</v>
      </c>
      <c r="G51" s="47">
        <v>2.0</v>
      </c>
      <c r="H51" s="48"/>
      <c r="I51" s="48">
        <f t="shared" si="1"/>
        <v>4.5</v>
      </c>
      <c r="J51" s="44"/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4"/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5.0</v>
      </c>
      <c r="F53" s="47">
        <v>2.0</v>
      </c>
      <c r="G53" s="47">
        <v>2.0</v>
      </c>
      <c r="H53" s="48"/>
      <c r="I53" s="48">
        <f t="shared" si="1"/>
        <v>9</v>
      </c>
      <c r="J53" s="48"/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5.0</v>
      </c>
      <c r="F54" s="47">
        <v>2.9</v>
      </c>
      <c r="G54" s="47">
        <v>2.0</v>
      </c>
      <c r="H54" s="48"/>
      <c r="I54" s="48">
        <f t="shared" si="1"/>
        <v>9.9</v>
      </c>
      <c r="J54" s="48"/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4.7</v>
      </c>
      <c r="F55" s="47">
        <v>2.2</v>
      </c>
      <c r="G55" s="47">
        <v>1.8</v>
      </c>
      <c r="H55" s="48"/>
      <c r="I55" s="48">
        <f t="shared" si="1"/>
        <v>8.7</v>
      </c>
      <c r="J55" s="46"/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6"/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5.0</v>
      </c>
      <c r="F57" s="47">
        <v>2.0</v>
      </c>
      <c r="G57" s="47">
        <v>2.0</v>
      </c>
      <c r="H57" s="47">
        <v>1.0</v>
      </c>
      <c r="I57" s="48">
        <f t="shared" si="1"/>
        <v>10</v>
      </c>
      <c r="J57" s="48"/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9" t="s">
        <v>235</v>
      </c>
      <c r="E58" s="47">
        <v>3.0</v>
      </c>
      <c r="F58" s="47">
        <v>1.0</v>
      </c>
      <c r="G58" s="47">
        <v>2.0</v>
      </c>
      <c r="H58" s="48"/>
      <c r="I58" s="48">
        <f t="shared" si="1"/>
        <v>6</v>
      </c>
      <c r="J58" s="47">
        <v>1.0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2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2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3">
        <f>COUNTIF(K17:K58,"&gt;=6")</f>
        <v>35</v>
      </c>
      <c r="E63" s="62"/>
      <c r="F63" s="62"/>
      <c r="G63" s="62"/>
      <c r="H63" s="62"/>
      <c r="I63" s="62"/>
      <c r="J63" s="62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3">
        <f>D62-D63</f>
        <v>7</v>
      </c>
      <c r="E64" s="62"/>
      <c r="F64" s="62"/>
      <c r="G64" s="74"/>
      <c r="H64" s="62"/>
      <c r="I64" s="74"/>
      <c r="J64" s="74"/>
      <c r="K64" s="75"/>
      <c r="L64" s="76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2">
        <f>D63*100/D62</f>
        <v>83.33333333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8.19047619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5"/>
      <c r="E67" s="86"/>
      <c r="F67" s="86"/>
      <c r="G67" s="86"/>
      <c r="H67" s="86"/>
      <c r="I67" s="86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1"/>
      <c r="E68" s="92"/>
      <c r="H68" s="92"/>
      <c r="I68" s="92"/>
      <c r="J68" s="93"/>
      <c r="K68" s="94"/>
      <c r="L68" s="95"/>
      <c r="M68" s="94"/>
      <c r="N68" s="2"/>
      <c r="O68" s="2"/>
      <c r="P68" s="2"/>
      <c r="Q68" s="2"/>
      <c r="R68" s="2"/>
    </row>
    <row r="69" ht="24.75" customHeight="1">
      <c r="A69" s="96"/>
      <c r="B69" s="94"/>
      <c r="C69" s="94"/>
      <c r="D69" s="94"/>
      <c r="E69" s="92"/>
      <c r="F69" s="92"/>
      <c r="G69" s="86"/>
      <c r="H69" s="86"/>
      <c r="I69" s="86"/>
      <c r="J69" s="86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6"/>
      <c r="B70" s="94"/>
      <c r="C70" s="94"/>
      <c r="D70" s="97"/>
      <c r="E70" s="92"/>
      <c r="F70" s="92"/>
      <c r="G70" s="86"/>
      <c r="H70" s="86"/>
      <c r="I70" s="86"/>
      <c r="J70" s="86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3"/>
      <c r="C72" s="93"/>
      <c r="D72" s="107"/>
      <c r="E72" s="107"/>
      <c r="F72" s="107"/>
      <c r="G72" s="2"/>
      <c r="H72" s="2"/>
      <c r="I72" s="2"/>
      <c r="J72" s="2"/>
      <c r="K72" s="108"/>
      <c r="L72" s="108"/>
      <c r="M72" s="108"/>
      <c r="N72" s="2"/>
      <c r="O72" s="2"/>
      <c r="P72" s="2"/>
      <c r="Q72" s="2"/>
      <c r="R72" s="2"/>
    </row>
    <row r="73" ht="21.75" customHeight="1">
      <c r="A73" s="106"/>
      <c r="B73" s="107"/>
      <c r="C73" s="107"/>
      <c r="D73" s="107"/>
      <c r="E73" s="107"/>
      <c r="F73" s="107"/>
      <c r="G73" s="2"/>
      <c r="H73" s="2"/>
      <c r="I73" s="2"/>
      <c r="J73" s="2"/>
      <c r="K73" s="108"/>
      <c r="L73" s="108"/>
      <c r="M73" s="108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2"/>
      <c r="Q1" s="2"/>
      <c r="R1" s="2"/>
    </row>
    <row r="2" ht="15.0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1"/>
      <c r="M2" s="107"/>
      <c r="N2" s="107"/>
      <c r="O2" s="107"/>
      <c r="P2" s="2"/>
      <c r="Q2" s="2"/>
      <c r="R2" s="2"/>
    </row>
    <row r="3" ht="15.0" customHeight="1">
      <c r="A3" s="9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95"/>
      <c r="M3" s="107"/>
      <c r="N3" s="107"/>
      <c r="O3" s="107"/>
      <c r="P3" s="2"/>
      <c r="Q3" s="2"/>
      <c r="R3" s="2"/>
    </row>
    <row r="4" ht="15.0" customHeight="1">
      <c r="A4" s="9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95"/>
      <c r="M4" s="107"/>
      <c r="N4" s="107"/>
      <c r="O4" s="107"/>
      <c r="P4" s="2"/>
      <c r="Q4" s="2"/>
      <c r="R4" s="2"/>
    </row>
    <row r="5" ht="15.0" customHeight="1">
      <c r="A5" s="96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95"/>
      <c r="M5" s="107"/>
      <c r="N5" s="107"/>
      <c r="O5" s="107"/>
      <c r="P5" s="2"/>
      <c r="Q5" s="2"/>
      <c r="R5" s="2"/>
    </row>
    <row r="6" ht="15.0" customHeight="1">
      <c r="A6" s="96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95"/>
      <c r="M6" s="107"/>
      <c r="N6" s="107"/>
      <c r="O6" s="107"/>
      <c r="P6" s="2"/>
      <c r="Q6" s="2"/>
      <c r="R6" s="2"/>
    </row>
    <row r="7" ht="15.0" customHeight="1">
      <c r="A7" s="96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95"/>
      <c r="M7" s="107"/>
      <c r="N7" s="107"/>
      <c r="O7" s="107"/>
      <c r="P7" s="2"/>
      <c r="Q7" s="2"/>
      <c r="R7" s="2"/>
    </row>
    <row r="8" ht="9.75" customHeight="1">
      <c r="A8" s="96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95"/>
      <c r="M8" s="107"/>
      <c r="N8" s="107"/>
      <c r="O8" s="107"/>
      <c r="P8" s="2"/>
      <c r="Q8" s="2"/>
      <c r="R8" s="2"/>
    </row>
    <row r="9" ht="23.25" customHeight="1">
      <c r="A9" s="112" t="s">
        <v>0</v>
      </c>
      <c r="L9" s="9"/>
      <c r="M9" s="107"/>
      <c r="N9" s="107"/>
      <c r="O9" s="107"/>
      <c r="P9" s="2"/>
      <c r="Q9" s="2"/>
      <c r="R9" s="2"/>
    </row>
    <row r="10" ht="9.75" customHeight="1">
      <c r="A10" s="96"/>
      <c r="B10" s="107"/>
      <c r="C10" s="107"/>
      <c r="D10" s="107"/>
      <c r="E10" s="107"/>
      <c r="L10" s="9"/>
      <c r="M10" s="107"/>
      <c r="N10" s="107"/>
      <c r="O10" s="107"/>
      <c r="P10" s="2"/>
      <c r="Q10" s="2"/>
      <c r="R10" s="2"/>
    </row>
    <row r="11" ht="19.5" customHeight="1">
      <c r="A11" s="96"/>
      <c r="B11" s="113" t="s">
        <v>1</v>
      </c>
      <c r="C11" s="93"/>
      <c r="D11" s="93"/>
      <c r="E11" s="107"/>
      <c r="F11" s="107"/>
      <c r="G11" s="107"/>
      <c r="H11" s="107"/>
      <c r="I11" s="107"/>
      <c r="J11" s="107"/>
      <c r="K11" s="107"/>
      <c r="L11" s="95"/>
      <c r="M11" s="107"/>
      <c r="N11" s="107"/>
      <c r="O11" s="107"/>
      <c r="P11" s="2"/>
      <c r="Q11" s="2"/>
      <c r="R11" s="2"/>
    </row>
    <row r="12" ht="12.75" customHeight="1">
      <c r="A12" s="96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95"/>
      <c r="M12" s="107"/>
      <c r="N12" s="107"/>
      <c r="O12" s="107"/>
      <c r="P12" s="2"/>
      <c r="Q12" s="2"/>
      <c r="R12" s="2"/>
    </row>
    <row r="13" ht="32.25" customHeight="1">
      <c r="A13" s="114" t="s">
        <v>2</v>
      </c>
      <c r="B13" s="13"/>
      <c r="C13" s="14" t="s">
        <v>3</v>
      </c>
      <c r="D13" s="13"/>
      <c r="E13" s="115" t="s">
        <v>4</v>
      </c>
      <c r="F13" s="115" t="s">
        <v>5</v>
      </c>
      <c r="G13" s="115" t="s">
        <v>6</v>
      </c>
      <c r="H13" s="116" t="s">
        <v>7</v>
      </c>
      <c r="I13" s="117">
        <v>1.0</v>
      </c>
      <c r="J13" s="118" t="s">
        <v>8</v>
      </c>
      <c r="K13" s="19"/>
      <c r="L13" s="20"/>
      <c r="M13" s="107"/>
      <c r="N13" s="107"/>
      <c r="O13" s="107"/>
      <c r="P13" s="2"/>
      <c r="Q13" s="2"/>
      <c r="R13" s="2"/>
    </row>
    <row r="14" ht="35.25" customHeight="1">
      <c r="A14" s="119" t="s">
        <v>9</v>
      </c>
      <c r="B14" s="120" t="s">
        <v>10</v>
      </c>
      <c r="C14" s="23"/>
      <c r="D14" s="24"/>
      <c r="E14" s="121" t="s">
        <v>11</v>
      </c>
      <c r="F14" s="121" t="s">
        <v>12</v>
      </c>
      <c r="G14" s="121" t="s">
        <v>13</v>
      </c>
      <c r="H14" s="26"/>
      <c r="I14" s="27"/>
      <c r="J14" s="28"/>
      <c r="K14" s="29"/>
      <c r="L14" s="30"/>
      <c r="M14" s="107"/>
      <c r="N14" s="107"/>
      <c r="O14" s="107"/>
      <c r="P14" s="2"/>
      <c r="Q14" s="2"/>
      <c r="R14" s="2"/>
    </row>
    <row r="15" ht="24.75" customHeight="1">
      <c r="A15" s="122" t="s">
        <v>14</v>
      </c>
      <c r="B15" s="123" t="s">
        <v>15</v>
      </c>
      <c r="C15" s="124" t="s">
        <v>16</v>
      </c>
      <c r="D15" s="124">
        <v>3.0</v>
      </c>
      <c r="E15" s="27"/>
      <c r="F15" s="27"/>
      <c r="G15" s="27"/>
      <c r="H15" s="34"/>
      <c r="I15" s="125"/>
      <c r="J15" s="126"/>
      <c r="K15" s="23"/>
      <c r="L15" s="37"/>
      <c r="M15" s="107"/>
      <c r="N15" s="107"/>
      <c r="O15" s="107"/>
      <c r="P15" s="2"/>
      <c r="Q15" s="2"/>
      <c r="R15" s="2"/>
    </row>
    <row r="16" ht="40.5" customHeight="1">
      <c r="A16" s="127" t="s">
        <v>17</v>
      </c>
      <c r="B16" s="128" t="s">
        <v>18</v>
      </c>
      <c r="C16" s="23"/>
      <c r="D16" s="24"/>
      <c r="E16" s="129"/>
      <c r="F16" s="129"/>
      <c r="G16" s="129"/>
      <c r="H16" s="129"/>
      <c r="I16" s="130" t="s">
        <v>19</v>
      </c>
      <c r="J16" s="131" t="s">
        <v>20</v>
      </c>
      <c r="K16" s="131" t="s">
        <v>21</v>
      </c>
      <c r="L16" s="132" t="s">
        <v>22</v>
      </c>
      <c r="M16" s="131" t="s">
        <v>21</v>
      </c>
      <c r="N16" s="107"/>
      <c r="O16" s="107"/>
      <c r="P16" s="2"/>
      <c r="Q16" s="2"/>
      <c r="R16" s="2"/>
    </row>
    <row r="17" ht="24.75" customHeight="1">
      <c r="A17" s="133">
        <v>1.0</v>
      </c>
      <c r="B17" s="134" t="s">
        <v>163</v>
      </c>
      <c r="C17" s="134" t="s">
        <v>72</v>
      </c>
      <c r="D17" s="135" t="s">
        <v>236</v>
      </c>
      <c r="E17" s="47">
        <v>4.8</v>
      </c>
      <c r="F17" s="47">
        <v>2.8</v>
      </c>
      <c r="G17" s="47">
        <v>2.0</v>
      </c>
      <c r="H17" s="136"/>
      <c r="I17" s="137">
        <f t="shared" ref="I17:I51" si="1">SUM(E17:H17)</f>
        <v>9.6</v>
      </c>
      <c r="J17" s="55">
        <v>2.0</v>
      </c>
      <c r="K17" s="138">
        <f t="shared" ref="K17:K51" si="2">IF(I17 &lt; 6, 5, MIN(10, ROUND(I17, 0)))</f>
        <v>10</v>
      </c>
      <c r="L17" s="139"/>
      <c r="M17" s="140">
        <f t="shared" ref="M17:M51" si="3">IF(I17&gt;=6,ROUND(I17,0),TRUNC(I17,0))</f>
        <v>10</v>
      </c>
      <c r="N17" s="141" t="s">
        <v>26</v>
      </c>
      <c r="O17" s="24"/>
      <c r="P17" s="2"/>
      <c r="Q17" s="2"/>
      <c r="R17" s="2"/>
    </row>
    <row r="18" ht="24.75" customHeight="1">
      <c r="A18" s="133">
        <v>2.0</v>
      </c>
      <c r="B18" s="134" t="s">
        <v>237</v>
      </c>
      <c r="C18" s="134" t="s">
        <v>89</v>
      </c>
      <c r="D18" s="135" t="s">
        <v>238</v>
      </c>
      <c r="E18" s="47">
        <v>4.6</v>
      </c>
      <c r="F18" s="47">
        <v>3.0</v>
      </c>
      <c r="G18" s="47">
        <v>2.0</v>
      </c>
      <c r="H18" s="136"/>
      <c r="I18" s="137">
        <f t="shared" si="1"/>
        <v>9.6</v>
      </c>
      <c r="J18" s="55">
        <v>4.0</v>
      </c>
      <c r="K18" s="138">
        <f t="shared" si="2"/>
        <v>10</v>
      </c>
      <c r="L18" s="142"/>
      <c r="M18" s="140">
        <f t="shared" si="3"/>
        <v>10</v>
      </c>
      <c r="N18" s="143" t="s">
        <v>30</v>
      </c>
      <c r="O18" s="144">
        <v>6.0</v>
      </c>
      <c r="P18" s="2"/>
      <c r="Q18" s="2"/>
      <c r="R18" s="2"/>
    </row>
    <row r="19" ht="24.75" customHeight="1">
      <c r="A19" s="133">
        <v>3.0</v>
      </c>
      <c r="B19" s="134" t="s">
        <v>239</v>
      </c>
      <c r="C19" s="134" t="s">
        <v>201</v>
      </c>
      <c r="D19" s="135" t="s">
        <v>240</v>
      </c>
      <c r="E19" s="47">
        <v>5.0</v>
      </c>
      <c r="F19" s="47">
        <v>2.3</v>
      </c>
      <c r="G19" s="47">
        <v>1.4</v>
      </c>
      <c r="H19" s="136"/>
      <c r="I19" s="137">
        <f t="shared" si="1"/>
        <v>8.7</v>
      </c>
      <c r="J19" s="44"/>
      <c r="K19" s="138">
        <f t="shared" si="2"/>
        <v>9</v>
      </c>
      <c r="L19" s="142"/>
      <c r="M19" s="140">
        <f t="shared" si="3"/>
        <v>9</v>
      </c>
      <c r="N19" s="143" t="s">
        <v>34</v>
      </c>
      <c r="O19" s="144">
        <v>12.0</v>
      </c>
      <c r="P19" s="2"/>
      <c r="Q19" s="2"/>
      <c r="R19" s="2"/>
    </row>
    <row r="20" ht="24.75" customHeight="1">
      <c r="A20" s="133">
        <v>4.0</v>
      </c>
      <c r="B20" s="134" t="s">
        <v>241</v>
      </c>
      <c r="C20" s="134" t="s">
        <v>242</v>
      </c>
      <c r="D20" s="135" t="s">
        <v>243</v>
      </c>
      <c r="E20" s="47">
        <v>4.4</v>
      </c>
      <c r="F20" s="47">
        <v>2.4</v>
      </c>
      <c r="G20" s="47">
        <v>2.0</v>
      </c>
      <c r="H20" s="136"/>
      <c r="I20" s="137">
        <f t="shared" si="1"/>
        <v>8.8</v>
      </c>
      <c r="J20" s="55">
        <v>2.0</v>
      </c>
      <c r="K20" s="138">
        <f t="shared" si="2"/>
        <v>9</v>
      </c>
      <c r="L20" s="142"/>
      <c r="M20" s="140">
        <f t="shared" si="3"/>
        <v>9</v>
      </c>
      <c r="N20" s="143" t="s">
        <v>37</v>
      </c>
      <c r="O20" s="144"/>
      <c r="P20" s="2"/>
      <c r="Q20" s="2"/>
      <c r="R20" s="2"/>
    </row>
    <row r="21" ht="24.75" customHeight="1">
      <c r="A21" s="133">
        <v>5.0</v>
      </c>
      <c r="B21" s="134" t="s">
        <v>244</v>
      </c>
      <c r="C21" s="134" t="s">
        <v>245</v>
      </c>
      <c r="D21" s="135" t="s">
        <v>246</v>
      </c>
      <c r="E21" s="47">
        <v>4.2</v>
      </c>
      <c r="F21" s="47">
        <v>1.6</v>
      </c>
      <c r="G21" s="47">
        <v>1.8</v>
      </c>
      <c r="H21" s="136"/>
      <c r="I21" s="137">
        <f t="shared" si="1"/>
        <v>7.6</v>
      </c>
      <c r="J21" s="55">
        <v>2.0</v>
      </c>
      <c r="K21" s="138">
        <f t="shared" si="2"/>
        <v>8</v>
      </c>
      <c r="L21" s="142"/>
      <c r="M21" s="140">
        <f t="shared" si="3"/>
        <v>8</v>
      </c>
      <c r="N21" s="143" t="s">
        <v>41</v>
      </c>
      <c r="O21" s="144"/>
      <c r="P21" s="2"/>
      <c r="Q21" s="2"/>
      <c r="R21" s="2"/>
    </row>
    <row r="22" ht="24.75" customHeight="1">
      <c r="A22" s="133">
        <v>6.0</v>
      </c>
      <c r="B22" s="134" t="s">
        <v>46</v>
      </c>
      <c r="C22" s="134" t="s">
        <v>69</v>
      </c>
      <c r="D22" s="135" t="s">
        <v>247</v>
      </c>
      <c r="E22" s="47">
        <v>5.0</v>
      </c>
      <c r="F22" s="47">
        <v>3.0</v>
      </c>
      <c r="G22" s="47">
        <v>2.0</v>
      </c>
      <c r="H22" s="136"/>
      <c r="I22" s="137">
        <f t="shared" si="1"/>
        <v>10</v>
      </c>
      <c r="J22" s="44"/>
      <c r="K22" s="138">
        <f t="shared" si="2"/>
        <v>10</v>
      </c>
      <c r="L22" s="142"/>
      <c r="M22" s="140">
        <f t="shared" si="3"/>
        <v>10</v>
      </c>
      <c r="N22" s="143" t="s">
        <v>44</v>
      </c>
      <c r="O22" s="144"/>
      <c r="P22" s="2"/>
      <c r="Q22" s="2"/>
      <c r="R22" s="2"/>
    </row>
    <row r="23" ht="24.75" customHeight="1">
      <c r="A23" s="133">
        <v>7.0</v>
      </c>
      <c r="B23" s="134" t="s">
        <v>46</v>
      </c>
      <c r="C23" s="134" t="s">
        <v>248</v>
      </c>
      <c r="D23" s="135" t="s">
        <v>249</v>
      </c>
      <c r="E23" s="47">
        <v>2.6</v>
      </c>
      <c r="F23" s="47">
        <v>2.4</v>
      </c>
      <c r="G23" s="47">
        <v>1.6</v>
      </c>
      <c r="H23" s="136"/>
      <c r="I23" s="137">
        <f t="shared" si="1"/>
        <v>6.6</v>
      </c>
      <c r="J23" s="55">
        <v>6.0</v>
      </c>
      <c r="K23" s="145">
        <f t="shared" si="2"/>
        <v>7</v>
      </c>
      <c r="L23" s="142"/>
      <c r="M23" s="140">
        <f t="shared" si="3"/>
        <v>7</v>
      </c>
      <c r="N23" s="143" t="s">
        <v>48</v>
      </c>
      <c r="O23" s="142"/>
      <c r="P23" s="2"/>
      <c r="Q23" s="2"/>
      <c r="R23" s="2"/>
    </row>
    <row r="24" ht="24.75" customHeight="1">
      <c r="A24" s="133">
        <v>8.0</v>
      </c>
      <c r="B24" s="134" t="s">
        <v>58</v>
      </c>
      <c r="C24" s="134" t="s">
        <v>24</v>
      </c>
      <c r="D24" s="135" t="s">
        <v>250</v>
      </c>
      <c r="E24" s="47">
        <v>3.6</v>
      </c>
      <c r="F24" s="47">
        <v>2.9</v>
      </c>
      <c r="G24" s="47">
        <v>0.0</v>
      </c>
      <c r="H24" s="136"/>
      <c r="I24" s="137">
        <f t="shared" si="1"/>
        <v>6.5</v>
      </c>
      <c r="J24" s="55">
        <v>2.0</v>
      </c>
      <c r="K24" s="145">
        <f t="shared" si="2"/>
        <v>7</v>
      </c>
      <c r="L24" s="142"/>
      <c r="M24" s="140">
        <f t="shared" si="3"/>
        <v>7</v>
      </c>
      <c r="N24" s="143" t="s">
        <v>52</v>
      </c>
      <c r="O24" s="143">
        <f>SUM(O18:O23)</f>
        <v>18</v>
      </c>
      <c r="P24" s="2"/>
      <c r="Q24" s="2"/>
      <c r="R24" s="2"/>
    </row>
    <row r="25" ht="24.75" customHeight="1">
      <c r="A25" s="133">
        <v>9.0</v>
      </c>
      <c r="B25" s="134" t="s">
        <v>162</v>
      </c>
      <c r="C25" s="134" t="s">
        <v>112</v>
      </c>
      <c r="D25" s="135" t="s">
        <v>251</v>
      </c>
      <c r="E25" s="47">
        <v>5.0</v>
      </c>
      <c r="F25" s="47">
        <v>2.8</v>
      </c>
      <c r="G25" s="47">
        <v>2.0</v>
      </c>
      <c r="H25" s="136"/>
      <c r="I25" s="137">
        <f t="shared" si="1"/>
        <v>9.8</v>
      </c>
      <c r="J25" s="44"/>
      <c r="K25" s="138">
        <f t="shared" si="2"/>
        <v>10</v>
      </c>
      <c r="L25" s="142"/>
      <c r="M25" s="140">
        <f t="shared" si="3"/>
        <v>10</v>
      </c>
      <c r="N25" s="107"/>
      <c r="O25" s="107"/>
      <c r="P25" s="2"/>
      <c r="Q25" s="2"/>
      <c r="R25" s="2"/>
    </row>
    <row r="26" ht="24.75" customHeight="1">
      <c r="A26" s="133">
        <v>10.0</v>
      </c>
      <c r="B26" s="134" t="s">
        <v>252</v>
      </c>
      <c r="C26" s="134" t="s">
        <v>253</v>
      </c>
      <c r="D26" s="135" t="s">
        <v>254</v>
      </c>
      <c r="E26" s="47">
        <v>2.9</v>
      </c>
      <c r="F26" s="47">
        <v>1.2</v>
      </c>
      <c r="G26" s="47">
        <v>0.0</v>
      </c>
      <c r="H26" s="136"/>
      <c r="I26" s="137">
        <f t="shared" si="1"/>
        <v>4.1</v>
      </c>
      <c r="J26" s="55">
        <v>2.0</v>
      </c>
      <c r="K26" s="145">
        <f t="shared" si="2"/>
        <v>5</v>
      </c>
      <c r="L26" s="142"/>
      <c r="M26" s="140">
        <f t="shared" si="3"/>
        <v>4</v>
      </c>
      <c r="N26" s="107"/>
      <c r="O26" s="107"/>
      <c r="P26" s="2"/>
      <c r="Q26" s="2"/>
      <c r="R26" s="2"/>
    </row>
    <row r="27" ht="24.75" customHeight="1">
      <c r="A27" s="133">
        <v>11.0</v>
      </c>
      <c r="B27" s="134" t="s">
        <v>252</v>
      </c>
      <c r="C27" s="134" t="s">
        <v>255</v>
      </c>
      <c r="D27" s="134" t="s">
        <v>256</v>
      </c>
      <c r="E27" s="47">
        <v>4.6</v>
      </c>
      <c r="F27" s="47">
        <v>2.0</v>
      </c>
      <c r="G27" s="47">
        <v>0.0</v>
      </c>
      <c r="H27" s="136"/>
      <c r="I27" s="137">
        <f t="shared" si="1"/>
        <v>6.6</v>
      </c>
      <c r="J27" s="55">
        <v>3.0</v>
      </c>
      <c r="K27" s="145">
        <f t="shared" si="2"/>
        <v>7</v>
      </c>
      <c r="L27" s="142"/>
      <c r="M27" s="140">
        <f t="shared" si="3"/>
        <v>7</v>
      </c>
      <c r="N27" s="107"/>
      <c r="O27" s="107"/>
      <c r="P27" s="2"/>
      <c r="Q27" s="2"/>
      <c r="R27" s="2"/>
    </row>
    <row r="28" ht="24.75" customHeight="1">
      <c r="A28" s="133">
        <v>12.0</v>
      </c>
      <c r="B28" s="134" t="s">
        <v>257</v>
      </c>
      <c r="C28" s="134" t="s">
        <v>258</v>
      </c>
      <c r="D28" s="135" t="s">
        <v>259</v>
      </c>
      <c r="E28" s="47">
        <v>5.0</v>
      </c>
      <c r="F28" s="47">
        <v>1.1</v>
      </c>
      <c r="G28" s="47">
        <v>0.0</v>
      </c>
      <c r="H28" s="136"/>
      <c r="I28" s="137">
        <f t="shared" si="1"/>
        <v>6.1</v>
      </c>
      <c r="J28" s="44"/>
      <c r="K28" s="145">
        <f t="shared" si="2"/>
        <v>6</v>
      </c>
      <c r="L28" s="142"/>
      <c r="M28" s="140">
        <f t="shared" si="3"/>
        <v>6</v>
      </c>
      <c r="N28" s="107"/>
      <c r="O28" s="107"/>
      <c r="P28" s="2"/>
      <c r="Q28" s="2"/>
      <c r="R28" s="2"/>
    </row>
    <row r="29" ht="24.75" customHeight="1">
      <c r="A29" s="133">
        <v>13.0</v>
      </c>
      <c r="B29" s="134" t="s">
        <v>260</v>
      </c>
      <c r="C29" s="134" t="s">
        <v>28</v>
      </c>
      <c r="D29" s="135" t="s">
        <v>261</v>
      </c>
      <c r="E29" s="47">
        <v>5.0</v>
      </c>
      <c r="F29" s="47">
        <v>3.0</v>
      </c>
      <c r="G29" s="47">
        <v>1.8</v>
      </c>
      <c r="H29" s="136"/>
      <c r="I29" s="137">
        <f t="shared" si="1"/>
        <v>9.8</v>
      </c>
      <c r="J29" s="44"/>
      <c r="K29" s="138">
        <f t="shared" si="2"/>
        <v>10</v>
      </c>
      <c r="L29" s="142"/>
      <c r="M29" s="140">
        <f t="shared" si="3"/>
        <v>10</v>
      </c>
      <c r="N29" s="107"/>
      <c r="O29" s="107"/>
      <c r="P29" s="2"/>
      <c r="Q29" s="2"/>
      <c r="R29" s="2"/>
    </row>
    <row r="30" ht="24.75" customHeight="1">
      <c r="A30" s="133">
        <v>14.0</v>
      </c>
      <c r="B30" s="134" t="s">
        <v>28</v>
      </c>
      <c r="C30" s="134" t="s">
        <v>99</v>
      </c>
      <c r="D30" s="135" t="s">
        <v>262</v>
      </c>
      <c r="E30" s="47">
        <v>4.2</v>
      </c>
      <c r="F30" s="47">
        <v>1.6</v>
      </c>
      <c r="G30" s="47">
        <v>1.0</v>
      </c>
      <c r="H30" s="136"/>
      <c r="I30" s="137">
        <f t="shared" si="1"/>
        <v>6.8</v>
      </c>
      <c r="J30" s="55">
        <v>2.0</v>
      </c>
      <c r="K30" s="138">
        <f t="shared" si="2"/>
        <v>7</v>
      </c>
      <c r="L30" s="142"/>
      <c r="M30" s="140">
        <f t="shared" si="3"/>
        <v>7</v>
      </c>
      <c r="N30" s="107"/>
      <c r="O30" s="107"/>
      <c r="P30" s="2"/>
      <c r="Q30" s="2"/>
      <c r="R30" s="2"/>
    </row>
    <row r="31" ht="24.75" customHeight="1">
      <c r="A31" s="133">
        <v>15.0</v>
      </c>
      <c r="B31" s="134" t="s">
        <v>263</v>
      </c>
      <c r="C31" s="134" t="s">
        <v>264</v>
      </c>
      <c r="D31" s="135" t="s">
        <v>265</v>
      </c>
      <c r="E31" s="47">
        <v>2.1</v>
      </c>
      <c r="F31" s="47">
        <v>2.7</v>
      </c>
      <c r="G31" s="47">
        <v>0.0</v>
      </c>
      <c r="H31" s="136"/>
      <c r="I31" s="137">
        <f t="shared" si="1"/>
        <v>4.8</v>
      </c>
      <c r="J31" s="44"/>
      <c r="K31" s="138">
        <f t="shared" si="2"/>
        <v>5</v>
      </c>
      <c r="L31" s="142"/>
      <c r="M31" s="140">
        <f t="shared" si="3"/>
        <v>4</v>
      </c>
      <c r="N31" s="107"/>
      <c r="O31" s="107"/>
      <c r="P31" s="2"/>
      <c r="Q31" s="2"/>
      <c r="R31" s="2"/>
    </row>
    <row r="32" ht="24.75" customHeight="1">
      <c r="A32" s="133">
        <v>16.0</v>
      </c>
      <c r="B32" s="134" t="s">
        <v>84</v>
      </c>
      <c r="C32" s="134" t="s">
        <v>124</v>
      </c>
      <c r="D32" s="135" t="s">
        <v>266</v>
      </c>
      <c r="E32" s="47">
        <v>5.0</v>
      </c>
      <c r="F32" s="47">
        <v>3.0</v>
      </c>
      <c r="G32" s="47">
        <v>2.0</v>
      </c>
      <c r="H32" s="136"/>
      <c r="I32" s="137">
        <f t="shared" si="1"/>
        <v>10</v>
      </c>
      <c r="J32" s="44"/>
      <c r="K32" s="138">
        <f t="shared" si="2"/>
        <v>10</v>
      </c>
      <c r="L32" s="142"/>
      <c r="M32" s="140">
        <f t="shared" si="3"/>
        <v>10</v>
      </c>
      <c r="N32" s="107"/>
      <c r="O32" s="107"/>
      <c r="P32" s="2"/>
      <c r="Q32" s="2"/>
      <c r="R32" s="2"/>
    </row>
    <row r="33" ht="24.75" customHeight="1">
      <c r="A33" s="133">
        <v>17.0</v>
      </c>
      <c r="B33" s="134" t="s">
        <v>84</v>
      </c>
      <c r="C33" s="134" t="s">
        <v>96</v>
      </c>
      <c r="D33" s="135" t="s">
        <v>119</v>
      </c>
      <c r="E33" s="47">
        <v>4.1</v>
      </c>
      <c r="F33" s="47">
        <v>2.9</v>
      </c>
      <c r="G33" s="47">
        <v>0.0</v>
      </c>
      <c r="H33" s="136"/>
      <c r="I33" s="137">
        <f t="shared" si="1"/>
        <v>7</v>
      </c>
      <c r="J33" s="55">
        <v>6.0</v>
      </c>
      <c r="K33" s="138">
        <f t="shared" si="2"/>
        <v>7</v>
      </c>
      <c r="L33" s="142"/>
      <c r="M33" s="140">
        <f t="shared" si="3"/>
        <v>7</v>
      </c>
      <c r="N33" s="107"/>
      <c r="O33" s="107"/>
      <c r="P33" s="2"/>
      <c r="Q33" s="2"/>
      <c r="R33" s="2"/>
    </row>
    <row r="34" ht="24.75" customHeight="1">
      <c r="A34" s="133">
        <v>18.0</v>
      </c>
      <c r="B34" s="134" t="s">
        <v>267</v>
      </c>
      <c r="C34" s="134" t="s">
        <v>268</v>
      </c>
      <c r="D34" s="135" t="s">
        <v>269</v>
      </c>
      <c r="E34" s="47">
        <v>4.9</v>
      </c>
      <c r="F34" s="47">
        <v>1.1</v>
      </c>
      <c r="G34" s="47">
        <v>1.0</v>
      </c>
      <c r="H34" s="136"/>
      <c r="I34" s="137">
        <f t="shared" si="1"/>
        <v>7</v>
      </c>
      <c r="J34" s="55">
        <v>3.0</v>
      </c>
      <c r="K34" s="138">
        <f t="shared" si="2"/>
        <v>7</v>
      </c>
      <c r="L34" s="142"/>
      <c r="M34" s="140">
        <f t="shared" si="3"/>
        <v>7</v>
      </c>
      <c r="N34" s="107"/>
      <c r="O34" s="107"/>
      <c r="P34" s="2"/>
      <c r="Q34" s="2"/>
      <c r="R34" s="2"/>
    </row>
    <row r="35" ht="24.75" customHeight="1">
      <c r="A35" s="133">
        <v>19.0</v>
      </c>
      <c r="B35" s="134" t="s">
        <v>89</v>
      </c>
      <c r="C35" s="134" t="s">
        <v>270</v>
      </c>
      <c r="D35" s="135" t="s">
        <v>271</v>
      </c>
      <c r="E35" s="47">
        <v>5.0</v>
      </c>
      <c r="F35" s="47">
        <v>2.0</v>
      </c>
      <c r="G35" s="47">
        <v>1.0</v>
      </c>
      <c r="H35" s="136"/>
      <c r="I35" s="137">
        <f t="shared" si="1"/>
        <v>8</v>
      </c>
      <c r="J35" s="55">
        <v>2.0</v>
      </c>
      <c r="K35" s="138">
        <f t="shared" si="2"/>
        <v>8</v>
      </c>
      <c r="L35" s="142"/>
      <c r="M35" s="140">
        <f t="shared" si="3"/>
        <v>8</v>
      </c>
      <c r="N35" s="107"/>
      <c r="O35" s="107"/>
      <c r="P35" s="2"/>
      <c r="Q35" s="2"/>
      <c r="R35" s="2"/>
    </row>
    <row r="36" ht="24.75" customHeight="1">
      <c r="A36" s="133">
        <v>20.0</v>
      </c>
      <c r="B36" s="134" t="s">
        <v>272</v>
      </c>
      <c r="C36" s="134" t="s">
        <v>273</v>
      </c>
      <c r="D36" s="135" t="s">
        <v>274</v>
      </c>
      <c r="E36" s="47">
        <v>5.0</v>
      </c>
      <c r="F36" s="47">
        <v>3.0</v>
      </c>
      <c r="G36" s="47">
        <v>1.8</v>
      </c>
      <c r="H36" s="136"/>
      <c r="I36" s="137">
        <f t="shared" si="1"/>
        <v>9.8</v>
      </c>
      <c r="J36" s="55">
        <v>1.0</v>
      </c>
      <c r="K36" s="138">
        <f t="shared" si="2"/>
        <v>10</v>
      </c>
      <c r="L36" s="142"/>
      <c r="M36" s="140">
        <f t="shared" si="3"/>
        <v>10</v>
      </c>
      <c r="N36" s="107"/>
      <c r="O36" s="107"/>
      <c r="P36" s="2"/>
      <c r="Q36" s="2"/>
      <c r="R36" s="2"/>
    </row>
    <row r="37" ht="24.75" customHeight="1">
      <c r="A37" s="133">
        <v>21.0</v>
      </c>
      <c r="B37" s="134" t="s">
        <v>93</v>
      </c>
      <c r="C37" s="134" t="s">
        <v>89</v>
      </c>
      <c r="D37" s="135" t="s">
        <v>275</v>
      </c>
      <c r="E37" s="47">
        <v>5.0</v>
      </c>
      <c r="F37" s="47">
        <v>2.8</v>
      </c>
      <c r="G37" s="47">
        <v>1.8</v>
      </c>
      <c r="H37" s="136"/>
      <c r="I37" s="137">
        <f t="shared" si="1"/>
        <v>9.6</v>
      </c>
      <c r="J37" s="55">
        <v>3.0</v>
      </c>
      <c r="K37" s="138">
        <f t="shared" si="2"/>
        <v>10</v>
      </c>
      <c r="L37" s="142"/>
      <c r="M37" s="140">
        <f t="shared" si="3"/>
        <v>10</v>
      </c>
      <c r="N37" s="107"/>
      <c r="O37" s="107"/>
      <c r="P37" s="2"/>
      <c r="Q37" s="2"/>
      <c r="R37" s="2"/>
    </row>
    <row r="38" ht="24.75" customHeight="1">
      <c r="A38" s="133">
        <v>22.0</v>
      </c>
      <c r="B38" s="134" t="s">
        <v>276</v>
      </c>
      <c r="C38" s="134" t="s">
        <v>277</v>
      </c>
      <c r="D38" s="135" t="s">
        <v>278</v>
      </c>
      <c r="E38" s="47">
        <v>0.0</v>
      </c>
      <c r="F38" s="47">
        <v>1.0</v>
      </c>
      <c r="G38" s="47">
        <v>1.2</v>
      </c>
      <c r="H38" s="136"/>
      <c r="I38" s="137">
        <f t="shared" si="1"/>
        <v>2.2</v>
      </c>
      <c r="J38" s="55">
        <v>8.0</v>
      </c>
      <c r="K38" s="138">
        <f t="shared" si="2"/>
        <v>5</v>
      </c>
      <c r="L38" s="142"/>
      <c r="M38" s="140">
        <f t="shared" si="3"/>
        <v>2</v>
      </c>
      <c r="N38" s="107"/>
      <c r="O38" s="107"/>
      <c r="P38" s="2"/>
      <c r="Q38" s="2"/>
      <c r="R38" s="2"/>
    </row>
    <row r="39" ht="24.75" customHeight="1">
      <c r="A39" s="133">
        <v>23.0</v>
      </c>
      <c r="B39" s="134" t="s">
        <v>127</v>
      </c>
      <c r="C39" s="134" t="s">
        <v>129</v>
      </c>
      <c r="D39" s="135" t="s">
        <v>279</v>
      </c>
      <c r="E39" s="47">
        <v>0.0</v>
      </c>
      <c r="F39" s="47">
        <v>2.0</v>
      </c>
      <c r="G39" s="47">
        <v>1.0</v>
      </c>
      <c r="H39" s="136"/>
      <c r="I39" s="137">
        <f t="shared" si="1"/>
        <v>3</v>
      </c>
      <c r="J39" s="55">
        <v>8.0</v>
      </c>
      <c r="K39" s="138">
        <f t="shared" si="2"/>
        <v>5</v>
      </c>
      <c r="L39" s="142"/>
      <c r="M39" s="140">
        <f t="shared" si="3"/>
        <v>3</v>
      </c>
      <c r="N39" s="107"/>
      <c r="O39" s="107"/>
      <c r="P39" s="2"/>
      <c r="Q39" s="2"/>
      <c r="R39" s="2"/>
    </row>
    <row r="40" ht="24.75" customHeight="1">
      <c r="A40" s="133">
        <v>24.0</v>
      </c>
      <c r="B40" s="134" t="s">
        <v>280</v>
      </c>
      <c r="C40" s="134" t="s">
        <v>185</v>
      </c>
      <c r="D40" s="135" t="s">
        <v>281</v>
      </c>
      <c r="E40" s="47">
        <v>4.1</v>
      </c>
      <c r="F40" s="47">
        <v>2.4</v>
      </c>
      <c r="G40" s="47">
        <v>1.8</v>
      </c>
      <c r="H40" s="136"/>
      <c r="I40" s="137">
        <f t="shared" si="1"/>
        <v>8.3</v>
      </c>
      <c r="J40" s="55">
        <v>7.0</v>
      </c>
      <c r="K40" s="138">
        <f t="shared" si="2"/>
        <v>8</v>
      </c>
      <c r="L40" s="142"/>
      <c r="M40" s="140">
        <f t="shared" si="3"/>
        <v>8</v>
      </c>
      <c r="N40" s="107"/>
      <c r="O40" s="107"/>
      <c r="P40" s="2"/>
      <c r="Q40" s="2"/>
      <c r="R40" s="2"/>
    </row>
    <row r="41" ht="24.75" customHeight="1">
      <c r="A41" s="133">
        <v>25.0</v>
      </c>
      <c r="B41" s="134" t="s">
        <v>282</v>
      </c>
      <c r="C41" s="134" t="s">
        <v>283</v>
      </c>
      <c r="D41" s="135" t="s">
        <v>284</v>
      </c>
      <c r="E41" s="47">
        <v>5.0</v>
      </c>
      <c r="F41" s="47">
        <v>2.8</v>
      </c>
      <c r="G41" s="47">
        <v>1.8</v>
      </c>
      <c r="H41" s="136"/>
      <c r="I41" s="137">
        <f t="shared" si="1"/>
        <v>9.6</v>
      </c>
      <c r="J41" s="55">
        <v>2.0</v>
      </c>
      <c r="K41" s="138">
        <f t="shared" si="2"/>
        <v>10</v>
      </c>
      <c r="L41" s="142"/>
      <c r="M41" s="140">
        <f t="shared" si="3"/>
        <v>10</v>
      </c>
      <c r="N41" s="107"/>
      <c r="O41" s="107"/>
      <c r="P41" s="2"/>
      <c r="Q41" s="2"/>
      <c r="R41" s="2"/>
    </row>
    <row r="42" ht="24.75" customHeight="1">
      <c r="A42" s="133">
        <v>26.0</v>
      </c>
      <c r="B42" s="134" t="s">
        <v>106</v>
      </c>
      <c r="C42" s="134" t="s">
        <v>285</v>
      </c>
      <c r="D42" s="135" t="s">
        <v>286</v>
      </c>
      <c r="E42" s="47">
        <v>3.2</v>
      </c>
      <c r="F42" s="47">
        <v>1.4</v>
      </c>
      <c r="G42" s="47">
        <v>2.0</v>
      </c>
      <c r="H42" s="136"/>
      <c r="I42" s="137">
        <f t="shared" si="1"/>
        <v>6.6</v>
      </c>
      <c r="J42" s="55">
        <v>6.0</v>
      </c>
      <c r="K42" s="138">
        <f t="shared" si="2"/>
        <v>7</v>
      </c>
      <c r="L42" s="142"/>
      <c r="M42" s="140">
        <f t="shared" si="3"/>
        <v>7</v>
      </c>
      <c r="N42" s="107"/>
      <c r="O42" s="107"/>
      <c r="P42" s="2"/>
      <c r="Q42" s="2"/>
      <c r="R42" s="2"/>
    </row>
    <row r="43" ht="24.75" customHeight="1">
      <c r="A43" s="133">
        <v>27.0</v>
      </c>
      <c r="B43" s="134" t="s">
        <v>85</v>
      </c>
      <c r="C43" s="134" t="s">
        <v>287</v>
      </c>
      <c r="D43" s="135" t="s">
        <v>288</v>
      </c>
      <c r="E43" s="47">
        <v>0.8</v>
      </c>
      <c r="F43" s="47">
        <v>0.0</v>
      </c>
      <c r="G43" s="47">
        <v>1.2</v>
      </c>
      <c r="H43" s="136"/>
      <c r="I43" s="137">
        <f t="shared" si="1"/>
        <v>2</v>
      </c>
      <c r="J43" s="55">
        <v>7.0</v>
      </c>
      <c r="K43" s="145">
        <f t="shared" si="2"/>
        <v>5</v>
      </c>
      <c r="L43" s="142"/>
      <c r="M43" s="140">
        <f t="shared" si="3"/>
        <v>2</v>
      </c>
      <c r="N43" s="107"/>
      <c r="O43" s="107"/>
      <c r="P43" s="2"/>
      <c r="Q43" s="2"/>
      <c r="R43" s="2"/>
    </row>
    <row r="44" ht="24.75" customHeight="1">
      <c r="A44" s="133">
        <v>28.0</v>
      </c>
      <c r="B44" s="134" t="s">
        <v>85</v>
      </c>
      <c r="C44" s="134" t="s">
        <v>289</v>
      </c>
      <c r="D44" s="135" t="s">
        <v>290</v>
      </c>
      <c r="E44" s="47">
        <v>3.9</v>
      </c>
      <c r="F44" s="47">
        <v>2.9</v>
      </c>
      <c r="G44" s="47">
        <v>1.0</v>
      </c>
      <c r="H44" s="136"/>
      <c r="I44" s="137">
        <f t="shared" si="1"/>
        <v>7.8</v>
      </c>
      <c r="J44" s="44"/>
      <c r="K44" s="138">
        <f t="shared" si="2"/>
        <v>8</v>
      </c>
      <c r="L44" s="142"/>
      <c r="M44" s="140">
        <f t="shared" si="3"/>
        <v>8</v>
      </c>
      <c r="N44" s="107"/>
      <c r="O44" s="107"/>
      <c r="P44" s="2"/>
      <c r="Q44" s="2"/>
      <c r="R44" s="2"/>
    </row>
    <row r="45" ht="24.75" customHeight="1">
      <c r="A45" s="133">
        <v>29.0</v>
      </c>
      <c r="B45" s="134" t="s">
        <v>85</v>
      </c>
      <c r="C45" s="134" t="s">
        <v>291</v>
      </c>
      <c r="D45" s="135" t="s">
        <v>292</v>
      </c>
      <c r="E45" s="47">
        <v>4.5</v>
      </c>
      <c r="F45" s="47">
        <v>2.8</v>
      </c>
      <c r="G45" s="47">
        <v>1.7</v>
      </c>
      <c r="H45" s="136"/>
      <c r="I45" s="137">
        <f t="shared" si="1"/>
        <v>9</v>
      </c>
      <c r="J45" s="44"/>
      <c r="K45" s="138">
        <f t="shared" si="2"/>
        <v>9</v>
      </c>
      <c r="L45" s="142"/>
      <c r="M45" s="140">
        <f t="shared" si="3"/>
        <v>9</v>
      </c>
      <c r="N45" s="107"/>
      <c r="O45" s="107"/>
      <c r="P45" s="2"/>
      <c r="Q45" s="2"/>
      <c r="R45" s="2"/>
    </row>
    <row r="46" ht="24.75" customHeight="1">
      <c r="A46" s="133">
        <v>30.0</v>
      </c>
      <c r="B46" s="134" t="s">
        <v>75</v>
      </c>
      <c r="C46" s="134" t="s">
        <v>84</v>
      </c>
      <c r="D46" s="135" t="s">
        <v>293</v>
      </c>
      <c r="E46" s="47">
        <v>5.0</v>
      </c>
      <c r="F46" s="47">
        <v>1.8</v>
      </c>
      <c r="G46" s="47">
        <v>1.0</v>
      </c>
      <c r="H46" s="136"/>
      <c r="I46" s="137">
        <f t="shared" si="1"/>
        <v>7.8</v>
      </c>
      <c r="J46" s="44"/>
      <c r="K46" s="138">
        <f t="shared" si="2"/>
        <v>8</v>
      </c>
      <c r="L46" s="142"/>
      <c r="M46" s="140">
        <f t="shared" si="3"/>
        <v>8</v>
      </c>
      <c r="N46" s="107"/>
      <c r="O46" s="107"/>
      <c r="P46" s="2"/>
      <c r="Q46" s="2"/>
      <c r="R46" s="2"/>
    </row>
    <row r="47" ht="24.75" customHeight="1">
      <c r="A47" s="133">
        <v>31.0</v>
      </c>
      <c r="B47" s="134" t="s">
        <v>294</v>
      </c>
      <c r="C47" s="134" t="s">
        <v>295</v>
      </c>
      <c r="D47" s="135" t="s">
        <v>296</v>
      </c>
      <c r="E47" s="47">
        <v>5.0</v>
      </c>
      <c r="F47" s="47">
        <v>1.8</v>
      </c>
      <c r="G47" s="47">
        <v>1.8</v>
      </c>
      <c r="H47" s="136"/>
      <c r="I47" s="137">
        <f t="shared" si="1"/>
        <v>8.6</v>
      </c>
      <c r="J47" s="55">
        <v>2.0</v>
      </c>
      <c r="K47" s="138">
        <f t="shared" si="2"/>
        <v>9</v>
      </c>
      <c r="L47" s="142"/>
      <c r="M47" s="140">
        <f t="shared" si="3"/>
        <v>9</v>
      </c>
      <c r="N47" s="107"/>
      <c r="O47" s="107"/>
      <c r="P47" s="2"/>
      <c r="Q47" s="2"/>
      <c r="R47" s="2"/>
    </row>
    <row r="48" ht="24.75" customHeight="1">
      <c r="A48" s="133">
        <v>32.0</v>
      </c>
      <c r="B48" s="134" t="s">
        <v>124</v>
      </c>
      <c r="C48" s="134" t="s">
        <v>56</v>
      </c>
      <c r="D48" s="135" t="s">
        <v>297</v>
      </c>
      <c r="E48" s="47">
        <v>4.8</v>
      </c>
      <c r="F48" s="47">
        <v>2.6</v>
      </c>
      <c r="G48" s="47">
        <v>1.2</v>
      </c>
      <c r="H48" s="136"/>
      <c r="I48" s="137">
        <f t="shared" si="1"/>
        <v>8.6</v>
      </c>
      <c r="J48" s="44"/>
      <c r="K48" s="138">
        <f t="shared" si="2"/>
        <v>9</v>
      </c>
      <c r="L48" s="142"/>
      <c r="M48" s="140">
        <f t="shared" si="3"/>
        <v>9</v>
      </c>
      <c r="N48" s="107"/>
      <c r="O48" s="107"/>
      <c r="P48" s="2"/>
      <c r="Q48" s="2"/>
      <c r="R48" s="2"/>
    </row>
    <row r="49" ht="24.75" customHeight="1">
      <c r="A49" s="133">
        <v>33.0</v>
      </c>
      <c r="B49" s="134" t="s">
        <v>298</v>
      </c>
      <c r="C49" s="134" t="s">
        <v>85</v>
      </c>
      <c r="D49" s="135" t="s">
        <v>249</v>
      </c>
      <c r="E49" s="47">
        <v>1.7</v>
      </c>
      <c r="F49" s="47">
        <v>1.4</v>
      </c>
      <c r="G49" s="47">
        <v>1.0</v>
      </c>
      <c r="H49" s="136"/>
      <c r="I49" s="137">
        <f t="shared" si="1"/>
        <v>4.1</v>
      </c>
      <c r="J49" s="55">
        <v>8.0</v>
      </c>
      <c r="K49" s="145">
        <f t="shared" si="2"/>
        <v>5</v>
      </c>
      <c r="L49" s="142"/>
      <c r="M49" s="140">
        <f t="shared" si="3"/>
        <v>4</v>
      </c>
      <c r="N49" s="107"/>
      <c r="O49" s="107"/>
      <c r="P49" s="2"/>
      <c r="Q49" s="2"/>
      <c r="R49" s="2"/>
    </row>
    <row r="50" ht="24.75" customHeight="1">
      <c r="A50" s="133">
        <v>34.0</v>
      </c>
      <c r="B50" s="134" t="s">
        <v>129</v>
      </c>
      <c r="C50" s="134" t="s">
        <v>99</v>
      </c>
      <c r="D50" s="135" t="s">
        <v>299</v>
      </c>
      <c r="E50" s="47">
        <v>5.0</v>
      </c>
      <c r="F50" s="47">
        <v>3.0</v>
      </c>
      <c r="G50" s="47">
        <v>1.6</v>
      </c>
      <c r="H50" s="136"/>
      <c r="I50" s="137">
        <f t="shared" si="1"/>
        <v>9.6</v>
      </c>
      <c r="J50" s="44"/>
      <c r="K50" s="138">
        <f t="shared" si="2"/>
        <v>10</v>
      </c>
      <c r="L50" s="142"/>
      <c r="M50" s="140">
        <f t="shared" si="3"/>
        <v>10</v>
      </c>
      <c r="N50" s="107"/>
      <c r="O50" s="107"/>
      <c r="P50" s="2"/>
      <c r="Q50" s="2"/>
      <c r="R50" s="2"/>
    </row>
    <row r="51" ht="24.75" customHeight="1">
      <c r="A51" s="133">
        <v>35.0</v>
      </c>
      <c r="B51" s="134" t="s">
        <v>229</v>
      </c>
      <c r="C51" s="134" t="s">
        <v>300</v>
      </c>
      <c r="D51" s="135" t="s">
        <v>301</v>
      </c>
      <c r="E51" s="47">
        <v>5.0</v>
      </c>
      <c r="F51" s="47">
        <v>2.8</v>
      </c>
      <c r="G51" s="47">
        <v>1.8</v>
      </c>
      <c r="H51" s="136"/>
      <c r="I51" s="137">
        <f t="shared" si="1"/>
        <v>9.6</v>
      </c>
      <c r="J51" s="44"/>
      <c r="K51" s="138">
        <f t="shared" si="2"/>
        <v>10</v>
      </c>
      <c r="L51" s="142"/>
      <c r="M51" s="140">
        <f t="shared" si="3"/>
        <v>10</v>
      </c>
      <c r="N51" s="107"/>
      <c r="O51" s="107"/>
      <c r="P51" s="2"/>
      <c r="Q51" s="2"/>
      <c r="R51" s="2"/>
    </row>
    <row r="52" ht="24.75" customHeight="1">
      <c r="A52" s="96"/>
      <c r="B52" s="94"/>
      <c r="C52" s="94"/>
      <c r="D52" s="93"/>
      <c r="E52" s="92"/>
      <c r="F52" s="92"/>
      <c r="G52" s="92"/>
      <c r="H52" s="92"/>
      <c r="I52" s="92"/>
      <c r="J52" s="107"/>
      <c r="K52" s="94"/>
      <c r="L52" s="95"/>
      <c r="M52" s="94"/>
      <c r="N52" s="107"/>
      <c r="O52" s="107"/>
      <c r="P52" s="2"/>
      <c r="Q52" s="2"/>
      <c r="R52" s="2"/>
    </row>
    <row r="53" ht="24.75" customHeight="1">
      <c r="A53" s="107"/>
      <c r="B53" s="146" t="s">
        <v>135</v>
      </c>
      <c r="C53" s="64"/>
      <c r="D53" s="147">
        <f>COUNT(A17:A51)</f>
        <v>35</v>
      </c>
      <c r="E53" s="92"/>
      <c r="F53" s="92"/>
      <c r="G53" s="148" t="s">
        <v>136</v>
      </c>
      <c r="H53" s="92"/>
      <c r="I53" s="148" t="s">
        <v>137</v>
      </c>
      <c r="K53" s="149" t="s">
        <v>138</v>
      </c>
      <c r="L53" s="150" t="s">
        <v>139</v>
      </c>
      <c r="M53" s="94"/>
      <c r="N53" s="107"/>
      <c r="O53" s="107"/>
      <c r="P53" s="2"/>
      <c r="Q53" s="2"/>
      <c r="R53" s="2"/>
    </row>
    <row r="54" ht="24.75" customHeight="1">
      <c r="A54" s="107"/>
      <c r="B54" s="151" t="s">
        <v>140</v>
      </c>
      <c r="C54" s="70"/>
      <c r="D54" s="152">
        <f>COUNTIF(K17:K51,"BAJA")</f>
        <v>0</v>
      </c>
      <c r="E54" s="92"/>
      <c r="F54" s="92"/>
      <c r="H54" s="92"/>
      <c r="L54" s="9"/>
      <c r="M54" s="94"/>
      <c r="N54" s="107"/>
      <c r="O54" s="107"/>
      <c r="P54" s="2"/>
      <c r="Q54" s="2"/>
      <c r="R54" s="2"/>
    </row>
    <row r="55" ht="24.75" customHeight="1">
      <c r="A55" s="107"/>
      <c r="B55" s="151" t="s">
        <v>141</v>
      </c>
      <c r="C55" s="70"/>
      <c r="D55" s="153">
        <f>D53-D54</f>
        <v>35</v>
      </c>
      <c r="E55" s="92"/>
      <c r="F55" s="92"/>
      <c r="G55" s="92"/>
      <c r="H55" s="92"/>
      <c r="I55" s="92"/>
      <c r="J55" s="93"/>
      <c r="K55" s="94"/>
      <c r="L55" s="95"/>
      <c r="M55" s="94"/>
      <c r="N55" s="107"/>
      <c r="O55" s="107"/>
      <c r="P55" s="2"/>
      <c r="Q55" s="2"/>
      <c r="R55" s="2"/>
    </row>
    <row r="56" ht="24.75" customHeight="1">
      <c r="A56" s="107"/>
      <c r="B56" s="151" t="s">
        <v>142</v>
      </c>
      <c r="C56" s="70"/>
      <c r="D56" s="154">
        <f>COUNTIF(K17:K51,"&gt;=6")</f>
        <v>29</v>
      </c>
      <c r="E56" s="92"/>
      <c r="F56" s="92"/>
      <c r="G56" s="92"/>
      <c r="H56" s="92"/>
      <c r="I56" s="92"/>
      <c r="J56" s="93"/>
      <c r="K56" s="94"/>
      <c r="L56" s="95"/>
      <c r="M56" s="94"/>
      <c r="N56" s="107"/>
      <c r="O56" s="107"/>
      <c r="P56" s="2"/>
      <c r="Q56" s="2"/>
      <c r="R56" s="2"/>
    </row>
    <row r="57" ht="24.75" customHeight="1">
      <c r="A57" s="107"/>
      <c r="B57" s="151" t="s">
        <v>143</v>
      </c>
      <c r="C57" s="70"/>
      <c r="D57" s="154">
        <f>D55-D56</f>
        <v>6</v>
      </c>
      <c r="E57" s="92"/>
      <c r="F57" s="92"/>
      <c r="G57" s="155"/>
      <c r="H57" s="92"/>
      <c r="I57" s="155"/>
      <c r="J57" s="155"/>
      <c r="K57" s="156"/>
      <c r="L57" s="157"/>
      <c r="M57" s="94"/>
      <c r="N57" s="107"/>
      <c r="O57" s="107"/>
      <c r="P57" s="2"/>
      <c r="Q57" s="2"/>
      <c r="R57" s="2"/>
    </row>
    <row r="58" ht="24.75" customHeight="1">
      <c r="A58" s="107"/>
      <c r="B58" s="151" t="s">
        <v>144</v>
      </c>
      <c r="C58" s="70"/>
      <c r="D58" s="158">
        <f>D56*100/D55</f>
        <v>82.85714286</v>
      </c>
      <c r="E58" s="92"/>
      <c r="F58" s="92"/>
      <c r="G58" s="159" t="s">
        <v>145</v>
      </c>
      <c r="H58" s="92"/>
      <c r="I58" s="160" t="s">
        <v>302</v>
      </c>
      <c r="K58" s="161" t="s">
        <v>147</v>
      </c>
      <c r="L58" s="162" t="s">
        <v>148</v>
      </c>
      <c r="M58" s="94"/>
      <c r="N58" s="107"/>
      <c r="O58" s="107"/>
      <c r="P58" s="2"/>
      <c r="Q58" s="2"/>
      <c r="R58" s="2"/>
    </row>
    <row r="59" ht="24.75" customHeight="1">
      <c r="A59" s="107"/>
      <c r="B59" s="163" t="s">
        <v>149</v>
      </c>
      <c r="C59" s="82"/>
      <c r="D59" s="164">
        <f>AVERAGE(K17:K51)</f>
        <v>8</v>
      </c>
      <c r="E59" s="92"/>
      <c r="F59" s="92"/>
      <c r="H59" s="92"/>
      <c r="L59" s="9"/>
      <c r="M59" s="94"/>
      <c r="N59" s="107"/>
      <c r="O59" s="107"/>
      <c r="P59" s="2"/>
      <c r="Q59" s="2"/>
      <c r="R59" s="2"/>
    </row>
    <row r="60" ht="24.75" customHeight="1">
      <c r="A60" s="84"/>
      <c r="B60" s="85"/>
      <c r="C60" s="85"/>
      <c r="D60" s="85"/>
      <c r="E60" s="86"/>
      <c r="F60" s="86"/>
      <c r="G60" s="86"/>
      <c r="H60" s="86"/>
      <c r="I60" s="86"/>
      <c r="J60" s="86"/>
      <c r="K60" s="85"/>
      <c r="L60" s="88"/>
      <c r="M60" s="85"/>
      <c r="N60" s="2"/>
      <c r="O60" s="2"/>
      <c r="P60" s="2"/>
      <c r="Q60" s="2"/>
      <c r="R60" s="2"/>
    </row>
    <row r="61" ht="24.75" customHeight="1">
      <c r="A61" s="165"/>
      <c r="B61" s="166"/>
      <c r="C61" s="167"/>
      <c r="D61" s="167"/>
      <c r="E61" s="86"/>
      <c r="H61" s="86"/>
      <c r="I61" s="86"/>
      <c r="J61" s="86"/>
      <c r="K61" s="85"/>
      <c r="L61" s="88"/>
      <c r="M61" s="85"/>
      <c r="N61" s="2"/>
      <c r="O61" s="2"/>
      <c r="P61" s="2"/>
      <c r="Q61" s="2"/>
      <c r="R61" s="2"/>
    </row>
    <row r="62" ht="24.75" customHeight="1">
      <c r="A62" s="84"/>
      <c r="B62" s="85"/>
      <c r="C62" s="85"/>
      <c r="D62" s="168"/>
      <c r="E62" s="86"/>
      <c r="F62" s="86"/>
      <c r="G62" s="86"/>
      <c r="H62" s="86"/>
      <c r="I62" s="86"/>
      <c r="J62" s="86"/>
      <c r="K62" s="85"/>
      <c r="L62" s="88"/>
      <c r="M62" s="85"/>
      <c r="N62" s="2"/>
      <c r="O62" s="2"/>
      <c r="P62" s="2"/>
      <c r="Q62" s="2"/>
      <c r="R62" s="2"/>
    </row>
    <row r="63" ht="24.75" customHeight="1">
      <c r="A63" s="84"/>
      <c r="B63" s="85"/>
      <c r="C63" s="85"/>
      <c r="D63" s="168"/>
      <c r="E63" s="86"/>
      <c r="F63" s="86"/>
      <c r="G63" s="86"/>
      <c r="H63" s="86"/>
      <c r="I63" s="86"/>
      <c r="J63" s="86"/>
      <c r="K63" s="85"/>
      <c r="L63" s="88"/>
      <c r="M63" s="85"/>
      <c r="N63" s="2"/>
      <c r="O63" s="2"/>
      <c r="P63" s="2"/>
      <c r="Q63" s="2"/>
      <c r="R63" s="2"/>
    </row>
    <row r="64" ht="24.75" customHeight="1">
      <c r="A64" s="169"/>
      <c r="B64" s="104"/>
      <c r="C64" s="104"/>
      <c r="D64" s="104"/>
      <c r="E64" s="103"/>
      <c r="F64" s="103"/>
      <c r="G64" s="103"/>
      <c r="H64" s="103"/>
      <c r="I64" s="103"/>
      <c r="J64" s="103"/>
      <c r="K64" s="104"/>
      <c r="L64" s="170"/>
      <c r="M64" s="85"/>
      <c r="N64" s="2"/>
      <c r="O64" s="2"/>
      <c r="P64" s="2"/>
      <c r="Q64" s="2"/>
      <c r="R64" s="2"/>
    </row>
    <row r="65" ht="24.75" customHeight="1">
      <c r="A65" s="2"/>
      <c r="B65" s="85"/>
      <c r="C65" s="85"/>
      <c r="D65" s="85"/>
      <c r="E65" s="86"/>
      <c r="F65" s="86"/>
      <c r="G65" s="86"/>
      <c r="H65" s="86"/>
      <c r="I65" s="86"/>
      <c r="J65" s="86"/>
      <c r="K65" s="171"/>
      <c r="L65" s="108"/>
      <c r="M65" s="171"/>
      <c r="N65" s="2"/>
      <c r="O65" s="2"/>
      <c r="P65" s="2"/>
      <c r="Q65" s="2"/>
      <c r="R65" s="2"/>
    </row>
    <row r="66" ht="24.75" customHeight="1">
      <c r="A66" s="2"/>
      <c r="B66" s="85"/>
      <c r="C66" s="85"/>
      <c r="D66" s="85"/>
      <c r="E66" s="86"/>
      <c r="F66" s="86"/>
      <c r="G66" s="86"/>
      <c r="H66" s="86"/>
      <c r="I66" s="86"/>
      <c r="J66" s="86"/>
      <c r="K66" s="171"/>
      <c r="L66" s="108"/>
      <c r="M66" s="171"/>
      <c r="N66" s="2"/>
      <c r="O66" s="2"/>
      <c r="P66" s="2"/>
      <c r="Q66" s="2"/>
      <c r="R66" s="2"/>
    </row>
    <row r="67" ht="24.75" customHeight="1">
      <c r="A67" s="84"/>
      <c r="B67" s="85"/>
      <c r="C67" s="85"/>
      <c r="D67" s="85"/>
      <c r="E67" s="86"/>
      <c r="F67" s="86"/>
      <c r="G67" s="86"/>
      <c r="H67" s="86"/>
      <c r="I67" s="86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1"/>
      <c r="E68" s="92"/>
      <c r="H68" s="92"/>
      <c r="I68" s="92"/>
      <c r="J68" s="93"/>
      <c r="K68" s="94"/>
      <c r="L68" s="95"/>
      <c r="M68" s="94"/>
      <c r="N68" s="2"/>
      <c r="O68" s="2"/>
      <c r="P68" s="2"/>
      <c r="Q68" s="2"/>
      <c r="R68" s="2"/>
    </row>
    <row r="69" ht="24.75" customHeight="1">
      <c r="A69" s="96"/>
      <c r="B69" s="94"/>
      <c r="C69" s="94"/>
      <c r="D69" s="94"/>
      <c r="E69" s="92"/>
      <c r="F69" s="92"/>
      <c r="G69" s="86"/>
      <c r="H69" s="86"/>
      <c r="I69" s="86"/>
      <c r="J69" s="86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6"/>
      <c r="B70" s="94"/>
      <c r="C70" s="94"/>
      <c r="D70" s="97"/>
      <c r="E70" s="92"/>
      <c r="F70" s="92"/>
      <c r="G70" s="86"/>
      <c r="H70" s="86"/>
      <c r="I70" s="86"/>
      <c r="J70" s="86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3"/>
      <c r="C72" s="93"/>
      <c r="D72" s="107"/>
      <c r="E72" s="107"/>
      <c r="F72" s="107"/>
      <c r="G72" s="2"/>
      <c r="H72" s="2"/>
      <c r="I72" s="2"/>
      <c r="J72" s="2"/>
      <c r="K72" s="108"/>
      <c r="L72" s="108"/>
      <c r="M72" s="108"/>
      <c r="N72" s="2"/>
      <c r="O72" s="2"/>
      <c r="P72" s="2"/>
      <c r="Q72" s="2"/>
      <c r="R72" s="2"/>
    </row>
    <row r="73" ht="21.75" customHeight="1">
      <c r="A73" s="106"/>
      <c r="B73" s="107"/>
      <c r="C73" s="107"/>
      <c r="D73" s="107"/>
      <c r="E73" s="107"/>
      <c r="F73" s="107"/>
      <c r="G73" s="2"/>
      <c r="H73" s="2"/>
      <c r="I73" s="2"/>
      <c r="J73" s="2"/>
      <c r="K73" s="108"/>
      <c r="L73" s="108"/>
      <c r="M73" s="108"/>
      <c r="N73" s="2"/>
      <c r="O73" s="2"/>
      <c r="P73" s="2"/>
      <c r="Q73" s="2"/>
      <c r="R73" s="2"/>
    </row>
  </sheetData>
  <mergeCells count="31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E68:G68"/>
    <mergeCell ref="B53:C53"/>
    <mergeCell ref="B54:C54"/>
    <mergeCell ref="B55:C55"/>
    <mergeCell ref="B56:C56"/>
    <mergeCell ref="B57:C57"/>
    <mergeCell ref="B58:C58"/>
    <mergeCell ref="B59:C59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ht="15.0" customHeight="1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5"/>
      <c r="M2" s="172"/>
      <c r="N2" s="172"/>
      <c r="O2" s="172"/>
      <c r="P2" s="172"/>
      <c r="Q2" s="172"/>
      <c r="R2" s="172"/>
    </row>
    <row r="3" ht="15.0" customHeight="1">
      <c r="A3" s="176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7"/>
      <c r="M3" s="172"/>
      <c r="N3" s="172"/>
      <c r="O3" s="172"/>
      <c r="P3" s="172"/>
      <c r="Q3" s="172"/>
      <c r="R3" s="172"/>
    </row>
    <row r="4" ht="15.0" customHeight="1">
      <c r="A4" s="176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7"/>
      <c r="M4" s="172"/>
      <c r="N4" s="172"/>
      <c r="O4" s="172"/>
      <c r="P4" s="172"/>
      <c r="Q4" s="172"/>
      <c r="R4" s="172"/>
    </row>
    <row r="5" ht="15.0" customHeight="1">
      <c r="A5" s="176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7"/>
      <c r="M5" s="172"/>
      <c r="N5" s="172"/>
      <c r="O5" s="172"/>
      <c r="P5" s="172"/>
      <c r="Q5" s="172"/>
      <c r="R5" s="172"/>
    </row>
    <row r="6" ht="15.0" customHeight="1">
      <c r="A6" s="176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7"/>
      <c r="M6" s="172"/>
      <c r="N6" s="172"/>
      <c r="O6" s="172"/>
      <c r="P6" s="172"/>
      <c r="Q6" s="172"/>
      <c r="R6" s="172"/>
    </row>
    <row r="7" ht="15.0" customHeight="1">
      <c r="A7" s="176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7"/>
      <c r="M7" s="172"/>
      <c r="N7" s="172"/>
      <c r="O7" s="172"/>
      <c r="P7" s="172"/>
      <c r="Q7" s="172"/>
      <c r="R7" s="172"/>
    </row>
    <row r="8" ht="9.75" customHeight="1">
      <c r="A8" s="176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7"/>
      <c r="M8" s="172"/>
      <c r="N8" s="172"/>
      <c r="O8" s="172"/>
      <c r="P8" s="172"/>
      <c r="Q8" s="172"/>
      <c r="R8" s="172"/>
    </row>
    <row r="9" ht="23.25" customHeight="1">
      <c r="A9" s="8" t="s">
        <v>0</v>
      </c>
      <c r="L9" s="9"/>
      <c r="M9" s="172"/>
      <c r="N9" s="172"/>
      <c r="O9" s="172"/>
      <c r="P9" s="172"/>
      <c r="Q9" s="172"/>
      <c r="R9" s="172"/>
    </row>
    <row r="10" ht="9.75" customHeight="1">
      <c r="A10" s="176"/>
      <c r="B10" s="172"/>
      <c r="C10" s="172"/>
      <c r="D10" s="172"/>
      <c r="E10" s="172"/>
      <c r="L10" s="9"/>
      <c r="M10" s="172"/>
      <c r="N10" s="172"/>
      <c r="O10" s="172"/>
      <c r="P10" s="172"/>
      <c r="Q10" s="172"/>
      <c r="R10" s="172"/>
    </row>
    <row r="11" ht="19.5" customHeight="1">
      <c r="A11" s="176"/>
      <c r="B11" s="10" t="s">
        <v>1</v>
      </c>
      <c r="C11" s="178"/>
      <c r="D11" s="178"/>
      <c r="E11" s="172"/>
      <c r="F11" s="172"/>
      <c r="G11" s="172"/>
      <c r="H11" s="172"/>
      <c r="I11" s="172"/>
      <c r="J11" s="172"/>
      <c r="K11" s="172"/>
      <c r="L11" s="177"/>
      <c r="M11" s="172"/>
      <c r="N11" s="172"/>
      <c r="O11" s="172"/>
      <c r="P11" s="172"/>
      <c r="Q11" s="172"/>
      <c r="R11" s="172"/>
    </row>
    <row r="12" ht="12.75" customHeight="1">
      <c r="A12" s="176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7"/>
      <c r="M12" s="172"/>
      <c r="N12" s="172"/>
      <c r="O12" s="172"/>
      <c r="P12" s="172"/>
      <c r="Q12" s="172"/>
      <c r="R12" s="17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303</v>
      </c>
      <c r="K13" s="19"/>
      <c r="L13" s="20"/>
      <c r="M13" s="172"/>
      <c r="N13" s="172"/>
      <c r="O13" s="172"/>
      <c r="P13" s="172"/>
      <c r="Q13" s="172"/>
      <c r="R13" s="172"/>
    </row>
    <row r="14" ht="35.25" customHeight="1">
      <c r="A14" s="21" t="s">
        <v>9</v>
      </c>
      <c r="B14" s="179" t="s">
        <v>304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72"/>
      <c r="N14" s="172"/>
      <c r="O14" s="172"/>
      <c r="P14" s="172"/>
      <c r="Q14" s="172"/>
      <c r="R14" s="172"/>
    </row>
    <row r="15" ht="24.75" customHeight="1">
      <c r="A15" s="31" t="s">
        <v>14</v>
      </c>
      <c r="B15" s="32" t="s">
        <v>305</v>
      </c>
      <c r="C15" s="33" t="s">
        <v>16</v>
      </c>
      <c r="D15" s="33">
        <v>1.0</v>
      </c>
      <c r="E15" s="27"/>
      <c r="F15" s="27"/>
      <c r="G15" s="27"/>
      <c r="H15" s="34"/>
      <c r="I15" s="180"/>
      <c r="J15" s="181"/>
      <c r="K15" s="23"/>
      <c r="L15" s="37"/>
      <c r="M15" s="172"/>
      <c r="N15" s="172"/>
      <c r="O15" s="172"/>
      <c r="P15" s="172"/>
      <c r="Q15" s="172"/>
      <c r="R15" s="172"/>
    </row>
    <row r="16" ht="40.5" customHeight="1">
      <c r="A16" s="38" t="s">
        <v>17</v>
      </c>
      <c r="B16" s="39" t="s">
        <v>18</v>
      </c>
      <c r="C16" s="23"/>
      <c r="D16" s="24"/>
      <c r="E16" s="182"/>
      <c r="F16" s="182"/>
      <c r="G16" s="182"/>
      <c r="H16" s="182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72"/>
      <c r="O16" s="172"/>
      <c r="P16" s="172"/>
      <c r="Q16" s="172"/>
      <c r="R16" s="172"/>
    </row>
    <row r="17" ht="24.75" customHeight="1">
      <c r="A17" s="44">
        <v>1.0</v>
      </c>
      <c r="B17" s="45" t="s">
        <v>207</v>
      </c>
      <c r="C17" s="45" t="s">
        <v>306</v>
      </c>
      <c r="D17" s="46" t="s">
        <v>307</v>
      </c>
      <c r="E17" s="183">
        <v>5.0</v>
      </c>
      <c r="F17" s="183">
        <v>0.0</v>
      </c>
      <c r="G17" s="183">
        <v>0.0</v>
      </c>
      <c r="H17" s="184"/>
      <c r="I17" s="48">
        <f t="shared" ref="I17:I55" si="1">SUM(E17:H17)</f>
        <v>5</v>
      </c>
      <c r="J17" s="55">
        <v>6.0</v>
      </c>
      <c r="K17" s="185">
        <f t="shared" ref="K17:K55" si="2">IF(I17 &lt; 6, 5, MIN(10, ROUND(I17, 0)))</f>
        <v>5</v>
      </c>
      <c r="L17" s="186"/>
      <c r="M17" s="51">
        <f t="shared" ref="M17:M55" si="3">IF(I17&gt;=6,ROUND(I17,0),TRUNC(I17,0))</f>
        <v>5</v>
      </c>
      <c r="N17" s="52" t="s">
        <v>26</v>
      </c>
      <c r="O17" s="24"/>
      <c r="P17" s="172"/>
      <c r="Q17" s="172"/>
      <c r="R17" s="172"/>
    </row>
    <row r="18" ht="24.75" customHeight="1">
      <c r="A18" s="44">
        <v>2.0</v>
      </c>
      <c r="B18" s="45" t="s">
        <v>308</v>
      </c>
      <c r="C18" s="45" t="s">
        <v>309</v>
      </c>
      <c r="D18" s="46" t="s">
        <v>310</v>
      </c>
      <c r="E18" s="183">
        <v>2.3</v>
      </c>
      <c r="F18" s="183">
        <v>2.7</v>
      </c>
      <c r="G18" s="183">
        <v>1.8</v>
      </c>
      <c r="H18" s="184"/>
      <c r="I18" s="48">
        <f t="shared" si="1"/>
        <v>6.8</v>
      </c>
      <c r="J18" s="55">
        <v>4.0</v>
      </c>
      <c r="K18" s="187">
        <f t="shared" si="2"/>
        <v>7</v>
      </c>
      <c r="L18" s="188"/>
      <c r="M18" s="51">
        <f t="shared" si="3"/>
        <v>7</v>
      </c>
      <c r="N18" s="54" t="s">
        <v>30</v>
      </c>
      <c r="O18" s="55">
        <v>8.0</v>
      </c>
      <c r="P18" s="172"/>
      <c r="Q18" s="172"/>
      <c r="R18" s="172"/>
    </row>
    <row r="19" ht="24.75" customHeight="1">
      <c r="A19" s="44">
        <v>3.0</v>
      </c>
      <c r="B19" s="45" t="s">
        <v>311</v>
      </c>
      <c r="C19" s="45" t="s">
        <v>312</v>
      </c>
      <c r="D19" s="46" t="s">
        <v>313</v>
      </c>
      <c r="E19" s="183">
        <v>4.6</v>
      </c>
      <c r="F19" s="183">
        <v>2.1</v>
      </c>
      <c r="G19" s="183">
        <v>2.0</v>
      </c>
      <c r="H19" s="184"/>
      <c r="I19" s="48">
        <f t="shared" si="1"/>
        <v>8.7</v>
      </c>
      <c r="J19" s="55">
        <v>3.0</v>
      </c>
      <c r="K19" s="185">
        <f t="shared" si="2"/>
        <v>9</v>
      </c>
      <c r="L19" s="188"/>
      <c r="M19" s="51">
        <f t="shared" si="3"/>
        <v>9</v>
      </c>
      <c r="N19" s="54" t="s">
        <v>34</v>
      </c>
      <c r="O19" s="55">
        <v>10.0</v>
      </c>
      <c r="P19" s="172"/>
      <c r="Q19" s="172"/>
      <c r="R19" s="172"/>
    </row>
    <row r="20" ht="24.75" customHeight="1">
      <c r="A20" s="44">
        <v>4.0</v>
      </c>
      <c r="B20" s="45" t="s">
        <v>314</v>
      </c>
      <c r="C20" s="45" t="s">
        <v>84</v>
      </c>
      <c r="D20" s="46" t="s">
        <v>315</v>
      </c>
      <c r="E20" s="183">
        <v>5.2</v>
      </c>
      <c r="F20" s="183">
        <v>1.4</v>
      </c>
      <c r="G20" s="183">
        <v>1.6</v>
      </c>
      <c r="H20" s="184"/>
      <c r="I20" s="48">
        <f t="shared" si="1"/>
        <v>8.2</v>
      </c>
      <c r="J20" s="46"/>
      <c r="K20" s="187">
        <f t="shared" si="2"/>
        <v>8</v>
      </c>
      <c r="L20" s="188"/>
      <c r="M20" s="51">
        <f t="shared" si="3"/>
        <v>8</v>
      </c>
      <c r="N20" s="54" t="s">
        <v>37</v>
      </c>
      <c r="O20" s="188"/>
      <c r="P20" s="172"/>
      <c r="Q20" s="172"/>
      <c r="R20" s="172"/>
    </row>
    <row r="21" ht="24.75" customHeight="1">
      <c r="A21" s="44">
        <v>5.0</v>
      </c>
      <c r="B21" s="45" t="s">
        <v>316</v>
      </c>
      <c r="C21" s="45" t="s">
        <v>287</v>
      </c>
      <c r="D21" s="46" t="s">
        <v>317</v>
      </c>
      <c r="E21" s="183">
        <v>5.4</v>
      </c>
      <c r="F21" s="183">
        <v>2.0</v>
      </c>
      <c r="G21" s="183">
        <v>1.6</v>
      </c>
      <c r="H21" s="184"/>
      <c r="I21" s="48">
        <f t="shared" si="1"/>
        <v>9</v>
      </c>
      <c r="J21" s="55">
        <v>2.0</v>
      </c>
      <c r="K21" s="187">
        <f t="shared" si="2"/>
        <v>9</v>
      </c>
      <c r="L21" s="188"/>
      <c r="M21" s="51">
        <f t="shared" si="3"/>
        <v>9</v>
      </c>
      <c r="N21" s="54" t="s">
        <v>41</v>
      </c>
      <c r="O21" s="188"/>
      <c r="P21" s="172"/>
      <c r="Q21" s="172"/>
      <c r="R21" s="172"/>
    </row>
    <row r="22" ht="24.75" customHeight="1">
      <c r="A22" s="44">
        <v>6.0</v>
      </c>
      <c r="B22" s="45" t="s">
        <v>46</v>
      </c>
      <c r="C22" s="45" t="s">
        <v>318</v>
      </c>
      <c r="D22" s="46" t="s">
        <v>319</v>
      </c>
      <c r="E22" s="183">
        <v>2.8</v>
      </c>
      <c r="F22" s="183">
        <v>1.4</v>
      </c>
      <c r="G22" s="183">
        <v>2.0</v>
      </c>
      <c r="H22" s="184"/>
      <c r="I22" s="48">
        <f t="shared" si="1"/>
        <v>6.2</v>
      </c>
      <c r="J22" s="55">
        <v>2.0</v>
      </c>
      <c r="K22" s="185">
        <f t="shared" si="2"/>
        <v>6</v>
      </c>
      <c r="L22" s="188"/>
      <c r="M22" s="51">
        <f t="shared" si="3"/>
        <v>6</v>
      </c>
      <c r="N22" s="54" t="s">
        <v>44</v>
      </c>
      <c r="O22" s="188"/>
      <c r="P22" s="172"/>
      <c r="Q22" s="172"/>
      <c r="R22" s="172"/>
    </row>
    <row r="23" ht="24.75" customHeight="1">
      <c r="A23" s="44">
        <v>7.0</v>
      </c>
      <c r="B23" s="45" t="s">
        <v>58</v>
      </c>
      <c r="C23" s="45" t="s">
        <v>93</v>
      </c>
      <c r="D23" s="46" t="s">
        <v>320</v>
      </c>
      <c r="E23" s="183">
        <v>0.0</v>
      </c>
      <c r="F23" s="183">
        <v>2.9</v>
      </c>
      <c r="G23" s="183">
        <v>0.0</v>
      </c>
      <c r="H23" s="184"/>
      <c r="I23" s="48">
        <f t="shared" si="1"/>
        <v>2.9</v>
      </c>
      <c r="J23" s="55">
        <v>8.0</v>
      </c>
      <c r="K23" s="185">
        <f t="shared" si="2"/>
        <v>5</v>
      </c>
      <c r="L23" s="188"/>
      <c r="M23" s="51">
        <f t="shared" si="3"/>
        <v>2</v>
      </c>
      <c r="N23" s="54" t="s">
        <v>48</v>
      </c>
      <c r="O23" s="188"/>
      <c r="P23" s="172"/>
      <c r="Q23" s="172"/>
      <c r="R23" s="172"/>
    </row>
    <row r="24" ht="24.75" customHeight="1">
      <c r="A24" s="44">
        <v>8.0</v>
      </c>
      <c r="B24" s="45" t="s">
        <v>66</v>
      </c>
      <c r="C24" s="45" t="s">
        <v>321</v>
      </c>
      <c r="D24" s="46" t="s">
        <v>322</v>
      </c>
      <c r="E24" s="183">
        <v>3.0</v>
      </c>
      <c r="F24" s="183">
        <v>1.5</v>
      </c>
      <c r="G24" s="183">
        <v>1.8</v>
      </c>
      <c r="H24" s="184"/>
      <c r="I24" s="48">
        <f t="shared" si="1"/>
        <v>6.3</v>
      </c>
      <c r="J24" s="46"/>
      <c r="K24" s="185">
        <f t="shared" si="2"/>
        <v>6</v>
      </c>
      <c r="L24" s="188"/>
      <c r="M24" s="51">
        <f t="shared" si="3"/>
        <v>6</v>
      </c>
      <c r="N24" s="54" t="s">
        <v>52</v>
      </c>
      <c r="O24" s="54">
        <f>SUM(O18:O23)</f>
        <v>18</v>
      </c>
      <c r="P24" s="172"/>
      <c r="Q24" s="172"/>
      <c r="R24" s="172"/>
    </row>
    <row r="25" ht="24.75" customHeight="1">
      <c r="A25" s="44">
        <v>9.0</v>
      </c>
      <c r="B25" s="45" t="s">
        <v>99</v>
      </c>
      <c r="C25" s="45" t="s">
        <v>81</v>
      </c>
      <c r="D25" s="46" t="s">
        <v>323</v>
      </c>
      <c r="E25" s="183">
        <v>4.1</v>
      </c>
      <c r="F25" s="183">
        <v>2.6</v>
      </c>
      <c r="G25" s="183">
        <v>2.0</v>
      </c>
      <c r="H25" s="184"/>
      <c r="I25" s="48">
        <f t="shared" si="1"/>
        <v>8.7</v>
      </c>
      <c r="J25" s="55">
        <v>6.0</v>
      </c>
      <c r="K25" s="185">
        <f t="shared" si="2"/>
        <v>9</v>
      </c>
      <c r="L25" s="188"/>
      <c r="M25" s="51">
        <f t="shared" si="3"/>
        <v>9</v>
      </c>
      <c r="N25" s="172"/>
      <c r="O25" s="172"/>
      <c r="P25" s="172"/>
      <c r="Q25" s="172"/>
      <c r="R25" s="172"/>
    </row>
    <row r="26" ht="24.75" customHeight="1">
      <c r="A26" s="44">
        <v>10.0</v>
      </c>
      <c r="B26" s="45" t="s">
        <v>28</v>
      </c>
      <c r="C26" s="45" t="s">
        <v>229</v>
      </c>
      <c r="D26" s="46" t="s">
        <v>324</v>
      </c>
      <c r="E26" s="183">
        <v>3.5</v>
      </c>
      <c r="F26" s="183">
        <v>2.7</v>
      </c>
      <c r="G26" s="183">
        <v>0.0</v>
      </c>
      <c r="H26" s="184"/>
      <c r="I26" s="48">
        <f t="shared" si="1"/>
        <v>6.2</v>
      </c>
      <c r="J26" s="55">
        <v>1.0</v>
      </c>
      <c r="K26" s="185">
        <f t="shared" si="2"/>
        <v>6</v>
      </c>
      <c r="L26" s="188"/>
      <c r="M26" s="51">
        <f t="shared" si="3"/>
        <v>6</v>
      </c>
      <c r="N26" s="172"/>
      <c r="O26" s="172"/>
      <c r="P26" s="172"/>
      <c r="Q26" s="172"/>
      <c r="R26" s="172"/>
    </row>
    <row r="27" ht="24.75" customHeight="1">
      <c r="A27" s="44">
        <v>11.0</v>
      </c>
      <c r="B27" s="45" t="s">
        <v>263</v>
      </c>
      <c r="C27" s="45" t="s">
        <v>99</v>
      </c>
      <c r="D27" s="45" t="s">
        <v>325</v>
      </c>
      <c r="E27" s="183">
        <v>5.3</v>
      </c>
      <c r="F27" s="183">
        <v>1.4</v>
      </c>
      <c r="G27" s="183">
        <v>2.0</v>
      </c>
      <c r="H27" s="184"/>
      <c r="I27" s="48">
        <f t="shared" si="1"/>
        <v>8.7</v>
      </c>
      <c r="J27" s="55">
        <v>5.0</v>
      </c>
      <c r="K27" s="187">
        <f t="shared" si="2"/>
        <v>9</v>
      </c>
      <c r="L27" s="188"/>
      <c r="M27" s="51">
        <f t="shared" si="3"/>
        <v>9</v>
      </c>
      <c r="N27" s="172"/>
      <c r="O27" s="172"/>
      <c r="P27" s="172"/>
      <c r="Q27" s="172"/>
      <c r="R27" s="172"/>
    </row>
    <row r="28" ht="24.75" customHeight="1">
      <c r="A28" s="44">
        <v>12.0</v>
      </c>
      <c r="B28" s="45" t="s">
        <v>84</v>
      </c>
      <c r="C28" s="45" t="s">
        <v>84</v>
      </c>
      <c r="D28" s="46" t="s">
        <v>326</v>
      </c>
      <c r="E28" s="183">
        <v>5.2</v>
      </c>
      <c r="F28" s="183">
        <v>2.6</v>
      </c>
      <c r="G28" s="183">
        <v>2.0</v>
      </c>
      <c r="H28" s="189">
        <v>1.0</v>
      </c>
      <c r="I28" s="48">
        <f t="shared" si="1"/>
        <v>10.8</v>
      </c>
      <c r="J28" s="44"/>
      <c r="K28" s="187">
        <f t="shared" si="2"/>
        <v>10</v>
      </c>
      <c r="L28" s="188"/>
      <c r="M28" s="51">
        <f t="shared" si="3"/>
        <v>11</v>
      </c>
      <c r="N28" s="172"/>
      <c r="O28" s="172"/>
      <c r="P28" s="172"/>
      <c r="Q28" s="172"/>
      <c r="R28" s="172"/>
    </row>
    <row r="29" ht="24.75" customHeight="1">
      <c r="A29" s="44">
        <v>13.0</v>
      </c>
      <c r="B29" s="45" t="s">
        <v>84</v>
      </c>
      <c r="C29" s="45" t="s">
        <v>327</v>
      </c>
      <c r="D29" s="46" t="s">
        <v>328</v>
      </c>
      <c r="E29" s="183">
        <v>6.3</v>
      </c>
      <c r="F29" s="183">
        <v>1.8</v>
      </c>
      <c r="G29" s="190">
        <v>1.0</v>
      </c>
      <c r="H29" s="184"/>
      <c r="I29" s="48">
        <f t="shared" si="1"/>
        <v>9.1</v>
      </c>
      <c r="J29" s="44"/>
      <c r="K29" s="187">
        <f t="shared" si="2"/>
        <v>9</v>
      </c>
      <c r="L29" s="188"/>
      <c r="M29" s="51">
        <f t="shared" si="3"/>
        <v>9</v>
      </c>
      <c r="N29" s="172"/>
      <c r="O29" s="172"/>
      <c r="P29" s="172"/>
      <c r="Q29" s="172"/>
      <c r="R29" s="172"/>
    </row>
    <row r="30" ht="24.75" customHeight="1">
      <c r="A30" s="44">
        <v>14.0</v>
      </c>
      <c r="B30" s="45" t="s">
        <v>329</v>
      </c>
      <c r="C30" s="45" t="s">
        <v>28</v>
      </c>
      <c r="D30" s="46" t="s">
        <v>330</v>
      </c>
      <c r="E30" s="183">
        <v>5.1</v>
      </c>
      <c r="F30" s="183">
        <v>2.9</v>
      </c>
      <c r="G30" s="183">
        <v>2.0</v>
      </c>
      <c r="H30" s="189">
        <v>1.0</v>
      </c>
      <c r="I30" s="48">
        <f t="shared" si="1"/>
        <v>11</v>
      </c>
      <c r="J30" s="46"/>
      <c r="K30" s="187">
        <f t="shared" si="2"/>
        <v>10</v>
      </c>
      <c r="L30" s="188"/>
      <c r="M30" s="51">
        <f t="shared" si="3"/>
        <v>11</v>
      </c>
      <c r="N30" s="172"/>
      <c r="O30" s="172"/>
      <c r="P30" s="172"/>
      <c r="Q30" s="172"/>
      <c r="R30" s="172"/>
    </row>
    <row r="31" ht="24.75" customHeight="1">
      <c r="A31" s="44">
        <v>15.0</v>
      </c>
      <c r="B31" s="45" t="s">
        <v>331</v>
      </c>
      <c r="C31" s="45" t="s">
        <v>332</v>
      </c>
      <c r="D31" s="46" t="s">
        <v>333</v>
      </c>
      <c r="E31" s="183">
        <v>4.3</v>
      </c>
      <c r="F31" s="183">
        <v>2.9</v>
      </c>
      <c r="G31" s="183">
        <v>2.0</v>
      </c>
      <c r="H31" s="184"/>
      <c r="I31" s="48">
        <f t="shared" si="1"/>
        <v>9.2</v>
      </c>
      <c r="J31" s="44"/>
      <c r="K31" s="187">
        <f t="shared" si="2"/>
        <v>9</v>
      </c>
      <c r="L31" s="188"/>
      <c r="M31" s="51">
        <f t="shared" si="3"/>
        <v>9</v>
      </c>
      <c r="N31" s="172"/>
      <c r="O31" s="172"/>
      <c r="P31" s="172"/>
      <c r="Q31" s="172"/>
      <c r="R31" s="172"/>
    </row>
    <row r="32" ht="24.75" customHeight="1">
      <c r="A32" s="44">
        <v>16.0</v>
      </c>
      <c r="B32" s="45" t="s">
        <v>198</v>
      </c>
      <c r="C32" s="45" t="s">
        <v>46</v>
      </c>
      <c r="D32" s="46" t="s">
        <v>334</v>
      </c>
      <c r="E32" s="183">
        <v>2.2</v>
      </c>
      <c r="F32" s="183">
        <v>2.1</v>
      </c>
      <c r="G32" s="183">
        <v>2.0</v>
      </c>
      <c r="H32" s="189">
        <v>1.0</v>
      </c>
      <c r="I32" s="48">
        <f t="shared" si="1"/>
        <v>7.3</v>
      </c>
      <c r="J32" s="44"/>
      <c r="K32" s="187">
        <f t="shared" si="2"/>
        <v>7</v>
      </c>
      <c r="L32" s="188"/>
      <c r="M32" s="51">
        <f t="shared" si="3"/>
        <v>7</v>
      </c>
      <c r="N32" s="172"/>
      <c r="O32" s="172"/>
      <c r="P32" s="172"/>
      <c r="Q32" s="172"/>
      <c r="R32" s="172"/>
    </row>
    <row r="33" ht="24.75" customHeight="1">
      <c r="A33" s="44">
        <v>17.0</v>
      </c>
      <c r="B33" s="45" t="s">
        <v>335</v>
      </c>
      <c r="C33" s="45" t="s">
        <v>104</v>
      </c>
      <c r="D33" s="46" t="s">
        <v>336</v>
      </c>
      <c r="E33" s="183">
        <v>2.6</v>
      </c>
      <c r="F33" s="183">
        <v>2.4</v>
      </c>
      <c r="G33" s="183">
        <v>2.0</v>
      </c>
      <c r="H33" s="184"/>
      <c r="I33" s="48">
        <f t="shared" si="1"/>
        <v>7</v>
      </c>
      <c r="J33" s="55">
        <v>2.0</v>
      </c>
      <c r="K33" s="187">
        <f t="shared" si="2"/>
        <v>7</v>
      </c>
      <c r="L33" s="188"/>
      <c r="M33" s="51">
        <f t="shared" si="3"/>
        <v>7</v>
      </c>
      <c r="N33" s="172"/>
      <c r="O33" s="172"/>
      <c r="P33" s="172"/>
      <c r="Q33" s="172"/>
      <c r="R33" s="172"/>
    </row>
    <row r="34" ht="24.75" customHeight="1">
      <c r="A34" s="44">
        <v>18.0</v>
      </c>
      <c r="B34" s="45" t="s">
        <v>89</v>
      </c>
      <c r="C34" s="45" t="s">
        <v>337</v>
      </c>
      <c r="D34" s="46" t="s">
        <v>338</v>
      </c>
      <c r="E34" s="183">
        <v>4.4</v>
      </c>
      <c r="F34" s="183">
        <v>2.4</v>
      </c>
      <c r="G34" s="183">
        <v>2.0</v>
      </c>
      <c r="H34" s="184"/>
      <c r="I34" s="48">
        <f t="shared" si="1"/>
        <v>8.8</v>
      </c>
      <c r="J34" s="46"/>
      <c r="K34" s="187">
        <f t="shared" si="2"/>
        <v>9</v>
      </c>
      <c r="L34" s="188"/>
      <c r="M34" s="51">
        <f t="shared" si="3"/>
        <v>9</v>
      </c>
      <c r="N34" s="172"/>
      <c r="O34" s="172"/>
      <c r="P34" s="172"/>
      <c r="Q34" s="172"/>
      <c r="R34" s="172"/>
    </row>
    <row r="35" ht="24.75" customHeight="1">
      <c r="A35" s="44">
        <v>19.0</v>
      </c>
      <c r="B35" s="45" t="s">
        <v>89</v>
      </c>
      <c r="C35" s="45" t="s">
        <v>66</v>
      </c>
      <c r="D35" s="46" t="s">
        <v>339</v>
      </c>
      <c r="E35" s="183">
        <v>4.2</v>
      </c>
      <c r="F35" s="183">
        <v>1.8</v>
      </c>
      <c r="G35" s="183">
        <v>0.6</v>
      </c>
      <c r="H35" s="184"/>
      <c r="I35" s="48">
        <f t="shared" si="1"/>
        <v>6.6</v>
      </c>
      <c r="J35" s="46"/>
      <c r="K35" s="187">
        <f t="shared" si="2"/>
        <v>7</v>
      </c>
      <c r="L35" s="188"/>
      <c r="M35" s="51">
        <f t="shared" si="3"/>
        <v>7</v>
      </c>
      <c r="N35" s="172"/>
      <c r="O35" s="172"/>
      <c r="P35" s="172"/>
      <c r="Q35" s="172"/>
      <c r="R35" s="172"/>
    </row>
    <row r="36" ht="24.75" customHeight="1">
      <c r="A36" s="44">
        <v>20.0</v>
      </c>
      <c r="B36" s="45" t="s">
        <v>340</v>
      </c>
      <c r="C36" s="45" t="s">
        <v>151</v>
      </c>
      <c r="D36" s="46" t="s">
        <v>341</v>
      </c>
      <c r="E36" s="183">
        <v>5.0</v>
      </c>
      <c r="F36" s="183">
        <v>2.7</v>
      </c>
      <c r="G36" s="183">
        <v>2.0</v>
      </c>
      <c r="H36" s="184"/>
      <c r="I36" s="48">
        <f t="shared" si="1"/>
        <v>9.7</v>
      </c>
      <c r="J36" s="46"/>
      <c r="K36" s="187">
        <f t="shared" si="2"/>
        <v>10</v>
      </c>
      <c r="L36" s="188"/>
      <c r="M36" s="51">
        <f t="shared" si="3"/>
        <v>10</v>
      </c>
      <c r="N36" s="172"/>
      <c r="O36" s="172"/>
      <c r="P36" s="172"/>
      <c r="Q36" s="172"/>
      <c r="R36" s="172"/>
    </row>
    <row r="37" ht="24.75" customHeight="1">
      <c r="A37" s="44">
        <v>21.0</v>
      </c>
      <c r="B37" s="45" t="s">
        <v>342</v>
      </c>
      <c r="C37" s="45" t="s">
        <v>93</v>
      </c>
      <c r="D37" s="46" t="s">
        <v>343</v>
      </c>
      <c r="E37" s="183">
        <v>1.0</v>
      </c>
      <c r="F37" s="183">
        <v>2.3</v>
      </c>
      <c r="G37" s="183">
        <v>0.8</v>
      </c>
      <c r="H37" s="184"/>
      <c r="I37" s="48">
        <f t="shared" si="1"/>
        <v>4.1</v>
      </c>
      <c r="J37" s="46"/>
      <c r="K37" s="187">
        <f t="shared" si="2"/>
        <v>5</v>
      </c>
      <c r="L37" s="188"/>
      <c r="M37" s="51">
        <f t="shared" si="3"/>
        <v>4</v>
      </c>
      <c r="N37" s="172"/>
      <c r="O37" s="172"/>
      <c r="P37" s="172"/>
      <c r="Q37" s="172"/>
      <c r="R37" s="172"/>
    </row>
    <row r="38" ht="24.75" customHeight="1">
      <c r="A38" s="44">
        <v>22.0</v>
      </c>
      <c r="B38" s="45" t="s">
        <v>93</v>
      </c>
      <c r="C38" s="45" t="s">
        <v>344</v>
      </c>
      <c r="D38" s="46" t="s">
        <v>345</v>
      </c>
      <c r="E38" s="183">
        <v>3.2</v>
      </c>
      <c r="F38" s="183">
        <v>1.4</v>
      </c>
      <c r="G38" s="183">
        <v>2.0</v>
      </c>
      <c r="H38" s="184"/>
      <c r="I38" s="48">
        <f t="shared" si="1"/>
        <v>6.6</v>
      </c>
      <c r="J38" s="46"/>
      <c r="K38" s="185">
        <f t="shared" si="2"/>
        <v>7</v>
      </c>
      <c r="L38" s="188"/>
      <c r="M38" s="51">
        <f t="shared" si="3"/>
        <v>7</v>
      </c>
      <c r="N38" s="172"/>
      <c r="O38" s="172"/>
      <c r="P38" s="172"/>
      <c r="Q38" s="172"/>
      <c r="R38" s="172"/>
    </row>
    <row r="39" ht="24.75" customHeight="1">
      <c r="A39" s="44">
        <v>23.0</v>
      </c>
      <c r="B39" s="45" t="s">
        <v>93</v>
      </c>
      <c r="C39" s="45" t="s">
        <v>346</v>
      </c>
      <c r="D39" s="46" t="s">
        <v>347</v>
      </c>
      <c r="E39" s="183">
        <v>4.5</v>
      </c>
      <c r="F39" s="183">
        <v>2.4</v>
      </c>
      <c r="G39" s="183">
        <v>2.0</v>
      </c>
      <c r="H39" s="184"/>
      <c r="I39" s="48">
        <f t="shared" si="1"/>
        <v>8.9</v>
      </c>
      <c r="J39" s="46"/>
      <c r="K39" s="187">
        <f t="shared" si="2"/>
        <v>9</v>
      </c>
      <c r="L39" s="188"/>
      <c r="M39" s="51">
        <f t="shared" si="3"/>
        <v>9</v>
      </c>
      <c r="N39" s="172"/>
      <c r="O39" s="172"/>
      <c r="P39" s="172"/>
      <c r="Q39" s="172"/>
      <c r="R39" s="172"/>
    </row>
    <row r="40" ht="24.75" customHeight="1">
      <c r="A40" s="44">
        <v>24.0</v>
      </c>
      <c r="B40" s="45" t="s">
        <v>93</v>
      </c>
      <c r="C40" s="45" t="s">
        <v>348</v>
      </c>
      <c r="D40" s="46" t="s">
        <v>349</v>
      </c>
      <c r="E40" s="183">
        <v>4.4</v>
      </c>
      <c r="F40" s="183">
        <v>2.6</v>
      </c>
      <c r="G40" s="183">
        <v>2.0</v>
      </c>
      <c r="H40" s="184"/>
      <c r="I40" s="48">
        <f t="shared" si="1"/>
        <v>9</v>
      </c>
      <c r="J40" s="46"/>
      <c r="K40" s="187">
        <f t="shared" si="2"/>
        <v>9</v>
      </c>
      <c r="L40" s="188"/>
      <c r="M40" s="51">
        <f t="shared" si="3"/>
        <v>9</v>
      </c>
      <c r="N40" s="172"/>
      <c r="O40" s="172"/>
      <c r="P40" s="172"/>
      <c r="Q40" s="172"/>
      <c r="R40" s="172"/>
    </row>
    <row r="41" ht="24.75" customHeight="1">
      <c r="A41" s="44">
        <v>25.0</v>
      </c>
      <c r="B41" s="45" t="s">
        <v>93</v>
      </c>
      <c r="C41" s="45" t="s">
        <v>129</v>
      </c>
      <c r="D41" s="46" t="s">
        <v>350</v>
      </c>
      <c r="E41" s="183">
        <v>3.9</v>
      </c>
      <c r="F41" s="183">
        <v>2.4</v>
      </c>
      <c r="G41" s="183">
        <v>1.4</v>
      </c>
      <c r="H41" s="184"/>
      <c r="I41" s="48">
        <f t="shared" si="1"/>
        <v>7.7</v>
      </c>
      <c r="J41" s="46"/>
      <c r="K41" s="187">
        <f t="shared" si="2"/>
        <v>8</v>
      </c>
      <c r="L41" s="188"/>
      <c r="M41" s="51">
        <f t="shared" si="3"/>
        <v>8</v>
      </c>
      <c r="N41" s="172"/>
      <c r="O41" s="172"/>
      <c r="P41" s="172"/>
      <c r="Q41" s="172"/>
      <c r="R41" s="172"/>
    </row>
    <row r="42" ht="24.75" customHeight="1">
      <c r="A42" s="44">
        <v>26.0</v>
      </c>
      <c r="B42" s="45" t="s">
        <v>351</v>
      </c>
      <c r="C42" s="45" t="s">
        <v>352</v>
      </c>
      <c r="D42" s="46" t="s">
        <v>353</v>
      </c>
      <c r="E42" s="183">
        <v>4.2</v>
      </c>
      <c r="F42" s="183">
        <v>2.3</v>
      </c>
      <c r="G42" s="183">
        <v>0.6</v>
      </c>
      <c r="H42" s="184"/>
      <c r="I42" s="48">
        <f t="shared" si="1"/>
        <v>7.1</v>
      </c>
      <c r="J42" s="46"/>
      <c r="K42" s="185">
        <f t="shared" si="2"/>
        <v>7</v>
      </c>
      <c r="L42" s="188"/>
      <c r="M42" s="51">
        <f t="shared" si="3"/>
        <v>7</v>
      </c>
      <c r="N42" s="172"/>
      <c r="O42" s="172"/>
      <c r="P42" s="172"/>
      <c r="Q42" s="172"/>
      <c r="R42" s="172"/>
    </row>
    <row r="43" ht="24.75" customHeight="1">
      <c r="A43" s="44">
        <v>27.0</v>
      </c>
      <c r="B43" s="45" t="s">
        <v>42</v>
      </c>
      <c r="C43" s="45" t="s">
        <v>99</v>
      </c>
      <c r="D43" s="46" t="s">
        <v>354</v>
      </c>
      <c r="E43" s="183">
        <v>4.9</v>
      </c>
      <c r="F43" s="183">
        <v>2.7</v>
      </c>
      <c r="G43" s="183">
        <v>2.0</v>
      </c>
      <c r="H43" s="184"/>
      <c r="I43" s="48">
        <f t="shared" si="1"/>
        <v>9.6</v>
      </c>
      <c r="J43" s="46"/>
      <c r="K43" s="187">
        <f t="shared" si="2"/>
        <v>10</v>
      </c>
      <c r="L43" s="188"/>
      <c r="M43" s="51">
        <f t="shared" si="3"/>
        <v>10</v>
      </c>
      <c r="N43" s="172"/>
      <c r="O43" s="172"/>
      <c r="P43" s="172"/>
      <c r="Q43" s="172"/>
      <c r="R43" s="172"/>
    </row>
    <row r="44" ht="24.75" customHeight="1">
      <c r="A44" s="44">
        <v>28.0</v>
      </c>
      <c r="B44" s="45" t="s">
        <v>355</v>
      </c>
      <c r="C44" s="45" t="s">
        <v>356</v>
      </c>
      <c r="D44" s="46" t="s">
        <v>357</v>
      </c>
      <c r="E44" s="183">
        <v>1.5</v>
      </c>
      <c r="F44" s="183">
        <v>2.4</v>
      </c>
      <c r="G44" s="183">
        <v>0.0</v>
      </c>
      <c r="H44" s="184"/>
      <c r="I44" s="48">
        <f t="shared" si="1"/>
        <v>3.9</v>
      </c>
      <c r="J44" s="55">
        <v>2.0</v>
      </c>
      <c r="K44" s="185">
        <f t="shared" si="2"/>
        <v>5</v>
      </c>
      <c r="L44" s="188"/>
      <c r="M44" s="51">
        <f t="shared" si="3"/>
        <v>3</v>
      </c>
      <c r="N44" s="172"/>
      <c r="O44" s="172"/>
      <c r="P44" s="172"/>
      <c r="Q44" s="172"/>
      <c r="R44" s="172"/>
    </row>
    <row r="45" ht="24.75" customHeight="1">
      <c r="A45" s="44">
        <v>29.0</v>
      </c>
      <c r="B45" s="45" t="s">
        <v>358</v>
      </c>
      <c r="C45" s="45" t="s">
        <v>231</v>
      </c>
      <c r="D45" s="46" t="s">
        <v>359</v>
      </c>
      <c r="E45" s="183">
        <v>2.7</v>
      </c>
      <c r="F45" s="183">
        <v>2.9</v>
      </c>
      <c r="G45" s="183">
        <v>2.0</v>
      </c>
      <c r="H45" s="184"/>
      <c r="I45" s="48">
        <f t="shared" si="1"/>
        <v>7.6</v>
      </c>
      <c r="J45" s="55">
        <v>1.0</v>
      </c>
      <c r="K45" s="187">
        <f t="shared" si="2"/>
        <v>8</v>
      </c>
      <c r="L45" s="188"/>
      <c r="M45" s="51">
        <f t="shared" si="3"/>
        <v>8</v>
      </c>
      <c r="N45" s="172"/>
      <c r="O45" s="172"/>
      <c r="P45" s="172"/>
      <c r="Q45" s="172"/>
      <c r="R45" s="172"/>
    </row>
    <row r="46" ht="24.75" customHeight="1">
      <c r="A46" s="44">
        <v>30.0</v>
      </c>
      <c r="B46" s="45" t="s">
        <v>104</v>
      </c>
      <c r="C46" s="45" t="s">
        <v>93</v>
      </c>
      <c r="D46" s="46" t="s">
        <v>360</v>
      </c>
      <c r="E46" s="183">
        <v>4.2</v>
      </c>
      <c r="F46" s="183">
        <v>1.8</v>
      </c>
      <c r="G46" s="183">
        <v>0.0</v>
      </c>
      <c r="H46" s="184"/>
      <c r="I46" s="48">
        <f t="shared" si="1"/>
        <v>6</v>
      </c>
      <c r="J46" s="55">
        <v>4.0</v>
      </c>
      <c r="K46" s="187">
        <f t="shared" si="2"/>
        <v>6</v>
      </c>
      <c r="L46" s="188"/>
      <c r="M46" s="51">
        <f t="shared" si="3"/>
        <v>6</v>
      </c>
      <c r="N46" s="172"/>
      <c r="O46" s="172"/>
      <c r="P46" s="172"/>
      <c r="Q46" s="172"/>
      <c r="R46" s="172"/>
    </row>
    <row r="47" ht="24.75" customHeight="1">
      <c r="A47" s="44">
        <v>31.0</v>
      </c>
      <c r="B47" s="45" t="s">
        <v>361</v>
      </c>
      <c r="C47" s="45" t="s">
        <v>329</v>
      </c>
      <c r="D47" s="46" t="s">
        <v>362</v>
      </c>
      <c r="E47" s="183">
        <v>5.5</v>
      </c>
      <c r="F47" s="183">
        <v>2.7</v>
      </c>
      <c r="G47" s="183">
        <v>1.8</v>
      </c>
      <c r="H47" s="184"/>
      <c r="I47" s="48">
        <f t="shared" si="1"/>
        <v>10</v>
      </c>
      <c r="J47" s="55">
        <v>4.0</v>
      </c>
      <c r="K47" s="187">
        <f t="shared" si="2"/>
        <v>10</v>
      </c>
      <c r="L47" s="188"/>
      <c r="M47" s="51">
        <f t="shared" si="3"/>
        <v>10</v>
      </c>
      <c r="N47" s="172"/>
      <c r="O47" s="172"/>
      <c r="P47" s="172"/>
      <c r="Q47" s="172"/>
      <c r="R47" s="172"/>
    </row>
    <row r="48" ht="24.75" customHeight="1">
      <c r="A48" s="44">
        <v>32.0</v>
      </c>
      <c r="B48" s="45" t="s">
        <v>54</v>
      </c>
      <c r="C48" s="45" t="s">
        <v>363</v>
      </c>
      <c r="D48" s="46" t="s">
        <v>364</v>
      </c>
      <c r="E48" s="183">
        <v>6.0</v>
      </c>
      <c r="F48" s="183">
        <v>2.3</v>
      </c>
      <c r="G48" s="183">
        <v>2.0</v>
      </c>
      <c r="H48" s="184"/>
      <c r="I48" s="48">
        <f t="shared" si="1"/>
        <v>10.3</v>
      </c>
      <c r="J48" s="55">
        <v>5.0</v>
      </c>
      <c r="K48" s="185">
        <f t="shared" si="2"/>
        <v>10</v>
      </c>
      <c r="L48" s="188"/>
      <c r="M48" s="51">
        <f t="shared" si="3"/>
        <v>10</v>
      </c>
      <c r="N48" s="172"/>
      <c r="O48" s="172"/>
      <c r="P48" s="172"/>
      <c r="Q48" s="172"/>
      <c r="R48" s="172"/>
    </row>
    <row r="49" ht="24.75" customHeight="1">
      <c r="A49" s="44">
        <v>33.0</v>
      </c>
      <c r="B49" s="45" t="s">
        <v>365</v>
      </c>
      <c r="C49" s="45" t="s">
        <v>366</v>
      </c>
      <c r="D49" s="46" t="s">
        <v>367</v>
      </c>
      <c r="E49" s="183">
        <v>1.9</v>
      </c>
      <c r="F49" s="183">
        <v>2.4</v>
      </c>
      <c r="G49" s="183">
        <v>1.8</v>
      </c>
      <c r="H49" s="184"/>
      <c r="I49" s="48">
        <f t="shared" si="1"/>
        <v>6.1</v>
      </c>
      <c r="J49" s="55">
        <v>5.0</v>
      </c>
      <c r="K49" s="187">
        <f t="shared" si="2"/>
        <v>6</v>
      </c>
      <c r="L49" s="188"/>
      <c r="M49" s="51">
        <f t="shared" si="3"/>
        <v>6</v>
      </c>
      <c r="N49" s="172"/>
      <c r="O49" s="172"/>
      <c r="P49" s="172"/>
      <c r="Q49" s="172"/>
      <c r="R49" s="172"/>
    </row>
    <row r="50" ht="24.75" customHeight="1">
      <c r="A50" s="44">
        <v>34.0</v>
      </c>
      <c r="B50" s="45" t="s">
        <v>368</v>
      </c>
      <c r="C50" s="45" t="s">
        <v>369</v>
      </c>
      <c r="D50" s="46" t="s">
        <v>370</v>
      </c>
      <c r="E50" s="183">
        <v>4.1</v>
      </c>
      <c r="F50" s="183">
        <v>2.9</v>
      </c>
      <c r="G50" s="183">
        <v>2.0</v>
      </c>
      <c r="H50" s="189">
        <v>1.0</v>
      </c>
      <c r="I50" s="48">
        <f t="shared" si="1"/>
        <v>10</v>
      </c>
      <c r="J50" s="55">
        <v>1.0</v>
      </c>
      <c r="K50" s="187">
        <f t="shared" si="2"/>
        <v>10</v>
      </c>
      <c r="L50" s="188"/>
      <c r="M50" s="51">
        <f t="shared" si="3"/>
        <v>10</v>
      </c>
      <c r="N50" s="172"/>
      <c r="O50" s="172"/>
      <c r="P50" s="172"/>
      <c r="Q50" s="172"/>
      <c r="R50" s="172"/>
    </row>
    <row r="51" ht="24.75" customHeight="1">
      <c r="A51" s="44">
        <v>35.0</v>
      </c>
      <c r="B51" s="45" t="s">
        <v>151</v>
      </c>
      <c r="C51" s="45" t="s">
        <v>371</v>
      </c>
      <c r="D51" s="46" t="s">
        <v>372</v>
      </c>
      <c r="E51" s="183">
        <v>2.9</v>
      </c>
      <c r="F51" s="183">
        <v>1.2</v>
      </c>
      <c r="G51" s="183">
        <v>2.0</v>
      </c>
      <c r="H51" s="184"/>
      <c r="I51" s="48">
        <f t="shared" si="1"/>
        <v>6.1</v>
      </c>
      <c r="J51" s="55">
        <v>2.0</v>
      </c>
      <c r="K51" s="185">
        <f t="shared" si="2"/>
        <v>6</v>
      </c>
      <c r="L51" s="188"/>
      <c r="M51" s="51">
        <f t="shared" si="3"/>
        <v>6</v>
      </c>
      <c r="N51" s="172"/>
      <c r="O51" s="172"/>
      <c r="P51" s="172"/>
      <c r="Q51" s="172"/>
      <c r="R51" s="172"/>
    </row>
    <row r="52" ht="24.75" customHeight="1">
      <c r="A52" s="44">
        <v>36.0</v>
      </c>
      <c r="B52" s="45" t="s">
        <v>176</v>
      </c>
      <c r="C52" s="45" t="s">
        <v>124</v>
      </c>
      <c r="D52" s="46" t="s">
        <v>373</v>
      </c>
      <c r="E52" s="183">
        <v>1.9</v>
      </c>
      <c r="F52" s="183">
        <v>2.3</v>
      </c>
      <c r="G52" s="183">
        <v>2.0</v>
      </c>
      <c r="H52" s="184"/>
      <c r="I52" s="48">
        <f t="shared" si="1"/>
        <v>6.2</v>
      </c>
      <c r="J52" s="55">
        <v>3.0</v>
      </c>
      <c r="K52" s="187">
        <f t="shared" si="2"/>
        <v>6</v>
      </c>
      <c r="L52" s="188"/>
      <c r="M52" s="45">
        <f t="shared" si="3"/>
        <v>6</v>
      </c>
      <c r="N52" s="172"/>
      <c r="O52" s="172"/>
      <c r="P52" s="172"/>
      <c r="Q52" s="172"/>
      <c r="R52" s="172"/>
    </row>
    <row r="53" ht="24.75" customHeight="1">
      <c r="A53" s="44">
        <v>37.0</v>
      </c>
      <c r="B53" s="45" t="s">
        <v>374</v>
      </c>
      <c r="C53" s="45" t="s">
        <v>118</v>
      </c>
      <c r="D53" s="46" t="s">
        <v>375</v>
      </c>
      <c r="E53" s="183">
        <v>2.3</v>
      </c>
      <c r="F53" s="183">
        <v>0.6</v>
      </c>
      <c r="G53" s="183">
        <v>1.6</v>
      </c>
      <c r="H53" s="184"/>
      <c r="I53" s="48">
        <f t="shared" si="1"/>
        <v>4.5</v>
      </c>
      <c r="J53" s="47">
        <v>8.0</v>
      </c>
      <c r="K53" s="185">
        <f t="shared" si="2"/>
        <v>5</v>
      </c>
      <c r="L53" s="188"/>
      <c r="M53" s="45">
        <f t="shared" si="3"/>
        <v>4</v>
      </c>
      <c r="N53" s="172"/>
      <c r="O53" s="172"/>
      <c r="P53" s="172"/>
      <c r="Q53" s="172"/>
      <c r="R53" s="172"/>
    </row>
    <row r="54" ht="24.75" customHeight="1">
      <c r="A54" s="44">
        <v>38.0</v>
      </c>
      <c r="B54" s="45" t="s">
        <v>217</v>
      </c>
      <c r="C54" s="45" t="s">
        <v>376</v>
      </c>
      <c r="D54" s="46" t="s">
        <v>377</v>
      </c>
      <c r="E54" s="183">
        <v>2.4</v>
      </c>
      <c r="F54" s="183">
        <v>0.6</v>
      </c>
      <c r="G54" s="183">
        <v>0.0</v>
      </c>
      <c r="H54" s="184"/>
      <c r="I54" s="48">
        <f t="shared" si="1"/>
        <v>3</v>
      </c>
      <c r="J54" s="47">
        <v>2.0</v>
      </c>
      <c r="K54" s="185">
        <f t="shared" si="2"/>
        <v>5</v>
      </c>
      <c r="L54" s="188"/>
      <c r="M54" s="45">
        <f t="shared" si="3"/>
        <v>3</v>
      </c>
      <c r="N54" s="172"/>
      <c r="O54" s="172"/>
      <c r="P54" s="172"/>
      <c r="Q54" s="172"/>
      <c r="R54" s="172"/>
    </row>
    <row r="55" ht="24.75" customHeight="1">
      <c r="A55" s="44">
        <v>39.0</v>
      </c>
      <c r="B55" s="45" t="s">
        <v>96</v>
      </c>
      <c r="C55" s="45" t="s">
        <v>287</v>
      </c>
      <c r="D55" s="46" t="s">
        <v>378</v>
      </c>
      <c r="E55" s="183">
        <v>2.4</v>
      </c>
      <c r="F55" s="183">
        <v>2.4</v>
      </c>
      <c r="G55" s="183">
        <v>2.0</v>
      </c>
      <c r="H55" s="184"/>
      <c r="I55" s="48">
        <f t="shared" si="1"/>
        <v>6.8</v>
      </c>
      <c r="J55" s="46"/>
      <c r="K55" s="187">
        <f t="shared" si="2"/>
        <v>7</v>
      </c>
      <c r="L55" s="188"/>
      <c r="M55" s="45">
        <f t="shared" si="3"/>
        <v>7</v>
      </c>
      <c r="N55" s="172"/>
      <c r="O55" s="172"/>
      <c r="P55" s="172"/>
      <c r="Q55" s="172"/>
      <c r="R55" s="172"/>
    </row>
    <row r="56" ht="24.75" customHeight="1">
      <c r="A56" s="176"/>
      <c r="B56" s="191"/>
      <c r="C56" s="191"/>
      <c r="D56" s="191"/>
      <c r="E56" s="192"/>
      <c r="F56" s="192"/>
      <c r="G56" s="192"/>
      <c r="H56" s="192"/>
      <c r="I56" s="192"/>
      <c r="J56" s="178"/>
      <c r="K56" s="191"/>
      <c r="L56" s="177"/>
      <c r="M56" s="191"/>
      <c r="N56" s="172"/>
      <c r="O56" s="172"/>
      <c r="P56" s="172"/>
      <c r="Q56" s="172"/>
      <c r="R56" s="172"/>
    </row>
    <row r="57" ht="24.75" customHeight="1">
      <c r="A57" s="172"/>
      <c r="B57" s="63" t="s">
        <v>135</v>
      </c>
      <c r="C57" s="64"/>
      <c r="D57" s="65">
        <f>COUNT(A17:A55)</f>
        <v>39</v>
      </c>
      <c r="E57" s="192"/>
      <c r="F57" s="192"/>
      <c r="G57" s="66" t="s">
        <v>136</v>
      </c>
      <c r="H57" s="192"/>
      <c r="I57" s="66" t="s">
        <v>137</v>
      </c>
      <c r="K57" s="67" t="s">
        <v>138</v>
      </c>
      <c r="L57" s="68" t="s">
        <v>139</v>
      </c>
      <c r="M57" s="191"/>
      <c r="N57" s="172"/>
      <c r="O57" s="172"/>
      <c r="P57" s="172"/>
      <c r="Q57" s="172"/>
      <c r="R57" s="172"/>
    </row>
    <row r="58" ht="24.75" customHeight="1">
      <c r="A58" s="172"/>
      <c r="B58" s="69" t="s">
        <v>140</v>
      </c>
      <c r="C58" s="70"/>
      <c r="D58" s="193">
        <f>COUNTIF(K17:K55,"BAJA")</f>
        <v>0</v>
      </c>
      <c r="E58" s="192"/>
      <c r="F58" s="192"/>
      <c r="H58" s="192"/>
      <c r="L58" s="9"/>
      <c r="M58" s="191"/>
      <c r="N58" s="172"/>
      <c r="O58" s="172"/>
      <c r="P58" s="172"/>
      <c r="Q58" s="172"/>
      <c r="R58" s="172"/>
    </row>
    <row r="59" ht="24.75" customHeight="1">
      <c r="A59" s="172"/>
      <c r="B59" s="69" t="s">
        <v>141</v>
      </c>
      <c r="C59" s="70"/>
      <c r="D59" s="72">
        <f>D57-D58</f>
        <v>39</v>
      </c>
      <c r="E59" s="192"/>
      <c r="F59" s="192"/>
      <c r="G59" s="192"/>
      <c r="H59" s="192"/>
      <c r="I59" s="192"/>
      <c r="J59" s="192"/>
      <c r="K59" s="191"/>
      <c r="L59" s="177"/>
      <c r="M59" s="191"/>
      <c r="N59" s="172"/>
      <c r="O59" s="172"/>
      <c r="P59" s="172"/>
      <c r="Q59" s="172"/>
      <c r="R59" s="172"/>
    </row>
    <row r="60" ht="24.75" customHeight="1">
      <c r="A60" s="172"/>
      <c r="B60" s="69" t="s">
        <v>142</v>
      </c>
      <c r="C60" s="70"/>
      <c r="D60" s="73">
        <f>COUNTIF(K17:K55,"&gt;=6")</f>
        <v>33</v>
      </c>
      <c r="E60" s="192"/>
      <c r="F60" s="192"/>
      <c r="G60" s="192"/>
      <c r="H60" s="192"/>
      <c r="I60" s="192"/>
      <c r="J60" s="192"/>
      <c r="K60" s="191"/>
      <c r="L60" s="177"/>
      <c r="M60" s="191"/>
      <c r="N60" s="172"/>
      <c r="O60" s="172"/>
      <c r="P60" s="172"/>
      <c r="Q60" s="172"/>
      <c r="R60" s="172"/>
    </row>
    <row r="61" ht="24.75" customHeight="1">
      <c r="A61" s="172"/>
      <c r="B61" s="69" t="s">
        <v>143</v>
      </c>
      <c r="C61" s="70"/>
      <c r="D61" s="73">
        <f>D59-D60</f>
        <v>6</v>
      </c>
      <c r="E61" s="192"/>
      <c r="F61" s="192"/>
      <c r="G61" s="194"/>
      <c r="H61" s="192"/>
      <c r="I61" s="194"/>
      <c r="J61" s="194"/>
      <c r="K61" s="195"/>
      <c r="L61" s="196"/>
      <c r="M61" s="191"/>
      <c r="N61" s="172"/>
      <c r="O61" s="172"/>
      <c r="P61" s="172"/>
      <c r="Q61" s="172"/>
      <c r="R61" s="172"/>
    </row>
    <row r="62" ht="24.75" customHeight="1">
      <c r="A62" s="172"/>
      <c r="B62" s="69" t="s">
        <v>144</v>
      </c>
      <c r="C62" s="70"/>
      <c r="D62" s="72">
        <f>D60*100/D59</f>
        <v>84.61538462</v>
      </c>
      <c r="E62" s="192"/>
      <c r="F62" s="192"/>
      <c r="G62" s="77" t="s">
        <v>145</v>
      </c>
      <c r="H62" s="192"/>
      <c r="I62" s="78" t="s">
        <v>379</v>
      </c>
      <c r="K62" s="79" t="s">
        <v>147</v>
      </c>
      <c r="L62" s="80" t="s">
        <v>148</v>
      </c>
      <c r="M62" s="191"/>
      <c r="N62" s="172"/>
      <c r="O62" s="172"/>
      <c r="P62" s="172"/>
      <c r="Q62" s="172"/>
      <c r="R62" s="172"/>
    </row>
    <row r="63" ht="24.75" customHeight="1">
      <c r="A63" s="172"/>
      <c r="B63" s="81" t="s">
        <v>149</v>
      </c>
      <c r="C63" s="82"/>
      <c r="D63" s="83">
        <f>AVERAGE(K17:K55)</f>
        <v>7.58974359</v>
      </c>
      <c r="E63" s="192"/>
      <c r="F63" s="192"/>
      <c r="H63" s="192"/>
      <c r="L63" s="9"/>
      <c r="M63" s="191"/>
      <c r="N63" s="172"/>
      <c r="O63" s="172"/>
      <c r="P63" s="172"/>
      <c r="Q63" s="172"/>
      <c r="R63" s="172"/>
    </row>
    <row r="64" ht="24.75" customHeight="1">
      <c r="A64" s="176"/>
      <c r="B64" s="191"/>
      <c r="C64" s="191"/>
      <c r="D64" s="197"/>
      <c r="E64" s="192"/>
      <c r="F64" s="192"/>
      <c r="G64" s="192"/>
      <c r="H64" s="192"/>
      <c r="I64" s="192"/>
      <c r="J64" s="192"/>
      <c r="K64" s="191"/>
      <c r="L64" s="177"/>
      <c r="M64" s="191"/>
      <c r="N64" s="172"/>
      <c r="O64" s="172"/>
      <c r="P64" s="172"/>
      <c r="Q64" s="172"/>
      <c r="R64" s="172"/>
    </row>
    <row r="65" ht="24.75" customHeight="1">
      <c r="A65" s="198"/>
      <c r="B65" s="199"/>
      <c r="C65" s="200"/>
      <c r="D65" s="201"/>
      <c r="E65" s="192"/>
      <c r="H65" s="192"/>
      <c r="I65" s="192"/>
      <c r="J65" s="192"/>
      <c r="K65" s="191"/>
      <c r="L65" s="177"/>
      <c r="M65" s="191"/>
      <c r="N65" s="172"/>
      <c r="O65" s="172"/>
      <c r="P65" s="172"/>
      <c r="Q65" s="172"/>
      <c r="R65" s="172"/>
    </row>
    <row r="66" ht="24.75" customHeight="1">
      <c r="A66" s="176"/>
      <c r="B66" s="191"/>
      <c r="C66" s="191"/>
      <c r="D66" s="191"/>
      <c r="E66" s="192"/>
      <c r="F66" s="192"/>
      <c r="G66" s="192"/>
      <c r="H66" s="192"/>
      <c r="I66" s="192"/>
      <c r="J66" s="192"/>
      <c r="K66" s="191"/>
      <c r="L66" s="177"/>
      <c r="M66" s="191"/>
      <c r="N66" s="172"/>
      <c r="O66" s="172"/>
      <c r="P66" s="172"/>
      <c r="Q66" s="172"/>
      <c r="R66" s="172"/>
    </row>
    <row r="67" ht="24.75" customHeight="1">
      <c r="A67" s="176"/>
      <c r="B67" s="191"/>
      <c r="C67" s="191"/>
      <c r="D67" s="197"/>
      <c r="E67" s="192"/>
      <c r="F67" s="192"/>
      <c r="G67" s="192"/>
      <c r="H67" s="192"/>
      <c r="I67" s="192"/>
      <c r="J67" s="192"/>
      <c r="K67" s="191"/>
      <c r="L67" s="177"/>
      <c r="M67" s="191"/>
      <c r="N67" s="172"/>
      <c r="O67" s="172"/>
      <c r="P67" s="172"/>
      <c r="Q67" s="172"/>
      <c r="R67" s="172"/>
    </row>
    <row r="68" ht="24.75" customHeight="1">
      <c r="A68" s="202"/>
      <c r="B68" s="203"/>
      <c r="C68" s="203"/>
      <c r="D68" s="204"/>
      <c r="E68" s="205"/>
      <c r="F68" s="205"/>
      <c r="G68" s="205"/>
      <c r="H68" s="205"/>
      <c r="I68" s="205"/>
      <c r="J68" s="206"/>
      <c r="K68" s="203"/>
      <c r="L68" s="207"/>
      <c r="M68" s="191"/>
      <c r="N68" s="172"/>
      <c r="O68" s="172"/>
      <c r="P68" s="172"/>
      <c r="Q68" s="172"/>
      <c r="R68" s="172"/>
    </row>
    <row r="69" ht="24.75" customHeight="1">
      <c r="A69" s="172"/>
      <c r="B69" s="191"/>
      <c r="C69" s="191"/>
      <c r="D69" s="191"/>
      <c r="E69" s="192"/>
      <c r="F69" s="192"/>
      <c r="G69" s="192"/>
      <c r="H69" s="192"/>
      <c r="I69" s="192"/>
      <c r="J69" s="192"/>
      <c r="K69" s="191"/>
      <c r="L69" s="172"/>
      <c r="M69" s="191"/>
      <c r="N69" s="172"/>
      <c r="O69" s="172"/>
      <c r="P69" s="172"/>
      <c r="Q69" s="172"/>
      <c r="R69" s="172"/>
    </row>
    <row r="70" ht="24.75" customHeight="1">
      <c r="A70" s="172"/>
      <c r="B70" s="191"/>
      <c r="C70" s="191"/>
      <c r="D70" s="191"/>
      <c r="E70" s="192"/>
      <c r="F70" s="192"/>
      <c r="G70" s="192"/>
      <c r="H70" s="192"/>
      <c r="I70" s="192"/>
      <c r="J70" s="192"/>
      <c r="K70" s="191"/>
      <c r="L70" s="191"/>
      <c r="M70" s="191"/>
      <c r="N70" s="172"/>
      <c r="O70" s="172"/>
      <c r="P70" s="172"/>
      <c r="Q70" s="172"/>
      <c r="R70" s="172"/>
    </row>
    <row r="71" ht="21.75" customHeight="1">
      <c r="A71" s="208"/>
      <c r="B71" s="178"/>
      <c r="C71" s="178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</row>
    <row r="72" ht="21.75" customHeight="1">
      <c r="A72" s="208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