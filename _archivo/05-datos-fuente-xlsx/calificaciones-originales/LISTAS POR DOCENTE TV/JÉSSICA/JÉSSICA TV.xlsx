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ingles iv" sheetId="1" r:id="rId5"/>
    <sheet state="visible" name="2-2 ingles iv" sheetId="2" r:id="rId6"/>
  </sheets>
  <definedNames/>
  <calcPr/>
</workbook>
</file>

<file path=xl/sharedStrings.xml><?xml version="1.0" encoding="utf-8"?>
<sst xmlns="http://schemas.openxmlformats.org/spreadsheetml/2006/main" count="316" uniqueCount="227">
  <si>
    <t>ESCUELA PREPARATORIA OFICIAL NÚM. 67</t>
  </si>
  <si>
    <t xml:space="preserve">CONTROL PRIMER PARCIAL </t>
  </si>
  <si>
    <t xml:space="preserve">PROFESOR (A): </t>
  </si>
  <si>
    <t>Jessica Alcántara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</si>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</sst>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64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63</xdr:row>
      <xdr:rowOff>314325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295275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0.0</v>
      </c>
      <c r="F17" s="47">
        <v>0.0</v>
      </c>
      <c r="G17" s="47">
        <v>0.0</v>
      </c>
      <c r="H17" s="48"/>
      <c r="I17" s="48">
        <f t="shared" ref="I17:I55" si="1">SUM(E17:H17)</f>
        <v>0</v>
      </c>
      <c r="J17" s="49">
        <v>7.0</v>
      </c>
      <c r="K17" s="50">
        <f t="shared" ref="K17:K55" si="2">IF(I17&lt;6, 5, MIN(ROUND(I17, 0), 10))</f>
        <v>5</v>
      </c>
      <c r="L17" s="45"/>
      <c r="M17" s="51">
        <f t="shared" ref="M17:M55" si="3">IF(I17&gt;=6,ROUND(I17,0),TRUNC(I17,0))</f>
        <v>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4.0</v>
      </c>
      <c r="F18" s="47">
        <v>2.9</v>
      </c>
      <c r="G18" s="47">
        <v>1.8</v>
      </c>
      <c r="H18" s="48"/>
      <c r="I18" s="48">
        <f t="shared" si="1"/>
        <v>8.7</v>
      </c>
      <c r="J18" s="49">
        <v>3.0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12.0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1.1</v>
      </c>
      <c r="F19" s="47">
        <v>2.5</v>
      </c>
      <c r="G19" s="47">
        <v>1.0</v>
      </c>
      <c r="H19" s="48"/>
      <c r="I19" s="48">
        <f t="shared" si="1"/>
        <v>4.6</v>
      </c>
      <c r="J19" s="49">
        <v>2.0</v>
      </c>
      <c r="K19" s="50">
        <f t="shared" si="2"/>
        <v>5</v>
      </c>
      <c r="L19" s="44"/>
      <c r="M19" s="51">
        <f t="shared" si="3"/>
        <v>4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5.0</v>
      </c>
      <c r="F20" s="47">
        <v>2.7</v>
      </c>
      <c r="G20" s="47">
        <v>2.0</v>
      </c>
      <c r="H20" s="48"/>
      <c r="I20" s="48">
        <f t="shared" si="1"/>
        <v>9.7</v>
      </c>
      <c r="J20" s="49">
        <v>1.0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2.1</v>
      </c>
      <c r="F21" s="47">
        <v>2.2</v>
      </c>
      <c r="G21" s="47">
        <v>2.0</v>
      </c>
      <c r="H21" s="48"/>
      <c r="I21" s="48">
        <f t="shared" si="1"/>
        <v>6.3</v>
      </c>
      <c r="J21" s="49">
        <v>0.0</v>
      </c>
      <c r="K21" s="50">
        <f t="shared" si="2"/>
        <v>6</v>
      </c>
      <c r="L21" s="44"/>
      <c r="M21" s="51">
        <f t="shared" si="3"/>
        <v>6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2.2</v>
      </c>
      <c r="F22" s="47">
        <v>2.7</v>
      </c>
      <c r="G22" s="47">
        <v>2.0</v>
      </c>
      <c r="H22" s="48"/>
      <c r="I22" s="48">
        <f t="shared" si="1"/>
        <v>6.9</v>
      </c>
      <c r="J22" s="49">
        <v>6.0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14.0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0.7</v>
      </c>
      <c r="F23" s="47">
        <v>1.6</v>
      </c>
      <c r="G23" s="47">
        <v>0.0</v>
      </c>
      <c r="H23" s="48"/>
      <c r="I23" s="48">
        <f t="shared" si="1"/>
        <v>2.3</v>
      </c>
      <c r="J23" s="49">
        <v>8.0</v>
      </c>
      <c r="K23" s="50">
        <f t="shared" si="2"/>
        <v>5</v>
      </c>
      <c r="L23" s="44"/>
      <c r="M23" s="51">
        <f t="shared" si="3"/>
        <v>2</v>
      </c>
      <c r="N23" s="53" t="s">
        <v>50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1.0</v>
      </c>
      <c r="F24" s="47">
        <v>2.8</v>
      </c>
      <c r="G24" s="47">
        <v>0.0</v>
      </c>
      <c r="H24" s="48"/>
      <c r="I24" s="48">
        <f t="shared" si="1"/>
        <v>3.8</v>
      </c>
      <c r="J24" s="49">
        <v>0.0</v>
      </c>
      <c r="K24" s="50">
        <f t="shared" si="2"/>
        <v>5</v>
      </c>
      <c r="L24" s="44"/>
      <c r="M24" s="51">
        <f t="shared" si="3"/>
        <v>3</v>
      </c>
      <c r="N24" s="53" t="s">
        <v>54</v>
      </c>
      <c r="O24" s="53">
        <f>SUM(O18:O23)</f>
        <v>65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2.7</v>
      </c>
      <c r="F25" s="47">
        <v>2.4</v>
      </c>
      <c r="G25" s="47">
        <v>0.0</v>
      </c>
      <c r="H25" s="48"/>
      <c r="I25" s="48">
        <f t="shared" si="1"/>
        <v>5.1</v>
      </c>
      <c r="J25" s="49">
        <v>2.0</v>
      </c>
      <c r="K25" s="50">
        <f t="shared" si="2"/>
        <v>5</v>
      </c>
      <c r="L25" s="44"/>
      <c r="M25" s="51">
        <f t="shared" si="3"/>
        <v>5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1.1</v>
      </c>
      <c r="F26" s="47">
        <v>2.6</v>
      </c>
      <c r="G26" s="47">
        <v>1.0</v>
      </c>
      <c r="H26" s="48"/>
      <c r="I26" s="48">
        <f t="shared" si="1"/>
        <v>4.7</v>
      </c>
      <c r="J26" s="49">
        <v>0.0</v>
      </c>
      <c r="K26" s="50">
        <f t="shared" si="2"/>
        <v>5</v>
      </c>
      <c r="L26" s="44"/>
      <c r="M26" s="51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47">
        <v>4.0</v>
      </c>
      <c r="F27" s="47">
        <v>2.8</v>
      </c>
      <c r="G27" s="47">
        <v>1.8</v>
      </c>
      <c r="H27" s="48"/>
      <c r="I27" s="48">
        <f t="shared" si="1"/>
        <v>8.6</v>
      </c>
      <c r="J27" s="49">
        <v>4.0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2.6</v>
      </c>
      <c r="F28" s="47">
        <v>2.4</v>
      </c>
      <c r="G28" s="47">
        <v>1.8</v>
      </c>
      <c r="H28" s="47">
        <v>1.0</v>
      </c>
      <c r="I28" s="48">
        <f t="shared" si="1"/>
        <v>7.8</v>
      </c>
      <c r="J28" s="49">
        <v>0.0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3.5</v>
      </c>
      <c r="F29" s="47">
        <v>2.6</v>
      </c>
      <c r="G29" s="47">
        <v>1.8</v>
      </c>
      <c r="H29" s="48"/>
      <c r="I29" s="48">
        <f t="shared" si="1"/>
        <v>7.9</v>
      </c>
      <c r="J29" s="49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5.0</v>
      </c>
      <c r="F30" s="47">
        <v>2.9</v>
      </c>
      <c r="G30" s="47">
        <v>2.0</v>
      </c>
      <c r="H30" s="47">
        <v>1.0</v>
      </c>
      <c r="I30" s="48">
        <f t="shared" si="1"/>
        <v>10.9</v>
      </c>
      <c r="J30" s="49">
        <v>0.0</v>
      </c>
      <c r="K30" s="50">
        <f t="shared" si="2"/>
        <v>10</v>
      </c>
      <c r="L30" s="44"/>
      <c r="M30" s="51">
        <f t="shared" si="3"/>
        <v>11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0.6</v>
      </c>
      <c r="F31" s="47">
        <v>2.4</v>
      </c>
      <c r="G31" s="47">
        <v>0.0</v>
      </c>
      <c r="H31" s="48"/>
      <c r="I31" s="48">
        <f t="shared" si="1"/>
        <v>3</v>
      </c>
      <c r="J31" s="49">
        <v>2.0</v>
      </c>
      <c r="K31" s="50">
        <f t="shared" si="2"/>
        <v>5</v>
      </c>
      <c r="L31" s="44"/>
      <c r="M31" s="51">
        <f t="shared" si="3"/>
        <v>3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0.8</v>
      </c>
      <c r="F32" s="47">
        <v>2.6</v>
      </c>
      <c r="G32" s="47">
        <v>0.0</v>
      </c>
      <c r="H32" s="47">
        <v>1.0</v>
      </c>
      <c r="I32" s="48">
        <f t="shared" si="1"/>
        <v>4.4</v>
      </c>
      <c r="J32" s="49">
        <v>2.0</v>
      </c>
      <c r="K32" s="50">
        <f t="shared" si="2"/>
        <v>5</v>
      </c>
      <c r="L32" s="44"/>
      <c r="M32" s="51">
        <f t="shared" si="3"/>
        <v>4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1.7</v>
      </c>
      <c r="F33" s="47">
        <v>2.5</v>
      </c>
      <c r="G33" s="47">
        <v>1.8</v>
      </c>
      <c r="H33" s="48"/>
      <c r="I33" s="48">
        <f t="shared" si="1"/>
        <v>6</v>
      </c>
      <c r="J33" s="49">
        <v>2.0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5.0</v>
      </c>
      <c r="F34" s="47">
        <v>2.6</v>
      </c>
      <c r="G34" s="47">
        <v>2.0</v>
      </c>
      <c r="H34" s="48"/>
      <c r="I34" s="48">
        <f t="shared" si="1"/>
        <v>9.6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5.0</v>
      </c>
      <c r="F35" s="47">
        <v>1.5</v>
      </c>
      <c r="G35" s="47">
        <v>2.0</v>
      </c>
      <c r="H35" s="48"/>
      <c r="I35" s="48">
        <f t="shared" si="1"/>
        <v>8.5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5.0</v>
      </c>
      <c r="F36" s="47">
        <v>2.9</v>
      </c>
      <c r="G36" s="47">
        <v>2.0</v>
      </c>
      <c r="H36" s="48"/>
      <c r="I36" s="48">
        <f t="shared" si="1"/>
        <v>9.9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1.7</v>
      </c>
      <c r="F37" s="47">
        <v>1.2</v>
      </c>
      <c r="G37" s="47">
        <v>1.6</v>
      </c>
      <c r="H37" s="48"/>
      <c r="I37" s="48">
        <f t="shared" si="1"/>
        <v>4.5</v>
      </c>
      <c r="J37" s="49">
        <v>4.0</v>
      </c>
      <c r="K37" s="50">
        <f t="shared" si="2"/>
        <v>5</v>
      </c>
      <c r="L37" s="44"/>
      <c r="M37" s="51">
        <f t="shared" si="3"/>
        <v>4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3.1</v>
      </c>
      <c r="F38" s="47">
        <v>2.6</v>
      </c>
      <c r="G38" s="47">
        <v>0.0</v>
      </c>
      <c r="H38" s="48"/>
      <c r="I38" s="48">
        <f t="shared" si="1"/>
        <v>5.7</v>
      </c>
      <c r="J38" s="49">
        <v>3.0</v>
      </c>
      <c r="K38" s="50">
        <f t="shared" si="2"/>
        <v>5</v>
      </c>
      <c r="L38" s="44"/>
      <c r="M38" s="51">
        <f t="shared" si="3"/>
        <v>5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5.0</v>
      </c>
      <c r="F39" s="47">
        <v>2.4</v>
      </c>
      <c r="G39" s="47">
        <v>2.0</v>
      </c>
      <c r="H39" s="48"/>
      <c r="I39" s="48">
        <f t="shared" si="1"/>
        <v>9.4</v>
      </c>
      <c r="J39" s="49">
        <v>2.0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2.9</v>
      </c>
      <c r="F40" s="47">
        <v>2.1</v>
      </c>
      <c r="G40" s="47">
        <v>1.1</v>
      </c>
      <c r="H40" s="48"/>
      <c r="I40" s="48">
        <f t="shared" si="1"/>
        <v>6.1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4.3</v>
      </c>
      <c r="F41" s="47">
        <v>2.6</v>
      </c>
      <c r="G41" s="47">
        <v>2.0</v>
      </c>
      <c r="H41" s="48"/>
      <c r="I41" s="48">
        <f t="shared" si="1"/>
        <v>8.9</v>
      </c>
      <c r="J41" s="49">
        <v>0.0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2.6</v>
      </c>
      <c r="F42" s="47">
        <v>2.7</v>
      </c>
      <c r="G42" s="47">
        <v>2.0</v>
      </c>
      <c r="H42" s="48"/>
      <c r="I42" s="48">
        <f t="shared" si="1"/>
        <v>7.3</v>
      </c>
      <c r="J42" s="49">
        <v>0.0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0.3</v>
      </c>
      <c r="F43" s="47">
        <v>1.8</v>
      </c>
      <c r="G43" s="47">
        <v>0.0</v>
      </c>
      <c r="H43" s="48"/>
      <c r="I43" s="48">
        <f t="shared" si="1"/>
        <v>2.1</v>
      </c>
      <c r="J43" s="49">
        <v>0.0</v>
      </c>
      <c r="K43" s="50">
        <f t="shared" si="2"/>
        <v>5</v>
      </c>
      <c r="L43" s="44"/>
      <c r="M43" s="51">
        <f t="shared" si="3"/>
        <v>2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0.4</v>
      </c>
      <c r="F44" s="47">
        <v>2.1</v>
      </c>
      <c r="G44" s="47">
        <v>0.0</v>
      </c>
      <c r="H44" s="48"/>
      <c r="I44" s="48">
        <f t="shared" si="1"/>
        <v>2.5</v>
      </c>
      <c r="J44" s="49">
        <v>0.0</v>
      </c>
      <c r="K44" s="50">
        <f t="shared" si="2"/>
        <v>5</v>
      </c>
      <c r="L44" s="44"/>
      <c r="M44" s="51">
        <f t="shared" si="3"/>
        <v>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1.2</v>
      </c>
      <c r="F45" s="47">
        <v>2.6</v>
      </c>
      <c r="G45" s="47">
        <v>0.9</v>
      </c>
      <c r="H45" s="48"/>
      <c r="I45" s="48">
        <f t="shared" si="1"/>
        <v>4.7</v>
      </c>
      <c r="J45" s="49">
        <v>0.0</v>
      </c>
      <c r="K45" s="50">
        <f t="shared" si="2"/>
        <v>5</v>
      </c>
      <c r="L45" s="44"/>
      <c r="M45" s="51">
        <f t="shared" si="3"/>
        <v>4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1.8</v>
      </c>
      <c r="F46" s="47">
        <v>3.0</v>
      </c>
      <c r="G46" s="47">
        <v>1.9</v>
      </c>
      <c r="H46" s="48"/>
      <c r="I46" s="48">
        <f t="shared" si="1"/>
        <v>6.7</v>
      </c>
      <c r="J46" s="49">
        <v>5.0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0.8</v>
      </c>
      <c r="F47" s="47">
        <v>2.4</v>
      </c>
      <c r="G47" s="47">
        <v>0.0</v>
      </c>
      <c r="H47" s="48"/>
      <c r="I47" s="48">
        <f t="shared" si="1"/>
        <v>3.2</v>
      </c>
      <c r="J47" s="49">
        <v>7.0</v>
      </c>
      <c r="K47" s="50">
        <f t="shared" si="2"/>
        <v>5</v>
      </c>
      <c r="L47" s="44"/>
      <c r="M47" s="51">
        <f t="shared" si="3"/>
        <v>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0.4</v>
      </c>
      <c r="F48" s="47">
        <v>2.4</v>
      </c>
      <c r="G48" s="47">
        <v>0.0</v>
      </c>
      <c r="H48" s="48"/>
      <c r="I48" s="48">
        <f t="shared" si="1"/>
        <v>2.8</v>
      </c>
      <c r="J48" s="49">
        <v>7.0</v>
      </c>
      <c r="K48" s="50">
        <f t="shared" si="2"/>
        <v>5</v>
      </c>
      <c r="L48" s="44"/>
      <c r="M48" s="51">
        <f t="shared" si="3"/>
        <v>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4.0</v>
      </c>
      <c r="F49" s="47">
        <v>2.9</v>
      </c>
      <c r="G49" s="47">
        <v>1.3</v>
      </c>
      <c r="H49" s="48"/>
      <c r="I49" s="48">
        <f t="shared" si="1"/>
        <v>8.2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1.4</v>
      </c>
      <c r="F50" s="47">
        <v>1.0</v>
      </c>
      <c r="G50" s="47">
        <v>1.0</v>
      </c>
      <c r="H50" s="47">
        <v>1.0</v>
      </c>
      <c r="I50" s="48">
        <f t="shared" si="1"/>
        <v>4.4</v>
      </c>
      <c r="J50" s="49">
        <v>0.0</v>
      </c>
      <c r="K50" s="50">
        <f t="shared" si="2"/>
        <v>5</v>
      </c>
      <c r="L50" s="44"/>
      <c r="M50" s="51">
        <f t="shared" si="3"/>
        <v>4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0.9</v>
      </c>
      <c r="F51" s="47">
        <v>2.4</v>
      </c>
      <c r="G51" s="47">
        <v>1.0</v>
      </c>
      <c r="H51" s="48"/>
      <c r="I51" s="48">
        <f t="shared" si="1"/>
        <v>4.3</v>
      </c>
      <c r="J51" s="49">
        <v>0.0</v>
      </c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1.0</v>
      </c>
      <c r="F52" s="47">
        <v>2.4</v>
      </c>
      <c r="G52" s="47">
        <v>1.0</v>
      </c>
      <c r="H52" s="48"/>
      <c r="I52" s="48">
        <f t="shared" si="1"/>
        <v>4.4</v>
      </c>
      <c r="J52" s="49">
        <v>0.0</v>
      </c>
      <c r="K52" s="50">
        <f t="shared" si="2"/>
        <v>5</v>
      </c>
      <c r="L52" s="44"/>
      <c r="M52" s="45">
        <f t="shared" si="3"/>
        <v>4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0.5</v>
      </c>
      <c r="F53" s="47">
        <v>2.5</v>
      </c>
      <c r="G53" s="47">
        <v>0.0</v>
      </c>
      <c r="H53" s="48"/>
      <c r="I53" s="48">
        <f t="shared" si="1"/>
        <v>3</v>
      </c>
      <c r="J53" s="47">
        <v>7.0</v>
      </c>
      <c r="K53" s="50">
        <f t="shared" si="2"/>
        <v>5</v>
      </c>
      <c r="L53" s="44"/>
      <c r="M53" s="45">
        <f t="shared" si="3"/>
        <v>3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0.2</v>
      </c>
      <c r="F54" s="47">
        <v>2.4</v>
      </c>
      <c r="G54" s="47">
        <v>0.0</v>
      </c>
      <c r="H54" s="48"/>
      <c r="I54" s="48">
        <f t="shared" si="1"/>
        <v>2.6</v>
      </c>
      <c r="J54" s="47">
        <v>1.0</v>
      </c>
      <c r="K54" s="50">
        <f t="shared" si="2"/>
        <v>5</v>
      </c>
      <c r="L54" s="44"/>
      <c r="M54" s="45">
        <f t="shared" si="3"/>
        <v>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3.2</v>
      </c>
      <c r="F55" s="47">
        <v>2.8</v>
      </c>
      <c r="G55" s="47">
        <v>2.0</v>
      </c>
      <c r="H55" s="48"/>
      <c r="I55" s="48">
        <f t="shared" si="1"/>
        <v>8</v>
      </c>
      <c r="J55" s="49">
        <v>4.0</v>
      </c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6"/>
      <c r="B56" s="54"/>
      <c r="C56" s="54"/>
      <c r="D56" s="54"/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56" t="s">
        <v>129</v>
      </c>
      <c r="C57" s="57"/>
      <c r="D57" s="58">
        <f>COUNT(A17:A55)</f>
        <v>39</v>
      </c>
      <c r="E57" s="55"/>
      <c r="F57" s="55"/>
      <c r="G57" s="59" t="s">
        <v>130</v>
      </c>
      <c r="H57" s="55"/>
      <c r="I57" s="59" t="s">
        <v>131</v>
      </c>
      <c r="K57" s="60" t="s">
        <v>132</v>
      </c>
      <c r="L57" s="61" t="s">
        <v>133</v>
      </c>
      <c r="M57" s="54"/>
      <c r="N57" s="1"/>
      <c r="O57" s="1"/>
      <c r="P57" s="2"/>
      <c r="Q57" s="2"/>
      <c r="R57" s="2"/>
    </row>
    <row r="58" ht="24.75" customHeight="1">
      <c r="A58" s="1"/>
      <c r="B58" s="62" t="s">
        <v>134</v>
      </c>
      <c r="C58" s="63"/>
      <c r="D58" s="64">
        <f>COUNTIF(K17:K55,"BAJA")</f>
        <v>0</v>
      </c>
      <c r="E58" s="55"/>
      <c r="F58" s="55"/>
      <c r="H58" s="55"/>
      <c r="L58" s="9"/>
      <c r="M58" s="54"/>
      <c r="N58" s="1"/>
      <c r="O58" s="1"/>
      <c r="P58" s="2"/>
      <c r="Q58" s="2"/>
      <c r="R58" s="2"/>
    </row>
    <row r="59" ht="24.75" customHeight="1">
      <c r="A59" s="1"/>
      <c r="B59" s="62" t="s">
        <v>135</v>
      </c>
      <c r="C59" s="63"/>
      <c r="D59" s="65">
        <f>D57-D58</f>
        <v>39</v>
      </c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62" t="s">
        <v>136</v>
      </c>
      <c r="C60" s="63"/>
      <c r="D60" s="66">
        <f>COUNTIF(K17:K55,"&gt;=6")</f>
        <v>19</v>
      </c>
      <c r="E60" s="55"/>
      <c r="F60" s="55"/>
      <c r="G60" s="55"/>
      <c r="H60" s="55"/>
      <c r="I60" s="55"/>
      <c r="J60" s="55"/>
      <c r="K60" s="54"/>
      <c r="L60" s="7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137</v>
      </c>
      <c r="C61" s="63"/>
      <c r="D61" s="66">
        <f>D59-D60</f>
        <v>20</v>
      </c>
      <c r="E61" s="55"/>
      <c r="F61" s="55"/>
      <c r="G61" s="67"/>
      <c r="H61" s="55"/>
      <c r="I61" s="67"/>
      <c r="J61" s="67"/>
      <c r="K61" s="68"/>
      <c r="L61" s="6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138</v>
      </c>
      <c r="C62" s="63"/>
      <c r="D62" s="65">
        <f>D60*100/D59</f>
        <v>48.71794872</v>
      </c>
      <c r="E62" s="55"/>
      <c r="F62" s="55"/>
      <c r="G62" s="70" t="s">
        <v>139</v>
      </c>
      <c r="H62" s="55"/>
      <c r="I62" s="71" t="s">
        <v>140</v>
      </c>
      <c r="K62" s="72" t="s">
        <v>141</v>
      </c>
      <c r="L62" s="73" t="s">
        <v>142</v>
      </c>
      <c r="M62" s="54"/>
      <c r="N62" s="1"/>
      <c r="O62" s="1"/>
      <c r="P62" s="2"/>
      <c r="Q62" s="2"/>
      <c r="R62" s="2"/>
    </row>
    <row r="63" ht="24.75" customHeight="1">
      <c r="A63" s="1"/>
      <c r="B63" s="74" t="s">
        <v>143</v>
      </c>
      <c r="C63" s="75"/>
      <c r="D63" s="76">
        <f>AVERAGE(K17:K55)</f>
        <v>6.564102564</v>
      </c>
      <c r="E63" s="55"/>
      <c r="F63" s="55"/>
      <c r="H63" s="55"/>
      <c r="L63" s="9"/>
      <c r="M63" s="54"/>
      <c r="N63" s="1"/>
      <c r="O63" s="1"/>
      <c r="P63" s="2"/>
      <c r="Q63" s="2"/>
      <c r="R63" s="2"/>
    </row>
    <row r="64" ht="24.75" customHeight="1">
      <c r="A64" s="77"/>
      <c r="B64" s="78"/>
      <c r="C64" s="78"/>
      <c r="D64" s="78"/>
      <c r="E64" s="79"/>
      <c r="F64" s="79"/>
      <c r="G64" s="79"/>
      <c r="H64" s="79"/>
      <c r="I64" s="79"/>
      <c r="J64" s="79"/>
      <c r="K64" s="78"/>
      <c r="L64" s="80"/>
      <c r="M64" s="78"/>
      <c r="N64" s="2"/>
      <c r="O64" s="2"/>
      <c r="P64" s="2"/>
      <c r="Q64" s="2"/>
      <c r="R64" s="2"/>
    </row>
    <row r="65" ht="24.75" customHeight="1">
      <c r="A65" s="81"/>
      <c r="B65" s="82"/>
      <c r="C65" s="83"/>
      <c r="D65" s="84"/>
      <c r="E65" s="85"/>
      <c r="H65" s="85"/>
      <c r="I65" s="85"/>
      <c r="J65" s="85"/>
      <c r="K65" s="86"/>
      <c r="L65" s="87"/>
      <c r="M65" s="86"/>
      <c r="N65" s="2"/>
      <c r="O65" s="2"/>
      <c r="P65" s="2"/>
      <c r="Q65" s="2"/>
      <c r="R65" s="2"/>
    </row>
    <row r="66" ht="24.75" customHeight="1">
      <c r="A66" s="88"/>
      <c r="B66" s="86"/>
      <c r="C66" s="86"/>
      <c r="D66" s="89"/>
      <c r="E66" s="85"/>
      <c r="F66" s="85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88"/>
      <c r="B67" s="86"/>
      <c r="C67" s="86"/>
      <c r="D67" s="86"/>
      <c r="E67" s="85"/>
      <c r="F67" s="85"/>
      <c r="G67" s="79"/>
      <c r="H67" s="79"/>
      <c r="I67" s="79"/>
      <c r="J67" s="90"/>
      <c r="K67" s="78"/>
      <c r="L67" s="80"/>
      <c r="M67" s="78"/>
      <c r="N67" s="2"/>
      <c r="O67" s="2"/>
      <c r="P67" s="2"/>
      <c r="Q67" s="2"/>
      <c r="R67" s="2"/>
    </row>
    <row r="68" ht="24.75" customHeight="1">
      <c r="A68" s="91"/>
      <c r="B68" s="92"/>
      <c r="C68" s="92"/>
      <c r="D68" s="92"/>
      <c r="E68" s="93"/>
      <c r="F68" s="93"/>
      <c r="G68" s="94"/>
      <c r="H68" s="94"/>
      <c r="I68" s="94"/>
      <c r="J68" s="95"/>
      <c r="K68" s="96"/>
      <c r="L68" s="97"/>
      <c r="M68" s="78"/>
      <c r="N68" s="2"/>
      <c r="O68" s="2"/>
      <c r="P68" s="2"/>
      <c r="Q68" s="2"/>
      <c r="R68" s="2"/>
    </row>
    <row r="69" ht="24.75" customHeight="1">
      <c r="A69" s="2"/>
      <c r="B69" s="86"/>
      <c r="C69" s="86"/>
      <c r="D69" s="86"/>
      <c r="E69" s="85"/>
      <c r="F69" s="85"/>
      <c r="G69" s="79"/>
      <c r="H69" s="79"/>
      <c r="I69" s="79"/>
      <c r="J69" s="79"/>
      <c r="K69" s="98"/>
      <c r="L69" s="99"/>
      <c r="M69" s="98"/>
      <c r="N69" s="2"/>
      <c r="O69" s="2"/>
      <c r="P69" s="2"/>
      <c r="Q69" s="2"/>
      <c r="R69" s="2"/>
    </row>
    <row r="70" ht="24.75" customHeight="1">
      <c r="A70" s="2"/>
      <c r="B70" s="86"/>
      <c r="C70" s="86"/>
      <c r="D70" s="89"/>
      <c r="E70" s="85"/>
      <c r="F70" s="85"/>
      <c r="G70" s="79"/>
      <c r="H70" s="79"/>
      <c r="I70" s="79"/>
      <c r="J70" s="79"/>
      <c r="K70" s="98"/>
      <c r="L70" s="98"/>
      <c r="M70" s="98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144</v>
      </c>
      <c r="C17" s="45" t="s">
        <v>145</v>
      </c>
      <c r="D17" s="46" t="s">
        <v>146</v>
      </c>
      <c r="E17" s="47">
        <v>3.7</v>
      </c>
      <c r="F17" s="47">
        <v>2.4</v>
      </c>
      <c r="G17" s="47">
        <v>1.6</v>
      </c>
      <c r="H17" s="48"/>
      <c r="I17" s="48">
        <f t="shared" ref="I17:I51" si="1">SUM(E17:H17)</f>
        <v>7.7</v>
      </c>
      <c r="J17" s="44"/>
      <c r="K17" s="50">
        <f t="shared" ref="K17:K51" si="2">IF(I17&lt;6, 5, MIN(ROUND(I17, 0), 10))</f>
        <v>8</v>
      </c>
      <c r="L17" s="45"/>
      <c r="M17" s="51">
        <f t="shared" ref="M17:M51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147</v>
      </c>
      <c r="C18" s="45" t="s">
        <v>148</v>
      </c>
      <c r="D18" s="46" t="s">
        <v>149</v>
      </c>
      <c r="E18" s="47">
        <v>4.6</v>
      </c>
      <c r="F18" s="47">
        <v>2.4</v>
      </c>
      <c r="G18" s="47">
        <v>1.8</v>
      </c>
      <c r="H18" s="48"/>
      <c r="I18" s="48">
        <f t="shared" si="1"/>
        <v>8.8</v>
      </c>
      <c r="J18" s="44"/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12.0</v>
      </c>
      <c r="P18" s="2"/>
      <c r="Q18" s="2"/>
      <c r="R18" s="2"/>
    </row>
    <row r="19" ht="24.75" customHeight="1">
      <c r="A19" s="44">
        <v>3.0</v>
      </c>
      <c r="B19" s="45" t="s">
        <v>150</v>
      </c>
      <c r="C19" s="45" t="s">
        <v>61</v>
      </c>
      <c r="D19" s="46" t="s">
        <v>151</v>
      </c>
      <c r="E19" s="47">
        <v>4.6</v>
      </c>
      <c r="F19" s="47">
        <v>1.8</v>
      </c>
      <c r="G19" s="47">
        <v>2.0</v>
      </c>
      <c r="H19" s="48"/>
      <c r="I19" s="48">
        <f t="shared" si="1"/>
        <v>8.4</v>
      </c>
      <c r="J19" s="44"/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152</v>
      </c>
      <c r="C20" s="45" t="s">
        <v>153</v>
      </c>
      <c r="D20" s="46" t="s">
        <v>154</v>
      </c>
      <c r="E20" s="47">
        <v>5.0</v>
      </c>
      <c r="F20" s="47">
        <v>2.6</v>
      </c>
      <c r="G20" s="47">
        <v>2.0</v>
      </c>
      <c r="H20" s="48"/>
      <c r="I20" s="48">
        <f t="shared" si="1"/>
        <v>9.6</v>
      </c>
      <c r="J20" s="44"/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124</v>
      </c>
      <c r="D21" s="46" t="s">
        <v>156</v>
      </c>
      <c r="E21" s="47">
        <v>4.9</v>
      </c>
      <c r="F21" s="47">
        <v>2.6</v>
      </c>
      <c r="G21" s="47">
        <v>2.0</v>
      </c>
      <c r="H21" s="48"/>
      <c r="I21" s="48">
        <f t="shared" si="1"/>
        <v>9.5</v>
      </c>
      <c r="J21" s="44"/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157</v>
      </c>
      <c r="C22" s="45" t="s">
        <v>89</v>
      </c>
      <c r="D22" s="46" t="s">
        <v>158</v>
      </c>
      <c r="E22" s="47">
        <v>2.1</v>
      </c>
      <c r="F22" s="47">
        <v>1.8</v>
      </c>
      <c r="G22" s="47">
        <v>0.9</v>
      </c>
      <c r="H22" s="48"/>
      <c r="I22" s="48">
        <f t="shared" si="1"/>
        <v>4.8</v>
      </c>
      <c r="J22" s="44"/>
      <c r="K22" s="50">
        <f t="shared" si="2"/>
        <v>5</v>
      </c>
      <c r="L22" s="44"/>
      <c r="M22" s="51">
        <f t="shared" si="3"/>
        <v>4</v>
      </c>
      <c r="N22" s="53" t="s">
        <v>46</v>
      </c>
      <c r="O22" s="49">
        <v>14.0</v>
      </c>
      <c r="P22" s="2"/>
      <c r="Q22" s="2"/>
      <c r="R22" s="2"/>
    </row>
    <row r="23" ht="24.75" customHeight="1">
      <c r="A23" s="44">
        <v>7.0</v>
      </c>
      <c r="B23" s="45" t="s">
        <v>159</v>
      </c>
      <c r="C23" s="45" t="s">
        <v>160</v>
      </c>
      <c r="D23" s="46" t="s">
        <v>161</v>
      </c>
      <c r="E23" s="47">
        <v>4.4</v>
      </c>
      <c r="F23" s="47">
        <v>2.9</v>
      </c>
      <c r="G23" s="47">
        <v>1.8</v>
      </c>
      <c r="H23" s="48"/>
      <c r="I23" s="48">
        <f t="shared" si="1"/>
        <v>9.1</v>
      </c>
      <c r="J23" s="44"/>
      <c r="K23" s="50">
        <f t="shared" si="2"/>
        <v>9</v>
      </c>
      <c r="L23" s="44"/>
      <c r="M23" s="51">
        <f t="shared" si="3"/>
        <v>9</v>
      </c>
      <c r="N23" s="53" t="s">
        <v>50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162</v>
      </c>
      <c r="C24" s="45" t="s">
        <v>76</v>
      </c>
      <c r="D24" s="46" t="s">
        <v>163</v>
      </c>
      <c r="E24" s="47">
        <v>4.1</v>
      </c>
      <c r="F24" s="47">
        <v>2.5</v>
      </c>
      <c r="G24" s="47">
        <v>1.6</v>
      </c>
      <c r="H24" s="48"/>
      <c r="I24" s="48">
        <f t="shared" si="1"/>
        <v>8.2</v>
      </c>
      <c r="J24" s="44"/>
      <c r="K24" s="50">
        <f t="shared" si="2"/>
        <v>8</v>
      </c>
      <c r="L24" s="44"/>
      <c r="M24" s="51">
        <f t="shared" si="3"/>
        <v>8</v>
      </c>
      <c r="N24" s="53" t="s">
        <v>54</v>
      </c>
      <c r="O24" s="53">
        <f>SUM(O18:O23)</f>
        <v>62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122</v>
      </c>
      <c r="D25" s="46" t="s">
        <v>165</v>
      </c>
      <c r="E25" s="47">
        <v>3.7</v>
      </c>
      <c r="F25" s="47">
        <v>2.6</v>
      </c>
      <c r="G25" s="47">
        <v>1.6</v>
      </c>
      <c r="H25" s="48"/>
      <c r="I25" s="48">
        <f t="shared" si="1"/>
        <v>7.9</v>
      </c>
      <c r="J25" s="44"/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166</v>
      </c>
      <c r="C26" s="45" t="s">
        <v>55</v>
      </c>
      <c r="D26" s="46" t="s">
        <v>167</v>
      </c>
      <c r="E26" s="47">
        <v>3.2</v>
      </c>
      <c r="F26" s="47">
        <v>2.6</v>
      </c>
      <c r="G26" s="47">
        <v>1.1</v>
      </c>
      <c r="H26" s="48"/>
      <c r="I26" s="48">
        <f t="shared" si="1"/>
        <v>6.9</v>
      </c>
      <c r="J26" s="44"/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36</v>
      </c>
      <c r="D27" s="45" t="s">
        <v>169</v>
      </c>
      <c r="E27" s="47">
        <v>3.8</v>
      </c>
      <c r="F27" s="47">
        <v>2.8</v>
      </c>
      <c r="G27" s="47">
        <v>1.3</v>
      </c>
      <c r="H27" s="48"/>
      <c r="I27" s="48">
        <f t="shared" si="1"/>
        <v>7.9</v>
      </c>
      <c r="J27" s="44"/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170</v>
      </c>
      <c r="C28" s="45" t="s">
        <v>171</v>
      </c>
      <c r="D28" s="46" t="s">
        <v>172</v>
      </c>
      <c r="E28" s="47">
        <v>4.8</v>
      </c>
      <c r="F28" s="47">
        <v>2.4</v>
      </c>
      <c r="G28" s="47">
        <v>1.9</v>
      </c>
      <c r="H28" s="48"/>
      <c r="I28" s="48">
        <f t="shared" si="1"/>
        <v>9.1</v>
      </c>
      <c r="J28" s="44"/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170</v>
      </c>
      <c r="C29" s="45" t="s">
        <v>173</v>
      </c>
      <c r="D29" s="46" t="s">
        <v>174</v>
      </c>
      <c r="E29" s="47">
        <v>2.4</v>
      </c>
      <c r="F29" s="47">
        <v>2.3</v>
      </c>
      <c r="G29" s="47">
        <v>1.3</v>
      </c>
      <c r="H29" s="48"/>
      <c r="I29" s="48">
        <f t="shared" si="1"/>
        <v>6</v>
      </c>
      <c r="J29" s="44"/>
      <c r="K29" s="50">
        <f t="shared" si="2"/>
        <v>6</v>
      </c>
      <c r="L29" s="44"/>
      <c r="M29" s="51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175</v>
      </c>
      <c r="C30" s="45" t="s">
        <v>176</v>
      </c>
      <c r="D30" s="46" t="s">
        <v>177</v>
      </c>
      <c r="E30" s="47">
        <v>2.5</v>
      </c>
      <c r="F30" s="47">
        <v>1.9</v>
      </c>
      <c r="G30" s="47">
        <v>1.6</v>
      </c>
      <c r="H30" s="47">
        <v>1.0</v>
      </c>
      <c r="I30" s="48">
        <f t="shared" si="1"/>
        <v>7</v>
      </c>
      <c r="J30" s="44"/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178</v>
      </c>
      <c r="C31" s="45" t="s">
        <v>81</v>
      </c>
      <c r="D31" s="46" t="s">
        <v>179</v>
      </c>
      <c r="E31" s="47">
        <v>3.4</v>
      </c>
      <c r="F31" s="47">
        <v>2.3</v>
      </c>
      <c r="G31" s="47">
        <v>2.0</v>
      </c>
      <c r="H31" s="48"/>
      <c r="I31" s="48">
        <f t="shared" si="1"/>
        <v>7.7</v>
      </c>
      <c r="J31" s="44"/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181</v>
      </c>
      <c r="D32" s="46" t="s">
        <v>182</v>
      </c>
      <c r="E32" s="47">
        <v>4.3</v>
      </c>
      <c r="F32" s="47">
        <v>2.6</v>
      </c>
      <c r="G32" s="47">
        <v>2.0</v>
      </c>
      <c r="H32" s="48"/>
      <c r="I32" s="48">
        <f t="shared" si="1"/>
        <v>8.9</v>
      </c>
      <c r="J32" s="44"/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183</v>
      </c>
      <c r="C33" s="45" t="s">
        <v>184</v>
      </c>
      <c r="D33" s="46" t="s">
        <v>185</v>
      </c>
      <c r="E33" s="47">
        <v>2.4</v>
      </c>
      <c r="F33" s="47">
        <v>1.5</v>
      </c>
      <c r="G33" s="47">
        <v>0.9</v>
      </c>
      <c r="H33" s="48"/>
      <c r="I33" s="48">
        <f t="shared" si="1"/>
        <v>4.8</v>
      </c>
      <c r="J33" s="44"/>
      <c r="K33" s="50">
        <f t="shared" si="2"/>
        <v>5</v>
      </c>
      <c r="L33" s="44"/>
      <c r="M33" s="51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186</v>
      </c>
      <c r="C34" s="45" t="s">
        <v>187</v>
      </c>
      <c r="D34" s="46" t="s">
        <v>188</v>
      </c>
      <c r="E34" s="47">
        <v>5.0</v>
      </c>
      <c r="F34" s="47">
        <v>2.3</v>
      </c>
      <c r="G34" s="47">
        <v>2.0</v>
      </c>
      <c r="H34" s="47">
        <v>1.0</v>
      </c>
      <c r="I34" s="48">
        <f t="shared" si="1"/>
        <v>10.3</v>
      </c>
      <c r="J34" s="44"/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189</v>
      </c>
      <c r="C35" s="45" t="s">
        <v>190</v>
      </c>
      <c r="D35" s="46" t="s">
        <v>191</v>
      </c>
      <c r="E35" s="47">
        <v>5.0</v>
      </c>
      <c r="F35" s="47">
        <v>2.8</v>
      </c>
      <c r="G35" s="47">
        <v>2.0</v>
      </c>
      <c r="H35" s="48"/>
      <c r="I35" s="48">
        <f t="shared" si="1"/>
        <v>9.8</v>
      </c>
      <c r="J35" s="44"/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193</v>
      </c>
      <c r="D36" s="46" t="s">
        <v>194</v>
      </c>
      <c r="E36" s="47">
        <v>4.0</v>
      </c>
      <c r="F36" s="47">
        <v>3.0</v>
      </c>
      <c r="G36" s="47">
        <v>1.3</v>
      </c>
      <c r="H36" s="48"/>
      <c r="I36" s="48">
        <f t="shared" si="1"/>
        <v>8.3</v>
      </c>
      <c r="J36" s="44"/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195</v>
      </c>
      <c r="D37" s="46" t="s">
        <v>196</v>
      </c>
      <c r="E37" s="47">
        <v>1.1</v>
      </c>
      <c r="F37" s="47">
        <v>2.7</v>
      </c>
      <c r="G37" s="47">
        <v>0.0</v>
      </c>
      <c r="H37" s="48"/>
      <c r="I37" s="48">
        <f t="shared" si="1"/>
        <v>3.8</v>
      </c>
      <c r="J37" s="44"/>
      <c r="K37" s="50">
        <f t="shared" si="2"/>
        <v>5</v>
      </c>
      <c r="L37" s="44"/>
      <c r="M37" s="51">
        <f t="shared" si="3"/>
        <v>3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122</v>
      </c>
      <c r="D38" s="46" t="s">
        <v>197</v>
      </c>
      <c r="E38" s="47">
        <v>4.4</v>
      </c>
      <c r="F38" s="47">
        <v>1.9</v>
      </c>
      <c r="G38" s="47">
        <v>1.8</v>
      </c>
      <c r="H38" s="48"/>
      <c r="I38" s="48">
        <f t="shared" si="1"/>
        <v>8.1</v>
      </c>
      <c r="J38" s="44"/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192</v>
      </c>
      <c r="C39" s="45" t="s">
        <v>127</v>
      </c>
      <c r="D39" s="46" t="s">
        <v>198</v>
      </c>
      <c r="E39" s="47">
        <v>4.2</v>
      </c>
      <c r="F39" s="47">
        <v>2.6</v>
      </c>
      <c r="G39" s="47">
        <v>2.0</v>
      </c>
      <c r="H39" s="48"/>
      <c r="I39" s="48">
        <f t="shared" si="1"/>
        <v>8.8</v>
      </c>
      <c r="J39" s="44"/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192</v>
      </c>
      <c r="C40" s="45" t="s">
        <v>199</v>
      </c>
      <c r="D40" s="46" t="s">
        <v>200</v>
      </c>
      <c r="E40" s="47">
        <v>5.0</v>
      </c>
      <c r="F40" s="47">
        <v>2.6</v>
      </c>
      <c r="G40" s="47">
        <v>2.0</v>
      </c>
      <c r="H40" s="48"/>
      <c r="I40" s="48">
        <f t="shared" si="1"/>
        <v>9.6</v>
      </c>
      <c r="J40" s="44"/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201</v>
      </c>
      <c r="C41" s="45" t="s">
        <v>202</v>
      </c>
      <c r="D41" s="46" t="s">
        <v>203</v>
      </c>
      <c r="E41" s="47">
        <v>3.3</v>
      </c>
      <c r="F41" s="47">
        <v>2.1</v>
      </c>
      <c r="G41" s="47">
        <v>1.3</v>
      </c>
      <c r="H41" s="48"/>
      <c r="I41" s="48">
        <f t="shared" si="1"/>
        <v>6.7</v>
      </c>
      <c r="J41" s="44"/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204</v>
      </c>
      <c r="E42" s="47">
        <v>4.6</v>
      </c>
      <c r="F42" s="47">
        <v>2.0</v>
      </c>
      <c r="G42" s="47">
        <v>2.0</v>
      </c>
      <c r="H42" s="47">
        <v>1.0</v>
      </c>
      <c r="I42" s="48">
        <f t="shared" si="1"/>
        <v>9.6</v>
      </c>
      <c r="J42" s="44"/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205</v>
      </c>
      <c r="C43" s="45" t="s">
        <v>206</v>
      </c>
      <c r="D43" s="46" t="s">
        <v>207</v>
      </c>
      <c r="E43" s="47">
        <v>5.0</v>
      </c>
      <c r="F43" s="47">
        <v>2.3</v>
      </c>
      <c r="G43" s="47">
        <v>1.8</v>
      </c>
      <c r="H43" s="48"/>
      <c r="I43" s="48">
        <f t="shared" si="1"/>
        <v>9.1</v>
      </c>
      <c r="J43" s="44"/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208</v>
      </c>
      <c r="E44" s="47">
        <v>0.5</v>
      </c>
      <c r="F44" s="47">
        <v>2.1</v>
      </c>
      <c r="G44" s="47">
        <v>0.0</v>
      </c>
      <c r="H44" s="48"/>
      <c r="I44" s="48">
        <f t="shared" si="1"/>
        <v>2.6</v>
      </c>
      <c r="J44" s="44"/>
      <c r="K44" s="50">
        <f t="shared" si="2"/>
        <v>5</v>
      </c>
      <c r="L44" s="44"/>
      <c r="M44" s="51">
        <f t="shared" si="3"/>
        <v>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209</v>
      </c>
      <c r="C45" s="45" t="s">
        <v>210</v>
      </c>
      <c r="D45" s="46" t="s">
        <v>174</v>
      </c>
      <c r="E45" s="47">
        <v>4.3</v>
      </c>
      <c r="F45" s="47">
        <v>2.6</v>
      </c>
      <c r="G45" s="47">
        <v>1.8</v>
      </c>
      <c r="H45" s="47">
        <v>1.0</v>
      </c>
      <c r="I45" s="48">
        <f t="shared" si="1"/>
        <v>9.7</v>
      </c>
      <c r="J45" s="44"/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211</v>
      </c>
      <c r="E46" s="47">
        <v>4.4</v>
      </c>
      <c r="F46" s="47">
        <v>2.3</v>
      </c>
      <c r="G46" s="47">
        <v>1.8</v>
      </c>
      <c r="H46" s="48"/>
      <c r="I46" s="48">
        <f t="shared" si="1"/>
        <v>8.5</v>
      </c>
      <c r="J46" s="44"/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212</v>
      </c>
      <c r="D47" s="46" t="s">
        <v>213</v>
      </c>
      <c r="E47" s="47">
        <v>5.0</v>
      </c>
      <c r="F47" s="47">
        <v>2.6</v>
      </c>
      <c r="G47" s="47">
        <v>2.0</v>
      </c>
      <c r="H47" s="48"/>
      <c r="I47" s="48">
        <f t="shared" si="1"/>
        <v>9.6</v>
      </c>
      <c r="J47" s="44"/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4.7</v>
      </c>
      <c r="F48" s="47">
        <v>2.6</v>
      </c>
      <c r="G48" s="47">
        <v>2.0</v>
      </c>
      <c r="H48" s="48"/>
      <c r="I48" s="48">
        <f t="shared" si="1"/>
        <v>9.3</v>
      </c>
      <c r="J48" s="44"/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218</v>
      </c>
      <c r="D49" s="46" t="s">
        <v>219</v>
      </c>
      <c r="E49" s="47">
        <v>0.4</v>
      </c>
      <c r="F49" s="47">
        <v>1.8</v>
      </c>
      <c r="G49" s="47">
        <v>0.0</v>
      </c>
      <c r="H49" s="48"/>
      <c r="I49" s="48">
        <f t="shared" si="1"/>
        <v>2.2</v>
      </c>
      <c r="J49" s="44"/>
      <c r="K49" s="50">
        <f t="shared" si="2"/>
        <v>5</v>
      </c>
      <c r="L49" s="44"/>
      <c r="M49" s="51">
        <f t="shared" si="3"/>
        <v>2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220</v>
      </c>
      <c r="C50" s="45" t="s">
        <v>221</v>
      </c>
      <c r="D50" s="46" t="s">
        <v>222</v>
      </c>
      <c r="E50" s="47">
        <v>5.0</v>
      </c>
      <c r="F50" s="47">
        <v>2.9</v>
      </c>
      <c r="G50" s="47">
        <v>2.0</v>
      </c>
      <c r="H50" s="48"/>
      <c r="I50" s="48">
        <f t="shared" si="1"/>
        <v>9.9</v>
      </c>
      <c r="J50" s="44"/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223</v>
      </c>
      <c r="C51" s="45" t="s">
        <v>224</v>
      </c>
      <c r="D51" s="46" t="s">
        <v>225</v>
      </c>
      <c r="E51" s="47">
        <v>4.6</v>
      </c>
      <c r="F51" s="47">
        <v>2.2</v>
      </c>
      <c r="G51" s="47">
        <v>1.8</v>
      </c>
      <c r="H51" s="48"/>
      <c r="I51" s="48">
        <f t="shared" si="1"/>
        <v>8.6</v>
      </c>
      <c r="J51" s="44"/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129</v>
      </c>
      <c r="C53" s="57"/>
      <c r="D53" s="100">
        <f>COUNT(A17:A51)</f>
        <v>35</v>
      </c>
      <c r="E53" s="55"/>
      <c r="F53" s="55"/>
      <c r="G53" s="59" t="s">
        <v>130</v>
      </c>
      <c r="H53" s="55"/>
      <c r="I53" s="59" t="s">
        <v>131</v>
      </c>
      <c r="K53" s="60" t="s">
        <v>132</v>
      </c>
      <c r="L53" s="61" t="s">
        <v>133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134</v>
      </c>
      <c r="C54" s="63"/>
      <c r="D54" s="101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135</v>
      </c>
      <c r="C55" s="63"/>
      <c r="D55" s="102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136</v>
      </c>
      <c r="C56" s="63"/>
      <c r="D56" s="66">
        <f>COUNTIF(K17:K51,"&gt;=6")</f>
        <v>30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137</v>
      </c>
      <c r="C57" s="63"/>
      <c r="D57" s="66">
        <f>D55-D56</f>
        <v>5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138</v>
      </c>
      <c r="C58" s="63"/>
      <c r="D58" s="65">
        <f>D56*100/D55</f>
        <v>85.71428571</v>
      </c>
      <c r="E58" s="55"/>
      <c r="F58" s="55"/>
      <c r="G58" s="70" t="s">
        <v>139</v>
      </c>
      <c r="H58" s="55"/>
      <c r="I58" s="71" t="s">
        <v>226</v>
      </c>
      <c r="K58" s="72" t="s">
        <v>141</v>
      </c>
      <c r="L58" s="73" t="s">
        <v>142</v>
      </c>
      <c r="M58" s="54"/>
      <c r="N58" s="1"/>
      <c r="O58" s="1"/>
      <c r="P58" s="2"/>
      <c r="Q58" s="2"/>
      <c r="R58" s="2"/>
    </row>
    <row r="59" ht="24.75" customHeight="1">
      <c r="A59" s="1"/>
      <c r="B59" s="74" t="s">
        <v>143</v>
      </c>
      <c r="C59" s="75"/>
      <c r="D59" s="76">
        <f>AVERAGE(K17:K51)</f>
        <v>8.2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78"/>
      <c r="E60" s="79"/>
      <c r="F60" s="79"/>
      <c r="G60" s="79"/>
      <c r="H60" s="79"/>
      <c r="I60" s="79"/>
      <c r="J60" s="79"/>
      <c r="K60" s="78"/>
      <c r="L60" s="80"/>
      <c r="M60" s="78"/>
      <c r="N60" s="2"/>
      <c r="O60" s="2"/>
      <c r="P60" s="2"/>
      <c r="Q60" s="2"/>
      <c r="R60" s="2"/>
    </row>
    <row r="61" ht="24.75" customHeight="1">
      <c r="A61" s="81"/>
      <c r="B61" s="82"/>
      <c r="C61" s="83"/>
      <c r="D61" s="83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79"/>
      <c r="H62" s="79"/>
      <c r="I62" s="79"/>
      <c r="J62" s="79"/>
      <c r="K62" s="78"/>
      <c r="L62" s="80"/>
      <c r="M62" s="78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9"/>
      <c r="E63" s="85"/>
      <c r="F63" s="85"/>
      <c r="G63" s="79"/>
      <c r="H63" s="79"/>
      <c r="I63" s="79"/>
      <c r="J63" s="79"/>
      <c r="K63" s="78"/>
      <c r="L63" s="80"/>
      <c r="M63" s="78"/>
      <c r="N63" s="2"/>
      <c r="O63" s="2"/>
      <c r="P63" s="2"/>
      <c r="Q63" s="2"/>
      <c r="R63" s="2"/>
    </row>
    <row r="64" ht="24.75" customHeight="1">
      <c r="A64" s="91"/>
      <c r="B64" s="92"/>
      <c r="C64" s="92"/>
      <c r="D64" s="92"/>
      <c r="E64" s="93"/>
      <c r="F64" s="93"/>
      <c r="G64" s="94"/>
      <c r="H64" s="94"/>
      <c r="I64" s="94"/>
      <c r="J64" s="94"/>
      <c r="K64" s="96"/>
      <c r="L64" s="97"/>
      <c r="M64" s="78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9"/>
      <c r="E65" s="85"/>
      <c r="F65" s="85"/>
      <c r="G65" s="79"/>
      <c r="H65" s="79"/>
      <c r="I65" s="79"/>
      <c r="J65" s="79"/>
      <c r="K65" s="98"/>
      <c r="L65" s="99"/>
      <c r="M65" s="98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9"/>
      <c r="E66" s="85"/>
      <c r="F66" s="85"/>
      <c r="G66" s="79"/>
      <c r="H66" s="79"/>
      <c r="I66" s="79"/>
      <c r="J66" s="79"/>
      <c r="K66" s="98"/>
      <c r="L66" s="99"/>
      <c r="M66" s="98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