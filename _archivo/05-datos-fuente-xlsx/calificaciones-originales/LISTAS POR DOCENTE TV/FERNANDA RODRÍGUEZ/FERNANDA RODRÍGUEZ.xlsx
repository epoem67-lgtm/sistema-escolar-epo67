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mantenimiento de redes" sheetId="1" r:id="rId5"/>
  </sheets>
  <definedNames/>
  <calcPr/>
</workbook>
</file>

<file path=xl/sharedStrings.xml><?xml version="1.0" encoding="utf-8"?>
<sst xmlns="http://schemas.openxmlformats.org/spreadsheetml/2006/main" count="164" uniqueCount="144">
  <si>
    <t>ESCUELA PREPARATORIA OFICIAL NÚM. 67</t>
  </si>
  <si>
    <t xml:space="preserve">CONTROL PRIMER PARCIAL </t>
  </si>
  <si>
    <t xml:space="preserve">PROFESOR (A): </t>
  </si>
  <si>
    <t>Paco</t>
  </si>
  <si>
    <t>I</t>
  </si>
  <si>
    <t>II</t>
  </si>
  <si>
    <t>III</t>
  </si>
  <si>
    <t>PUNTAJE EXTRA</t>
  </si>
  <si>
    <t>CUARTO SEMESTRE
VESPERTINO</t>
  </si>
  <si>
    <t>UAC</t>
  </si>
  <si>
    <t xml:space="preserve">MANTENIMIENTO DE REDES 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</si>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</sst>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5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64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1.6</v>
      </c>
      <c r="F17" s="48"/>
      <c r="G17" s="48">
        <v>0.0</v>
      </c>
      <c r="H17" s="49"/>
      <c r="I17" s="49">
        <f t="shared" ref="I17:I55" si="1">SUM(E17:H17)</f>
        <v>1.6</v>
      </c>
      <c r="J17" s="50"/>
      <c r="K17" s="51">
        <f t="shared" ref="K17:K55" si="2">IF(I17&lt;6, 5, MIN(10, ROUND(I17, 0)))</f>
        <v>5</v>
      </c>
      <c r="L17" s="46"/>
      <c r="M17" s="52">
        <f t="shared" ref="M17:M55" si="3">IF(I17&gt;=6,ROUND(I17,0),TRUNC(I17,0))</f>
        <v>1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4.8</v>
      </c>
      <c r="F18" s="48"/>
      <c r="G18" s="48">
        <v>1.0</v>
      </c>
      <c r="H18" s="49"/>
      <c r="I18" s="49">
        <f t="shared" si="1"/>
        <v>5.8</v>
      </c>
      <c r="J18" s="50"/>
      <c r="K18" s="51">
        <f t="shared" si="2"/>
        <v>5</v>
      </c>
      <c r="L18" s="45"/>
      <c r="M18" s="52">
        <f t="shared" si="3"/>
        <v>5</v>
      </c>
      <c r="N18" s="54" t="s">
        <v>30</v>
      </c>
      <c r="O18" s="50">
        <v>8.0</v>
      </c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3.2</v>
      </c>
      <c r="F19" s="48"/>
      <c r="G19" s="48">
        <v>2.0</v>
      </c>
      <c r="H19" s="49"/>
      <c r="I19" s="49">
        <f t="shared" si="1"/>
        <v>5.2</v>
      </c>
      <c r="J19" s="50"/>
      <c r="K19" s="51">
        <f t="shared" si="2"/>
        <v>5</v>
      </c>
      <c r="L19" s="45"/>
      <c r="M19" s="52">
        <f t="shared" si="3"/>
        <v>5</v>
      </c>
      <c r="N19" s="54" t="s">
        <v>34</v>
      </c>
      <c r="O19" s="50">
        <v>14.0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37</v>
      </c>
      <c r="E20" s="48">
        <v>8.0</v>
      </c>
      <c r="F20" s="48"/>
      <c r="G20" s="48">
        <v>2.0</v>
      </c>
      <c r="H20" s="49"/>
      <c r="I20" s="49">
        <f t="shared" si="1"/>
        <v>10</v>
      </c>
      <c r="J20" s="50"/>
      <c r="K20" s="51">
        <f t="shared" si="2"/>
        <v>10</v>
      </c>
      <c r="L20" s="45"/>
      <c r="M20" s="52">
        <f t="shared" si="3"/>
        <v>10</v>
      </c>
      <c r="N20" s="54" t="s">
        <v>38</v>
      </c>
      <c r="O20" s="45"/>
      <c r="P20" s="2"/>
      <c r="Q20" s="2"/>
      <c r="R20" s="2"/>
    </row>
    <row r="21" ht="24.75" customHeight="1">
      <c r="A21" s="45">
        <v>5.0</v>
      </c>
      <c r="B21" s="46" t="s">
        <v>39</v>
      </c>
      <c r="C21" s="46" t="s">
        <v>40</v>
      </c>
      <c r="D21" s="47" t="s">
        <v>41</v>
      </c>
      <c r="E21" s="48">
        <v>4.8</v>
      </c>
      <c r="F21" s="48"/>
      <c r="G21" s="48">
        <v>2.0</v>
      </c>
      <c r="H21" s="49"/>
      <c r="I21" s="49">
        <f t="shared" si="1"/>
        <v>6.8</v>
      </c>
      <c r="J21" s="50"/>
      <c r="K21" s="51">
        <f t="shared" si="2"/>
        <v>7</v>
      </c>
      <c r="L21" s="45"/>
      <c r="M21" s="52">
        <f t="shared" si="3"/>
        <v>7</v>
      </c>
      <c r="N21" s="54" t="s">
        <v>42</v>
      </c>
      <c r="O21" s="45"/>
      <c r="P21" s="2"/>
      <c r="Q21" s="2"/>
      <c r="R21" s="2"/>
    </row>
    <row r="22" ht="24.75" customHeight="1">
      <c r="A22" s="45">
        <v>6.0</v>
      </c>
      <c r="B22" s="46" t="s">
        <v>43</v>
      </c>
      <c r="C22" s="46" t="s">
        <v>44</v>
      </c>
      <c r="D22" s="47" t="s">
        <v>45</v>
      </c>
      <c r="E22" s="48">
        <v>4.8</v>
      </c>
      <c r="F22" s="48"/>
      <c r="G22" s="48">
        <v>2.0</v>
      </c>
      <c r="H22" s="49"/>
      <c r="I22" s="49">
        <f t="shared" si="1"/>
        <v>6.8</v>
      </c>
      <c r="J22" s="50"/>
      <c r="K22" s="51">
        <f t="shared" si="2"/>
        <v>7</v>
      </c>
      <c r="L22" s="45"/>
      <c r="M22" s="52">
        <f t="shared" si="3"/>
        <v>7</v>
      </c>
      <c r="N22" s="54" t="s">
        <v>46</v>
      </c>
      <c r="O22" s="45"/>
      <c r="P22" s="2"/>
      <c r="Q22" s="2"/>
      <c r="R22" s="2"/>
    </row>
    <row r="23" ht="24.75" customHeight="1">
      <c r="A23" s="45">
        <v>7.0</v>
      </c>
      <c r="B23" s="46" t="s">
        <v>47</v>
      </c>
      <c r="C23" s="46" t="s">
        <v>48</v>
      </c>
      <c r="D23" s="47" t="s">
        <v>49</v>
      </c>
      <c r="E23" s="48">
        <v>0.0</v>
      </c>
      <c r="F23" s="48"/>
      <c r="G23" s="48">
        <v>1.0</v>
      </c>
      <c r="H23" s="49"/>
      <c r="I23" s="49">
        <f t="shared" si="1"/>
        <v>1</v>
      </c>
      <c r="J23" s="50"/>
      <c r="K23" s="51">
        <f t="shared" si="2"/>
        <v>5</v>
      </c>
      <c r="L23" s="45"/>
      <c r="M23" s="52">
        <f t="shared" si="3"/>
        <v>1</v>
      </c>
      <c r="N23" s="54" t="s">
        <v>50</v>
      </c>
      <c r="O23" s="45"/>
      <c r="P23" s="2"/>
      <c r="Q23" s="2"/>
      <c r="R23" s="2"/>
    </row>
    <row r="24" ht="24.75" customHeight="1">
      <c r="A24" s="45">
        <v>8.0</v>
      </c>
      <c r="B24" s="46" t="s">
        <v>51</v>
      </c>
      <c r="C24" s="46" t="s">
        <v>52</v>
      </c>
      <c r="D24" s="47" t="s">
        <v>53</v>
      </c>
      <c r="E24" s="48">
        <v>8.0</v>
      </c>
      <c r="F24" s="48"/>
      <c r="G24" s="48">
        <v>2.0</v>
      </c>
      <c r="H24" s="48"/>
      <c r="I24" s="49">
        <f t="shared" si="1"/>
        <v>10</v>
      </c>
      <c r="J24" s="50"/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22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56</v>
      </c>
      <c r="D25" s="47" t="s">
        <v>57</v>
      </c>
      <c r="E25" s="48">
        <v>8.0</v>
      </c>
      <c r="F25" s="48"/>
      <c r="G25" s="48">
        <v>2.0</v>
      </c>
      <c r="H25" s="49"/>
      <c r="I25" s="49">
        <f t="shared" si="1"/>
        <v>10</v>
      </c>
      <c r="J25" s="50"/>
      <c r="K25" s="51">
        <f t="shared" si="2"/>
        <v>10</v>
      </c>
      <c r="L25" s="45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58</v>
      </c>
      <c r="C26" s="46" t="s">
        <v>59</v>
      </c>
      <c r="D26" s="47" t="s">
        <v>60</v>
      </c>
      <c r="E26" s="48">
        <v>1.6</v>
      </c>
      <c r="F26" s="48"/>
      <c r="G26" s="48">
        <v>2.0</v>
      </c>
      <c r="H26" s="49"/>
      <c r="I26" s="49">
        <f t="shared" si="1"/>
        <v>3.6</v>
      </c>
      <c r="J26" s="50"/>
      <c r="K26" s="51">
        <f t="shared" si="2"/>
        <v>5</v>
      </c>
      <c r="L26" s="45"/>
      <c r="M26" s="52">
        <f t="shared" si="3"/>
        <v>3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55</v>
      </c>
      <c r="D27" s="46" t="s">
        <v>62</v>
      </c>
      <c r="E27" s="48">
        <v>4.8</v>
      </c>
      <c r="F27" s="48"/>
      <c r="G27" s="48">
        <v>2.0</v>
      </c>
      <c r="H27" s="49"/>
      <c r="I27" s="49">
        <f t="shared" si="1"/>
        <v>6.8</v>
      </c>
      <c r="J27" s="50"/>
      <c r="K27" s="51">
        <f t="shared" si="2"/>
        <v>7</v>
      </c>
      <c r="L27" s="45"/>
      <c r="M27" s="52">
        <f t="shared" si="3"/>
        <v>7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36</v>
      </c>
      <c r="C28" s="46" t="s">
        <v>36</v>
      </c>
      <c r="D28" s="47" t="s">
        <v>63</v>
      </c>
      <c r="E28" s="48">
        <v>8.0</v>
      </c>
      <c r="F28" s="48"/>
      <c r="G28" s="48">
        <v>2.0</v>
      </c>
      <c r="H28" s="49"/>
      <c r="I28" s="49">
        <f t="shared" si="1"/>
        <v>10</v>
      </c>
      <c r="J28" s="50"/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36</v>
      </c>
      <c r="C29" s="46" t="s">
        <v>64</v>
      </c>
      <c r="D29" s="47" t="s">
        <v>65</v>
      </c>
      <c r="E29" s="48">
        <v>4.8</v>
      </c>
      <c r="F29" s="48"/>
      <c r="G29" s="48">
        <v>2.0</v>
      </c>
      <c r="H29" s="49"/>
      <c r="I29" s="49">
        <f t="shared" si="1"/>
        <v>6.8</v>
      </c>
      <c r="J29" s="50"/>
      <c r="K29" s="51">
        <f t="shared" si="2"/>
        <v>7</v>
      </c>
      <c r="L29" s="45"/>
      <c r="M29" s="52">
        <f t="shared" si="3"/>
        <v>7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66</v>
      </c>
      <c r="C30" s="46" t="s">
        <v>58</v>
      </c>
      <c r="D30" s="47" t="s">
        <v>67</v>
      </c>
      <c r="E30" s="48">
        <v>8.0</v>
      </c>
      <c r="F30" s="48"/>
      <c r="G30" s="48">
        <v>2.0</v>
      </c>
      <c r="H30" s="49"/>
      <c r="I30" s="49">
        <f t="shared" si="1"/>
        <v>10</v>
      </c>
      <c r="J30" s="50"/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68</v>
      </c>
      <c r="C31" s="46" t="s">
        <v>69</v>
      </c>
      <c r="D31" s="47" t="s">
        <v>70</v>
      </c>
      <c r="E31" s="48">
        <v>8.0</v>
      </c>
      <c r="F31" s="48"/>
      <c r="G31" s="48">
        <v>2.0</v>
      </c>
      <c r="H31" s="49"/>
      <c r="I31" s="49">
        <f t="shared" si="1"/>
        <v>10</v>
      </c>
      <c r="J31" s="50"/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71</v>
      </c>
      <c r="C32" s="46" t="s">
        <v>43</v>
      </c>
      <c r="D32" s="47" t="s">
        <v>72</v>
      </c>
      <c r="E32" s="48">
        <v>4.8</v>
      </c>
      <c r="F32" s="48"/>
      <c r="G32" s="48">
        <v>2.0</v>
      </c>
      <c r="H32" s="48">
        <v>1.0</v>
      </c>
      <c r="I32" s="49">
        <f t="shared" si="1"/>
        <v>7.8</v>
      </c>
      <c r="J32" s="50"/>
      <c r="K32" s="51">
        <f t="shared" si="2"/>
        <v>8</v>
      </c>
      <c r="L32" s="45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73</v>
      </c>
      <c r="C33" s="46" t="s">
        <v>74</v>
      </c>
      <c r="D33" s="47" t="s">
        <v>75</v>
      </c>
      <c r="E33" s="48">
        <v>0.0</v>
      </c>
      <c r="F33" s="48"/>
      <c r="G33" s="48">
        <v>1.0</v>
      </c>
      <c r="H33" s="48"/>
      <c r="I33" s="49">
        <f t="shared" si="1"/>
        <v>1</v>
      </c>
      <c r="J33" s="50"/>
      <c r="K33" s="51">
        <f t="shared" si="2"/>
        <v>5</v>
      </c>
      <c r="L33" s="45"/>
      <c r="M33" s="52">
        <f t="shared" si="3"/>
        <v>1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76</v>
      </c>
      <c r="C34" s="46" t="s">
        <v>77</v>
      </c>
      <c r="D34" s="47" t="s">
        <v>78</v>
      </c>
      <c r="E34" s="48">
        <v>8.0</v>
      </c>
      <c r="F34" s="48"/>
      <c r="G34" s="48">
        <v>2.0</v>
      </c>
      <c r="H34" s="49"/>
      <c r="I34" s="49">
        <f t="shared" si="1"/>
        <v>10</v>
      </c>
      <c r="J34" s="50"/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76</v>
      </c>
      <c r="C35" s="46" t="s">
        <v>51</v>
      </c>
      <c r="D35" s="47" t="s">
        <v>79</v>
      </c>
      <c r="E35" s="48">
        <v>6.4</v>
      </c>
      <c r="F35" s="48"/>
      <c r="G35" s="48">
        <v>2.0</v>
      </c>
      <c r="H35" s="49"/>
      <c r="I35" s="49">
        <f t="shared" si="1"/>
        <v>8.4</v>
      </c>
      <c r="J35" s="50"/>
      <c r="K35" s="51">
        <f t="shared" si="2"/>
        <v>8</v>
      </c>
      <c r="L35" s="45"/>
      <c r="M35" s="52">
        <f t="shared" si="3"/>
        <v>8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80</v>
      </c>
      <c r="C36" s="46" t="s">
        <v>81</v>
      </c>
      <c r="D36" s="47" t="s">
        <v>82</v>
      </c>
      <c r="E36" s="48">
        <v>8.0</v>
      </c>
      <c r="F36" s="48"/>
      <c r="G36" s="48">
        <v>2.0</v>
      </c>
      <c r="H36" s="49"/>
      <c r="I36" s="49">
        <f t="shared" si="1"/>
        <v>10</v>
      </c>
      <c r="J36" s="50"/>
      <c r="K36" s="51">
        <f t="shared" si="2"/>
        <v>10</v>
      </c>
      <c r="L36" s="45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83</v>
      </c>
      <c r="C37" s="46" t="s">
        <v>48</v>
      </c>
      <c r="D37" s="47" t="s">
        <v>84</v>
      </c>
      <c r="E37" s="48">
        <v>6.4</v>
      </c>
      <c r="F37" s="48"/>
      <c r="G37" s="48">
        <v>2.0</v>
      </c>
      <c r="H37" s="49"/>
      <c r="I37" s="49">
        <f t="shared" si="1"/>
        <v>8.4</v>
      </c>
      <c r="J37" s="50"/>
      <c r="K37" s="51">
        <f t="shared" si="2"/>
        <v>8</v>
      </c>
      <c r="L37" s="45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48</v>
      </c>
      <c r="C38" s="46" t="s">
        <v>85</v>
      </c>
      <c r="D38" s="47" t="s">
        <v>86</v>
      </c>
      <c r="E38" s="48">
        <v>6.4</v>
      </c>
      <c r="F38" s="48"/>
      <c r="G38" s="48">
        <v>2.0</v>
      </c>
      <c r="H38" s="49"/>
      <c r="I38" s="49">
        <f t="shared" si="1"/>
        <v>8.4</v>
      </c>
      <c r="J38" s="50"/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48</v>
      </c>
      <c r="C39" s="46" t="s">
        <v>87</v>
      </c>
      <c r="D39" s="47" t="s">
        <v>88</v>
      </c>
      <c r="E39" s="48">
        <v>8.0</v>
      </c>
      <c r="F39" s="48"/>
      <c r="G39" s="48">
        <v>2.0</v>
      </c>
      <c r="H39" s="49"/>
      <c r="I39" s="49">
        <f t="shared" si="1"/>
        <v>10</v>
      </c>
      <c r="J39" s="50"/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48</v>
      </c>
      <c r="C40" s="46" t="s">
        <v>89</v>
      </c>
      <c r="D40" s="47" t="s">
        <v>90</v>
      </c>
      <c r="E40" s="48">
        <v>8.0</v>
      </c>
      <c r="F40" s="48"/>
      <c r="G40" s="48">
        <v>2.0</v>
      </c>
      <c r="H40" s="49"/>
      <c r="I40" s="49">
        <f t="shared" si="1"/>
        <v>10</v>
      </c>
      <c r="J40" s="50"/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48</v>
      </c>
      <c r="C41" s="46" t="s">
        <v>91</v>
      </c>
      <c r="D41" s="47" t="s">
        <v>92</v>
      </c>
      <c r="E41" s="48">
        <v>8.0</v>
      </c>
      <c r="F41" s="48"/>
      <c r="G41" s="48">
        <v>2.0</v>
      </c>
      <c r="H41" s="49"/>
      <c r="I41" s="49">
        <f t="shared" si="1"/>
        <v>10</v>
      </c>
      <c r="J41" s="50"/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93</v>
      </c>
      <c r="C42" s="46" t="s">
        <v>94</v>
      </c>
      <c r="D42" s="47" t="s">
        <v>95</v>
      </c>
      <c r="E42" s="48">
        <v>6.4</v>
      </c>
      <c r="F42" s="48"/>
      <c r="G42" s="48">
        <v>2.0</v>
      </c>
      <c r="H42" s="49"/>
      <c r="I42" s="49">
        <f t="shared" si="1"/>
        <v>8.4</v>
      </c>
      <c r="J42" s="50"/>
      <c r="K42" s="51">
        <f t="shared" si="2"/>
        <v>8</v>
      </c>
      <c r="L42" s="45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96</v>
      </c>
      <c r="C43" s="46" t="s">
        <v>55</v>
      </c>
      <c r="D43" s="47" t="s">
        <v>97</v>
      </c>
      <c r="E43" s="48">
        <v>6.4</v>
      </c>
      <c r="F43" s="48"/>
      <c r="G43" s="48">
        <v>2.0</v>
      </c>
      <c r="H43" s="49"/>
      <c r="I43" s="49">
        <f t="shared" si="1"/>
        <v>8.4</v>
      </c>
      <c r="J43" s="50"/>
      <c r="K43" s="51">
        <f t="shared" si="2"/>
        <v>8</v>
      </c>
      <c r="L43" s="45"/>
      <c r="M43" s="52">
        <f t="shared" si="3"/>
        <v>8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98</v>
      </c>
      <c r="C44" s="46" t="s">
        <v>99</v>
      </c>
      <c r="D44" s="47" t="s">
        <v>100</v>
      </c>
      <c r="E44" s="48">
        <v>0.0</v>
      </c>
      <c r="F44" s="48"/>
      <c r="G44" s="48">
        <v>0.0</v>
      </c>
      <c r="H44" s="49"/>
      <c r="I44" s="49">
        <f t="shared" si="1"/>
        <v>0</v>
      </c>
      <c r="J44" s="50"/>
      <c r="K44" s="51">
        <f t="shared" si="2"/>
        <v>5</v>
      </c>
      <c r="L44" s="45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101</v>
      </c>
      <c r="C45" s="46" t="s">
        <v>102</v>
      </c>
      <c r="D45" s="47" t="s">
        <v>103</v>
      </c>
      <c r="E45" s="48">
        <v>4.8</v>
      </c>
      <c r="F45" s="48"/>
      <c r="G45" s="48">
        <v>2.0</v>
      </c>
      <c r="H45" s="49"/>
      <c r="I45" s="49">
        <f t="shared" si="1"/>
        <v>6.8</v>
      </c>
      <c r="J45" s="50"/>
      <c r="K45" s="51">
        <f t="shared" si="2"/>
        <v>7</v>
      </c>
      <c r="L45" s="45"/>
      <c r="M45" s="52">
        <f t="shared" si="3"/>
        <v>7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74</v>
      </c>
      <c r="C46" s="46" t="s">
        <v>48</v>
      </c>
      <c r="D46" s="47" t="s">
        <v>104</v>
      </c>
      <c r="E46" s="48">
        <v>6.4</v>
      </c>
      <c r="F46" s="48"/>
      <c r="G46" s="48">
        <v>2.0</v>
      </c>
      <c r="H46" s="49"/>
      <c r="I46" s="49">
        <f t="shared" si="1"/>
        <v>8.4</v>
      </c>
      <c r="J46" s="50"/>
      <c r="K46" s="51">
        <f t="shared" si="2"/>
        <v>8</v>
      </c>
      <c r="L46" s="45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105</v>
      </c>
      <c r="C47" s="46" t="s">
        <v>66</v>
      </c>
      <c r="D47" s="47" t="s">
        <v>106</v>
      </c>
      <c r="E47" s="48">
        <v>6.4</v>
      </c>
      <c r="F47" s="48"/>
      <c r="G47" s="48">
        <v>2.0</v>
      </c>
      <c r="H47" s="49"/>
      <c r="I47" s="49">
        <f t="shared" si="1"/>
        <v>8.4</v>
      </c>
      <c r="J47" s="50"/>
      <c r="K47" s="51">
        <f t="shared" si="2"/>
        <v>8</v>
      </c>
      <c r="L47" s="45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107</v>
      </c>
      <c r="C48" s="46" t="s">
        <v>108</v>
      </c>
      <c r="D48" s="47" t="s">
        <v>109</v>
      </c>
      <c r="E48" s="48">
        <v>6.4</v>
      </c>
      <c r="F48" s="48"/>
      <c r="G48" s="48">
        <v>2.0</v>
      </c>
      <c r="H48" s="49"/>
      <c r="I48" s="49">
        <f t="shared" si="1"/>
        <v>8.4</v>
      </c>
      <c r="J48" s="50"/>
      <c r="K48" s="51">
        <f t="shared" si="2"/>
        <v>8</v>
      </c>
      <c r="L48" s="45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110</v>
      </c>
      <c r="C49" s="46" t="s">
        <v>111</v>
      </c>
      <c r="D49" s="47" t="s">
        <v>112</v>
      </c>
      <c r="E49" s="48">
        <v>4.8</v>
      </c>
      <c r="F49" s="48"/>
      <c r="G49" s="48">
        <v>2.0</v>
      </c>
      <c r="H49" s="49"/>
      <c r="I49" s="49">
        <f t="shared" si="1"/>
        <v>6.8</v>
      </c>
      <c r="J49" s="50"/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113</v>
      </c>
      <c r="C50" s="46" t="s">
        <v>114</v>
      </c>
      <c r="D50" s="47" t="s">
        <v>115</v>
      </c>
      <c r="E50" s="48">
        <v>8.0</v>
      </c>
      <c r="F50" s="48"/>
      <c r="G50" s="48">
        <v>2.0</v>
      </c>
      <c r="H50" s="49"/>
      <c r="I50" s="49">
        <f t="shared" si="1"/>
        <v>10</v>
      </c>
      <c r="J50" s="50"/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81</v>
      </c>
      <c r="C51" s="46" t="s">
        <v>116</v>
      </c>
      <c r="D51" s="47" t="s">
        <v>117</v>
      </c>
      <c r="E51" s="48">
        <v>4.8</v>
      </c>
      <c r="F51" s="48"/>
      <c r="G51" s="48">
        <v>2.0</v>
      </c>
      <c r="H51" s="49"/>
      <c r="I51" s="49">
        <f t="shared" si="1"/>
        <v>6.8</v>
      </c>
      <c r="J51" s="50"/>
      <c r="K51" s="51">
        <f t="shared" si="2"/>
        <v>7</v>
      </c>
      <c r="L51" s="45"/>
      <c r="M51" s="52">
        <f t="shared" si="3"/>
        <v>7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118</v>
      </c>
      <c r="C52" s="46" t="s">
        <v>119</v>
      </c>
      <c r="D52" s="47" t="s">
        <v>120</v>
      </c>
      <c r="E52" s="48">
        <v>6.4</v>
      </c>
      <c r="F52" s="48"/>
      <c r="G52" s="48">
        <v>2.0</v>
      </c>
      <c r="H52" s="49"/>
      <c r="I52" s="49">
        <f t="shared" si="1"/>
        <v>8.4</v>
      </c>
      <c r="J52" s="50"/>
      <c r="K52" s="51">
        <f t="shared" si="2"/>
        <v>8</v>
      </c>
      <c r="L52" s="45"/>
      <c r="M52" s="46">
        <f t="shared" si="3"/>
        <v>8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121</v>
      </c>
      <c r="C53" s="46" t="s">
        <v>122</v>
      </c>
      <c r="D53" s="47" t="s">
        <v>123</v>
      </c>
      <c r="E53" s="48">
        <v>3.2</v>
      </c>
      <c r="F53" s="48"/>
      <c r="G53" s="48">
        <v>0.0</v>
      </c>
      <c r="H53" s="49"/>
      <c r="I53" s="49">
        <f t="shared" si="1"/>
        <v>3.2</v>
      </c>
      <c r="J53" s="50"/>
      <c r="K53" s="51">
        <f t="shared" si="2"/>
        <v>5</v>
      </c>
      <c r="L53" s="45"/>
      <c r="M53" s="46">
        <f t="shared" si="3"/>
        <v>3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124</v>
      </c>
      <c r="C54" s="46" t="s">
        <v>125</v>
      </c>
      <c r="D54" s="47" t="s">
        <v>126</v>
      </c>
      <c r="E54" s="48">
        <v>6.4</v>
      </c>
      <c r="F54" s="48"/>
      <c r="G54" s="48">
        <v>2.0</v>
      </c>
      <c r="H54" s="49"/>
      <c r="I54" s="49">
        <f t="shared" si="1"/>
        <v>8.4</v>
      </c>
      <c r="J54" s="50"/>
      <c r="K54" s="51">
        <f t="shared" si="2"/>
        <v>8</v>
      </c>
      <c r="L54" s="45"/>
      <c r="M54" s="46">
        <f t="shared" si="3"/>
        <v>8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127</v>
      </c>
      <c r="C55" s="46" t="s">
        <v>40</v>
      </c>
      <c r="D55" s="47" t="s">
        <v>128</v>
      </c>
      <c r="E55" s="48">
        <v>1.6</v>
      </c>
      <c r="F55" s="48"/>
      <c r="G55" s="48">
        <v>2.0</v>
      </c>
      <c r="H55" s="49"/>
      <c r="I55" s="49">
        <f t="shared" si="1"/>
        <v>3.6</v>
      </c>
      <c r="J55" s="50"/>
      <c r="K55" s="51">
        <f t="shared" si="2"/>
        <v>5</v>
      </c>
      <c r="L55" s="45"/>
      <c r="M55" s="46">
        <f t="shared" si="3"/>
        <v>3</v>
      </c>
      <c r="N55" s="1"/>
      <c r="O55" s="1"/>
      <c r="P55" s="2"/>
      <c r="Q55" s="2"/>
      <c r="R55" s="2"/>
    </row>
    <row r="56" ht="24.75" customHeight="1">
      <c r="A56" s="6"/>
      <c r="B56" s="55"/>
      <c r="C56" s="55"/>
      <c r="D56" s="11"/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57" t="s">
        <v>129</v>
      </c>
      <c r="C57" s="58"/>
      <c r="D57" s="59">
        <f>COUNT(A17:A55)</f>
        <v>39</v>
      </c>
      <c r="E57" s="56"/>
      <c r="F57" s="56"/>
      <c r="G57" s="60" t="s">
        <v>130</v>
      </c>
      <c r="H57" s="56"/>
      <c r="I57" s="60" t="s">
        <v>131</v>
      </c>
      <c r="K57" s="61" t="s">
        <v>132</v>
      </c>
      <c r="L57" s="62" t="s">
        <v>133</v>
      </c>
      <c r="M57" s="55"/>
      <c r="N57" s="1"/>
      <c r="O57" s="1"/>
      <c r="P57" s="2"/>
      <c r="Q57" s="2"/>
      <c r="R57" s="2"/>
    </row>
    <row r="58" ht="24.75" customHeight="1">
      <c r="A58" s="1"/>
      <c r="B58" s="63" t="s">
        <v>134</v>
      </c>
      <c r="C58" s="64"/>
      <c r="D58" s="65">
        <f>COUNTIF(K17:K55,"BAJA")</f>
        <v>0</v>
      </c>
      <c r="E58" s="56"/>
      <c r="F58" s="56"/>
      <c r="H58" s="56"/>
      <c r="L58" s="9"/>
      <c r="M58" s="55"/>
      <c r="N58" s="1"/>
      <c r="O58" s="1"/>
      <c r="P58" s="2"/>
      <c r="Q58" s="2"/>
      <c r="R58" s="2"/>
    </row>
    <row r="59" ht="24.75" customHeight="1">
      <c r="A59" s="1"/>
      <c r="B59" s="63" t="s">
        <v>135</v>
      </c>
      <c r="C59" s="64"/>
      <c r="D59" s="66">
        <f>D57-D58</f>
        <v>39</v>
      </c>
      <c r="E59" s="56"/>
      <c r="F59" s="56"/>
      <c r="G59" s="56"/>
      <c r="H59" s="56"/>
      <c r="I59" s="56"/>
      <c r="J59" s="11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63" t="s">
        <v>136</v>
      </c>
      <c r="C60" s="64"/>
      <c r="D60" s="67">
        <f>COUNTIF(K17:K55,"&gt;=6")</f>
        <v>30</v>
      </c>
      <c r="E60" s="56"/>
      <c r="F60" s="56"/>
      <c r="G60" s="56"/>
      <c r="H60" s="56"/>
      <c r="I60" s="56"/>
      <c r="J60" s="56"/>
      <c r="K60" s="55"/>
      <c r="L60" s="7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137</v>
      </c>
      <c r="C61" s="64"/>
      <c r="D61" s="67">
        <f>D59-D60</f>
        <v>9</v>
      </c>
      <c r="E61" s="56"/>
      <c r="F61" s="56"/>
      <c r="G61" s="68"/>
      <c r="H61" s="56"/>
      <c r="I61" s="69"/>
      <c r="J61" s="69"/>
      <c r="K61" s="70"/>
      <c r="L61" s="71"/>
      <c r="M61" s="55"/>
      <c r="N61" s="1"/>
      <c r="O61" s="1"/>
      <c r="P61" s="2"/>
      <c r="Q61" s="2"/>
      <c r="R61" s="2"/>
    </row>
    <row r="62" ht="36.0" customHeight="1">
      <c r="A62" s="1"/>
      <c r="B62" s="63" t="s">
        <v>138</v>
      </c>
      <c r="C62" s="64"/>
      <c r="D62" s="72">
        <f>D60*100/D59</f>
        <v>76.92307692</v>
      </c>
      <c r="E62" s="56"/>
      <c r="F62" s="56"/>
      <c r="G62" s="73" t="s">
        <v>139</v>
      </c>
      <c r="H62" s="56"/>
      <c r="I62" s="74" t="s">
        <v>140</v>
      </c>
      <c r="K62" s="75" t="s">
        <v>141</v>
      </c>
      <c r="L62" s="76" t="s">
        <v>142</v>
      </c>
      <c r="M62" s="55"/>
      <c r="N62" s="1"/>
      <c r="O62" s="1"/>
      <c r="P62" s="2"/>
      <c r="Q62" s="2"/>
      <c r="R62" s="2"/>
    </row>
    <row r="63" ht="24.75" customHeight="1">
      <c r="A63" s="1"/>
      <c r="B63" s="77" t="s">
        <v>143</v>
      </c>
      <c r="C63" s="78"/>
      <c r="D63" s="79">
        <f>AVERAGE(K17:K55)</f>
        <v>7.743589744</v>
      </c>
      <c r="E63" s="56"/>
      <c r="F63" s="56"/>
      <c r="H63" s="56"/>
      <c r="L63" s="9"/>
      <c r="M63" s="55"/>
      <c r="N63" s="1"/>
      <c r="O63" s="1"/>
      <c r="P63" s="2"/>
      <c r="Q63" s="2"/>
      <c r="R63" s="2"/>
    </row>
    <row r="64" ht="24.75" customHeight="1">
      <c r="A64" s="80"/>
      <c r="B64" s="81"/>
      <c r="C64" s="81"/>
      <c r="D64" s="81"/>
      <c r="E64" s="82"/>
      <c r="F64" s="82"/>
      <c r="G64" s="82"/>
      <c r="H64" s="82"/>
      <c r="I64" s="82"/>
      <c r="J64" s="82"/>
      <c r="K64" s="81"/>
      <c r="L64" s="83"/>
      <c r="M64" s="81"/>
      <c r="N64" s="2"/>
      <c r="O64" s="2"/>
      <c r="P64" s="2"/>
      <c r="Q64" s="2"/>
      <c r="R64" s="2"/>
    </row>
    <row r="65" ht="24.75" customHeight="1">
      <c r="A65" s="84"/>
      <c r="B65" s="85"/>
      <c r="C65" s="86"/>
      <c r="D65" s="86"/>
      <c r="E65" s="82"/>
      <c r="H65" s="82"/>
      <c r="I65" s="82"/>
      <c r="J65" s="82"/>
      <c r="K65" s="81"/>
      <c r="L65" s="83"/>
      <c r="M65" s="81"/>
      <c r="N65" s="2"/>
      <c r="O65" s="2"/>
      <c r="P65" s="2"/>
      <c r="Q65" s="2"/>
      <c r="R65" s="2"/>
    </row>
    <row r="66" ht="24.75" customHeight="1">
      <c r="A66" s="80"/>
      <c r="B66" s="81"/>
      <c r="C66" s="81"/>
      <c r="D66" s="81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80"/>
      <c r="B67" s="81"/>
      <c r="C67" s="81"/>
      <c r="D67" s="87"/>
      <c r="E67" s="82"/>
      <c r="F67" s="82"/>
      <c r="G67" s="82"/>
      <c r="H67" s="82"/>
      <c r="I67" s="82"/>
      <c r="J67" s="88"/>
      <c r="K67" s="81"/>
      <c r="L67" s="83"/>
      <c r="M67" s="81"/>
      <c r="N67" s="2"/>
      <c r="O67" s="2"/>
      <c r="P67" s="2"/>
      <c r="Q67" s="2"/>
      <c r="R67" s="2"/>
    </row>
    <row r="68" ht="24.75" customHeight="1">
      <c r="A68" s="89"/>
      <c r="B68" s="90"/>
      <c r="C68" s="90"/>
      <c r="D68" s="91"/>
      <c r="E68" s="92"/>
      <c r="F68" s="92"/>
      <c r="G68" s="92"/>
      <c r="H68" s="92"/>
      <c r="I68" s="92"/>
      <c r="J68" s="93"/>
      <c r="K68" s="90"/>
      <c r="L68" s="94"/>
      <c r="M68" s="81"/>
      <c r="N68" s="2"/>
      <c r="O68" s="2"/>
      <c r="P68" s="2"/>
      <c r="Q68" s="2"/>
      <c r="R68" s="2"/>
    </row>
    <row r="69" ht="24.75" customHeight="1">
      <c r="A69" s="2"/>
      <c r="B69" s="81"/>
      <c r="C69" s="81"/>
      <c r="D69" s="87"/>
      <c r="E69" s="82"/>
      <c r="F69" s="82"/>
      <c r="G69" s="82"/>
      <c r="H69" s="82"/>
      <c r="I69" s="82"/>
      <c r="J69" s="82"/>
      <c r="K69" s="95"/>
      <c r="L69" s="96"/>
      <c r="M69" s="95"/>
      <c r="N69" s="2"/>
      <c r="O69" s="2"/>
      <c r="P69" s="2"/>
      <c r="Q69" s="2"/>
      <c r="R69" s="2"/>
    </row>
    <row r="70" ht="24.75" customHeight="1">
      <c r="A70" s="2"/>
      <c r="B70" s="81"/>
      <c r="C70" s="81"/>
      <c r="D70" s="87"/>
      <c r="E70" s="82"/>
      <c r="F70" s="82"/>
      <c r="G70" s="82"/>
      <c r="H70" s="82"/>
      <c r="I70" s="82"/>
      <c r="J70" s="82"/>
      <c r="K70" s="95"/>
      <c r="L70" s="96"/>
      <c r="M70" s="95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E17:H55">
    <cfRule type="expression" dxfId="0" priority="4" stopIfTrue="1">
      <formula>TRUE</formula>
    </cfRule>
  </conditionalFormatting>
  <conditionalFormatting sqref="K17:K55">
    <cfRule type="cellIs" dxfId="2" priority="5" stopIfTrue="1" operator="equal">
      <formula>5</formula>
    </cfRule>
  </conditionalFormatting>
  <conditionalFormatting sqref="K17:K55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70 L18:L70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