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temas selectos de ingles ii" sheetId="1" r:id="rId5"/>
  </sheets>
  <definedNames/>
  <calcPr/>
</workbook>
</file>

<file path=xl/sharedStrings.xml><?xml version="1.0" encoding="utf-8"?>
<sst xmlns="http://schemas.openxmlformats.org/spreadsheetml/2006/main" count="191" uniqueCount="164">
  <si>
    <t>ESCUELA PREPARATORIA OFICIAL NÚM. 67</t>
  </si>
  <si>
    <t xml:space="preserve">CONTROL PRIMER PARCIAL </t>
  </si>
  <si>
    <t xml:space="preserve">PROFESOR (A): </t>
  </si>
  <si>
    <t>MARIO ALBERTO ALARCÓN VARGAS</t>
  </si>
  <si>
    <t>I</t>
  </si>
  <si>
    <t>II</t>
  </si>
  <si>
    <t>III</t>
  </si>
  <si>
    <t>PUNTAJE EXTRA</t>
  </si>
  <si>
    <t>SEXTO SEMESTRE
VESPERTINO</t>
  </si>
  <si>
    <t>UAC</t>
  </si>
  <si>
    <t>TEMAS SELECTOS DE INGLÉS II</t>
  </si>
  <si>
    <t>Evaluación continua 50%</t>
  </si>
  <si>
    <t>Examen parcial 30%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</si>
  <si>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</si>
  <si>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</si>
  <si>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</si>
  <si>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</si>
  <si>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</si>
  <si>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</si>
  <si>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</si>
  <si>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</si>
  <si>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</si>
  <si>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</si>
  <si>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AGUILAR</t>
  </si>
  <si>
    <t>RODRIGUEZ</t>
  </si>
  <si>
    <t>ALEXA</t>
  </si>
  <si>
    <t>HORAS IMPARTIDAS</t>
  </si>
  <si>
    <t xml:space="preserve">ARANA </t>
  </si>
  <si>
    <t xml:space="preserve">DOMINGUEZ </t>
  </si>
  <si>
    <t>JORGE</t>
  </si>
  <si>
    <t>Febrero</t>
  </si>
  <si>
    <t>AVILA</t>
  </si>
  <si>
    <t>PEREZ</t>
  </si>
  <si>
    <t>ANDY JOSHUA</t>
  </si>
  <si>
    <t>Marzo</t>
  </si>
  <si>
    <t>BARRERA</t>
  </si>
  <si>
    <t>MARTINEZ</t>
  </si>
  <si>
    <t>MARLEN GUADALUPE</t>
  </si>
  <si>
    <t>Abril</t>
  </si>
  <si>
    <t>BRAVO</t>
  </si>
  <si>
    <t>ESQUIVEL</t>
  </si>
  <si>
    <t>DANIELA NICOLE</t>
  </si>
  <si>
    <t>Mayo</t>
  </si>
  <si>
    <t>CAMACHO</t>
  </si>
  <si>
    <t>REYES</t>
  </si>
  <si>
    <t>AZUL VALENTINA</t>
  </si>
  <si>
    <t>Junio</t>
  </si>
  <si>
    <t>CHERON</t>
  </si>
  <si>
    <t>CARRASCO</t>
  </si>
  <si>
    <t>ORLANDO MANUEL</t>
  </si>
  <si>
    <t>Julio</t>
  </si>
  <si>
    <t>CRESCENCIO</t>
  </si>
  <si>
    <t>DOMINGUEZ</t>
  </si>
  <si>
    <t>LEONARDO</t>
  </si>
  <si>
    <t>TOTAL</t>
  </si>
  <si>
    <t xml:space="preserve">CRUZ </t>
  </si>
  <si>
    <t>LOPEZ</t>
  </si>
  <si>
    <t>ARANZA MABEL</t>
  </si>
  <si>
    <t>CRUZ</t>
  </si>
  <si>
    <t>ROLDAN</t>
  </si>
  <si>
    <t>IVANNA GISELLE</t>
  </si>
  <si>
    <t>DIAZ</t>
  </si>
  <si>
    <t>TORRES</t>
  </si>
  <si>
    <t>JOLENE LISETTE</t>
  </si>
  <si>
    <t>ALVAREZ</t>
  </si>
  <si>
    <t>LEONARDO FABIAN</t>
  </si>
  <si>
    <t xml:space="preserve">ESPINOZA </t>
  </si>
  <si>
    <t>GUTIERREZ</t>
  </si>
  <si>
    <t>DANIELA MICHELLE</t>
  </si>
  <si>
    <t>VAZQUEZ</t>
  </si>
  <si>
    <t>KEVIN MIGUEL</t>
  </si>
  <si>
    <t>GARCIA</t>
  </si>
  <si>
    <t>BRAULIO</t>
  </si>
  <si>
    <t xml:space="preserve">GOMEZ </t>
  </si>
  <si>
    <t xml:space="preserve">ANGULO </t>
  </si>
  <si>
    <t>PAMELA</t>
  </si>
  <si>
    <t>GONZALEZ</t>
  </si>
  <si>
    <t>OSWALDO</t>
  </si>
  <si>
    <t>HERNANDEZ</t>
  </si>
  <si>
    <t>NAOMI AKETZALLI</t>
  </si>
  <si>
    <t>NICOLAS</t>
  </si>
  <si>
    <t>MIGUEL ALEJANDRO</t>
  </si>
  <si>
    <t>JIMENEZ</t>
  </si>
  <si>
    <t>NAZUKI ARAMI</t>
  </si>
  <si>
    <t xml:space="preserve">LOPEZ </t>
  </si>
  <si>
    <t xml:space="preserve">CHAVEZ </t>
  </si>
  <si>
    <t>ANDREA</t>
  </si>
  <si>
    <t>IAN HUMBERTO</t>
  </si>
  <si>
    <t>LUNA</t>
  </si>
  <si>
    <t>HURTADO</t>
  </si>
  <si>
    <t>JADE IXCHEL</t>
  </si>
  <si>
    <t>RAMIREZ</t>
  </si>
  <si>
    <t>AILED AIRAMZUL</t>
  </si>
  <si>
    <t>SERRATOS</t>
  </si>
  <si>
    <t>ROGELIO</t>
  </si>
  <si>
    <t>MENDOZA</t>
  </si>
  <si>
    <t>LUIS RAUL</t>
  </si>
  <si>
    <t xml:space="preserve">MONTERO  </t>
  </si>
  <si>
    <t>NATALY BETSABET</t>
  </si>
  <si>
    <t xml:space="preserve">NAVA </t>
  </si>
  <si>
    <t xml:space="preserve">DURAN </t>
  </si>
  <si>
    <t>ALEXA GUADALUPE</t>
  </si>
  <si>
    <t>NAVARRETE</t>
  </si>
  <si>
    <t>MORALES</t>
  </si>
  <si>
    <t>JESHUA YAEL</t>
  </si>
  <si>
    <t>PARRA</t>
  </si>
  <si>
    <t>TREJO</t>
  </si>
  <si>
    <t>IAN GABRIEL</t>
  </si>
  <si>
    <t>PESINA</t>
  </si>
  <si>
    <t>IBARRA</t>
  </si>
  <si>
    <t>XIMENA AMAIRANY</t>
  </si>
  <si>
    <t>PLAZA</t>
  </si>
  <si>
    <t>LARA</t>
  </si>
  <si>
    <t>ALVIN SANTIAGO</t>
  </si>
  <si>
    <t>RANGEL</t>
  </si>
  <si>
    <t>RAZIEL ALEJANDRO</t>
  </si>
  <si>
    <t>MAGAÑA</t>
  </si>
  <si>
    <t>AMERICA ALEXA</t>
  </si>
  <si>
    <t>MAYO</t>
  </si>
  <si>
    <t>BRITANI</t>
  </si>
  <si>
    <t>RUIZ</t>
  </si>
  <si>
    <t>ARLETTE</t>
  </si>
  <si>
    <t>ERIKA MARIEL</t>
  </si>
  <si>
    <t>SANCHEZ</t>
  </si>
  <si>
    <t>JESSICA JAZMIN</t>
  </si>
  <si>
    <t>SANDOVAL</t>
  </si>
  <si>
    <t>PLATA</t>
  </si>
  <si>
    <t>SOFIA VALENTINA</t>
  </si>
  <si>
    <t>SILVA</t>
  </si>
  <si>
    <t>MONTOYA</t>
  </si>
  <si>
    <t>RENATA GERALDY</t>
  </si>
  <si>
    <t>SUAREZ</t>
  </si>
  <si>
    <t>TELLEZ</t>
  </si>
  <si>
    <t>SANTIAGO</t>
  </si>
  <si>
    <t>ZARA JOSELYN</t>
  </si>
  <si>
    <t>CASTRO</t>
  </si>
  <si>
    <t>REGINA</t>
  </si>
  <si>
    <t>URIBE</t>
  </si>
  <si>
    <t>SERGIO</t>
  </si>
  <si>
    <t>VARGAS</t>
  </si>
  <si>
    <t>ALCALA</t>
  </si>
  <si>
    <t>AFRICA ESTEFANIA</t>
  </si>
  <si>
    <t>VELAZQUEZ</t>
  </si>
  <si>
    <t>DIEGO GUSTAVO</t>
  </si>
  <si>
    <t>VIDAL</t>
  </si>
  <si>
    <t>MENDEZ</t>
  </si>
  <si>
    <t>EMILIO ANDRE</t>
  </si>
  <si>
    <t>ZAPATA</t>
  </si>
  <si>
    <t>CRISTO URIEL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</si>
  <si>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</si>
  <si>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</si>
  <si>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</si>
  <si>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</si>
  <si>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</si>
  <si>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</si>
  <si>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</si>
  <si>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</si>
  <si>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</si>
  <si>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</si>
  <si>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</si>
  <si>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IVONNE GABRIELA CEDILLO POLO</t>
  </si>
  <si>
    <t>PROFR. OCTAVIO VÁZQUEZ BARRETO</t>
  </si>
  <si>
    <t xml:space="preserve">PROFR. ROBERTO PALOMARES MEJÍA 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</si>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</sst>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3" fontId="1" numFmtId="164" xfId="0" applyAlignment="1" applyBorder="1" applyFill="1" applyFont="1" applyNumberFormat="1">
      <alignment horizontal="center" readingOrder="0" vertical="center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1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0" fillId="4" fontId="2" numFmtId="0" xfId="0" applyBorder="1" applyFill="1" applyFont="1"/>
    <xf borderId="41" fillId="4" fontId="2" numFmtId="0" xfId="0" applyBorder="1" applyFont="1"/>
    <xf borderId="0" fillId="4" fontId="2" numFmtId="0" xfId="0" applyFont="1"/>
    <xf borderId="0" fillId="0" fontId="2" numFmtId="0" xfId="0" applyFont="1"/>
    <xf borderId="5" fillId="0" fontId="2" numFmtId="1" xfId="0" applyBorder="1" applyFont="1" applyNumberFormat="1"/>
    <xf borderId="4" fillId="0" fontId="2" numFmtId="0" xfId="0" applyBorder="1" applyFont="1"/>
    <xf borderId="0" fillId="0" fontId="2" numFmtId="1" xfId="0" applyFont="1" applyNumberForma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1" xfId="0" applyBorder="1" applyFont="1" applyNumberFormat="1"/>
    <xf borderId="43" fillId="0" fontId="2" numFmtId="0" xfId="0" applyAlignment="1" applyBorder="1" applyFont="1">
      <alignment vertical="bottom"/>
    </xf>
    <xf borderId="43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2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1" xfId="0" applyAlignment="1" applyFont="1" applyNumberForma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67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5.0</v>
      </c>
      <c r="F17" s="47">
        <v>2.8</v>
      </c>
      <c r="G17" s="47">
        <v>2.0</v>
      </c>
      <c r="H17" s="47">
        <v>0.1</v>
      </c>
      <c r="I17" s="48">
        <f t="shared" ref="I17:I64" si="1">SUM(E17:H17)</f>
        <v>9.9</v>
      </c>
      <c r="J17" s="49">
        <v>1.0</v>
      </c>
      <c r="K17" s="50">
        <f t="shared" ref="K17:K64" si="2">IF(I17&lt;6, 5, MIN(10, ROUND(I17,0)))</f>
        <v>10</v>
      </c>
      <c r="L17" s="45"/>
      <c r="M17" s="51">
        <f t="shared" ref="M17:M64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4.2</v>
      </c>
      <c r="F18" s="47">
        <v>2.7</v>
      </c>
      <c r="G18" s="47">
        <v>2.0</v>
      </c>
      <c r="H18" s="48"/>
      <c r="I18" s="48">
        <f t="shared" si="1"/>
        <v>8.9</v>
      </c>
      <c r="J18" s="49">
        <v>1.0</v>
      </c>
      <c r="K18" s="50">
        <f t="shared" si="2"/>
        <v>9</v>
      </c>
      <c r="L18" s="44"/>
      <c r="M18" s="51">
        <f t="shared" si="3"/>
        <v>9</v>
      </c>
      <c r="N18" s="53" t="s">
        <v>30</v>
      </c>
      <c r="O18" s="49">
        <v>9.0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5.0</v>
      </c>
      <c r="F19" s="47">
        <v>2.8</v>
      </c>
      <c r="G19" s="47">
        <v>2.0</v>
      </c>
      <c r="H19" s="47">
        <v>0.1</v>
      </c>
      <c r="I19" s="48">
        <f t="shared" si="1"/>
        <v>9.9</v>
      </c>
      <c r="J19" s="49">
        <v>0.0</v>
      </c>
      <c r="K19" s="50">
        <f t="shared" si="2"/>
        <v>10</v>
      </c>
      <c r="L19" s="44"/>
      <c r="M19" s="51">
        <f t="shared" si="3"/>
        <v>10</v>
      </c>
      <c r="N19" s="53" t="s">
        <v>34</v>
      </c>
      <c r="O19" s="49">
        <v>12.0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37</v>
      </c>
      <c r="E20" s="47">
        <v>3.2</v>
      </c>
      <c r="F20" s="47">
        <v>2.9</v>
      </c>
      <c r="G20" s="47">
        <v>2.0</v>
      </c>
      <c r="H20" s="48"/>
      <c r="I20" s="48">
        <f t="shared" si="1"/>
        <v>8.1</v>
      </c>
      <c r="J20" s="49">
        <v>1.0</v>
      </c>
      <c r="K20" s="50">
        <f t="shared" si="2"/>
        <v>8</v>
      </c>
      <c r="L20" s="44"/>
      <c r="M20" s="51">
        <f t="shared" si="3"/>
        <v>8</v>
      </c>
      <c r="N20" s="53" t="s">
        <v>38</v>
      </c>
      <c r="O20" s="49">
        <v>9.0</v>
      </c>
      <c r="P20" s="2"/>
      <c r="Q20" s="2"/>
      <c r="R20" s="2"/>
    </row>
    <row r="21" ht="24.75" customHeight="1">
      <c r="A21" s="44">
        <v>5.0</v>
      </c>
      <c r="B21" s="45" t="s">
        <v>39</v>
      </c>
      <c r="C21" s="45" t="s">
        <v>40</v>
      </c>
      <c r="D21" s="46" t="s">
        <v>41</v>
      </c>
      <c r="E21" s="47">
        <v>3.8</v>
      </c>
      <c r="F21" s="47">
        <v>2.7</v>
      </c>
      <c r="G21" s="47">
        <v>2.0</v>
      </c>
      <c r="H21" s="48"/>
      <c r="I21" s="48">
        <f t="shared" si="1"/>
        <v>8.5</v>
      </c>
      <c r="J21" s="49">
        <v>1.0</v>
      </c>
      <c r="K21" s="50">
        <f t="shared" si="2"/>
        <v>9</v>
      </c>
      <c r="L21" s="44"/>
      <c r="M21" s="51">
        <f t="shared" si="3"/>
        <v>9</v>
      </c>
      <c r="N21" s="53" t="s">
        <v>42</v>
      </c>
      <c r="O21" s="49">
        <v>12.0</v>
      </c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44</v>
      </c>
      <c r="D22" s="46" t="s">
        <v>45</v>
      </c>
      <c r="E22" s="47">
        <v>2.3</v>
      </c>
      <c r="F22" s="47">
        <v>2.8</v>
      </c>
      <c r="G22" s="47">
        <v>2.0</v>
      </c>
      <c r="H22" s="48"/>
      <c r="I22" s="48">
        <f t="shared" si="1"/>
        <v>7.1</v>
      </c>
      <c r="J22" s="49">
        <v>0.0</v>
      </c>
      <c r="K22" s="50">
        <f t="shared" si="2"/>
        <v>7</v>
      </c>
      <c r="L22" s="44"/>
      <c r="M22" s="51">
        <f t="shared" si="3"/>
        <v>7</v>
      </c>
      <c r="N22" s="53" t="s">
        <v>46</v>
      </c>
      <c r="O22" s="49">
        <v>15.0</v>
      </c>
      <c r="P22" s="2"/>
      <c r="Q22" s="2"/>
      <c r="R22" s="2"/>
    </row>
    <row r="23" ht="24.75" customHeight="1">
      <c r="A23" s="44">
        <v>7.0</v>
      </c>
      <c r="B23" s="45" t="s">
        <v>47</v>
      </c>
      <c r="C23" s="45" t="s">
        <v>48</v>
      </c>
      <c r="D23" s="46" t="s">
        <v>49</v>
      </c>
      <c r="E23" s="47">
        <v>4.8</v>
      </c>
      <c r="F23" s="47">
        <v>2.4</v>
      </c>
      <c r="G23" s="47">
        <v>2.0</v>
      </c>
      <c r="H23" s="48"/>
      <c r="I23" s="48">
        <f t="shared" si="1"/>
        <v>9.2</v>
      </c>
      <c r="J23" s="49">
        <v>0.0</v>
      </c>
      <c r="K23" s="50">
        <f t="shared" si="2"/>
        <v>9</v>
      </c>
      <c r="L23" s="44"/>
      <c r="M23" s="51">
        <f t="shared" si="3"/>
        <v>9</v>
      </c>
      <c r="N23" s="53" t="s">
        <v>50</v>
      </c>
      <c r="O23" s="49">
        <v>3.0</v>
      </c>
      <c r="P23" s="2"/>
      <c r="Q23" s="2"/>
      <c r="R23" s="2"/>
    </row>
    <row r="24" ht="24.75" customHeight="1">
      <c r="A24" s="44">
        <v>8.0</v>
      </c>
      <c r="B24" s="45" t="s">
        <v>51</v>
      </c>
      <c r="C24" s="45" t="s">
        <v>52</v>
      </c>
      <c r="D24" s="46" t="s">
        <v>53</v>
      </c>
      <c r="E24" s="47">
        <v>4.8</v>
      </c>
      <c r="F24" s="47">
        <v>2.7</v>
      </c>
      <c r="G24" s="47">
        <v>2.0</v>
      </c>
      <c r="H24" s="48"/>
      <c r="I24" s="48">
        <f t="shared" si="1"/>
        <v>9.5</v>
      </c>
      <c r="J24" s="49">
        <v>1.0</v>
      </c>
      <c r="K24" s="50">
        <f t="shared" si="2"/>
        <v>10</v>
      </c>
      <c r="L24" s="44"/>
      <c r="M24" s="51">
        <f t="shared" si="3"/>
        <v>10</v>
      </c>
      <c r="N24" s="53" t="s">
        <v>54</v>
      </c>
      <c r="O24" s="53">
        <f>SUM(O18:O23)</f>
        <v>60</v>
      </c>
      <c r="P24" s="2"/>
      <c r="Q24" s="2"/>
      <c r="R24" s="2"/>
    </row>
    <row r="25" ht="24.75" customHeight="1">
      <c r="A25" s="44">
        <v>9.0</v>
      </c>
      <c r="B25" s="45" t="s">
        <v>55</v>
      </c>
      <c r="C25" s="45" t="s">
        <v>56</v>
      </c>
      <c r="D25" s="46" t="s">
        <v>57</v>
      </c>
      <c r="E25" s="47">
        <v>3.7</v>
      </c>
      <c r="F25" s="47">
        <v>2.8</v>
      </c>
      <c r="G25" s="47">
        <v>2.0</v>
      </c>
      <c r="H25" s="48"/>
      <c r="I25" s="48">
        <f t="shared" si="1"/>
        <v>8.5</v>
      </c>
      <c r="J25" s="49">
        <v>0.0</v>
      </c>
      <c r="K25" s="50">
        <f t="shared" si="2"/>
        <v>9</v>
      </c>
      <c r="L25" s="44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58</v>
      </c>
      <c r="C26" s="45" t="s">
        <v>59</v>
      </c>
      <c r="D26" s="46" t="s">
        <v>60</v>
      </c>
      <c r="E26" s="47">
        <v>5.0</v>
      </c>
      <c r="F26" s="47">
        <v>2.7</v>
      </c>
      <c r="G26" s="47">
        <v>2.0</v>
      </c>
      <c r="H26" s="48"/>
      <c r="I26" s="48">
        <f t="shared" si="1"/>
        <v>9.7</v>
      </c>
      <c r="J26" s="49">
        <v>1.0</v>
      </c>
      <c r="K26" s="50">
        <f t="shared" si="2"/>
        <v>10</v>
      </c>
      <c r="L26" s="44"/>
      <c r="M26" s="51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61</v>
      </c>
      <c r="C27" s="45" t="s">
        <v>62</v>
      </c>
      <c r="D27" s="45" t="s">
        <v>63</v>
      </c>
      <c r="E27" s="47">
        <v>4.7</v>
      </c>
      <c r="F27" s="47">
        <v>2.8</v>
      </c>
      <c r="G27" s="47">
        <v>2.0</v>
      </c>
      <c r="H27" s="48"/>
      <c r="I27" s="48">
        <f t="shared" si="1"/>
        <v>9.5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52</v>
      </c>
      <c r="C28" s="45" t="s">
        <v>64</v>
      </c>
      <c r="D28" s="46" t="s">
        <v>65</v>
      </c>
      <c r="E28" s="54">
        <v>2.4</v>
      </c>
      <c r="F28" s="54">
        <v>2.6</v>
      </c>
      <c r="G28" s="47">
        <v>1.0</v>
      </c>
      <c r="H28" s="48"/>
      <c r="I28" s="48">
        <f t="shared" si="1"/>
        <v>6</v>
      </c>
      <c r="J28" s="49">
        <v>2.0</v>
      </c>
      <c r="K28" s="50">
        <f t="shared" si="2"/>
        <v>6</v>
      </c>
      <c r="L28" s="44"/>
      <c r="M28" s="51">
        <f t="shared" si="3"/>
        <v>6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66</v>
      </c>
      <c r="C29" s="45" t="s">
        <v>67</v>
      </c>
      <c r="D29" s="46" t="s">
        <v>68</v>
      </c>
      <c r="E29" s="47">
        <v>4.7</v>
      </c>
      <c r="F29" s="47">
        <v>2.8</v>
      </c>
      <c r="G29" s="47">
        <v>2.0</v>
      </c>
      <c r="H29" s="48"/>
      <c r="I29" s="48">
        <f t="shared" si="1"/>
        <v>9.5</v>
      </c>
      <c r="J29" s="49">
        <v>1.0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40</v>
      </c>
      <c r="C30" s="45" t="s">
        <v>69</v>
      </c>
      <c r="D30" s="46" t="s">
        <v>70</v>
      </c>
      <c r="E30" s="47">
        <v>3.6</v>
      </c>
      <c r="F30" s="47">
        <v>2.0</v>
      </c>
      <c r="G30" s="47">
        <v>2.0</v>
      </c>
      <c r="H30" s="48"/>
      <c r="I30" s="48">
        <f t="shared" si="1"/>
        <v>7.6</v>
      </c>
      <c r="J30" s="49">
        <v>3.0</v>
      </c>
      <c r="K30" s="50">
        <f t="shared" si="2"/>
        <v>8</v>
      </c>
      <c r="L30" s="44"/>
      <c r="M30" s="51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71</v>
      </c>
      <c r="C31" s="45" t="s">
        <v>36</v>
      </c>
      <c r="D31" s="46" t="s">
        <v>72</v>
      </c>
      <c r="E31" s="47">
        <v>3.0</v>
      </c>
      <c r="F31" s="47">
        <v>2.8</v>
      </c>
      <c r="G31" s="47">
        <v>2.0</v>
      </c>
      <c r="H31" s="48"/>
      <c r="I31" s="48">
        <f t="shared" si="1"/>
        <v>7.8</v>
      </c>
      <c r="J31" s="49">
        <v>1.0</v>
      </c>
      <c r="K31" s="50">
        <f t="shared" si="2"/>
        <v>8</v>
      </c>
      <c r="L31" s="44"/>
      <c r="M31" s="51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73</v>
      </c>
      <c r="C32" s="45" t="s">
        <v>74</v>
      </c>
      <c r="D32" s="46" t="s">
        <v>75</v>
      </c>
      <c r="E32" s="47">
        <v>3.0</v>
      </c>
      <c r="F32" s="47">
        <v>2.7</v>
      </c>
      <c r="G32" s="47">
        <v>2.0</v>
      </c>
      <c r="H32" s="48"/>
      <c r="I32" s="48">
        <f t="shared" si="1"/>
        <v>7.7</v>
      </c>
      <c r="J32" s="49">
        <v>0.0</v>
      </c>
      <c r="K32" s="50">
        <f t="shared" si="2"/>
        <v>8</v>
      </c>
      <c r="L32" s="44"/>
      <c r="M32" s="51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76</v>
      </c>
      <c r="C33" s="45" t="s">
        <v>76</v>
      </c>
      <c r="D33" s="46" t="s">
        <v>77</v>
      </c>
      <c r="E33" s="47">
        <v>3.3</v>
      </c>
      <c r="F33" s="47">
        <v>2.6</v>
      </c>
      <c r="G33" s="47">
        <v>2.0</v>
      </c>
      <c r="H33" s="47">
        <v>1.0</v>
      </c>
      <c r="I33" s="48">
        <f t="shared" si="1"/>
        <v>8.9</v>
      </c>
      <c r="J33" s="49">
        <v>2.0</v>
      </c>
      <c r="K33" s="50">
        <f t="shared" si="2"/>
        <v>9</v>
      </c>
      <c r="L33" s="44"/>
      <c r="M33" s="51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78</v>
      </c>
      <c r="C34" s="45" t="s">
        <v>76</v>
      </c>
      <c r="D34" s="46" t="s">
        <v>79</v>
      </c>
      <c r="E34" s="47">
        <v>4.2</v>
      </c>
      <c r="F34" s="47">
        <v>2.7</v>
      </c>
      <c r="G34" s="47">
        <v>2.0</v>
      </c>
      <c r="H34" s="48"/>
      <c r="I34" s="48">
        <f t="shared" si="1"/>
        <v>8.9</v>
      </c>
      <c r="J34" s="49">
        <v>1.0</v>
      </c>
      <c r="K34" s="50">
        <f t="shared" si="2"/>
        <v>9</v>
      </c>
      <c r="L34" s="44"/>
      <c r="M34" s="51">
        <f t="shared" si="3"/>
        <v>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78</v>
      </c>
      <c r="C35" s="45" t="s">
        <v>80</v>
      </c>
      <c r="D35" s="46" t="s">
        <v>81</v>
      </c>
      <c r="E35" s="47">
        <v>2.7</v>
      </c>
      <c r="F35" s="47">
        <v>2.4</v>
      </c>
      <c r="G35" s="47">
        <v>2.0</v>
      </c>
      <c r="H35" s="48"/>
      <c r="I35" s="48">
        <f t="shared" si="1"/>
        <v>7.1</v>
      </c>
      <c r="J35" s="49">
        <v>1.0</v>
      </c>
      <c r="K35" s="50">
        <f t="shared" si="2"/>
        <v>7</v>
      </c>
      <c r="L35" s="44"/>
      <c r="M35" s="51">
        <f t="shared" si="3"/>
        <v>7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82</v>
      </c>
      <c r="C36" s="45" t="s">
        <v>44</v>
      </c>
      <c r="D36" s="46" t="s">
        <v>83</v>
      </c>
      <c r="E36" s="47">
        <v>4.8</v>
      </c>
      <c r="F36" s="47">
        <v>2.3</v>
      </c>
      <c r="G36" s="47">
        <v>2.0</v>
      </c>
      <c r="H36" s="48"/>
      <c r="I36" s="48">
        <f t="shared" si="1"/>
        <v>9.1</v>
      </c>
      <c r="J36" s="49">
        <v>0.0</v>
      </c>
      <c r="K36" s="50">
        <f t="shared" si="2"/>
        <v>9</v>
      </c>
      <c r="L36" s="44"/>
      <c r="M36" s="51">
        <f t="shared" si="3"/>
        <v>9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4.7</v>
      </c>
      <c r="F37" s="47">
        <v>2.8</v>
      </c>
      <c r="G37" s="47">
        <v>2.0</v>
      </c>
      <c r="H37" s="48"/>
      <c r="I37" s="48">
        <f t="shared" si="1"/>
        <v>9.5</v>
      </c>
      <c r="J37" s="49">
        <v>1.0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56</v>
      </c>
      <c r="C38" s="45" t="s">
        <v>71</v>
      </c>
      <c r="D38" s="46" t="s">
        <v>87</v>
      </c>
      <c r="E38" s="47">
        <v>2.2</v>
      </c>
      <c r="F38" s="47">
        <v>2.5</v>
      </c>
      <c r="G38" s="47">
        <v>2.0</v>
      </c>
      <c r="H38" s="48"/>
      <c r="I38" s="48">
        <f t="shared" si="1"/>
        <v>6.7</v>
      </c>
      <c r="J38" s="49">
        <v>2.0</v>
      </c>
      <c r="K38" s="50">
        <f t="shared" si="2"/>
        <v>7</v>
      </c>
      <c r="L38" s="44"/>
      <c r="M38" s="51">
        <f t="shared" si="3"/>
        <v>7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88</v>
      </c>
      <c r="C39" s="45" t="s">
        <v>89</v>
      </c>
      <c r="D39" s="46" t="s">
        <v>90</v>
      </c>
      <c r="E39" s="47">
        <v>3.8</v>
      </c>
      <c r="F39" s="47">
        <v>2.7</v>
      </c>
      <c r="G39" s="47">
        <v>2.0</v>
      </c>
      <c r="H39" s="48"/>
      <c r="I39" s="48">
        <f t="shared" si="1"/>
        <v>8.5</v>
      </c>
      <c r="J39" s="49">
        <v>4.0</v>
      </c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88</v>
      </c>
      <c r="C40" s="45" t="s">
        <v>91</v>
      </c>
      <c r="D40" s="46" t="s">
        <v>92</v>
      </c>
      <c r="E40" s="47">
        <v>4.8</v>
      </c>
      <c r="F40" s="47">
        <v>2.8</v>
      </c>
      <c r="G40" s="47">
        <v>2.0</v>
      </c>
      <c r="H40" s="48"/>
      <c r="I40" s="48">
        <f t="shared" si="1"/>
        <v>9.6</v>
      </c>
      <c r="J40" s="49">
        <v>0.0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36</v>
      </c>
      <c r="C41" s="45" t="s">
        <v>93</v>
      </c>
      <c r="D41" s="46" t="s">
        <v>94</v>
      </c>
      <c r="E41" s="47">
        <v>3.5</v>
      </c>
      <c r="F41" s="47">
        <v>2.5</v>
      </c>
      <c r="G41" s="47">
        <v>0.0</v>
      </c>
      <c r="H41" s="48"/>
      <c r="I41" s="48">
        <f t="shared" si="1"/>
        <v>6</v>
      </c>
      <c r="J41" s="49">
        <v>3.0</v>
      </c>
      <c r="K41" s="50">
        <f t="shared" si="2"/>
        <v>6</v>
      </c>
      <c r="L41" s="44"/>
      <c r="M41" s="51">
        <f t="shared" si="3"/>
        <v>6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95</v>
      </c>
      <c r="C42" s="45" t="s">
        <v>71</v>
      </c>
      <c r="D42" s="46" t="s">
        <v>96</v>
      </c>
      <c r="E42" s="47">
        <v>4.6</v>
      </c>
      <c r="F42" s="47">
        <v>2.3</v>
      </c>
      <c r="G42" s="47">
        <v>2.0</v>
      </c>
      <c r="H42" s="48"/>
      <c r="I42" s="48">
        <f t="shared" si="1"/>
        <v>8.9</v>
      </c>
      <c r="J42" s="49">
        <v>0.0</v>
      </c>
      <c r="K42" s="50">
        <f t="shared" si="2"/>
        <v>9</v>
      </c>
      <c r="L42" s="44"/>
      <c r="M42" s="51">
        <f t="shared" si="3"/>
        <v>9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97</v>
      </c>
      <c r="C43" s="45" t="s">
        <v>32</v>
      </c>
      <c r="D43" s="46" t="s">
        <v>98</v>
      </c>
      <c r="E43" s="47">
        <v>5.0</v>
      </c>
      <c r="F43" s="47">
        <v>2.4</v>
      </c>
      <c r="G43" s="47">
        <v>2.0</v>
      </c>
      <c r="H43" s="47">
        <v>0.1</v>
      </c>
      <c r="I43" s="48">
        <f t="shared" si="1"/>
        <v>9.5</v>
      </c>
      <c r="J43" s="49">
        <v>0.0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99</v>
      </c>
      <c r="C44" s="45" t="s">
        <v>100</v>
      </c>
      <c r="D44" s="46" t="s">
        <v>101</v>
      </c>
      <c r="E44" s="47">
        <v>3.2</v>
      </c>
      <c r="F44" s="47">
        <v>2.7</v>
      </c>
      <c r="G44" s="47">
        <v>2.0</v>
      </c>
      <c r="H44" s="47">
        <v>1.0</v>
      </c>
      <c r="I44" s="48">
        <f t="shared" si="1"/>
        <v>8.9</v>
      </c>
      <c r="J44" s="49">
        <v>0.0</v>
      </c>
      <c r="K44" s="50">
        <f t="shared" si="2"/>
        <v>9</v>
      </c>
      <c r="L44" s="44"/>
      <c r="M44" s="51">
        <f t="shared" si="3"/>
        <v>9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102</v>
      </c>
      <c r="C45" s="45" t="s">
        <v>103</v>
      </c>
      <c r="D45" s="46" t="s">
        <v>104</v>
      </c>
      <c r="E45" s="47">
        <v>4.2</v>
      </c>
      <c r="F45" s="47">
        <v>2.7</v>
      </c>
      <c r="G45" s="47">
        <v>2.0</v>
      </c>
      <c r="H45" s="48"/>
      <c r="I45" s="48">
        <f t="shared" si="1"/>
        <v>8.9</v>
      </c>
      <c r="J45" s="49">
        <v>0.0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105</v>
      </c>
      <c r="C46" s="45" t="s">
        <v>106</v>
      </c>
      <c r="D46" s="46" t="s">
        <v>107</v>
      </c>
      <c r="E46" s="47">
        <v>4.4</v>
      </c>
      <c r="F46" s="47">
        <v>2.6</v>
      </c>
      <c r="G46" s="47">
        <v>1.5</v>
      </c>
      <c r="H46" s="48"/>
      <c r="I46" s="48">
        <f t="shared" si="1"/>
        <v>8.5</v>
      </c>
      <c r="J46" s="49">
        <v>0.0</v>
      </c>
      <c r="K46" s="50">
        <f t="shared" si="2"/>
        <v>9</v>
      </c>
      <c r="L46" s="44"/>
      <c r="M46" s="51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108</v>
      </c>
      <c r="C47" s="45" t="s">
        <v>109</v>
      </c>
      <c r="D47" s="46" t="s">
        <v>110</v>
      </c>
      <c r="E47" s="47">
        <v>4.6</v>
      </c>
      <c r="F47" s="47">
        <v>2.9</v>
      </c>
      <c r="G47" s="47">
        <v>2.0</v>
      </c>
      <c r="H47" s="48"/>
      <c r="I47" s="48">
        <f t="shared" si="1"/>
        <v>9.5</v>
      </c>
      <c r="J47" s="49">
        <v>1.0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111</v>
      </c>
      <c r="C48" s="45" t="s">
        <v>112</v>
      </c>
      <c r="D48" s="46" t="s">
        <v>113</v>
      </c>
      <c r="E48" s="47">
        <v>2.8</v>
      </c>
      <c r="F48" s="47">
        <v>2.7</v>
      </c>
      <c r="G48" s="47">
        <v>2.0</v>
      </c>
      <c r="H48" s="48"/>
      <c r="I48" s="48">
        <f t="shared" si="1"/>
        <v>7.5</v>
      </c>
      <c r="J48" s="49">
        <v>0.0</v>
      </c>
      <c r="K48" s="50">
        <f t="shared" si="2"/>
        <v>8</v>
      </c>
      <c r="L48" s="44"/>
      <c r="M48" s="51">
        <f t="shared" si="3"/>
        <v>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114</v>
      </c>
      <c r="C49" s="45" t="s">
        <v>23</v>
      </c>
      <c r="D49" s="46" t="s">
        <v>115</v>
      </c>
      <c r="E49" s="54">
        <v>3.2</v>
      </c>
      <c r="F49" s="54">
        <v>0.8</v>
      </c>
      <c r="G49" s="47">
        <v>2.0</v>
      </c>
      <c r="H49" s="48"/>
      <c r="I49" s="48">
        <f t="shared" si="1"/>
        <v>6</v>
      </c>
      <c r="J49" s="49">
        <v>0.0</v>
      </c>
      <c r="K49" s="50">
        <f t="shared" si="2"/>
        <v>6</v>
      </c>
      <c r="L49" s="44"/>
      <c r="M49" s="51">
        <f t="shared" si="3"/>
        <v>6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24</v>
      </c>
      <c r="C50" s="45" t="s">
        <v>116</v>
      </c>
      <c r="D50" s="46" t="s">
        <v>117</v>
      </c>
      <c r="E50" s="47">
        <v>4.7</v>
      </c>
      <c r="F50" s="47">
        <v>2.8</v>
      </c>
      <c r="G50" s="47">
        <v>2.0</v>
      </c>
      <c r="H50" s="48"/>
      <c r="I50" s="48">
        <f t="shared" si="1"/>
        <v>9.5</v>
      </c>
      <c r="J50" s="49">
        <v>1.0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24</v>
      </c>
      <c r="C51" s="45" t="s">
        <v>118</v>
      </c>
      <c r="D51" s="46" t="s">
        <v>119</v>
      </c>
      <c r="E51" s="47">
        <v>3.8</v>
      </c>
      <c r="F51" s="47">
        <v>2.8</v>
      </c>
      <c r="G51" s="47">
        <v>2.0</v>
      </c>
      <c r="H51" s="48"/>
      <c r="I51" s="48">
        <f t="shared" si="1"/>
        <v>8.6</v>
      </c>
      <c r="J51" s="49">
        <v>1.0</v>
      </c>
      <c r="K51" s="50">
        <f t="shared" si="2"/>
        <v>9</v>
      </c>
      <c r="L51" s="44"/>
      <c r="M51" s="51">
        <f t="shared" si="3"/>
        <v>9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120</v>
      </c>
      <c r="C52" s="45" t="s">
        <v>71</v>
      </c>
      <c r="D52" s="46" t="s">
        <v>121</v>
      </c>
      <c r="E52" s="47">
        <v>3.8</v>
      </c>
      <c r="F52" s="47">
        <v>2.9</v>
      </c>
      <c r="G52" s="47">
        <v>2.0</v>
      </c>
      <c r="H52" s="48"/>
      <c r="I52" s="48">
        <f t="shared" si="1"/>
        <v>8.7</v>
      </c>
      <c r="J52" s="49">
        <v>0.0</v>
      </c>
      <c r="K52" s="50">
        <f t="shared" si="2"/>
        <v>9</v>
      </c>
      <c r="L52" s="44"/>
      <c r="M52" s="45">
        <f t="shared" si="3"/>
        <v>9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120</v>
      </c>
      <c r="C53" s="45" t="s">
        <v>82</v>
      </c>
      <c r="D53" s="46" t="s">
        <v>122</v>
      </c>
      <c r="E53" s="47">
        <v>3.2</v>
      </c>
      <c r="F53" s="47">
        <v>1.5</v>
      </c>
      <c r="G53" s="47">
        <v>2.0</v>
      </c>
      <c r="H53" s="48"/>
      <c r="I53" s="48">
        <f t="shared" si="1"/>
        <v>6.7</v>
      </c>
      <c r="J53" s="47">
        <v>1.0</v>
      </c>
      <c r="K53" s="50">
        <f t="shared" si="2"/>
        <v>7</v>
      </c>
      <c r="L53" s="44"/>
      <c r="M53" s="45">
        <f t="shared" si="3"/>
        <v>7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123</v>
      </c>
      <c r="C54" s="45" t="s">
        <v>78</v>
      </c>
      <c r="D54" s="46" t="s">
        <v>124</v>
      </c>
      <c r="E54" s="47">
        <v>4.1</v>
      </c>
      <c r="F54" s="47">
        <v>2.8</v>
      </c>
      <c r="G54" s="47">
        <v>2.0</v>
      </c>
      <c r="H54" s="48"/>
      <c r="I54" s="48">
        <f t="shared" si="1"/>
        <v>8.9</v>
      </c>
      <c r="J54" s="47">
        <v>1.0</v>
      </c>
      <c r="K54" s="50">
        <f t="shared" si="2"/>
        <v>9</v>
      </c>
      <c r="L54" s="44"/>
      <c r="M54" s="45">
        <f t="shared" si="3"/>
        <v>9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125</v>
      </c>
      <c r="C55" s="45" t="s">
        <v>126</v>
      </c>
      <c r="D55" s="46" t="s">
        <v>127</v>
      </c>
      <c r="E55" s="47">
        <v>4.1</v>
      </c>
      <c r="F55" s="47">
        <v>2.8</v>
      </c>
      <c r="G55" s="47">
        <v>2.0</v>
      </c>
      <c r="H55" s="48"/>
      <c r="I55" s="48">
        <f t="shared" si="1"/>
        <v>8.9</v>
      </c>
      <c r="J55" s="49">
        <v>1.0</v>
      </c>
      <c r="K55" s="50">
        <f t="shared" si="2"/>
        <v>9</v>
      </c>
      <c r="L55" s="44"/>
      <c r="M55" s="45">
        <f t="shared" si="3"/>
        <v>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128</v>
      </c>
      <c r="C56" s="45" t="s">
        <v>129</v>
      </c>
      <c r="D56" s="45" t="s">
        <v>130</v>
      </c>
      <c r="E56" s="47">
        <v>4.1</v>
      </c>
      <c r="F56" s="47">
        <v>2.8</v>
      </c>
      <c r="G56" s="47">
        <v>2.0</v>
      </c>
      <c r="H56" s="48"/>
      <c r="I56" s="48">
        <f t="shared" si="1"/>
        <v>8.9</v>
      </c>
      <c r="J56" s="49">
        <v>3.0</v>
      </c>
      <c r="K56" s="50">
        <f t="shared" si="2"/>
        <v>9</v>
      </c>
      <c r="L56" s="44"/>
      <c r="M56" s="45">
        <f t="shared" si="3"/>
        <v>9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131</v>
      </c>
      <c r="C57" s="45" t="s">
        <v>132</v>
      </c>
      <c r="D57" s="45" t="s">
        <v>133</v>
      </c>
      <c r="E57" s="47">
        <v>4.3</v>
      </c>
      <c r="F57" s="47">
        <v>2.8</v>
      </c>
      <c r="G57" s="47">
        <v>2.0</v>
      </c>
      <c r="H57" s="48"/>
      <c r="I57" s="48">
        <f t="shared" si="1"/>
        <v>9.1</v>
      </c>
      <c r="J57" s="47">
        <v>0.0</v>
      </c>
      <c r="K57" s="50">
        <f t="shared" si="2"/>
        <v>9</v>
      </c>
      <c r="L57" s="44"/>
      <c r="M57" s="45">
        <f t="shared" si="3"/>
        <v>9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132</v>
      </c>
      <c r="C58" s="45" t="s">
        <v>99</v>
      </c>
      <c r="D58" s="55" t="s">
        <v>134</v>
      </c>
      <c r="E58" s="47">
        <v>3.0</v>
      </c>
      <c r="F58" s="47">
        <v>2.8</v>
      </c>
      <c r="G58" s="47">
        <v>2.0</v>
      </c>
      <c r="H58" s="48"/>
      <c r="I58" s="48">
        <f t="shared" si="1"/>
        <v>7.8</v>
      </c>
      <c r="J58" s="47">
        <v>0.0</v>
      </c>
      <c r="K58" s="50">
        <f t="shared" si="2"/>
        <v>8</v>
      </c>
      <c r="L58" s="44"/>
      <c r="M58" s="45">
        <f t="shared" si="3"/>
        <v>8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106</v>
      </c>
      <c r="C59" s="45" t="s">
        <v>135</v>
      </c>
      <c r="D59" s="55" t="s">
        <v>136</v>
      </c>
      <c r="E59" s="47">
        <v>3.9</v>
      </c>
      <c r="F59" s="47">
        <v>2.8</v>
      </c>
      <c r="G59" s="47">
        <v>2.0</v>
      </c>
      <c r="H59" s="48"/>
      <c r="I59" s="48">
        <f t="shared" si="1"/>
        <v>8.7</v>
      </c>
      <c r="J59" s="47">
        <v>1.0</v>
      </c>
      <c r="K59" s="50">
        <f t="shared" si="2"/>
        <v>9</v>
      </c>
      <c r="L59" s="44"/>
      <c r="M59" s="45">
        <f t="shared" si="3"/>
        <v>9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137</v>
      </c>
      <c r="C60" s="45" t="s">
        <v>133</v>
      </c>
      <c r="D60" s="45" t="s">
        <v>138</v>
      </c>
      <c r="E60" s="47">
        <v>4.8</v>
      </c>
      <c r="F60" s="47">
        <v>2.8</v>
      </c>
      <c r="G60" s="47">
        <v>2.0</v>
      </c>
      <c r="H60" s="48"/>
      <c r="I60" s="48">
        <f t="shared" si="1"/>
        <v>9.6</v>
      </c>
      <c r="J60" s="47">
        <v>1.0</v>
      </c>
      <c r="K60" s="50">
        <f t="shared" si="2"/>
        <v>10</v>
      </c>
      <c r="L60" s="44"/>
      <c r="M60" s="45">
        <f t="shared" si="3"/>
        <v>10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139</v>
      </c>
      <c r="C61" s="45" t="s">
        <v>140</v>
      </c>
      <c r="D61" s="45" t="s">
        <v>141</v>
      </c>
      <c r="E61" s="47">
        <v>4.1</v>
      </c>
      <c r="F61" s="47">
        <v>2.8</v>
      </c>
      <c r="G61" s="47">
        <v>2.0</v>
      </c>
      <c r="H61" s="48"/>
      <c r="I61" s="48">
        <f t="shared" si="1"/>
        <v>8.9</v>
      </c>
      <c r="J61" s="47">
        <v>0.0</v>
      </c>
      <c r="K61" s="50">
        <f t="shared" si="2"/>
        <v>9</v>
      </c>
      <c r="L61" s="44"/>
      <c r="M61" s="45">
        <f t="shared" si="3"/>
        <v>9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142</v>
      </c>
      <c r="C62" s="45" t="s">
        <v>76</v>
      </c>
      <c r="D62" s="55" t="s">
        <v>143</v>
      </c>
      <c r="E62" s="47">
        <v>4.7</v>
      </c>
      <c r="F62" s="47">
        <v>2.8</v>
      </c>
      <c r="G62" s="47">
        <v>2.0</v>
      </c>
      <c r="H62" s="48"/>
      <c r="I62" s="48">
        <f t="shared" si="1"/>
        <v>9.5</v>
      </c>
      <c r="J62" s="47">
        <v>0.0</v>
      </c>
      <c r="K62" s="50">
        <f t="shared" si="2"/>
        <v>10</v>
      </c>
      <c r="L62" s="44"/>
      <c r="M62" s="45">
        <f t="shared" si="3"/>
        <v>10</v>
      </c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144</v>
      </c>
      <c r="C63" s="45" t="s">
        <v>145</v>
      </c>
      <c r="D63" s="55" t="s">
        <v>146</v>
      </c>
      <c r="E63" s="47">
        <v>5.0</v>
      </c>
      <c r="F63" s="47">
        <v>2.8</v>
      </c>
      <c r="G63" s="47">
        <v>2.0</v>
      </c>
      <c r="H63" s="47">
        <v>0.1</v>
      </c>
      <c r="I63" s="48">
        <f t="shared" si="1"/>
        <v>9.9</v>
      </c>
      <c r="J63" s="47">
        <v>0.0</v>
      </c>
      <c r="K63" s="50">
        <f t="shared" si="2"/>
        <v>10</v>
      </c>
      <c r="L63" s="44"/>
      <c r="M63" s="45">
        <f t="shared" si="3"/>
        <v>10</v>
      </c>
      <c r="N63" s="1"/>
      <c r="O63" s="1"/>
      <c r="P63" s="2"/>
      <c r="Q63" s="2"/>
      <c r="R63" s="2"/>
    </row>
    <row r="64" ht="24.75" customHeight="1">
      <c r="A64" s="44">
        <v>48.0</v>
      </c>
      <c r="B64" s="45" t="s">
        <v>147</v>
      </c>
      <c r="C64" s="45" t="s">
        <v>76</v>
      </c>
      <c r="D64" s="45" t="s">
        <v>148</v>
      </c>
      <c r="E64" s="47">
        <v>4.8</v>
      </c>
      <c r="F64" s="47">
        <v>2.8</v>
      </c>
      <c r="G64" s="47">
        <v>2.0</v>
      </c>
      <c r="H64" s="48"/>
      <c r="I64" s="48">
        <f t="shared" si="1"/>
        <v>9.6</v>
      </c>
      <c r="J64" s="47">
        <v>0.0</v>
      </c>
      <c r="K64" s="50">
        <f t="shared" si="2"/>
        <v>10</v>
      </c>
      <c r="L64" s="44"/>
      <c r="M64" s="45">
        <f t="shared" si="3"/>
        <v>10</v>
      </c>
      <c r="N64" s="1"/>
      <c r="O64" s="1"/>
      <c r="P64" s="2"/>
      <c r="Q64" s="2"/>
      <c r="R64" s="2"/>
    </row>
    <row r="65" ht="24.75" customHeight="1">
      <c r="A65" s="6"/>
      <c r="B65" s="56"/>
      <c r="C65" s="56"/>
      <c r="D65" s="56"/>
      <c r="E65" s="57"/>
      <c r="F65" s="57"/>
      <c r="G65" s="57"/>
      <c r="H65" s="57"/>
      <c r="I65" s="57"/>
      <c r="J65" s="57"/>
      <c r="K65" s="56"/>
      <c r="L65" s="7"/>
      <c r="M65" s="56"/>
      <c r="N65" s="1"/>
      <c r="O65" s="1"/>
      <c r="P65" s="2"/>
      <c r="Q65" s="2"/>
      <c r="R65" s="2"/>
    </row>
    <row r="66" ht="24.75" customHeight="1">
      <c r="A66" s="1"/>
      <c r="B66" s="58" t="s">
        <v>149</v>
      </c>
      <c r="C66" s="59"/>
      <c r="D66" s="60">
        <f>COUNT(A17:A64)</f>
        <v>48</v>
      </c>
      <c r="E66" s="57"/>
      <c r="F66" s="57"/>
      <c r="G66" s="61" t="s">
        <v>150</v>
      </c>
      <c r="H66" s="57"/>
      <c r="I66" s="61" t="s">
        <v>151</v>
      </c>
      <c r="K66" s="62" t="s">
        <v>152</v>
      </c>
      <c r="L66" s="63" t="s">
        <v>153</v>
      </c>
      <c r="M66" s="56"/>
      <c r="N66" s="1"/>
      <c r="O66" s="1"/>
      <c r="P66" s="2"/>
      <c r="Q66" s="2"/>
      <c r="R66" s="2"/>
    </row>
    <row r="67" ht="24.75" customHeight="1">
      <c r="A67" s="1"/>
      <c r="B67" s="64" t="s">
        <v>154</v>
      </c>
      <c r="C67" s="65"/>
      <c r="D67" s="66">
        <f>COUNTIF(K17:K64,"BAJA")</f>
        <v>0</v>
      </c>
      <c r="E67" s="57"/>
      <c r="F67" s="57"/>
      <c r="H67" s="57"/>
      <c r="L67" s="9"/>
      <c r="M67" s="56"/>
      <c r="N67" s="1"/>
      <c r="O67" s="1"/>
      <c r="P67" s="2"/>
      <c r="Q67" s="2"/>
      <c r="R67" s="2"/>
    </row>
    <row r="68" ht="24.75" customHeight="1">
      <c r="A68" s="1"/>
      <c r="B68" s="64" t="s">
        <v>155</v>
      </c>
      <c r="C68" s="65"/>
      <c r="D68" s="67">
        <f>D66-D67</f>
        <v>48</v>
      </c>
      <c r="E68" s="57"/>
      <c r="F68" s="57"/>
      <c r="G68" s="57"/>
      <c r="H68" s="57"/>
      <c r="I68" s="57"/>
      <c r="J68" s="11"/>
      <c r="K68" s="56"/>
      <c r="L68" s="7"/>
      <c r="M68" s="56"/>
      <c r="N68" s="1"/>
      <c r="O68" s="1"/>
      <c r="P68" s="2"/>
      <c r="Q68" s="2"/>
      <c r="R68" s="2"/>
    </row>
    <row r="69" ht="24.75" customHeight="1">
      <c r="A69" s="1"/>
      <c r="B69" s="64" t="s">
        <v>156</v>
      </c>
      <c r="C69" s="65"/>
      <c r="D69" s="68">
        <f>COUNTIF(K17:K64,"&gt;=6")</f>
        <v>48</v>
      </c>
      <c r="E69" s="57"/>
      <c r="F69" s="57"/>
      <c r="G69" s="57"/>
      <c r="H69" s="57"/>
      <c r="I69" s="57"/>
      <c r="J69" s="57"/>
      <c r="K69" s="56"/>
      <c r="L69" s="7"/>
      <c r="M69" s="56"/>
      <c r="N69" s="1"/>
      <c r="O69" s="1"/>
      <c r="P69" s="2"/>
      <c r="Q69" s="2"/>
      <c r="R69" s="2"/>
    </row>
    <row r="70" ht="24.75" customHeight="1">
      <c r="A70" s="1"/>
      <c r="B70" s="64" t="s">
        <v>157</v>
      </c>
      <c r="C70" s="65"/>
      <c r="D70" s="68">
        <f>D68-D69</f>
        <v>0</v>
      </c>
      <c r="E70" s="57"/>
      <c r="F70" s="57"/>
      <c r="G70" s="69"/>
      <c r="H70" s="57"/>
      <c r="I70" s="69"/>
      <c r="J70" s="69"/>
      <c r="K70" s="70"/>
      <c r="L70" s="71"/>
      <c r="M70" s="56"/>
      <c r="N70" s="1"/>
      <c r="O70" s="1"/>
      <c r="P70" s="2"/>
      <c r="Q70" s="2"/>
      <c r="R70" s="2"/>
    </row>
    <row r="71" ht="36.0" customHeight="1">
      <c r="A71" s="1"/>
      <c r="B71" s="64" t="s">
        <v>158</v>
      </c>
      <c r="C71" s="65"/>
      <c r="D71" s="67">
        <f>D69*100/D68</f>
        <v>100</v>
      </c>
      <c r="E71" s="57"/>
      <c r="F71" s="57"/>
      <c r="G71" s="72" t="s">
        <v>159</v>
      </c>
      <c r="H71" s="57"/>
      <c r="I71" s="73" t="s">
        <v>160</v>
      </c>
      <c r="K71" s="74" t="s">
        <v>161</v>
      </c>
      <c r="L71" s="75" t="s">
        <v>162</v>
      </c>
      <c r="M71" s="56"/>
      <c r="N71" s="1"/>
      <c r="O71" s="1"/>
      <c r="P71" s="2"/>
      <c r="Q71" s="2"/>
      <c r="R71" s="2"/>
    </row>
    <row r="72" ht="21.75" customHeight="1">
      <c r="A72" s="76"/>
      <c r="B72" s="77" t="s">
        <v>163</v>
      </c>
      <c r="C72" s="78"/>
      <c r="D72" s="79">
        <f>AVERAGE(K17:K64)</f>
        <v>8.833333333</v>
      </c>
      <c r="E72" s="1"/>
      <c r="F72" s="1"/>
      <c r="H72" s="1"/>
      <c r="L72" s="9"/>
      <c r="M72" s="1"/>
      <c r="N72" s="1"/>
      <c r="O72" s="1"/>
      <c r="P72" s="2"/>
      <c r="Q72" s="2"/>
      <c r="R72" s="2"/>
    </row>
    <row r="73" ht="21.75" customHeight="1">
      <c r="A73" s="80"/>
      <c r="B73" s="2"/>
      <c r="C73" s="2"/>
      <c r="D73" s="2"/>
      <c r="E73" s="2"/>
      <c r="F73" s="2"/>
      <c r="G73" s="2"/>
      <c r="H73" s="2"/>
      <c r="I73" s="2"/>
      <c r="J73" s="2"/>
      <c r="K73" s="2"/>
      <c r="L73" s="81"/>
      <c r="M73" s="2"/>
      <c r="N73" s="2"/>
      <c r="O73" s="2"/>
      <c r="P73" s="2"/>
      <c r="Q73" s="2"/>
      <c r="R73" s="2"/>
    </row>
    <row r="74" ht="21.75" customHeight="1">
      <c r="A74" s="82"/>
      <c r="B74" s="83"/>
      <c r="C74" s="84"/>
      <c r="D74" s="84"/>
      <c r="E74" s="85"/>
      <c r="H74" s="85"/>
      <c r="I74" s="85"/>
      <c r="J74" s="85"/>
      <c r="K74" s="85"/>
      <c r="L74" s="86"/>
      <c r="M74" s="85"/>
      <c r="N74" s="2"/>
      <c r="O74" s="2"/>
      <c r="P74" s="2"/>
      <c r="Q74" s="2"/>
      <c r="R74" s="2"/>
    </row>
    <row r="75" ht="21.75" customHeight="1">
      <c r="A75" s="87"/>
      <c r="B75" s="85"/>
      <c r="C75" s="85"/>
      <c r="D75" s="88"/>
      <c r="E75" s="85"/>
      <c r="F75" s="85"/>
      <c r="G75" s="2"/>
      <c r="H75" s="2"/>
      <c r="I75" s="2"/>
      <c r="J75" s="2"/>
      <c r="K75" s="2"/>
      <c r="L75" s="81"/>
      <c r="M75" s="2"/>
      <c r="N75" s="2"/>
      <c r="O75" s="2"/>
      <c r="P75" s="2"/>
      <c r="Q75" s="2"/>
      <c r="R75" s="2"/>
    </row>
    <row r="76" ht="21.75" customHeight="1">
      <c r="A76" s="87"/>
      <c r="B76" s="85"/>
      <c r="C76" s="85"/>
      <c r="D76" s="88"/>
      <c r="E76" s="85"/>
      <c r="F76" s="85"/>
      <c r="G76" s="2"/>
      <c r="H76" s="2"/>
      <c r="I76" s="2"/>
      <c r="J76" s="2"/>
      <c r="K76" s="2"/>
      <c r="L76" s="89"/>
      <c r="M76" s="2"/>
      <c r="N76" s="2"/>
      <c r="O76" s="2"/>
      <c r="P76" s="2"/>
      <c r="Q76" s="2"/>
      <c r="R76" s="2"/>
    </row>
    <row r="77" ht="27.75" customHeight="1">
      <c r="A77" s="90"/>
      <c r="B77" s="91"/>
      <c r="C77" s="91"/>
      <c r="D77" s="92"/>
      <c r="E77" s="91"/>
      <c r="F77" s="91"/>
      <c r="G77" s="93"/>
      <c r="H77" s="94"/>
      <c r="I77" s="93"/>
      <c r="J77" s="93"/>
      <c r="K77" s="93"/>
      <c r="L77" s="95"/>
      <c r="M77" s="2"/>
      <c r="N77" s="2"/>
      <c r="O77" s="2"/>
      <c r="P77" s="2"/>
      <c r="Q77" s="2"/>
      <c r="R77" s="2"/>
    </row>
    <row r="78" ht="21.75" customHeight="1">
      <c r="A78" s="96"/>
      <c r="B78" s="97"/>
      <c r="C78" s="97"/>
      <c r="D78" s="98"/>
      <c r="E78" s="85"/>
      <c r="F78" s="85"/>
      <c r="G78" s="99"/>
      <c r="H78" s="2"/>
      <c r="I78" s="99"/>
      <c r="J78" s="99"/>
      <c r="K78" s="100"/>
      <c r="L78" s="100"/>
      <c r="M78" s="101"/>
      <c r="N78" s="2"/>
      <c r="O78" s="2"/>
      <c r="P78" s="2"/>
      <c r="Q78" s="2"/>
      <c r="R78" s="2"/>
    </row>
    <row r="79" ht="13.5" customHeight="1">
      <c r="A79" s="2"/>
      <c r="B79" s="85"/>
      <c r="C79" s="85"/>
      <c r="D79" s="98"/>
      <c r="E79" s="85"/>
      <c r="F79" s="85"/>
      <c r="G79" s="99"/>
      <c r="H79" s="2"/>
      <c r="I79" s="99"/>
      <c r="J79" s="99"/>
      <c r="K79" s="100"/>
      <c r="L79" s="102"/>
      <c r="M79" s="101"/>
      <c r="N79" s="2"/>
      <c r="O79" s="2"/>
      <c r="P79" s="2"/>
      <c r="Q79" s="2"/>
      <c r="R79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6:G67"/>
    <mergeCell ref="I66:J67"/>
    <mergeCell ref="K66:K67"/>
    <mergeCell ref="L66:L67"/>
    <mergeCell ref="I71:J72"/>
    <mergeCell ref="K71:K72"/>
    <mergeCell ref="L71:L72"/>
    <mergeCell ref="G71:G72"/>
    <mergeCell ref="E74:G74"/>
    <mergeCell ref="B66:C66"/>
    <mergeCell ref="B67:C67"/>
    <mergeCell ref="B68:C68"/>
    <mergeCell ref="B69:C69"/>
    <mergeCell ref="B70:C70"/>
    <mergeCell ref="B71:C71"/>
    <mergeCell ref="B72:C72"/>
  </mergeCells>
  <conditionalFormatting sqref="E17:H64">
    <cfRule type="notContainsBlanks" dxfId="0" priority="1" stopIfTrue="1">
      <formula>LEN(TRIM(E17))&gt;0</formula>
    </cfRule>
  </conditionalFormatting>
  <conditionalFormatting sqref="K17:K64">
    <cfRule type="cellIs" dxfId="0" priority="2" stopIfTrue="1" operator="greaterThan">
      <formula>5</formula>
    </cfRule>
  </conditionalFormatting>
  <conditionalFormatting sqref="K17:K64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