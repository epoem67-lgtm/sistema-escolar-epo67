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3 lengua y comunicacion ii" sheetId="1" r:id="rId5"/>
    <sheet state="visible" name="1-3 ingles ii" sheetId="2" r:id="rId6"/>
    <sheet state="visible" name="1-3 pensamiento matematico ii" sheetId="3" r:id="rId7"/>
    <sheet state="visible" name="1-3 cultura digital ii" sheetId="4" r:id="rId8"/>
    <sheet state="visible" name="1-3 ciencias naturales experime" sheetId="5" r:id="rId9"/>
    <sheet state="visible" name="1-3 pensamiento filosofico y hu" sheetId="6" r:id="rId10"/>
    <sheet state="visible" name="1-3 ciencias sociales ii" sheetId="7" r:id="rId11"/>
    <sheet state="visible" name="1-3 taller de ciencias i" sheetId="8" r:id="rId12"/>
    <sheet state="visible" name="1-3 actividades fisicas y depor" sheetId="9" r:id="rId13"/>
    <sheet state="visible" name="1-3 educacion para la salud ii" sheetId="10" r:id="rId14"/>
    <sheet state="visible" name="1-3 temas selectos de igualdad " sheetId="11" r:id="rId15"/>
  </sheets>
  <definedNames/>
  <calcPr/>
</workbook>
</file>

<file path=xl/sharedStrings.xml><?xml version="1.0" encoding="utf-8"?>
<sst xmlns="http://schemas.openxmlformats.org/spreadsheetml/2006/main" count="1573" uniqueCount="138">
  <si>
    <t>ESCUELA PREPARATORIA OFICIAL NÚM. 67</t>
  </si>
  <si>
    <t xml:space="preserve">CONTROL PRIMER PARCIAL </t>
  </si>
  <si>
    <t xml:space="preserve">PROFESOR (A): </t>
  </si>
  <si>
    <t>I</t>
  </si>
  <si>
    <t>II</t>
  </si>
  <si>
    <t>III</t>
  </si>
  <si>
    <t>PUNTAJE EXTRA</t>
  </si>
  <si>
    <t>SEGUNDO SEMESTRE
VESPERTINO</t>
  </si>
  <si>
    <t>UAC</t>
  </si>
  <si>
    <t>LENGUA Y COMUNICACIÓN II</t>
  </si>
  <si>
    <t>Evaluación continua 50%</t>
  </si>
  <si>
    <t>Examen parcial 30%</t>
  </si>
  <si>
    <t>Transversal 20%</t>
  </si>
  <si>
    <t>GRADO</t>
  </si>
  <si>
    <t>1°</t>
  </si>
  <si>
    <t>GRUPO</t>
  </si>
  <si>
    <t>No.</t>
  </si>
  <si>
    <t>NOMBRE DEL ALUMNO</t>
  </si>
  <si>
    <t>Suma</t>
  </si>
  <si>
    <t>Faltas</t>
  </si>
  <si>
    <t>Calificación Definitiva</t>
  </si>
  <si>
    <t>FIRMA</t>
  </si>
  <si>
    <t>ALBA</t>
  </si>
  <si>
    <t>GOMEZ</t>
  </si>
  <si>
    <t>ALLISON NAOMI</t>
  </si>
  <si>
    <t>ARIAS</t>
  </si>
  <si>
    <t>LOPEZ</t>
  </si>
  <si>
    <t>ALONDRA</t>
  </si>
  <si>
    <t>BOCHE</t>
  </si>
  <si>
    <t>ALCALA</t>
  </si>
  <si>
    <t>ANGELICA</t>
  </si>
  <si>
    <t>BRAVO</t>
  </si>
  <si>
    <t>VALENTIN</t>
  </si>
  <si>
    <t>MARCO ANTONIO</t>
  </si>
  <si>
    <t>CACIQUE</t>
  </si>
  <si>
    <t>HIDALGO</t>
  </si>
  <si>
    <t>PAMELA JAQUELINE</t>
  </si>
  <si>
    <t>CRUZ</t>
  </si>
  <si>
    <t>GAMEZ</t>
  </si>
  <si>
    <t xml:space="preserve">XIMENA SARAHI </t>
  </si>
  <si>
    <t>ROLDAN</t>
  </si>
  <si>
    <t>LUIS ANGEL</t>
  </si>
  <si>
    <t>DIAZ</t>
  </si>
  <si>
    <t>CONTRERAS</t>
  </si>
  <si>
    <t>ERICK ALEJANDRO</t>
  </si>
  <si>
    <t>ESPINOSA</t>
  </si>
  <si>
    <t>SANDOVAL</t>
  </si>
  <si>
    <t>DANNA PAOLA</t>
  </si>
  <si>
    <t>FIGUEROA</t>
  </si>
  <si>
    <t>ARROYO</t>
  </si>
  <si>
    <t>BRANDON JESUS</t>
  </si>
  <si>
    <t>MINUTTI</t>
  </si>
  <si>
    <t>RODRIGO</t>
  </si>
  <si>
    <t>FUENTES</t>
  </si>
  <si>
    <t>ALCANTARA</t>
  </si>
  <si>
    <t>IAN GIOVANNI</t>
  </si>
  <si>
    <t>GALVAN</t>
  </si>
  <si>
    <t>GONZALEZ</t>
  </si>
  <si>
    <t>KAREN DANNAE</t>
  </si>
  <si>
    <t>GARCIA</t>
  </si>
  <si>
    <t>YURITZY YOLOTZIN</t>
  </si>
  <si>
    <t>GUZMAN</t>
  </si>
  <si>
    <t>BARCENAS</t>
  </si>
  <si>
    <t>EVAN ALEJANDRO</t>
  </si>
  <si>
    <t>HERNANDEZ</t>
  </si>
  <si>
    <t>SANCHEZ</t>
  </si>
  <si>
    <t>ALONDRA NICOLE</t>
  </si>
  <si>
    <t>VELAZQUEZ</t>
  </si>
  <si>
    <t>SANTIAGO</t>
  </si>
  <si>
    <t>LIMA</t>
  </si>
  <si>
    <t>FELIX</t>
  </si>
  <si>
    <t>XIMENA EDITH</t>
  </si>
  <si>
    <t>NERI</t>
  </si>
  <si>
    <t>AMERICA SINAI</t>
  </si>
  <si>
    <t>MAGAÑA</t>
  </si>
  <si>
    <t>ACOSTA</t>
  </si>
  <si>
    <t>HANNA GERALDINE</t>
  </si>
  <si>
    <t>MARTINEZ</t>
  </si>
  <si>
    <t>NAOMI ESMERALDA</t>
  </si>
  <si>
    <t xml:space="preserve">MEJIA </t>
  </si>
  <si>
    <t>ROCHA</t>
  </si>
  <si>
    <t>YAHEL ALEJANDRO</t>
  </si>
  <si>
    <t>MENDOZA</t>
  </si>
  <si>
    <t>SUAREZ</t>
  </si>
  <si>
    <t>ARTURO SAID</t>
  </si>
  <si>
    <t>MILLAN</t>
  </si>
  <si>
    <t>LEAL</t>
  </si>
  <si>
    <t>AJAY JARED</t>
  </si>
  <si>
    <t>NORIEGA</t>
  </si>
  <si>
    <t>AVILA</t>
  </si>
  <si>
    <t>JOEL ADRIAN</t>
  </si>
  <si>
    <t>OLVERA</t>
  </si>
  <si>
    <t>MACIAS</t>
  </si>
  <si>
    <t>KARIME VALERIA</t>
  </si>
  <si>
    <t>PEREZ</t>
  </si>
  <si>
    <t>CABRERA</t>
  </si>
  <si>
    <t>JONATHAN URIEL</t>
  </si>
  <si>
    <t>DE LA O</t>
  </si>
  <si>
    <t xml:space="preserve">XIMENA </t>
  </si>
  <si>
    <t>LABASTIDA</t>
  </si>
  <si>
    <t>JORGE ALBERTO</t>
  </si>
  <si>
    <t>REYES</t>
  </si>
  <si>
    <t>EVELIN MONSERRAT</t>
  </si>
  <si>
    <t>RIVAS</t>
  </si>
  <si>
    <t>BORBON</t>
  </si>
  <si>
    <t>ISACK ANGEL</t>
  </si>
  <si>
    <t>CORTES</t>
  </si>
  <si>
    <t>MARIA JOSE</t>
  </si>
  <si>
    <t xml:space="preserve">SANTILLAN </t>
  </si>
  <si>
    <t>JADE AZUL</t>
  </si>
  <si>
    <t>TORRES</t>
  </si>
  <si>
    <t>VILLALBA</t>
  </si>
  <si>
    <t>ARY SANTIAGO</t>
  </si>
  <si>
    <t>No. DE ALUMNOS INSCRITOS</t>
  </si>
  <si>
    <t>FIRMA DEL PROFESOR</t>
  </si>
  <si>
    <t>FIRMA DEL ORIENTADOR</t>
  </si>
  <si>
    <t>Vo. Bo. SUBDIRECCIÓN ESCOLAR</t>
  </si>
  <si>
    <t xml:space="preserve">REVISADO POR SECRETARIA ESCOLAR </t>
  </si>
  <si>
    <t>BAJAS DURANTE EL SEMESTRE</t>
  </si>
  <si>
    <t>EXISTENCIA</t>
  </si>
  <si>
    <t>No. DE ALUMNOS APROBADOS</t>
  </si>
  <si>
    <t>No. DE ALUMNOS REPROBADOS</t>
  </si>
  <si>
    <t>% DE APROBADOS</t>
  </si>
  <si>
    <t xml:space="preserve">PROFR. </t>
  </si>
  <si>
    <t>PROFRA. IVONNE GABRIELA CEDILLO POLO</t>
  </si>
  <si>
    <t>PROFR. OCTAVIO VÁZQUEZ BARRETO</t>
  </si>
  <si>
    <t xml:space="preserve">PROFR. ROBERTO PALOMARES MEJÍA </t>
  </si>
  <si>
    <t>PROMEDIO</t>
  </si>
  <si>
    <t>INGLÉS II</t>
  </si>
  <si>
    <t>PENSAMIENTO MATEMÁTICO II</t>
  </si>
  <si>
    <t>CULTURA DIGITAL II</t>
  </si>
  <si>
    <t>CIENCIAS NATURALES EXPERIMENTALES Y TECNOLOGÍA II</t>
  </si>
  <si>
    <t>PENSAMIENTO FILOSÓFICO Y HUMANIDADES II</t>
  </si>
  <si>
    <t>CIENCIAS SOCIALES II</t>
  </si>
  <si>
    <t>TALLER DE CIENCIAS I</t>
  </si>
  <si>
    <t>ACTIVIDADES FÍSICAS Y DEPORTIVAS II</t>
  </si>
  <si>
    <t>EDUCACIÓN PARA LA SALUD</t>
  </si>
  <si>
    <t>TEMAS SELECTOS DE IGUALDAD Y DERECHOS HUMANOS II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</si>
</sst>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27">
    <font>
      <sz val="11.0"/>
      <color theme="1"/>
      <name val="Calibri"/>
      <scheme val="minor"/>
    </font>
    <font>
      <sz val="11.0"/>
      <color theme="1"/>
      <name val="Gotham Book"/>
    </font>
    <font>
      <b/>
      <sz val="14.0"/>
      <color theme="1"/>
      <name val="Arial"/>
    </font>
    <font/>
    <font>
      <b/>
      <sz val="11.0"/>
      <color theme="1"/>
      <name val="Gotham Book"/>
    </font>
    <font>
      <b/>
      <sz val="10.0"/>
      <color theme="1"/>
      <name val="Arial"/>
    </font>
    <font>
      <b/>
      <sz val="11.0"/>
      <color theme="1"/>
      <name val="Arial"/>
    </font>
    <font>
      <b/>
      <sz val="9.0"/>
      <color theme="1"/>
      <name val="Arial"/>
    </font>
    <font>
      <b/>
      <sz val="10.0"/>
      <color rgb="FF000000"/>
      <name val="Arial"/>
    </font>
    <font>
      <b/>
      <sz val="10.0"/>
      <color theme="1"/>
      <name val="Gotham Book"/>
    </font>
    <font>
      <b/>
      <sz val="9.0"/>
      <color theme="1"/>
      <name val="Gotham Book"/>
    </font>
    <font>
      <sz val="11.0"/>
      <color theme="1"/>
      <name val="Calibri"/>
    </font>
    <font>
      <sz val="11.0"/>
      <color theme="1"/>
      <name val="Century Gothic"/>
    </font>
    <font>
      <sz val="11.0"/>
      <color theme="1"/>
      <name val="Arial"/>
    </font>
    <font>
      <b/>
      <sz val="12.0"/>
      <color theme="1"/>
      <name val="Gotham Book"/>
    </font>
    <font>
      <sz val="10.0"/>
      <color theme="1"/>
      <name val="Arial"/>
    </font>
    <font>
      <sz val="12.0"/>
      <color theme="1"/>
      <name val="Gotham Book"/>
    </font>
    <font>
      <sz val="9.0"/>
      <color theme="1"/>
      <name val="Gotham Book"/>
    </font>
    <font>
      <sz val="9.0"/>
      <color theme="1"/>
      <name val="Arial"/>
    </font>
    <font>
      <sz val="10.0"/>
      <color theme="1"/>
      <name val="Gotham Book"/>
    </font>
    <font>
      <sz val="16.0"/>
      <color theme="1"/>
      <name val="Gotham Book"/>
    </font>
    <font>
      <sz val="11.0"/>
      <color theme="1"/>
      <name val="Gotham"/>
    </font>
    <font>
      <sz val="18.0"/>
      <color theme="1"/>
      <name val="Gotham Book"/>
    </font>
    <font>
      <b/>
      <color theme="1"/>
      <name val="Arial"/>
    </font>
    <font>
      <b/>
      <color theme="1"/>
      <name val="Gotham Book"/>
    </font>
    <font>
      <color theme="1"/>
      <name val="Arial"/>
    </font>
    <font>
      <color theme="1"/>
      <name val="Gotham Book"/>
    </font>
  </fonts>
  <fills count="5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45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16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Border="1" applyFont="1"/>
    <xf borderId="2" fillId="0" fontId="1" numFmtId="0" xfId="0" applyAlignment="1" applyBorder="1" applyFont="1">
      <alignment vertical="center"/>
    </xf>
    <xf borderId="2" fillId="0" fontId="1" numFmtId="0" xfId="0" applyBorder="1" applyFont="1"/>
    <xf borderId="3" fillId="0" fontId="1" numFmtId="0" xfId="0" applyBorder="1" applyFont="1"/>
    <xf borderId="4" fillId="0" fontId="1" numFmtId="0" xfId="0" applyBorder="1" applyFont="1"/>
    <xf borderId="0" fillId="0" fontId="1" numFmtId="0" xfId="0" applyAlignment="1" applyFont="1">
      <alignment vertical="center"/>
    </xf>
    <xf borderId="5" fillId="0" fontId="1" numFmtId="0" xfId="0" applyBorder="1" applyFont="1"/>
    <xf borderId="4" fillId="0" fontId="2" numFmtId="0" xfId="0" applyAlignment="1" applyBorder="1" applyFont="1">
      <alignment horizontal="center" shrinkToFit="0" vertical="center" wrapText="1"/>
    </xf>
    <xf borderId="5" fillId="0" fontId="3" numFmtId="0" xfId="0" applyBorder="1" applyFont="1"/>
    <xf borderId="0" fillId="0" fontId="4" numFmtId="0" xfId="0" applyAlignment="1" applyFont="1">
      <alignment horizontal="center" shrinkToFit="0" vertical="top" wrapText="1"/>
    </xf>
    <xf borderId="0" fillId="0" fontId="2" numFmtId="0" xfId="0" applyAlignment="1" applyFont="1">
      <alignment vertical="center"/>
    </xf>
    <xf borderId="0" fillId="0" fontId="1" numFmtId="0" xfId="0" applyAlignment="1" applyFont="1">
      <alignment horizontal="center"/>
    </xf>
    <xf borderId="5" fillId="0" fontId="1" numFmtId="0" xfId="0" applyAlignment="1" applyBorder="1" applyFont="1">
      <alignment horizontal="center"/>
    </xf>
    <xf borderId="0" fillId="0" fontId="4" numFmtId="0" xfId="0" applyAlignment="1" applyFont="1">
      <alignment vertical="center"/>
    </xf>
    <xf borderId="6" fillId="2" fontId="5" numFmtId="0" xfId="0" applyAlignment="1" applyBorder="1" applyFill="1" applyFont="1">
      <alignment horizontal="center" vertical="center"/>
    </xf>
    <xf borderId="7" fillId="0" fontId="3" numFmtId="0" xfId="0" applyBorder="1" applyFont="1"/>
    <xf borderId="8" fillId="2" fontId="5" numFmtId="0" xfId="0" applyAlignment="1" applyBorder="1" applyFont="1">
      <alignment horizontal="center" vertical="center"/>
    </xf>
    <xf borderId="9" fillId="2" fontId="6" numFmtId="0" xfId="0" applyAlignment="1" applyBorder="1" applyFont="1">
      <alignment horizontal="center" vertical="center"/>
    </xf>
    <xf borderId="9" fillId="2" fontId="4" numFmtId="0" xfId="0" applyAlignment="1" applyBorder="1" applyFont="1">
      <alignment horizontal="center" vertical="center"/>
    </xf>
    <xf borderId="10" fillId="2" fontId="4" numFmtId="0" xfId="0" applyAlignment="1" applyBorder="1" applyFont="1">
      <alignment horizontal="center" shrinkToFit="0" vertical="center" wrapText="1"/>
    </xf>
    <xf borderId="11" fillId="2" fontId="4" numFmtId="9" xfId="0" applyAlignment="1" applyBorder="1" applyFont="1" applyNumberFormat="1">
      <alignment horizontal="center" vertical="center"/>
    </xf>
    <xf borderId="12" fillId="2" fontId="6" numFmtId="0" xfId="0" applyAlignment="1" applyBorder="1" applyFont="1">
      <alignment horizontal="center" readingOrder="0" shrinkToFit="0" vertical="center" wrapText="1"/>
    </xf>
    <xf borderId="2" fillId="0" fontId="3" numFmtId="0" xfId="0" applyBorder="1" applyFont="1"/>
    <xf borderId="3" fillId="0" fontId="3" numFmtId="0" xfId="0" applyBorder="1" applyFont="1"/>
    <xf borderId="13" fillId="2" fontId="5" numFmtId="0" xfId="0" applyAlignment="1" applyBorder="1" applyFont="1">
      <alignment horizontal="center" shrinkToFit="0" vertical="center" wrapText="1"/>
    </xf>
    <xf borderId="14" fillId="2" fontId="5" numFmtId="0" xfId="0" applyAlignment="1" applyBorder="1" applyFont="1">
      <alignment horizontal="center" shrinkToFit="0" vertical="center" wrapText="1"/>
    </xf>
    <xf borderId="14" fillId="0" fontId="3" numFmtId="0" xfId="0" applyBorder="1" applyFont="1"/>
    <xf borderId="15" fillId="0" fontId="3" numFmtId="0" xfId="0" applyBorder="1" applyFont="1"/>
    <xf borderId="16" fillId="2" fontId="7" numFmtId="0" xfId="0" applyAlignment="1" applyBorder="1" applyFont="1">
      <alignment horizontal="center" shrinkToFit="0" vertical="center" wrapText="1"/>
    </xf>
    <xf borderId="16" fillId="2" fontId="7" numFmtId="0" xfId="0" applyAlignment="1" applyBorder="1" applyFont="1">
      <alignment vertical="center"/>
    </xf>
    <xf borderId="17" fillId="0" fontId="3" numFmtId="0" xfId="0" applyBorder="1" applyFont="1"/>
    <xf borderId="18" fillId="0" fontId="3" numFmtId="0" xfId="0" applyBorder="1" applyFont="1"/>
    <xf borderId="19" fillId="0" fontId="3" numFmtId="0" xfId="0" applyBorder="1" applyFont="1"/>
    <xf borderId="20" fillId="0" fontId="3" numFmtId="0" xfId="0" applyBorder="1" applyFont="1"/>
    <xf borderId="21" fillId="0" fontId="3" numFmtId="0" xfId="0" applyBorder="1" applyFont="1"/>
    <xf borderId="22" fillId="2" fontId="8" numFmtId="0" xfId="0" applyAlignment="1" applyBorder="1" applyFont="1">
      <alignment horizontal="center" vertical="center"/>
    </xf>
    <xf borderId="23" fillId="2" fontId="5" numFmtId="0" xfId="0" applyAlignment="1" applyBorder="1" applyFont="1">
      <alignment horizontal="center" vertical="center"/>
    </xf>
    <xf borderId="15" fillId="2" fontId="5" numFmtId="0" xfId="0" applyAlignment="1" applyBorder="1" applyFont="1">
      <alignment horizontal="center" vertical="center"/>
    </xf>
    <xf borderId="24" fillId="0" fontId="3" numFmtId="0" xfId="0" applyBorder="1" applyFont="1"/>
    <xf borderId="18" fillId="2" fontId="4" numFmtId="0" xfId="0" applyAlignment="1" applyBorder="1" applyFont="1">
      <alignment horizontal="center" shrinkToFit="0" vertical="center" wrapText="1"/>
    </xf>
    <xf borderId="25" fillId="2" fontId="6" numFmtId="0" xfId="0" applyAlignment="1" applyBorder="1" applyFont="1">
      <alignment horizontal="center" vertical="center"/>
    </xf>
    <xf borderId="26" fillId="0" fontId="3" numFmtId="0" xfId="0" applyBorder="1" applyFont="1"/>
    <xf borderId="22" fillId="2" fontId="9" numFmtId="0" xfId="0" applyAlignment="1" applyBorder="1" applyFont="1">
      <alignment horizontal="center" vertical="center"/>
    </xf>
    <xf borderId="27" fillId="2" fontId="9" numFmtId="0" xfId="0" applyAlignment="1" applyBorder="1" applyFont="1">
      <alignment horizontal="center" vertical="center"/>
    </xf>
    <xf borderId="23" fillId="2" fontId="10" numFmtId="0" xfId="0" applyAlignment="1" applyBorder="1" applyFont="1">
      <alignment horizontal="center" shrinkToFit="0" vertical="bottom" wrapText="1"/>
    </xf>
    <xf borderId="23" fillId="2" fontId="11" numFmtId="0" xfId="0" applyAlignment="1" applyBorder="1" applyFont="1">
      <alignment vertical="bottom"/>
    </xf>
    <xf borderId="23" fillId="2" fontId="10" numFmtId="0" xfId="0" applyAlignment="1" applyBorder="1" applyFont="1">
      <alignment horizontal="center" shrinkToFit="0" vertical="center" wrapText="1"/>
    </xf>
    <xf borderId="23" fillId="2" fontId="6" numFmtId="0" xfId="0" applyAlignment="1" applyBorder="1" applyFont="1">
      <alignment horizontal="center" shrinkToFit="0" vertical="center" wrapText="1"/>
    </xf>
    <xf borderId="23" fillId="2" fontId="4" numFmtId="0" xfId="0" applyAlignment="1" applyBorder="1" applyFont="1">
      <alignment horizontal="center" shrinkToFit="0" vertical="center" wrapText="1"/>
    </xf>
    <xf borderId="28" fillId="2" fontId="4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12" numFmtId="1" xfId="0" applyAlignment="1" applyBorder="1" applyFont="1" applyNumberFormat="1">
      <alignment vertical="bottom"/>
    </xf>
    <xf borderId="23" fillId="0" fontId="12" numFmtId="0" xfId="0" applyAlignment="1" applyBorder="1" applyFont="1">
      <alignment vertical="bottom"/>
    </xf>
    <xf borderId="23" fillId="0" fontId="13" numFmtId="164" xfId="0" applyAlignment="1" applyBorder="1" applyFont="1" applyNumberFormat="1">
      <alignment horizontal="center" vertical="center"/>
    </xf>
    <xf borderId="23" fillId="0" fontId="1" numFmtId="164" xfId="0" applyAlignment="1" applyBorder="1" applyFont="1" applyNumberFormat="1">
      <alignment horizontal="center" vertical="center"/>
    </xf>
    <xf borderId="23" fillId="0" fontId="13" numFmtId="0" xfId="0" applyAlignment="1" applyBorder="1" applyFont="1">
      <alignment horizontal="center" vertical="center"/>
    </xf>
    <xf borderId="23" fillId="0" fontId="14" numFmtId="1" xfId="0" applyAlignment="1" applyBorder="1" applyFont="1" applyNumberFormat="1">
      <alignment horizontal="center" vertical="center"/>
    </xf>
    <xf borderId="23" fillId="0" fontId="1" numFmtId="1" xfId="0" applyAlignment="1" applyBorder="1" applyFont="1" applyNumberFormat="1">
      <alignment horizontal="center" vertical="center"/>
    </xf>
    <xf borderId="18" fillId="0" fontId="1" numFmtId="1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3" numFmtId="0" xfId="0" applyAlignment="1" applyFont="1">
      <alignment horizontal="center" vertical="center"/>
    </xf>
    <xf borderId="29" fillId="0" fontId="15" numFmtId="0" xfId="0" applyAlignment="1" applyBorder="1" applyFont="1">
      <alignment horizontal="right" shrinkToFit="1" vertical="center" wrapText="0"/>
    </xf>
    <xf borderId="30" fillId="0" fontId="3" numFmtId="0" xfId="0" applyBorder="1" applyFont="1"/>
    <xf borderId="31" fillId="0" fontId="16" numFmtId="0" xfId="0" applyAlignment="1" applyBorder="1" applyFont="1">
      <alignment shrinkToFit="1" vertical="center" wrapText="0"/>
    </xf>
    <xf borderId="0" fillId="0" fontId="17" numFmtId="0" xfId="0" applyAlignment="1" applyFont="1">
      <alignment horizontal="center" shrinkToFit="0" vertical="center" wrapText="1"/>
    </xf>
    <xf borderId="0" fillId="0" fontId="18" numFmtId="0" xfId="0" applyAlignment="1" applyFont="1">
      <alignment horizontal="center" shrinkToFit="0" vertical="center" wrapText="1"/>
    </xf>
    <xf borderId="5" fillId="0" fontId="17" numFmtId="0" xfId="0" applyAlignment="1" applyBorder="1" applyFont="1">
      <alignment horizontal="center" shrinkToFit="0" vertical="center" wrapText="1"/>
    </xf>
    <xf borderId="32" fillId="0" fontId="19" numFmtId="0" xfId="0" applyAlignment="1" applyBorder="1" applyFont="1">
      <alignment horizontal="right" shrinkToFit="1" vertical="center" wrapText="0"/>
    </xf>
    <xf borderId="33" fillId="0" fontId="3" numFmtId="0" xfId="0" applyBorder="1" applyFont="1"/>
    <xf borderId="34" fillId="0" fontId="16" numFmtId="0" xfId="0" applyAlignment="1" applyBorder="1" applyFont="1">
      <alignment shrinkToFit="1" vertical="center" wrapText="0"/>
    </xf>
    <xf borderId="35" fillId="0" fontId="16" numFmtId="0" xfId="0" applyAlignment="1" applyBorder="1" applyFont="1">
      <alignment shrinkToFit="1" vertical="center" wrapText="0"/>
    </xf>
    <xf borderId="0" fillId="0" fontId="19" numFmtId="0" xfId="0" applyAlignment="1" applyFont="1">
      <alignment shrinkToFit="1" vertical="center" wrapText="0"/>
    </xf>
    <xf borderId="0" fillId="0" fontId="19" numFmtId="0" xfId="0" applyAlignment="1" applyFont="1">
      <alignment horizontal="center" vertical="center"/>
    </xf>
    <xf borderId="0" fillId="0" fontId="19" numFmtId="0" xfId="0" applyFont="1"/>
    <xf borderId="5" fillId="0" fontId="19" numFmtId="0" xfId="0" applyBorder="1" applyFont="1"/>
    <xf borderId="35" fillId="0" fontId="16" numFmtId="1" xfId="0" applyAlignment="1" applyBorder="1" applyFont="1" applyNumberFormat="1">
      <alignment shrinkToFit="1" vertical="center" wrapText="0"/>
    </xf>
    <xf borderId="20" fillId="0" fontId="19" numFmtId="0" xfId="0" applyAlignment="1" applyBorder="1" applyFont="1">
      <alignment shrinkToFit="1" vertical="center" wrapText="0"/>
    </xf>
    <xf borderId="20" fillId="0" fontId="19" numFmtId="0" xfId="0" applyBorder="1" applyFont="1"/>
    <xf borderId="21" fillId="0" fontId="19" numFmtId="0" xfId="0" applyBorder="1" applyFont="1"/>
    <xf borderId="35" fillId="0" fontId="16" numFmtId="2" xfId="0" applyAlignment="1" applyBorder="1" applyFont="1" applyNumberFormat="1">
      <alignment shrinkToFit="1" vertical="center" wrapText="0"/>
    </xf>
    <xf borderId="36" fillId="0" fontId="5" numFmtId="0" xfId="0" applyAlignment="1" applyBorder="1" applyFont="1">
      <alignment horizontal="center" shrinkToFit="0" vertical="top" wrapText="1"/>
    </xf>
    <xf borderId="0" fillId="0" fontId="19" numFmtId="0" xfId="0" applyAlignment="1" applyFont="1">
      <alignment horizontal="center" vertical="top"/>
    </xf>
    <xf borderId="0" fillId="0" fontId="7" numFmtId="0" xfId="0" applyAlignment="1" applyFont="1">
      <alignment horizontal="center" readingOrder="0" shrinkToFit="0" vertical="top" wrapText="1"/>
    </xf>
    <xf borderId="0" fillId="0" fontId="7" numFmtId="0" xfId="0" applyAlignment="1" applyFont="1">
      <alignment horizontal="center" shrinkToFit="0" vertical="top" wrapText="1"/>
    </xf>
    <xf borderId="5" fillId="0" fontId="7" numFmtId="0" xfId="0" applyAlignment="1" applyBorder="1" applyFont="1">
      <alignment horizontal="center" shrinkToFit="0" vertical="top" wrapText="1"/>
    </xf>
    <xf borderId="0" fillId="0" fontId="17" numFmtId="0" xfId="0" applyFont="1"/>
    <xf borderId="37" fillId="0" fontId="15" numFmtId="0" xfId="0" applyAlignment="1" applyBorder="1" applyFont="1">
      <alignment horizontal="right" shrinkToFit="1" vertical="center" wrapText="0"/>
    </xf>
    <xf borderId="38" fillId="0" fontId="3" numFmtId="0" xfId="0" applyBorder="1" applyFont="1"/>
    <xf borderId="39" fillId="0" fontId="14" numFmtId="2" xfId="0" applyAlignment="1" applyBorder="1" applyFont="1" applyNumberFormat="1">
      <alignment vertical="center"/>
    </xf>
    <xf borderId="40" fillId="3" fontId="1" numFmtId="0" xfId="0" applyAlignment="1" applyBorder="1" applyFill="1" applyFont="1">
      <alignment vertical="center"/>
    </xf>
    <xf borderId="41" fillId="3" fontId="1" numFmtId="0" xfId="0" applyAlignment="1" applyBorder="1" applyFont="1">
      <alignment vertical="center"/>
    </xf>
    <xf borderId="0" fillId="3" fontId="1" numFmtId="0" xfId="0" applyAlignment="1" applyFont="1">
      <alignment vertical="center"/>
    </xf>
    <xf borderId="5" fillId="0" fontId="1" numFmtId="0" xfId="0" applyAlignment="1" applyBorder="1" applyFont="1">
      <alignment vertical="center"/>
    </xf>
    <xf borderId="0" fillId="0" fontId="20" numFmtId="0" xfId="0" applyAlignment="1" applyFont="1">
      <alignment vertical="center"/>
    </xf>
    <xf borderId="4" fillId="0" fontId="1" numFmtId="0" xfId="0" applyAlignment="1" applyBorder="1" applyFont="1">
      <alignment horizontal="center" vertical="center"/>
    </xf>
    <xf borderId="0" fillId="0" fontId="21" numFmtId="0" xfId="0" applyFont="1"/>
    <xf borderId="42" fillId="0" fontId="1" numFmtId="0" xfId="0" applyAlignment="1" applyBorder="1" applyFont="1">
      <alignment horizontal="center" vertical="center"/>
    </xf>
    <xf borderId="43" fillId="0" fontId="1" numFmtId="0" xfId="0" applyAlignment="1" applyBorder="1" applyFont="1">
      <alignment horizontal="center" vertical="center"/>
    </xf>
    <xf borderId="43" fillId="0" fontId="1" numFmtId="0" xfId="0" applyAlignment="1" applyBorder="1" applyFont="1">
      <alignment vertical="center"/>
    </xf>
    <xf borderId="43" fillId="0" fontId="1" numFmtId="0" xfId="0" applyBorder="1" applyFont="1"/>
    <xf borderId="44" fillId="0" fontId="1" numFmtId="0" xfId="0" applyBorder="1" applyFont="1"/>
    <xf borderId="0" fillId="0" fontId="22" numFmtId="0" xfId="0" applyAlignment="1" applyFont="1">
      <alignment shrinkToFit="0" vertical="center" wrapText="1"/>
    </xf>
    <xf borderId="0" fillId="0" fontId="1" numFmtId="0" xfId="0" applyAlignment="1" applyFont="1">
      <alignment shrinkToFit="0" vertical="top" wrapText="1"/>
    </xf>
    <xf borderId="0" fillId="0" fontId="1" numFmtId="1" xfId="0" applyFont="1" applyNumberFormat="1"/>
    <xf borderId="0" fillId="0" fontId="11" numFmtId="0" xfId="0" applyAlignment="1" applyFont="1">
      <alignment vertical="bottom"/>
    </xf>
    <xf borderId="1" fillId="0" fontId="11" numFmtId="0" xfId="0" applyAlignment="1" applyBorder="1" applyFont="1">
      <alignment vertical="bottom"/>
    </xf>
    <xf borderId="2" fillId="0" fontId="11" numFmtId="0" xfId="0" applyBorder="1" applyFont="1"/>
    <xf borderId="2" fillId="0" fontId="11" numFmtId="0" xfId="0" applyAlignment="1" applyBorder="1" applyFont="1">
      <alignment vertical="bottom"/>
    </xf>
    <xf borderId="3" fillId="0" fontId="11" numFmtId="0" xfId="0" applyAlignment="1" applyBorder="1" applyFont="1">
      <alignment vertical="bottom"/>
    </xf>
    <xf borderId="4" fillId="0" fontId="11" numFmtId="0" xfId="0" applyAlignment="1" applyBorder="1" applyFont="1">
      <alignment vertical="bottom"/>
    </xf>
    <xf borderId="0" fillId="0" fontId="11" numFmtId="0" xfId="0" applyFont="1"/>
    <xf borderId="5" fillId="0" fontId="11" numFmtId="0" xfId="0" applyAlignment="1" applyBorder="1" applyFont="1">
      <alignment vertical="bottom"/>
    </xf>
    <xf borderId="4" fillId="0" fontId="2" numFmtId="0" xfId="0" applyAlignment="1" applyBorder="1" applyFont="1">
      <alignment horizontal="center" shrinkToFit="0" wrapText="1"/>
    </xf>
    <xf borderId="0" fillId="0" fontId="11" numFmtId="0" xfId="0" applyAlignment="1" applyFont="1">
      <alignment vertical="top"/>
    </xf>
    <xf borderId="0" fillId="0" fontId="2" numFmtId="0" xfId="0" applyFont="1"/>
    <xf borderId="6" fillId="2" fontId="23" numFmtId="0" xfId="0" applyAlignment="1" applyBorder="1" applyFont="1">
      <alignment horizontal="center"/>
    </xf>
    <xf borderId="8" fillId="2" fontId="11" numFmtId="0" xfId="0" applyBorder="1" applyFont="1"/>
    <xf borderId="10" fillId="2" fontId="4" numFmtId="0" xfId="0" applyAlignment="1" applyBorder="1" applyFont="1">
      <alignment horizontal="center" shrinkToFit="0" wrapText="1"/>
    </xf>
    <xf borderId="11" fillId="2" fontId="4" numFmtId="9" xfId="0" applyAlignment="1" applyBorder="1" applyFont="1" applyNumberFormat="1">
      <alignment horizontal="center"/>
    </xf>
    <xf borderId="13" fillId="2" fontId="23" numFmtId="0" xfId="0" applyAlignment="1" applyBorder="1" applyFont="1">
      <alignment horizontal="center" shrinkToFit="0" wrapText="1"/>
    </xf>
    <xf borderId="14" fillId="2" fontId="23" numFmtId="0" xfId="0" applyAlignment="1" applyBorder="1" applyFont="1">
      <alignment horizontal="center" shrinkToFit="0" wrapText="1"/>
    </xf>
    <xf borderId="22" fillId="2" fontId="23" numFmtId="0" xfId="0" applyAlignment="1" applyBorder="1" applyFont="1">
      <alignment horizontal="center"/>
    </xf>
    <xf borderId="23" fillId="2" fontId="23" numFmtId="0" xfId="0" applyAlignment="1" applyBorder="1" applyFont="1">
      <alignment horizontal="center"/>
    </xf>
    <xf borderId="15" fillId="2" fontId="23" numFmtId="0" xfId="0" applyAlignment="1" applyBorder="1" applyFont="1">
      <alignment horizontal="center"/>
    </xf>
    <xf borderId="18" fillId="2" fontId="11" numFmtId="0" xfId="0" applyBorder="1" applyFont="1"/>
    <xf borderId="25" fillId="2" fontId="11" numFmtId="0" xfId="0" applyBorder="1" applyFont="1"/>
    <xf borderId="22" fillId="2" fontId="24" numFmtId="0" xfId="0" applyAlignment="1" applyBorder="1" applyFont="1">
      <alignment horizontal="center"/>
    </xf>
    <xf borderId="27" fillId="2" fontId="24" numFmtId="0" xfId="0" applyAlignment="1" applyBorder="1" applyFont="1">
      <alignment horizontal="center"/>
    </xf>
    <xf borderId="23" fillId="2" fontId="11" numFmtId="0" xfId="0" applyBorder="1" applyFont="1"/>
    <xf borderId="23" fillId="2" fontId="6" numFmtId="0" xfId="0" applyAlignment="1" applyBorder="1" applyFont="1">
      <alignment horizontal="center" shrinkToFit="0" wrapText="1"/>
    </xf>
    <xf borderId="23" fillId="2" fontId="4" numFmtId="0" xfId="0" applyAlignment="1" applyBorder="1" applyFont="1">
      <alignment horizontal="center" shrinkToFit="0" wrapText="1"/>
    </xf>
    <xf borderId="28" fillId="2" fontId="4" numFmtId="0" xfId="0" applyAlignment="1" applyBorder="1" applyFont="1">
      <alignment horizontal="center"/>
    </xf>
    <xf borderId="23" fillId="0" fontId="1" numFmtId="0" xfId="0" applyAlignment="1" applyBorder="1" applyFont="1">
      <alignment horizontal="center"/>
    </xf>
    <xf borderId="23" fillId="0" fontId="11" numFmtId="164" xfId="0" applyBorder="1" applyFont="1" applyNumberFormat="1"/>
    <xf borderId="23" fillId="0" fontId="1" numFmtId="164" xfId="0" applyAlignment="1" applyBorder="1" applyFont="1" applyNumberFormat="1">
      <alignment horizontal="center"/>
    </xf>
    <xf borderId="23" fillId="0" fontId="11" numFmtId="0" xfId="0" applyBorder="1" applyFont="1"/>
    <xf borderId="23" fillId="2" fontId="14" numFmtId="1" xfId="0" applyAlignment="1" applyBorder="1" applyFont="1" applyNumberFormat="1">
      <alignment horizontal="center"/>
    </xf>
    <xf borderId="23" fillId="0" fontId="11" numFmtId="1" xfId="0" applyBorder="1" applyFont="1" applyNumberFormat="1"/>
    <xf borderId="18" fillId="0" fontId="1" numFmtId="1" xfId="0" applyAlignment="1" applyBorder="1" applyFont="1" applyNumberFormat="1">
      <alignment horizontal="center"/>
    </xf>
    <xf borderId="29" fillId="0" fontId="25" numFmtId="0" xfId="0" applyAlignment="1" applyBorder="1" applyFont="1">
      <alignment horizontal="right"/>
    </xf>
    <xf borderId="31" fillId="0" fontId="16" numFmtId="0" xfId="0" applyAlignment="1" applyBorder="1" applyFont="1">
      <alignment horizontal="right"/>
    </xf>
    <xf borderId="0" fillId="0" fontId="17" numFmtId="0" xfId="0" applyAlignment="1" applyFont="1">
      <alignment horizontal="center" shrinkToFit="0" wrapText="1"/>
    </xf>
    <xf borderId="0" fillId="0" fontId="18" numFmtId="0" xfId="0" applyAlignment="1" applyFont="1">
      <alignment horizontal="center" shrinkToFit="0" wrapText="1"/>
    </xf>
    <xf borderId="5" fillId="0" fontId="17" numFmtId="0" xfId="0" applyAlignment="1" applyBorder="1" applyFont="1">
      <alignment horizontal="center" shrinkToFit="0" wrapText="1"/>
    </xf>
    <xf borderId="32" fillId="0" fontId="26" numFmtId="0" xfId="0" applyAlignment="1" applyBorder="1" applyFont="1">
      <alignment horizontal="right"/>
    </xf>
    <xf borderId="34" fillId="0" fontId="16" numFmtId="0" xfId="0" applyAlignment="1" applyBorder="1" applyFont="1">
      <alignment horizontal="right"/>
    </xf>
    <xf borderId="35" fillId="0" fontId="16" numFmtId="1" xfId="0" applyAlignment="1" applyBorder="1" applyFont="1" applyNumberFormat="1">
      <alignment horizontal="right"/>
    </xf>
    <xf borderId="20" fillId="0" fontId="11" numFmtId="0" xfId="0" applyBorder="1" applyFont="1"/>
    <xf borderId="20" fillId="0" fontId="11" numFmtId="0" xfId="0" applyAlignment="1" applyBorder="1" applyFont="1">
      <alignment vertical="bottom"/>
    </xf>
    <xf borderId="21" fillId="0" fontId="11" numFmtId="0" xfId="0" applyAlignment="1" applyBorder="1" applyFont="1">
      <alignment vertical="bottom"/>
    </xf>
    <xf borderId="35" fillId="0" fontId="16" numFmtId="2" xfId="0" applyAlignment="1" applyBorder="1" applyFont="1" applyNumberFormat="1">
      <alignment horizontal="right"/>
    </xf>
    <xf borderId="36" fillId="0" fontId="23" numFmtId="0" xfId="0" applyAlignment="1" applyBorder="1" applyFont="1">
      <alignment horizontal="center" shrinkToFit="0" vertical="top" wrapText="1"/>
    </xf>
    <xf borderId="37" fillId="0" fontId="25" numFmtId="0" xfId="0" applyAlignment="1" applyBorder="1" applyFont="1">
      <alignment horizontal="right"/>
    </xf>
    <xf borderId="39" fillId="0" fontId="14" numFmtId="2" xfId="0" applyAlignment="1" applyBorder="1" applyFont="1" applyNumberFormat="1">
      <alignment horizontal="right"/>
    </xf>
    <xf borderId="40" fillId="4" fontId="11" numFmtId="0" xfId="0" applyBorder="1" applyFill="1" applyFont="1"/>
    <xf borderId="41" fillId="4" fontId="11" numFmtId="0" xfId="0" applyBorder="1" applyFont="1"/>
    <xf borderId="0" fillId="4" fontId="11" numFmtId="0" xfId="0" applyFont="1"/>
    <xf borderId="5" fillId="0" fontId="11" numFmtId="0" xfId="0" applyBorder="1" applyFont="1"/>
    <xf borderId="4" fillId="0" fontId="11" numFmtId="0" xfId="0" applyBorder="1" applyFont="1"/>
    <xf borderId="42" fillId="0" fontId="11" numFmtId="0" xfId="0" applyBorder="1" applyFont="1"/>
    <xf borderId="43" fillId="0" fontId="11" numFmtId="0" xfId="0" applyBorder="1" applyFont="1"/>
    <xf borderId="43" fillId="0" fontId="11" numFmtId="0" xfId="0" applyAlignment="1" applyBorder="1" applyFont="1">
      <alignment vertical="bottom"/>
    </xf>
    <xf borderId="44" fillId="0" fontId="11" numFmtId="0" xfId="0" applyAlignment="1" applyBorder="1" applyFont="1">
      <alignment vertical="bottom"/>
    </xf>
    <xf borderId="0" fillId="0" fontId="11" numFmtId="1" xfId="0" applyAlignment="1" applyFont="1" applyNumberFormat="1">
      <alignment vertical="bottom"/>
    </xf>
  </cellXfs>
  <cellStyles count="1">
    <cellStyle xfId="0" name="Normal" builtinId="0"/>
  </cellStyles>
  <dxfs count="2"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533400</xdr:colOff>
      <xdr:row>1</xdr:row>
      <xdr:rowOff>142875</xdr:rowOff>
    </xdr:from>
    <xdr:ext cx="6781800" cy="1047750"/>
    <xdr:sp>
      <xdr:nvSpPr>
        <xdr:cNvPr id="3" name="Shape 3"/>
        <xdr:cNvSpPr txBox="1"/>
      </xdr:nvSpPr>
      <xdr:spPr>
        <a:xfrm>
          <a:off x="1959863" y="3260888"/>
          <a:ext cx="6772275" cy="1038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419100</xdr:colOff>
      <xdr:row>61</xdr:row>
      <xdr:rowOff>47625</xdr:rowOff>
    </xdr:from>
    <xdr:ext cx="10706100" cy="381000"/>
    <xdr:sp>
      <xdr:nvSpPr>
        <xdr:cNvPr id="4" name="Shape 4"/>
        <xdr:cNvSpPr txBox="1"/>
      </xdr:nvSpPr>
      <xdr:spPr>
        <a:xfrm>
          <a:off x="0" y="3594263"/>
          <a:ext cx="10692000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59</xdr:row>
      <xdr:rowOff>161925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-419100</xdr:colOff>
      <xdr:row>1</xdr:row>
      <xdr:rowOff>133350</xdr:rowOff>
    </xdr:from>
    <xdr:ext cx="6781800" cy="1047750"/>
    <xdr:sp>
      <xdr:nvSpPr>
        <xdr:cNvPr id="5" name="Shape 5"/>
        <xdr:cNvSpPr txBox="1"/>
      </xdr:nvSpPr>
      <xdr:spPr>
        <a:xfrm>
          <a:off x="1959863" y="3260888"/>
          <a:ext cx="6772275" cy="1038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428625</xdr:colOff>
      <xdr:row>60</xdr:row>
      <xdr:rowOff>152400</xdr:rowOff>
    </xdr:from>
    <xdr:ext cx="10706100" cy="381000"/>
    <xdr:sp>
      <xdr:nvSpPr>
        <xdr:cNvPr id="6" name="Shape 6"/>
        <xdr:cNvSpPr txBox="1"/>
      </xdr:nvSpPr>
      <xdr:spPr>
        <a:xfrm>
          <a:off x="0" y="3594263"/>
          <a:ext cx="10692000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 11,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59</xdr:row>
      <xdr:rowOff>152400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495300</xdr:colOff>
      <xdr:row>1</xdr:row>
      <xdr:rowOff>161925</xdr:rowOff>
    </xdr:from>
    <xdr:ext cx="6781800" cy="1047750"/>
    <xdr:sp>
      <xdr:nvSpPr>
        <xdr:cNvPr id="7" name="Shape 7"/>
        <xdr:cNvSpPr txBox="1"/>
      </xdr:nvSpPr>
      <xdr:spPr>
        <a:xfrm>
          <a:off x="1959863" y="3260888"/>
          <a:ext cx="6772275" cy="1038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428625</xdr:colOff>
      <xdr:row>60</xdr:row>
      <xdr:rowOff>152400</xdr:rowOff>
    </xdr:from>
    <xdr:ext cx="10706100" cy="381000"/>
    <xdr:sp>
      <xdr:nvSpPr>
        <xdr:cNvPr id="8" name="Shape 8"/>
        <xdr:cNvSpPr txBox="1"/>
      </xdr:nvSpPr>
      <xdr:spPr>
        <a:xfrm>
          <a:off x="0" y="3594263"/>
          <a:ext cx="10692000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419100</xdr:colOff>
      <xdr:row>59</xdr:row>
      <xdr:rowOff>152400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495300</xdr:colOff>
      <xdr:row>1</xdr:row>
      <xdr:rowOff>161925</xdr:rowOff>
    </xdr:from>
    <xdr:ext cx="6781800" cy="1047750"/>
    <xdr:sp>
      <xdr:nvSpPr>
        <xdr:cNvPr id="9" name="Shape 9"/>
        <xdr:cNvSpPr txBox="1"/>
      </xdr:nvSpPr>
      <xdr:spPr>
        <a:xfrm>
          <a:off x="1959863" y="3260888"/>
          <a:ext cx="6772275" cy="1038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438150</xdr:colOff>
      <xdr:row>60</xdr:row>
      <xdr:rowOff>161925</xdr:rowOff>
    </xdr:from>
    <xdr:ext cx="10706100" cy="381000"/>
    <xdr:sp>
      <xdr:nvSpPr>
        <xdr:cNvPr id="10" name="Shape 10"/>
        <xdr:cNvSpPr txBox="1"/>
      </xdr:nvSpPr>
      <xdr:spPr>
        <a:xfrm>
          <a:off x="0" y="3594263"/>
          <a:ext cx="10692000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59</xdr:row>
      <xdr:rowOff>152400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514350</xdr:colOff>
      <xdr:row>1</xdr:row>
      <xdr:rowOff>171450</xdr:rowOff>
    </xdr:from>
    <xdr:ext cx="6781800" cy="1047750"/>
    <xdr:sp>
      <xdr:nvSpPr>
        <xdr:cNvPr id="11" name="Shape 11"/>
        <xdr:cNvSpPr txBox="1"/>
      </xdr:nvSpPr>
      <xdr:spPr>
        <a:xfrm>
          <a:off x="1959863" y="3260888"/>
          <a:ext cx="6772275" cy="1038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409575</xdr:colOff>
      <xdr:row>60</xdr:row>
      <xdr:rowOff>142875</xdr:rowOff>
    </xdr:from>
    <xdr:ext cx="10706100" cy="381000"/>
    <xdr:sp>
      <xdr:nvSpPr>
        <xdr:cNvPr id="12" name="Shape 12"/>
        <xdr:cNvSpPr txBox="1"/>
      </xdr:nvSpPr>
      <xdr:spPr>
        <a:xfrm>
          <a:off x="0" y="3594263"/>
          <a:ext cx="10692000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59</xdr:row>
      <xdr:rowOff>152400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504825</xdr:colOff>
      <xdr:row>1</xdr:row>
      <xdr:rowOff>161925</xdr:rowOff>
    </xdr:from>
    <xdr:ext cx="6781800" cy="1047750"/>
    <xdr:sp>
      <xdr:nvSpPr>
        <xdr:cNvPr id="13" name="Shape 13"/>
        <xdr:cNvSpPr txBox="1"/>
      </xdr:nvSpPr>
      <xdr:spPr>
        <a:xfrm>
          <a:off x="1959863" y="3260888"/>
          <a:ext cx="6772275" cy="1038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409575</xdr:colOff>
      <xdr:row>61</xdr:row>
      <xdr:rowOff>38100</xdr:rowOff>
    </xdr:from>
    <xdr:ext cx="10706100" cy="381000"/>
    <xdr:sp>
      <xdr:nvSpPr>
        <xdr:cNvPr id="14" name="Shape 14"/>
        <xdr:cNvSpPr txBox="1"/>
      </xdr:nvSpPr>
      <xdr:spPr>
        <a:xfrm>
          <a:off x="0" y="3594263"/>
          <a:ext cx="10692000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59</xdr:row>
      <xdr:rowOff>152400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476250</xdr:colOff>
      <xdr:row>1</xdr:row>
      <xdr:rowOff>152400</xdr:rowOff>
    </xdr:from>
    <xdr:ext cx="6781800" cy="1047750"/>
    <xdr:sp>
      <xdr:nvSpPr>
        <xdr:cNvPr id="15" name="Shape 15"/>
        <xdr:cNvSpPr txBox="1"/>
      </xdr:nvSpPr>
      <xdr:spPr>
        <a:xfrm>
          <a:off x="1959863" y="3260888"/>
          <a:ext cx="6772275" cy="1038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428625</xdr:colOff>
      <xdr:row>61</xdr:row>
      <xdr:rowOff>38100</xdr:rowOff>
    </xdr:from>
    <xdr:ext cx="10706100" cy="381000"/>
    <xdr:sp>
      <xdr:nvSpPr>
        <xdr:cNvPr id="16" name="Shape 16"/>
        <xdr:cNvSpPr txBox="1"/>
      </xdr:nvSpPr>
      <xdr:spPr>
        <a:xfrm>
          <a:off x="0" y="3594263"/>
          <a:ext cx="10692000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419100</xdr:colOff>
      <xdr:row>59</xdr:row>
      <xdr:rowOff>152400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504825</xdr:colOff>
      <xdr:row>1</xdr:row>
      <xdr:rowOff>152400</xdr:rowOff>
    </xdr:from>
    <xdr:ext cx="6781800" cy="1047750"/>
    <xdr:sp>
      <xdr:nvSpPr>
        <xdr:cNvPr id="17" name="Shape 17"/>
        <xdr:cNvSpPr txBox="1"/>
      </xdr:nvSpPr>
      <xdr:spPr>
        <a:xfrm>
          <a:off x="1959863" y="3260888"/>
          <a:ext cx="6772275" cy="1038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419100</xdr:colOff>
      <xdr:row>61</xdr:row>
      <xdr:rowOff>19050</xdr:rowOff>
    </xdr:from>
    <xdr:ext cx="10706100" cy="381000"/>
    <xdr:sp>
      <xdr:nvSpPr>
        <xdr:cNvPr id="18" name="Shape 18"/>
        <xdr:cNvSpPr txBox="1"/>
      </xdr:nvSpPr>
      <xdr:spPr>
        <a:xfrm>
          <a:off x="0" y="3594263"/>
          <a:ext cx="10692000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60</xdr:row>
      <xdr:rowOff>19050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485775</xdr:colOff>
      <xdr:row>1</xdr:row>
      <xdr:rowOff>171450</xdr:rowOff>
    </xdr:from>
    <xdr:ext cx="6781800" cy="1047750"/>
    <xdr:sp>
      <xdr:nvSpPr>
        <xdr:cNvPr id="19" name="Shape 19"/>
        <xdr:cNvSpPr txBox="1"/>
      </xdr:nvSpPr>
      <xdr:spPr>
        <a:xfrm>
          <a:off x="1959863" y="3260888"/>
          <a:ext cx="6772275" cy="1038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438150</xdr:colOff>
      <xdr:row>61</xdr:row>
      <xdr:rowOff>28575</xdr:rowOff>
    </xdr:from>
    <xdr:ext cx="10706100" cy="381000"/>
    <xdr:sp>
      <xdr:nvSpPr>
        <xdr:cNvPr id="20" name="Shape 20"/>
        <xdr:cNvSpPr txBox="1"/>
      </xdr:nvSpPr>
      <xdr:spPr>
        <a:xfrm>
          <a:off x="0" y="3594263"/>
          <a:ext cx="10692000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59</xdr:row>
      <xdr:rowOff>142875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476250</xdr:colOff>
      <xdr:row>1</xdr:row>
      <xdr:rowOff>152400</xdr:rowOff>
    </xdr:from>
    <xdr:ext cx="6781800" cy="1047750"/>
    <xdr:sp>
      <xdr:nvSpPr>
        <xdr:cNvPr id="21" name="Shape 21"/>
        <xdr:cNvSpPr txBox="1"/>
      </xdr:nvSpPr>
      <xdr:spPr>
        <a:xfrm>
          <a:off x="1959863" y="3260888"/>
          <a:ext cx="6772275" cy="1038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447675</xdr:colOff>
      <xdr:row>61</xdr:row>
      <xdr:rowOff>9525</xdr:rowOff>
    </xdr:from>
    <xdr:ext cx="10706100" cy="381000"/>
    <xdr:sp>
      <xdr:nvSpPr>
        <xdr:cNvPr id="22" name="Shape 22"/>
        <xdr:cNvSpPr txBox="1"/>
      </xdr:nvSpPr>
      <xdr:spPr>
        <a:xfrm>
          <a:off x="0" y="3594263"/>
          <a:ext cx="10692000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59</xdr:row>
      <xdr:rowOff>123825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457200</xdr:colOff>
      <xdr:row>1</xdr:row>
      <xdr:rowOff>152400</xdr:rowOff>
    </xdr:from>
    <xdr:ext cx="6781800" cy="1047750"/>
    <xdr:sp>
      <xdr:nvSpPr>
        <xdr:cNvPr id="23" name="Shape 23"/>
        <xdr:cNvSpPr txBox="1"/>
      </xdr:nvSpPr>
      <xdr:spPr>
        <a:xfrm>
          <a:off x="1959863" y="3260888"/>
          <a:ext cx="6772275" cy="1038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495300</xdr:colOff>
      <xdr:row>61</xdr:row>
      <xdr:rowOff>9525</xdr:rowOff>
    </xdr:from>
    <xdr:ext cx="10706100" cy="381000"/>
    <xdr:sp>
      <xdr:nvSpPr>
        <xdr:cNvPr id="24" name="Shape 24"/>
        <xdr:cNvSpPr txBox="1"/>
      </xdr:nvSpPr>
      <xdr:spPr>
        <a:xfrm>
          <a:off x="0" y="3594263"/>
          <a:ext cx="10692000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59</xdr:row>
      <xdr:rowOff>123825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26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1"/>
      <c r="L3" s="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1"/>
      <c r="L4" s="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1"/>
      <c r="L5" s="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1"/>
      <c r="L6" s="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1"/>
      <c r="L7" s="8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1"/>
      <c r="L8" s="8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">
        <v>0</v>
      </c>
      <c r="L9" s="1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L10" s="10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">
        <v>1</v>
      </c>
      <c r="C11" s="12"/>
      <c r="D11" s="12"/>
      <c r="E11" s="13"/>
      <c r="F11" s="13"/>
      <c r="G11" s="1"/>
      <c r="H11" s="1"/>
      <c r="I11" s="1"/>
      <c r="J11" s="1"/>
      <c r="K11" s="13"/>
      <c r="L11" s="1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3"/>
      <c r="G12" s="1"/>
      <c r="H12" s="1"/>
      <c r="I12" s="1"/>
      <c r="J12" s="1"/>
      <c r="K12" s="13"/>
      <c r="L12" s="1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">
        <v>2</v>
      </c>
      <c r="B13" s="17"/>
      <c r="C13" s="18"/>
      <c r="D13" s="17"/>
      <c r="E13" s="19" t="s">
        <v>3</v>
      </c>
      <c r="F13" s="19" t="s">
        <v>4</v>
      </c>
      <c r="G13" s="20" t="s">
        <v>5</v>
      </c>
      <c r="H13" s="21" t="s">
        <v>6</v>
      </c>
      <c r="I13" s="22">
        <v>1.0</v>
      </c>
      <c r="J13" s="23" t="s">
        <v>7</v>
      </c>
      <c r="K13" s="24"/>
      <c r="L13" s="2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6" t="s">
        <v>8</v>
      </c>
      <c r="B14" s="27" t="s">
        <v>9</v>
      </c>
      <c r="C14" s="28"/>
      <c r="D14" s="29"/>
      <c r="E14" s="30" t="s">
        <v>10</v>
      </c>
      <c r="F14" s="30" t="s">
        <v>11</v>
      </c>
      <c r="G14" s="31" t="s">
        <v>12</v>
      </c>
      <c r="H14" s="32"/>
      <c r="I14" s="33"/>
      <c r="J14" s="34"/>
      <c r="K14" s="35"/>
      <c r="L14" s="3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7" t="s">
        <v>13</v>
      </c>
      <c r="B15" s="38" t="s">
        <v>14</v>
      </c>
      <c r="C15" s="39" t="s">
        <v>15</v>
      </c>
      <c r="D15" s="39">
        <v>3.0</v>
      </c>
      <c r="E15" s="33"/>
      <c r="F15" s="33"/>
      <c r="G15" s="33"/>
      <c r="H15" s="40"/>
      <c r="I15" s="41"/>
      <c r="J15" s="42"/>
      <c r="K15" s="28"/>
      <c r="L15" s="43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4" t="s">
        <v>16</v>
      </c>
      <c r="B16" s="45" t="s">
        <v>17</v>
      </c>
      <c r="C16" s="28"/>
      <c r="D16" s="29"/>
      <c r="E16" s="46"/>
      <c r="F16" s="46"/>
      <c r="G16" s="47"/>
      <c r="H16" s="48"/>
      <c r="I16" s="49" t="s">
        <v>18</v>
      </c>
      <c r="J16" s="50" t="s">
        <v>19</v>
      </c>
      <c r="K16" s="50" t="s">
        <v>20</v>
      </c>
      <c r="L16" s="51" t="s">
        <v>21</v>
      </c>
      <c r="M16" s="50" t="s">
        <v>20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2">
        <v>1.0</v>
      </c>
      <c r="B17" s="53" t="s">
        <v>22</v>
      </c>
      <c r="C17" s="53" t="s">
        <v>23</v>
      </c>
      <c r="D17" s="54" t="s">
        <v>24</v>
      </c>
      <c r="E17" s="55"/>
      <c r="F17" s="55"/>
      <c r="G17" s="55"/>
      <c r="H17" s="55"/>
      <c r="I17" s="56">
        <f t="shared" ref="I17:I51" si="1">SUM(E17:H17)</f>
        <v>0</v>
      </c>
      <c r="J17" s="57"/>
      <c r="K17" s="58">
        <f t="shared" ref="K17:K51" si="2">IF(M17&lt;6,5,M17)</f>
        <v>5</v>
      </c>
      <c r="L17" s="59"/>
      <c r="M17" s="60">
        <f t="shared" ref="M17:M51" si="3">IF(I17&gt;=6,ROUND(I17,0),TRUNC(I17,0))</f>
        <v>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2">
        <v>2.0</v>
      </c>
      <c r="B18" s="53" t="s">
        <v>25</v>
      </c>
      <c r="C18" s="53" t="s">
        <v>26</v>
      </c>
      <c r="D18" s="54" t="s">
        <v>27</v>
      </c>
      <c r="E18" s="55"/>
      <c r="F18" s="55"/>
      <c r="G18" s="55"/>
      <c r="H18" s="55"/>
      <c r="I18" s="56">
        <f t="shared" si="1"/>
        <v>0</v>
      </c>
      <c r="J18" s="57"/>
      <c r="K18" s="58">
        <f t="shared" si="2"/>
        <v>5</v>
      </c>
      <c r="L18" s="52"/>
      <c r="M18" s="60">
        <f t="shared" si="3"/>
        <v>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2">
        <v>3.0</v>
      </c>
      <c r="B19" s="53" t="s">
        <v>28</v>
      </c>
      <c r="C19" s="53" t="s">
        <v>29</v>
      </c>
      <c r="D19" s="54" t="s">
        <v>30</v>
      </c>
      <c r="E19" s="55"/>
      <c r="F19" s="55"/>
      <c r="G19" s="55"/>
      <c r="H19" s="55"/>
      <c r="I19" s="56">
        <f t="shared" si="1"/>
        <v>0</v>
      </c>
      <c r="J19" s="57"/>
      <c r="K19" s="58">
        <f t="shared" si="2"/>
        <v>5</v>
      </c>
      <c r="L19" s="52"/>
      <c r="M19" s="60">
        <f t="shared" si="3"/>
        <v>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2">
        <v>4.0</v>
      </c>
      <c r="B20" s="53" t="s">
        <v>31</v>
      </c>
      <c r="C20" s="53" t="s">
        <v>32</v>
      </c>
      <c r="D20" s="54" t="s">
        <v>33</v>
      </c>
      <c r="E20" s="55"/>
      <c r="F20" s="55"/>
      <c r="G20" s="55"/>
      <c r="H20" s="55"/>
      <c r="I20" s="56">
        <f t="shared" si="1"/>
        <v>0</v>
      </c>
      <c r="J20" s="57"/>
      <c r="K20" s="58">
        <f t="shared" si="2"/>
        <v>5</v>
      </c>
      <c r="L20" s="52"/>
      <c r="M20" s="60">
        <f t="shared" si="3"/>
        <v>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2">
        <v>5.0</v>
      </c>
      <c r="B21" s="53" t="s">
        <v>34</v>
      </c>
      <c r="C21" s="53" t="s">
        <v>35</v>
      </c>
      <c r="D21" s="54" t="s">
        <v>36</v>
      </c>
      <c r="E21" s="55"/>
      <c r="F21" s="55"/>
      <c r="G21" s="55"/>
      <c r="H21" s="55"/>
      <c r="I21" s="56">
        <f t="shared" si="1"/>
        <v>0</v>
      </c>
      <c r="J21" s="57"/>
      <c r="K21" s="58">
        <f t="shared" si="2"/>
        <v>5</v>
      </c>
      <c r="L21" s="52"/>
      <c r="M21" s="60">
        <f t="shared" si="3"/>
        <v>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2">
        <v>6.0</v>
      </c>
      <c r="B22" s="53" t="s">
        <v>37</v>
      </c>
      <c r="C22" s="53" t="s">
        <v>38</v>
      </c>
      <c r="D22" s="54" t="s">
        <v>39</v>
      </c>
      <c r="E22" s="55"/>
      <c r="F22" s="55"/>
      <c r="G22" s="55"/>
      <c r="H22" s="55"/>
      <c r="I22" s="56">
        <f t="shared" si="1"/>
        <v>0</v>
      </c>
      <c r="J22" s="57"/>
      <c r="K22" s="58">
        <f t="shared" si="2"/>
        <v>5</v>
      </c>
      <c r="L22" s="52"/>
      <c r="M22" s="60">
        <f t="shared" si="3"/>
        <v>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2">
        <v>7.0</v>
      </c>
      <c r="B23" s="53" t="s">
        <v>37</v>
      </c>
      <c r="C23" s="53" t="s">
        <v>40</v>
      </c>
      <c r="D23" s="54" t="s">
        <v>41</v>
      </c>
      <c r="E23" s="55"/>
      <c r="F23" s="55"/>
      <c r="G23" s="55"/>
      <c r="H23" s="55"/>
      <c r="I23" s="56">
        <f t="shared" si="1"/>
        <v>0</v>
      </c>
      <c r="J23" s="57"/>
      <c r="K23" s="58">
        <f t="shared" si="2"/>
        <v>5</v>
      </c>
      <c r="L23" s="52"/>
      <c r="M23" s="60">
        <f t="shared" si="3"/>
        <v>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2">
        <v>8.0</v>
      </c>
      <c r="B24" s="53" t="s">
        <v>42</v>
      </c>
      <c r="C24" s="53" t="s">
        <v>43</v>
      </c>
      <c r="D24" s="54" t="s">
        <v>44</v>
      </c>
      <c r="E24" s="55"/>
      <c r="F24" s="55"/>
      <c r="G24" s="55"/>
      <c r="H24" s="55"/>
      <c r="I24" s="56">
        <f t="shared" si="1"/>
        <v>0</v>
      </c>
      <c r="J24" s="57"/>
      <c r="K24" s="58">
        <f t="shared" si="2"/>
        <v>5</v>
      </c>
      <c r="L24" s="52"/>
      <c r="M24" s="60">
        <f t="shared" si="3"/>
        <v>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2">
        <v>9.0</v>
      </c>
      <c r="B25" s="53" t="s">
        <v>45</v>
      </c>
      <c r="C25" s="53" t="s">
        <v>46</v>
      </c>
      <c r="D25" s="54" t="s">
        <v>47</v>
      </c>
      <c r="E25" s="55"/>
      <c r="F25" s="55"/>
      <c r="G25" s="55"/>
      <c r="H25" s="55"/>
      <c r="I25" s="56">
        <f t="shared" si="1"/>
        <v>0</v>
      </c>
      <c r="J25" s="57"/>
      <c r="K25" s="58">
        <f t="shared" si="2"/>
        <v>5</v>
      </c>
      <c r="L25" s="52"/>
      <c r="M25" s="60">
        <f t="shared" si="3"/>
        <v>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2">
        <v>10.0</v>
      </c>
      <c r="B26" s="53" t="s">
        <v>48</v>
      </c>
      <c r="C26" s="53" t="s">
        <v>49</v>
      </c>
      <c r="D26" s="54" t="s">
        <v>50</v>
      </c>
      <c r="E26" s="55"/>
      <c r="F26" s="55"/>
      <c r="G26" s="55"/>
      <c r="H26" s="55"/>
      <c r="I26" s="56">
        <f t="shared" si="1"/>
        <v>0</v>
      </c>
      <c r="J26" s="57"/>
      <c r="K26" s="58">
        <f t="shared" si="2"/>
        <v>5</v>
      </c>
      <c r="L26" s="52"/>
      <c r="M26" s="60">
        <f t="shared" si="3"/>
        <v>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2">
        <v>11.0</v>
      </c>
      <c r="B27" s="53" t="s">
        <v>48</v>
      </c>
      <c r="C27" s="53" t="s">
        <v>51</v>
      </c>
      <c r="D27" s="53" t="s">
        <v>52</v>
      </c>
      <c r="E27" s="55"/>
      <c r="F27" s="55"/>
      <c r="G27" s="55"/>
      <c r="H27" s="55"/>
      <c r="I27" s="56">
        <f t="shared" si="1"/>
        <v>0</v>
      </c>
      <c r="J27" s="57"/>
      <c r="K27" s="58">
        <f t="shared" si="2"/>
        <v>5</v>
      </c>
      <c r="L27" s="52"/>
      <c r="M27" s="60">
        <f t="shared" si="3"/>
        <v>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2">
        <v>12.0</v>
      </c>
      <c r="B28" s="53" t="s">
        <v>53</v>
      </c>
      <c r="C28" s="53" t="s">
        <v>54</v>
      </c>
      <c r="D28" s="54" t="s">
        <v>55</v>
      </c>
      <c r="E28" s="55"/>
      <c r="F28" s="55"/>
      <c r="G28" s="55"/>
      <c r="H28" s="55"/>
      <c r="I28" s="56">
        <f t="shared" si="1"/>
        <v>0</v>
      </c>
      <c r="J28" s="57"/>
      <c r="K28" s="58">
        <f t="shared" si="2"/>
        <v>5</v>
      </c>
      <c r="L28" s="52"/>
      <c r="M28" s="60">
        <f t="shared" si="3"/>
        <v>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2">
        <v>13.0</v>
      </c>
      <c r="B29" s="53" t="s">
        <v>56</v>
      </c>
      <c r="C29" s="53" t="s">
        <v>57</v>
      </c>
      <c r="D29" s="54" t="s">
        <v>58</v>
      </c>
      <c r="E29" s="55"/>
      <c r="F29" s="55"/>
      <c r="G29" s="55"/>
      <c r="H29" s="55"/>
      <c r="I29" s="56">
        <f t="shared" si="1"/>
        <v>0</v>
      </c>
      <c r="J29" s="57"/>
      <c r="K29" s="58">
        <f t="shared" si="2"/>
        <v>5</v>
      </c>
      <c r="L29" s="52"/>
      <c r="M29" s="60">
        <f t="shared" si="3"/>
        <v>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2">
        <v>14.0</v>
      </c>
      <c r="B30" s="53" t="s">
        <v>57</v>
      </c>
      <c r="C30" s="53" t="s">
        <v>59</v>
      </c>
      <c r="D30" s="54" t="s">
        <v>60</v>
      </c>
      <c r="E30" s="55"/>
      <c r="F30" s="55"/>
      <c r="G30" s="55"/>
      <c r="H30" s="55"/>
      <c r="I30" s="56">
        <f t="shared" si="1"/>
        <v>0</v>
      </c>
      <c r="J30" s="57"/>
      <c r="K30" s="58">
        <f t="shared" si="2"/>
        <v>5</v>
      </c>
      <c r="L30" s="52"/>
      <c r="M30" s="60">
        <f t="shared" si="3"/>
        <v>0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2">
        <v>15.0</v>
      </c>
      <c r="B31" s="53" t="s">
        <v>61</v>
      </c>
      <c r="C31" s="53" t="s">
        <v>62</v>
      </c>
      <c r="D31" s="54" t="s">
        <v>63</v>
      </c>
      <c r="E31" s="55"/>
      <c r="F31" s="55"/>
      <c r="G31" s="55"/>
      <c r="H31" s="55"/>
      <c r="I31" s="56">
        <f t="shared" si="1"/>
        <v>0</v>
      </c>
      <c r="J31" s="57"/>
      <c r="K31" s="58">
        <f t="shared" si="2"/>
        <v>5</v>
      </c>
      <c r="L31" s="52"/>
      <c r="M31" s="60">
        <f t="shared" si="3"/>
        <v>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2">
        <v>16.0</v>
      </c>
      <c r="B32" s="53" t="s">
        <v>64</v>
      </c>
      <c r="C32" s="53" t="s">
        <v>65</v>
      </c>
      <c r="D32" s="54" t="s">
        <v>66</v>
      </c>
      <c r="E32" s="55"/>
      <c r="F32" s="55"/>
      <c r="G32" s="55"/>
      <c r="H32" s="55"/>
      <c r="I32" s="56">
        <f t="shared" si="1"/>
        <v>0</v>
      </c>
      <c r="J32" s="57"/>
      <c r="K32" s="58">
        <f t="shared" si="2"/>
        <v>5</v>
      </c>
      <c r="L32" s="52"/>
      <c r="M32" s="60">
        <f t="shared" si="3"/>
        <v>0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2">
        <v>17.0</v>
      </c>
      <c r="B33" s="53" t="s">
        <v>64</v>
      </c>
      <c r="C33" s="53" t="s">
        <v>67</v>
      </c>
      <c r="D33" s="54" t="s">
        <v>68</v>
      </c>
      <c r="E33" s="55"/>
      <c r="F33" s="55"/>
      <c r="G33" s="55"/>
      <c r="H33" s="55"/>
      <c r="I33" s="56">
        <f t="shared" si="1"/>
        <v>0</v>
      </c>
      <c r="J33" s="57"/>
      <c r="K33" s="58">
        <f t="shared" si="2"/>
        <v>5</v>
      </c>
      <c r="L33" s="52"/>
      <c r="M33" s="60">
        <f t="shared" si="3"/>
        <v>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2">
        <v>18.0</v>
      </c>
      <c r="B34" s="53" t="s">
        <v>69</v>
      </c>
      <c r="C34" s="53" t="s">
        <v>70</v>
      </c>
      <c r="D34" s="54" t="s">
        <v>71</v>
      </c>
      <c r="E34" s="55"/>
      <c r="F34" s="55"/>
      <c r="G34" s="55"/>
      <c r="H34" s="55"/>
      <c r="I34" s="56">
        <f t="shared" si="1"/>
        <v>0</v>
      </c>
      <c r="J34" s="57"/>
      <c r="K34" s="58">
        <f t="shared" si="2"/>
        <v>5</v>
      </c>
      <c r="L34" s="52"/>
      <c r="M34" s="60">
        <f t="shared" si="3"/>
        <v>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2">
        <v>19.0</v>
      </c>
      <c r="B35" s="53" t="s">
        <v>26</v>
      </c>
      <c r="C35" s="53" t="s">
        <v>72</v>
      </c>
      <c r="D35" s="54" t="s">
        <v>73</v>
      </c>
      <c r="E35" s="55"/>
      <c r="F35" s="55"/>
      <c r="G35" s="55"/>
      <c r="H35" s="55"/>
      <c r="I35" s="56">
        <f t="shared" si="1"/>
        <v>0</v>
      </c>
      <c r="J35" s="57"/>
      <c r="K35" s="58">
        <f t="shared" si="2"/>
        <v>5</v>
      </c>
      <c r="L35" s="52"/>
      <c r="M35" s="60">
        <f t="shared" si="3"/>
        <v>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2">
        <v>20.0</v>
      </c>
      <c r="B36" s="53" t="s">
        <v>74</v>
      </c>
      <c r="C36" s="53" t="s">
        <v>75</v>
      </c>
      <c r="D36" s="54" t="s">
        <v>76</v>
      </c>
      <c r="E36" s="55"/>
      <c r="F36" s="55"/>
      <c r="G36" s="55"/>
      <c r="H36" s="55"/>
      <c r="I36" s="56">
        <f t="shared" si="1"/>
        <v>0</v>
      </c>
      <c r="J36" s="57"/>
      <c r="K36" s="58">
        <f t="shared" si="2"/>
        <v>5</v>
      </c>
      <c r="L36" s="52"/>
      <c r="M36" s="60">
        <f t="shared" si="3"/>
        <v>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2">
        <v>21.0</v>
      </c>
      <c r="B37" s="53" t="s">
        <v>77</v>
      </c>
      <c r="C37" s="53" t="s">
        <v>26</v>
      </c>
      <c r="D37" s="54" t="s">
        <v>78</v>
      </c>
      <c r="E37" s="55"/>
      <c r="F37" s="55"/>
      <c r="G37" s="55"/>
      <c r="H37" s="55"/>
      <c r="I37" s="56">
        <f t="shared" si="1"/>
        <v>0</v>
      </c>
      <c r="J37" s="57"/>
      <c r="K37" s="58">
        <f t="shared" si="2"/>
        <v>5</v>
      </c>
      <c r="L37" s="52"/>
      <c r="M37" s="60">
        <f t="shared" si="3"/>
        <v>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2">
        <v>22.0</v>
      </c>
      <c r="B38" s="53" t="s">
        <v>79</v>
      </c>
      <c r="C38" s="53" t="s">
        <v>80</v>
      </c>
      <c r="D38" s="54" t="s">
        <v>81</v>
      </c>
      <c r="E38" s="55"/>
      <c r="F38" s="55"/>
      <c r="G38" s="55"/>
      <c r="H38" s="55"/>
      <c r="I38" s="56">
        <f t="shared" si="1"/>
        <v>0</v>
      </c>
      <c r="J38" s="57"/>
      <c r="K38" s="58">
        <f t="shared" si="2"/>
        <v>5</v>
      </c>
      <c r="L38" s="52"/>
      <c r="M38" s="60">
        <f t="shared" si="3"/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2">
        <v>23.0</v>
      </c>
      <c r="B39" s="53" t="s">
        <v>82</v>
      </c>
      <c r="C39" s="53" t="s">
        <v>83</v>
      </c>
      <c r="D39" s="54" t="s">
        <v>84</v>
      </c>
      <c r="E39" s="55"/>
      <c r="F39" s="55"/>
      <c r="G39" s="55"/>
      <c r="H39" s="55"/>
      <c r="I39" s="56">
        <f t="shared" si="1"/>
        <v>0</v>
      </c>
      <c r="J39" s="57"/>
      <c r="K39" s="58">
        <f t="shared" si="2"/>
        <v>5</v>
      </c>
      <c r="L39" s="52"/>
      <c r="M39" s="60">
        <f t="shared" si="3"/>
        <v>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2">
        <v>24.0</v>
      </c>
      <c r="B40" s="53" t="s">
        <v>85</v>
      </c>
      <c r="C40" s="53" t="s">
        <v>86</v>
      </c>
      <c r="D40" s="54" t="s">
        <v>87</v>
      </c>
      <c r="E40" s="55"/>
      <c r="F40" s="55"/>
      <c r="G40" s="55"/>
      <c r="H40" s="55"/>
      <c r="I40" s="56">
        <f t="shared" si="1"/>
        <v>0</v>
      </c>
      <c r="J40" s="57"/>
      <c r="K40" s="58">
        <f t="shared" si="2"/>
        <v>5</v>
      </c>
      <c r="L40" s="52"/>
      <c r="M40" s="60">
        <f t="shared" si="3"/>
        <v>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2">
        <v>25.0</v>
      </c>
      <c r="B41" s="53" t="s">
        <v>88</v>
      </c>
      <c r="C41" s="53" t="s">
        <v>89</v>
      </c>
      <c r="D41" s="54" t="s">
        <v>90</v>
      </c>
      <c r="E41" s="55"/>
      <c r="F41" s="55"/>
      <c r="G41" s="55"/>
      <c r="H41" s="55"/>
      <c r="I41" s="56">
        <f t="shared" si="1"/>
        <v>0</v>
      </c>
      <c r="J41" s="57"/>
      <c r="K41" s="58">
        <f t="shared" si="2"/>
        <v>5</v>
      </c>
      <c r="L41" s="52"/>
      <c r="M41" s="60">
        <f t="shared" si="3"/>
        <v>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2">
        <v>26.0</v>
      </c>
      <c r="B42" s="53" t="s">
        <v>91</v>
      </c>
      <c r="C42" s="53" t="s">
        <v>92</v>
      </c>
      <c r="D42" s="54" t="s">
        <v>93</v>
      </c>
      <c r="E42" s="55"/>
      <c r="F42" s="55"/>
      <c r="G42" s="55"/>
      <c r="H42" s="55"/>
      <c r="I42" s="56">
        <f t="shared" si="1"/>
        <v>0</v>
      </c>
      <c r="J42" s="57"/>
      <c r="K42" s="58">
        <f t="shared" si="2"/>
        <v>5</v>
      </c>
      <c r="L42" s="52"/>
      <c r="M42" s="60">
        <f t="shared" si="3"/>
        <v>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2">
        <v>27.0</v>
      </c>
      <c r="B43" s="53" t="s">
        <v>94</v>
      </c>
      <c r="C43" s="53" t="s">
        <v>95</v>
      </c>
      <c r="D43" s="54" t="s">
        <v>96</v>
      </c>
      <c r="E43" s="55"/>
      <c r="F43" s="55"/>
      <c r="G43" s="55"/>
      <c r="H43" s="55"/>
      <c r="I43" s="56">
        <f t="shared" si="1"/>
        <v>0</v>
      </c>
      <c r="J43" s="57"/>
      <c r="K43" s="58">
        <f t="shared" si="2"/>
        <v>5</v>
      </c>
      <c r="L43" s="52"/>
      <c r="M43" s="60">
        <f t="shared" si="3"/>
        <v>0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2">
        <v>28.0</v>
      </c>
      <c r="B44" s="53" t="s">
        <v>94</v>
      </c>
      <c r="C44" s="53" t="s">
        <v>97</v>
      </c>
      <c r="D44" s="54" t="s">
        <v>98</v>
      </c>
      <c r="E44" s="55"/>
      <c r="F44" s="55"/>
      <c r="G44" s="55"/>
      <c r="H44" s="55"/>
      <c r="I44" s="56">
        <f t="shared" si="1"/>
        <v>0</v>
      </c>
      <c r="J44" s="57"/>
      <c r="K44" s="58">
        <f t="shared" si="2"/>
        <v>5</v>
      </c>
      <c r="L44" s="52"/>
      <c r="M44" s="60">
        <f t="shared" si="3"/>
        <v>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2">
        <v>29.0</v>
      </c>
      <c r="B45" s="53" t="s">
        <v>94</v>
      </c>
      <c r="C45" s="53" t="s">
        <v>99</v>
      </c>
      <c r="D45" s="54" t="s">
        <v>100</v>
      </c>
      <c r="E45" s="55"/>
      <c r="F45" s="55"/>
      <c r="G45" s="55"/>
      <c r="H45" s="55"/>
      <c r="I45" s="56">
        <f t="shared" si="1"/>
        <v>0</v>
      </c>
      <c r="J45" s="57"/>
      <c r="K45" s="58">
        <f t="shared" si="2"/>
        <v>5</v>
      </c>
      <c r="L45" s="52"/>
      <c r="M45" s="60">
        <f t="shared" si="3"/>
        <v>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2">
        <v>30.0</v>
      </c>
      <c r="B46" s="53" t="s">
        <v>101</v>
      </c>
      <c r="C46" s="53" t="s">
        <v>64</v>
      </c>
      <c r="D46" s="54" t="s">
        <v>102</v>
      </c>
      <c r="E46" s="55"/>
      <c r="F46" s="55"/>
      <c r="G46" s="55"/>
      <c r="H46" s="55"/>
      <c r="I46" s="56">
        <f t="shared" si="1"/>
        <v>0</v>
      </c>
      <c r="J46" s="57"/>
      <c r="K46" s="58">
        <f t="shared" si="2"/>
        <v>5</v>
      </c>
      <c r="L46" s="52"/>
      <c r="M46" s="60">
        <f t="shared" si="3"/>
        <v>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2">
        <v>31.0</v>
      </c>
      <c r="B47" s="53" t="s">
        <v>103</v>
      </c>
      <c r="C47" s="53" t="s">
        <v>104</v>
      </c>
      <c r="D47" s="54" t="s">
        <v>105</v>
      </c>
      <c r="E47" s="55"/>
      <c r="F47" s="55"/>
      <c r="G47" s="55"/>
      <c r="H47" s="55"/>
      <c r="I47" s="56">
        <f t="shared" si="1"/>
        <v>0</v>
      </c>
      <c r="J47" s="57"/>
      <c r="K47" s="58">
        <f t="shared" si="2"/>
        <v>5</v>
      </c>
      <c r="L47" s="52"/>
      <c r="M47" s="60">
        <f t="shared" si="3"/>
        <v>0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2">
        <v>32.0</v>
      </c>
      <c r="B48" s="53" t="s">
        <v>65</v>
      </c>
      <c r="C48" s="53" t="s">
        <v>106</v>
      </c>
      <c r="D48" s="54" t="s">
        <v>107</v>
      </c>
      <c r="E48" s="55"/>
      <c r="F48" s="55"/>
      <c r="G48" s="55"/>
      <c r="H48" s="55"/>
      <c r="I48" s="56">
        <f t="shared" si="1"/>
        <v>0</v>
      </c>
      <c r="J48" s="57"/>
      <c r="K48" s="58">
        <f t="shared" si="2"/>
        <v>5</v>
      </c>
      <c r="L48" s="52"/>
      <c r="M48" s="60">
        <f t="shared" si="3"/>
        <v>0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2">
        <v>33.0</v>
      </c>
      <c r="B49" s="53" t="s">
        <v>108</v>
      </c>
      <c r="C49" s="53" t="s">
        <v>94</v>
      </c>
      <c r="D49" s="54" t="s">
        <v>41</v>
      </c>
      <c r="E49" s="55"/>
      <c r="F49" s="55"/>
      <c r="G49" s="55"/>
      <c r="H49" s="55"/>
      <c r="I49" s="56">
        <f t="shared" si="1"/>
        <v>0</v>
      </c>
      <c r="J49" s="57"/>
      <c r="K49" s="58">
        <f t="shared" si="2"/>
        <v>5</v>
      </c>
      <c r="L49" s="52"/>
      <c r="M49" s="60">
        <f t="shared" si="3"/>
        <v>0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2">
        <v>34.0</v>
      </c>
      <c r="B50" s="53" t="s">
        <v>83</v>
      </c>
      <c r="C50" s="53" t="s">
        <v>59</v>
      </c>
      <c r="D50" s="54" t="s">
        <v>109</v>
      </c>
      <c r="E50" s="55"/>
      <c r="F50" s="55"/>
      <c r="G50" s="55"/>
      <c r="H50" s="55"/>
      <c r="I50" s="56">
        <f t="shared" si="1"/>
        <v>0</v>
      </c>
      <c r="J50" s="57"/>
      <c r="K50" s="58">
        <f t="shared" si="2"/>
        <v>5</v>
      </c>
      <c r="L50" s="52"/>
      <c r="M50" s="60">
        <f t="shared" si="3"/>
        <v>0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2">
        <v>35.0</v>
      </c>
      <c r="B51" s="53" t="s">
        <v>110</v>
      </c>
      <c r="C51" s="53" t="s">
        <v>111</v>
      </c>
      <c r="D51" s="54" t="s">
        <v>112</v>
      </c>
      <c r="E51" s="55"/>
      <c r="F51" s="55"/>
      <c r="G51" s="55"/>
      <c r="H51" s="55"/>
      <c r="I51" s="56">
        <f t="shared" si="1"/>
        <v>0</v>
      </c>
      <c r="J51" s="57"/>
      <c r="K51" s="58">
        <f t="shared" si="2"/>
        <v>5</v>
      </c>
      <c r="L51" s="52"/>
      <c r="M51" s="60">
        <f t="shared" si="3"/>
        <v>0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6"/>
      <c r="B52" s="61"/>
      <c r="C52" s="61"/>
      <c r="D52" s="61"/>
      <c r="E52" s="62"/>
      <c r="F52" s="62"/>
      <c r="G52" s="61"/>
      <c r="H52" s="61"/>
      <c r="I52" s="61"/>
      <c r="J52" s="61"/>
      <c r="K52" s="1"/>
      <c r="L52" s="8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1.75" customHeight="1">
      <c r="B53" s="63" t="s">
        <v>113</v>
      </c>
      <c r="C53" s="64"/>
      <c r="D53" s="65">
        <f>COUNT(A17:A51)</f>
        <v>35</v>
      </c>
      <c r="E53" s="61"/>
      <c r="F53" s="61"/>
      <c r="G53" s="66" t="s">
        <v>114</v>
      </c>
      <c r="H53" s="66"/>
      <c r="I53" s="66" t="s">
        <v>115</v>
      </c>
      <c r="K53" s="67" t="s">
        <v>116</v>
      </c>
      <c r="L53" s="68" t="s">
        <v>117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1.75" customHeight="1">
      <c r="B54" s="69" t="s">
        <v>118</v>
      </c>
      <c r="C54" s="70"/>
      <c r="D54" s="71">
        <f>COUNTIF(K17:K51,"BAJA")</f>
        <v>0</v>
      </c>
      <c r="E54" s="61"/>
      <c r="F54" s="61"/>
      <c r="H54" s="66"/>
      <c r="L54" s="10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1.75" customHeight="1">
      <c r="B55" s="69" t="s">
        <v>119</v>
      </c>
      <c r="C55" s="70"/>
      <c r="D55" s="72">
        <f>D53-D54</f>
        <v>35</v>
      </c>
      <c r="E55" s="61"/>
      <c r="F55" s="61"/>
      <c r="G55" s="73"/>
      <c r="H55" s="74"/>
      <c r="I55" s="73"/>
      <c r="J55" s="73"/>
      <c r="K55" s="75"/>
      <c r="L55" s="76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1.75" customHeight="1">
      <c r="B56" s="69" t="s">
        <v>120</v>
      </c>
      <c r="C56" s="70"/>
      <c r="D56" s="77">
        <f>COUNTIF(K17:K51,"&gt;=6")</f>
        <v>0</v>
      </c>
      <c r="E56" s="61"/>
      <c r="F56" s="61"/>
      <c r="G56" s="73"/>
      <c r="H56" s="74"/>
      <c r="I56" s="73"/>
      <c r="J56" s="73"/>
      <c r="K56" s="75"/>
      <c r="L56" s="76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1.75" customHeight="1">
      <c r="B57" s="69" t="s">
        <v>121</v>
      </c>
      <c r="C57" s="70"/>
      <c r="D57" s="77">
        <f>D55-D56</f>
        <v>35</v>
      </c>
      <c r="E57" s="61"/>
      <c r="F57" s="61"/>
      <c r="G57" s="78"/>
      <c r="H57" s="74"/>
      <c r="I57" s="78"/>
      <c r="J57" s="78"/>
      <c r="K57" s="79"/>
      <c r="L57" s="80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75" customHeight="1">
      <c r="B58" s="69" t="s">
        <v>122</v>
      </c>
      <c r="C58" s="70"/>
      <c r="D58" s="81">
        <f>D56*100/D55</f>
        <v>0</v>
      </c>
      <c r="E58" s="61"/>
      <c r="F58" s="61"/>
      <c r="G58" s="82" t="s">
        <v>123</v>
      </c>
      <c r="H58" s="83"/>
      <c r="I58" s="84" t="s">
        <v>124</v>
      </c>
      <c r="K58" s="85" t="s">
        <v>125</v>
      </c>
      <c r="L58" s="86" t="s">
        <v>126</v>
      </c>
      <c r="M58" s="87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1.75" customHeight="1">
      <c r="B59" s="88" t="s">
        <v>127</v>
      </c>
      <c r="C59" s="89"/>
      <c r="D59" s="90">
        <f>AVERAGE(K17:K51)</f>
        <v>5</v>
      </c>
      <c r="E59" s="61"/>
      <c r="F59" s="61"/>
      <c r="H59" s="83"/>
      <c r="L59" s="10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6"/>
      <c r="B60" s="1"/>
      <c r="C60" s="1"/>
      <c r="D60" s="1"/>
      <c r="E60" s="1"/>
      <c r="F60" s="1"/>
      <c r="G60" s="1"/>
      <c r="H60" s="1"/>
      <c r="I60" s="1"/>
      <c r="J60" s="1"/>
      <c r="K60" s="1"/>
      <c r="L60" s="8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91"/>
      <c r="B61" s="92"/>
      <c r="C61" s="93"/>
      <c r="D61" s="93"/>
      <c r="E61" s="61"/>
      <c r="H61" s="7"/>
      <c r="I61" s="7"/>
      <c r="J61" s="7"/>
      <c r="K61" s="7"/>
      <c r="L61" s="94"/>
      <c r="M61" s="95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96"/>
      <c r="B62" s="61"/>
      <c r="C62" s="61"/>
      <c r="D62" s="61"/>
      <c r="E62" s="7"/>
      <c r="F62" s="7"/>
      <c r="G62" s="1"/>
      <c r="H62" s="1"/>
      <c r="I62" s="1"/>
      <c r="J62" s="1"/>
      <c r="K62" s="1"/>
      <c r="L62" s="8"/>
      <c r="M62" s="97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96"/>
      <c r="B63" s="61"/>
      <c r="C63" s="61"/>
      <c r="D63" s="61"/>
      <c r="E63" s="7"/>
      <c r="F63" s="7"/>
      <c r="G63" s="1"/>
      <c r="H63" s="1"/>
      <c r="I63" s="1"/>
      <c r="J63" s="1"/>
      <c r="K63" s="1"/>
      <c r="L63" s="8"/>
      <c r="M63" s="97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98"/>
      <c r="B64" s="99"/>
      <c r="C64" s="99"/>
      <c r="D64" s="99"/>
      <c r="E64" s="100"/>
      <c r="F64" s="100"/>
      <c r="G64" s="101"/>
      <c r="H64" s="101"/>
      <c r="I64" s="101"/>
      <c r="J64" s="101"/>
      <c r="K64" s="101"/>
      <c r="L64" s="102"/>
      <c r="M64" s="97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03"/>
      <c r="C65" s="103"/>
      <c r="D65" s="103"/>
      <c r="E65" s="103"/>
      <c r="F65" s="103"/>
      <c r="G65" s="1"/>
      <c r="H65" s="1"/>
      <c r="I65" s="1"/>
      <c r="J65" s="1"/>
      <c r="K65" s="104"/>
      <c r="L65" s="104"/>
      <c r="M65" s="104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03"/>
      <c r="C66" s="103"/>
      <c r="D66" s="103"/>
      <c r="E66" s="103"/>
      <c r="F66" s="103"/>
      <c r="G66" s="1"/>
      <c r="H66" s="1"/>
      <c r="I66" s="1"/>
      <c r="J66" s="1"/>
      <c r="K66" s="104"/>
      <c r="L66" s="104"/>
      <c r="M66" s="104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03"/>
      <c r="C67" s="103"/>
      <c r="D67" s="103"/>
      <c r="E67" s="103"/>
      <c r="F67" s="103"/>
      <c r="G67" s="1"/>
      <c r="H67" s="1"/>
      <c r="I67" s="1"/>
      <c r="J67" s="1"/>
      <c r="K67" s="104"/>
      <c r="L67" s="104"/>
      <c r="M67" s="104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03"/>
      <c r="C68" s="103"/>
      <c r="D68" s="103"/>
      <c r="E68" s="103"/>
      <c r="F68" s="103"/>
      <c r="G68" s="1"/>
      <c r="H68" s="1"/>
      <c r="I68" s="1"/>
      <c r="J68" s="1"/>
      <c r="K68" s="104"/>
      <c r="L68" s="104"/>
      <c r="M68" s="104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03"/>
      <c r="C69" s="103"/>
      <c r="D69" s="103"/>
      <c r="E69" s="103"/>
      <c r="F69" s="103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03"/>
      <c r="C70" s="103"/>
      <c r="D70" s="103"/>
      <c r="E70" s="103"/>
      <c r="F70" s="103"/>
      <c r="G70" s="1"/>
      <c r="H70" s="1"/>
      <c r="I70" s="1"/>
      <c r="J70" s="1"/>
      <c r="K70" s="1"/>
      <c r="L70" s="105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03"/>
      <c r="C71" s="103"/>
      <c r="D71" s="103"/>
      <c r="E71" s="103"/>
      <c r="F71" s="103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03"/>
      <c r="C72" s="103"/>
      <c r="D72" s="103"/>
      <c r="E72" s="103"/>
      <c r="F72" s="103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03"/>
      <c r="C73" s="103"/>
      <c r="D73" s="103"/>
      <c r="E73" s="103"/>
      <c r="F73" s="103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03"/>
      <c r="C74" s="103"/>
      <c r="D74" s="103"/>
      <c r="E74" s="103"/>
      <c r="F74" s="103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03"/>
      <c r="C75" s="103"/>
      <c r="D75" s="103"/>
      <c r="E75" s="103"/>
      <c r="F75" s="103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03"/>
      <c r="C76" s="103"/>
      <c r="D76" s="103"/>
      <c r="E76" s="103"/>
      <c r="F76" s="103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</sheetData>
  <mergeCells count="29">
    <mergeCell ref="F14:F15"/>
    <mergeCell ref="G14:G15"/>
    <mergeCell ref="G53:G54"/>
    <mergeCell ref="I53:J54"/>
    <mergeCell ref="K53:K54"/>
    <mergeCell ref="L53:L54"/>
    <mergeCell ref="A9:L9"/>
    <mergeCell ref="E10:L10"/>
    <mergeCell ref="A13:B13"/>
    <mergeCell ref="C13:D13"/>
    <mergeCell ref="H13:H15"/>
    <mergeCell ref="I13:I14"/>
    <mergeCell ref="J13:L14"/>
    <mergeCell ref="J15:L15"/>
    <mergeCell ref="B57:C57"/>
    <mergeCell ref="B58:C58"/>
    <mergeCell ref="G58:G59"/>
    <mergeCell ref="I58:J59"/>
    <mergeCell ref="K58:K59"/>
    <mergeCell ref="L58:L59"/>
    <mergeCell ref="B59:C59"/>
    <mergeCell ref="E61:G61"/>
    <mergeCell ref="B14:D14"/>
    <mergeCell ref="E14:E15"/>
    <mergeCell ref="B16:D16"/>
    <mergeCell ref="B53:C53"/>
    <mergeCell ref="B54:C54"/>
    <mergeCell ref="B55:C55"/>
    <mergeCell ref="B56:C56"/>
  </mergeCells>
  <conditionalFormatting sqref="B28:D2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K17:K51">
    <cfRule type="cellIs" dxfId="1" priority="7" operator="equal">
      <formula>5</formula>
    </cfRule>
  </conditionalFormatting>
  <printOptions/>
  <pageMargins bottom="0.1968503937007874" footer="0.0" header="0.0" left="0.6697936210131332" right="0.1968503937007874" top="0.0"/>
  <pageSetup scale="42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2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1"/>
      <c r="L3" s="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1"/>
      <c r="L4" s="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1"/>
      <c r="L5" s="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1"/>
      <c r="L6" s="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1"/>
      <c r="L7" s="8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1"/>
      <c r="L8" s="8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23.25" customHeight="1">
      <c r="A9" s="9" t="s">
        <v>0</v>
      </c>
      <c r="L9" s="1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9.75" customHeight="1">
      <c r="A10" s="6"/>
      <c r="B10" s="7"/>
      <c r="C10" s="7"/>
      <c r="D10" s="7"/>
      <c r="E10" s="11"/>
      <c r="L10" s="10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9.5" customHeight="1">
      <c r="A11" s="6"/>
      <c r="B11" s="12" t="s">
        <v>1</v>
      </c>
      <c r="C11" s="12"/>
      <c r="D11" s="12"/>
      <c r="E11" s="13"/>
      <c r="F11" s="13"/>
      <c r="G11" s="1"/>
      <c r="H11" s="1"/>
      <c r="I11" s="1"/>
      <c r="J11" s="1"/>
      <c r="K11" s="13"/>
      <c r="L11" s="1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12.75" customHeight="1">
      <c r="A12" s="6"/>
      <c r="B12" s="15"/>
      <c r="C12" s="15"/>
      <c r="D12" s="15"/>
      <c r="E12" s="13"/>
      <c r="F12" s="13"/>
      <c r="G12" s="1"/>
      <c r="H12" s="1"/>
      <c r="I12" s="1"/>
      <c r="J12" s="1"/>
      <c r="K12" s="13"/>
      <c r="L12" s="1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32.25" customHeight="1">
      <c r="A13" s="16" t="s">
        <v>2</v>
      </c>
      <c r="B13" s="17"/>
      <c r="C13" s="18"/>
      <c r="D13" s="17"/>
      <c r="E13" s="19" t="s">
        <v>3</v>
      </c>
      <c r="F13" s="19" t="s">
        <v>4</v>
      </c>
      <c r="G13" s="20" t="s">
        <v>5</v>
      </c>
      <c r="H13" s="21" t="s">
        <v>6</v>
      </c>
      <c r="I13" s="22">
        <v>1.0</v>
      </c>
      <c r="J13" s="23" t="s">
        <v>7</v>
      </c>
      <c r="K13" s="24"/>
      <c r="L13" s="2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35.25" customHeight="1">
      <c r="A14" s="26" t="s">
        <v>8</v>
      </c>
      <c r="B14" s="27" t="s">
        <v>128</v>
      </c>
      <c r="C14" s="28"/>
      <c r="D14" s="29"/>
      <c r="E14" s="30" t="s">
        <v>10</v>
      </c>
      <c r="F14" s="30" t="s">
        <v>11</v>
      </c>
      <c r="G14" s="31" t="s">
        <v>12</v>
      </c>
      <c r="H14" s="32"/>
      <c r="I14" s="33"/>
      <c r="J14" s="34"/>
      <c r="K14" s="35"/>
      <c r="L14" s="3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24.75" customHeight="1">
      <c r="A15" s="37" t="s">
        <v>13</v>
      </c>
      <c r="B15" s="38" t="s">
        <v>14</v>
      </c>
      <c r="C15" s="39" t="s">
        <v>15</v>
      </c>
      <c r="D15" s="39">
        <v>3.0</v>
      </c>
      <c r="E15" s="33"/>
      <c r="F15" s="33"/>
      <c r="G15" s="33"/>
      <c r="H15" s="40"/>
      <c r="I15" s="41"/>
      <c r="J15" s="42"/>
      <c r="K15" s="28"/>
      <c r="L15" s="43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40.5" customHeight="1">
      <c r="A16" s="44" t="s">
        <v>16</v>
      </c>
      <c r="B16" s="45" t="s">
        <v>17</v>
      </c>
      <c r="C16" s="28"/>
      <c r="D16" s="29"/>
      <c r="E16" s="46"/>
      <c r="F16" s="46"/>
      <c r="G16" s="47"/>
      <c r="H16" s="48"/>
      <c r="I16" s="49" t="s">
        <v>18</v>
      </c>
      <c r="J16" s="50" t="s">
        <v>19</v>
      </c>
      <c r="K16" s="50" t="s">
        <v>20</v>
      </c>
      <c r="L16" s="51" t="s">
        <v>21</v>
      </c>
      <c r="M16" s="50" t="s">
        <v>20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24.75" customHeight="1">
      <c r="A17" s="52">
        <v>1.0</v>
      </c>
      <c r="B17" s="53" t="s">
        <v>22</v>
      </c>
      <c r="C17" s="53" t="s">
        <v>23</v>
      </c>
      <c r="D17" s="54" t="s">
        <v>24</v>
      </c>
      <c r="E17" s="55"/>
      <c r="F17" s="55"/>
      <c r="G17" s="55"/>
      <c r="H17" s="55"/>
      <c r="I17" s="56">
        <f t="shared" ref="I17:I51" si="1">SUM(E17:H17)</f>
        <v>0</v>
      </c>
      <c r="J17" s="57"/>
      <c r="K17" s="58">
        <f t="shared" ref="K17:K51" si="2">IF(M17&lt;6,5,M17)</f>
        <v>5</v>
      </c>
      <c r="L17" s="59"/>
      <c r="M17" s="60">
        <f t="shared" ref="M17:M51" si="3">IF(I17&gt;=6,ROUND(I17,0),TRUNC(I17,0))</f>
        <v>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24.75" customHeight="1">
      <c r="A18" s="52">
        <v>2.0</v>
      </c>
      <c r="B18" s="53" t="s">
        <v>25</v>
      </c>
      <c r="C18" s="53" t="s">
        <v>26</v>
      </c>
      <c r="D18" s="54" t="s">
        <v>27</v>
      </c>
      <c r="E18" s="55"/>
      <c r="F18" s="55"/>
      <c r="G18" s="55"/>
      <c r="H18" s="55"/>
      <c r="I18" s="56">
        <f t="shared" si="1"/>
        <v>0</v>
      </c>
      <c r="J18" s="57"/>
      <c r="K18" s="58">
        <f t="shared" si="2"/>
        <v>5</v>
      </c>
      <c r="L18" s="52"/>
      <c r="M18" s="60">
        <f t="shared" si="3"/>
        <v>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24.75" customHeight="1">
      <c r="A19" s="52">
        <v>3.0</v>
      </c>
      <c r="B19" s="53" t="s">
        <v>28</v>
      </c>
      <c r="C19" s="53" t="s">
        <v>29</v>
      </c>
      <c r="D19" s="54" t="s">
        <v>30</v>
      </c>
      <c r="E19" s="55"/>
      <c r="F19" s="55"/>
      <c r="G19" s="55"/>
      <c r="H19" s="55"/>
      <c r="I19" s="56">
        <f t="shared" si="1"/>
        <v>0</v>
      </c>
      <c r="J19" s="57"/>
      <c r="K19" s="58">
        <f t="shared" si="2"/>
        <v>5</v>
      </c>
      <c r="L19" s="52"/>
      <c r="M19" s="60">
        <f t="shared" si="3"/>
        <v>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24.75" customHeight="1">
      <c r="A20" s="52">
        <v>4.0</v>
      </c>
      <c r="B20" s="53" t="s">
        <v>31</v>
      </c>
      <c r="C20" s="53" t="s">
        <v>32</v>
      </c>
      <c r="D20" s="54" t="s">
        <v>33</v>
      </c>
      <c r="E20" s="55"/>
      <c r="F20" s="55"/>
      <c r="G20" s="55"/>
      <c r="H20" s="55"/>
      <c r="I20" s="56">
        <f t="shared" si="1"/>
        <v>0</v>
      </c>
      <c r="J20" s="57"/>
      <c r="K20" s="58">
        <f t="shared" si="2"/>
        <v>5</v>
      </c>
      <c r="L20" s="52"/>
      <c r="M20" s="60">
        <f t="shared" si="3"/>
        <v>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24.75" customHeight="1">
      <c r="A21" s="52">
        <v>5.0</v>
      </c>
      <c r="B21" s="53" t="s">
        <v>34</v>
      </c>
      <c r="C21" s="53" t="s">
        <v>35</v>
      </c>
      <c r="D21" s="54" t="s">
        <v>36</v>
      </c>
      <c r="E21" s="55"/>
      <c r="F21" s="55"/>
      <c r="G21" s="55"/>
      <c r="H21" s="55"/>
      <c r="I21" s="56">
        <f t="shared" si="1"/>
        <v>0</v>
      </c>
      <c r="J21" s="57"/>
      <c r="K21" s="58">
        <f t="shared" si="2"/>
        <v>5</v>
      </c>
      <c r="L21" s="52"/>
      <c r="M21" s="60">
        <f t="shared" si="3"/>
        <v>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24.75" customHeight="1">
      <c r="A22" s="52">
        <v>6.0</v>
      </c>
      <c r="B22" s="53" t="s">
        <v>37</v>
      </c>
      <c r="C22" s="53" t="s">
        <v>38</v>
      </c>
      <c r="D22" s="54" t="s">
        <v>39</v>
      </c>
      <c r="E22" s="55"/>
      <c r="F22" s="55"/>
      <c r="G22" s="55"/>
      <c r="H22" s="55"/>
      <c r="I22" s="56">
        <f t="shared" si="1"/>
        <v>0</v>
      </c>
      <c r="J22" s="57"/>
      <c r="K22" s="58">
        <f t="shared" si="2"/>
        <v>5</v>
      </c>
      <c r="L22" s="52"/>
      <c r="M22" s="60">
        <f t="shared" si="3"/>
        <v>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24.75" customHeight="1">
      <c r="A23" s="52">
        <v>7.0</v>
      </c>
      <c r="B23" s="53" t="s">
        <v>37</v>
      </c>
      <c r="C23" s="53" t="s">
        <v>40</v>
      </c>
      <c r="D23" s="54" t="s">
        <v>41</v>
      </c>
      <c r="E23" s="55"/>
      <c r="F23" s="55"/>
      <c r="G23" s="55"/>
      <c r="H23" s="55"/>
      <c r="I23" s="56">
        <f t="shared" si="1"/>
        <v>0</v>
      </c>
      <c r="J23" s="57"/>
      <c r="K23" s="58">
        <f t="shared" si="2"/>
        <v>5</v>
      </c>
      <c r="L23" s="52"/>
      <c r="M23" s="60">
        <f t="shared" si="3"/>
        <v>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24.75" customHeight="1">
      <c r="A24" s="52">
        <v>8.0</v>
      </c>
      <c r="B24" s="53" t="s">
        <v>42</v>
      </c>
      <c r="C24" s="53" t="s">
        <v>43</v>
      </c>
      <c r="D24" s="54" t="s">
        <v>44</v>
      </c>
      <c r="E24" s="55"/>
      <c r="F24" s="55"/>
      <c r="G24" s="55"/>
      <c r="H24" s="55"/>
      <c r="I24" s="56">
        <f t="shared" si="1"/>
        <v>0</v>
      </c>
      <c r="J24" s="57"/>
      <c r="K24" s="58">
        <f t="shared" si="2"/>
        <v>5</v>
      </c>
      <c r="L24" s="52"/>
      <c r="M24" s="60">
        <f t="shared" si="3"/>
        <v>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24.75" customHeight="1">
      <c r="A25" s="52">
        <v>9.0</v>
      </c>
      <c r="B25" s="53" t="s">
        <v>45</v>
      </c>
      <c r="C25" s="53" t="s">
        <v>46</v>
      </c>
      <c r="D25" s="54" t="s">
        <v>47</v>
      </c>
      <c r="E25" s="55"/>
      <c r="F25" s="55"/>
      <c r="G25" s="55"/>
      <c r="H25" s="55"/>
      <c r="I25" s="56">
        <f t="shared" si="1"/>
        <v>0</v>
      </c>
      <c r="J25" s="57"/>
      <c r="K25" s="58">
        <f t="shared" si="2"/>
        <v>5</v>
      </c>
      <c r="L25" s="52"/>
      <c r="M25" s="60">
        <f t="shared" si="3"/>
        <v>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24.75" customHeight="1">
      <c r="A26" s="52">
        <v>10.0</v>
      </c>
      <c r="B26" s="53" t="s">
        <v>48</v>
      </c>
      <c r="C26" s="53" t="s">
        <v>49</v>
      </c>
      <c r="D26" s="54" t="s">
        <v>50</v>
      </c>
      <c r="E26" s="55"/>
      <c r="F26" s="55"/>
      <c r="G26" s="55"/>
      <c r="H26" s="55"/>
      <c r="I26" s="56">
        <f t="shared" si="1"/>
        <v>0</v>
      </c>
      <c r="J26" s="57"/>
      <c r="K26" s="58">
        <f t="shared" si="2"/>
        <v>5</v>
      </c>
      <c r="L26" s="52"/>
      <c r="M26" s="60">
        <f t="shared" si="3"/>
        <v>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24.75" customHeight="1">
      <c r="A27" s="52">
        <v>11.0</v>
      </c>
      <c r="B27" s="53" t="s">
        <v>48</v>
      </c>
      <c r="C27" s="53" t="s">
        <v>51</v>
      </c>
      <c r="D27" s="53" t="s">
        <v>52</v>
      </c>
      <c r="E27" s="55"/>
      <c r="F27" s="55"/>
      <c r="G27" s="55"/>
      <c r="H27" s="55"/>
      <c r="I27" s="56">
        <f t="shared" si="1"/>
        <v>0</v>
      </c>
      <c r="J27" s="57"/>
      <c r="K27" s="58">
        <f t="shared" si="2"/>
        <v>5</v>
      </c>
      <c r="L27" s="52"/>
      <c r="M27" s="60">
        <f t="shared" si="3"/>
        <v>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24.75" customHeight="1">
      <c r="A28" s="52">
        <v>12.0</v>
      </c>
      <c r="B28" s="53" t="s">
        <v>53</v>
      </c>
      <c r="C28" s="53" t="s">
        <v>54</v>
      </c>
      <c r="D28" s="54" t="s">
        <v>55</v>
      </c>
      <c r="E28" s="55"/>
      <c r="F28" s="55"/>
      <c r="G28" s="55"/>
      <c r="H28" s="55"/>
      <c r="I28" s="56">
        <f t="shared" si="1"/>
        <v>0</v>
      </c>
      <c r="J28" s="57"/>
      <c r="K28" s="58">
        <f t="shared" si="2"/>
        <v>5</v>
      </c>
      <c r="L28" s="52"/>
      <c r="M28" s="60">
        <f t="shared" si="3"/>
        <v>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24.75" customHeight="1">
      <c r="A29" s="52">
        <v>13.0</v>
      </c>
      <c r="B29" s="53" t="s">
        <v>56</v>
      </c>
      <c r="C29" s="53" t="s">
        <v>57</v>
      </c>
      <c r="D29" s="54" t="s">
        <v>58</v>
      </c>
      <c r="E29" s="55"/>
      <c r="F29" s="55"/>
      <c r="G29" s="55"/>
      <c r="H29" s="55"/>
      <c r="I29" s="56">
        <f t="shared" si="1"/>
        <v>0</v>
      </c>
      <c r="J29" s="57"/>
      <c r="K29" s="58">
        <f t="shared" si="2"/>
        <v>5</v>
      </c>
      <c r="L29" s="52"/>
      <c r="M29" s="60">
        <f t="shared" si="3"/>
        <v>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24.75" customHeight="1">
      <c r="A30" s="52">
        <v>14.0</v>
      </c>
      <c r="B30" s="53" t="s">
        <v>57</v>
      </c>
      <c r="C30" s="53" t="s">
        <v>59</v>
      </c>
      <c r="D30" s="54" t="s">
        <v>60</v>
      </c>
      <c r="E30" s="55"/>
      <c r="F30" s="55"/>
      <c r="G30" s="55"/>
      <c r="H30" s="55"/>
      <c r="I30" s="56">
        <f t="shared" si="1"/>
        <v>0</v>
      </c>
      <c r="J30" s="57"/>
      <c r="K30" s="58">
        <f t="shared" si="2"/>
        <v>5</v>
      </c>
      <c r="L30" s="52"/>
      <c r="M30" s="60">
        <f t="shared" si="3"/>
        <v>0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24.75" customHeight="1">
      <c r="A31" s="52">
        <v>15.0</v>
      </c>
      <c r="B31" s="53" t="s">
        <v>61</v>
      </c>
      <c r="C31" s="53" t="s">
        <v>62</v>
      </c>
      <c r="D31" s="54" t="s">
        <v>63</v>
      </c>
      <c r="E31" s="55"/>
      <c r="F31" s="55"/>
      <c r="G31" s="55"/>
      <c r="H31" s="55"/>
      <c r="I31" s="56">
        <f t="shared" si="1"/>
        <v>0</v>
      </c>
      <c r="J31" s="57"/>
      <c r="K31" s="58">
        <f t="shared" si="2"/>
        <v>5</v>
      </c>
      <c r="L31" s="52"/>
      <c r="M31" s="60">
        <f t="shared" si="3"/>
        <v>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24.75" customHeight="1">
      <c r="A32" s="52">
        <v>16.0</v>
      </c>
      <c r="B32" s="53" t="s">
        <v>64</v>
      </c>
      <c r="C32" s="53" t="s">
        <v>65</v>
      </c>
      <c r="D32" s="54" t="s">
        <v>66</v>
      </c>
      <c r="E32" s="55"/>
      <c r="F32" s="55"/>
      <c r="G32" s="55"/>
      <c r="H32" s="55"/>
      <c r="I32" s="56">
        <f t="shared" si="1"/>
        <v>0</v>
      </c>
      <c r="J32" s="57"/>
      <c r="K32" s="58">
        <f t="shared" si="2"/>
        <v>5</v>
      </c>
      <c r="L32" s="52"/>
      <c r="M32" s="60">
        <f t="shared" si="3"/>
        <v>0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24.75" customHeight="1">
      <c r="A33" s="52">
        <v>17.0</v>
      </c>
      <c r="B33" s="53" t="s">
        <v>64</v>
      </c>
      <c r="C33" s="53" t="s">
        <v>67</v>
      </c>
      <c r="D33" s="54" t="s">
        <v>68</v>
      </c>
      <c r="E33" s="55"/>
      <c r="F33" s="55"/>
      <c r="G33" s="55"/>
      <c r="H33" s="55"/>
      <c r="I33" s="56">
        <f t="shared" si="1"/>
        <v>0</v>
      </c>
      <c r="J33" s="57"/>
      <c r="K33" s="58">
        <f t="shared" si="2"/>
        <v>5</v>
      </c>
      <c r="L33" s="52"/>
      <c r="M33" s="60">
        <f t="shared" si="3"/>
        <v>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24.75" customHeight="1">
      <c r="A34" s="52">
        <v>18.0</v>
      </c>
      <c r="B34" s="53" t="s">
        <v>69</v>
      </c>
      <c r="C34" s="53" t="s">
        <v>70</v>
      </c>
      <c r="D34" s="54" t="s">
        <v>71</v>
      </c>
      <c r="E34" s="55"/>
      <c r="F34" s="55"/>
      <c r="G34" s="55"/>
      <c r="H34" s="55"/>
      <c r="I34" s="56">
        <f t="shared" si="1"/>
        <v>0</v>
      </c>
      <c r="J34" s="57"/>
      <c r="K34" s="58">
        <f t="shared" si="2"/>
        <v>5</v>
      </c>
      <c r="L34" s="52"/>
      <c r="M34" s="60">
        <f t="shared" si="3"/>
        <v>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24.75" customHeight="1">
      <c r="A35" s="52">
        <v>19.0</v>
      </c>
      <c r="B35" s="53" t="s">
        <v>26</v>
      </c>
      <c r="C35" s="53" t="s">
        <v>72</v>
      </c>
      <c r="D35" s="54" t="s">
        <v>73</v>
      </c>
      <c r="E35" s="55"/>
      <c r="F35" s="55"/>
      <c r="G35" s="55"/>
      <c r="H35" s="55"/>
      <c r="I35" s="56">
        <f t="shared" si="1"/>
        <v>0</v>
      </c>
      <c r="J35" s="57"/>
      <c r="K35" s="58">
        <f t="shared" si="2"/>
        <v>5</v>
      </c>
      <c r="L35" s="52"/>
      <c r="M35" s="60">
        <f t="shared" si="3"/>
        <v>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24.75" customHeight="1">
      <c r="A36" s="52">
        <v>20.0</v>
      </c>
      <c r="B36" s="53" t="s">
        <v>74</v>
      </c>
      <c r="C36" s="53" t="s">
        <v>75</v>
      </c>
      <c r="D36" s="54" t="s">
        <v>76</v>
      </c>
      <c r="E36" s="55"/>
      <c r="F36" s="55"/>
      <c r="G36" s="55"/>
      <c r="H36" s="55"/>
      <c r="I36" s="56">
        <f t="shared" si="1"/>
        <v>0</v>
      </c>
      <c r="J36" s="57"/>
      <c r="K36" s="58">
        <f t="shared" si="2"/>
        <v>5</v>
      </c>
      <c r="L36" s="52"/>
      <c r="M36" s="60">
        <f t="shared" si="3"/>
        <v>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24.75" customHeight="1">
      <c r="A37" s="52">
        <v>21.0</v>
      </c>
      <c r="B37" s="53" t="s">
        <v>77</v>
      </c>
      <c r="C37" s="53" t="s">
        <v>26</v>
      </c>
      <c r="D37" s="54" t="s">
        <v>78</v>
      </c>
      <c r="E37" s="55"/>
      <c r="F37" s="55"/>
      <c r="G37" s="55"/>
      <c r="H37" s="55"/>
      <c r="I37" s="56">
        <f t="shared" si="1"/>
        <v>0</v>
      </c>
      <c r="J37" s="57"/>
      <c r="K37" s="58">
        <f t="shared" si="2"/>
        <v>5</v>
      </c>
      <c r="L37" s="52"/>
      <c r="M37" s="60">
        <f t="shared" si="3"/>
        <v>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24.75" customHeight="1">
      <c r="A38" s="52">
        <v>22.0</v>
      </c>
      <c r="B38" s="53" t="s">
        <v>79</v>
      </c>
      <c r="C38" s="53" t="s">
        <v>80</v>
      </c>
      <c r="D38" s="54" t="s">
        <v>81</v>
      </c>
      <c r="E38" s="55"/>
      <c r="F38" s="55"/>
      <c r="G38" s="55"/>
      <c r="H38" s="55"/>
      <c r="I38" s="56">
        <f t="shared" si="1"/>
        <v>0</v>
      </c>
      <c r="J38" s="57"/>
      <c r="K38" s="58">
        <f t="shared" si="2"/>
        <v>5</v>
      </c>
      <c r="L38" s="52"/>
      <c r="M38" s="60">
        <f t="shared" si="3"/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24.75" customHeight="1">
      <c r="A39" s="52">
        <v>23.0</v>
      </c>
      <c r="B39" s="53" t="s">
        <v>82</v>
      </c>
      <c r="C39" s="53" t="s">
        <v>83</v>
      </c>
      <c r="D39" s="54" t="s">
        <v>84</v>
      </c>
      <c r="E39" s="55"/>
      <c r="F39" s="55"/>
      <c r="G39" s="55"/>
      <c r="H39" s="55"/>
      <c r="I39" s="56">
        <f t="shared" si="1"/>
        <v>0</v>
      </c>
      <c r="J39" s="57"/>
      <c r="K39" s="58">
        <f t="shared" si="2"/>
        <v>5</v>
      </c>
      <c r="L39" s="52"/>
      <c r="M39" s="60">
        <f t="shared" si="3"/>
        <v>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24.75" customHeight="1">
      <c r="A40" s="52">
        <v>24.0</v>
      </c>
      <c r="B40" s="53" t="s">
        <v>85</v>
      </c>
      <c r="C40" s="53" t="s">
        <v>86</v>
      </c>
      <c r="D40" s="54" t="s">
        <v>87</v>
      </c>
      <c r="E40" s="55"/>
      <c r="F40" s="55"/>
      <c r="G40" s="55"/>
      <c r="H40" s="55"/>
      <c r="I40" s="56">
        <f t="shared" si="1"/>
        <v>0</v>
      </c>
      <c r="J40" s="57"/>
      <c r="K40" s="58">
        <f t="shared" si="2"/>
        <v>5</v>
      </c>
      <c r="L40" s="52"/>
      <c r="M40" s="60">
        <f t="shared" si="3"/>
        <v>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24.75" customHeight="1">
      <c r="A41" s="52">
        <v>25.0</v>
      </c>
      <c r="B41" s="53" t="s">
        <v>88</v>
      </c>
      <c r="C41" s="53" t="s">
        <v>89</v>
      </c>
      <c r="D41" s="54" t="s">
        <v>90</v>
      </c>
      <c r="E41" s="55"/>
      <c r="F41" s="55"/>
      <c r="G41" s="55"/>
      <c r="H41" s="55"/>
      <c r="I41" s="56">
        <f t="shared" si="1"/>
        <v>0</v>
      </c>
      <c r="J41" s="57"/>
      <c r="K41" s="58">
        <f t="shared" si="2"/>
        <v>5</v>
      </c>
      <c r="L41" s="52"/>
      <c r="M41" s="60">
        <f t="shared" si="3"/>
        <v>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24.75" customHeight="1">
      <c r="A42" s="52">
        <v>26.0</v>
      </c>
      <c r="B42" s="53" t="s">
        <v>91</v>
      </c>
      <c r="C42" s="53" t="s">
        <v>92</v>
      </c>
      <c r="D42" s="54" t="s">
        <v>93</v>
      </c>
      <c r="E42" s="55"/>
      <c r="F42" s="55"/>
      <c r="G42" s="55"/>
      <c r="H42" s="55"/>
      <c r="I42" s="56">
        <f t="shared" si="1"/>
        <v>0</v>
      </c>
      <c r="J42" s="57"/>
      <c r="K42" s="58">
        <f t="shared" si="2"/>
        <v>5</v>
      </c>
      <c r="L42" s="52"/>
      <c r="M42" s="60">
        <f t="shared" si="3"/>
        <v>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24.75" customHeight="1">
      <c r="A43" s="52">
        <v>27.0</v>
      </c>
      <c r="B43" s="53" t="s">
        <v>94</v>
      </c>
      <c r="C43" s="53" t="s">
        <v>95</v>
      </c>
      <c r="D43" s="54" t="s">
        <v>96</v>
      </c>
      <c r="E43" s="55"/>
      <c r="F43" s="55"/>
      <c r="G43" s="55"/>
      <c r="H43" s="55"/>
      <c r="I43" s="56">
        <f t="shared" si="1"/>
        <v>0</v>
      </c>
      <c r="J43" s="57"/>
      <c r="K43" s="58">
        <f t="shared" si="2"/>
        <v>5</v>
      </c>
      <c r="L43" s="52"/>
      <c r="M43" s="60">
        <f t="shared" si="3"/>
        <v>0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24.75" customHeight="1">
      <c r="A44" s="52">
        <v>28.0</v>
      </c>
      <c r="B44" s="53" t="s">
        <v>94</v>
      </c>
      <c r="C44" s="53" t="s">
        <v>97</v>
      </c>
      <c r="D44" s="54" t="s">
        <v>98</v>
      </c>
      <c r="E44" s="55"/>
      <c r="F44" s="55"/>
      <c r="G44" s="55"/>
      <c r="H44" s="55"/>
      <c r="I44" s="56">
        <f t="shared" si="1"/>
        <v>0</v>
      </c>
      <c r="J44" s="57"/>
      <c r="K44" s="58">
        <f t="shared" si="2"/>
        <v>5</v>
      </c>
      <c r="L44" s="52"/>
      <c r="M44" s="60">
        <f t="shared" si="3"/>
        <v>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24.75" customHeight="1">
      <c r="A45" s="52">
        <v>29.0</v>
      </c>
      <c r="B45" s="53" t="s">
        <v>94</v>
      </c>
      <c r="C45" s="53" t="s">
        <v>99</v>
      </c>
      <c r="D45" s="54" t="s">
        <v>100</v>
      </c>
      <c r="E45" s="55"/>
      <c r="F45" s="55"/>
      <c r="G45" s="55"/>
      <c r="H45" s="55"/>
      <c r="I45" s="56">
        <f t="shared" si="1"/>
        <v>0</v>
      </c>
      <c r="J45" s="57"/>
      <c r="K45" s="58">
        <f t="shared" si="2"/>
        <v>5</v>
      </c>
      <c r="L45" s="52"/>
      <c r="M45" s="60">
        <f t="shared" si="3"/>
        <v>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24.75" customHeight="1">
      <c r="A46" s="52">
        <v>30.0</v>
      </c>
      <c r="B46" s="53" t="s">
        <v>101</v>
      </c>
      <c r="C46" s="53" t="s">
        <v>64</v>
      </c>
      <c r="D46" s="54" t="s">
        <v>102</v>
      </c>
      <c r="E46" s="55"/>
      <c r="F46" s="55"/>
      <c r="G46" s="55"/>
      <c r="H46" s="55"/>
      <c r="I46" s="56">
        <f t="shared" si="1"/>
        <v>0</v>
      </c>
      <c r="J46" s="57"/>
      <c r="K46" s="58">
        <f t="shared" si="2"/>
        <v>5</v>
      </c>
      <c r="L46" s="52"/>
      <c r="M46" s="60">
        <f t="shared" si="3"/>
        <v>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24.75" customHeight="1">
      <c r="A47" s="52">
        <v>31.0</v>
      </c>
      <c r="B47" s="53" t="s">
        <v>103</v>
      </c>
      <c r="C47" s="53" t="s">
        <v>104</v>
      </c>
      <c r="D47" s="54" t="s">
        <v>105</v>
      </c>
      <c r="E47" s="55"/>
      <c r="F47" s="55"/>
      <c r="G47" s="55"/>
      <c r="H47" s="55"/>
      <c r="I47" s="56">
        <f t="shared" si="1"/>
        <v>0</v>
      </c>
      <c r="J47" s="57"/>
      <c r="K47" s="58">
        <f t="shared" si="2"/>
        <v>5</v>
      </c>
      <c r="L47" s="52"/>
      <c r="M47" s="60">
        <f t="shared" si="3"/>
        <v>0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24.75" customHeight="1">
      <c r="A48" s="52">
        <v>32.0</v>
      </c>
      <c r="B48" s="53" t="s">
        <v>65</v>
      </c>
      <c r="C48" s="53" t="s">
        <v>106</v>
      </c>
      <c r="D48" s="54" t="s">
        <v>107</v>
      </c>
      <c r="E48" s="55"/>
      <c r="F48" s="55"/>
      <c r="G48" s="55"/>
      <c r="H48" s="55"/>
      <c r="I48" s="56">
        <f t="shared" si="1"/>
        <v>0</v>
      </c>
      <c r="J48" s="57"/>
      <c r="K48" s="58">
        <f t="shared" si="2"/>
        <v>5</v>
      </c>
      <c r="L48" s="52"/>
      <c r="M48" s="60">
        <f t="shared" si="3"/>
        <v>0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24.75" customHeight="1">
      <c r="A49" s="52">
        <v>33.0</v>
      </c>
      <c r="B49" s="53" t="s">
        <v>108</v>
      </c>
      <c r="C49" s="53" t="s">
        <v>94</v>
      </c>
      <c r="D49" s="54" t="s">
        <v>41</v>
      </c>
      <c r="E49" s="55"/>
      <c r="F49" s="55"/>
      <c r="G49" s="55"/>
      <c r="H49" s="55"/>
      <c r="I49" s="56">
        <f t="shared" si="1"/>
        <v>0</v>
      </c>
      <c r="J49" s="57"/>
      <c r="K49" s="58">
        <f t="shared" si="2"/>
        <v>5</v>
      </c>
      <c r="L49" s="52"/>
      <c r="M49" s="60">
        <f t="shared" si="3"/>
        <v>0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24.75" customHeight="1">
      <c r="A50" s="52">
        <v>34.0</v>
      </c>
      <c r="B50" s="53" t="s">
        <v>83</v>
      </c>
      <c r="C50" s="53" t="s">
        <v>59</v>
      </c>
      <c r="D50" s="54" t="s">
        <v>109</v>
      </c>
      <c r="E50" s="55"/>
      <c r="F50" s="55"/>
      <c r="G50" s="55"/>
      <c r="H50" s="55"/>
      <c r="I50" s="56">
        <f t="shared" si="1"/>
        <v>0</v>
      </c>
      <c r="J50" s="57"/>
      <c r="K50" s="58">
        <f t="shared" si="2"/>
        <v>5</v>
      </c>
      <c r="L50" s="52"/>
      <c r="M50" s="60">
        <f t="shared" si="3"/>
        <v>0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24.75" customHeight="1">
      <c r="A51" s="52">
        <v>35.0</v>
      </c>
      <c r="B51" s="53" t="s">
        <v>110</v>
      </c>
      <c r="C51" s="53" t="s">
        <v>111</v>
      </c>
      <c r="D51" s="54" t="s">
        <v>112</v>
      </c>
      <c r="E51" s="55"/>
      <c r="F51" s="55"/>
      <c r="G51" s="55"/>
      <c r="H51" s="55"/>
      <c r="I51" s="56">
        <f t="shared" si="1"/>
        <v>0</v>
      </c>
      <c r="J51" s="57"/>
      <c r="K51" s="58">
        <f t="shared" si="2"/>
        <v>5</v>
      </c>
      <c r="L51" s="52"/>
      <c r="M51" s="60">
        <f t="shared" si="3"/>
        <v>0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3.5" customHeight="1">
      <c r="A52" s="6"/>
      <c r="B52" s="61"/>
      <c r="C52" s="61"/>
      <c r="D52" s="61"/>
      <c r="E52" s="62"/>
      <c r="F52" s="62"/>
      <c r="G52" s="61"/>
      <c r="H52" s="61"/>
      <c r="I52" s="61"/>
      <c r="J52" s="61"/>
      <c r="K52" s="1"/>
      <c r="L52" s="8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21.75" customHeight="1">
      <c r="B53" s="63" t="s">
        <v>113</v>
      </c>
      <c r="C53" s="64"/>
      <c r="D53" s="65">
        <f>COUNT(A17:A51)</f>
        <v>35</v>
      </c>
      <c r="E53" s="61"/>
      <c r="F53" s="61"/>
      <c r="G53" s="66" t="s">
        <v>114</v>
      </c>
      <c r="H53" s="66"/>
      <c r="I53" s="66" t="s">
        <v>115</v>
      </c>
      <c r="K53" s="67" t="s">
        <v>116</v>
      </c>
      <c r="L53" s="68" t="s">
        <v>117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21.75" customHeight="1">
      <c r="B54" s="69" t="s">
        <v>118</v>
      </c>
      <c r="C54" s="70"/>
      <c r="D54" s="71">
        <f>COUNTIF(K17:K51,"BAJA")</f>
        <v>0</v>
      </c>
      <c r="E54" s="61"/>
      <c r="F54" s="61"/>
      <c r="H54" s="66"/>
      <c r="L54" s="10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21.75" customHeight="1">
      <c r="B55" s="69" t="s">
        <v>119</v>
      </c>
      <c r="C55" s="70"/>
      <c r="D55" s="72">
        <f>D53-D54</f>
        <v>35</v>
      </c>
      <c r="E55" s="61"/>
      <c r="F55" s="61"/>
      <c r="G55" s="73"/>
      <c r="H55" s="74"/>
      <c r="I55" s="73"/>
      <c r="J55" s="73"/>
      <c r="K55" s="75"/>
      <c r="L55" s="76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21.75" customHeight="1">
      <c r="B56" s="69" t="s">
        <v>120</v>
      </c>
      <c r="C56" s="70"/>
      <c r="D56" s="77">
        <f>COUNTIF(K17:K51,"&gt;=6")</f>
        <v>0</v>
      </c>
      <c r="E56" s="61"/>
      <c r="F56" s="61"/>
      <c r="G56" s="73"/>
      <c r="H56" s="74"/>
      <c r="I56" s="73"/>
      <c r="J56" s="73"/>
      <c r="K56" s="75"/>
      <c r="L56" s="76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21.75" customHeight="1">
      <c r="B57" s="69" t="s">
        <v>121</v>
      </c>
      <c r="C57" s="70"/>
      <c r="D57" s="77">
        <f>D55-D56</f>
        <v>35</v>
      </c>
      <c r="E57" s="61"/>
      <c r="F57" s="61"/>
      <c r="G57" s="78"/>
      <c r="H57" s="74"/>
      <c r="I57" s="78"/>
      <c r="J57" s="78"/>
      <c r="K57" s="79"/>
      <c r="L57" s="80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27.75" customHeight="1">
      <c r="B58" s="69" t="s">
        <v>122</v>
      </c>
      <c r="C58" s="70"/>
      <c r="D58" s="81">
        <f>D56*100/D55</f>
        <v>0</v>
      </c>
      <c r="E58" s="61"/>
      <c r="F58" s="61"/>
      <c r="G58" s="82" t="s">
        <v>123</v>
      </c>
      <c r="H58" s="83"/>
      <c r="I58" s="84" t="s">
        <v>124</v>
      </c>
      <c r="K58" s="85" t="s">
        <v>125</v>
      </c>
      <c r="L58" s="86" t="s">
        <v>126</v>
      </c>
      <c r="M58" s="87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21.75" customHeight="1">
      <c r="B59" s="88" t="s">
        <v>127</v>
      </c>
      <c r="C59" s="89"/>
      <c r="D59" s="90">
        <f>AVERAGE(K17:K51)</f>
        <v>5</v>
      </c>
      <c r="E59" s="61"/>
      <c r="F59" s="61"/>
      <c r="H59" s="83"/>
      <c r="L59" s="10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3.5" customHeight="1">
      <c r="A60" s="6"/>
      <c r="B60" s="1"/>
      <c r="C60" s="1"/>
      <c r="D60" s="1"/>
      <c r="E60" s="1"/>
      <c r="F60" s="1"/>
      <c r="G60" s="1"/>
      <c r="H60" s="1"/>
      <c r="I60" s="1"/>
      <c r="J60" s="1"/>
      <c r="K60" s="1"/>
      <c r="L60" s="8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3.5" customHeight="1">
      <c r="A61" s="91"/>
      <c r="B61" s="92"/>
      <c r="C61" s="93"/>
      <c r="D61" s="93"/>
      <c r="E61" s="61"/>
      <c r="H61" s="7"/>
      <c r="I61" s="7"/>
      <c r="J61" s="7"/>
      <c r="K61" s="7"/>
      <c r="L61" s="94"/>
      <c r="M61" s="95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3.5" customHeight="1">
      <c r="A62" s="96"/>
      <c r="B62" s="61"/>
      <c r="C62" s="61"/>
      <c r="D62" s="61"/>
      <c r="E62" s="7"/>
      <c r="F62" s="7"/>
      <c r="G62" s="1"/>
      <c r="H62" s="1"/>
      <c r="I62" s="1"/>
      <c r="J62" s="1"/>
      <c r="K62" s="1"/>
      <c r="L62" s="8"/>
      <c r="M62" s="97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3.5" customHeight="1">
      <c r="A63" s="96"/>
      <c r="B63" s="61"/>
      <c r="C63" s="61"/>
      <c r="D63" s="61"/>
      <c r="E63" s="7"/>
      <c r="F63" s="7"/>
      <c r="G63" s="1"/>
      <c r="H63" s="1"/>
      <c r="I63" s="1"/>
      <c r="J63" s="1"/>
      <c r="K63" s="1"/>
      <c r="L63" s="8"/>
      <c r="M63" s="97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3.5" customHeight="1">
      <c r="A64" s="98"/>
      <c r="B64" s="99"/>
      <c r="C64" s="99"/>
      <c r="D64" s="99"/>
      <c r="E64" s="100"/>
      <c r="F64" s="100"/>
      <c r="G64" s="101"/>
      <c r="H64" s="101"/>
      <c r="I64" s="101"/>
      <c r="J64" s="101"/>
      <c r="K64" s="101"/>
      <c r="L64" s="102"/>
      <c r="M64" s="97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4.25" customHeight="1">
      <c r="A65" s="1"/>
      <c r="B65" s="103"/>
      <c r="C65" s="103"/>
      <c r="D65" s="103"/>
      <c r="E65" s="103"/>
      <c r="F65" s="103"/>
      <c r="G65" s="1"/>
      <c r="H65" s="1"/>
      <c r="I65" s="1"/>
      <c r="J65" s="1"/>
      <c r="K65" s="104"/>
      <c r="L65" s="104"/>
      <c r="M65" s="104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4.25" customHeight="1">
      <c r="A66" s="1"/>
      <c r="B66" s="103"/>
      <c r="C66" s="103"/>
      <c r="D66" s="103"/>
      <c r="E66" s="103"/>
      <c r="F66" s="103"/>
      <c r="G66" s="1"/>
      <c r="H66" s="1"/>
      <c r="I66" s="1"/>
      <c r="J66" s="1"/>
      <c r="K66" s="104"/>
      <c r="L66" s="104"/>
      <c r="M66" s="104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4.25" customHeight="1">
      <c r="A67" s="1"/>
      <c r="B67" s="103"/>
      <c r="C67" s="103"/>
      <c r="D67" s="103"/>
      <c r="E67" s="103"/>
      <c r="F67" s="103"/>
      <c r="G67" s="1"/>
      <c r="H67" s="1"/>
      <c r="I67" s="1"/>
      <c r="J67" s="1"/>
      <c r="K67" s="104"/>
      <c r="L67" s="104"/>
      <c r="M67" s="104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4.25" customHeight="1">
      <c r="A68" s="1"/>
      <c r="B68" s="103"/>
      <c r="C68" s="103"/>
      <c r="D68" s="103"/>
      <c r="E68" s="103"/>
      <c r="F68" s="103"/>
      <c r="G68" s="1"/>
      <c r="H68" s="1"/>
      <c r="I68" s="1"/>
      <c r="J68" s="1"/>
      <c r="K68" s="104"/>
      <c r="L68" s="104"/>
      <c r="M68" s="104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4.25" customHeight="1">
      <c r="A69" s="1"/>
      <c r="B69" s="103"/>
      <c r="C69" s="103"/>
      <c r="D69" s="103"/>
      <c r="E69" s="103"/>
      <c r="F69" s="103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4.25" customHeight="1">
      <c r="A70" s="1"/>
      <c r="B70" s="103"/>
      <c r="C70" s="103"/>
      <c r="D70" s="103"/>
      <c r="E70" s="103"/>
      <c r="F70" s="103"/>
      <c r="G70" s="1"/>
      <c r="H70" s="1"/>
      <c r="I70" s="1"/>
      <c r="J70" s="1"/>
      <c r="K70" s="1"/>
      <c r="L70" s="105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4.25" customHeight="1">
      <c r="A71" s="1"/>
      <c r="B71" s="103"/>
      <c r="C71" s="103"/>
      <c r="D71" s="103"/>
      <c r="E71" s="103"/>
      <c r="F71" s="103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4.25" customHeight="1">
      <c r="A72" s="1"/>
      <c r="B72" s="103"/>
      <c r="C72" s="103"/>
      <c r="D72" s="103"/>
      <c r="E72" s="103"/>
      <c r="F72" s="103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4.25" customHeight="1">
      <c r="A73" s="1"/>
      <c r="B73" s="103"/>
      <c r="C73" s="103"/>
      <c r="D73" s="103"/>
      <c r="E73" s="103"/>
      <c r="F73" s="103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4.25" customHeight="1">
      <c r="A74" s="1"/>
      <c r="B74" s="103"/>
      <c r="C74" s="103"/>
      <c r="D74" s="103"/>
      <c r="E74" s="103"/>
      <c r="F74" s="103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4.25" customHeight="1">
      <c r="A75" s="1"/>
      <c r="B75" s="103"/>
      <c r="C75" s="103"/>
      <c r="D75" s="103"/>
      <c r="E75" s="103"/>
      <c r="F75" s="103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4.25" customHeight="1">
      <c r="A76" s="1"/>
      <c r="B76" s="103"/>
      <c r="C76" s="103"/>
      <c r="D76" s="103"/>
      <c r="E76" s="103"/>
      <c r="F76" s="103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</sheetData>
  <mergeCells count="29">
    <mergeCell ref="F14:F15"/>
    <mergeCell ref="G14:G15"/>
    <mergeCell ref="G53:G54"/>
    <mergeCell ref="I53:J54"/>
    <mergeCell ref="K53:K54"/>
    <mergeCell ref="L53:L54"/>
    <mergeCell ref="A9:L9"/>
    <mergeCell ref="E10:L10"/>
    <mergeCell ref="A13:B13"/>
    <mergeCell ref="C13:D13"/>
    <mergeCell ref="H13:H15"/>
    <mergeCell ref="I13:I14"/>
    <mergeCell ref="J13:L14"/>
    <mergeCell ref="J15:L15"/>
    <mergeCell ref="B57:C57"/>
    <mergeCell ref="B58:C58"/>
    <mergeCell ref="G58:G59"/>
    <mergeCell ref="I58:J59"/>
    <mergeCell ref="K58:K59"/>
    <mergeCell ref="L58:L59"/>
    <mergeCell ref="B59:C59"/>
    <mergeCell ref="E61:G61"/>
    <mergeCell ref="B14:D14"/>
    <mergeCell ref="E14:E15"/>
    <mergeCell ref="B16:D16"/>
    <mergeCell ref="B53:C53"/>
    <mergeCell ref="B54:C54"/>
    <mergeCell ref="B55:C55"/>
    <mergeCell ref="B56:C56"/>
  </mergeCells>
  <conditionalFormatting sqref="B28:D28 B30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 B30:D30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K17:L51">
    <cfRule type="cellIs" dxfId="1" priority="7" operator="equal">
      <formula>5</formula>
    </cfRule>
  </conditionalFormatting>
  <printOptions/>
  <pageMargins bottom="0.1968503937007874" footer="0.0" header="0.0" left="0.6697936210131332" right="0.1968503937007874" top="0.09568480300187618"/>
  <pageSetup scale="41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2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1"/>
      <c r="L3" s="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1"/>
      <c r="L4" s="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1"/>
      <c r="L5" s="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1"/>
      <c r="L6" s="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1"/>
      <c r="L7" s="8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1"/>
      <c r="L8" s="8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23.25" customHeight="1">
      <c r="A9" s="9" t="s">
        <v>0</v>
      </c>
      <c r="L9" s="1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9.75" customHeight="1">
      <c r="A10" s="6"/>
      <c r="B10" s="7"/>
      <c r="C10" s="7"/>
      <c r="D10" s="7"/>
      <c r="E10" s="11"/>
      <c r="L10" s="10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9.5" customHeight="1">
      <c r="A11" s="6"/>
      <c r="B11" s="12" t="s">
        <v>1</v>
      </c>
      <c r="C11" s="12"/>
      <c r="D11" s="12"/>
      <c r="E11" s="13"/>
      <c r="F11" s="13"/>
      <c r="G11" s="1"/>
      <c r="H11" s="1"/>
      <c r="I11" s="1"/>
      <c r="J11" s="1"/>
      <c r="K11" s="13"/>
      <c r="L11" s="1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12.75" customHeight="1">
      <c r="A12" s="6"/>
      <c r="B12" s="15"/>
      <c r="C12" s="15"/>
      <c r="D12" s="15"/>
      <c r="E12" s="13"/>
      <c r="F12" s="13"/>
      <c r="G12" s="1"/>
      <c r="H12" s="1"/>
      <c r="I12" s="1"/>
      <c r="J12" s="1"/>
      <c r="K12" s="13"/>
      <c r="L12" s="1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32.25" customHeight="1">
      <c r="A13" s="16" t="s">
        <v>2</v>
      </c>
      <c r="B13" s="17"/>
      <c r="C13" s="18"/>
      <c r="D13" s="17"/>
      <c r="E13" s="19" t="s">
        <v>3</v>
      </c>
      <c r="F13" s="19" t="s">
        <v>4</v>
      </c>
      <c r="G13" s="20" t="s">
        <v>5</v>
      </c>
      <c r="H13" s="21" t="s">
        <v>6</v>
      </c>
      <c r="I13" s="22">
        <v>1.0</v>
      </c>
      <c r="J13" s="23" t="s">
        <v>7</v>
      </c>
      <c r="K13" s="24"/>
      <c r="L13" s="2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35.25" customHeight="1">
      <c r="A14" s="26" t="s">
        <v>8</v>
      </c>
      <c r="B14" s="27" t="s">
        <v>129</v>
      </c>
      <c r="C14" s="28"/>
      <c r="D14" s="29"/>
      <c r="E14" s="30" t="s">
        <v>10</v>
      </c>
      <c r="F14" s="30" t="s">
        <v>11</v>
      </c>
      <c r="G14" s="31" t="s">
        <v>12</v>
      </c>
      <c r="H14" s="32"/>
      <c r="I14" s="33"/>
      <c r="J14" s="34"/>
      <c r="K14" s="35"/>
      <c r="L14" s="3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24.75" customHeight="1">
      <c r="A15" s="37" t="s">
        <v>13</v>
      </c>
      <c r="B15" s="38" t="s">
        <v>14</v>
      </c>
      <c r="C15" s="39" t="s">
        <v>15</v>
      </c>
      <c r="D15" s="39">
        <v>3.0</v>
      </c>
      <c r="E15" s="33"/>
      <c r="F15" s="33"/>
      <c r="G15" s="33"/>
      <c r="H15" s="40"/>
      <c r="I15" s="41"/>
      <c r="J15" s="42"/>
      <c r="K15" s="28"/>
      <c r="L15" s="43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40.5" customHeight="1">
      <c r="A16" s="44" t="s">
        <v>16</v>
      </c>
      <c r="B16" s="45" t="s">
        <v>17</v>
      </c>
      <c r="C16" s="28"/>
      <c r="D16" s="29"/>
      <c r="E16" s="46"/>
      <c r="F16" s="46"/>
      <c r="G16" s="47"/>
      <c r="H16" s="48"/>
      <c r="I16" s="49" t="s">
        <v>18</v>
      </c>
      <c r="J16" s="50" t="s">
        <v>19</v>
      </c>
      <c r="K16" s="50" t="s">
        <v>20</v>
      </c>
      <c r="L16" s="51" t="s">
        <v>21</v>
      </c>
      <c r="M16" s="50" t="s">
        <v>20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24.75" customHeight="1">
      <c r="A17" s="52">
        <v>1.0</v>
      </c>
      <c r="B17" s="53" t="s">
        <v>22</v>
      </c>
      <c r="C17" s="53" t="s">
        <v>23</v>
      </c>
      <c r="D17" s="54" t="s">
        <v>24</v>
      </c>
      <c r="E17" s="55"/>
      <c r="F17" s="55"/>
      <c r="G17" s="55"/>
      <c r="H17" s="55"/>
      <c r="I17" s="56">
        <f t="shared" ref="I17:I51" si="1">SUM(E17:H17)</f>
        <v>0</v>
      </c>
      <c r="J17" s="57"/>
      <c r="K17" s="58">
        <f t="shared" ref="K17:K51" si="2">IF(M17&lt;6,5,M17)</f>
        <v>5</v>
      </c>
      <c r="L17" s="59"/>
      <c r="M17" s="60">
        <f t="shared" ref="M17:M51" si="3">IF(I17&gt;=6,ROUND(I17,0),TRUNC(I17,0))</f>
        <v>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24.75" customHeight="1">
      <c r="A18" s="52">
        <v>2.0</v>
      </c>
      <c r="B18" s="53" t="s">
        <v>25</v>
      </c>
      <c r="C18" s="53" t="s">
        <v>26</v>
      </c>
      <c r="D18" s="54" t="s">
        <v>27</v>
      </c>
      <c r="E18" s="55"/>
      <c r="F18" s="55"/>
      <c r="G18" s="55"/>
      <c r="H18" s="55"/>
      <c r="I18" s="56">
        <f t="shared" si="1"/>
        <v>0</v>
      </c>
      <c r="J18" s="57"/>
      <c r="K18" s="58">
        <f t="shared" si="2"/>
        <v>5</v>
      </c>
      <c r="L18" s="52"/>
      <c r="M18" s="60">
        <f t="shared" si="3"/>
        <v>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24.75" customHeight="1">
      <c r="A19" s="52">
        <v>3.0</v>
      </c>
      <c r="B19" s="53" t="s">
        <v>28</v>
      </c>
      <c r="C19" s="53" t="s">
        <v>29</v>
      </c>
      <c r="D19" s="54" t="s">
        <v>30</v>
      </c>
      <c r="E19" s="55"/>
      <c r="F19" s="55"/>
      <c r="G19" s="55"/>
      <c r="H19" s="55"/>
      <c r="I19" s="56">
        <f t="shared" si="1"/>
        <v>0</v>
      </c>
      <c r="J19" s="57"/>
      <c r="K19" s="58">
        <f t="shared" si="2"/>
        <v>5</v>
      </c>
      <c r="L19" s="52"/>
      <c r="M19" s="60">
        <f t="shared" si="3"/>
        <v>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24.75" customHeight="1">
      <c r="A20" s="52">
        <v>4.0</v>
      </c>
      <c r="B20" s="53" t="s">
        <v>31</v>
      </c>
      <c r="C20" s="53" t="s">
        <v>32</v>
      </c>
      <c r="D20" s="54" t="s">
        <v>33</v>
      </c>
      <c r="E20" s="55"/>
      <c r="F20" s="55"/>
      <c r="G20" s="55"/>
      <c r="H20" s="55"/>
      <c r="I20" s="56">
        <f t="shared" si="1"/>
        <v>0</v>
      </c>
      <c r="J20" s="57"/>
      <c r="K20" s="58">
        <f t="shared" si="2"/>
        <v>5</v>
      </c>
      <c r="L20" s="52"/>
      <c r="M20" s="60">
        <f t="shared" si="3"/>
        <v>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24.75" customHeight="1">
      <c r="A21" s="52">
        <v>5.0</v>
      </c>
      <c r="B21" s="53" t="s">
        <v>34</v>
      </c>
      <c r="C21" s="53" t="s">
        <v>35</v>
      </c>
      <c r="D21" s="54" t="s">
        <v>36</v>
      </c>
      <c r="E21" s="55"/>
      <c r="F21" s="55"/>
      <c r="G21" s="55"/>
      <c r="H21" s="55"/>
      <c r="I21" s="56">
        <f t="shared" si="1"/>
        <v>0</v>
      </c>
      <c r="J21" s="57"/>
      <c r="K21" s="58">
        <f t="shared" si="2"/>
        <v>5</v>
      </c>
      <c r="L21" s="52"/>
      <c r="M21" s="60">
        <f t="shared" si="3"/>
        <v>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24.75" customHeight="1">
      <c r="A22" s="52">
        <v>6.0</v>
      </c>
      <c r="B22" s="53" t="s">
        <v>37</v>
      </c>
      <c r="C22" s="53" t="s">
        <v>38</v>
      </c>
      <c r="D22" s="54" t="s">
        <v>39</v>
      </c>
      <c r="E22" s="55"/>
      <c r="F22" s="55"/>
      <c r="G22" s="55"/>
      <c r="H22" s="55"/>
      <c r="I22" s="56">
        <f t="shared" si="1"/>
        <v>0</v>
      </c>
      <c r="J22" s="57"/>
      <c r="K22" s="58">
        <f t="shared" si="2"/>
        <v>5</v>
      </c>
      <c r="L22" s="52"/>
      <c r="M22" s="60">
        <f t="shared" si="3"/>
        <v>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24.75" customHeight="1">
      <c r="A23" s="52">
        <v>7.0</v>
      </c>
      <c r="B23" s="53" t="s">
        <v>37</v>
      </c>
      <c r="C23" s="53" t="s">
        <v>40</v>
      </c>
      <c r="D23" s="54" t="s">
        <v>41</v>
      </c>
      <c r="E23" s="55"/>
      <c r="F23" s="55"/>
      <c r="G23" s="55"/>
      <c r="H23" s="55"/>
      <c r="I23" s="56">
        <f t="shared" si="1"/>
        <v>0</v>
      </c>
      <c r="J23" s="57"/>
      <c r="K23" s="58">
        <f t="shared" si="2"/>
        <v>5</v>
      </c>
      <c r="L23" s="52"/>
      <c r="M23" s="60">
        <f t="shared" si="3"/>
        <v>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24.75" customHeight="1">
      <c r="A24" s="52">
        <v>8.0</v>
      </c>
      <c r="B24" s="53" t="s">
        <v>42</v>
      </c>
      <c r="C24" s="53" t="s">
        <v>43</v>
      </c>
      <c r="D24" s="54" t="s">
        <v>44</v>
      </c>
      <c r="E24" s="55"/>
      <c r="F24" s="55"/>
      <c r="G24" s="55"/>
      <c r="H24" s="55"/>
      <c r="I24" s="56">
        <f t="shared" si="1"/>
        <v>0</v>
      </c>
      <c r="J24" s="57"/>
      <c r="K24" s="58">
        <f t="shared" si="2"/>
        <v>5</v>
      </c>
      <c r="L24" s="52"/>
      <c r="M24" s="60">
        <f t="shared" si="3"/>
        <v>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24.75" customHeight="1">
      <c r="A25" s="52">
        <v>9.0</v>
      </c>
      <c r="B25" s="53" t="s">
        <v>45</v>
      </c>
      <c r="C25" s="53" t="s">
        <v>46</v>
      </c>
      <c r="D25" s="54" t="s">
        <v>47</v>
      </c>
      <c r="E25" s="55"/>
      <c r="F25" s="55"/>
      <c r="G25" s="55"/>
      <c r="H25" s="55"/>
      <c r="I25" s="56">
        <f t="shared" si="1"/>
        <v>0</v>
      </c>
      <c r="J25" s="57"/>
      <c r="K25" s="58">
        <f t="shared" si="2"/>
        <v>5</v>
      </c>
      <c r="L25" s="52"/>
      <c r="M25" s="60">
        <f t="shared" si="3"/>
        <v>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24.75" customHeight="1">
      <c r="A26" s="52">
        <v>10.0</v>
      </c>
      <c r="B26" s="53" t="s">
        <v>48</v>
      </c>
      <c r="C26" s="53" t="s">
        <v>49</v>
      </c>
      <c r="D26" s="54" t="s">
        <v>50</v>
      </c>
      <c r="E26" s="55"/>
      <c r="F26" s="55"/>
      <c r="G26" s="55"/>
      <c r="H26" s="55"/>
      <c r="I26" s="56">
        <f t="shared" si="1"/>
        <v>0</v>
      </c>
      <c r="J26" s="57"/>
      <c r="K26" s="58">
        <f t="shared" si="2"/>
        <v>5</v>
      </c>
      <c r="L26" s="52"/>
      <c r="M26" s="60">
        <f t="shared" si="3"/>
        <v>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24.75" customHeight="1">
      <c r="A27" s="52">
        <v>11.0</v>
      </c>
      <c r="B27" s="53" t="s">
        <v>48</v>
      </c>
      <c r="C27" s="53" t="s">
        <v>51</v>
      </c>
      <c r="D27" s="53" t="s">
        <v>52</v>
      </c>
      <c r="E27" s="55"/>
      <c r="F27" s="55"/>
      <c r="G27" s="55"/>
      <c r="H27" s="55"/>
      <c r="I27" s="56">
        <f t="shared" si="1"/>
        <v>0</v>
      </c>
      <c r="J27" s="57"/>
      <c r="K27" s="58">
        <f t="shared" si="2"/>
        <v>5</v>
      </c>
      <c r="L27" s="52"/>
      <c r="M27" s="60">
        <f t="shared" si="3"/>
        <v>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24.75" customHeight="1">
      <c r="A28" s="52">
        <v>12.0</v>
      </c>
      <c r="B28" s="53" t="s">
        <v>53</v>
      </c>
      <c r="C28" s="53" t="s">
        <v>54</v>
      </c>
      <c r="D28" s="54" t="s">
        <v>55</v>
      </c>
      <c r="E28" s="55"/>
      <c r="F28" s="55"/>
      <c r="G28" s="55"/>
      <c r="H28" s="55"/>
      <c r="I28" s="56">
        <f t="shared" si="1"/>
        <v>0</v>
      </c>
      <c r="J28" s="57"/>
      <c r="K28" s="58">
        <f t="shared" si="2"/>
        <v>5</v>
      </c>
      <c r="L28" s="52"/>
      <c r="M28" s="60">
        <f t="shared" si="3"/>
        <v>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24.75" customHeight="1">
      <c r="A29" s="52">
        <v>13.0</v>
      </c>
      <c r="B29" s="53" t="s">
        <v>56</v>
      </c>
      <c r="C29" s="53" t="s">
        <v>57</v>
      </c>
      <c r="D29" s="54" t="s">
        <v>58</v>
      </c>
      <c r="E29" s="55"/>
      <c r="F29" s="55"/>
      <c r="G29" s="55"/>
      <c r="H29" s="55"/>
      <c r="I29" s="56">
        <f t="shared" si="1"/>
        <v>0</v>
      </c>
      <c r="J29" s="57"/>
      <c r="K29" s="58">
        <f t="shared" si="2"/>
        <v>5</v>
      </c>
      <c r="L29" s="52"/>
      <c r="M29" s="60">
        <f t="shared" si="3"/>
        <v>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24.75" customHeight="1">
      <c r="A30" s="52">
        <v>14.0</v>
      </c>
      <c r="B30" s="53" t="s">
        <v>57</v>
      </c>
      <c r="C30" s="53" t="s">
        <v>59</v>
      </c>
      <c r="D30" s="54" t="s">
        <v>60</v>
      </c>
      <c r="E30" s="55"/>
      <c r="F30" s="55"/>
      <c r="G30" s="55"/>
      <c r="H30" s="55"/>
      <c r="I30" s="56">
        <f t="shared" si="1"/>
        <v>0</v>
      </c>
      <c r="J30" s="57"/>
      <c r="K30" s="58">
        <f t="shared" si="2"/>
        <v>5</v>
      </c>
      <c r="L30" s="52"/>
      <c r="M30" s="60">
        <f t="shared" si="3"/>
        <v>0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24.75" customHeight="1">
      <c r="A31" s="52">
        <v>15.0</v>
      </c>
      <c r="B31" s="53" t="s">
        <v>61</v>
      </c>
      <c r="C31" s="53" t="s">
        <v>62</v>
      </c>
      <c r="D31" s="54" t="s">
        <v>63</v>
      </c>
      <c r="E31" s="55"/>
      <c r="F31" s="55"/>
      <c r="G31" s="55"/>
      <c r="H31" s="55"/>
      <c r="I31" s="56">
        <f t="shared" si="1"/>
        <v>0</v>
      </c>
      <c r="J31" s="57"/>
      <c r="K31" s="58">
        <f t="shared" si="2"/>
        <v>5</v>
      </c>
      <c r="L31" s="52"/>
      <c r="M31" s="60">
        <f t="shared" si="3"/>
        <v>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24.75" customHeight="1">
      <c r="A32" s="52">
        <v>16.0</v>
      </c>
      <c r="B32" s="53" t="s">
        <v>64</v>
      </c>
      <c r="C32" s="53" t="s">
        <v>65</v>
      </c>
      <c r="D32" s="54" t="s">
        <v>66</v>
      </c>
      <c r="E32" s="55"/>
      <c r="F32" s="55"/>
      <c r="G32" s="55"/>
      <c r="H32" s="55"/>
      <c r="I32" s="56">
        <f t="shared" si="1"/>
        <v>0</v>
      </c>
      <c r="J32" s="57"/>
      <c r="K32" s="58">
        <f t="shared" si="2"/>
        <v>5</v>
      </c>
      <c r="L32" s="52"/>
      <c r="M32" s="60">
        <f t="shared" si="3"/>
        <v>0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24.75" customHeight="1">
      <c r="A33" s="52">
        <v>17.0</v>
      </c>
      <c r="B33" s="53" t="s">
        <v>64</v>
      </c>
      <c r="C33" s="53" t="s">
        <v>67</v>
      </c>
      <c r="D33" s="54" t="s">
        <v>68</v>
      </c>
      <c r="E33" s="55"/>
      <c r="F33" s="55"/>
      <c r="G33" s="55"/>
      <c r="H33" s="55"/>
      <c r="I33" s="56">
        <f t="shared" si="1"/>
        <v>0</v>
      </c>
      <c r="J33" s="57"/>
      <c r="K33" s="58">
        <f t="shared" si="2"/>
        <v>5</v>
      </c>
      <c r="L33" s="52"/>
      <c r="M33" s="60">
        <f t="shared" si="3"/>
        <v>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24.75" customHeight="1">
      <c r="A34" s="52">
        <v>18.0</v>
      </c>
      <c r="B34" s="53" t="s">
        <v>69</v>
      </c>
      <c r="C34" s="53" t="s">
        <v>70</v>
      </c>
      <c r="D34" s="54" t="s">
        <v>71</v>
      </c>
      <c r="E34" s="55"/>
      <c r="F34" s="55"/>
      <c r="G34" s="55"/>
      <c r="H34" s="55"/>
      <c r="I34" s="56">
        <f t="shared" si="1"/>
        <v>0</v>
      </c>
      <c r="J34" s="57"/>
      <c r="K34" s="58">
        <f t="shared" si="2"/>
        <v>5</v>
      </c>
      <c r="L34" s="52"/>
      <c r="M34" s="60">
        <f t="shared" si="3"/>
        <v>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24.75" customHeight="1">
      <c r="A35" s="52">
        <v>19.0</v>
      </c>
      <c r="B35" s="53" t="s">
        <v>26</v>
      </c>
      <c r="C35" s="53" t="s">
        <v>72</v>
      </c>
      <c r="D35" s="54" t="s">
        <v>73</v>
      </c>
      <c r="E35" s="55"/>
      <c r="F35" s="55"/>
      <c r="G35" s="55"/>
      <c r="H35" s="55"/>
      <c r="I35" s="56">
        <f t="shared" si="1"/>
        <v>0</v>
      </c>
      <c r="J35" s="57"/>
      <c r="K35" s="58">
        <f t="shared" si="2"/>
        <v>5</v>
      </c>
      <c r="L35" s="52"/>
      <c r="M35" s="60">
        <f t="shared" si="3"/>
        <v>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24.75" customHeight="1">
      <c r="A36" s="52">
        <v>20.0</v>
      </c>
      <c r="B36" s="53" t="s">
        <v>74</v>
      </c>
      <c r="C36" s="53" t="s">
        <v>75</v>
      </c>
      <c r="D36" s="54" t="s">
        <v>76</v>
      </c>
      <c r="E36" s="55"/>
      <c r="F36" s="55"/>
      <c r="G36" s="55"/>
      <c r="H36" s="55"/>
      <c r="I36" s="56">
        <f t="shared" si="1"/>
        <v>0</v>
      </c>
      <c r="J36" s="57"/>
      <c r="K36" s="58">
        <f t="shared" si="2"/>
        <v>5</v>
      </c>
      <c r="L36" s="52"/>
      <c r="M36" s="60">
        <f t="shared" si="3"/>
        <v>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24.75" customHeight="1">
      <c r="A37" s="52">
        <v>21.0</v>
      </c>
      <c r="B37" s="53" t="s">
        <v>77</v>
      </c>
      <c r="C37" s="53" t="s">
        <v>26</v>
      </c>
      <c r="D37" s="54" t="s">
        <v>78</v>
      </c>
      <c r="E37" s="55"/>
      <c r="F37" s="55"/>
      <c r="G37" s="55"/>
      <c r="H37" s="55"/>
      <c r="I37" s="56">
        <f t="shared" si="1"/>
        <v>0</v>
      </c>
      <c r="J37" s="57"/>
      <c r="K37" s="58">
        <f t="shared" si="2"/>
        <v>5</v>
      </c>
      <c r="L37" s="52"/>
      <c r="M37" s="60">
        <f t="shared" si="3"/>
        <v>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24.75" customHeight="1">
      <c r="A38" s="52">
        <v>22.0</v>
      </c>
      <c r="B38" s="53" t="s">
        <v>79</v>
      </c>
      <c r="C38" s="53" t="s">
        <v>80</v>
      </c>
      <c r="D38" s="54" t="s">
        <v>81</v>
      </c>
      <c r="E38" s="55"/>
      <c r="F38" s="55"/>
      <c r="G38" s="55"/>
      <c r="H38" s="55"/>
      <c r="I38" s="56">
        <f t="shared" si="1"/>
        <v>0</v>
      </c>
      <c r="J38" s="57"/>
      <c r="K38" s="58">
        <f t="shared" si="2"/>
        <v>5</v>
      </c>
      <c r="L38" s="52"/>
      <c r="M38" s="60">
        <f t="shared" si="3"/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24.75" customHeight="1">
      <c r="A39" s="52">
        <v>23.0</v>
      </c>
      <c r="B39" s="53" t="s">
        <v>82</v>
      </c>
      <c r="C39" s="53" t="s">
        <v>83</v>
      </c>
      <c r="D39" s="54" t="s">
        <v>84</v>
      </c>
      <c r="E39" s="55"/>
      <c r="F39" s="55"/>
      <c r="G39" s="55"/>
      <c r="H39" s="55"/>
      <c r="I39" s="56">
        <f t="shared" si="1"/>
        <v>0</v>
      </c>
      <c r="J39" s="57"/>
      <c r="K39" s="58">
        <f t="shared" si="2"/>
        <v>5</v>
      </c>
      <c r="L39" s="52"/>
      <c r="M39" s="60">
        <f t="shared" si="3"/>
        <v>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24.75" customHeight="1">
      <c r="A40" s="52">
        <v>24.0</v>
      </c>
      <c r="B40" s="53" t="s">
        <v>85</v>
      </c>
      <c r="C40" s="53" t="s">
        <v>86</v>
      </c>
      <c r="D40" s="54" t="s">
        <v>87</v>
      </c>
      <c r="E40" s="55"/>
      <c r="F40" s="55"/>
      <c r="G40" s="55"/>
      <c r="H40" s="55"/>
      <c r="I40" s="56">
        <f t="shared" si="1"/>
        <v>0</v>
      </c>
      <c r="J40" s="57"/>
      <c r="K40" s="58">
        <f t="shared" si="2"/>
        <v>5</v>
      </c>
      <c r="L40" s="52"/>
      <c r="M40" s="60">
        <f t="shared" si="3"/>
        <v>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24.75" customHeight="1">
      <c r="A41" s="52">
        <v>25.0</v>
      </c>
      <c r="B41" s="53" t="s">
        <v>88</v>
      </c>
      <c r="C41" s="53" t="s">
        <v>89</v>
      </c>
      <c r="D41" s="54" t="s">
        <v>90</v>
      </c>
      <c r="E41" s="55"/>
      <c r="F41" s="55"/>
      <c r="G41" s="55"/>
      <c r="H41" s="55"/>
      <c r="I41" s="56">
        <f t="shared" si="1"/>
        <v>0</v>
      </c>
      <c r="J41" s="57"/>
      <c r="K41" s="58">
        <f t="shared" si="2"/>
        <v>5</v>
      </c>
      <c r="L41" s="52"/>
      <c r="M41" s="60">
        <f t="shared" si="3"/>
        <v>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24.75" customHeight="1">
      <c r="A42" s="52">
        <v>26.0</v>
      </c>
      <c r="B42" s="53" t="s">
        <v>91</v>
      </c>
      <c r="C42" s="53" t="s">
        <v>92</v>
      </c>
      <c r="D42" s="54" t="s">
        <v>93</v>
      </c>
      <c r="E42" s="55"/>
      <c r="F42" s="55"/>
      <c r="G42" s="55"/>
      <c r="H42" s="55"/>
      <c r="I42" s="56">
        <f t="shared" si="1"/>
        <v>0</v>
      </c>
      <c r="J42" s="57"/>
      <c r="K42" s="58">
        <f t="shared" si="2"/>
        <v>5</v>
      </c>
      <c r="L42" s="52"/>
      <c r="M42" s="60">
        <f t="shared" si="3"/>
        <v>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24.75" customHeight="1">
      <c r="A43" s="52">
        <v>27.0</v>
      </c>
      <c r="B43" s="53" t="s">
        <v>94</v>
      </c>
      <c r="C43" s="53" t="s">
        <v>95</v>
      </c>
      <c r="D43" s="54" t="s">
        <v>96</v>
      </c>
      <c r="E43" s="55"/>
      <c r="F43" s="55"/>
      <c r="G43" s="55"/>
      <c r="H43" s="55"/>
      <c r="I43" s="56">
        <f t="shared" si="1"/>
        <v>0</v>
      </c>
      <c r="J43" s="57"/>
      <c r="K43" s="58">
        <f t="shared" si="2"/>
        <v>5</v>
      </c>
      <c r="L43" s="52"/>
      <c r="M43" s="60">
        <f t="shared" si="3"/>
        <v>0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24.75" customHeight="1">
      <c r="A44" s="52">
        <v>28.0</v>
      </c>
      <c r="B44" s="53" t="s">
        <v>94</v>
      </c>
      <c r="C44" s="53" t="s">
        <v>97</v>
      </c>
      <c r="D44" s="54" t="s">
        <v>98</v>
      </c>
      <c r="E44" s="55"/>
      <c r="F44" s="55"/>
      <c r="G44" s="55"/>
      <c r="H44" s="55"/>
      <c r="I44" s="56">
        <f t="shared" si="1"/>
        <v>0</v>
      </c>
      <c r="J44" s="57"/>
      <c r="K44" s="58">
        <f t="shared" si="2"/>
        <v>5</v>
      </c>
      <c r="L44" s="52"/>
      <c r="M44" s="60">
        <f t="shared" si="3"/>
        <v>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24.75" customHeight="1">
      <c r="A45" s="52">
        <v>29.0</v>
      </c>
      <c r="B45" s="53" t="s">
        <v>94</v>
      </c>
      <c r="C45" s="53" t="s">
        <v>99</v>
      </c>
      <c r="D45" s="54" t="s">
        <v>100</v>
      </c>
      <c r="E45" s="55"/>
      <c r="F45" s="55"/>
      <c r="G45" s="55"/>
      <c r="H45" s="55"/>
      <c r="I45" s="56">
        <f t="shared" si="1"/>
        <v>0</v>
      </c>
      <c r="J45" s="57"/>
      <c r="K45" s="58">
        <f t="shared" si="2"/>
        <v>5</v>
      </c>
      <c r="L45" s="52"/>
      <c r="M45" s="60">
        <f t="shared" si="3"/>
        <v>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24.75" customHeight="1">
      <c r="A46" s="52">
        <v>30.0</v>
      </c>
      <c r="B46" s="53" t="s">
        <v>101</v>
      </c>
      <c r="C46" s="53" t="s">
        <v>64</v>
      </c>
      <c r="D46" s="54" t="s">
        <v>102</v>
      </c>
      <c r="E46" s="55"/>
      <c r="F46" s="55"/>
      <c r="G46" s="55"/>
      <c r="H46" s="55"/>
      <c r="I46" s="56">
        <f t="shared" si="1"/>
        <v>0</v>
      </c>
      <c r="J46" s="57"/>
      <c r="K46" s="58">
        <f t="shared" si="2"/>
        <v>5</v>
      </c>
      <c r="L46" s="52"/>
      <c r="M46" s="60">
        <f t="shared" si="3"/>
        <v>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24.75" customHeight="1">
      <c r="A47" s="52">
        <v>31.0</v>
      </c>
      <c r="B47" s="53" t="s">
        <v>103</v>
      </c>
      <c r="C47" s="53" t="s">
        <v>104</v>
      </c>
      <c r="D47" s="54" t="s">
        <v>105</v>
      </c>
      <c r="E47" s="55"/>
      <c r="F47" s="55"/>
      <c r="G47" s="55"/>
      <c r="H47" s="55"/>
      <c r="I47" s="56">
        <f t="shared" si="1"/>
        <v>0</v>
      </c>
      <c r="J47" s="57"/>
      <c r="K47" s="58">
        <f t="shared" si="2"/>
        <v>5</v>
      </c>
      <c r="L47" s="52"/>
      <c r="M47" s="60">
        <f t="shared" si="3"/>
        <v>0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24.75" customHeight="1">
      <c r="A48" s="52">
        <v>32.0</v>
      </c>
      <c r="B48" s="53" t="s">
        <v>65</v>
      </c>
      <c r="C48" s="53" t="s">
        <v>106</v>
      </c>
      <c r="D48" s="54" t="s">
        <v>107</v>
      </c>
      <c r="E48" s="55"/>
      <c r="F48" s="55"/>
      <c r="G48" s="55"/>
      <c r="H48" s="55"/>
      <c r="I48" s="56">
        <f t="shared" si="1"/>
        <v>0</v>
      </c>
      <c r="J48" s="57"/>
      <c r="K48" s="58">
        <f t="shared" si="2"/>
        <v>5</v>
      </c>
      <c r="L48" s="52"/>
      <c r="M48" s="60">
        <f t="shared" si="3"/>
        <v>0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24.75" customHeight="1">
      <c r="A49" s="52">
        <v>33.0</v>
      </c>
      <c r="B49" s="53" t="s">
        <v>108</v>
      </c>
      <c r="C49" s="53" t="s">
        <v>94</v>
      </c>
      <c r="D49" s="54" t="s">
        <v>41</v>
      </c>
      <c r="E49" s="55"/>
      <c r="F49" s="55"/>
      <c r="G49" s="55"/>
      <c r="H49" s="55"/>
      <c r="I49" s="56">
        <f t="shared" si="1"/>
        <v>0</v>
      </c>
      <c r="J49" s="57"/>
      <c r="K49" s="58">
        <f t="shared" si="2"/>
        <v>5</v>
      </c>
      <c r="L49" s="52"/>
      <c r="M49" s="60">
        <f t="shared" si="3"/>
        <v>0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24.75" customHeight="1">
      <c r="A50" s="52">
        <v>34.0</v>
      </c>
      <c r="B50" s="53" t="s">
        <v>83</v>
      </c>
      <c r="C50" s="53" t="s">
        <v>59</v>
      </c>
      <c r="D50" s="54" t="s">
        <v>109</v>
      </c>
      <c r="E50" s="55"/>
      <c r="F50" s="55"/>
      <c r="G50" s="55"/>
      <c r="H50" s="55"/>
      <c r="I50" s="56">
        <f t="shared" si="1"/>
        <v>0</v>
      </c>
      <c r="J50" s="57"/>
      <c r="K50" s="58">
        <f t="shared" si="2"/>
        <v>5</v>
      </c>
      <c r="L50" s="52"/>
      <c r="M50" s="60">
        <f t="shared" si="3"/>
        <v>0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24.75" customHeight="1">
      <c r="A51" s="52">
        <v>35.0</v>
      </c>
      <c r="B51" s="53" t="s">
        <v>110</v>
      </c>
      <c r="C51" s="53" t="s">
        <v>111</v>
      </c>
      <c r="D51" s="54" t="s">
        <v>112</v>
      </c>
      <c r="E51" s="55"/>
      <c r="F51" s="55"/>
      <c r="G51" s="55"/>
      <c r="H51" s="55"/>
      <c r="I51" s="56">
        <f t="shared" si="1"/>
        <v>0</v>
      </c>
      <c r="J51" s="57"/>
      <c r="K51" s="58">
        <f t="shared" si="2"/>
        <v>5</v>
      </c>
      <c r="L51" s="52"/>
      <c r="M51" s="60">
        <f t="shared" si="3"/>
        <v>0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3.5" customHeight="1">
      <c r="A52" s="6"/>
      <c r="B52" s="61"/>
      <c r="C52" s="61"/>
      <c r="D52" s="61"/>
      <c r="E52" s="62"/>
      <c r="F52" s="62"/>
      <c r="G52" s="61"/>
      <c r="H52" s="61"/>
      <c r="I52" s="61"/>
      <c r="J52" s="61"/>
      <c r="K52" s="1"/>
      <c r="L52" s="8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21.75" customHeight="1">
      <c r="B53" s="63" t="s">
        <v>113</v>
      </c>
      <c r="C53" s="64"/>
      <c r="D53" s="65">
        <f>COUNT(A17:A51)</f>
        <v>35</v>
      </c>
      <c r="E53" s="61"/>
      <c r="F53" s="61"/>
      <c r="G53" s="66" t="s">
        <v>114</v>
      </c>
      <c r="H53" s="66"/>
      <c r="I53" s="66" t="s">
        <v>115</v>
      </c>
      <c r="K53" s="67" t="s">
        <v>116</v>
      </c>
      <c r="L53" s="68" t="s">
        <v>117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21.75" customHeight="1">
      <c r="B54" s="69" t="s">
        <v>118</v>
      </c>
      <c r="C54" s="70"/>
      <c r="D54" s="71">
        <f>COUNTIF(K17:K51,"BAJA")</f>
        <v>0</v>
      </c>
      <c r="E54" s="61"/>
      <c r="F54" s="61"/>
      <c r="H54" s="66"/>
      <c r="L54" s="10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21.75" customHeight="1">
      <c r="B55" s="69" t="s">
        <v>119</v>
      </c>
      <c r="C55" s="70"/>
      <c r="D55" s="72">
        <f>D53-D54</f>
        <v>35</v>
      </c>
      <c r="E55" s="61"/>
      <c r="F55" s="61"/>
      <c r="G55" s="73"/>
      <c r="H55" s="74"/>
      <c r="I55" s="73"/>
      <c r="J55" s="73"/>
      <c r="K55" s="75"/>
      <c r="L55" s="76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21.75" customHeight="1">
      <c r="B56" s="69" t="s">
        <v>120</v>
      </c>
      <c r="C56" s="70"/>
      <c r="D56" s="77">
        <f>COUNTIF(K17:K51,"&gt;=6")</f>
        <v>0</v>
      </c>
      <c r="E56" s="61"/>
      <c r="F56" s="61"/>
      <c r="G56" s="73"/>
      <c r="H56" s="74"/>
      <c r="I56" s="73"/>
      <c r="J56" s="73"/>
      <c r="K56" s="75"/>
      <c r="L56" s="76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21.75" customHeight="1">
      <c r="B57" s="69" t="s">
        <v>121</v>
      </c>
      <c r="C57" s="70"/>
      <c r="D57" s="77">
        <f>D55-D56</f>
        <v>35</v>
      </c>
      <c r="E57" s="61"/>
      <c r="F57" s="61"/>
      <c r="G57" s="78"/>
      <c r="H57" s="74"/>
      <c r="I57" s="78"/>
      <c r="J57" s="78"/>
      <c r="K57" s="79"/>
      <c r="L57" s="80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27.75" customHeight="1">
      <c r="B58" s="69" t="s">
        <v>122</v>
      </c>
      <c r="C58" s="70"/>
      <c r="D58" s="81">
        <f>D56*100/D55</f>
        <v>0</v>
      </c>
      <c r="E58" s="61"/>
      <c r="F58" s="61"/>
      <c r="G58" s="82" t="s">
        <v>123</v>
      </c>
      <c r="H58" s="83"/>
      <c r="I58" s="84" t="s">
        <v>124</v>
      </c>
      <c r="K58" s="85" t="s">
        <v>125</v>
      </c>
      <c r="L58" s="86" t="s">
        <v>126</v>
      </c>
      <c r="M58" s="87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21.75" customHeight="1">
      <c r="B59" s="88" t="s">
        <v>127</v>
      </c>
      <c r="C59" s="89"/>
      <c r="D59" s="90">
        <f>AVERAGE(K17:K51)</f>
        <v>5</v>
      </c>
      <c r="E59" s="61"/>
      <c r="F59" s="61"/>
      <c r="H59" s="83"/>
      <c r="L59" s="10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3.5" customHeight="1">
      <c r="A60" s="6"/>
      <c r="B60" s="1"/>
      <c r="C60" s="1"/>
      <c r="D60" s="1"/>
      <c r="E60" s="1"/>
      <c r="F60" s="1"/>
      <c r="G60" s="1"/>
      <c r="H60" s="1"/>
      <c r="I60" s="1"/>
      <c r="J60" s="1"/>
      <c r="K60" s="1"/>
      <c r="L60" s="8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3.5" customHeight="1">
      <c r="A61" s="91"/>
      <c r="B61" s="92"/>
      <c r="C61" s="93"/>
      <c r="D61" s="93"/>
      <c r="E61" s="61"/>
      <c r="H61" s="7"/>
      <c r="I61" s="7"/>
      <c r="J61" s="7"/>
      <c r="K61" s="7"/>
      <c r="L61" s="94"/>
      <c r="M61" s="95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3.5" customHeight="1">
      <c r="A62" s="96"/>
      <c r="B62" s="61"/>
      <c r="C62" s="61"/>
      <c r="D62" s="61"/>
      <c r="E62" s="7"/>
      <c r="F62" s="7"/>
      <c r="G62" s="1"/>
      <c r="H62" s="1"/>
      <c r="I62" s="1"/>
      <c r="J62" s="1"/>
      <c r="K62" s="1"/>
      <c r="L62" s="8"/>
      <c r="M62" s="97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3.5" customHeight="1">
      <c r="A63" s="96"/>
      <c r="B63" s="61"/>
      <c r="C63" s="61"/>
      <c r="D63" s="61"/>
      <c r="E63" s="7"/>
      <c r="F63" s="7"/>
      <c r="G63" s="1"/>
      <c r="H63" s="1"/>
      <c r="I63" s="1"/>
      <c r="J63" s="1"/>
      <c r="K63" s="1"/>
      <c r="L63" s="8"/>
      <c r="M63" s="97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3.5" customHeight="1">
      <c r="A64" s="98"/>
      <c r="B64" s="99"/>
      <c r="C64" s="99"/>
      <c r="D64" s="99"/>
      <c r="E64" s="100"/>
      <c r="F64" s="100"/>
      <c r="G64" s="101"/>
      <c r="H64" s="101"/>
      <c r="I64" s="101"/>
      <c r="J64" s="101"/>
      <c r="K64" s="101"/>
      <c r="L64" s="102"/>
      <c r="M64" s="97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4.25" customHeight="1">
      <c r="A65" s="1"/>
      <c r="B65" s="103"/>
      <c r="C65" s="103"/>
      <c r="D65" s="103"/>
      <c r="E65" s="103"/>
      <c r="F65" s="103"/>
      <c r="G65" s="1"/>
      <c r="H65" s="1"/>
      <c r="I65" s="1"/>
      <c r="J65" s="1"/>
      <c r="K65" s="104"/>
      <c r="L65" s="104"/>
      <c r="M65" s="104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4.25" customHeight="1">
      <c r="A66" s="1"/>
      <c r="B66" s="103"/>
      <c r="C66" s="103"/>
      <c r="D66" s="103"/>
      <c r="E66" s="103"/>
      <c r="F66" s="103"/>
      <c r="G66" s="1"/>
      <c r="H66" s="1"/>
      <c r="I66" s="1"/>
      <c r="J66" s="1"/>
      <c r="K66" s="104"/>
      <c r="L66" s="104"/>
      <c r="M66" s="104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4.25" customHeight="1">
      <c r="A67" s="1"/>
      <c r="B67" s="103"/>
      <c r="C67" s="103"/>
      <c r="D67" s="103"/>
      <c r="E67" s="103"/>
      <c r="F67" s="103"/>
      <c r="G67" s="1"/>
      <c r="H67" s="1"/>
      <c r="I67" s="1"/>
      <c r="J67" s="1"/>
      <c r="K67" s="104"/>
      <c r="L67" s="104"/>
      <c r="M67" s="104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4.25" customHeight="1">
      <c r="A68" s="1"/>
      <c r="B68" s="103"/>
      <c r="C68" s="103"/>
      <c r="D68" s="103"/>
      <c r="E68" s="103"/>
      <c r="F68" s="103"/>
      <c r="G68" s="1"/>
      <c r="H68" s="1"/>
      <c r="I68" s="1"/>
      <c r="J68" s="1"/>
      <c r="K68" s="104"/>
      <c r="L68" s="104"/>
      <c r="M68" s="104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4.25" customHeight="1">
      <c r="A69" s="1"/>
      <c r="B69" s="103"/>
      <c r="C69" s="103"/>
      <c r="D69" s="103"/>
      <c r="E69" s="103"/>
      <c r="F69" s="103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4.25" customHeight="1">
      <c r="A70" s="1"/>
      <c r="B70" s="103"/>
      <c r="C70" s="103"/>
      <c r="D70" s="103"/>
      <c r="E70" s="103"/>
      <c r="F70" s="103"/>
      <c r="G70" s="1"/>
      <c r="H70" s="1"/>
      <c r="I70" s="1"/>
      <c r="J70" s="1"/>
      <c r="K70" s="1"/>
      <c r="L70" s="105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4.25" customHeight="1">
      <c r="A71" s="1"/>
      <c r="B71" s="103"/>
      <c r="C71" s="103"/>
      <c r="D71" s="103"/>
      <c r="E71" s="103"/>
      <c r="F71" s="103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4.25" customHeight="1">
      <c r="A72" s="1"/>
      <c r="B72" s="103"/>
      <c r="C72" s="103"/>
      <c r="D72" s="103"/>
      <c r="E72" s="103"/>
      <c r="F72" s="103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4.25" customHeight="1">
      <c r="A73" s="1"/>
      <c r="B73" s="103"/>
      <c r="C73" s="103"/>
      <c r="D73" s="103"/>
      <c r="E73" s="103"/>
      <c r="F73" s="103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4.25" customHeight="1">
      <c r="A74" s="1"/>
      <c r="B74" s="103"/>
      <c r="C74" s="103"/>
      <c r="D74" s="103"/>
      <c r="E74" s="103"/>
      <c r="F74" s="103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4.25" customHeight="1">
      <c r="A75" s="1"/>
      <c r="B75" s="103"/>
      <c r="C75" s="103"/>
      <c r="D75" s="103"/>
      <c r="E75" s="103"/>
      <c r="F75" s="103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4.25" customHeight="1">
      <c r="A76" s="1"/>
      <c r="B76" s="103"/>
      <c r="C76" s="103"/>
      <c r="D76" s="103"/>
      <c r="E76" s="103"/>
      <c r="F76" s="103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</sheetData>
  <mergeCells count="29">
    <mergeCell ref="F14:F15"/>
    <mergeCell ref="G14:G15"/>
    <mergeCell ref="G53:G54"/>
    <mergeCell ref="I53:J54"/>
    <mergeCell ref="K53:K54"/>
    <mergeCell ref="L53:L54"/>
    <mergeCell ref="A9:L9"/>
    <mergeCell ref="E10:L10"/>
    <mergeCell ref="A13:B13"/>
    <mergeCell ref="C13:D13"/>
    <mergeCell ref="H13:H15"/>
    <mergeCell ref="I13:I14"/>
    <mergeCell ref="J13:L14"/>
    <mergeCell ref="J15:L15"/>
    <mergeCell ref="B57:C57"/>
    <mergeCell ref="B58:C58"/>
    <mergeCell ref="G58:G59"/>
    <mergeCell ref="I58:J59"/>
    <mergeCell ref="K58:K59"/>
    <mergeCell ref="L58:L59"/>
    <mergeCell ref="B59:C59"/>
    <mergeCell ref="E61:G61"/>
    <mergeCell ref="B14:D14"/>
    <mergeCell ref="E14:E15"/>
    <mergeCell ref="B16:D16"/>
    <mergeCell ref="B53:C53"/>
    <mergeCell ref="B54:C54"/>
    <mergeCell ref="B55:C55"/>
    <mergeCell ref="B56:C56"/>
  </mergeCells>
  <conditionalFormatting sqref="B28:D28 B30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 B30:D30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K17:L51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2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1"/>
      <c r="L3" s="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1"/>
      <c r="L4" s="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1"/>
      <c r="L5" s="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1"/>
      <c r="L6" s="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1"/>
      <c r="L7" s="8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1"/>
      <c r="L8" s="8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23.25" customHeight="1">
      <c r="A9" s="9" t="s">
        <v>0</v>
      </c>
      <c r="L9" s="1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9.75" customHeight="1">
      <c r="A10" s="6"/>
      <c r="B10" s="7"/>
      <c r="C10" s="7"/>
      <c r="D10" s="7"/>
      <c r="E10" s="11"/>
      <c r="L10" s="10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9.5" customHeight="1">
      <c r="A11" s="6"/>
      <c r="B11" s="12" t="s">
        <v>1</v>
      </c>
      <c r="C11" s="12"/>
      <c r="D11" s="12"/>
      <c r="E11" s="13"/>
      <c r="F11" s="13"/>
      <c r="G11" s="1"/>
      <c r="H11" s="1"/>
      <c r="I11" s="1"/>
      <c r="J11" s="1"/>
      <c r="K11" s="13"/>
      <c r="L11" s="1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12.75" customHeight="1">
      <c r="A12" s="6"/>
      <c r="B12" s="15"/>
      <c r="C12" s="15"/>
      <c r="D12" s="15"/>
      <c r="E12" s="13"/>
      <c r="F12" s="13"/>
      <c r="G12" s="1"/>
      <c r="H12" s="1"/>
      <c r="I12" s="1"/>
      <c r="J12" s="1"/>
      <c r="K12" s="13"/>
      <c r="L12" s="1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32.25" customHeight="1">
      <c r="A13" s="16" t="s">
        <v>2</v>
      </c>
      <c r="B13" s="17"/>
      <c r="C13" s="18"/>
      <c r="D13" s="17"/>
      <c r="E13" s="19" t="s">
        <v>3</v>
      </c>
      <c r="F13" s="19" t="s">
        <v>4</v>
      </c>
      <c r="G13" s="20" t="s">
        <v>5</v>
      </c>
      <c r="H13" s="21" t="s">
        <v>6</v>
      </c>
      <c r="I13" s="22">
        <v>1.0</v>
      </c>
      <c r="J13" s="23" t="s">
        <v>7</v>
      </c>
      <c r="K13" s="24"/>
      <c r="L13" s="2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35.25" customHeight="1">
      <c r="A14" s="26" t="s">
        <v>8</v>
      </c>
      <c r="B14" s="27" t="s">
        <v>130</v>
      </c>
      <c r="C14" s="28"/>
      <c r="D14" s="29"/>
      <c r="E14" s="30" t="s">
        <v>10</v>
      </c>
      <c r="F14" s="30" t="s">
        <v>11</v>
      </c>
      <c r="G14" s="31" t="s">
        <v>12</v>
      </c>
      <c r="H14" s="32"/>
      <c r="I14" s="33"/>
      <c r="J14" s="34"/>
      <c r="K14" s="35"/>
      <c r="L14" s="3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24.75" customHeight="1">
      <c r="A15" s="37" t="s">
        <v>13</v>
      </c>
      <c r="B15" s="38" t="s">
        <v>14</v>
      </c>
      <c r="C15" s="39" t="s">
        <v>15</v>
      </c>
      <c r="D15" s="39">
        <v>3.0</v>
      </c>
      <c r="E15" s="33"/>
      <c r="F15" s="33"/>
      <c r="G15" s="33"/>
      <c r="H15" s="40"/>
      <c r="I15" s="41"/>
      <c r="J15" s="42"/>
      <c r="K15" s="28"/>
      <c r="L15" s="43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40.5" customHeight="1">
      <c r="A16" s="44" t="s">
        <v>16</v>
      </c>
      <c r="B16" s="45" t="s">
        <v>17</v>
      </c>
      <c r="C16" s="28"/>
      <c r="D16" s="29"/>
      <c r="E16" s="46"/>
      <c r="F16" s="46"/>
      <c r="G16" s="47"/>
      <c r="H16" s="48"/>
      <c r="I16" s="49" t="s">
        <v>18</v>
      </c>
      <c r="J16" s="50" t="s">
        <v>19</v>
      </c>
      <c r="K16" s="50" t="s">
        <v>20</v>
      </c>
      <c r="L16" s="51" t="s">
        <v>21</v>
      </c>
      <c r="M16" s="50" t="s">
        <v>20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24.75" customHeight="1">
      <c r="A17" s="52">
        <v>1.0</v>
      </c>
      <c r="B17" s="53" t="s">
        <v>22</v>
      </c>
      <c r="C17" s="53" t="s">
        <v>23</v>
      </c>
      <c r="D17" s="54" t="s">
        <v>24</v>
      </c>
      <c r="E17" s="55"/>
      <c r="F17" s="55"/>
      <c r="G17" s="55"/>
      <c r="H17" s="55"/>
      <c r="I17" s="56">
        <f t="shared" ref="I17:I51" si="1">SUM(E17:H17)</f>
        <v>0</v>
      </c>
      <c r="J17" s="57"/>
      <c r="K17" s="58">
        <f t="shared" ref="K17:K51" si="2">IF(M17&lt;6,5,M17)</f>
        <v>5</v>
      </c>
      <c r="L17" s="59"/>
      <c r="M17" s="60">
        <f t="shared" ref="M17:M51" si="3">IF(I17&gt;=6,ROUND(I17,0),TRUNC(I17,0))</f>
        <v>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24.75" customHeight="1">
      <c r="A18" s="52">
        <v>2.0</v>
      </c>
      <c r="B18" s="53" t="s">
        <v>25</v>
      </c>
      <c r="C18" s="53" t="s">
        <v>26</v>
      </c>
      <c r="D18" s="54" t="s">
        <v>27</v>
      </c>
      <c r="E18" s="55"/>
      <c r="F18" s="55"/>
      <c r="G18" s="55"/>
      <c r="H18" s="55"/>
      <c r="I18" s="56">
        <f t="shared" si="1"/>
        <v>0</v>
      </c>
      <c r="J18" s="57"/>
      <c r="K18" s="58">
        <f t="shared" si="2"/>
        <v>5</v>
      </c>
      <c r="L18" s="52"/>
      <c r="M18" s="60">
        <f t="shared" si="3"/>
        <v>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24.75" customHeight="1">
      <c r="A19" s="52">
        <v>3.0</v>
      </c>
      <c r="B19" s="53" t="s">
        <v>28</v>
      </c>
      <c r="C19" s="53" t="s">
        <v>29</v>
      </c>
      <c r="D19" s="54" t="s">
        <v>30</v>
      </c>
      <c r="E19" s="55"/>
      <c r="F19" s="55"/>
      <c r="G19" s="55"/>
      <c r="H19" s="55"/>
      <c r="I19" s="56">
        <f t="shared" si="1"/>
        <v>0</v>
      </c>
      <c r="J19" s="57"/>
      <c r="K19" s="58">
        <f t="shared" si="2"/>
        <v>5</v>
      </c>
      <c r="L19" s="52"/>
      <c r="M19" s="60">
        <f t="shared" si="3"/>
        <v>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24.75" customHeight="1">
      <c r="A20" s="52">
        <v>4.0</v>
      </c>
      <c r="B20" s="53" t="s">
        <v>31</v>
      </c>
      <c r="C20" s="53" t="s">
        <v>32</v>
      </c>
      <c r="D20" s="54" t="s">
        <v>33</v>
      </c>
      <c r="E20" s="55"/>
      <c r="F20" s="55"/>
      <c r="G20" s="55"/>
      <c r="H20" s="55"/>
      <c r="I20" s="56">
        <f t="shared" si="1"/>
        <v>0</v>
      </c>
      <c r="J20" s="57"/>
      <c r="K20" s="58">
        <f t="shared" si="2"/>
        <v>5</v>
      </c>
      <c r="L20" s="52"/>
      <c r="M20" s="60">
        <f t="shared" si="3"/>
        <v>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24.75" customHeight="1">
      <c r="A21" s="52">
        <v>5.0</v>
      </c>
      <c r="B21" s="53" t="s">
        <v>34</v>
      </c>
      <c r="C21" s="53" t="s">
        <v>35</v>
      </c>
      <c r="D21" s="54" t="s">
        <v>36</v>
      </c>
      <c r="E21" s="55"/>
      <c r="F21" s="55"/>
      <c r="G21" s="55"/>
      <c r="H21" s="55"/>
      <c r="I21" s="56">
        <f t="shared" si="1"/>
        <v>0</v>
      </c>
      <c r="J21" s="57"/>
      <c r="K21" s="58">
        <f t="shared" si="2"/>
        <v>5</v>
      </c>
      <c r="L21" s="52"/>
      <c r="M21" s="60">
        <f t="shared" si="3"/>
        <v>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24.75" customHeight="1">
      <c r="A22" s="52">
        <v>6.0</v>
      </c>
      <c r="B22" s="53" t="s">
        <v>37</v>
      </c>
      <c r="C22" s="53" t="s">
        <v>38</v>
      </c>
      <c r="D22" s="54" t="s">
        <v>39</v>
      </c>
      <c r="E22" s="55"/>
      <c r="F22" s="55"/>
      <c r="G22" s="55"/>
      <c r="H22" s="55"/>
      <c r="I22" s="56">
        <f t="shared" si="1"/>
        <v>0</v>
      </c>
      <c r="J22" s="57"/>
      <c r="K22" s="58">
        <f t="shared" si="2"/>
        <v>5</v>
      </c>
      <c r="L22" s="52"/>
      <c r="M22" s="60">
        <f t="shared" si="3"/>
        <v>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24.75" customHeight="1">
      <c r="A23" s="52">
        <v>7.0</v>
      </c>
      <c r="B23" s="53" t="s">
        <v>37</v>
      </c>
      <c r="C23" s="53" t="s">
        <v>40</v>
      </c>
      <c r="D23" s="54" t="s">
        <v>41</v>
      </c>
      <c r="E23" s="55"/>
      <c r="F23" s="55"/>
      <c r="G23" s="55"/>
      <c r="H23" s="55"/>
      <c r="I23" s="56">
        <f t="shared" si="1"/>
        <v>0</v>
      </c>
      <c r="J23" s="57"/>
      <c r="K23" s="58">
        <f t="shared" si="2"/>
        <v>5</v>
      </c>
      <c r="L23" s="52"/>
      <c r="M23" s="60">
        <f t="shared" si="3"/>
        <v>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24.75" customHeight="1">
      <c r="A24" s="52">
        <v>8.0</v>
      </c>
      <c r="B24" s="53" t="s">
        <v>42</v>
      </c>
      <c r="C24" s="53" t="s">
        <v>43</v>
      </c>
      <c r="D24" s="54" t="s">
        <v>44</v>
      </c>
      <c r="E24" s="55"/>
      <c r="F24" s="55"/>
      <c r="G24" s="55"/>
      <c r="H24" s="55"/>
      <c r="I24" s="56">
        <f t="shared" si="1"/>
        <v>0</v>
      </c>
      <c r="J24" s="57"/>
      <c r="K24" s="58">
        <f t="shared" si="2"/>
        <v>5</v>
      </c>
      <c r="L24" s="52"/>
      <c r="M24" s="60">
        <f t="shared" si="3"/>
        <v>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24.75" customHeight="1">
      <c r="A25" s="52">
        <v>9.0</v>
      </c>
      <c r="B25" s="53" t="s">
        <v>45</v>
      </c>
      <c r="C25" s="53" t="s">
        <v>46</v>
      </c>
      <c r="D25" s="54" t="s">
        <v>47</v>
      </c>
      <c r="E25" s="55"/>
      <c r="F25" s="55"/>
      <c r="G25" s="55"/>
      <c r="H25" s="55"/>
      <c r="I25" s="56">
        <f t="shared" si="1"/>
        <v>0</v>
      </c>
      <c r="J25" s="57"/>
      <c r="K25" s="58">
        <f t="shared" si="2"/>
        <v>5</v>
      </c>
      <c r="L25" s="52"/>
      <c r="M25" s="60">
        <f t="shared" si="3"/>
        <v>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24.75" customHeight="1">
      <c r="A26" s="52">
        <v>10.0</v>
      </c>
      <c r="B26" s="53" t="s">
        <v>48</v>
      </c>
      <c r="C26" s="53" t="s">
        <v>49</v>
      </c>
      <c r="D26" s="54" t="s">
        <v>50</v>
      </c>
      <c r="E26" s="55"/>
      <c r="F26" s="55"/>
      <c r="G26" s="55"/>
      <c r="H26" s="55"/>
      <c r="I26" s="56">
        <f t="shared" si="1"/>
        <v>0</v>
      </c>
      <c r="J26" s="57"/>
      <c r="K26" s="58">
        <f t="shared" si="2"/>
        <v>5</v>
      </c>
      <c r="L26" s="52"/>
      <c r="M26" s="60">
        <f t="shared" si="3"/>
        <v>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24.75" customHeight="1">
      <c r="A27" s="52">
        <v>11.0</v>
      </c>
      <c r="B27" s="53" t="s">
        <v>48</v>
      </c>
      <c r="C27" s="53" t="s">
        <v>51</v>
      </c>
      <c r="D27" s="53" t="s">
        <v>52</v>
      </c>
      <c r="E27" s="55"/>
      <c r="F27" s="55"/>
      <c r="G27" s="55"/>
      <c r="H27" s="55"/>
      <c r="I27" s="56">
        <f t="shared" si="1"/>
        <v>0</v>
      </c>
      <c r="J27" s="57"/>
      <c r="K27" s="58">
        <f t="shared" si="2"/>
        <v>5</v>
      </c>
      <c r="L27" s="52"/>
      <c r="M27" s="60">
        <f t="shared" si="3"/>
        <v>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24.75" customHeight="1">
      <c r="A28" s="52">
        <v>12.0</v>
      </c>
      <c r="B28" s="53" t="s">
        <v>53</v>
      </c>
      <c r="C28" s="53" t="s">
        <v>54</v>
      </c>
      <c r="D28" s="54" t="s">
        <v>55</v>
      </c>
      <c r="E28" s="55"/>
      <c r="F28" s="55"/>
      <c r="G28" s="55"/>
      <c r="H28" s="55"/>
      <c r="I28" s="56">
        <f t="shared" si="1"/>
        <v>0</v>
      </c>
      <c r="J28" s="57"/>
      <c r="K28" s="58">
        <f t="shared" si="2"/>
        <v>5</v>
      </c>
      <c r="L28" s="52"/>
      <c r="M28" s="60">
        <f t="shared" si="3"/>
        <v>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24.75" customHeight="1">
      <c r="A29" s="52">
        <v>13.0</v>
      </c>
      <c r="B29" s="53" t="s">
        <v>56</v>
      </c>
      <c r="C29" s="53" t="s">
        <v>57</v>
      </c>
      <c r="D29" s="54" t="s">
        <v>58</v>
      </c>
      <c r="E29" s="55"/>
      <c r="F29" s="55"/>
      <c r="G29" s="55"/>
      <c r="H29" s="55"/>
      <c r="I29" s="56">
        <f t="shared" si="1"/>
        <v>0</v>
      </c>
      <c r="J29" s="57"/>
      <c r="K29" s="58">
        <f t="shared" si="2"/>
        <v>5</v>
      </c>
      <c r="L29" s="52"/>
      <c r="M29" s="60">
        <f t="shared" si="3"/>
        <v>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24.75" customHeight="1">
      <c r="A30" s="52">
        <v>14.0</v>
      </c>
      <c r="B30" s="53" t="s">
        <v>57</v>
      </c>
      <c r="C30" s="53" t="s">
        <v>59</v>
      </c>
      <c r="D30" s="54" t="s">
        <v>60</v>
      </c>
      <c r="E30" s="55"/>
      <c r="F30" s="55"/>
      <c r="G30" s="55"/>
      <c r="H30" s="55"/>
      <c r="I30" s="56">
        <f t="shared" si="1"/>
        <v>0</v>
      </c>
      <c r="J30" s="57"/>
      <c r="K30" s="58">
        <f t="shared" si="2"/>
        <v>5</v>
      </c>
      <c r="L30" s="52"/>
      <c r="M30" s="60">
        <f t="shared" si="3"/>
        <v>0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24.75" customHeight="1">
      <c r="A31" s="52">
        <v>15.0</v>
      </c>
      <c r="B31" s="53" t="s">
        <v>61</v>
      </c>
      <c r="C31" s="53" t="s">
        <v>62</v>
      </c>
      <c r="D31" s="54" t="s">
        <v>63</v>
      </c>
      <c r="E31" s="55"/>
      <c r="F31" s="55"/>
      <c r="G31" s="55"/>
      <c r="H31" s="55"/>
      <c r="I31" s="56">
        <f t="shared" si="1"/>
        <v>0</v>
      </c>
      <c r="J31" s="57"/>
      <c r="K31" s="58">
        <f t="shared" si="2"/>
        <v>5</v>
      </c>
      <c r="L31" s="52"/>
      <c r="M31" s="60">
        <f t="shared" si="3"/>
        <v>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24.75" customHeight="1">
      <c r="A32" s="52">
        <v>16.0</v>
      </c>
      <c r="B32" s="53" t="s">
        <v>64</v>
      </c>
      <c r="C32" s="53" t="s">
        <v>65</v>
      </c>
      <c r="D32" s="54" t="s">
        <v>66</v>
      </c>
      <c r="E32" s="55"/>
      <c r="F32" s="55"/>
      <c r="G32" s="55"/>
      <c r="H32" s="55"/>
      <c r="I32" s="56">
        <f t="shared" si="1"/>
        <v>0</v>
      </c>
      <c r="J32" s="57"/>
      <c r="K32" s="58">
        <f t="shared" si="2"/>
        <v>5</v>
      </c>
      <c r="L32" s="52"/>
      <c r="M32" s="60">
        <f t="shared" si="3"/>
        <v>0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24.75" customHeight="1">
      <c r="A33" s="52">
        <v>17.0</v>
      </c>
      <c r="B33" s="53" t="s">
        <v>64</v>
      </c>
      <c r="C33" s="53" t="s">
        <v>67</v>
      </c>
      <c r="D33" s="54" t="s">
        <v>68</v>
      </c>
      <c r="E33" s="55"/>
      <c r="F33" s="55"/>
      <c r="G33" s="55"/>
      <c r="H33" s="55"/>
      <c r="I33" s="56">
        <f t="shared" si="1"/>
        <v>0</v>
      </c>
      <c r="J33" s="57"/>
      <c r="K33" s="58">
        <f t="shared" si="2"/>
        <v>5</v>
      </c>
      <c r="L33" s="52"/>
      <c r="M33" s="60">
        <f t="shared" si="3"/>
        <v>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24.75" customHeight="1">
      <c r="A34" s="52">
        <v>18.0</v>
      </c>
      <c r="B34" s="53" t="s">
        <v>69</v>
      </c>
      <c r="C34" s="53" t="s">
        <v>70</v>
      </c>
      <c r="D34" s="54" t="s">
        <v>71</v>
      </c>
      <c r="E34" s="55"/>
      <c r="F34" s="55"/>
      <c r="G34" s="55"/>
      <c r="H34" s="55"/>
      <c r="I34" s="56">
        <f t="shared" si="1"/>
        <v>0</v>
      </c>
      <c r="J34" s="57"/>
      <c r="K34" s="58">
        <f t="shared" si="2"/>
        <v>5</v>
      </c>
      <c r="L34" s="52"/>
      <c r="M34" s="60">
        <f t="shared" si="3"/>
        <v>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24.75" customHeight="1">
      <c r="A35" s="52">
        <v>19.0</v>
      </c>
      <c r="B35" s="53" t="s">
        <v>26</v>
      </c>
      <c r="C35" s="53" t="s">
        <v>72</v>
      </c>
      <c r="D35" s="54" t="s">
        <v>73</v>
      </c>
      <c r="E35" s="55"/>
      <c r="F35" s="55"/>
      <c r="G35" s="55"/>
      <c r="H35" s="55"/>
      <c r="I35" s="56">
        <f t="shared" si="1"/>
        <v>0</v>
      </c>
      <c r="J35" s="57"/>
      <c r="K35" s="58">
        <f t="shared" si="2"/>
        <v>5</v>
      </c>
      <c r="L35" s="52"/>
      <c r="M35" s="60">
        <f t="shared" si="3"/>
        <v>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24.75" customHeight="1">
      <c r="A36" s="52">
        <v>20.0</v>
      </c>
      <c r="B36" s="53" t="s">
        <v>74</v>
      </c>
      <c r="C36" s="53" t="s">
        <v>75</v>
      </c>
      <c r="D36" s="54" t="s">
        <v>76</v>
      </c>
      <c r="E36" s="55"/>
      <c r="F36" s="55"/>
      <c r="G36" s="55"/>
      <c r="H36" s="55"/>
      <c r="I36" s="56">
        <f t="shared" si="1"/>
        <v>0</v>
      </c>
      <c r="J36" s="57"/>
      <c r="K36" s="58">
        <f t="shared" si="2"/>
        <v>5</v>
      </c>
      <c r="L36" s="52"/>
      <c r="M36" s="60">
        <f t="shared" si="3"/>
        <v>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24.75" customHeight="1">
      <c r="A37" s="52">
        <v>21.0</v>
      </c>
      <c r="B37" s="53" t="s">
        <v>77</v>
      </c>
      <c r="C37" s="53" t="s">
        <v>26</v>
      </c>
      <c r="D37" s="54" t="s">
        <v>78</v>
      </c>
      <c r="E37" s="55"/>
      <c r="F37" s="55"/>
      <c r="G37" s="55"/>
      <c r="H37" s="55"/>
      <c r="I37" s="56">
        <f t="shared" si="1"/>
        <v>0</v>
      </c>
      <c r="J37" s="57"/>
      <c r="K37" s="58">
        <f t="shared" si="2"/>
        <v>5</v>
      </c>
      <c r="L37" s="52"/>
      <c r="M37" s="60">
        <f t="shared" si="3"/>
        <v>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24.75" customHeight="1">
      <c r="A38" s="52">
        <v>22.0</v>
      </c>
      <c r="B38" s="53" t="s">
        <v>79</v>
      </c>
      <c r="C38" s="53" t="s">
        <v>80</v>
      </c>
      <c r="D38" s="54" t="s">
        <v>81</v>
      </c>
      <c r="E38" s="55"/>
      <c r="F38" s="55"/>
      <c r="G38" s="55"/>
      <c r="H38" s="55"/>
      <c r="I38" s="56">
        <f t="shared" si="1"/>
        <v>0</v>
      </c>
      <c r="J38" s="57"/>
      <c r="K38" s="58">
        <f t="shared" si="2"/>
        <v>5</v>
      </c>
      <c r="L38" s="52"/>
      <c r="M38" s="60">
        <f t="shared" si="3"/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24.75" customHeight="1">
      <c r="A39" s="52">
        <v>23.0</v>
      </c>
      <c r="B39" s="53" t="s">
        <v>82</v>
      </c>
      <c r="C39" s="53" t="s">
        <v>83</v>
      </c>
      <c r="D39" s="54" t="s">
        <v>84</v>
      </c>
      <c r="E39" s="55"/>
      <c r="F39" s="55"/>
      <c r="G39" s="55"/>
      <c r="H39" s="55"/>
      <c r="I39" s="56">
        <f t="shared" si="1"/>
        <v>0</v>
      </c>
      <c r="J39" s="57"/>
      <c r="K39" s="58">
        <f t="shared" si="2"/>
        <v>5</v>
      </c>
      <c r="L39" s="52"/>
      <c r="M39" s="60">
        <f t="shared" si="3"/>
        <v>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24.75" customHeight="1">
      <c r="A40" s="52">
        <v>24.0</v>
      </c>
      <c r="B40" s="53" t="s">
        <v>85</v>
      </c>
      <c r="C40" s="53" t="s">
        <v>86</v>
      </c>
      <c r="D40" s="54" t="s">
        <v>87</v>
      </c>
      <c r="E40" s="55"/>
      <c r="F40" s="55"/>
      <c r="G40" s="55"/>
      <c r="H40" s="55"/>
      <c r="I40" s="56">
        <f t="shared" si="1"/>
        <v>0</v>
      </c>
      <c r="J40" s="57"/>
      <c r="K40" s="58">
        <f t="shared" si="2"/>
        <v>5</v>
      </c>
      <c r="L40" s="52"/>
      <c r="M40" s="60">
        <f t="shared" si="3"/>
        <v>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24.75" customHeight="1">
      <c r="A41" s="52">
        <v>25.0</v>
      </c>
      <c r="B41" s="53" t="s">
        <v>88</v>
      </c>
      <c r="C41" s="53" t="s">
        <v>89</v>
      </c>
      <c r="D41" s="54" t="s">
        <v>90</v>
      </c>
      <c r="E41" s="55"/>
      <c r="F41" s="55"/>
      <c r="G41" s="55"/>
      <c r="H41" s="55"/>
      <c r="I41" s="56">
        <f t="shared" si="1"/>
        <v>0</v>
      </c>
      <c r="J41" s="57"/>
      <c r="K41" s="58">
        <f t="shared" si="2"/>
        <v>5</v>
      </c>
      <c r="L41" s="52"/>
      <c r="M41" s="60">
        <f t="shared" si="3"/>
        <v>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24.75" customHeight="1">
      <c r="A42" s="52">
        <v>26.0</v>
      </c>
      <c r="B42" s="53" t="s">
        <v>91</v>
      </c>
      <c r="C42" s="53" t="s">
        <v>92</v>
      </c>
      <c r="D42" s="54" t="s">
        <v>93</v>
      </c>
      <c r="E42" s="55"/>
      <c r="F42" s="55"/>
      <c r="G42" s="55"/>
      <c r="H42" s="55"/>
      <c r="I42" s="56">
        <f t="shared" si="1"/>
        <v>0</v>
      </c>
      <c r="J42" s="57"/>
      <c r="K42" s="58">
        <f t="shared" si="2"/>
        <v>5</v>
      </c>
      <c r="L42" s="52"/>
      <c r="M42" s="60">
        <f t="shared" si="3"/>
        <v>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24.75" customHeight="1">
      <c r="A43" s="52">
        <v>27.0</v>
      </c>
      <c r="B43" s="53" t="s">
        <v>94</v>
      </c>
      <c r="C43" s="53" t="s">
        <v>95</v>
      </c>
      <c r="D43" s="54" t="s">
        <v>96</v>
      </c>
      <c r="E43" s="55"/>
      <c r="F43" s="55"/>
      <c r="G43" s="55"/>
      <c r="H43" s="55"/>
      <c r="I43" s="56">
        <f t="shared" si="1"/>
        <v>0</v>
      </c>
      <c r="J43" s="57"/>
      <c r="K43" s="58">
        <f t="shared" si="2"/>
        <v>5</v>
      </c>
      <c r="L43" s="52"/>
      <c r="M43" s="60">
        <f t="shared" si="3"/>
        <v>0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24.75" customHeight="1">
      <c r="A44" s="52">
        <v>28.0</v>
      </c>
      <c r="B44" s="53" t="s">
        <v>94</v>
      </c>
      <c r="C44" s="53" t="s">
        <v>97</v>
      </c>
      <c r="D44" s="54" t="s">
        <v>98</v>
      </c>
      <c r="E44" s="55"/>
      <c r="F44" s="55"/>
      <c r="G44" s="55"/>
      <c r="H44" s="55"/>
      <c r="I44" s="56">
        <f t="shared" si="1"/>
        <v>0</v>
      </c>
      <c r="J44" s="57"/>
      <c r="K44" s="58">
        <f t="shared" si="2"/>
        <v>5</v>
      </c>
      <c r="L44" s="52"/>
      <c r="M44" s="60">
        <f t="shared" si="3"/>
        <v>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24.75" customHeight="1">
      <c r="A45" s="52">
        <v>29.0</v>
      </c>
      <c r="B45" s="53" t="s">
        <v>94</v>
      </c>
      <c r="C45" s="53" t="s">
        <v>99</v>
      </c>
      <c r="D45" s="54" t="s">
        <v>100</v>
      </c>
      <c r="E45" s="55"/>
      <c r="F45" s="55"/>
      <c r="G45" s="55"/>
      <c r="H45" s="55"/>
      <c r="I45" s="56">
        <f t="shared" si="1"/>
        <v>0</v>
      </c>
      <c r="J45" s="57"/>
      <c r="K45" s="58">
        <f t="shared" si="2"/>
        <v>5</v>
      </c>
      <c r="L45" s="52"/>
      <c r="M45" s="60">
        <f t="shared" si="3"/>
        <v>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24.75" customHeight="1">
      <c r="A46" s="52">
        <v>30.0</v>
      </c>
      <c r="B46" s="53" t="s">
        <v>101</v>
      </c>
      <c r="C46" s="53" t="s">
        <v>64</v>
      </c>
      <c r="D46" s="54" t="s">
        <v>102</v>
      </c>
      <c r="E46" s="55"/>
      <c r="F46" s="55"/>
      <c r="G46" s="55"/>
      <c r="H46" s="55"/>
      <c r="I46" s="56">
        <f t="shared" si="1"/>
        <v>0</v>
      </c>
      <c r="J46" s="57"/>
      <c r="K46" s="58">
        <f t="shared" si="2"/>
        <v>5</v>
      </c>
      <c r="L46" s="52"/>
      <c r="M46" s="60">
        <f t="shared" si="3"/>
        <v>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24.75" customHeight="1">
      <c r="A47" s="52">
        <v>31.0</v>
      </c>
      <c r="B47" s="53" t="s">
        <v>103</v>
      </c>
      <c r="C47" s="53" t="s">
        <v>104</v>
      </c>
      <c r="D47" s="54" t="s">
        <v>105</v>
      </c>
      <c r="E47" s="55"/>
      <c r="F47" s="55"/>
      <c r="G47" s="55"/>
      <c r="H47" s="55"/>
      <c r="I47" s="56">
        <f t="shared" si="1"/>
        <v>0</v>
      </c>
      <c r="J47" s="57"/>
      <c r="K47" s="58">
        <f t="shared" si="2"/>
        <v>5</v>
      </c>
      <c r="L47" s="52"/>
      <c r="M47" s="60">
        <f t="shared" si="3"/>
        <v>0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24.75" customHeight="1">
      <c r="A48" s="52">
        <v>32.0</v>
      </c>
      <c r="B48" s="53" t="s">
        <v>65</v>
      </c>
      <c r="C48" s="53" t="s">
        <v>106</v>
      </c>
      <c r="D48" s="54" t="s">
        <v>107</v>
      </c>
      <c r="E48" s="55"/>
      <c r="F48" s="55"/>
      <c r="G48" s="55"/>
      <c r="H48" s="55"/>
      <c r="I48" s="56">
        <f t="shared" si="1"/>
        <v>0</v>
      </c>
      <c r="J48" s="57"/>
      <c r="K48" s="58">
        <f t="shared" si="2"/>
        <v>5</v>
      </c>
      <c r="L48" s="52"/>
      <c r="M48" s="60">
        <f t="shared" si="3"/>
        <v>0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24.75" customHeight="1">
      <c r="A49" s="52">
        <v>33.0</v>
      </c>
      <c r="B49" s="53" t="s">
        <v>108</v>
      </c>
      <c r="C49" s="53" t="s">
        <v>94</v>
      </c>
      <c r="D49" s="54" t="s">
        <v>41</v>
      </c>
      <c r="E49" s="55"/>
      <c r="F49" s="55"/>
      <c r="G49" s="55"/>
      <c r="H49" s="55"/>
      <c r="I49" s="56">
        <f t="shared" si="1"/>
        <v>0</v>
      </c>
      <c r="J49" s="57"/>
      <c r="K49" s="58">
        <f t="shared" si="2"/>
        <v>5</v>
      </c>
      <c r="L49" s="52"/>
      <c r="M49" s="60">
        <f t="shared" si="3"/>
        <v>0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24.75" customHeight="1">
      <c r="A50" s="52">
        <v>34.0</v>
      </c>
      <c r="B50" s="53" t="s">
        <v>83</v>
      </c>
      <c r="C50" s="53" t="s">
        <v>59</v>
      </c>
      <c r="D50" s="54" t="s">
        <v>109</v>
      </c>
      <c r="E50" s="55"/>
      <c r="F50" s="55"/>
      <c r="G50" s="55"/>
      <c r="H50" s="55"/>
      <c r="I50" s="56">
        <f t="shared" si="1"/>
        <v>0</v>
      </c>
      <c r="J50" s="57"/>
      <c r="K50" s="58">
        <f t="shared" si="2"/>
        <v>5</v>
      </c>
      <c r="L50" s="52"/>
      <c r="M50" s="60">
        <f t="shared" si="3"/>
        <v>0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24.75" customHeight="1">
      <c r="A51" s="52">
        <v>35.0</v>
      </c>
      <c r="B51" s="53" t="s">
        <v>110</v>
      </c>
      <c r="C51" s="53" t="s">
        <v>111</v>
      </c>
      <c r="D51" s="54" t="s">
        <v>112</v>
      </c>
      <c r="E51" s="55"/>
      <c r="F51" s="55"/>
      <c r="G51" s="55"/>
      <c r="H51" s="55"/>
      <c r="I51" s="56">
        <f t="shared" si="1"/>
        <v>0</v>
      </c>
      <c r="J51" s="57"/>
      <c r="K51" s="58">
        <f t="shared" si="2"/>
        <v>5</v>
      </c>
      <c r="L51" s="52"/>
      <c r="M51" s="60">
        <f t="shared" si="3"/>
        <v>0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3.5" customHeight="1">
      <c r="A52" s="6"/>
      <c r="B52" s="61"/>
      <c r="C52" s="61"/>
      <c r="D52" s="61"/>
      <c r="E52" s="62"/>
      <c r="F52" s="62"/>
      <c r="G52" s="61"/>
      <c r="H52" s="61"/>
      <c r="I52" s="61"/>
      <c r="J52" s="61"/>
      <c r="K52" s="1"/>
      <c r="L52" s="8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21.75" customHeight="1">
      <c r="B53" s="63" t="s">
        <v>113</v>
      </c>
      <c r="C53" s="64"/>
      <c r="D53" s="65">
        <f>COUNT(A17:A51)</f>
        <v>35</v>
      </c>
      <c r="E53" s="61"/>
      <c r="F53" s="61"/>
      <c r="G53" s="66" t="s">
        <v>114</v>
      </c>
      <c r="H53" s="66"/>
      <c r="I53" s="66" t="s">
        <v>115</v>
      </c>
      <c r="K53" s="67" t="s">
        <v>116</v>
      </c>
      <c r="L53" s="68" t="s">
        <v>117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21.75" customHeight="1">
      <c r="B54" s="69" t="s">
        <v>118</v>
      </c>
      <c r="C54" s="70"/>
      <c r="D54" s="71">
        <f>COUNTIF(K17:K51,"BAJA")</f>
        <v>0</v>
      </c>
      <c r="E54" s="61"/>
      <c r="F54" s="61"/>
      <c r="H54" s="66"/>
      <c r="L54" s="10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21.75" customHeight="1">
      <c r="B55" s="69" t="s">
        <v>119</v>
      </c>
      <c r="C55" s="70"/>
      <c r="D55" s="72">
        <f>D53-D54</f>
        <v>35</v>
      </c>
      <c r="E55" s="61"/>
      <c r="F55" s="61"/>
      <c r="G55" s="73"/>
      <c r="H55" s="74"/>
      <c r="I55" s="73"/>
      <c r="J55" s="73"/>
      <c r="K55" s="75"/>
      <c r="L55" s="76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21.75" customHeight="1">
      <c r="B56" s="69" t="s">
        <v>120</v>
      </c>
      <c r="C56" s="70"/>
      <c r="D56" s="77">
        <f>COUNTIF(K17:K51,"&gt;=6")</f>
        <v>0</v>
      </c>
      <c r="E56" s="61"/>
      <c r="F56" s="61"/>
      <c r="G56" s="73"/>
      <c r="H56" s="74"/>
      <c r="I56" s="73"/>
      <c r="J56" s="73"/>
      <c r="K56" s="75"/>
      <c r="L56" s="76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21.75" customHeight="1">
      <c r="B57" s="69" t="s">
        <v>121</v>
      </c>
      <c r="C57" s="70"/>
      <c r="D57" s="77">
        <f>D55-D56</f>
        <v>35</v>
      </c>
      <c r="E57" s="61"/>
      <c r="F57" s="61"/>
      <c r="G57" s="78"/>
      <c r="H57" s="74"/>
      <c r="I57" s="78"/>
      <c r="J57" s="78"/>
      <c r="K57" s="79"/>
      <c r="L57" s="80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27.75" customHeight="1">
      <c r="B58" s="69" t="s">
        <v>122</v>
      </c>
      <c r="C58" s="70"/>
      <c r="D58" s="81">
        <f>D56*100/D55</f>
        <v>0</v>
      </c>
      <c r="E58" s="61"/>
      <c r="F58" s="61"/>
      <c r="G58" s="82" t="s">
        <v>123</v>
      </c>
      <c r="H58" s="83"/>
      <c r="I58" s="84" t="s">
        <v>124</v>
      </c>
      <c r="K58" s="85" t="s">
        <v>125</v>
      </c>
      <c r="L58" s="86" t="s">
        <v>126</v>
      </c>
      <c r="M58" s="87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21.75" customHeight="1">
      <c r="B59" s="88" t="s">
        <v>127</v>
      </c>
      <c r="C59" s="89"/>
      <c r="D59" s="90">
        <f>AVERAGE(K17:K51)</f>
        <v>5</v>
      </c>
      <c r="E59" s="61"/>
      <c r="F59" s="61"/>
      <c r="H59" s="83"/>
      <c r="L59" s="10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3.5" customHeight="1">
      <c r="A60" s="6"/>
      <c r="B60" s="1"/>
      <c r="C60" s="1"/>
      <c r="D60" s="1"/>
      <c r="E60" s="1"/>
      <c r="F60" s="1"/>
      <c r="G60" s="1"/>
      <c r="H60" s="1"/>
      <c r="I60" s="1"/>
      <c r="J60" s="1"/>
      <c r="K60" s="1"/>
      <c r="L60" s="8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3.5" customHeight="1">
      <c r="A61" s="91"/>
      <c r="B61" s="92"/>
      <c r="C61" s="93"/>
      <c r="D61" s="93"/>
      <c r="E61" s="61"/>
      <c r="H61" s="7"/>
      <c r="I61" s="7"/>
      <c r="J61" s="7"/>
      <c r="K61" s="7"/>
      <c r="L61" s="94"/>
      <c r="M61" s="95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3.5" customHeight="1">
      <c r="A62" s="96"/>
      <c r="B62" s="61"/>
      <c r="C62" s="61"/>
      <c r="D62" s="61"/>
      <c r="E62" s="7"/>
      <c r="F62" s="7"/>
      <c r="G62" s="1"/>
      <c r="H62" s="1"/>
      <c r="I62" s="1"/>
      <c r="J62" s="1"/>
      <c r="K62" s="1"/>
      <c r="L62" s="8"/>
      <c r="M62" s="97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3.5" customHeight="1">
      <c r="A63" s="96"/>
      <c r="B63" s="61"/>
      <c r="C63" s="61"/>
      <c r="D63" s="61"/>
      <c r="E63" s="7"/>
      <c r="F63" s="7"/>
      <c r="G63" s="1"/>
      <c r="H63" s="1"/>
      <c r="I63" s="1"/>
      <c r="J63" s="1"/>
      <c r="K63" s="1"/>
      <c r="L63" s="8"/>
      <c r="M63" s="97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3.5" customHeight="1">
      <c r="A64" s="98"/>
      <c r="B64" s="99"/>
      <c r="C64" s="99"/>
      <c r="D64" s="99"/>
      <c r="E64" s="100"/>
      <c r="F64" s="100"/>
      <c r="G64" s="101"/>
      <c r="H64" s="101"/>
      <c r="I64" s="101"/>
      <c r="J64" s="101"/>
      <c r="K64" s="101"/>
      <c r="L64" s="102"/>
      <c r="M64" s="97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4.25" customHeight="1">
      <c r="A65" s="1"/>
      <c r="B65" s="103"/>
      <c r="C65" s="103"/>
      <c r="D65" s="103"/>
      <c r="E65" s="103"/>
      <c r="F65" s="103"/>
      <c r="G65" s="1"/>
      <c r="H65" s="1"/>
      <c r="I65" s="1"/>
      <c r="J65" s="1"/>
      <c r="K65" s="104"/>
      <c r="L65" s="104"/>
      <c r="M65" s="104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4.25" customHeight="1">
      <c r="A66" s="1"/>
      <c r="B66" s="103"/>
      <c r="C66" s="103"/>
      <c r="D66" s="103"/>
      <c r="E66" s="103"/>
      <c r="F66" s="103"/>
      <c r="G66" s="1"/>
      <c r="H66" s="1"/>
      <c r="I66" s="1"/>
      <c r="J66" s="1"/>
      <c r="K66" s="104"/>
      <c r="L66" s="104"/>
      <c r="M66" s="104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4.25" customHeight="1">
      <c r="A67" s="1"/>
      <c r="B67" s="103"/>
      <c r="C67" s="103"/>
      <c r="D67" s="103"/>
      <c r="E67" s="103"/>
      <c r="F67" s="103"/>
      <c r="G67" s="1"/>
      <c r="H67" s="1"/>
      <c r="I67" s="1"/>
      <c r="J67" s="1"/>
      <c r="K67" s="104"/>
      <c r="L67" s="104"/>
      <c r="M67" s="104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4.25" customHeight="1">
      <c r="A68" s="1"/>
      <c r="B68" s="103"/>
      <c r="C68" s="103"/>
      <c r="D68" s="103"/>
      <c r="E68" s="103"/>
      <c r="F68" s="103"/>
      <c r="G68" s="1"/>
      <c r="H68" s="1"/>
      <c r="I68" s="1"/>
      <c r="J68" s="1"/>
      <c r="K68" s="104"/>
      <c r="L68" s="104"/>
      <c r="M68" s="104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4.25" customHeight="1">
      <c r="A69" s="1"/>
      <c r="B69" s="103"/>
      <c r="C69" s="103"/>
      <c r="D69" s="103"/>
      <c r="E69" s="103"/>
      <c r="F69" s="103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4.25" customHeight="1">
      <c r="A70" s="1"/>
      <c r="B70" s="103"/>
      <c r="C70" s="103"/>
      <c r="D70" s="103"/>
      <c r="E70" s="103"/>
      <c r="F70" s="103"/>
      <c r="G70" s="1"/>
      <c r="H70" s="1"/>
      <c r="I70" s="1"/>
      <c r="J70" s="1"/>
      <c r="K70" s="1"/>
      <c r="L70" s="105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4.25" customHeight="1">
      <c r="A71" s="1"/>
      <c r="B71" s="103"/>
      <c r="C71" s="103"/>
      <c r="D71" s="103"/>
      <c r="E71" s="103"/>
      <c r="F71" s="103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4.25" customHeight="1">
      <c r="A72" s="1"/>
      <c r="B72" s="103"/>
      <c r="C72" s="103"/>
      <c r="D72" s="103"/>
      <c r="E72" s="103"/>
      <c r="F72" s="103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4.25" customHeight="1">
      <c r="A73" s="1"/>
      <c r="B73" s="103"/>
      <c r="C73" s="103"/>
      <c r="D73" s="103"/>
      <c r="E73" s="103"/>
      <c r="F73" s="103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4.25" customHeight="1">
      <c r="A74" s="1"/>
      <c r="B74" s="103"/>
      <c r="C74" s="103"/>
      <c r="D74" s="103"/>
      <c r="E74" s="103"/>
      <c r="F74" s="103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4.25" customHeight="1">
      <c r="A75" s="1"/>
      <c r="B75" s="103"/>
      <c r="C75" s="103"/>
      <c r="D75" s="103"/>
      <c r="E75" s="103"/>
      <c r="F75" s="103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4.25" customHeight="1">
      <c r="A76" s="1"/>
      <c r="B76" s="103"/>
      <c r="C76" s="103"/>
      <c r="D76" s="103"/>
      <c r="E76" s="103"/>
      <c r="F76" s="103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</sheetData>
  <mergeCells count="29">
    <mergeCell ref="F14:F15"/>
    <mergeCell ref="G14:G15"/>
    <mergeCell ref="G53:G54"/>
    <mergeCell ref="I53:J54"/>
    <mergeCell ref="K53:K54"/>
    <mergeCell ref="L53:L54"/>
    <mergeCell ref="A9:L9"/>
    <mergeCell ref="E10:L10"/>
    <mergeCell ref="A13:B13"/>
    <mergeCell ref="C13:D13"/>
    <mergeCell ref="H13:H15"/>
    <mergeCell ref="I13:I14"/>
    <mergeCell ref="J13:L14"/>
    <mergeCell ref="J15:L15"/>
    <mergeCell ref="B57:C57"/>
    <mergeCell ref="B58:C58"/>
    <mergeCell ref="G58:G59"/>
    <mergeCell ref="I58:J59"/>
    <mergeCell ref="K58:K59"/>
    <mergeCell ref="L58:L59"/>
    <mergeCell ref="B59:C59"/>
    <mergeCell ref="E61:G61"/>
    <mergeCell ref="B14:D14"/>
    <mergeCell ref="E14:E15"/>
    <mergeCell ref="B16:D16"/>
    <mergeCell ref="B53:C53"/>
    <mergeCell ref="B54:C54"/>
    <mergeCell ref="B55:C55"/>
    <mergeCell ref="B56:C56"/>
  </mergeCells>
  <conditionalFormatting sqref="B28:D28 B30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 B30:D30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K17:L51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2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1"/>
      <c r="L3" s="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1"/>
      <c r="L4" s="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1"/>
      <c r="L5" s="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1"/>
      <c r="L6" s="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1"/>
      <c r="L7" s="8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1"/>
      <c r="L8" s="8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23.25" customHeight="1">
      <c r="A9" s="9" t="s">
        <v>0</v>
      </c>
      <c r="L9" s="1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9.75" customHeight="1">
      <c r="A10" s="6"/>
      <c r="B10" s="7"/>
      <c r="C10" s="7"/>
      <c r="D10" s="7"/>
      <c r="E10" s="11"/>
      <c r="L10" s="10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9.5" customHeight="1">
      <c r="A11" s="6"/>
      <c r="B11" s="12" t="s">
        <v>1</v>
      </c>
      <c r="C11" s="12"/>
      <c r="D11" s="12"/>
      <c r="E11" s="13"/>
      <c r="F11" s="13"/>
      <c r="G11" s="1"/>
      <c r="H11" s="1"/>
      <c r="I11" s="1"/>
      <c r="J11" s="1"/>
      <c r="K11" s="13"/>
      <c r="L11" s="1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12.75" customHeight="1">
      <c r="A12" s="6"/>
      <c r="B12" s="15"/>
      <c r="C12" s="15"/>
      <c r="D12" s="15"/>
      <c r="E12" s="13"/>
      <c r="F12" s="13"/>
      <c r="G12" s="1"/>
      <c r="H12" s="1"/>
      <c r="I12" s="1"/>
      <c r="J12" s="1"/>
      <c r="K12" s="13"/>
      <c r="L12" s="1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32.25" customHeight="1">
      <c r="A13" s="16" t="s">
        <v>2</v>
      </c>
      <c r="B13" s="17"/>
      <c r="C13" s="18"/>
      <c r="D13" s="17"/>
      <c r="E13" s="19" t="s">
        <v>3</v>
      </c>
      <c r="F13" s="19" t="s">
        <v>4</v>
      </c>
      <c r="G13" s="20" t="s">
        <v>5</v>
      </c>
      <c r="H13" s="21" t="s">
        <v>6</v>
      </c>
      <c r="I13" s="22">
        <v>1.0</v>
      </c>
      <c r="J13" s="23" t="s">
        <v>7</v>
      </c>
      <c r="K13" s="24"/>
      <c r="L13" s="2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35.25" customHeight="1">
      <c r="A14" s="26" t="s">
        <v>8</v>
      </c>
      <c r="B14" s="27" t="s">
        <v>131</v>
      </c>
      <c r="C14" s="28"/>
      <c r="D14" s="29"/>
      <c r="E14" s="30" t="s">
        <v>10</v>
      </c>
      <c r="F14" s="30" t="s">
        <v>11</v>
      </c>
      <c r="G14" s="31" t="s">
        <v>12</v>
      </c>
      <c r="H14" s="32"/>
      <c r="I14" s="33"/>
      <c r="J14" s="34"/>
      <c r="K14" s="35"/>
      <c r="L14" s="3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24.75" customHeight="1">
      <c r="A15" s="37" t="s">
        <v>13</v>
      </c>
      <c r="B15" s="38" t="s">
        <v>14</v>
      </c>
      <c r="C15" s="39" t="s">
        <v>15</v>
      </c>
      <c r="D15" s="39">
        <v>3.0</v>
      </c>
      <c r="E15" s="33"/>
      <c r="F15" s="33"/>
      <c r="G15" s="33"/>
      <c r="H15" s="40"/>
      <c r="I15" s="41"/>
      <c r="J15" s="42"/>
      <c r="K15" s="28"/>
      <c r="L15" s="43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40.5" customHeight="1">
      <c r="A16" s="44" t="s">
        <v>16</v>
      </c>
      <c r="B16" s="45" t="s">
        <v>17</v>
      </c>
      <c r="C16" s="28"/>
      <c r="D16" s="29"/>
      <c r="E16" s="46"/>
      <c r="F16" s="46"/>
      <c r="G16" s="47"/>
      <c r="H16" s="48"/>
      <c r="I16" s="49" t="s">
        <v>18</v>
      </c>
      <c r="J16" s="50" t="s">
        <v>19</v>
      </c>
      <c r="K16" s="50" t="s">
        <v>20</v>
      </c>
      <c r="L16" s="51" t="s">
        <v>21</v>
      </c>
      <c r="M16" s="50" t="s">
        <v>20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24.75" customHeight="1">
      <c r="A17" s="52">
        <v>1.0</v>
      </c>
      <c r="B17" s="53" t="s">
        <v>22</v>
      </c>
      <c r="C17" s="53" t="s">
        <v>23</v>
      </c>
      <c r="D17" s="54" t="s">
        <v>24</v>
      </c>
      <c r="E17" s="55"/>
      <c r="F17" s="55"/>
      <c r="G17" s="55"/>
      <c r="H17" s="55"/>
      <c r="I17" s="56">
        <f t="shared" ref="I17:I51" si="1">SUM(E17:H17)</f>
        <v>0</v>
      </c>
      <c r="J17" s="57"/>
      <c r="K17" s="58">
        <f t="shared" ref="K17:K51" si="2">IF(M17&lt;6,5,M17)</f>
        <v>5</v>
      </c>
      <c r="L17" s="59"/>
      <c r="M17" s="60">
        <f t="shared" ref="M17:M51" si="3">IF(I17&gt;=6,ROUND(I17,0),TRUNC(I17,0))</f>
        <v>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24.75" customHeight="1">
      <c r="A18" s="52">
        <v>2.0</v>
      </c>
      <c r="B18" s="53" t="s">
        <v>25</v>
      </c>
      <c r="C18" s="53" t="s">
        <v>26</v>
      </c>
      <c r="D18" s="54" t="s">
        <v>27</v>
      </c>
      <c r="E18" s="55"/>
      <c r="F18" s="55"/>
      <c r="G18" s="55"/>
      <c r="H18" s="55"/>
      <c r="I18" s="56">
        <f t="shared" si="1"/>
        <v>0</v>
      </c>
      <c r="J18" s="57"/>
      <c r="K18" s="58">
        <f t="shared" si="2"/>
        <v>5</v>
      </c>
      <c r="L18" s="52"/>
      <c r="M18" s="60">
        <f t="shared" si="3"/>
        <v>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24.75" customHeight="1">
      <c r="A19" s="52">
        <v>3.0</v>
      </c>
      <c r="B19" s="53" t="s">
        <v>28</v>
      </c>
      <c r="C19" s="53" t="s">
        <v>29</v>
      </c>
      <c r="D19" s="54" t="s">
        <v>30</v>
      </c>
      <c r="E19" s="55"/>
      <c r="F19" s="55"/>
      <c r="G19" s="55"/>
      <c r="H19" s="55"/>
      <c r="I19" s="56">
        <f t="shared" si="1"/>
        <v>0</v>
      </c>
      <c r="J19" s="57"/>
      <c r="K19" s="58">
        <f t="shared" si="2"/>
        <v>5</v>
      </c>
      <c r="L19" s="52"/>
      <c r="M19" s="60">
        <f t="shared" si="3"/>
        <v>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24.75" customHeight="1">
      <c r="A20" s="52">
        <v>4.0</v>
      </c>
      <c r="B20" s="53" t="s">
        <v>31</v>
      </c>
      <c r="C20" s="53" t="s">
        <v>32</v>
      </c>
      <c r="D20" s="54" t="s">
        <v>33</v>
      </c>
      <c r="E20" s="55"/>
      <c r="F20" s="55"/>
      <c r="G20" s="55"/>
      <c r="H20" s="55"/>
      <c r="I20" s="56">
        <f t="shared" si="1"/>
        <v>0</v>
      </c>
      <c r="J20" s="57"/>
      <c r="K20" s="58">
        <f t="shared" si="2"/>
        <v>5</v>
      </c>
      <c r="L20" s="52"/>
      <c r="M20" s="60">
        <f t="shared" si="3"/>
        <v>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24.75" customHeight="1">
      <c r="A21" s="52">
        <v>5.0</v>
      </c>
      <c r="B21" s="53" t="s">
        <v>34</v>
      </c>
      <c r="C21" s="53" t="s">
        <v>35</v>
      </c>
      <c r="D21" s="54" t="s">
        <v>36</v>
      </c>
      <c r="E21" s="55"/>
      <c r="F21" s="55"/>
      <c r="G21" s="55"/>
      <c r="H21" s="55"/>
      <c r="I21" s="56">
        <f t="shared" si="1"/>
        <v>0</v>
      </c>
      <c r="J21" s="57"/>
      <c r="K21" s="58">
        <f t="shared" si="2"/>
        <v>5</v>
      </c>
      <c r="L21" s="52"/>
      <c r="M21" s="60">
        <f t="shared" si="3"/>
        <v>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24.75" customHeight="1">
      <c r="A22" s="52">
        <v>6.0</v>
      </c>
      <c r="B22" s="53" t="s">
        <v>37</v>
      </c>
      <c r="C22" s="53" t="s">
        <v>38</v>
      </c>
      <c r="D22" s="54" t="s">
        <v>39</v>
      </c>
      <c r="E22" s="55"/>
      <c r="F22" s="55"/>
      <c r="G22" s="55"/>
      <c r="H22" s="55"/>
      <c r="I22" s="56">
        <f t="shared" si="1"/>
        <v>0</v>
      </c>
      <c r="J22" s="57"/>
      <c r="K22" s="58">
        <f t="shared" si="2"/>
        <v>5</v>
      </c>
      <c r="L22" s="52"/>
      <c r="M22" s="60">
        <f t="shared" si="3"/>
        <v>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24.75" customHeight="1">
      <c r="A23" s="52">
        <v>7.0</v>
      </c>
      <c r="B23" s="53" t="s">
        <v>37</v>
      </c>
      <c r="C23" s="53" t="s">
        <v>40</v>
      </c>
      <c r="D23" s="54" t="s">
        <v>41</v>
      </c>
      <c r="E23" s="55"/>
      <c r="F23" s="55"/>
      <c r="G23" s="55"/>
      <c r="H23" s="55"/>
      <c r="I23" s="56">
        <f t="shared" si="1"/>
        <v>0</v>
      </c>
      <c r="J23" s="57"/>
      <c r="K23" s="58">
        <f t="shared" si="2"/>
        <v>5</v>
      </c>
      <c r="L23" s="52"/>
      <c r="M23" s="60">
        <f t="shared" si="3"/>
        <v>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24.75" customHeight="1">
      <c r="A24" s="52">
        <v>8.0</v>
      </c>
      <c r="B24" s="53" t="s">
        <v>42</v>
      </c>
      <c r="C24" s="53" t="s">
        <v>43</v>
      </c>
      <c r="D24" s="54" t="s">
        <v>44</v>
      </c>
      <c r="E24" s="55"/>
      <c r="F24" s="55"/>
      <c r="G24" s="55"/>
      <c r="H24" s="55"/>
      <c r="I24" s="56">
        <f t="shared" si="1"/>
        <v>0</v>
      </c>
      <c r="J24" s="57"/>
      <c r="K24" s="58">
        <f t="shared" si="2"/>
        <v>5</v>
      </c>
      <c r="L24" s="52"/>
      <c r="M24" s="60">
        <f t="shared" si="3"/>
        <v>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24.75" customHeight="1">
      <c r="A25" s="52">
        <v>9.0</v>
      </c>
      <c r="B25" s="53" t="s">
        <v>45</v>
      </c>
      <c r="C25" s="53" t="s">
        <v>46</v>
      </c>
      <c r="D25" s="54" t="s">
        <v>47</v>
      </c>
      <c r="E25" s="55"/>
      <c r="F25" s="55"/>
      <c r="G25" s="55"/>
      <c r="H25" s="55"/>
      <c r="I25" s="56">
        <f t="shared" si="1"/>
        <v>0</v>
      </c>
      <c r="J25" s="57"/>
      <c r="K25" s="58">
        <f t="shared" si="2"/>
        <v>5</v>
      </c>
      <c r="L25" s="52"/>
      <c r="M25" s="60">
        <f t="shared" si="3"/>
        <v>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24.75" customHeight="1">
      <c r="A26" s="52">
        <v>10.0</v>
      </c>
      <c r="B26" s="53" t="s">
        <v>48</v>
      </c>
      <c r="C26" s="53" t="s">
        <v>49</v>
      </c>
      <c r="D26" s="54" t="s">
        <v>50</v>
      </c>
      <c r="E26" s="55"/>
      <c r="F26" s="55"/>
      <c r="G26" s="55"/>
      <c r="H26" s="55"/>
      <c r="I26" s="56">
        <f t="shared" si="1"/>
        <v>0</v>
      </c>
      <c r="J26" s="57"/>
      <c r="K26" s="58">
        <f t="shared" si="2"/>
        <v>5</v>
      </c>
      <c r="L26" s="52"/>
      <c r="M26" s="60">
        <f t="shared" si="3"/>
        <v>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24.75" customHeight="1">
      <c r="A27" s="52">
        <v>11.0</v>
      </c>
      <c r="B27" s="53" t="s">
        <v>48</v>
      </c>
      <c r="C27" s="53" t="s">
        <v>51</v>
      </c>
      <c r="D27" s="53" t="s">
        <v>52</v>
      </c>
      <c r="E27" s="55"/>
      <c r="F27" s="55"/>
      <c r="G27" s="55"/>
      <c r="H27" s="55"/>
      <c r="I27" s="56">
        <f t="shared" si="1"/>
        <v>0</v>
      </c>
      <c r="J27" s="57"/>
      <c r="K27" s="58">
        <f t="shared" si="2"/>
        <v>5</v>
      </c>
      <c r="L27" s="52"/>
      <c r="M27" s="60">
        <f t="shared" si="3"/>
        <v>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24.75" customHeight="1">
      <c r="A28" s="52">
        <v>12.0</v>
      </c>
      <c r="B28" s="53" t="s">
        <v>53</v>
      </c>
      <c r="C28" s="53" t="s">
        <v>54</v>
      </c>
      <c r="D28" s="54" t="s">
        <v>55</v>
      </c>
      <c r="E28" s="55"/>
      <c r="F28" s="55"/>
      <c r="G28" s="55"/>
      <c r="H28" s="55"/>
      <c r="I28" s="56">
        <f t="shared" si="1"/>
        <v>0</v>
      </c>
      <c r="J28" s="57"/>
      <c r="K28" s="58">
        <f t="shared" si="2"/>
        <v>5</v>
      </c>
      <c r="L28" s="52"/>
      <c r="M28" s="60">
        <f t="shared" si="3"/>
        <v>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24.75" customHeight="1">
      <c r="A29" s="52">
        <v>13.0</v>
      </c>
      <c r="B29" s="53" t="s">
        <v>56</v>
      </c>
      <c r="C29" s="53" t="s">
        <v>57</v>
      </c>
      <c r="D29" s="54" t="s">
        <v>58</v>
      </c>
      <c r="E29" s="55"/>
      <c r="F29" s="55"/>
      <c r="G29" s="55"/>
      <c r="H29" s="55"/>
      <c r="I29" s="56">
        <f t="shared" si="1"/>
        <v>0</v>
      </c>
      <c r="J29" s="57"/>
      <c r="K29" s="58">
        <f t="shared" si="2"/>
        <v>5</v>
      </c>
      <c r="L29" s="52"/>
      <c r="M29" s="60">
        <f t="shared" si="3"/>
        <v>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24.75" customHeight="1">
      <c r="A30" s="52">
        <v>14.0</v>
      </c>
      <c r="B30" s="53" t="s">
        <v>57</v>
      </c>
      <c r="C30" s="53" t="s">
        <v>59</v>
      </c>
      <c r="D30" s="54" t="s">
        <v>60</v>
      </c>
      <c r="E30" s="55"/>
      <c r="F30" s="55"/>
      <c r="G30" s="55"/>
      <c r="H30" s="55"/>
      <c r="I30" s="56">
        <f t="shared" si="1"/>
        <v>0</v>
      </c>
      <c r="J30" s="57"/>
      <c r="K30" s="58">
        <f t="shared" si="2"/>
        <v>5</v>
      </c>
      <c r="L30" s="52"/>
      <c r="M30" s="60">
        <f t="shared" si="3"/>
        <v>0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24.75" customHeight="1">
      <c r="A31" s="52">
        <v>15.0</v>
      </c>
      <c r="B31" s="53" t="s">
        <v>61</v>
      </c>
      <c r="C31" s="53" t="s">
        <v>62</v>
      </c>
      <c r="D31" s="54" t="s">
        <v>63</v>
      </c>
      <c r="E31" s="55"/>
      <c r="F31" s="55"/>
      <c r="G31" s="55"/>
      <c r="H31" s="55"/>
      <c r="I31" s="56">
        <f t="shared" si="1"/>
        <v>0</v>
      </c>
      <c r="J31" s="57"/>
      <c r="K31" s="58">
        <f t="shared" si="2"/>
        <v>5</v>
      </c>
      <c r="L31" s="52"/>
      <c r="M31" s="60">
        <f t="shared" si="3"/>
        <v>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24.75" customHeight="1">
      <c r="A32" s="52">
        <v>16.0</v>
      </c>
      <c r="B32" s="53" t="s">
        <v>64</v>
      </c>
      <c r="C32" s="53" t="s">
        <v>65</v>
      </c>
      <c r="D32" s="54" t="s">
        <v>66</v>
      </c>
      <c r="E32" s="55"/>
      <c r="F32" s="55"/>
      <c r="G32" s="55"/>
      <c r="H32" s="55"/>
      <c r="I32" s="56">
        <f t="shared" si="1"/>
        <v>0</v>
      </c>
      <c r="J32" s="57"/>
      <c r="K32" s="58">
        <f t="shared" si="2"/>
        <v>5</v>
      </c>
      <c r="L32" s="52"/>
      <c r="M32" s="60">
        <f t="shared" si="3"/>
        <v>0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24.75" customHeight="1">
      <c r="A33" s="52">
        <v>17.0</v>
      </c>
      <c r="B33" s="53" t="s">
        <v>64</v>
      </c>
      <c r="C33" s="53" t="s">
        <v>67</v>
      </c>
      <c r="D33" s="54" t="s">
        <v>68</v>
      </c>
      <c r="E33" s="55"/>
      <c r="F33" s="55"/>
      <c r="G33" s="55"/>
      <c r="H33" s="55"/>
      <c r="I33" s="56">
        <f t="shared" si="1"/>
        <v>0</v>
      </c>
      <c r="J33" s="57"/>
      <c r="K33" s="58">
        <f t="shared" si="2"/>
        <v>5</v>
      </c>
      <c r="L33" s="52"/>
      <c r="M33" s="60">
        <f t="shared" si="3"/>
        <v>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24.75" customHeight="1">
      <c r="A34" s="52">
        <v>18.0</v>
      </c>
      <c r="B34" s="53" t="s">
        <v>69</v>
      </c>
      <c r="C34" s="53" t="s">
        <v>70</v>
      </c>
      <c r="D34" s="54" t="s">
        <v>71</v>
      </c>
      <c r="E34" s="55"/>
      <c r="F34" s="55"/>
      <c r="G34" s="55"/>
      <c r="H34" s="55"/>
      <c r="I34" s="56">
        <f t="shared" si="1"/>
        <v>0</v>
      </c>
      <c r="J34" s="57"/>
      <c r="K34" s="58">
        <f t="shared" si="2"/>
        <v>5</v>
      </c>
      <c r="L34" s="52"/>
      <c r="M34" s="60">
        <f t="shared" si="3"/>
        <v>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24.75" customHeight="1">
      <c r="A35" s="52">
        <v>19.0</v>
      </c>
      <c r="B35" s="53" t="s">
        <v>26</v>
      </c>
      <c r="C35" s="53" t="s">
        <v>72</v>
      </c>
      <c r="D35" s="54" t="s">
        <v>73</v>
      </c>
      <c r="E35" s="55"/>
      <c r="F35" s="55"/>
      <c r="G35" s="55"/>
      <c r="H35" s="55"/>
      <c r="I35" s="56">
        <f t="shared" si="1"/>
        <v>0</v>
      </c>
      <c r="J35" s="57"/>
      <c r="K35" s="58">
        <f t="shared" si="2"/>
        <v>5</v>
      </c>
      <c r="L35" s="52"/>
      <c r="M35" s="60">
        <f t="shared" si="3"/>
        <v>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24.75" customHeight="1">
      <c r="A36" s="52">
        <v>20.0</v>
      </c>
      <c r="B36" s="53" t="s">
        <v>74</v>
      </c>
      <c r="C36" s="53" t="s">
        <v>75</v>
      </c>
      <c r="D36" s="54" t="s">
        <v>76</v>
      </c>
      <c r="E36" s="55"/>
      <c r="F36" s="55"/>
      <c r="G36" s="55"/>
      <c r="H36" s="55"/>
      <c r="I36" s="56">
        <f t="shared" si="1"/>
        <v>0</v>
      </c>
      <c r="J36" s="57"/>
      <c r="K36" s="58">
        <f t="shared" si="2"/>
        <v>5</v>
      </c>
      <c r="L36" s="52"/>
      <c r="M36" s="60">
        <f t="shared" si="3"/>
        <v>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24.75" customHeight="1">
      <c r="A37" s="52">
        <v>21.0</v>
      </c>
      <c r="B37" s="53" t="s">
        <v>77</v>
      </c>
      <c r="C37" s="53" t="s">
        <v>26</v>
      </c>
      <c r="D37" s="54" t="s">
        <v>78</v>
      </c>
      <c r="E37" s="55"/>
      <c r="F37" s="55"/>
      <c r="G37" s="55"/>
      <c r="H37" s="55"/>
      <c r="I37" s="56">
        <f t="shared" si="1"/>
        <v>0</v>
      </c>
      <c r="J37" s="57"/>
      <c r="K37" s="58">
        <f t="shared" si="2"/>
        <v>5</v>
      </c>
      <c r="L37" s="52"/>
      <c r="M37" s="60">
        <f t="shared" si="3"/>
        <v>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24.75" customHeight="1">
      <c r="A38" s="52">
        <v>22.0</v>
      </c>
      <c r="B38" s="53" t="s">
        <v>79</v>
      </c>
      <c r="C38" s="53" t="s">
        <v>80</v>
      </c>
      <c r="D38" s="54" t="s">
        <v>81</v>
      </c>
      <c r="E38" s="55"/>
      <c r="F38" s="55"/>
      <c r="G38" s="55"/>
      <c r="H38" s="55"/>
      <c r="I38" s="56">
        <f t="shared" si="1"/>
        <v>0</v>
      </c>
      <c r="J38" s="57"/>
      <c r="K38" s="58">
        <f t="shared" si="2"/>
        <v>5</v>
      </c>
      <c r="L38" s="52"/>
      <c r="M38" s="60">
        <f t="shared" si="3"/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24.75" customHeight="1">
      <c r="A39" s="52">
        <v>23.0</v>
      </c>
      <c r="B39" s="53" t="s">
        <v>82</v>
      </c>
      <c r="C39" s="53" t="s">
        <v>83</v>
      </c>
      <c r="D39" s="54" t="s">
        <v>84</v>
      </c>
      <c r="E39" s="55"/>
      <c r="F39" s="55"/>
      <c r="G39" s="55"/>
      <c r="H39" s="55"/>
      <c r="I39" s="56">
        <f t="shared" si="1"/>
        <v>0</v>
      </c>
      <c r="J39" s="57"/>
      <c r="K39" s="58">
        <f t="shared" si="2"/>
        <v>5</v>
      </c>
      <c r="L39" s="52"/>
      <c r="M39" s="60">
        <f t="shared" si="3"/>
        <v>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24.75" customHeight="1">
      <c r="A40" s="52">
        <v>24.0</v>
      </c>
      <c r="B40" s="53" t="s">
        <v>85</v>
      </c>
      <c r="C40" s="53" t="s">
        <v>86</v>
      </c>
      <c r="D40" s="54" t="s">
        <v>87</v>
      </c>
      <c r="E40" s="55"/>
      <c r="F40" s="55"/>
      <c r="G40" s="55"/>
      <c r="H40" s="55"/>
      <c r="I40" s="56">
        <f t="shared" si="1"/>
        <v>0</v>
      </c>
      <c r="J40" s="57"/>
      <c r="K40" s="58">
        <f t="shared" si="2"/>
        <v>5</v>
      </c>
      <c r="L40" s="52"/>
      <c r="M40" s="60">
        <f t="shared" si="3"/>
        <v>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24.75" customHeight="1">
      <c r="A41" s="52">
        <v>25.0</v>
      </c>
      <c r="B41" s="53" t="s">
        <v>88</v>
      </c>
      <c r="C41" s="53" t="s">
        <v>89</v>
      </c>
      <c r="D41" s="54" t="s">
        <v>90</v>
      </c>
      <c r="E41" s="55"/>
      <c r="F41" s="55"/>
      <c r="G41" s="55"/>
      <c r="H41" s="55"/>
      <c r="I41" s="56">
        <f t="shared" si="1"/>
        <v>0</v>
      </c>
      <c r="J41" s="57"/>
      <c r="K41" s="58">
        <f t="shared" si="2"/>
        <v>5</v>
      </c>
      <c r="L41" s="52"/>
      <c r="M41" s="60">
        <f t="shared" si="3"/>
        <v>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24.75" customHeight="1">
      <c r="A42" s="52">
        <v>26.0</v>
      </c>
      <c r="B42" s="53" t="s">
        <v>91</v>
      </c>
      <c r="C42" s="53" t="s">
        <v>92</v>
      </c>
      <c r="D42" s="54" t="s">
        <v>93</v>
      </c>
      <c r="E42" s="55"/>
      <c r="F42" s="55"/>
      <c r="G42" s="55"/>
      <c r="H42" s="55"/>
      <c r="I42" s="56">
        <f t="shared" si="1"/>
        <v>0</v>
      </c>
      <c r="J42" s="57"/>
      <c r="K42" s="58">
        <f t="shared" si="2"/>
        <v>5</v>
      </c>
      <c r="L42" s="52"/>
      <c r="M42" s="60">
        <f t="shared" si="3"/>
        <v>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24.75" customHeight="1">
      <c r="A43" s="52">
        <v>27.0</v>
      </c>
      <c r="B43" s="53" t="s">
        <v>94</v>
      </c>
      <c r="C43" s="53" t="s">
        <v>95</v>
      </c>
      <c r="D43" s="54" t="s">
        <v>96</v>
      </c>
      <c r="E43" s="55"/>
      <c r="F43" s="55"/>
      <c r="G43" s="55"/>
      <c r="H43" s="55"/>
      <c r="I43" s="56">
        <f t="shared" si="1"/>
        <v>0</v>
      </c>
      <c r="J43" s="57"/>
      <c r="K43" s="58">
        <f t="shared" si="2"/>
        <v>5</v>
      </c>
      <c r="L43" s="52"/>
      <c r="M43" s="60">
        <f t="shared" si="3"/>
        <v>0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24.75" customHeight="1">
      <c r="A44" s="52">
        <v>28.0</v>
      </c>
      <c r="B44" s="53" t="s">
        <v>94</v>
      </c>
      <c r="C44" s="53" t="s">
        <v>97</v>
      </c>
      <c r="D44" s="54" t="s">
        <v>98</v>
      </c>
      <c r="E44" s="55"/>
      <c r="F44" s="55"/>
      <c r="G44" s="55"/>
      <c r="H44" s="55"/>
      <c r="I44" s="56">
        <f t="shared" si="1"/>
        <v>0</v>
      </c>
      <c r="J44" s="57"/>
      <c r="K44" s="58">
        <f t="shared" si="2"/>
        <v>5</v>
      </c>
      <c r="L44" s="52"/>
      <c r="M44" s="60">
        <f t="shared" si="3"/>
        <v>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24.75" customHeight="1">
      <c r="A45" s="52">
        <v>29.0</v>
      </c>
      <c r="B45" s="53" t="s">
        <v>94</v>
      </c>
      <c r="C45" s="53" t="s">
        <v>99</v>
      </c>
      <c r="D45" s="54" t="s">
        <v>100</v>
      </c>
      <c r="E45" s="55"/>
      <c r="F45" s="55"/>
      <c r="G45" s="55"/>
      <c r="H45" s="55"/>
      <c r="I45" s="56">
        <f t="shared" si="1"/>
        <v>0</v>
      </c>
      <c r="J45" s="57"/>
      <c r="K45" s="58">
        <f t="shared" si="2"/>
        <v>5</v>
      </c>
      <c r="L45" s="52"/>
      <c r="M45" s="60">
        <f t="shared" si="3"/>
        <v>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24.75" customHeight="1">
      <c r="A46" s="52">
        <v>30.0</v>
      </c>
      <c r="B46" s="53" t="s">
        <v>101</v>
      </c>
      <c r="C46" s="53" t="s">
        <v>64</v>
      </c>
      <c r="D46" s="54" t="s">
        <v>102</v>
      </c>
      <c r="E46" s="55"/>
      <c r="F46" s="55"/>
      <c r="G46" s="55"/>
      <c r="H46" s="55"/>
      <c r="I46" s="56">
        <f t="shared" si="1"/>
        <v>0</v>
      </c>
      <c r="J46" s="57"/>
      <c r="K46" s="58">
        <f t="shared" si="2"/>
        <v>5</v>
      </c>
      <c r="L46" s="52"/>
      <c r="M46" s="60">
        <f t="shared" si="3"/>
        <v>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24.75" customHeight="1">
      <c r="A47" s="52">
        <v>31.0</v>
      </c>
      <c r="B47" s="53" t="s">
        <v>103</v>
      </c>
      <c r="C47" s="53" t="s">
        <v>104</v>
      </c>
      <c r="D47" s="54" t="s">
        <v>105</v>
      </c>
      <c r="E47" s="55"/>
      <c r="F47" s="55"/>
      <c r="G47" s="55"/>
      <c r="H47" s="55"/>
      <c r="I47" s="56">
        <f t="shared" si="1"/>
        <v>0</v>
      </c>
      <c r="J47" s="57"/>
      <c r="K47" s="58">
        <f t="shared" si="2"/>
        <v>5</v>
      </c>
      <c r="L47" s="52"/>
      <c r="M47" s="60">
        <f t="shared" si="3"/>
        <v>0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24.75" customHeight="1">
      <c r="A48" s="52">
        <v>32.0</v>
      </c>
      <c r="B48" s="53" t="s">
        <v>65</v>
      </c>
      <c r="C48" s="53" t="s">
        <v>106</v>
      </c>
      <c r="D48" s="54" t="s">
        <v>107</v>
      </c>
      <c r="E48" s="55"/>
      <c r="F48" s="55"/>
      <c r="G48" s="55"/>
      <c r="H48" s="55"/>
      <c r="I48" s="56">
        <f t="shared" si="1"/>
        <v>0</v>
      </c>
      <c r="J48" s="57"/>
      <c r="K48" s="58">
        <f t="shared" si="2"/>
        <v>5</v>
      </c>
      <c r="L48" s="52"/>
      <c r="M48" s="60">
        <f t="shared" si="3"/>
        <v>0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24.75" customHeight="1">
      <c r="A49" s="52">
        <v>33.0</v>
      </c>
      <c r="B49" s="53" t="s">
        <v>108</v>
      </c>
      <c r="C49" s="53" t="s">
        <v>94</v>
      </c>
      <c r="D49" s="54" t="s">
        <v>41</v>
      </c>
      <c r="E49" s="55"/>
      <c r="F49" s="55"/>
      <c r="G49" s="55"/>
      <c r="H49" s="55"/>
      <c r="I49" s="56">
        <f t="shared" si="1"/>
        <v>0</v>
      </c>
      <c r="J49" s="57"/>
      <c r="K49" s="58">
        <f t="shared" si="2"/>
        <v>5</v>
      </c>
      <c r="L49" s="52"/>
      <c r="M49" s="60">
        <f t="shared" si="3"/>
        <v>0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24.75" customHeight="1">
      <c r="A50" s="52">
        <v>34.0</v>
      </c>
      <c r="B50" s="53" t="s">
        <v>83</v>
      </c>
      <c r="C50" s="53" t="s">
        <v>59</v>
      </c>
      <c r="D50" s="54" t="s">
        <v>109</v>
      </c>
      <c r="E50" s="55"/>
      <c r="F50" s="55"/>
      <c r="G50" s="55"/>
      <c r="H50" s="55"/>
      <c r="I50" s="56">
        <f t="shared" si="1"/>
        <v>0</v>
      </c>
      <c r="J50" s="57"/>
      <c r="K50" s="58">
        <f t="shared" si="2"/>
        <v>5</v>
      </c>
      <c r="L50" s="52"/>
      <c r="M50" s="60">
        <f t="shared" si="3"/>
        <v>0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24.75" customHeight="1">
      <c r="A51" s="52">
        <v>35.0</v>
      </c>
      <c r="B51" s="53" t="s">
        <v>110</v>
      </c>
      <c r="C51" s="53" t="s">
        <v>111</v>
      </c>
      <c r="D51" s="54" t="s">
        <v>112</v>
      </c>
      <c r="E51" s="55"/>
      <c r="F51" s="55"/>
      <c r="G51" s="55"/>
      <c r="H51" s="55"/>
      <c r="I51" s="56">
        <f t="shared" si="1"/>
        <v>0</v>
      </c>
      <c r="J51" s="57"/>
      <c r="K51" s="58">
        <f t="shared" si="2"/>
        <v>5</v>
      </c>
      <c r="L51" s="52"/>
      <c r="M51" s="60">
        <f t="shared" si="3"/>
        <v>0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3.5" customHeight="1">
      <c r="A52" s="6"/>
      <c r="B52" s="61"/>
      <c r="C52" s="61"/>
      <c r="D52" s="61"/>
      <c r="E52" s="62"/>
      <c r="F52" s="62"/>
      <c r="G52" s="61"/>
      <c r="H52" s="61"/>
      <c r="I52" s="61"/>
      <c r="J52" s="61"/>
      <c r="K52" s="1"/>
      <c r="L52" s="8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21.75" customHeight="1">
      <c r="B53" s="63" t="s">
        <v>113</v>
      </c>
      <c r="C53" s="64"/>
      <c r="D53" s="65">
        <f>COUNT(A17:A51)</f>
        <v>35</v>
      </c>
      <c r="E53" s="61"/>
      <c r="F53" s="61"/>
      <c r="G53" s="66" t="s">
        <v>114</v>
      </c>
      <c r="H53" s="66"/>
      <c r="I53" s="66" t="s">
        <v>115</v>
      </c>
      <c r="K53" s="67" t="s">
        <v>116</v>
      </c>
      <c r="L53" s="68" t="s">
        <v>117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21.75" customHeight="1">
      <c r="B54" s="69" t="s">
        <v>118</v>
      </c>
      <c r="C54" s="70"/>
      <c r="D54" s="71">
        <f>COUNTIF(K17:K51,"BAJA")</f>
        <v>0</v>
      </c>
      <c r="E54" s="61"/>
      <c r="F54" s="61"/>
      <c r="H54" s="66"/>
      <c r="L54" s="10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21.75" customHeight="1">
      <c r="B55" s="69" t="s">
        <v>119</v>
      </c>
      <c r="C55" s="70"/>
      <c r="D55" s="72">
        <f>D53-D54</f>
        <v>35</v>
      </c>
      <c r="E55" s="61"/>
      <c r="F55" s="61"/>
      <c r="G55" s="73"/>
      <c r="H55" s="74"/>
      <c r="I55" s="73"/>
      <c r="J55" s="73"/>
      <c r="K55" s="75"/>
      <c r="L55" s="76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21.75" customHeight="1">
      <c r="B56" s="69" t="s">
        <v>120</v>
      </c>
      <c r="C56" s="70"/>
      <c r="D56" s="77">
        <f>COUNTIF(K17:K51,"&gt;=6")</f>
        <v>0</v>
      </c>
      <c r="E56" s="61"/>
      <c r="F56" s="61"/>
      <c r="G56" s="73"/>
      <c r="H56" s="74"/>
      <c r="I56" s="73"/>
      <c r="J56" s="73"/>
      <c r="K56" s="75"/>
      <c r="L56" s="76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21.75" customHeight="1">
      <c r="B57" s="69" t="s">
        <v>121</v>
      </c>
      <c r="C57" s="70"/>
      <c r="D57" s="77">
        <f>D55-D56</f>
        <v>35</v>
      </c>
      <c r="E57" s="61"/>
      <c r="F57" s="61"/>
      <c r="G57" s="78"/>
      <c r="H57" s="74"/>
      <c r="I57" s="78"/>
      <c r="J57" s="78"/>
      <c r="K57" s="79"/>
      <c r="L57" s="80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27.75" customHeight="1">
      <c r="B58" s="69" t="s">
        <v>122</v>
      </c>
      <c r="C58" s="70"/>
      <c r="D58" s="81">
        <f>D56*100/D55</f>
        <v>0</v>
      </c>
      <c r="E58" s="61"/>
      <c r="F58" s="61"/>
      <c r="G58" s="82" t="s">
        <v>123</v>
      </c>
      <c r="H58" s="83"/>
      <c r="I58" s="84" t="s">
        <v>124</v>
      </c>
      <c r="K58" s="85" t="s">
        <v>125</v>
      </c>
      <c r="L58" s="86" t="s">
        <v>126</v>
      </c>
      <c r="M58" s="87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21.75" customHeight="1">
      <c r="B59" s="88" t="s">
        <v>127</v>
      </c>
      <c r="C59" s="89"/>
      <c r="D59" s="90">
        <f>AVERAGE(K17:K51)</f>
        <v>5</v>
      </c>
      <c r="E59" s="61"/>
      <c r="F59" s="61"/>
      <c r="H59" s="83"/>
      <c r="L59" s="10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3.5" customHeight="1">
      <c r="A60" s="6"/>
      <c r="B60" s="1"/>
      <c r="C60" s="1"/>
      <c r="D60" s="1"/>
      <c r="E60" s="1"/>
      <c r="F60" s="1"/>
      <c r="G60" s="1"/>
      <c r="H60" s="1"/>
      <c r="I60" s="1"/>
      <c r="J60" s="1"/>
      <c r="K60" s="1"/>
      <c r="L60" s="8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3.5" customHeight="1">
      <c r="A61" s="91"/>
      <c r="B61" s="92"/>
      <c r="C61" s="93"/>
      <c r="D61" s="93"/>
      <c r="E61" s="61"/>
      <c r="H61" s="7"/>
      <c r="I61" s="7"/>
      <c r="J61" s="7"/>
      <c r="K61" s="7"/>
      <c r="L61" s="94"/>
      <c r="M61" s="95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3.5" customHeight="1">
      <c r="A62" s="96"/>
      <c r="B62" s="61"/>
      <c r="C62" s="61"/>
      <c r="D62" s="61"/>
      <c r="E62" s="7"/>
      <c r="F62" s="7"/>
      <c r="G62" s="1"/>
      <c r="H62" s="1"/>
      <c r="I62" s="1"/>
      <c r="J62" s="1"/>
      <c r="K62" s="1"/>
      <c r="L62" s="8"/>
      <c r="M62" s="97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3.5" customHeight="1">
      <c r="A63" s="96"/>
      <c r="B63" s="61"/>
      <c r="C63" s="61"/>
      <c r="D63" s="61"/>
      <c r="E63" s="7"/>
      <c r="F63" s="7"/>
      <c r="G63" s="1"/>
      <c r="H63" s="1"/>
      <c r="I63" s="1"/>
      <c r="J63" s="1"/>
      <c r="K63" s="1"/>
      <c r="L63" s="8"/>
      <c r="M63" s="97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3.5" customHeight="1">
      <c r="A64" s="98"/>
      <c r="B64" s="99"/>
      <c r="C64" s="99"/>
      <c r="D64" s="99"/>
      <c r="E64" s="100"/>
      <c r="F64" s="100"/>
      <c r="G64" s="101"/>
      <c r="H64" s="101"/>
      <c r="I64" s="101"/>
      <c r="J64" s="101"/>
      <c r="K64" s="101"/>
      <c r="L64" s="102"/>
      <c r="M64" s="97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4.25" customHeight="1">
      <c r="A65" s="1"/>
      <c r="B65" s="103"/>
      <c r="C65" s="103"/>
      <c r="D65" s="103"/>
      <c r="E65" s="103"/>
      <c r="F65" s="103"/>
      <c r="G65" s="1"/>
      <c r="H65" s="1"/>
      <c r="I65" s="1"/>
      <c r="J65" s="1"/>
      <c r="K65" s="104"/>
      <c r="L65" s="104"/>
      <c r="M65" s="104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4.25" customHeight="1">
      <c r="A66" s="1"/>
      <c r="B66" s="103"/>
      <c r="C66" s="103"/>
      <c r="D66" s="103"/>
      <c r="E66" s="103"/>
      <c r="F66" s="103"/>
      <c r="G66" s="1"/>
      <c r="H66" s="1"/>
      <c r="I66" s="1"/>
      <c r="J66" s="1"/>
      <c r="K66" s="104"/>
      <c r="L66" s="104"/>
      <c r="M66" s="104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4.25" customHeight="1">
      <c r="A67" s="1"/>
      <c r="B67" s="103"/>
      <c r="C67" s="103"/>
      <c r="D67" s="103"/>
      <c r="E67" s="103"/>
      <c r="F67" s="103"/>
      <c r="G67" s="1"/>
      <c r="H67" s="1"/>
      <c r="I67" s="1"/>
      <c r="J67" s="1"/>
      <c r="K67" s="104"/>
      <c r="L67" s="104"/>
      <c r="M67" s="104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4.25" customHeight="1">
      <c r="A68" s="1"/>
      <c r="B68" s="103"/>
      <c r="C68" s="103"/>
      <c r="D68" s="103"/>
      <c r="E68" s="103"/>
      <c r="F68" s="103"/>
      <c r="G68" s="1"/>
      <c r="H68" s="1"/>
      <c r="I68" s="1"/>
      <c r="J68" s="1"/>
      <c r="K68" s="104"/>
      <c r="L68" s="104"/>
      <c r="M68" s="104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4.25" customHeight="1">
      <c r="A69" s="1"/>
      <c r="B69" s="103"/>
      <c r="C69" s="103"/>
      <c r="D69" s="103"/>
      <c r="E69" s="103"/>
      <c r="F69" s="103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4.25" customHeight="1">
      <c r="A70" s="1"/>
      <c r="B70" s="103"/>
      <c r="C70" s="103"/>
      <c r="D70" s="103"/>
      <c r="E70" s="103"/>
      <c r="F70" s="103"/>
      <c r="G70" s="1"/>
      <c r="H70" s="1"/>
      <c r="I70" s="1"/>
      <c r="J70" s="1"/>
      <c r="K70" s="1"/>
      <c r="L70" s="105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4.25" customHeight="1">
      <c r="A71" s="1"/>
      <c r="B71" s="103"/>
      <c r="C71" s="103"/>
      <c r="D71" s="103"/>
      <c r="E71" s="103"/>
      <c r="F71" s="103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4.25" customHeight="1">
      <c r="A72" s="1"/>
      <c r="B72" s="103"/>
      <c r="C72" s="103"/>
      <c r="D72" s="103"/>
      <c r="E72" s="103"/>
      <c r="F72" s="103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4.25" customHeight="1">
      <c r="A73" s="1"/>
      <c r="B73" s="103"/>
      <c r="C73" s="103"/>
      <c r="D73" s="103"/>
      <c r="E73" s="103"/>
      <c r="F73" s="103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4.25" customHeight="1">
      <c r="A74" s="1"/>
      <c r="B74" s="103"/>
      <c r="C74" s="103"/>
      <c r="D74" s="103"/>
      <c r="E74" s="103"/>
      <c r="F74" s="103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4.25" customHeight="1">
      <c r="A75" s="1"/>
      <c r="B75" s="103"/>
      <c r="C75" s="103"/>
      <c r="D75" s="103"/>
      <c r="E75" s="103"/>
      <c r="F75" s="103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4.25" customHeight="1">
      <c r="A76" s="1"/>
      <c r="B76" s="103"/>
      <c r="C76" s="103"/>
      <c r="D76" s="103"/>
      <c r="E76" s="103"/>
      <c r="F76" s="103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</sheetData>
  <mergeCells count="29">
    <mergeCell ref="F14:F15"/>
    <mergeCell ref="G14:G15"/>
    <mergeCell ref="G53:G54"/>
    <mergeCell ref="I53:J54"/>
    <mergeCell ref="K53:K54"/>
    <mergeCell ref="L53:L54"/>
    <mergeCell ref="A9:L9"/>
    <mergeCell ref="E10:L10"/>
    <mergeCell ref="A13:B13"/>
    <mergeCell ref="C13:D13"/>
    <mergeCell ref="H13:H15"/>
    <mergeCell ref="I13:I14"/>
    <mergeCell ref="J13:L14"/>
    <mergeCell ref="J15:L15"/>
    <mergeCell ref="B57:C57"/>
    <mergeCell ref="B58:C58"/>
    <mergeCell ref="G58:G59"/>
    <mergeCell ref="I58:J59"/>
    <mergeCell ref="K58:K59"/>
    <mergeCell ref="L58:L59"/>
    <mergeCell ref="B59:C59"/>
    <mergeCell ref="E61:G61"/>
    <mergeCell ref="B14:D14"/>
    <mergeCell ref="E14:E15"/>
    <mergeCell ref="B16:D16"/>
    <mergeCell ref="B53:C53"/>
    <mergeCell ref="B54:C54"/>
    <mergeCell ref="B55:C55"/>
    <mergeCell ref="B56:C56"/>
  </mergeCells>
  <conditionalFormatting sqref="B28:D28 B30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 B30:D30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K17:L51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2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1"/>
      <c r="L3" s="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1"/>
      <c r="L4" s="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1"/>
      <c r="L5" s="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1"/>
      <c r="L6" s="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1"/>
      <c r="L7" s="8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1"/>
      <c r="L8" s="8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23.25" customHeight="1">
      <c r="A9" s="9" t="s">
        <v>0</v>
      </c>
      <c r="L9" s="1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9.75" customHeight="1">
      <c r="A10" s="6"/>
      <c r="B10" s="7"/>
      <c r="C10" s="7"/>
      <c r="D10" s="7"/>
      <c r="E10" s="11"/>
      <c r="L10" s="10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9.5" customHeight="1">
      <c r="A11" s="6"/>
      <c r="B11" s="12" t="s">
        <v>1</v>
      </c>
      <c r="C11" s="12"/>
      <c r="D11" s="12"/>
      <c r="E11" s="13"/>
      <c r="F11" s="13"/>
      <c r="G11" s="1"/>
      <c r="H11" s="1"/>
      <c r="I11" s="1"/>
      <c r="J11" s="1"/>
      <c r="K11" s="13"/>
      <c r="L11" s="1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12.75" customHeight="1">
      <c r="A12" s="6"/>
      <c r="B12" s="15"/>
      <c r="C12" s="15"/>
      <c r="D12" s="15"/>
      <c r="E12" s="13"/>
      <c r="F12" s="13"/>
      <c r="G12" s="1"/>
      <c r="H12" s="1"/>
      <c r="I12" s="1"/>
      <c r="J12" s="1"/>
      <c r="K12" s="13"/>
      <c r="L12" s="1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32.25" customHeight="1">
      <c r="A13" s="16" t="s">
        <v>2</v>
      </c>
      <c r="B13" s="17"/>
      <c r="C13" s="18"/>
      <c r="D13" s="17"/>
      <c r="E13" s="19" t="s">
        <v>3</v>
      </c>
      <c r="F13" s="19" t="s">
        <v>4</v>
      </c>
      <c r="G13" s="20" t="s">
        <v>5</v>
      </c>
      <c r="H13" s="21" t="s">
        <v>6</v>
      </c>
      <c r="I13" s="22">
        <v>1.0</v>
      </c>
      <c r="J13" s="23" t="s">
        <v>7</v>
      </c>
      <c r="K13" s="24"/>
      <c r="L13" s="2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35.25" customHeight="1">
      <c r="A14" s="26" t="s">
        <v>8</v>
      </c>
      <c r="B14" s="27" t="s">
        <v>132</v>
      </c>
      <c r="C14" s="28"/>
      <c r="D14" s="29"/>
      <c r="E14" s="30" t="s">
        <v>10</v>
      </c>
      <c r="F14" s="30" t="s">
        <v>11</v>
      </c>
      <c r="G14" s="31" t="s">
        <v>12</v>
      </c>
      <c r="H14" s="32"/>
      <c r="I14" s="33"/>
      <c r="J14" s="34"/>
      <c r="K14" s="35"/>
      <c r="L14" s="3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24.75" customHeight="1">
      <c r="A15" s="37" t="s">
        <v>13</v>
      </c>
      <c r="B15" s="38" t="s">
        <v>14</v>
      </c>
      <c r="C15" s="39" t="s">
        <v>15</v>
      </c>
      <c r="D15" s="39">
        <v>3.0</v>
      </c>
      <c r="E15" s="33"/>
      <c r="F15" s="33"/>
      <c r="G15" s="33"/>
      <c r="H15" s="40"/>
      <c r="I15" s="41"/>
      <c r="J15" s="42"/>
      <c r="K15" s="28"/>
      <c r="L15" s="43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40.5" customHeight="1">
      <c r="A16" s="44" t="s">
        <v>16</v>
      </c>
      <c r="B16" s="45" t="s">
        <v>17</v>
      </c>
      <c r="C16" s="28"/>
      <c r="D16" s="29"/>
      <c r="E16" s="46"/>
      <c r="F16" s="46"/>
      <c r="G16" s="47"/>
      <c r="H16" s="48"/>
      <c r="I16" s="49" t="s">
        <v>18</v>
      </c>
      <c r="J16" s="50" t="s">
        <v>19</v>
      </c>
      <c r="K16" s="50" t="s">
        <v>20</v>
      </c>
      <c r="L16" s="51" t="s">
        <v>21</v>
      </c>
      <c r="M16" s="50" t="s">
        <v>20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24.75" customHeight="1">
      <c r="A17" s="52">
        <v>1.0</v>
      </c>
      <c r="B17" s="53" t="s">
        <v>22</v>
      </c>
      <c r="C17" s="53" t="s">
        <v>23</v>
      </c>
      <c r="D17" s="54" t="s">
        <v>24</v>
      </c>
      <c r="E17" s="55"/>
      <c r="F17" s="55"/>
      <c r="G17" s="55"/>
      <c r="H17" s="55"/>
      <c r="I17" s="56">
        <f t="shared" ref="I17:I51" si="1">SUM(E17:H17)</f>
        <v>0</v>
      </c>
      <c r="J17" s="57"/>
      <c r="K17" s="58">
        <f t="shared" ref="K17:K51" si="2">IF(M17&lt;6,5,M17)</f>
        <v>5</v>
      </c>
      <c r="L17" s="59"/>
      <c r="M17" s="60">
        <f t="shared" ref="M17:M51" si="3">IF(I17&gt;=6,ROUND(I17,0),TRUNC(I17,0))</f>
        <v>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24.75" customHeight="1">
      <c r="A18" s="52">
        <v>2.0</v>
      </c>
      <c r="B18" s="53" t="s">
        <v>25</v>
      </c>
      <c r="C18" s="53" t="s">
        <v>26</v>
      </c>
      <c r="D18" s="54" t="s">
        <v>27</v>
      </c>
      <c r="E18" s="55"/>
      <c r="F18" s="55"/>
      <c r="G18" s="55"/>
      <c r="H18" s="55"/>
      <c r="I18" s="56">
        <f t="shared" si="1"/>
        <v>0</v>
      </c>
      <c r="J18" s="57"/>
      <c r="K18" s="58">
        <f t="shared" si="2"/>
        <v>5</v>
      </c>
      <c r="L18" s="52"/>
      <c r="M18" s="60">
        <f t="shared" si="3"/>
        <v>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24.75" customHeight="1">
      <c r="A19" s="52">
        <v>3.0</v>
      </c>
      <c r="B19" s="53" t="s">
        <v>28</v>
      </c>
      <c r="C19" s="53" t="s">
        <v>29</v>
      </c>
      <c r="D19" s="54" t="s">
        <v>30</v>
      </c>
      <c r="E19" s="55"/>
      <c r="F19" s="55"/>
      <c r="G19" s="55"/>
      <c r="H19" s="55"/>
      <c r="I19" s="56">
        <f t="shared" si="1"/>
        <v>0</v>
      </c>
      <c r="J19" s="57"/>
      <c r="K19" s="58">
        <f t="shared" si="2"/>
        <v>5</v>
      </c>
      <c r="L19" s="52"/>
      <c r="M19" s="60">
        <f t="shared" si="3"/>
        <v>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24.75" customHeight="1">
      <c r="A20" s="52">
        <v>4.0</v>
      </c>
      <c r="B20" s="53" t="s">
        <v>31</v>
      </c>
      <c r="C20" s="53" t="s">
        <v>32</v>
      </c>
      <c r="D20" s="54" t="s">
        <v>33</v>
      </c>
      <c r="E20" s="55"/>
      <c r="F20" s="55"/>
      <c r="G20" s="55"/>
      <c r="H20" s="55"/>
      <c r="I20" s="56">
        <f t="shared" si="1"/>
        <v>0</v>
      </c>
      <c r="J20" s="57"/>
      <c r="K20" s="58">
        <f t="shared" si="2"/>
        <v>5</v>
      </c>
      <c r="L20" s="52"/>
      <c r="M20" s="60">
        <f t="shared" si="3"/>
        <v>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24.75" customHeight="1">
      <c r="A21" s="52">
        <v>5.0</v>
      </c>
      <c r="B21" s="53" t="s">
        <v>34</v>
      </c>
      <c r="C21" s="53" t="s">
        <v>35</v>
      </c>
      <c r="D21" s="54" t="s">
        <v>36</v>
      </c>
      <c r="E21" s="55"/>
      <c r="F21" s="55"/>
      <c r="G21" s="55"/>
      <c r="H21" s="55"/>
      <c r="I21" s="56">
        <f t="shared" si="1"/>
        <v>0</v>
      </c>
      <c r="J21" s="57"/>
      <c r="K21" s="58">
        <f t="shared" si="2"/>
        <v>5</v>
      </c>
      <c r="L21" s="52"/>
      <c r="M21" s="60">
        <f t="shared" si="3"/>
        <v>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24.75" customHeight="1">
      <c r="A22" s="52">
        <v>6.0</v>
      </c>
      <c r="B22" s="53" t="s">
        <v>37</v>
      </c>
      <c r="C22" s="53" t="s">
        <v>38</v>
      </c>
      <c r="D22" s="54" t="s">
        <v>39</v>
      </c>
      <c r="E22" s="55"/>
      <c r="F22" s="55"/>
      <c r="G22" s="55"/>
      <c r="H22" s="55"/>
      <c r="I22" s="56">
        <f t="shared" si="1"/>
        <v>0</v>
      </c>
      <c r="J22" s="57"/>
      <c r="K22" s="58">
        <f t="shared" si="2"/>
        <v>5</v>
      </c>
      <c r="L22" s="52"/>
      <c r="M22" s="60">
        <f t="shared" si="3"/>
        <v>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24.75" customHeight="1">
      <c r="A23" s="52">
        <v>7.0</v>
      </c>
      <c r="B23" s="53" t="s">
        <v>37</v>
      </c>
      <c r="C23" s="53" t="s">
        <v>40</v>
      </c>
      <c r="D23" s="54" t="s">
        <v>41</v>
      </c>
      <c r="E23" s="55"/>
      <c r="F23" s="55"/>
      <c r="G23" s="55"/>
      <c r="H23" s="55"/>
      <c r="I23" s="56">
        <f t="shared" si="1"/>
        <v>0</v>
      </c>
      <c r="J23" s="57"/>
      <c r="K23" s="58">
        <f t="shared" si="2"/>
        <v>5</v>
      </c>
      <c r="L23" s="52"/>
      <c r="M23" s="60">
        <f t="shared" si="3"/>
        <v>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24.75" customHeight="1">
      <c r="A24" s="52">
        <v>8.0</v>
      </c>
      <c r="B24" s="53" t="s">
        <v>42</v>
      </c>
      <c r="C24" s="53" t="s">
        <v>43</v>
      </c>
      <c r="D24" s="54" t="s">
        <v>44</v>
      </c>
      <c r="E24" s="55"/>
      <c r="F24" s="55"/>
      <c r="G24" s="55"/>
      <c r="H24" s="55"/>
      <c r="I24" s="56">
        <f t="shared" si="1"/>
        <v>0</v>
      </c>
      <c r="J24" s="57"/>
      <c r="K24" s="58">
        <f t="shared" si="2"/>
        <v>5</v>
      </c>
      <c r="L24" s="52"/>
      <c r="M24" s="60">
        <f t="shared" si="3"/>
        <v>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24.75" customHeight="1">
      <c r="A25" s="52">
        <v>9.0</v>
      </c>
      <c r="B25" s="53" t="s">
        <v>45</v>
      </c>
      <c r="C25" s="53" t="s">
        <v>46</v>
      </c>
      <c r="D25" s="54" t="s">
        <v>47</v>
      </c>
      <c r="E25" s="55"/>
      <c r="F25" s="55"/>
      <c r="G25" s="55"/>
      <c r="H25" s="55"/>
      <c r="I25" s="56">
        <f t="shared" si="1"/>
        <v>0</v>
      </c>
      <c r="J25" s="57"/>
      <c r="K25" s="58">
        <f t="shared" si="2"/>
        <v>5</v>
      </c>
      <c r="L25" s="52"/>
      <c r="M25" s="60">
        <f t="shared" si="3"/>
        <v>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24.75" customHeight="1">
      <c r="A26" s="52">
        <v>10.0</v>
      </c>
      <c r="B26" s="53" t="s">
        <v>48</v>
      </c>
      <c r="C26" s="53" t="s">
        <v>49</v>
      </c>
      <c r="D26" s="54" t="s">
        <v>50</v>
      </c>
      <c r="E26" s="55"/>
      <c r="F26" s="55"/>
      <c r="G26" s="55"/>
      <c r="H26" s="55"/>
      <c r="I26" s="56">
        <f t="shared" si="1"/>
        <v>0</v>
      </c>
      <c r="J26" s="57"/>
      <c r="K26" s="58">
        <f t="shared" si="2"/>
        <v>5</v>
      </c>
      <c r="L26" s="52"/>
      <c r="M26" s="60">
        <f t="shared" si="3"/>
        <v>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24.75" customHeight="1">
      <c r="A27" s="52">
        <v>11.0</v>
      </c>
      <c r="B27" s="53" t="s">
        <v>48</v>
      </c>
      <c r="C27" s="53" t="s">
        <v>51</v>
      </c>
      <c r="D27" s="53" t="s">
        <v>52</v>
      </c>
      <c r="E27" s="55"/>
      <c r="F27" s="55"/>
      <c r="G27" s="55"/>
      <c r="H27" s="55"/>
      <c r="I27" s="56">
        <f t="shared" si="1"/>
        <v>0</v>
      </c>
      <c r="J27" s="57"/>
      <c r="K27" s="58">
        <f t="shared" si="2"/>
        <v>5</v>
      </c>
      <c r="L27" s="52"/>
      <c r="M27" s="60">
        <f t="shared" si="3"/>
        <v>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24.75" customHeight="1">
      <c r="A28" s="52">
        <v>12.0</v>
      </c>
      <c r="B28" s="53" t="s">
        <v>53</v>
      </c>
      <c r="C28" s="53" t="s">
        <v>54</v>
      </c>
      <c r="D28" s="54" t="s">
        <v>55</v>
      </c>
      <c r="E28" s="55"/>
      <c r="F28" s="55"/>
      <c r="G28" s="55"/>
      <c r="H28" s="55"/>
      <c r="I28" s="56">
        <f t="shared" si="1"/>
        <v>0</v>
      </c>
      <c r="J28" s="57"/>
      <c r="K28" s="58">
        <f t="shared" si="2"/>
        <v>5</v>
      </c>
      <c r="L28" s="52"/>
      <c r="M28" s="60">
        <f t="shared" si="3"/>
        <v>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24.75" customHeight="1">
      <c r="A29" s="52">
        <v>13.0</v>
      </c>
      <c r="B29" s="53" t="s">
        <v>56</v>
      </c>
      <c r="C29" s="53" t="s">
        <v>57</v>
      </c>
      <c r="D29" s="54" t="s">
        <v>58</v>
      </c>
      <c r="E29" s="55"/>
      <c r="F29" s="55"/>
      <c r="G29" s="55"/>
      <c r="H29" s="55"/>
      <c r="I29" s="56">
        <f t="shared" si="1"/>
        <v>0</v>
      </c>
      <c r="J29" s="57"/>
      <c r="K29" s="58">
        <f t="shared" si="2"/>
        <v>5</v>
      </c>
      <c r="L29" s="52"/>
      <c r="M29" s="60">
        <f t="shared" si="3"/>
        <v>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24.75" customHeight="1">
      <c r="A30" s="52">
        <v>14.0</v>
      </c>
      <c r="B30" s="53" t="s">
        <v>57</v>
      </c>
      <c r="C30" s="53" t="s">
        <v>59</v>
      </c>
      <c r="D30" s="54" t="s">
        <v>60</v>
      </c>
      <c r="E30" s="55"/>
      <c r="F30" s="55"/>
      <c r="G30" s="55"/>
      <c r="H30" s="55"/>
      <c r="I30" s="56">
        <f t="shared" si="1"/>
        <v>0</v>
      </c>
      <c r="J30" s="57"/>
      <c r="K30" s="58">
        <f t="shared" si="2"/>
        <v>5</v>
      </c>
      <c r="L30" s="52"/>
      <c r="M30" s="60">
        <f t="shared" si="3"/>
        <v>0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24.75" customHeight="1">
      <c r="A31" s="52">
        <v>15.0</v>
      </c>
      <c r="B31" s="53" t="s">
        <v>61</v>
      </c>
      <c r="C31" s="53" t="s">
        <v>62</v>
      </c>
      <c r="D31" s="54" t="s">
        <v>63</v>
      </c>
      <c r="E31" s="55"/>
      <c r="F31" s="55"/>
      <c r="G31" s="55"/>
      <c r="H31" s="55"/>
      <c r="I31" s="56">
        <f t="shared" si="1"/>
        <v>0</v>
      </c>
      <c r="J31" s="57"/>
      <c r="K31" s="58">
        <f t="shared" si="2"/>
        <v>5</v>
      </c>
      <c r="L31" s="52"/>
      <c r="M31" s="60">
        <f t="shared" si="3"/>
        <v>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24.75" customHeight="1">
      <c r="A32" s="52">
        <v>16.0</v>
      </c>
      <c r="B32" s="53" t="s">
        <v>64</v>
      </c>
      <c r="C32" s="53" t="s">
        <v>65</v>
      </c>
      <c r="D32" s="54" t="s">
        <v>66</v>
      </c>
      <c r="E32" s="55"/>
      <c r="F32" s="55"/>
      <c r="G32" s="55"/>
      <c r="H32" s="55"/>
      <c r="I32" s="56">
        <f t="shared" si="1"/>
        <v>0</v>
      </c>
      <c r="J32" s="57"/>
      <c r="K32" s="58">
        <f t="shared" si="2"/>
        <v>5</v>
      </c>
      <c r="L32" s="52"/>
      <c r="M32" s="60">
        <f t="shared" si="3"/>
        <v>0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24.75" customHeight="1">
      <c r="A33" s="52">
        <v>17.0</v>
      </c>
      <c r="B33" s="53" t="s">
        <v>64</v>
      </c>
      <c r="C33" s="53" t="s">
        <v>67</v>
      </c>
      <c r="D33" s="54" t="s">
        <v>68</v>
      </c>
      <c r="E33" s="55"/>
      <c r="F33" s="55"/>
      <c r="G33" s="55"/>
      <c r="H33" s="55"/>
      <c r="I33" s="56">
        <f t="shared" si="1"/>
        <v>0</v>
      </c>
      <c r="J33" s="57"/>
      <c r="K33" s="58">
        <f t="shared" si="2"/>
        <v>5</v>
      </c>
      <c r="L33" s="52"/>
      <c r="M33" s="60">
        <f t="shared" si="3"/>
        <v>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24.75" customHeight="1">
      <c r="A34" s="52">
        <v>18.0</v>
      </c>
      <c r="B34" s="53" t="s">
        <v>69</v>
      </c>
      <c r="C34" s="53" t="s">
        <v>70</v>
      </c>
      <c r="D34" s="54" t="s">
        <v>71</v>
      </c>
      <c r="E34" s="55"/>
      <c r="F34" s="55"/>
      <c r="G34" s="55"/>
      <c r="H34" s="55"/>
      <c r="I34" s="56">
        <f t="shared" si="1"/>
        <v>0</v>
      </c>
      <c r="J34" s="57"/>
      <c r="K34" s="58">
        <f t="shared" si="2"/>
        <v>5</v>
      </c>
      <c r="L34" s="52"/>
      <c r="M34" s="60">
        <f t="shared" si="3"/>
        <v>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24.75" customHeight="1">
      <c r="A35" s="52">
        <v>19.0</v>
      </c>
      <c r="B35" s="53" t="s">
        <v>26</v>
      </c>
      <c r="C35" s="53" t="s">
        <v>72</v>
      </c>
      <c r="D35" s="54" t="s">
        <v>73</v>
      </c>
      <c r="E35" s="55"/>
      <c r="F35" s="55"/>
      <c r="G35" s="55"/>
      <c r="H35" s="55"/>
      <c r="I35" s="56">
        <f t="shared" si="1"/>
        <v>0</v>
      </c>
      <c r="J35" s="57"/>
      <c r="K35" s="58">
        <f t="shared" si="2"/>
        <v>5</v>
      </c>
      <c r="L35" s="52"/>
      <c r="M35" s="60">
        <f t="shared" si="3"/>
        <v>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24.75" customHeight="1">
      <c r="A36" s="52">
        <v>20.0</v>
      </c>
      <c r="B36" s="53" t="s">
        <v>74</v>
      </c>
      <c r="C36" s="53" t="s">
        <v>75</v>
      </c>
      <c r="D36" s="54" t="s">
        <v>76</v>
      </c>
      <c r="E36" s="55"/>
      <c r="F36" s="55"/>
      <c r="G36" s="55"/>
      <c r="H36" s="55"/>
      <c r="I36" s="56">
        <f t="shared" si="1"/>
        <v>0</v>
      </c>
      <c r="J36" s="57"/>
      <c r="K36" s="58">
        <f t="shared" si="2"/>
        <v>5</v>
      </c>
      <c r="L36" s="52"/>
      <c r="M36" s="60">
        <f t="shared" si="3"/>
        <v>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24.75" customHeight="1">
      <c r="A37" s="52">
        <v>21.0</v>
      </c>
      <c r="B37" s="53" t="s">
        <v>77</v>
      </c>
      <c r="C37" s="53" t="s">
        <v>26</v>
      </c>
      <c r="D37" s="54" t="s">
        <v>78</v>
      </c>
      <c r="E37" s="55"/>
      <c r="F37" s="55"/>
      <c r="G37" s="55"/>
      <c r="H37" s="55"/>
      <c r="I37" s="56">
        <f t="shared" si="1"/>
        <v>0</v>
      </c>
      <c r="J37" s="57"/>
      <c r="K37" s="58">
        <f t="shared" si="2"/>
        <v>5</v>
      </c>
      <c r="L37" s="52"/>
      <c r="M37" s="60">
        <f t="shared" si="3"/>
        <v>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24.75" customHeight="1">
      <c r="A38" s="52">
        <v>22.0</v>
      </c>
      <c r="B38" s="53" t="s">
        <v>79</v>
      </c>
      <c r="C38" s="53" t="s">
        <v>80</v>
      </c>
      <c r="D38" s="54" t="s">
        <v>81</v>
      </c>
      <c r="E38" s="55"/>
      <c r="F38" s="55"/>
      <c r="G38" s="55"/>
      <c r="H38" s="55"/>
      <c r="I38" s="56">
        <f t="shared" si="1"/>
        <v>0</v>
      </c>
      <c r="J38" s="57"/>
      <c r="K38" s="58">
        <f t="shared" si="2"/>
        <v>5</v>
      </c>
      <c r="L38" s="52"/>
      <c r="M38" s="60">
        <f t="shared" si="3"/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24.75" customHeight="1">
      <c r="A39" s="52">
        <v>23.0</v>
      </c>
      <c r="B39" s="53" t="s">
        <v>82</v>
      </c>
      <c r="C39" s="53" t="s">
        <v>83</v>
      </c>
      <c r="D39" s="54" t="s">
        <v>84</v>
      </c>
      <c r="E39" s="55"/>
      <c r="F39" s="55"/>
      <c r="G39" s="55"/>
      <c r="H39" s="55"/>
      <c r="I39" s="56">
        <f t="shared" si="1"/>
        <v>0</v>
      </c>
      <c r="J39" s="57"/>
      <c r="K39" s="58">
        <f t="shared" si="2"/>
        <v>5</v>
      </c>
      <c r="L39" s="52"/>
      <c r="M39" s="60">
        <f t="shared" si="3"/>
        <v>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24.75" customHeight="1">
      <c r="A40" s="52">
        <v>24.0</v>
      </c>
      <c r="B40" s="53" t="s">
        <v>85</v>
      </c>
      <c r="C40" s="53" t="s">
        <v>86</v>
      </c>
      <c r="D40" s="54" t="s">
        <v>87</v>
      </c>
      <c r="E40" s="55"/>
      <c r="F40" s="55"/>
      <c r="G40" s="55"/>
      <c r="H40" s="55"/>
      <c r="I40" s="56">
        <f t="shared" si="1"/>
        <v>0</v>
      </c>
      <c r="J40" s="57"/>
      <c r="K40" s="58">
        <f t="shared" si="2"/>
        <v>5</v>
      </c>
      <c r="L40" s="52"/>
      <c r="M40" s="60">
        <f t="shared" si="3"/>
        <v>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24.75" customHeight="1">
      <c r="A41" s="52">
        <v>25.0</v>
      </c>
      <c r="B41" s="53" t="s">
        <v>88</v>
      </c>
      <c r="C41" s="53" t="s">
        <v>89</v>
      </c>
      <c r="D41" s="54" t="s">
        <v>90</v>
      </c>
      <c r="E41" s="55"/>
      <c r="F41" s="55"/>
      <c r="G41" s="55"/>
      <c r="H41" s="55"/>
      <c r="I41" s="56">
        <f t="shared" si="1"/>
        <v>0</v>
      </c>
      <c r="J41" s="57"/>
      <c r="K41" s="58">
        <f t="shared" si="2"/>
        <v>5</v>
      </c>
      <c r="L41" s="52"/>
      <c r="M41" s="60">
        <f t="shared" si="3"/>
        <v>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24.75" customHeight="1">
      <c r="A42" s="52">
        <v>26.0</v>
      </c>
      <c r="B42" s="53" t="s">
        <v>91</v>
      </c>
      <c r="C42" s="53" t="s">
        <v>92</v>
      </c>
      <c r="D42" s="54" t="s">
        <v>93</v>
      </c>
      <c r="E42" s="55"/>
      <c r="F42" s="55"/>
      <c r="G42" s="55"/>
      <c r="H42" s="55"/>
      <c r="I42" s="56">
        <f t="shared" si="1"/>
        <v>0</v>
      </c>
      <c r="J42" s="57"/>
      <c r="K42" s="58">
        <f t="shared" si="2"/>
        <v>5</v>
      </c>
      <c r="L42" s="52"/>
      <c r="M42" s="60">
        <f t="shared" si="3"/>
        <v>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24.75" customHeight="1">
      <c r="A43" s="52">
        <v>27.0</v>
      </c>
      <c r="B43" s="53" t="s">
        <v>94</v>
      </c>
      <c r="C43" s="53" t="s">
        <v>95</v>
      </c>
      <c r="D43" s="54" t="s">
        <v>96</v>
      </c>
      <c r="E43" s="55"/>
      <c r="F43" s="55"/>
      <c r="G43" s="55"/>
      <c r="H43" s="55"/>
      <c r="I43" s="56">
        <f t="shared" si="1"/>
        <v>0</v>
      </c>
      <c r="J43" s="57"/>
      <c r="K43" s="58">
        <f t="shared" si="2"/>
        <v>5</v>
      </c>
      <c r="L43" s="52"/>
      <c r="M43" s="60">
        <f t="shared" si="3"/>
        <v>0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24.75" customHeight="1">
      <c r="A44" s="52">
        <v>28.0</v>
      </c>
      <c r="B44" s="53" t="s">
        <v>94</v>
      </c>
      <c r="C44" s="53" t="s">
        <v>97</v>
      </c>
      <c r="D44" s="54" t="s">
        <v>98</v>
      </c>
      <c r="E44" s="55"/>
      <c r="F44" s="55"/>
      <c r="G44" s="55"/>
      <c r="H44" s="55"/>
      <c r="I44" s="56">
        <f t="shared" si="1"/>
        <v>0</v>
      </c>
      <c r="J44" s="57"/>
      <c r="K44" s="58">
        <f t="shared" si="2"/>
        <v>5</v>
      </c>
      <c r="L44" s="52"/>
      <c r="M44" s="60">
        <f t="shared" si="3"/>
        <v>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24.75" customHeight="1">
      <c r="A45" s="52">
        <v>29.0</v>
      </c>
      <c r="B45" s="53" t="s">
        <v>94</v>
      </c>
      <c r="C45" s="53" t="s">
        <v>99</v>
      </c>
      <c r="D45" s="54" t="s">
        <v>100</v>
      </c>
      <c r="E45" s="55"/>
      <c r="F45" s="55"/>
      <c r="G45" s="55"/>
      <c r="H45" s="55"/>
      <c r="I45" s="56">
        <f t="shared" si="1"/>
        <v>0</v>
      </c>
      <c r="J45" s="57"/>
      <c r="K45" s="58">
        <f t="shared" si="2"/>
        <v>5</v>
      </c>
      <c r="L45" s="52"/>
      <c r="M45" s="60">
        <f t="shared" si="3"/>
        <v>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24.75" customHeight="1">
      <c r="A46" s="52">
        <v>30.0</v>
      </c>
      <c r="B46" s="53" t="s">
        <v>101</v>
      </c>
      <c r="C46" s="53" t="s">
        <v>64</v>
      </c>
      <c r="D46" s="54" t="s">
        <v>102</v>
      </c>
      <c r="E46" s="55"/>
      <c r="F46" s="55"/>
      <c r="G46" s="55"/>
      <c r="H46" s="55"/>
      <c r="I46" s="56">
        <f t="shared" si="1"/>
        <v>0</v>
      </c>
      <c r="J46" s="57"/>
      <c r="K46" s="58">
        <f t="shared" si="2"/>
        <v>5</v>
      </c>
      <c r="L46" s="52"/>
      <c r="M46" s="60">
        <f t="shared" si="3"/>
        <v>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24.75" customHeight="1">
      <c r="A47" s="52">
        <v>31.0</v>
      </c>
      <c r="B47" s="53" t="s">
        <v>103</v>
      </c>
      <c r="C47" s="53" t="s">
        <v>104</v>
      </c>
      <c r="D47" s="54" t="s">
        <v>105</v>
      </c>
      <c r="E47" s="55"/>
      <c r="F47" s="55"/>
      <c r="G47" s="55"/>
      <c r="H47" s="55"/>
      <c r="I47" s="56">
        <f t="shared" si="1"/>
        <v>0</v>
      </c>
      <c r="J47" s="57"/>
      <c r="K47" s="58">
        <f t="shared" si="2"/>
        <v>5</v>
      </c>
      <c r="L47" s="52"/>
      <c r="M47" s="60">
        <f t="shared" si="3"/>
        <v>0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24.75" customHeight="1">
      <c r="A48" s="52">
        <v>32.0</v>
      </c>
      <c r="B48" s="53" t="s">
        <v>65</v>
      </c>
      <c r="C48" s="53" t="s">
        <v>106</v>
      </c>
      <c r="D48" s="54" t="s">
        <v>107</v>
      </c>
      <c r="E48" s="55"/>
      <c r="F48" s="55"/>
      <c r="G48" s="55"/>
      <c r="H48" s="55"/>
      <c r="I48" s="56">
        <f t="shared" si="1"/>
        <v>0</v>
      </c>
      <c r="J48" s="57"/>
      <c r="K48" s="58">
        <f t="shared" si="2"/>
        <v>5</v>
      </c>
      <c r="L48" s="52"/>
      <c r="M48" s="60">
        <f t="shared" si="3"/>
        <v>0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24.75" customHeight="1">
      <c r="A49" s="52">
        <v>33.0</v>
      </c>
      <c r="B49" s="53" t="s">
        <v>108</v>
      </c>
      <c r="C49" s="53" t="s">
        <v>94</v>
      </c>
      <c r="D49" s="54" t="s">
        <v>41</v>
      </c>
      <c r="E49" s="55"/>
      <c r="F49" s="55"/>
      <c r="G49" s="55"/>
      <c r="H49" s="55"/>
      <c r="I49" s="56">
        <f t="shared" si="1"/>
        <v>0</v>
      </c>
      <c r="J49" s="57"/>
      <c r="K49" s="58">
        <f t="shared" si="2"/>
        <v>5</v>
      </c>
      <c r="L49" s="52"/>
      <c r="M49" s="60">
        <f t="shared" si="3"/>
        <v>0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24.75" customHeight="1">
      <c r="A50" s="52">
        <v>34.0</v>
      </c>
      <c r="B50" s="53" t="s">
        <v>83</v>
      </c>
      <c r="C50" s="53" t="s">
        <v>59</v>
      </c>
      <c r="D50" s="54" t="s">
        <v>109</v>
      </c>
      <c r="E50" s="55"/>
      <c r="F50" s="55"/>
      <c r="G50" s="55"/>
      <c r="H50" s="55"/>
      <c r="I50" s="56">
        <f t="shared" si="1"/>
        <v>0</v>
      </c>
      <c r="J50" s="57"/>
      <c r="K50" s="58">
        <f t="shared" si="2"/>
        <v>5</v>
      </c>
      <c r="L50" s="52"/>
      <c r="M50" s="60">
        <f t="shared" si="3"/>
        <v>0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24.75" customHeight="1">
      <c r="A51" s="52">
        <v>35.0</v>
      </c>
      <c r="B51" s="53" t="s">
        <v>110</v>
      </c>
      <c r="C51" s="53" t="s">
        <v>111</v>
      </c>
      <c r="D51" s="54" t="s">
        <v>112</v>
      </c>
      <c r="E51" s="55"/>
      <c r="F51" s="55"/>
      <c r="G51" s="55"/>
      <c r="H51" s="55"/>
      <c r="I51" s="56">
        <f t="shared" si="1"/>
        <v>0</v>
      </c>
      <c r="J51" s="57"/>
      <c r="K51" s="58">
        <f t="shared" si="2"/>
        <v>5</v>
      </c>
      <c r="L51" s="52"/>
      <c r="M51" s="60">
        <f t="shared" si="3"/>
        <v>0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3.5" customHeight="1">
      <c r="A52" s="6"/>
      <c r="B52" s="61"/>
      <c r="C52" s="61"/>
      <c r="D52" s="61"/>
      <c r="E52" s="62"/>
      <c r="F52" s="62"/>
      <c r="G52" s="61"/>
      <c r="H52" s="61"/>
      <c r="I52" s="61"/>
      <c r="J52" s="61"/>
      <c r="K52" s="1"/>
      <c r="L52" s="8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21.75" customHeight="1">
      <c r="B53" s="63" t="s">
        <v>113</v>
      </c>
      <c r="C53" s="64"/>
      <c r="D53" s="65">
        <f>COUNT(A17:A51)</f>
        <v>35</v>
      </c>
      <c r="E53" s="61"/>
      <c r="F53" s="61"/>
      <c r="G53" s="66" t="s">
        <v>114</v>
      </c>
      <c r="H53" s="66"/>
      <c r="I53" s="66" t="s">
        <v>115</v>
      </c>
      <c r="K53" s="67" t="s">
        <v>116</v>
      </c>
      <c r="L53" s="68" t="s">
        <v>117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21.75" customHeight="1">
      <c r="B54" s="69" t="s">
        <v>118</v>
      </c>
      <c r="C54" s="70"/>
      <c r="D54" s="71">
        <f>COUNTIF(K17:K51,"BAJA")</f>
        <v>0</v>
      </c>
      <c r="E54" s="61"/>
      <c r="F54" s="61"/>
      <c r="H54" s="66"/>
      <c r="L54" s="10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21.75" customHeight="1">
      <c r="B55" s="69" t="s">
        <v>119</v>
      </c>
      <c r="C55" s="70"/>
      <c r="D55" s="72">
        <f>D53-D54</f>
        <v>35</v>
      </c>
      <c r="E55" s="61"/>
      <c r="F55" s="61"/>
      <c r="G55" s="73"/>
      <c r="H55" s="74"/>
      <c r="I55" s="73"/>
      <c r="J55" s="73"/>
      <c r="K55" s="75"/>
      <c r="L55" s="76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21.75" customHeight="1">
      <c r="B56" s="69" t="s">
        <v>120</v>
      </c>
      <c r="C56" s="70"/>
      <c r="D56" s="77">
        <f>COUNTIF(K17:K51,"&gt;=6")</f>
        <v>0</v>
      </c>
      <c r="E56" s="61"/>
      <c r="F56" s="61"/>
      <c r="G56" s="73"/>
      <c r="H56" s="74"/>
      <c r="I56" s="73"/>
      <c r="J56" s="73"/>
      <c r="K56" s="75"/>
      <c r="L56" s="76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21.75" customHeight="1">
      <c r="B57" s="69" t="s">
        <v>121</v>
      </c>
      <c r="C57" s="70"/>
      <c r="D57" s="77">
        <f>D55-D56</f>
        <v>35</v>
      </c>
      <c r="E57" s="61"/>
      <c r="F57" s="61"/>
      <c r="G57" s="78"/>
      <c r="H57" s="74"/>
      <c r="I57" s="78"/>
      <c r="J57" s="78"/>
      <c r="K57" s="79"/>
      <c r="L57" s="80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27.75" customHeight="1">
      <c r="B58" s="69" t="s">
        <v>122</v>
      </c>
      <c r="C58" s="70"/>
      <c r="D58" s="81">
        <f>D56*100/D55</f>
        <v>0</v>
      </c>
      <c r="E58" s="61"/>
      <c r="F58" s="61"/>
      <c r="G58" s="82" t="s">
        <v>123</v>
      </c>
      <c r="H58" s="83"/>
      <c r="I58" s="84" t="s">
        <v>124</v>
      </c>
      <c r="K58" s="85" t="s">
        <v>125</v>
      </c>
      <c r="L58" s="86" t="s">
        <v>126</v>
      </c>
      <c r="M58" s="87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21.75" customHeight="1">
      <c r="B59" s="88" t="s">
        <v>127</v>
      </c>
      <c r="C59" s="89"/>
      <c r="D59" s="90">
        <f>AVERAGE(K17:K51)</f>
        <v>5</v>
      </c>
      <c r="E59" s="61"/>
      <c r="F59" s="61"/>
      <c r="H59" s="83"/>
      <c r="L59" s="10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3.5" customHeight="1">
      <c r="A60" s="6"/>
      <c r="B60" s="1"/>
      <c r="C60" s="1"/>
      <c r="D60" s="1"/>
      <c r="E60" s="1"/>
      <c r="F60" s="1"/>
      <c r="G60" s="1"/>
      <c r="H60" s="1"/>
      <c r="I60" s="1"/>
      <c r="J60" s="1"/>
      <c r="K60" s="1"/>
      <c r="L60" s="8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3.5" customHeight="1">
      <c r="A61" s="91"/>
      <c r="B61" s="92"/>
      <c r="C61" s="93"/>
      <c r="D61" s="93"/>
      <c r="E61" s="61"/>
      <c r="H61" s="7"/>
      <c r="I61" s="7"/>
      <c r="J61" s="7"/>
      <c r="K61" s="7"/>
      <c r="L61" s="94"/>
      <c r="M61" s="95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3.5" customHeight="1">
      <c r="A62" s="96"/>
      <c r="B62" s="61"/>
      <c r="C62" s="61"/>
      <c r="D62" s="61"/>
      <c r="E62" s="7"/>
      <c r="F62" s="7"/>
      <c r="G62" s="1"/>
      <c r="H62" s="1"/>
      <c r="I62" s="1"/>
      <c r="J62" s="1"/>
      <c r="K62" s="1"/>
      <c r="L62" s="8"/>
      <c r="M62" s="97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3.5" customHeight="1">
      <c r="A63" s="96"/>
      <c r="B63" s="61"/>
      <c r="C63" s="61"/>
      <c r="D63" s="61"/>
      <c r="E63" s="7"/>
      <c r="F63" s="7"/>
      <c r="G63" s="1"/>
      <c r="H63" s="1"/>
      <c r="I63" s="1"/>
      <c r="J63" s="1"/>
      <c r="K63" s="1"/>
      <c r="L63" s="8"/>
      <c r="M63" s="97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3.5" customHeight="1">
      <c r="A64" s="98"/>
      <c r="B64" s="99"/>
      <c r="C64" s="99"/>
      <c r="D64" s="99"/>
      <c r="E64" s="100"/>
      <c r="F64" s="100"/>
      <c r="G64" s="101"/>
      <c r="H64" s="101"/>
      <c r="I64" s="101"/>
      <c r="J64" s="101"/>
      <c r="K64" s="101"/>
      <c r="L64" s="102"/>
      <c r="M64" s="97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4.25" customHeight="1">
      <c r="A65" s="1"/>
      <c r="B65" s="103"/>
      <c r="C65" s="103"/>
      <c r="D65" s="103"/>
      <c r="E65" s="103"/>
      <c r="F65" s="103"/>
      <c r="G65" s="1"/>
      <c r="H65" s="1"/>
      <c r="I65" s="1"/>
      <c r="J65" s="1"/>
      <c r="K65" s="104"/>
      <c r="L65" s="104"/>
      <c r="M65" s="104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4.25" customHeight="1">
      <c r="A66" s="1"/>
      <c r="B66" s="103"/>
      <c r="C66" s="103"/>
      <c r="D66" s="103"/>
      <c r="E66" s="103"/>
      <c r="F66" s="103"/>
      <c r="G66" s="1"/>
      <c r="H66" s="1"/>
      <c r="I66" s="1"/>
      <c r="J66" s="1"/>
      <c r="K66" s="104"/>
      <c r="L66" s="104"/>
      <c r="M66" s="104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4.25" customHeight="1">
      <c r="A67" s="1"/>
      <c r="B67" s="103"/>
      <c r="C67" s="103"/>
      <c r="D67" s="103"/>
      <c r="E67" s="103"/>
      <c r="F67" s="103"/>
      <c r="G67" s="1"/>
      <c r="H67" s="1"/>
      <c r="I67" s="1"/>
      <c r="J67" s="1"/>
      <c r="K67" s="104"/>
      <c r="L67" s="104"/>
      <c r="M67" s="104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4.25" customHeight="1">
      <c r="A68" s="1"/>
      <c r="B68" s="103"/>
      <c r="C68" s="103"/>
      <c r="D68" s="103"/>
      <c r="E68" s="103"/>
      <c r="F68" s="103"/>
      <c r="G68" s="1"/>
      <c r="H68" s="1"/>
      <c r="I68" s="1"/>
      <c r="J68" s="1"/>
      <c r="K68" s="104"/>
      <c r="L68" s="104"/>
      <c r="M68" s="104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4.25" customHeight="1">
      <c r="A69" s="1"/>
      <c r="B69" s="103"/>
      <c r="C69" s="103"/>
      <c r="D69" s="103"/>
      <c r="E69" s="103"/>
      <c r="F69" s="103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4.25" customHeight="1">
      <c r="A70" s="1"/>
      <c r="B70" s="103"/>
      <c r="C70" s="103"/>
      <c r="D70" s="103"/>
      <c r="E70" s="103"/>
      <c r="F70" s="103"/>
      <c r="G70" s="1"/>
      <c r="H70" s="1"/>
      <c r="I70" s="1"/>
      <c r="J70" s="1"/>
      <c r="K70" s="1"/>
      <c r="L70" s="105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4.25" customHeight="1">
      <c r="A71" s="1"/>
      <c r="B71" s="103"/>
      <c r="C71" s="103"/>
      <c r="D71" s="103"/>
      <c r="E71" s="103"/>
      <c r="F71" s="103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4.25" customHeight="1">
      <c r="A72" s="1"/>
      <c r="B72" s="103"/>
      <c r="C72" s="103"/>
      <c r="D72" s="103"/>
      <c r="E72" s="103"/>
      <c r="F72" s="103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4.25" customHeight="1">
      <c r="A73" s="1"/>
      <c r="B73" s="103"/>
      <c r="C73" s="103"/>
      <c r="D73" s="103"/>
      <c r="E73" s="103"/>
      <c r="F73" s="103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4.25" customHeight="1">
      <c r="A74" s="1"/>
      <c r="B74" s="103"/>
      <c r="C74" s="103"/>
      <c r="D74" s="103"/>
      <c r="E74" s="103"/>
      <c r="F74" s="103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4.25" customHeight="1">
      <c r="A75" s="1"/>
      <c r="B75" s="103"/>
      <c r="C75" s="103"/>
      <c r="D75" s="103"/>
      <c r="E75" s="103"/>
      <c r="F75" s="103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4.25" customHeight="1">
      <c r="A76" s="1"/>
      <c r="B76" s="103"/>
      <c r="C76" s="103"/>
      <c r="D76" s="103"/>
      <c r="E76" s="103"/>
      <c r="F76" s="103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</sheetData>
  <mergeCells count="29">
    <mergeCell ref="F14:F15"/>
    <mergeCell ref="G14:G15"/>
    <mergeCell ref="G53:G54"/>
    <mergeCell ref="I53:J54"/>
    <mergeCell ref="K53:K54"/>
    <mergeCell ref="L53:L54"/>
    <mergeCell ref="A9:L9"/>
    <mergeCell ref="E10:L10"/>
    <mergeCell ref="A13:B13"/>
    <mergeCell ref="C13:D13"/>
    <mergeCell ref="H13:H15"/>
    <mergeCell ref="I13:I14"/>
    <mergeCell ref="J13:L14"/>
    <mergeCell ref="J15:L15"/>
    <mergeCell ref="B57:C57"/>
    <mergeCell ref="B58:C58"/>
    <mergeCell ref="G58:G59"/>
    <mergeCell ref="I58:J59"/>
    <mergeCell ref="K58:K59"/>
    <mergeCell ref="L58:L59"/>
    <mergeCell ref="B59:C59"/>
    <mergeCell ref="E61:G61"/>
    <mergeCell ref="B14:D14"/>
    <mergeCell ref="E14:E15"/>
    <mergeCell ref="B16:D16"/>
    <mergeCell ref="B53:C53"/>
    <mergeCell ref="B54:C54"/>
    <mergeCell ref="B55:C55"/>
    <mergeCell ref="B56:C56"/>
  </mergeCells>
  <conditionalFormatting sqref="B28:D28 B30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 B30:D30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K17:L51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2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1"/>
      <c r="L3" s="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1"/>
      <c r="L4" s="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1"/>
      <c r="L5" s="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1"/>
      <c r="L6" s="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1"/>
      <c r="L7" s="8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1"/>
      <c r="L8" s="8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23.25" customHeight="1">
      <c r="A9" s="9" t="s">
        <v>0</v>
      </c>
      <c r="L9" s="1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9.75" customHeight="1">
      <c r="A10" s="6"/>
      <c r="B10" s="7"/>
      <c r="C10" s="7"/>
      <c r="D10" s="7"/>
      <c r="E10" s="11"/>
      <c r="L10" s="10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9.5" customHeight="1">
      <c r="A11" s="6"/>
      <c r="B11" s="12" t="s">
        <v>1</v>
      </c>
      <c r="C11" s="12"/>
      <c r="D11" s="12"/>
      <c r="E11" s="13"/>
      <c r="F11" s="13"/>
      <c r="G11" s="1"/>
      <c r="H11" s="1"/>
      <c r="I11" s="1"/>
      <c r="J11" s="1"/>
      <c r="K11" s="13"/>
      <c r="L11" s="1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12.75" customHeight="1">
      <c r="A12" s="6"/>
      <c r="B12" s="15"/>
      <c r="C12" s="15"/>
      <c r="D12" s="15"/>
      <c r="E12" s="13"/>
      <c r="F12" s="13"/>
      <c r="G12" s="1"/>
      <c r="H12" s="1"/>
      <c r="I12" s="1"/>
      <c r="J12" s="1"/>
      <c r="K12" s="13"/>
      <c r="L12" s="1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32.25" customHeight="1">
      <c r="A13" s="16" t="s">
        <v>2</v>
      </c>
      <c r="B13" s="17"/>
      <c r="C13" s="18"/>
      <c r="D13" s="17"/>
      <c r="E13" s="19" t="s">
        <v>3</v>
      </c>
      <c r="F13" s="19" t="s">
        <v>4</v>
      </c>
      <c r="G13" s="20" t="s">
        <v>5</v>
      </c>
      <c r="H13" s="21" t="s">
        <v>6</v>
      </c>
      <c r="I13" s="22">
        <v>1.0</v>
      </c>
      <c r="J13" s="23" t="s">
        <v>7</v>
      </c>
      <c r="K13" s="24"/>
      <c r="L13" s="2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35.25" customHeight="1">
      <c r="A14" s="26" t="s">
        <v>8</v>
      </c>
      <c r="B14" s="27" t="s">
        <v>133</v>
      </c>
      <c r="C14" s="28"/>
      <c r="D14" s="29"/>
      <c r="E14" s="30" t="s">
        <v>10</v>
      </c>
      <c r="F14" s="30" t="s">
        <v>11</v>
      </c>
      <c r="G14" s="31" t="s">
        <v>12</v>
      </c>
      <c r="H14" s="32"/>
      <c r="I14" s="33"/>
      <c r="J14" s="34"/>
      <c r="K14" s="35"/>
      <c r="L14" s="3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24.75" customHeight="1">
      <c r="A15" s="37" t="s">
        <v>13</v>
      </c>
      <c r="B15" s="38" t="s">
        <v>14</v>
      </c>
      <c r="C15" s="39" t="s">
        <v>15</v>
      </c>
      <c r="D15" s="39">
        <v>3.0</v>
      </c>
      <c r="E15" s="33"/>
      <c r="F15" s="33"/>
      <c r="G15" s="33"/>
      <c r="H15" s="40"/>
      <c r="I15" s="41"/>
      <c r="J15" s="42"/>
      <c r="K15" s="28"/>
      <c r="L15" s="43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40.5" customHeight="1">
      <c r="A16" s="44" t="s">
        <v>16</v>
      </c>
      <c r="B16" s="45" t="s">
        <v>17</v>
      </c>
      <c r="C16" s="28"/>
      <c r="D16" s="29"/>
      <c r="E16" s="46"/>
      <c r="F16" s="46"/>
      <c r="G16" s="47"/>
      <c r="H16" s="48"/>
      <c r="I16" s="49" t="s">
        <v>18</v>
      </c>
      <c r="J16" s="50" t="s">
        <v>19</v>
      </c>
      <c r="K16" s="50" t="s">
        <v>20</v>
      </c>
      <c r="L16" s="51" t="s">
        <v>21</v>
      </c>
      <c r="M16" s="50" t="s">
        <v>20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24.75" customHeight="1">
      <c r="A17" s="52">
        <v>1.0</v>
      </c>
      <c r="B17" s="53" t="s">
        <v>22</v>
      </c>
      <c r="C17" s="53" t="s">
        <v>23</v>
      </c>
      <c r="D17" s="54" t="s">
        <v>24</v>
      </c>
      <c r="E17" s="55"/>
      <c r="F17" s="55"/>
      <c r="G17" s="55"/>
      <c r="H17" s="55"/>
      <c r="I17" s="56">
        <f t="shared" ref="I17:I51" si="1">SUM(E17:H17)</f>
        <v>0</v>
      </c>
      <c r="J17" s="57"/>
      <c r="K17" s="58">
        <f t="shared" ref="K17:K51" si="2">IF(M17&lt;6,5,M17)</f>
        <v>5</v>
      </c>
      <c r="L17" s="59"/>
      <c r="M17" s="60">
        <f t="shared" ref="M17:M51" si="3">IF(I17&gt;=6,ROUND(I17,0),TRUNC(I17,0))</f>
        <v>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24.75" customHeight="1">
      <c r="A18" s="52">
        <v>2.0</v>
      </c>
      <c r="B18" s="53" t="s">
        <v>25</v>
      </c>
      <c r="C18" s="53" t="s">
        <v>26</v>
      </c>
      <c r="D18" s="54" t="s">
        <v>27</v>
      </c>
      <c r="E18" s="55"/>
      <c r="F18" s="55"/>
      <c r="G18" s="55"/>
      <c r="H18" s="55"/>
      <c r="I18" s="56">
        <f t="shared" si="1"/>
        <v>0</v>
      </c>
      <c r="J18" s="57"/>
      <c r="K18" s="58">
        <f t="shared" si="2"/>
        <v>5</v>
      </c>
      <c r="L18" s="52"/>
      <c r="M18" s="60">
        <f t="shared" si="3"/>
        <v>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24.75" customHeight="1">
      <c r="A19" s="52">
        <v>3.0</v>
      </c>
      <c r="B19" s="53" t="s">
        <v>28</v>
      </c>
      <c r="C19" s="53" t="s">
        <v>29</v>
      </c>
      <c r="D19" s="54" t="s">
        <v>30</v>
      </c>
      <c r="E19" s="55"/>
      <c r="F19" s="55"/>
      <c r="G19" s="55"/>
      <c r="H19" s="55"/>
      <c r="I19" s="56">
        <f t="shared" si="1"/>
        <v>0</v>
      </c>
      <c r="J19" s="57"/>
      <c r="K19" s="58">
        <f t="shared" si="2"/>
        <v>5</v>
      </c>
      <c r="L19" s="52"/>
      <c r="M19" s="60">
        <f t="shared" si="3"/>
        <v>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24.75" customHeight="1">
      <c r="A20" s="52">
        <v>4.0</v>
      </c>
      <c r="B20" s="53" t="s">
        <v>31</v>
      </c>
      <c r="C20" s="53" t="s">
        <v>32</v>
      </c>
      <c r="D20" s="54" t="s">
        <v>33</v>
      </c>
      <c r="E20" s="55"/>
      <c r="F20" s="55"/>
      <c r="G20" s="55"/>
      <c r="H20" s="55"/>
      <c r="I20" s="56">
        <f t="shared" si="1"/>
        <v>0</v>
      </c>
      <c r="J20" s="57"/>
      <c r="K20" s="58">
        <f t="shared" si="2"/>
        <v>5</v>
      </c>
      <c r="L20" s="52"/>
      <c r="M20" s="60">
        <f t="shared" si="3"/>
        <v>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24.75" customHeight="1">
      <c r="A21" s="52">
        <v>5.0</v>
      </c>
      <c r="B21" s="53" t="s">
        <v>34</v>
      </c>
      <c r="C21" s="53" t="s">
        <v>35</v>
      </c>
      <c r="D21" s="54" t="s">
        <v>36</v>
      </c>
      <c r="E21" s="55"/>
      <c r="F21" s="55"/>
      <c r="G21" s="55"/>
      <c r="H21" s="55"/>
      <c r="I21" s="56">
        <f t="shared" si="1"/>
        <v>0</v>
      </c>
      <c r="J21" s="57"/>
      <c r="K21" s="58">
        <f t="shared" si="2"/>
        <v>5</v>
      </c>
      <c r="L21" s="52"/>
      <c r="M21" s="60">
        <f t="shared" si="3"/>
        <v>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24.75" customHeight="1">
      <c r="A22" s="52">
        <v>6.0</v>
      </c>
      <c r="B22" s="53" t="s">
        <v>37</v>
      </c>
      <c r="C22" s="53" t="s">
        <v>38</v>
      </c>
      <c r="D22" s="54" t="s">
        <v>39</v>
      </c>
      <c r="E22" s="55"/>
      <c r="F22" s="55"/>
      <c r="G22" s="55"/>
      <c r="H22" s="55"/>
      <c r="I22" s="56">
        <f t="shared" si="1"/>
        <v>0</v>
      </c>
      <c r="J22" s="57"/>
      <c r="K22" s="58">
        <f t="shared" si="2"/>
        <v>5</v>
      </c>
      <c r="L22" s="52"/>
      <c r="M22" s="60">
        <f t="shared" si="3"/>
        <v>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24.75" customHeight="1">
      <c r="A23" s="52">
        <v>7.0</v>
      </c>
      <c r="B23" s="53" t="s">
        <v>37</v>
      </c>
      <c r="C23" s="53" t="s">
        <v>40</v>
      </c>
      <c r="D23" s="54" t="s">
        <v>41</v>
      </c>
      <c r="E23" s="55"/>
      <c r="F23" s="55"/>
      <c r="G23" s="55"/>
      <c r="H23" s="55"/>
      <c r="I23" s="56">
        <f t="shared" si="1"/>
        <v>0</v>
      </c>
      <c r="J23" s="57"/>
      <c r="K23" s="58">
        <f t="shared" si="2"/>
        <v>5</v>
      </c>
      <c r="L23" s="52"/>
      <c r="M23" s="60">
        <f t="shared" si="3"/>
        <v>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24.75" customHeight="1">
      <c r="A24" s="52">
        <v>8.0</v>
      </c>
      <c r="B24" s="53" t="s">
        <v>42</v>
      </c>
      <c r="C24" s="53" t="s">
        <v>43</v>
      </c>
      <c r="D24" s="54" t="s">
        <v>44</v>
      </c>
      <c r="E24" s="55"/>
      <c r="F24" s="55"/>
      <c r="G24" s="55"/>
      <c r="H24" s="55"/>
      <c r="I24" s="56">
        <f t="shared" si="1"/>
        <v>0</v>
      </c>
      <c r="J24" s="57"/>
      <c r="K24" s="58">
        <f t="shared" si="2"/>
        <v>5</v>
      </c>
      <c r="L24" s="52"/>
      <c r="M24" s="60">
        <f t="shared" si="3"/>
        <v>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24.75" customHeight="1">
      <c r="A25" s="52">
        <v>9.0</v>
      </c>
      <c r="B25" s="53" t="s">
        <v>45</v>
      </c>
      <c r="C25" s="53" t="s">
        <v>46</v>
      </c>
      <c r="D25" s="54" t="s">
        <v>47</v>
      </c>
      <c r="E25" s="55"/>
      <c r="F25" s="55"/>
      <c r="G25" s="55"/>
      <c r="H25" s="55"/>
      <c r="I25" s="56">
        <f t="shared" si="1"/>
        <v>0</v>
      </c>
      <c r="J25" s="57"/>
      <c r="K25" s="58">
        <f t="shared" si="2"/>
        <v>5</v>
      </c>
      <c r="L25" s="52"/>
      <c r="M25" s="60">
        <f t="shared" si="3"/>
        <v>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24.75" customHeight="1">
      <c r="A26" s="52">
        <v>10.0</v>
      </c>
      <c r="B26" s="53" t="s">
        <v>48</v>
      </c>
      <c r="C26" s="53" t="s">
        <v>49</v>
      </c>
      <c r="D26" s="54" t="s">
        <v>50</v>
      </c>
      <c r="E26" s="55"/>
      <c r="F26" s="55"/>
      <c r="G26" s="55"/>
      <c r="H26" s="55"/>
      <c r="I26" s="56">
        <f t="shared" si="1"/>
        <v>0</v>
      </c>
      <c r="J26" s="57"/>
      <c r="K26" s="58">
        <f t="shared" si="2"/>
        <v>5</v>
      </c>
      <c r="L26" s="52"/>
      <c r="M26" s="60">
        <f t="shared" si="3"/>
        <v>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24.75" customHeight="1">
      <c r="A27" s="52">
        <v>11.0</v>
      </c>
      <c r="B27" s="53" t="s">
        <v>48</v>
      </c>
      <c r="C27" s="53" t="s">
        <v>51</v>
      </c>
      <c r="D27" s="53" t="s">
        <v>52</v>
      </c>
      <c r="E27" s="55"/>
      <c r="F27" s="55"/>
      <c r="G27" s="55"/>
      <c r="H27" s="55"/>
      <c r="I27" s="56">
        <f t="shared" si="1"/>
        <v>0</v>
      </c>
      <c r="J27" s="57"/>
      <c r="K27" s="58">
        <f t="shared" si="2"/>
        <v>5</v>
      </c>
      <c r="L27" s="52"/>
      <c r="M27" s="60">
        <f t="shared" si="3"/>
        <v>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24.75" customHeight="1">
      <c r="A28" s="52">
        <v>12.0</v>
      </c>
      <c r="B28" s="53" t="s">
        <v>53</v>
      </c>
      <c r="C28" s="53" t="s">
        <v>54</v>
      </c>
      <c r="D28" s="54" t="s">
        <v>55</v>
      </c>
      <c r="E28" s="55"/>
      <c r="F28" s="55"/>
      <c r="G28" s="55"/>
      <c r="H28" s="55"/>
      <c r="I28" s="56">
        <f t="shared" si="1"/>
        <v>0</v>
      </c>
      <c r="J28" s="57"/>
      <c r="K28" s="58">
        <f t="shared" si="2"/>
        <v>5</v>
      </c>
      <c r="L28" s="52"/>
      <c r="M28" s="60">
        <f t="shared" si="3"/>
        <v>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24.75" customHeight="1">
      <c r="A29" s="52">
        <v>13.0</v>
      </c>
      <c r="B29" s="53" t="s">
        <v>56</v>
      </c>
      <c r="C29" s="53" t="s">
        <v>57</v>
      </c>
      <c r="D29" s="54" t="s">
        <v>58</v>
      </c>
      <c r="E29" s="55"/>
      <c r="F29" s="55"/>
      <c r="G29" s="55"/>
      <c r="H29" s="55"/>
      <c r="I29" s="56">
        <f t="shared" si="1"/>
        <v>0</v>
      </c>
      <c r="J29" s="57"/>
      <c r="K29" s="58">
        <f t="shared" si="2"/>
        <v>5</v>
      </c>
      <c r="L29" s="52"/>
      <c r="M29" s="60">
        <f t="shared" si="3"/>
        <v>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24.75" customHeight="1">
      <c r="A30" s="52">
        <v>14.0</v>
      </c>
      <c r="B30" s="53" t="s">
        <v>57</v>
      </c>
      <c r="C30" s="53" t="s">
        <v>59</v>
      </c>
      <c r="D30" s="54" t="s">
        <v>60</v>
      </c>
      <c r="E30" s="55"/>
      <c r="F30" s="55"/>
      <c r="G30" s="55"/>
      <c r="H30" s="55"/>
      <c r="I30" s="56">
        <f t="shared" si="1"/>
        <v>0</v>
      </c>
      <c r="J30" s="57"/>
      <c r="K30" s="58">
        <f t="shared" si="2"/>
        <v>5</v>
      </c>
      <c r="L30" s="52"/>
      <c r="M30" s="60">
        <f t="shared" si="3"/>
        <v>0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24.75" customHeight="1">
      <c r="A31" s="52">
        <v>15.0</v>
      </c>
      <c r="B31" s="53" t="s">
        <v>61</v>
      </c>
      <c r="C31" s="53" t="s">
        <v>62</v>
      </c>
      <c r="D31" s="54" t="s">
        <v>63</v>
      </c>
      <c r="E31" s="55"/>
      <c r="F31" s="55"/>
      <c r="G31" s="55"/>
      <c r="H31" s="55"/>
      <c r="I31" s="56">
        <f t="shared" si="1"/>
        <v>0</v>
      </c>
      <c r="J31" s="57"/>
      <c r="K31" s="58">
        <f t="shared" si="2"/>
        <v>5</v>
      </c>
      <c r="L31" s="52"/>
      <c r="M31" s="60">
        <f t="shared" si="3"/>
        <v>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24.75" customHeight="1">
      <c r="A32" s="52">
        <v>16.0</v>
      </c>
      <c r="B32" s="53" t="s">
        <v>64</v>
      </c>
      <c r="C32" s="53" t="s">
        <v>65</v>
      </c>
      <c r="D32" s="54" t="s">
        <v>66</v>
      </c>
      <c r="E32" s="55"/>
      <c r="F32" s="55"/>
      <c r="G32" s="55"/>
      <c r="H32" s="55"/>
      <c r="I32" s="56">
        <f t="shared" si="1"/>
        <v>0</v>
      </c>
      <c r="J32" s="57"/>
      <c r="K32" s="58">
        <f t="shared" si="2"/>
        <v>5</v>
      </c>
      <c r="L32" s="52"/>
      <c r="M32" s="60">
        <f t="shared" si="3"/>
        <v>0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24.75" customHeight="1">
      <c r="A33" s="52">
        <v>17.0</v>
      </c>
      <c r="B33" s="53" t="s">
        <v>64</v>
      </c>
      <c r="C33" s="53" t="s">
        <v>67</v>
      </c>
      <c r="D33" s="54" t="s">
        <v>68</v>
      </c>
      <c r="E33" s="55"/>
      <c r="F33" s="55"/>
      <c r="G33" s="55"/>
      <c r="H33" s="55"/>
      <c r="I33" s="56">
        <f t="shared" si="1"/>
        <v>0</v>
      </c>
      <c r="J33" s="57"/>
      <c r="K33" s="58">
        <f t="shared" si="2"/>
        <v>5</v>
      </c>
      <c r="L33" s="52"/>
      <c r="M33" s="60">
        <f t="shared" si="3"/>
        <v>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24.75" customHeight="1">
      <c r="A34" s="52">
        <v>18.0</v>
      </c>
      <c r="B34" s="53" t="s">
        <v>69</v>
      </c>
      <c r="C34" s="53" t="s">
        <v>70</v>
      </c>
      <c r="D34" s="54" t="s">
        <v>71</v>
      </c>
      <c r="E34" s="55"/>
      <c r="F34" s="55"/>
      <c r="G34" s="55"/>
      <c r="H34" s="55"/>
      <c r="I34" s="56">
        <f t="shared" si="1"/>
        <v>0</v>
      </c>
      <c r="J34" s="57"/>
      <c r="K34" s="58">
        <f t="shared" si="2"/>
        <v>5</v>
      </c>
      <c r="L34" s="52"/>
      <c r="M34" s="60">
        <f t="shared" si="3"/>
        <v>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24.75" customHeight="1">
      <c r="A35" s="52">
        <v>19.0</v>
      </c>
      <c r="B35" s="53" t="s">
        <v>26</v>
      </c>
      <c r="C35" s="53" t="s">
        <v>72</v>
      </c>
      <c r="D35" s="54" t="s">
        <v>73</v>
      </c>
      <c r="E35" s="55"/>
      <c r="F35" s="55"/>
      <c r="G35" s="55"/>
      <c r="H35" s="55"/>
      <c r="I35" s="56">
        <f t="shared" si="1"/>
        <v>0</v>
      </c>
      <c r="J35" s="57"/>
      <c r="K35" s="58">
        <f t="shared" si="2"/>
        <v>5</v>
      </c>
      <c r="L35" s="52"/>
      <c r="M35" s="60">
        <f t="shared" si="3"/>
        <v>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24.75" customHeight="1">
      <c r="A36" s="52">
        <v>20.0</v>
      </c>
      <c r="B36" s="53" t="s">
        <v>74</v>
      </c>
      <c r="C36" s="53" t="s">
        <v>75</v>
      </c>
      <c r="D36" s="54" t="s">
        <v>76</v>
      </c>
      <c r="E36" s="55"/>
      <c r="F36" s="55"/>
      <c r="G36" s="55"/>
      <c r="H36" s="55"/>
      <c r="I36" s="56">
        <f t="shared" si="1"/>
        <v>0</v>
      </c>
      <c r="J36" s="57"/>
      <c r="K36" s="58">
        <f t="shared" si="2"/>
        <v>5</v>
      </c>
      <c r="L36" s="52"/>
      <c r="M36" s="60">
        <f t="shared" si="3"/>
        <v>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24.75" customHeight="1">
      <c r="A37" s="52">
        <v>21.0</v>
      </c>
      <c r="B37" s="53" t="s">
        <v>77</v>
      </c>
      <c r="C37" s="53" t="s">
        <v>26</v>
      </c>
      <c r="D37" s="54" t="s">
        <v>78</v>
      </c>
      <c r="E37" s="55"/>
      <c r="F37" s="55"/>
      <c r="G37" s="55"/>
      <c r="H37" s="55"/>
      <c r="I37" s="56">
        <f t="shared" si="1"/>
        <v>0</v>
      </c>
      <c r="J37" s="57"/>
      <c r="K37" s="58">
        <f t="shared" si="2"/>
        <v>5</v>
      </c>
      <c r="L37" s="52"/>
      <c r="M37" s="60">
        <f t="shared" si="3"/>
        <v>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24.75" customHeight="1">
      <c r="A38" s="52">
        <v>22.0</v>
      </c>
      <c r="B38" s="53" t="s">
        <v>79</v>
      </c>
      <c r="C38" s="53" t="s">
        <v>80</v>
      </c>
      <c r="D38" s="54" t="s">
        <v>81</v>
      </c>
      <c r="E38" s="55"/>
      <c r="F38" s="55"/>
      <c r="G38" s="55"/>
      <c r="H38" s="55"/>
      <c r="I38" s="56">
        <f t="shared" si="1"/>
        <v>0</v>
      </c>
      <c r="J38" s="57"/>
      <c r="K38" s="58">
        <f t="shared" si="2"/>
        <v>5</v>
      </c>
      <c r="L38" s="52"/>
      <c r="M38" s="60">
        <f t="shared" si="3"/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24.75" customHeight="1">
      <c r="A39" s="52">
        <v>23.0</v>
      </c>
      <c r="B39" s="53" t="s">
        <v>82</v>
      </c>
      <c r="C39" s="53" t="s">
        <v>83</v>
      </c>
      <c r="D39" s="54" t="s">
        <v>84</v>
      </c>
      <c r="E39" s="55"/>
      <c r="F39" s="55"/>
      <c r="G39" s="55"/>
      <c r="H39" s="55"/>
      <c r="I39" s="56">
        <f t="shared" si="1"/>
        <v>0</v>
      </c>
      <c r="J39" s="57"/>
      <c r="K39" s="58">
        <f t="shared" si="2"/>
        <v>5</v>
      </c>
      <c r="L39" s="52"/>
      <c r="M39" s="60">
        <f t="shared" si="3"/>
        <v>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24.75" customHeight="1">
      <c r="A40" s="52">
        <v>24.0</v>
      </c>
      <c r="B40" s="53" t="s">
        <v>85</v>
      </c>
      <c r="C40" s="53" t="s">
        <v>86</v>
      </c>
      <c r="D40" s="54" t="s">
        <v>87</v>
      </c>
      <c r="E40" s="55"/>
      <c r="F40" s="55"/>
      <c r="G40" s="55"/>
      <c r="H40" s="55"/>
      <c r="I40" s="56">
        <f t="shared" si="1"/>
        <v>0</v>
      </c>
      <c r="J40" s="57"/>
      <c r="K40" s="58">
        <f t="shared" si="2"/>
        <v>5</v>
      </c>
      <c r="L40" s="52"/>
      <c r="M40" s="60">
        <f t="shared" si="3"/>
        <v>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24.75" customHeight="1">
      <c r="A41" s="52">
        <v>25.0</v>
      </c>
      <c r="B41" s="53" t="s">
        <v>88</v>
      </c>
      <c r="C41" s="53" t="s">
        <v>89</v>
      </c>
      <c r="D41" s="54" t="s">
        <v>90</v>
      </c>
      <c r="E41" s="55"/>
      <c r="F41" s="55"/>
      <c r="G41" s="55"/>
      <c r="H41" s="55"/>
      <c r="I41" s="56">
        <f t="shared" si="1"/>
        <v>0</v>
      </c>
      <c r="J41" s="57"/>
      <c r="K41" s="58">
        <f t="shared" si="2"/>
        <v>5</v>
      </c>
      <c r="L41" s="52"/>
      <c r="M41" s="60">
        <f t="shared" si="3"/>
        <v>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24.75" customHeight="1">
      <c r="A42" s="52">
        <v>26.0</v>
      </c>
      <c r="B42" s="53" t="s">
        <v>91</v>
      </c>
      <c r="C42" s="53" t="s">
        <v>92</v>
      </c>
      <c r="D42" s="54" t="s">
        <v>93</v>
      </c>
      <c r="E42" s="55"/>
      <c r="F42" s="55"/>
      <c r="G42" s="55"/>
      <c r="H42" s="55"/>
      <c r="I42" s="56">
        <f t="shared" si="1"/>
        <v>0</v>
      </c>
      <c r="J42" s="57"/>
      <c r="K42" s="58">
        <f t="shared" si="2"/>
        <v>5</v>
      </c>
      <c r="L42" s="52"/>
      <c r="M42" s="60">
        <f t="shared" si="3"/>
        <v>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24.75" customHeight="1">
      <c r="A43" s="52">
        <v>27.0</v>
      </c>
      <c r="B43" s="53" t="s">
        <v>94</v>
      </c>
      <c r="C43" s="53" t="s">
        <v>95</v>
      </c>
      <c r="D43" s="54" t="s">
        <v>96</v>
      </c>
      <c r="E43" s="55"/>
      <c r="F43" s="55"/>
      <c r="G43" s="55"/>
      <c r="H43" s="55"/>
      <c r="I43" s="56">
        <f t="shared" si="1"/>
        <v>0</v>
      </c>
      <c r="J43" s="57"/>
      <c r="K43" s="58">
        <f t="shared" si="2"/>
        <v>5</v>
      </c>
      <c r="L43" s="52"/>
      <c r="M43" s="60">
        <f t="shared" si="3"/>
        <v>0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24.75" customHeight="1">
      <c r="A44" s="52">
        <v>28.0</v>
      </c>
      <c r="B44" s="53" t="s">
        <v>94</v>
      </c>
      <c r="C44" s="53" t="s">
        <v>97</v>
      </c>
      <c r="D44" s="54" t="s">
        <v>98</v>
      </c>
      <c r="E44" s="55"/>
      <c r="F44" s="55"/>
      <c r="G44" s="55"/>
      <c r="H44" s="55"/>
      <c r="I44" s="56">
        <f t="shared" si="1"/>
        <v>0</v>
      </c>
      <c r="J44" s="57"/>
      <c r="K44" s="58">
        <f t="shared" si="2"/>
        <v>5</v>
      </c>
      <c r="L44" s="52"/>
      <c r="M44" s="60">
        <f t="shared" si="3"/>
        <v>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24.75" customHeight="1">
      <c r="A45" s="52">
        <v>29.0</v>
      </c>
      <c r="B45" s="53" t="s">
        <v>94</v>
      </c>
      <c r="C45" s="53" t="s">
        <v>99</v>
      </c>
      <c r="D45" s="54" t="s">
        <v>100</v>
      </c>
      <c r="E45" s="55"/>
      <c r="F45" s="55"/>
      <c r="G45" s="55"/>
      <c r="H45" s="55"/>
      <c r="I45" s="56">
        <f t="shared" si="1"/>
        <v>0</v>
      </c>
      <c r="J45" s="57"/>
      <c r="K45" s="58">
        <f t="shared" si="2"/>
        <v>5</v>
      </c>
      <c r="L45" s="52"/>
      <c r="M45" s="60">
        <f t="shared" si="3"/>
        <v>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24.75" customHeight="1">
      <c r="A46" s="52">
        <v>30.0</v>
      </c>
      <c r="B46" s="53" t="s">
        <v>101</v>
      </c>
      <c r="C46" s="53" t="s">
        <v>64</v>
      </c>
      <c r="D46" s="54" t="s">
        <v>102</v>
      </c>
      <c r="E46" s="55"/>
      <c r="F46" s="55"/>
      <c r="G46" s="55"/>
      <c r="H46" s="55"/>
      <c r="I46" s="56">
        <f t="shared" si="1"/>
        <v>0</v>
      </c>
      <c r="J46" s="57"/>
      <c r="K46" s="58">
        <f t="shared" si="2"/>
        <v>5</v>
      </c>
      <c r="L46" s="52"/>
      <c r="M46" s="60">
        <f t="shared" si="3"/>
        <v>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24.75" customHeight="1">
      <c r="A47" s="52">
        <v>31.0</v>
      </c>
      <c r="B47" s="53" t="s">
        <v>103</v>
      </c>
      <c r="C47" s="53" t="s">
        <v>104</v>
      </c>
      <c r="D47" s="54" t="s">
        <v>105</v>
      </c>
      <c r="E47" s="55"/>
      <c r="F47" s="55"/>
      <c r="G47" s="55"/>
      <c r="H47" s="55"/>
      <c r="I47" s="56">
        <f t="shared" si="1"/>
        <v>0</v>
      </c>
      <c r="J47" s="57"/>
      <c r="K47" s="58">
        <f t="shared" si="2"/>
        <v>5</v>
      </c>
      <c r="L47" s="52"/>
      <c r="M47" s="60">
        <f t="shared" si="3"/>
        <v>0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24.75" customHeight="1">
      <c r="A48" s="52">
        <v>32.0</v>
      </c>
      <c r="B48" s="53" t="s">
        <v>65</v>
      </c>
      <c r="C48" s="53" t="s">
        <v>106</v>
      </c>
      <c r="D48" s="54" t="s">
        <v>107</v>
      </c>
      <c r="E48" s="55"/>
      <c r="F48" s="55"/>
      <c r="G48" s="55"/>
      <c r="H48" s="55"/>
      <c r="I48" s="56">
        <f t="shared" si="1"/>
        <v>0</v>
      </c>
      <c r="J48" s="57"/>
      <c r="K48" s="58">
        <f t="shared" si="2"/>
        <v>5</v>
      </c>
      <c r="L48" s="52"/>
      <c r="M48" s="60">
        <f t="shared" si="3"/>
        <v>0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24.75" customHeight="1">
      <c r="A49" s="52">
        <v>33.0</v>
      </c>
      <c r="B49" s="53" t="s">
        <v>108</v>
      </c>
      <c r="C49" s="53" t="s">
        <v>94</v>
      </c>
      <c r="D49" s="54" t="s">
        <v>41</v>
      </c>
      <c r="E49" s="55"/>
      <c r="F49" s="55"/>
      <c r="G49" s="55"/>
      <c r="H49" s="55"/>
      <c r="I49" s="56">
        <f t="shared" si="1"/>
        <v>0</v>
      </c>
      <c r="J49" s="57"/>
      <c r="K49" s="58">
        <f t="shared" si="2"/>
        <v>5</v>
      </c>
      <c r="L49" s="52"/>
      <c r="M49" s="60">
        <f t="shared" si="3"/>
        <v>0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24.75" customHeight="1">
      <c r="A50" s="52">
        <v>34.0</v>
      </c>
      <c r="B50" s="53" t="s">
        <v>83</v>
      </c>
      <c r="C50" s="53" t="s">
        <v>59</v>
      </c>
      <c r="D50" s="54" t="s">
        <v>109</v>
      </c>
      <c r="E50" s="55"/>
      <c r="F50" s="55"/>
      <c r="G50" s="55"/>
      <c r="H50" s="55"/>
      <c r="I50" s="56">
        <f t="shared" si="1"/>
        <v>0</v>
      </c>
      <c r="J50" s="57"/>
      <c r="K50" s="58">
        <f t="shared" si="2"/>
        <v>5</v>
      </c>
      <c r="L50" s="52"/>
      <c r="M50" s="60">
        <f t="shared" si="3"/>
        <v>0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24.75" customHeight="1">
      <c r="A51" s="52">
        <v>35.0</v>
      </c>
      <c r="B51" s="53" t="s">
        <v>110</v>
      </c>
      <c r="C51" s="53" t="s">
        <v>111</v>
      </c>
      <c r="D51" s="54" t="s">
        <v>112</v>
      </c>
      <c r="E51" s="55"/>
      <c r="F51" s="55"/>
      <c r="G51" s="55"/>
      <c r="H51" s="55"/>
      <c r="I51" s="56">
        <f t="shared" si="1"/>
        <v>0</v>
      </c>
      <c r="J51" s="57"/>
      <c r="K51" s="58">
        <f t="shared" si="2"/>
        <v>5</v>
      </c>
      <c r="L51" s="52"/>
      <c r="M51" s="60">
        <f t="shared" si="3"/>
        <v>0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3.5" customHeight="1">
      <c r="A52" s="6"/>
      <c r="B52" s="61"/>
      <c r="C52" s="61"/>
      <c r="D52" s="61"/>
      <c r="E52" s="62"/>
      <c r="F52" s="62"/>
      <c r="G52" s="61"/>
      <c r="H52" s="61"/>
      <c r="I52" s="61"/>
      <c r="J52" s="61"/>
      <c r="K52" s="1"/>
      <c r="L52" s="8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21.75" customHeight="1">
      <c r="B53" s="63" t="s">
        <v>113</v>
      </c>
      <c r="C53" s="64"/>
      <c r="D53" s="65">
        <f>COUNT(A17:A51)</f>
        <v>35</v>
      </c>
      <c r="E53" s="61"/>
      <c r="F53" s="61"/>
      <c r="G53" s="66" t="s">
        <v>114</v>
      </c>
      <c r="H53" s="66"/>
      <c r="I53" s="66" t="s">
        <v>115</v>
      </c>
      <c r="K53" s="67" t="s">
        <v>116</v>
      </c>
      <c r="L53" s="68" t="s">
        <v>117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21.75" customHeight="1">
      <c r="B54" s="69" t="s">
        <v>118</v>
      </c>
      <c r="C54" s="70"/>
      <c r="D54" s="71">
        <f>COUNTIF(K17:K51,"BAJA")</f>
        <v>0</v>
      </c>
      <c r="E54" s="61"/>
      <c r="F54" s="61"/>
      <c r="H54" s="66"/>
      <c r="L54" s="10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21.75" customHeight="1">
      <c r="B55" s="69" t="s">
        <v>119</v>
      </c>
      <c r="C55" s="70"/>
      <c r="D55" s="72">
        <f>D53-D54</f>
        <v>35</v>
      </c>
      <c r="E55" s="61"/>
      <c r="F55" s="61"/>
      <c r="G55" s="73"/>
      <c r="H55" s="74"/>
      <c r="I55" s="73"/>
      <c r="J55" s="73"/>
      <c r="K55" s="75"/>
      <c r="L55" s="76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21.75" customHeight="1">
      <c r="B56" s="69" t="s">
        <v>120</v>
      </c>
      <c r="C56" s="70"/>
      <c r="D56" s="77">
        <f>COUNTIF(K17:K51,"&gt;=6")</f>
        <v>0</v>
      </c>
      <c r="E56" s="61"/>
      <c r="F56" s="61"/>
      <c r="G56" s="73"/>
      <c r="H56" s="74"/>
      <c r="I56" s="73"/>
      <c r="J56" s="73"/>
      <c r="K56" s="75"/>
      <c r="L56" s="76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21.75" customHeight="1">
      <c r="B57" s="69" t="s">
        <v>121</v>
      </c>
      <c r="C57" s="70"/>
      <c r="D57" s="77">
        <f>D55-D56</f>
        <v>35</v>
      </c>
      <c r="E57" s="61"/>
      <c r="F57" s="61"/>
      <c r="G57" s="78"/>
      <c r="H57" s="74"/>
      <c r="I57" s="78"/>
      <c r="J57" s="78"/>
      <c r="K57" s="79"/>
      <c r="L57" s="80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27.75" customHeight="1">
      <c r="B58" s="69" t="s">
        <v>122</v>
      </c>
      <c r="C58" s="70"/>
      <c r="D58" s="81">
        <f>D56*100/D55</f>
        <v>0</v>
      </c>
      <c r="E58" s="61"/>
      <c r="F58" s="61"/>
      <c r="G58" s="82" t="s">
        <v>123</v>
      </c>
      <c r="H58" s="83"/>
      <c r="I58" s="84" t="s">
        <v>124</v>
      </c>
      <c r="K58" s="85" t="s">
        <v>125</v>
      </c>
      <c r="L58" s="86" t="s">
        <v>126</v>
      </c>
      <c r="M58" s="87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21.75" customHeight="1">
      <c r="B59" s="88" t="s">
        <v>127</v>
      </c>
      <c r="C59" s="89"/>
      <c r="D59" s="90">
        <f>AVERAGE(K17:K51)</f>
        <v>5</v>
      </c>
      <c r="E59" s="61"/>
      <c r="F59" s="61"/>
      <c r="H59" s="83"/>
      <c r="L59" s="10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3.5" customHeight="1">
      <c r="A60" s="6"/>
      <c r="B60" s="1"/>
      <c r="C60" s="1"/>
      <c r="D60" s="1"/>
      <c r="E60" s="1"/>
      <c r="F60" s="1"/>
      <c r="G60" s="1"/>
      <c r="H60" s="1"/>
      <c r="I60" s="1"/>
      <c r="J60" s="1"/>
      <c r="K60" s="1"/>
      <c r="L60" s="8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3.5" customHeight="1">
      <c r="A61" s="91"/>
      <c r="B61" s="92"/>
      <c r="C61" s="93"/>
      <c r="D61" s="93"/>
      <c r="E61" s="61"/>
      <c r="H61" s="7"/>
      <c r="I61" s="7"/>
      <c r="J61" s="7"/>
      <c r="K61" s="7"/>
      <c r="L61" s="94"/>
      <c r="M61" s="95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3.5" customHeight="1">
      <c r="A62" s="96"/>
      <c r="B62" s="61"/>
      <c r="C62" s="61"/>
      <c r="D62" s="61"/>
      <c r="E62" s="7"/>
      <c r="F62" s="7"/>
      <c r="G62" s="1"/>
      <c r="H62" s="1"/>
      <c r="I62" s="1"/>
      <c r="J62" s="1"/>
      <c r="K62" s="1"/>
      <c r="L62" s="8"/>
      <c r="M62" s="97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3.5" customHeight="1">
      <c r="A63" s="96"/>
      <c r="B63" s="61"/>
      <c r="C63" s="61"/>
      <c r="D63" s="61"/>
      <c r="E63" s="7"/>
      <c r="F63" s="7"/>
      <c r="G63" s="1"/>
      <c r="H63" s="1"/>
      <c r="I63" s="1"/>
      <c r="J63" s="1"/>
      <c r="K63" s="1"/>
      <c r="L63" s="8"/>
      <c r="M63" s="97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3.5" customHeight="1">
      <c r="A64" s="98"/>
      <c r="B64" s="99"/>
      <c r="C64" s="99"/>
      <c r="D64" s="99"/>
      <c r="E64" s="100"/>
      <c r="F64" s="100"/>
      <c r="G64" s="101"/>
      <c r="H64" s="101"/>
      <c r="I64" s="101"/>
      <c r="J64" s="101"/>
      <c r="K64" s="101"/>
      <c r="L64" s="102"/>
      <c r="M64" s="97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4.25" customHeight="1">
      <c r="A65" s="1"/>
      <c r="B65" s="103"/>
      <c r="C65" s="103"/>
      <c r="D65" s="103"/>
      <c r="E65" s="103"/>
      <c r="F65" s="103"/>
      <c r="G65" s="1"/>
      <c r="H65" s="1"/>
      <c r="I65" s="1"/>
      <c r="J65" s="1"/>
      <c r="K65" s="104"/>
      <c r="L65" s="104"/>
      <c r="M65" s="104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4.25" customHeight="1">
      <c r="A66" s="1"/>
      <c r="B66" s="103"/>
      <c r="C66" s="103"/>
      <c r="D66" s="103"/>
      <c r="E66" s="103"/>
      <c r="F66" s="103"/>
      <c r="G66" s="1"/>
      <c r="H66" s="1"/>
      <c r="I66" s="1"/>
      <c r="J66" s="1"/>
      <c r="K66" s="104"/>
      <c r="L66" s="104"/>
      <c r="M66" s="104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4.25" customHeight="1">
      <c r="A67" s="1"/>
      <c r="B67" s="103"/>
      <c r="C67" s="103"/>
      <c r="D67" s="103"/>
      <c r="E67" s="103"/>
      <c r="F67" s="103"/>
      <c r="G67" s="1"/>
      <c r="H67" s="1"/>
      <c r="I67" s="1"/>
      <c r="J67" s="1"/>
      <c r="K67" s="104"/>
      <c r="L67" s="104"/>
      <c r="M67" s="104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4.25" customHeight="1">
      <c r="A68" s="1"/>
      <c r="B68" s="103"/>
      <c r="C68" s="103"/>
      <c r="D68" s="103"/>
      <c r="E68" s="103"/>
      <c r="F68" s="103"/>
      <c r="G68" s="1"/>
      <c r="H68" s="1"/>
      <c r="I68" s="1"/>
      <c r="J68" s="1"/>
      <c r="K68" s="104"/>
      <c r="L68" s="104"/>
      <c r="M68" s="104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4.25" customHeight="1">
      <c r="A69" s="1"/>
      <c r="B69" s="103"/>
      <c r="C69" s="103"/>
      <c r="D69" s="103"/>
      <c r="E69" s="103"/>
      <c r="F69" s="103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4.25" customHeight="1">
      <c r="A70" s="1"/>
      <c r="B70" s="103"/>
      <c r="C70" s="103"/>
      <c r="D70" s="103"/>
      <c r="E70" s="103"/>
      <c r="F70" s="103"/>
      <c r="G70" s="1"/>
      <c r="H70" s="1"/>
      <c r="I70" s="1"/>
      <c r="J70" s="1"/>
      <c r="K70" s="1"/>
      <c r="L70" s="105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4.25" customHeight="1">
      <c r="A71" s="1"/>
      <c r="B71" s="103"/>
      <c r="C71" s="103"/>
      <c r="D71" s="103"/>
      <c r="E71" s="103"/>
      <c r="F71" s="103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4.25" customHeight="1">
      <c r="A72" s="1"/>
      <c r="B72" s="103"/>
      <c r="C72" s="103"/>
      <c r="D72" s="103"/>
      <c r="E72" s="103"/>
      <c r="F72" s="103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4.25" customHeight="1">
      <c r="A73" s="1"/>
      <c r="B73" s="103"/>
      <c r="C73" s="103"/>
      <c r="D73" s="103"/>
      <c r="E73" s="103"/>
      <c r="F73" s="103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4.25" customHeight="1">
      <c r="A74" s="1"/>
      <c r="B74" s="103"/>
      <c r="C74" s="103"/>
      <c r="D74" s="103"/>
      <c r="E74" s="103"/>
      <c r="F74" s="103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4.25" customHeight="1">
      <c r="A75" s="1"/>
      <c r="B75" s="103"/>
      <c r="C75" s="103"/>
      <c r="D75" s="103"/>
      <c r="E75" s="103"/>
      <c r="F75" s="103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4.25" customHeight="1">
      <c r="A76" s="1"/>
      <c r="B76" s="103"/>
      <c r="C76" s="103"/>
      <c r="D76" s="103"/>
      <c r="E76" s="103"/>
      <c r="F76" s="103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</sheetData>
  <mergeCells count="29">
    <mergeCell ref="F14:F15"/>
    <mergeCell ref="G14:G15"/>
    <mergeCell ref="G53:G54"/>
    <mergeCell ref="I53:J54"/>
    <mergeCell ref="K53:K54"/>
    <mergeCell ref="L53:L54"/>
    <mergeCell ref="A9:L9"/>
    <mergeCell ref="E10:L10"/>
    <mergeCell ref="A13:B13"/>
    <mergeCell ref="C13:D13"/>
    <mergeCell ref="H13:H15"/>
    <mergeCell ref="I13:I14"/>
    <mergeCell ref="J13:L14"/>
    <mergeCell ref="J15:L15"/>
    <mergeCell ref="B57:C57"/>
    <mergeCell ref="B58:C58"/>
    <mergeCell ref="G58:G59"/>
    <mergeCell ref="I58:J59"/>
    <mergeCell ref="K58:K59"/>
    <mergeCell ref="L58:L59"/>
    <mergeCell ref="B59:C59"/>
    <mergeCell ref="E61:G61"/>
    <mergeCell ref="B14:D14"/>
    <mergeCell ref="E14:E15"/>
    <mergeCell ref="B16:D16"/>
    <mergeCell ref="B53:C53"/>
    <mergeCell ref="B54:C54"/>
    <mergeCell ref="B55:C55"/>
    <mergeCell ref="B56:C56"/>
  </mergeCells>
  <conditionalFormatting sqref="B28:D28 B30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 B30:D30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K17:L51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27" width="10.71"/>
  </cols>
  <sheetData>
    <row r="1" ht="13.5" customHeight="1">
      <c r="A1" s="106"/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"/>
    </row>
    <row r="2" ht="15.0" customHeight="1">
      <c r="A2" s="107"/>
      <c r="B2" s="108"/>
      <c r="C2" s="108"/>
      <c r="D2" s="108"/>
      <c r="E2" s="109"/>
      <c r="F2" s="109"/>
      <c r="G2" s="109"/>
      <c r="H2" s="109"/>
      <c r="I2" s="109"/>
      <c r="J2" s="109"/>
      <c r="K2" s="109"/>
      <c r="L2" s="110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"/>
    </row>
    <row r="3" ht="15.0" customHeight="1">
      <c r="A3" s="111"/>
      <c r="B3" s="112"/>
      <c r="C3" s="112"/>
      <c r="D3" s="112"/>
      <c r="E3" s="106"/>
      <c r="F3" s="106"/>
      <c r="G3" s="106"/>
      <c r="H3" s="106"/>
      <c r="I3" s="106"/>
      <c r="J3" s="106"/>
      <c r="K3" s="106"/>
      <c r="L3" s="113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"/>
    </row>
    <row r="4" ht="15.0" customHeight="1">
      <c r="A4" s="111"/>
      <c r="B4" s="112"/>
      <c r="C4" s="112"/>
      <c r="D4" s="112"/>
      <c r="E4" s="106"/>
      <c r="F4" s="106"/>
      <c r="G4" s="106"/>
      <c r="H4" s="106"/>
      <c r="I4" s="106"/>
      <c r="J4" s="106"/>
      <c r="K4" s="106"/>
      <c r="L4" s="113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  <c r="AA4" s="1"/>
    </row>
    <row r="5" ht="15.0" customHeight="1">
      <c r="A5" s="111"/>
      <c r="B5" s="112"/>
      <c r="C5" s="112"/>
      <c r="D5" s="112"/>
      <c r="E5" s="106"/>
      <c r="F5" s="106"/>
      <c r="G5" s="106"/>
      <c r="H5" s="106"/>
      <c r="I5" s="106"/>
      <c r="J5" s="106"/>
      <c r="K5" s="106"/>
      <c r="L5" s="113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"/>
    </row>
    <row r="6" ht="15.0" customHeight="1">
      <c r="A6" s="111"/>
      <c r="B6" s="112"/>
      <c r="C6" s="112"/>
      <c r="D6" s="112"/>
      <c r="E6" s="106"/>
      <c r="F6" s="106"/>
      <c r="G6" s="106"/>
      <c r="H6" s="106"/>
      <c r="I6" s="106"/>
      <c r="J6" s="106"/>
      <c r="K6" s="106"/>
      <c r="L6" s="113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  <c r="AA6" s="1"/>
    </row>
    <row r="7" ht="15.0" customHeight="1">
      <c r="A7" s="111"/>
      <c r="B7" s="112"/>
      <c r="C7" s="112"/>
      <c r="D7" s="112"/>
      <c r="E7" s="106"/>
      <c r="F7" s="106"/>
      <c r="G7" s="106"/>
      <c r="H7" s="106"/>
      <c r="I7" s="106"/>
      <c r="J7" s="106"/>
      <c r="K7" s="106"/>
      <c r="L7" s="113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"/>
    </row>
    <row r="8" ht="9.75" customHeight="1">
      <c r="A8" s="111"/>
      <c r="B8" s="112"/>
      <c r="C8" s="112"/>
      <c r="D8" s="112"/>
      <c r="E8" s="106"/>
      <c r="F8" s="106"/>
      <c r="G8" s="106"/>
      <c r="H8" s="106"/>
      <c r="I8" s="106"/>
      <c r="J8" s="106"/>
      <c r="K8" s="106"/>
      <c r="L8" s="113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  <c r="AA8" s="1"/>
    </row>
    <row r="9" ht="23.25" customHeight="1">
      <c r="A9" s="114" t="s">
        <v>0</v>
      </c>
      <c r="L9" s="10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  <c r="AA9" s="1"/>
    </row>
    <row r="10" ht="9.75" customHeight="1">
      <c r="A10" s="111"/>
      <c r="B10" s="112"/>
      <c r="C10" s="112"/>
      <c r="D10" s="112"/>
      <c r="E10" s="115"/>
      <c r="L10" s="10"/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  <c r="AA10" s="1"/>
    </row>
    <row r="11" ht="19.5" customHeight="1">
      <c r="A11" s="111"/>
      <c r="B11" s="116" t="s">
        <v>1</v>
      </c>
      <c r="C11" s="112"/>
      <c r="D11" s="112"/>
      <c r="E11" s="106"/>
      <c r="F11" s="106"/>
      <c r="G11" s="106"/>
      <c r="H11" s="106"/>
      <c r="I11" s="106"/>
      <c r="J11" s="106"/>
      <c r="K11" s="106"/>
      <c r="L11" s="113"/>
      <c r="M11" s="106"/>
      <c r="N11" s="106"/>
      <c r="O11" s="106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  <c r="AA11" s="1"/>
    </row>
    <row r="12" ht="12.75" customHeight="1">
      <c r="A12" s="111"/>
      <c r="B12" s="112"/>
      <c r="C12" s="112"/>
      <c r="D12" s="112"/>
      <c r="E12" s="106"/>
      <c r="F12" s="106"/>
      <c r="G12" s="106"/>
      <c r="H12" s="106"/>
      <c r="I12" s="106"/>
      <c r="J12" s="106"/>
      <c r="K12" s="106"/>
      <c r="L12" s="113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"/>
    </row>
    <row r="13" ht="32.25" customHeight="1">
      <c r="A13" s="117" t="s">
        <v>2</v>
      </c>
      <c r="B13" s="17"/>
      <c r="C13" s="118"/>
      <c r="D13" s="17"/>
      <c r="E13" s="19" t="s">
        <v>3</v>
      </c>
      <c r="F13" s="19" t="s">
        <v>4</v>
      </c>
      <c r="G13" s="20" t="s">
        <v>5</v>
      </c>
      <c r="H13" s="119" t="s">
        <v>6</v>
      </c>
      <c r="I13" s="120">
        <v>1.0</v>
      </c>
      <c r="J13" s="23" t="s">
        <v>7</v>
      </c>
      <c r="K13" s="24"/>
      <c r="L13" s="25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  <c r="AA13" s="1"/>
    </row>
    <row r="14" ht="35.25" customHeight="1">
      <c r="A14" s="121" t="s">
        <v>8</v>
      </c>
      <c r="B14" s="122" t="s">
        <v>134</v>
      </c>
      <c r="C14" s="28"/>
      <c r="D14" s="29"/>
      <c r="E14" s="30" t="s">
        <v>10</v>
      </c>
      <c r="F14" s="30" t="s">
        <v>11</v>
      </c>
      <c r="G14" s="31" t="s">
        <v>12</v>
      </c>
      <c r="H14" s="32"/>
      <c r="I14" s="33"/>
      <c r="J14" s="34"/>
      <c r="K14" s="35"/>
      <c r="L14" s="36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  <c r="AA14" s="1"/>
    </row>
    <row r="15" ht="24.75" customHeight="1">
      <c r="A15" s="123" t="s">
        <v>13</v>
      </c>
      <c r="B15" s="124" t="s">
        <v>14</v>
      </c>
      <c r="C15" s="125" t="s">
        <v>15</v>
      </c>
      <c r="D15" s="125">
        <v>3.0</v>
      </c>
      <c r="E15" s="33"/>
      <c r="F15" s="33"/>
      <c r="G15" s="33"/>
      <c r="H15" s="40"/>
      <c r="I15" s="126"/>
      <c r="J15" s="127"/>
      <c r="K15" s="28"/>
      <c r="L15" s="43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  <c r="AA15" s="1"/>
    </row>
    <row r="16" ht="40.5" customHeight="1">
      <c r="A16" s="128" t="s">
        <v>16</v>
      </c>
      <c r="B16" s="129" t="s">
        <v>17</v>
      </c>
      <c r="C16" s="28"/>
      <c r="D16" s="29"/>
      <c r="E16" s="47"/>
      <c r="F16" s="47"/>
      <c r="G16" s="47"/>
      <c r="H16" s="130"/>
      <c r="I16" s="131" t="s">
        <v>18</v>
      </c>
      <c r="J16" s="132" t="s">
        <v>19</v>
      </c>
      <c r="K16" s="132" t="s">
        <v>20</v>
      </c>
      <c r="L16" s="133" t="s">
        <v>21</v>
      </c>
      <c r="M16" s="132" t="s">
        <v>20</v>
      </c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  <c r="AA16" s="1"/>
    </row>
    <row r="17" ht="24.75" customHeight="1">
      <c r="A17" s="134">
        <v>1.0</v>
      </c>
      <c r="B17" s="53" t="s">
        <v>22</v>
      </c>
      <c r="C17" s="53" t="s">
        <v>23</v>
      </c>
      <c r="D17" s="54" t="s">
        <v>24</v>
      </c>
      <c r="E17" s="135"/>
      <c r="F17" s="135"/>
      <c r="G17" s="135"/>
      <c r="H17" s="135"/>
      <c r="I17" s="136">
        <f t="shared" ref="I17:I51" si="1">SUM(E17:H17)</f>
        <v>0</v>
      </c>
      <c r="J17" s="137"/>
      <c r="K17" s="138">
        <f t="shared" ref="K17:K51" si="2">IF(M17&lt;6,5,M17)</f>
        <v>5</v>
      </c>
      <c r="L17" s="139"/>
      <c r="M17" s="140">
        <f t="shared" ref="M17:M51" si="3">IF(I17&gt;=6,ROUND(I17,0),TRUNC(I17,0))</f>
        <v>0</v>
      </c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  <c r="AA17" s="1"/>
    </row>
    <row r="18" ht="24.75" customHeight="1">
      <c r="A18" s="134">
        <v>2.0</v>
      </c>
      <c r="B18" s="53" t="s">
        <v>25</v>
      </c>
      <c r="C18" s="53" t="s">
        <v>26</v>
      </c>
      <c r="D18" s="54" t="s">
        <v>27</v>
      </c>
      <c r="E18" s="135"/>
      <c r="F18" s="135"/>
      <c r="G18" s="135"/>
      <c r="H18" s="135"/>
      <c r="I18" s="136">
        <f t="shared" si="1"/>
        <v>0</v>
      </c>
      <c r="J18" s="137"/>
      <c r="K18" s="138">
        <f t="shared" si="2"/>
        <v>5</v>
      </c>
      <c r="L18" s="137"/>
      <c r="M18" s="140">
        <f t="shared" si="3"/>
        <v>0</v>
      </c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6"/>
      <c r="AA18" s="1"/>
    </row>
    <row r="19" ht="24.75" customHeight="1">
      <c r="A19" s="134">
        <v>3.0</v>
      </c>
      <c r="B19" s="53" t="s">
        <v>28</v>
      </c>
      <c r="C19" s="53" t="s">
        <v>29</v>
      </c>
      <c r="D19" s="54" t="s">
        <v>30</v>
      </c>
      <c r="E19" s="135"/>
      <c r="F19" s="135"/>
      <c r="G19" s="135"/>
      <c r="H19" s="135"/>
      <c r="I19" s="136">
        <f t="shared" si="1"/>
        <v>0</v>
      </c>
      <c r="J19" s="137"/>
      <c r="K19" s="138">
        <f t="shared" si="2"/>
        <v>5</v>
      </c>
      <c r="L19" s="137"/>
      <c r="M19" s="140">
        <f t="shared" si="3"/>
        <v>0</v>
      </c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  <c r="AA19" s="1"/>
    </row>
    <row r="20" ht="24.75" customHeight="1">
      <c r="A20" s="134">
        <v>4.0</v>
      </c>
      <c r="B20" s="53" t="s">
        <v>31</v>
      </c>
      <c r="C20" s="53" t="s">
        <v>32</v>
      </c>
      <c r="D20" s="54" t="s">
        <v>33</v>
      </c>
      <c r="E20" s="135"/>
      <c r="F20" s="135"/>
      <c r="G20" s="135"/>
      <c r="H20" s="135"/>
      <c r="I20" s="136">
        <f t="shared" si="1"/>
        <v>0</v>
      </c>
      <c r="J20" s="137"/>
      <c r="K20" s="138">
        <f t="shared" si="2"/>
        <v>5</v>
      </c>
      <c r="L20" s="137"/>
      <c r="M20" s="140">
        <f t="shared" si="3"/>
        <v>0</v>
      </c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  <c r="AA20" s="1"/>
    </row>
    <row r="21" ht="24.75" customHeight="1">
      <c r="A21" s="134">
        <v>5.0</v>
      </c>
      <c r="B21" s="53" t="s">
        <v>34</v>
      </c>
      <c r="C21" s="53" t="s">
        <v>35</v>
      </c>
      <c r="D21" s="54" t="s">
        <v>36</v>
      </c>
      <c r="E21" s="135"/>
      <c r="F21" s="135"/>
      <c r="G21" s="135"/>
      <c r="H21" s="135"/>
      <c r="I21" s="136">
        <f t="shared" si="1"/>
        <v>0</v>
      </c>
      <c r="J21" s="137"/>
      <c r="K21" s="138">
        <f t="shared" si="2"/>
        <v>5</v>
      </c>
      <c r="L21" s="137"/>
      <c r="M21" s="140">
        <f t="shared" si="3"/>
        <v>0</v>
      </c>
      <c r="N21" s="106"/>
      <c r="O21" s="106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  <c r="AA21" s="1"/>
    </row>
    <row r="22" ht="24.75" customHeight="1">
      <c r="A22" s="134">
        <v>6.0</v>
      </c>
      <c r="B22" s="53" t="s">
        <v>37</v>
      </c>
      <c r="C22" s="53" t="s">
        <v>38</v>
      </c>
      <c r="D22" s="54" t="s">
        <v>39</v>
      </c>
      <c r="E22" s="135"/>
      <c r="F22" s="135"/>
      <c r="G22" s="135"/>
      <c r="H22" s="135"/>
      <c r="I22" s="136">
        <f t="shared" si="1"/>
        <v>0</v>
      </c>
      <c r="J22" s="137"/>
      <c r="K22" s="138">
        <f t="shared" si="2"/>
        <v>5</v>
      </c>
      <c r="L22" s="137"/>
      <c r="M22" s="140">
        <f t="shared" si="3"/>
        <v>0</v>
      </c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  <c r="AA22" s="1"/>
    </row>
    <row r="23" ht="24.75" customHeight="1">
      <c r="A23" s="134">
        <v>7.0</v>
      </c>
      <c r="B23" s="53" t="s">
        <v>37</v>
      </c>
      <c r="C23" s="53" t="s">
        <v>40</v>
      </c>
      <c r="D23" s="54" t="s">
        <v>41</v>
      </c>
      <c r="E23" s="135"/>
      <c r="F23" s="135"/>
      <c r="G23" s="135"/>
      <c r="H23" s="135"/>
      <c r="I23" s="136">
        <f t="shared" si="1"/>
        <v>0</v>
      </c>
      <c r="J23" s="137"/>
      <c r="K23" s="138">
        <f t="shared" si="2"/>
        <v>5</v>
      </c>
      <c r="L23" s="137"/>
      <c r="M23" s="140">
        <f t="shared" si="3"/>
        <v>0</v>
      </c>
      <c r="N23" s="106"/>
      <c r="O23" s="106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  <c r="AA23" s="1"/>
    </row>
    <row r="24" ht="24.75" customHeight="1">
      <c r="A24" s="134">
        <v>8.0</v>
      </c>
      <c r="B24" s="53" t="s">
        <v>42</v>
      </c>
      <c r="C24" s="53" t="s">
        <v>43</v>
      </c>
      <c r="D24" s="54" t="s">
        <v>44</v>
      </c>
      <c r="E24" s="135"/>
      <c r="F24" s="135"/>
      <c r="G24" s="135"/>
      <c r="H24" s="135"/>
      <c r="I24" s="136">
        <f t="shared" si="1"/>
        <v>0</v>
      </c>
      <c r="J24" s="137"/>
      <c r="K24" s="138">
        <f t="shared" si="2"/>
        <v>5</v>
      </c>
      <c r="L24" s="137"/>
      <c r="M24" s="140">
        <f t="shared" si="3"/>
        <v>0</v>
      </c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  <c r="AA24" s="1"/>
    </row>
    <row r="25" ht="24.75" customHeight="1">
      <c r="A25" s="134">
        <v>9.0</v>
      </c>
      <c r="B25" s="53" t="s">
        <v>45</v>
      </c>
      <c r="C25" s="53" t="s">
        <v>46</v>
      </c>
      <c r="D25" s="54" t="s">
        <v>47</v>
      </c>
      <c r="E25" s="135"/>
      <c r="F25" s="135"/>
      <c r="G25" s="135"/>
      <c r="H25" s="135"/>
      <c r="I25" s="136">
        <f t="shared" si="1"/>
        <v>0</v>
      </c>
      <c r="J25" s="137"/>
      <c r="K25" s="138">
        <f t="shared" si="2"/>
        <v>5</v>
      </c>
      <c r="L25" s="137"/>
      <c r="M25" s="140">
        <f t="shared" si="3"/>
        <v>0</v>
      </c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  <c r="AA25" s="1"/>
    </row>
    <row r="26" ht="24.75" customHeight="1">
      <c r="A26" s="134">
        <v>10.0</v>
      </c>
      <c r="B26" s="53" t="s">
        <v>48</v>
      </c>
      <c r="C26" s="53" t="s">
        <v>49</v>
      </c>
      <c r="D26" s="54" t="s">
        <v>50</v>
      </c>
      <c r="E26" s="135"/>
      <c r="F26" s="135"/>
      <c r="G26" s="135"/>
      <c r="H26" s="135"/>
      <c r="I26" s="136">
        <f t="shared" si="1"/>
        <v>0</v>
      </c>
      <c r="J26" s="137"/>
      <c r="K26" s="138">
        <f t="shared" si="2"/>
        <v>5</v>
      </c>
      <c r="L26" s="137"/>
      <c r="M26" s="140">
        <f t="shared" si="3"/>
        <v>0</v>
      </c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"/>
    </row>
    <row r="27" ht="24.75" customHeight="1">
      <c r="A27" s="134">
        <v>11.0</v>
      </c>
      <c r="B27" s="53" t="s">
        <v>48</v>
      </c>
      <c r="C27" s="53" t="s">
        <v>51</v>
      </c>
      <c r="D27" s="53" t="s">
        <v>52</v>
      </c>
      <c r="E27" s="135"/>
      <c r="F27" s="135"/>
      <c r="G27" s="135"/>
      <c r="H27" s="135"/>
      <c r="I27" s="136">
        <f t="shared" si="1"/>
        <v>0</v>
      </c>
      <c r="J27" s="137"/>
      <c r="K27" s="138">
        <f t="shared" si="2"/>
        <v>5</v>
      </c>
      <c r="L27" s="137"/>
      <c r="M27" s="140">
        <f t="shared" si="3"/>
        <v>0</v>
      </c>
      <c r="N27" s="106"/>
      <c r="O27" s="106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  <c r="AA27" s="1"/>
    </row>
    <row r="28" ht="24.75" customHeight="1">
      <c r="A28" s="134">
        <v>12.0</v>
      </c>
      <c r="B28" s="53" t="s">
        <v>53</v>
      </c>
      <c r="C28" s="53" t="s">
        <v>54</v>
      </c>
      <c r="D28" s="54" t="s">
        <v>55</v>
      </c>
      <c r="E28" s="135"/>
      <c r="F28" s="135"/>
      <c r="G28" s="135"/>
      <c r="H28" s="135"/>
      <c r="I28" s="136">
        <f t="shared" si="1"/>
        <v>0</v>
      </c>
      <c r="J28" s="137"/>
      <c r="K28" s="138">
        <f t="shared" si="2"/>
        <v>5</v>
      </c>
      <c r="L28" s="137"/>
      <c r="M28" s="140">
        <f t="shared" si="3"/>
        <v>0</v>
      </c>
      <c r="N28" s="106"/>
      <c r="O28" s="106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  <c r="AA28" s="1"/>
    </row>
    <row r="29" ht="24.75" customHeight="1">
      <c r="A29" s="134">
        <v>13.0</v>
      </c>
      <c r="B29" s="53" t="s">
        <v>56</v>
      </c>
      <c r="C29" s="53" t="s">
        <v>57</v>
      </c>
      <c r="D29" s="54" t="s">
        <v>58</v>
      </c>
      <c r="E29" s="135"/>
      <c r="F29" s="135"/>
      <c r="G29" s="135"/>
      <c r="H29" s="135"/>
      <c r="I29" s="136">
        <f t="shared" si="1"/>
        <v>0</v>
      </c>
      <c r="J29" s="137"/>
      <c r="K29" s="138">
        <f t="shared" si="2"/>
        <v>5</v>
      </c>
      <c r="L29" s="137"/>
      <c r="M29" s="140">
        <f t="shared" si="3"/>
        <v>0</v>
      </c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  <c r="AA29" s="1"/>
    </row>
    <row r="30" ht="24.75" customHeight="1">
      <c r="A30" s="134">
        <v>14.0</v>
      </c>
      <c r="B30" s="53" t="s">
        <v>57</v>
      </c>
      <c r="C30" s="53" t="s">
        <v>59</v>
      </c>
      <c r="D30" s="54" t="s">
        <v>60</v>
      </c>
      <c r="E30" s="135"/>
      <c r="F30" s="135"/>
      <c r="G30" s="135"/>
      <c r="H30" s="135"/>
      <c r="I30" s="136">
        <f t="shared" si="1"/>
        <v>0</v>
      </c>
      <c r="J30" s="137"/>
      <c r="K30" s="138">
        <f t="shared" si="2"/>
        <v>5</v>
      </c>
      <c r="L30" s="137"/>
      <c r="M30" s="140">
        <f t="shared" si="3"/>
        <v>0</v>
      </c>
      <c r="N30" s="106"/>
      <c r="O30" s="106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  <c r="AA30" s="1"/>
    </row>
    <row r="31" ht="24.75" customHeight="1">
      <c r="A31" s="134">
        <v>15.0</v>
      </c>
      <c r="B31" s="53" t="s">
        <v>61</v>
      </c>
      <c r="C31" s="53" t="s">
        <v>62</v>
      </c>
      <c r="D31" s="54" t="s">
        <v>63</v>
      </c>
      <c r="E31" s="135"/>
      <c r="F31" s="135"/>
      <c r="G31" s="135"/>
      <c r="H31" s="135"/>
      <c r="I31" s="136">
        <f t="shared" si="1"/>
        <v>0</v>
      </c>
      <c r="J31" s="137"/>
      <c r="K31" s="138">
        <f t="shared" si="2"/>
        <v>5</v>
      </c>
      <c r="L31" s="137"/>
      <c r="M31" s="140">
        <f t="shared" si="3"/>
        <v>0</v>
      </c>
      <c r="N31" s="106"/>
      <c r="O31" s="106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  <c r="AA31" s="1"/>
    </row>
    <row r="32" ht="24.75" customHeight="1">
      <c r="A32" s="134">
        <v>16.0</v>
      </c>
      <c r="B32" s="53" t="s">
        <v>64</v>
      </c>
      <c r="C32" s="53" t="s">
        <v>65</v>
      </c>
      <c r="D32" s="54" t="s">
        <v>66</v>
      </c>
      <c r="E32" s="135"/>
      <c r="F32" s="135"/>
      <c r="G32" s="135"/>
      <c r="H32" s="135"/>
      <c r="I32" s="136">
        <f t="shared" si="1"/>
        <v>0</v>
      </c>
      <c r="J32" s="137"/>
      <c r="K32" s="138">
        <f t="shared" si="2"/>
        <v>5</v>
      </c>
      <c r="L32" s="137"/>
      <c r="M32" s="140">
        <f t="shared" si="3"/>
        <v>0</v>
      </c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  <c r="AA32" s="1"/>
    </row>
    <row r="33" ht="24.75" customHeight="1">
      <c r="A33" s="134">
        <v>17.0</v>
      </c>
      <c r="B33" s="53" t="s">
        <v>64</v>
      </c>
      <c r="C33" s="53" t="s">
        <v>67</v>
      </c>
      <c r="D33" s="54" t="s">
        <v>68</v>
      </c>
      <c r="E33" s="135"/>
      <c r="F33" s="135"/>
      <c r="G33" s="135"/>
      <c r="H33" s="135"/>
      <c r="I33" s="136">
        <f t="shared" si="1"/>
        <v>0</v>
      </c>
      <c r="J33" s="137"/>
      <c r="K33" s="138">
        <f t="shared" si="2"/>
        <v>5</v>
      </c>
      <c r="L33" s="137"/>
      <c r="M33" s="140">
        <f t="shared" si="3"/>
        <v>0</v>
      </c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  <c r="AA33" s="1"/>
    </row>
    <row r="34" ht="24.75" customHeight="1">
      <c r="A34" s="134">
        <v>18.0</v>
      </c>
      <c r="B34" s="53" t="s">
        <v>69</v>
      </c>
      <c r="C34" s="53" t="s">
        <v>70</v>
      </c>
      <c r="D34" s="54" t="s">
        <v>71</v>
      </c>
      <c r="E34" s="135"/>
      <c r="F34" s="135"/>
      <c r="G34" s="135"/>
      <c r="H34" s="135"/>
      <c r="I34" s="136">
        <f t="shared" si="1"/>
        <v>0</v>
      </c>
      <c r="J34" s="137"/>
      <c r="K34" s="138">
        <f t="shared" si="2"/>
        <v>5</v>
      </c>
      <c r="L34" s="137"/>
      <c r="M34" s="140">
        <f t="shared" si="3"/>
        <v>0</v>
      </c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  <c r="AA34" s="1"/>
    </row>
    <row r="35" ht="24.75" customHeight="1">
      <c r="A35" s="134">
        <v>19.0</v>
      </c>
      <c r="B35" s="53" t="s">
        <v>26</v>
      </c>
      <c r="C35" s="53" t="s">
        <v>72</v>
      </c>
      <c r="D35" s="54" t="s">
        <v>73</v>
      </c>
      <c r="E35" s="135"/>
      <c r="F35" s="135"/>
      <c r="G35" s="135"/>
      <c r="H35" s="135"/>
      <c r="I35" s="136">
        <f t="shared" si="1"/>
        <v>0</v>
      </c>
      <c r="J35" s="137"/>
      <c r="K35" s="138">
        <f t="shared" si="2"/>
        <v>5</v>
      </c>
      <c r="L35" s="137"/>
      <c r="M35" s="140">
        <f t="shared" si="3"/>
        <v>0</v>
      </c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  <c r="AA35" s="1"/>
    </row>
    <row r="36" ht="24.75" customHeight="1">
      <c r="A36" s="134">
        <v>20.0</v>
      </c>
      <c r="B36" s="53" t="s">
        <v>74</v>
      </c>
      <c r="C36" s="53" t="s">
        <v>75</v>
      </c>
      <c r="D36" s="54" t="s">
        <v>76</v>
      </c>
      <c r="E36" s="135"/>
      <c r="F36" s="135"/>
      <c r="G36" s="135"/>
      <c r="H36" s="135"/>
      <c r="I36" s="136">
        <f t="shared" si="1"/>
        <v>0</v>
      </c>
      <c r="J36" s="137"/>
      <c r="K36" s="138">
        <f t="shared" si="2"/>
        <v>5</v>
      </c>
      <c r="L36" s="137"/>
      <c r="M36" s="140">
        <f t="shared" si="3"/>
        <v>0</v>
      </c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  <c r="AA36" s="1"/>
    </row>
    <row r="37" ht="24.75" customHeight="1">
      <c r="A37" s="134">
        <v>21.0</v>
      </c>
      <c r="B37" s="53" t="s">
        <v>77</v>
      </c>
      <c r="C37" s="53" t="s">
        <v>26</v>
      </c>
      <c r="D37" s="54" t="s">
        <v>78</v>
      </c>
      <c r="E37" s="135"/>
      <c r="F37" s="135"/>
      <c r="G37" s="135"/>
      <c r="H37" s="135"/>
      <c r="I37" s="136">
        <f t="shared" si="1"/>
        <v>0</v>
      </c>
      <c r="J37" s="137"/>
      <c r="K37" s="138">
        <f t="shared" si="2"/>
        <v>5</v>
      </c>
      <c r="L37" s="137"/>
      <c r="M37" s="140">
        <f t="shared" si="3"/>
        <v>0</v>
      </c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  <c r="AA37" s="1"/>
    </row>
    <row r="38" ht="24.75" customHeight="1">
      <c r="A38" s="134">
        <v>22.0</v>
      </c>
      <c r="B38" s="53" t="s">
        <v>79</v>
      </c>
      <c r="C38" s="53" t="s">
        <v>80</v>
      </c>
      <c r="D38" s="54" t="s">
        <v>81</v>
      </c>
      <c r="E38" s="135"/>
      <c r="F38" s="135"/>
      <c r="G38" s="135"/>
      <c r="H38" s="135"/>
      <c r="I38" s="136">
        <f t="shared" si="1"/>
        <v>0</v>
      </c>
      <c r="J38" s="137"/>
      <c r="K38" s="138">
        <f t="shared" si="2"/>
        <v>5</v>
      </c>
      <c r="L38" s="137"/>
      <c r="M38" s="140">
        <f t="shared" si="3"/>
        <v>0</v>
      </c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  <c r="AA38" s="1"/>
    </row>
    <row r="39" ht="24.75" customHeight="1">
      <c r="A39" s="134">
        <v>23.0</v>
      </c>
      <c r="B39" s="53" t="s">
        <v>82</v>
      </c>
      <c r="C39" s="53" t="s">
        <v>83</v>
      </c>
      <c r="D39" s="54" t="s">
        <v>84</v>
      </c>
      <c r="E39" s="135"/>
      <c r="F39" s="135"/>
      <c r="G39" s="135"/>
      <c r="H39" s="135"/>
      <c r="I39" s="136">
        <f t="shared" si="1"/>
        <v>0</v>
      </c>
      <c r="J39" s="137"/>
      <c r="K39" s="138">
        <f t="shared" si="2"/>
        <v>5</v>
      </c>
      <c r="L39" s="137"/>
      <c r="M39" s="140">
        <f t="shared" si="3"/>
        <v>0</v>
      </c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  <c r="AA39" s="1"/>
    </row>
    <row r="40" ht="24.75" customHeight="1">
      <c r="A40" s="134">
        <v>24.0</v>
      </c>
      <c r="B40" s="53" t="s">
        <v>85</v>
      </c>
      <c r="C40" s="53" t="s">
        <v>86</v>
      </c>
      <c r="D40" s="54" t="s">
        <v>87</v>
      </c>
      <c r="E40" s="135"/>
      <c r="F40" s="135"/>
      <c r="G40" s="135"/>
      <c r="H40" s="135"/>
      <c r="I40" s="136">
        <f t="shared" si="1"/>
        <v>0</v>
      </c>
      <c r="J40" s="137"/>
      <c r="K40" s="138">
        <f t="shared" si="2"/>
        <v>5</v>
      </c>
      <c r="L40" s="137"/>
      <c r="M40" s="140">
        <f t="shared" si="3"/>
        <v>0</v>
      </c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  <c r="AA40" s="1"/>
    </row>
    <row r="41" ht="24.75" customHeight="1">
      <c r="A41" s="134">
        <v>25.0</v>
      </c>
      <c r="B41" s="53" t="s">
        <v>88</v>
      </c>
      <c r="C41" s="53" t="s">
        <v>89</v>
      </c>
      <c r="D41" s="54" t="s">
        <v>90</v>
      </c>
      <c r="E41" s="135"/>
      <c r="F41" s="135"/>
      <c r="G41" s="135"/>
      <c r="H41" s="135"/>
      <c r="I41" s="136">
        <f t="shared" si="1"/>
        <v>0</v>
      </c>
      <c r="J41" s="137"/>
      <c r="K41" s="138">
        <f t="shared" si="2"/>
        <v>5</v>
      </c>
      <c r="L41" s="137"/>
      <c r="M41" s="140">
        <f t="shared" si="3"/>
        <v>0</v>
      </c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  <c r="AA41" s="1"/>
    </row>
    <row r="42" ht="24.75" customHeight="1">
      <c r="A42" s="134">
        <v>26.0</v>
      </c>
      <c r="B42" s="53" t="s">
        <v>91</v>
      </c>
      <c r="C42" s="53" t="s">
        <v>92</v>
      </c>
      <c r="D42" s="54" t="s">
        <v>93</v>
      </c>
      <c r="E42" s="135"/>
      <c r="F42" s="135"/>
      <c r="G42" s="135"/>
      <c r="H42" s="135"/>
      <c r="I42" s="136">
        <f t="shared" si="1"/>
        <v>0</v>
      </c>
      <c r="J42" s="137"/>
      <c r="K42" s="138">
        <f t="shared" si="2"/>
        <v>5</v>
      </c>
      <c r="L42" s="137"/>
      <c r="M42" s="140">
        <f t="shared" si="3"/>
        <v>0</v>
      </c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  <c r="AA42" s="1"/>
    </row>
    <row r="43" ht="24.75" customHeight="1">
      <c r="A43" s="134">
        <v>27.0</v>
      </c>
      <c r="B43" s="53" t="s">
        <v>94</v>
      </c>
      <c r="C43" s="53" t="s">
        <v>95</v>
      </c>
      <c r="D43" s="54" t="s">
        <v>96</v>
      </c>
      <c r="E43" s="135"/>
      <c r="F43" s="135"/>
      <c r="G43" s="135"/>
      <c r="H43" s="135"/>
      <c r="I43" s="136">
        <f t="shared" si="1"/>
        <v>0</v>
      </c>
      <c r="J43" s="137"/>
      <c r="K43" s="138">
        <f t="shared" si="2"/>
        <v>5</v>
      </c>
      <c r="L43" s="137"/>
      <c r="M43" s="140">
        <f t="shared" si="3"/>
        <v>0</v>
      </c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  <c r="AA43" s="1"/>
    </row>
    <row r="44" ht="24.75" customHeight="1">
      <c r="A44" s="134">
        <v>28.0</v>
      </c>
      <c r="B44" s="53" t="s">
        <v>94</v>
      </c>
      <c r="C44" s="53" t="s">
        <v>97</v>
      </c>
      <c r="D44" s="54" t="s">
        <v>98</v>
      </c>
      <c r="E44" s="135"/>
      <c r="F44" s="135"/>
      <c r="G44" s="135"/>
      <c r="H44" s="135"/>
      <c r="I44" s="136">
        <f t="shared" si="1"/>
        <v>0</v>
      </c>
      <c r="J44" s="137"/>
      <c r="K44" s="138">
        <f t="shared" si="2"/>
        <v>5</v>
      </c>
      <c r="L44" s="137"/>
      <c r="M44" s="140">
        <f t="shared" si="3"/>
        <v>0</v>
      </c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  <c r="AA44" s="1"/>
    </row>
    <row r="45" ht="24.75" customHeight="1">
      <c r="A45" s="134">
        <v>29.0</v>
      </c>
      <c r="B45" s="53" t="s">
        <v>94</v>
      </c>
      <c r="C45" s="53" t="s">
        <v>99</v>
      </c>
      <c r="D45" s="54" t="s">
        <v>100</v>
      </c>
      <c r="E45" s="135"/>
      <c r="F45" s="135"/>
      <c r="G45" s="135"/>
      <c r="H45" s="135"/>
      <c r="I45" s="136">
        <f t="shared" si="1"/>
        <v>0</v>
      </c>
      <c r="J45" s="137"/>
      <c r="K45" s="138">
        <f t="shared" si="2"/>
        <v>5</v>
      </c>
      <c r="L45" s="137"/>
      <c r="M45" s="140">
        <f t="shared" si="3"/>
        <v>0</v>
      </c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  <c r="AA45" s="1"/>
    </row>
    <row r="46" ht="24.75" customHeight="1">
      <c r="A46" s="134">
        <v>30.0</v>
      </c>
      <c r="B46" s="53" t="s">
        <v>101</v>
      </c>
      <c r="C46" s="53" t="s">
        <v>64</v>
      </c>
      <c r="D46" s="54" t="s">
        <v>102</v>
      </c>
      <c r="E46" s="135"/>
      <c r="F46" s="135"/>
      <c r="G46" s="135"/>
      <c r="H46" s="135"/>
      <c r="I46" s="136">
        <f t="shared" si="1"/>
        <v>0</v>
      </c>
      <c r="J46" s="137"/>
      <c r="K46" s="138">
        <f t="shared" si="2"/>
        <v>5</v>
      </c>
      <c r="L46" s="137"/>
      <c r="M46" s="140">
        <f t="shared" si="3"/>
        <v>0</v>
      </c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  <c r="AA46" s="1"/>
    </row>
    <row r="47" ht="24.75" customHeight="1">
      <c r="A47" s="134">
        <v>31.0</v>
      </c>
      <c r="B47" s="53" t="s">
        <v>103</v>
      </c>
      <c r="C47" s="53" t="s">
        <v>104</v>
      </c>
      <c r="D47" s="54" t="s">
        <v>105</v>
      </c>
      <c r="E47" s="135"/>
      <c r="F47" s="135"/>
      <c r="G47" s="135"/>
      <c r="H47" s="135"/>
      <c r="I47" s="136">
        <f t="shared" si="1"/>
        <v>0</v>
      </c>
      <c r="J47" s="137"/>
      <c r="K47" s="138">
        <f t="shared" si="2"/>
        <v>5</v>
      </c>
      <c r="L47" s="137"/>
      <c r="M47" s="140">
        <f t="shared" si="3"/>
        <v>0</v>
      </c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  <c r="AA47" s="1"/>
    </row>
    <row r="48" ht="24.75" customHeight="1">
      <c r="A48" s="134">
        <v>32.0</v>
      </c>
      <c r="B48" s="53" t="s">
        <v>65</v>
      </c>
      <c r="C48" s="53" t="s">
        <v>106</v>
      </c>
      <c r="D48" s="54" t="s">
        <v>107</v>
      </c>
      <c r="E48" s="135"/>
      <c r="F48" s="135"/>
      <c r="G48" s="135"/>
      <c r="H48" s="135"/>
      <c r="I48" s="136">
        <f t="shared" si="1"/>
        <v>0</v>
      </c>
      <c r="J48" s="137"/>
      <c r="K48" s="138">
        <f t="shared" si="2"/>
        <v>5</v>
      </c>
      <c r="L48" s="137"/>
      <c r="M48" s="140">
        <f t="shared" si="3"/>
        <v>0</v>
      </c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  <c r="AA48" s="1"/>
    </row>
    <row r="49" ht="24.75" customHeight="1">
      <c r="A49" s="134">
        <v>33.0</v>
      </c>
      <c r="B49" s="53" t="s">
        <v>108</v>
      </c>
      <c r="C49" s="53" t="s">
        <v>94</v>
      </c>
      <c r="D49" s="54" t="s">
        <v>41</v>
      </c>
      <c r="E49" s="135"/>
      <c r="F49" s="135"/>
      <c r="G49" s="135"/>
      <c r="H49" s="135"/>
      <c r="I49" s="136">
        <f t="shared" si="1"/>
        <v>0</v>
      </c>
      <c r="J49" s="137"/>
      <c r="K49" s="138">
        <f t="shared" si="2"/>
        <v>5</v>
      </c>
      <c r="L49" s="137"/>
      <c r="M49" s="140">
        <f t="shared" si="3"/>
        <v>0</v>
      </c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  <c r="AA49" s="1"/>
    </row>
    <row r="50" ht="24.75" customHeight="1">
      <c r="A50" s="134">
        <v>34.0</v>
      </c>
      <c r="B50" s="53" t="s">
        <v>83</v>
      </c>
      <c r="C50" s="53" t="s">
        <v>59</v>
      </c>
      <c r="D50" s="54" t="s">
        <v>109</v>
      </c>
      <c r="E50" s="135"/>
      <c r="F50" s="135"/>
      <c r="G50" s="135"/>
      <c r="H50" s="135"/>
      <c r="I50" s="136">
        <f t="shared" si="1"/>
        <v>0</v>
      </c>
      <c r="J50" s="137"/>
      <c r="K50" s="138">
        <f t="shared" si="2"/>
        <v>5</v>
      </c>
      <c r="L50" s="137"/>
      <c r="M50" s="140">
        <f t="shared" si="3"/>
        <v>0</v>
      </c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  <c r="AA50" s="1"/>
    </row>
    <row r="51" ht="24.75" customHeight="1">
      <c r="A51" s="134">
        <v>35.0</v>
      </c>
      <c r="B51" s="53" t="s">
        <v>110</v>
      </c>
      <c r="C51" s="53" t="s">
        <v>111</v>
      </c>
      <c r="D51" s="54" t="s">
        <v>112</v>
      </c>
      <c r="E51" s="135"/>
      <c r="F51" s="135"/>
      <c r="G51" s="135"/>
      <c r="H51" s="135"/>
      <c r="I51" s="136">
        <f t="shared" si="1"/>
        <v>0</v>
      </c>
      <c r="J51" s="137"/>
      <c r="K51" s="138">
        <f t="shared" si="2"/>
        <v>5</v>
      </c>
      <c r="L51" s="137"/>
      <c r="M51" s="140">
        <f t="shared" si="3"/>
        <v>0</v>
      </c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  <c r="AA51" s="1"/>
    </row>
    <row r="52" ht="21.75" customHeight="1">
      <c r="A52" s="111"/>
      <c r="B52" s="112"/>
      <c r="C52" s="112"/>
      <c r="D52" s="112"/>
      <c r="E52" s="112"/>
      <c r="F52" s="112"/>
      <c r="G52" s="112"/>
      <c r="H52" s="112"/>
      <c r="I52" s="112"/>
      <c r="J52" s="112"/>
      <c r="K52" s="106"/>
      <c r="L52" s="113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  <c r="AA52" s="1"/>
    </row>
    <row r="53" ht="21.75" customHeight="1">
      <c r="A53" s="106"/>
      <c r="B53" s="141" t="s">
        <v>113</v>
      </c>
      <c r="C53" s="64"/>
      <c r="D53" s="142">
        <f>COUNT(A17:A51)</f>
        <v>35</v>
      </c>
      <c r="E53" s="112"/>
      <c r="F53" s="112"/>
      <c r="G53" s="143" t="s">
        <v>114</v>
      </c>
      <c r="H53" s="112"/>
      <c r="I53" s="143" t="s">
        <v>115</v>
      </c>
      <c r="K53" s="144" t="s">
        <v>116</v>
      </c>
      <c r="L53" s="145" t="s">
        <v>117</v>
      </c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  <c r="AA53" s="1"/>
    </row>
    <row r="54" ht="21.75" customHeight="1">
      <c r="A54" s="106"/>
      <c r="B54" s="146" t="s">
        <v>118</v>
      </c>
      <c r="C54" s="70"/>
      <c r="D54" s="147">
        <f>COUNTIF(K17:K51,"BAJA")</f>
        <v>0</v>
      </c>
      <c r="E54" s="112"/>
      <c r="F54" s="112"/>
      <c r="H54" s="112"/>
      <c r="L54" s="10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  <c r="AA54" s="1"/>
    </row>
    <row r="55" ht="21.75" customHeight="1">
      <c r="A55" s="106"/>
      <c r="B55" s="146" t="s">
        <v>119</v>
      </c>
      <c r="C55" s="70"/>
      <c r="D55" s="148">
        <f>D53-D54</f>
        <v>35</v>
      </c>
      <c r="E55" s="112"/>
      <c r="F55" s="112"/>
      <c r="G55" s="112"/>
      <c r="H55" s="112"/>
      <c r="I55" s="112"/>
      <c r="J55" s="112"/>
      <c r="K55" s="106"/>
      <c r="L55" s="113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  <c r="AA55" s="1"/>
    </row>
    <row r="56" ht="21.75" customHeight="1">
      <c r="A56" s="106"/>
      <c r="B56" s="146" t="s">
        <v>120</v>
      </c>
      <c r="C56" s="70"/>
      <c r="D56" s="148">
        <f>COUNTIF(K17:K51,"&gt;=6")</f>
        <v>0</v>
      </c>
      <c r="E56" s="112"/>
      <c r="F56" s="112"/>
      <c r="G56" s="112"/>
      <c r="H56" s="112"/>
      <c r="I56" s="112"/>
      <c r="J56" s="112"/>
      <c r="K56" s="106"/>
      <c r="L56" s="113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  <c r="AA56" s="1"/>
    </row>
    <row r="57" ht="27.75" customHeight="1">
      <c r="A57" s="106"/>
      <c r="B57" s="146" t="s">
        <v>121</v>
      </c>
      <c r="C57" s="70"/>
      <c r="D57" s="148">
        <f>D55-D56</f>
        <v>35</v>
      </c>
      <c r="E57" s="112"/>
      <c r="F57" s="112"/>
      <c r="G57" s="149"/>
      <c r="H57" s="112"/>
      <c r="I57" s="149"/>
      <c r="J57" s="149"/>
      <c r="K57" s="150"/>
      <c r="L57" s="151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  <c r="AA57" s="1"/>
    </row>
    <row r="58" ht="21.75" customHeight="1">
      <c r="A58" s="106"/>
      <c r="B58" s="146" t="s">
        <v>122</v>
      </c>
      <c r="C58" s="70"/>
      <c r="D58" s="152">
        <f>D56*100/D55</f>
        <v>0</v>
      </c>
      <c r="E58" s="112"/>
      <c r="F58" s="112"/>
      <c r="G58" s="153" t="s">
        <v>123</v>
      </c>
      <c r="H58" s="115"/>
      <c r="I58" s="84" t="s">
        <v>124</v>
      </c>
      <c r="K58" s="85" t="s">
        <v>125</v>
      </c>
      <c r="L58" s="86" t="s">
        <v>126</v>
      </c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  <c r="AA58" s="1"/>
    </row>
    <row r="59" ht="13.5" customHeight="1">
      <c r="A59" s="106"/>
      <c r="B59" s="154" t="s">
        <v>127</v>
      </c>
      <c r="C59" s="89"/>
      <c r="D59" s="155">
        <f>AVERAGE(K17:K51)</f>
        <v>5</v>
      </c>
      <c r="E59" s="112"/>
      <c r="F59" s="112"/>
      <c r="H59" s="115"/>
      <c r="L59" s="10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  <c r="AA59" s="1"/>
    </row>
    <row r="60" ht="13.5" customHeight="1">
      <c r="A60" s="111"/>
      <c r="B60" s="106"/>
      <c r="C60" s="106"/>
      <c r="D60" s="106"/>
      <c r="E60" s="106"/>
      <c r="F60" s="106"/>
      <c r="G60" s="106"/>
      <c r="H60" s="106"/>
      <c r="I60" s="106"/>
      <c r="J60" s="106"/>
      <c r="K60" s="106"/>
      <c r="L60" s="113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  <c r="AA60" s="1"/>
    </row>
    <row r="61" ht="13.5" customHeight="1">
      <c r="A61" s="156"/>
      <c r="B61" s="157"/>
      <c r="C61" s="158"/>
      <c r="D61" s="158"/>
      <c r="E61" s="112"/>
      <c r="H61" s="112"/>
      <c r="I61" s="112"/>
      <c r="J61" s="112"/>
      <c r="K61" s="112"/>
      <c r="L61" s="159"/>
      <c r="M61" s="112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  <c r="AA61" s="1"/>
    </row>
    <row r="62" ht="13.5" customHeight="1">
      <c r="A62" s="160"/>
      <c r="B62" s="112"/>
      <c r="C62" s="112"/>
      <c r="D62" s="112"/>
      <c r="E62" s="112"/>
      <c r="F62" s="112"/>
      <c r="G62" s="106"/>
      <c r="H62" s="106"/>
      <c r="I62" s="106"/>
      <c r="J62" s="106"/>
      <c r="K62" s="106"/>
      <c r="L62" s="113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  <c r="AA62" s="1"/>
    </row>
    <row r="63" ht="13.5" customHeight="1">
      <c r="A63" s="160"/>
      <c r="B63" s="112"/>
      <c r="C63" s="112"/>
      <c r="D63" s="112"/>
      <c r="E63" s="112"/>
      <c r="F63" s="112"/>
      <c r="G63" s="106"/>
      <c r="H63" s="106"/>
      <c r="I63" s="106"/>
      <c r="J63" s="106"/>
      <c r="K63" s="106"/>
      <c r="L63" s="113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  <c r="AA63" s="1"/>
    </row>
    <row r="64" ht="14.25" customHeight="1">
      <c r="A64" s="161"/>
      <c r="B64" s="162"/>
      <c r="C64" s="162"/>
      <c r="D64" s="162"/>
      <c r="E64" s="162"/>
      <c r="F64" s="162"/>
      <c r="G64" s="163"/>
      <c r="H64" s="163"/>
      <c r="I64" s="163"/>
      <c r="J64" s="163"/>
      <c r="K64" s="163"/>
      <c r="L64" s="164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  <c r="AA64" s="1"/>
    </row>
    <row r="65" ht="14.25" customHeight="1">
      <c r="A65" s="106"/>
      <c r="B65" s="112"/>
      <c r="C65" s="112"/>
      <c r="D65" s="112"/>
      <c r="E65" s="112"/>
      <c r="F65" s="112"/>
      <c r="G65" s="106"/>
      <c r="H65" s="106"/>
      <c r="I65" s="106"/>
      <c r="J65" s="106"/>
      <c r="K65" s="115"/>
      <c r="L65" s="115"/>
      <c r="M65" s="115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  <c r="AA65" s="1"/>
    </row>
    <row r="66" ht="14.25" customHeight="1">
      <c r="A66" s="106"/>
      <c r="B66" s="112"/>
      <c r="C66" s="112"/>
      <c r="D66" s="112"/>
      <c r="E66" s="112"/>
      <c r="F66" s="112"/>
      <c r="G66" s="106"/>
      <c r="H66" s="106"/>
      <c r="I66" s="106"/>
      <c r="J66" s="106"/>
      <c r="K66" s="115"/>
      <c r="L66" s="115"/>
      <c r="M66" s="115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  <c r="AA66" s="1"/>
    </row>
    <row r="67" ht="14.25" customHeight="1">
      <c r="A67" s="106"/>
      <c r="B67" s="112"/>
      <c r="C67" s="112"/>
      <c r="D67" s="112"/>
      <c r="E67" s="112"/>
      <c r="F67" s="112"/>
      <c r="G67" s="106"/>
      <c r="H67" s="106"/>
      <c r="I67" s="106"/>
      <c r="J67" s="106"/>
      <c r="K67" s="115"/>
      <c r="L67" s="115"/>
      <c r="M67" s="115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  <c r="AA67" s="1"/>
    </row>
    <row r="68" ht="14.25" customHeight="1">
      <c r="A68" s="106"/>
      <c r="B68" s="112"/>
      <c r="C68" s="112"/>
      <c r="D68" s="112"/>
      <c r="E68" s="112"/>
      <c r="F68" s="112"/>
      <c r="G68" s="106"/>
      <c r="H68" s="106"/>
      <c r="I68" s="106"/>
      <c r="J68" s="106"/>
      <c r="K68" s="115"/>
      <c r="L68" s="115"/>
      <c r="M68" s="115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  <c r="AA68" s="1"/>
    </row>
    <row r="69" ht="14.25" customHeight="1">
      <c r="A69" s="106"/>
      <c r="B69" s="112"/>
      <c r="C69" s="112"/>
      <c r="D69" s="112"/>
      <c r="E69" s="112"/>
      <c r="F69" s="112"/>
      <c r="G69" s="106"/>
      <c r="H69" s="106"/>
      <c r="I69" s="106"/>
      <c r="J69" s="106"/>
      <c r="K69" s="106"/>
      <c r="L69" s="165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  <c r="AA69" s="1"/>
    </row>
    <row r="70" ht="14.25" customHeight="1">
      <c r="A70" s="106"/>
      <c r="B70" s="112"/>
      <c r="C70" s="112"/>
      <c r="D70" s="112"/>
      <c r="E70" s="112"/>
      <c r="F70" s="112"/>
      <c r="G70" s="106"/>
      <c r="H70" s="106"/>
      <c r="I70" s="106"/>
      <c r="J70" s="106"/>
      <c r="K70" s="106"/>
      <c r="L70" s="165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  <c r="AA70" s="1"/>
    </row>
    <row r="71" ht="14.25" customHeight="1">
      <c r="A71" s="106"/>
      <c r="B71" s="112"/>
      <c r="C71" s="112"/>
      <c r="D71" s="112"/>
      <c r="E71" s="112"/>
      <c r="F71" s="112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  <c r="AA71" s="1"/>
    </row>
    <row r="72" ht="14.25" customHeight="1">
      <c r="A72" s="106"/>
      <c r="B72" s="112"/>
      <c r="C72" s="112"/>
      <c r="D72" s="112"/>
      <c r="E72" s="112"/>
      <c r="F72" s="112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  <c r="AA72" s="1"/>
    </row>
    <row r="73" ht="14.25" customHeight="1">
      <c r="A73" s="106"/>
      <c r="B73" s="112"/>
      <c r="C73" s="112"/>
      <c r="D73" s="112"/>
      <c r="E73" s="112"/>
      <c r="F73" s="112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  <c r="AA73" s="1"/>
    </row>
    <row r="74" ht="14.25" customHeight="1">
      <c r="A74" s="106"/>
      <c r="B74" s="112"/>
      <c r="C74" s="112"/>
      <c r="D74" s="112"/>
      <c r="E74" s="112"/>
      <c r="F74" s="112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  <c r="AA74" s="1"/>
    </row>
    <row r="75" ht="14.25" customHeight="1">
      <c r="A75" s="106"/>
      <c r="B75" s="112"/>
      <c r="C75" s="112"/>
      <c r="D75" s="112"/>
      <c r="E75" s="112"/>
      <c r="F75" s="112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  <c r="AA75" s="1"/>
    </row>
    <row r="76" ht="13.5" customHeight="1">
      <c r="A76" s="106"/>
      <c r="B76" s="112"/>
      <c r="C76" s="112"/>
      <c r="D76" s="112"/>
      <c r="E76" s="112"/>
      <c r="F76" s="112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  <c r="AA76" s="1"/>
    </row>
    <row r="77" ht="13.5" customHeight="1">
      <c r="A77" s="106"/>
      <c r="B77" s="106"/>
      <c r="C77" s="106"/>
      <c r="D77" s="106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  <c r="AA77" s="1"/>
    </row>
    <row r="78" ht="13.5" customHeight="1">
      <c r="A78" s="106"/>
      <c r="B78" s="106"/>
      <c r="C78" s="106"/>
      <c r="D78" s="106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  <c r="AA78" s="1"/>
    </row>
    <row r="79" ht="13.5" customHeight="1">
      <c r="A79" s="106"/>
      <c r="B79" s="106"/>
      <c r="C79" s="106"/>
      <c r="D79" s="106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  <c r="AA79" s="1"/>
    </row>
    <row r="80" ht="13.5" customHeight="1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  <c r="AA80" s="1"/>
    </row>
    <row r="81" ht="13.5" customHeight="1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  <c r="AA81" s="1"/>
    </row>
    <row r="82" ht="13.5" customHeight="1">
      <c r="A82" s="106"/>
      <c r="B82" s="106"/>
      <c r="C82" s="106"/>
      <c r="D82" s="106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  <c r="AA82" s="1"/>
    </row>
    <row r="83" ht="13.5" customHeight="1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  <c r="AA83" s="1"/>
    </row>
    <row r="84" ht="13.5" customHeight="1">
      <c r="A84" s="106"/>
      <c r="B84" s="106"/>
      <c r="C84" s="106"/>
      <c r="D84" s="106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  <c r="AA84" s="1"/>
    </row>
    <row r="85" ht="13.5" customHeight="1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  <c r="AA85" s="1"/>
    </row>
    <row r="86" ht="13.5" customHeight="1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  <c r="AA86" s="1"/>
    </row>
    <row r="87" ht="13.5" customHeight="1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  <c r="AA87" s="1"/>
    </row>
    <row r="88" ht="13.5" customHeight="1">
      <c r="A88" s="106"/>
      <c r="B88" s="106"/>
      <c r="C88" s="106"/>
      <c r="D88" s="106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  <c r="AA88" s="1"/>
    </row>
    <row r="89" ht="13.5" customHeight="1">
      <c r="A89" s="106"/>
      <c r="B89" s="106"/>
      <c r="C89" s="106"/>
      <c r="D89" s="106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  <c r="AA89" s="1"/>
    </row>
    <row r="90" ht="13.5" customHeight="1">
      <c r="A90" s="106"/>
      <c r="B90" s="106"/>
      <c r="C90" s="106"/>
      <c r="D90" s="106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  <c r="AA90" s="1"/>
    </row>
    <row r="91" ht="13.5" customHeight="1">
      <c r="A91" s="106"/>
      <c r="B91" s="106"/>
      <c r="C91" s="106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  <c r="AA91" s="1"/>
    </row>
    <row r="92" ht="13.5" customHeight="1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  <c r="AA92" s="1"/>
    </row>
    <row r="93" ht="13.5" customHeight="1">
      <c r="A93" s="106"/>
      <c r="B93" s="106"/>
      <c r="C93" s="106"/>
      <c r="D93" s="106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  <c r="AA93" s="1"/>
    </row>
    <row r="94" ht="13.5" customHeight="1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  <c r="AA94" s="1"/>
    </row>
    <row r="95" ht="13.5" customHeight="1">
      <c r="A95" s="106"/>
      <c r="B95" s="106"/>
      <c r="C95" s="106"/>
      <c r="D95" s="106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  <c r="AA95" s="1"/>
    </row>
    <row r="96" ht="13.5" customHeight="1">
      <c r="A96" s="106"/>
      <c r="B96" s="106"/>
      <c r="C96" s="106"/>
      <c r="D96" s="106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  <c r="AA96" s="1"/>
    </row>
    <row r="97" ht="13.5" customHeight="1">
      <c r="A97" s="106"/>
      <c r="B97" s="106"/>
      <c r="C97" s="106"/>
      <c r="D97" s="106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  <c r="AA97" s="1"/>
    </row>
    <row r="98" ht="13.5" customHeight="1">
      <c r="A98" s="106"/>
      <c r="B98" s="106"/>
      <c r="C98" s="106"/>
      <c r="D98" s="106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  <c r="AA98" s="1"/>
    </row>
    <row r="99" ht="13.5" customHeight="1">
      <c r="A99" s="106"/>
      <c r="B99" s="106"/>
      <c r="C99" s="106"/>
      <c r="D99" s="106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  <c r="AA99" s="1"/>
    </row>
    <row r="100" ht="13.5" customHeight="1">
      <c r="A100" s="106"/>
      <c r="B100" s="106"/>
      <c r="C100" s="106"/>
      <c r="D100" s="106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  <c r="AA100" s="1"/>
    </row>
    <row r="101" ht="13.5" customHeight="1">
      <c r="A101" s="106"/>
      <c r="B101" s="106"/>
      <c r="C101" s="106"/>
      <c r="D101" s="106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  <c r="AA101" s="1"/>
    </row>
    <row r="102" ht="13.5" customHeight="1">
      <c r="A102" s="106"/>
      <c r="B102" s="106"/>
      <c r="C102" s="106"/>
      <c r="D102" s="106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  <c r="AA102" s="1"/>
    </row>
    <row r="103" ht="13.5" customHeight="1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  <c r="AA103" s="1"/>
    </row>
    <row r="104" ht="13.5" customHeight="1">
      <c r="A104" s="106"/>
      <c r="B104" s="106"/>
      <c r="C104" s="106"/>
      <c r="D104" s="106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  <c r="AA104" s="1"/>
    </row>
    <row r="105" ht="13.5" customHeight="1">
      <c r="A105" s="106"/>
      <c r="B105" s="106"/>
      <c r="C105" s="106"/>
      <c r="D105" s="106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  <c r="AA105" s="1"/>
    </row>
    <row r="106" ht="13.5" customHeight="1">
      <c r="A106" s="106"/>
      <c r="B106" s="106"/>
      <c r="C106" s="106"/>
      <c r="D106" s="106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  <c r="AA106" s="1"/>
    </row>
    <row r="107" ht="13.5" customHeight="1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  <c r="AA107" s="1"/>
    </row>
    <row r="108" ht="13.5" customHeight="1">
      <c r="A108" s="106"/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  <c r="AA108" s="1"/>
    </row>
    <row r="109" ht="13.5" customHeight="1">
      <c r="A109" s="106"/>
      <c r="B109" s="106"/>
      <c r="C109" s="106"/>
      <c r="D109" s="106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  <c r="AA109" s="1"/>
    </row>
    <row r="110" ht="13.5" customHeight="1">
      <c r="A110" s="106"/>
      <c r="B110" s="106"/>
      <c r="C110" s="106"/>
      <c r="D110" s="106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  <c r="AA110" s="1"/>
    </row>
    <row r="111" ht="13.5" customHeight="1">
      <c r="A111" s="106"/>
      <c r="B111" s="106"/>
      <c r="C111" s="106"/>
      <c r="D111" s="106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  <c r="AA111" s="1"/>
    </row>
    <row r="112" ht="13.5" customHeight="1">
      <c r="A112" s="106"/>
      <c r="B112" s="106"/>
      <c r="C112" s="106"/>
      <c r="D112" s="106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  <c r="AA112" s="1"/>
    </row>
    <row r="113" ht="13.5" customHeight="1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  <c r="AA113" s="1"/>
    </row>
    <row r="114" ht="13.5" customHeight="1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  <c r="AA114" s="1"/>
    </row>
    <row r="115" ht="13.5" customHeight="1">
      <c r="A115" s="106"/>
      <c r="B115" s="106"/>
      <c r="C115" s="106"/>
      <c r="D115" s="106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  <c r="AA115" s="1"/>
    </row>
    <row r="116" ht="13.5" customHeight="1">
      <c r="A116" s="106"/>
      <c r="B116" s="106"/>
      <c r="C116" s="106"/>
      <c r="D116" s="106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  <c r="AA116" s="1"/>
    </row>
    <row r="117" ht="13.5" customHeight="1">
      <c r="A117" s="106"/>
      <c r="B117" s="106"/>
      <c r="C117" s="106"/>
      <c r="D117" s="106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  <c r="AA117" s="1"/>
    </row>
    <row r="118" ht="13.5" customHeight="1">
      <c r="A118" s="106"/>
      <c r="B118" s="106"/>
      <c r="C118" s="106"/>
      <c r="D118" s="106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  <c r="AA118" s="1"/>
    </row>
    <row r="119" ht="13.5" customHeight="1">
      <c r="A119" s="106"/>
      <c r="B119" s="106"/>
      <c r="C119" s="106"/>
      <c r="D119" s="106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  <c r="AA119" s="1"/>
    </row>
    <row r="120" ht="13.5" customHeight="1">
      <c r="A120" s="106"/>
      <c r="B120" s="106"/>
      <c r="C120" s="106"/>
      <c r="D120" s="106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  <c r="AA120" s="1"/>
    </row>
    <row r="121" ht="13.5" customHeight="1">
      <c r="A121" s="106"/>
      <c r="B121" s="106"/>
      <c r="C121" s="106"/>
      <c r="D121" s="106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  <c r="AA121" s="1"/>
    </row>
    <row r="122" ht="13.5" customHeight="1">
      <c r="A122" s="106"/>
      <c r="B122" s="106"/>
      <c r="C122" s="106"/>
      <c r="D122" s="106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  <c r="AA122" s="1"/>
    </row>
    <row r="123" ht="13.5" customHeight="1">
      <c r="A123" s="106"/>
      <c r="B123" s="106"/>
      <c r="C123" s="106"/>
      <c r="D123" s="106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  <c r="AA123" s="1"/>
    </row>
    <row r="124" ht="13.5" customHeight="1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  <c r="AA124" s="1"/>
    </row>
    <row r="125" ht="13.5" customHeight="1">
      <c r="A125" s="106"/>
      <c r="B125" s="106"/>
      <c r="C125" s="106"/>
      <c r="D125" s="106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  <c r="AA125" s="1"/>
    </row>
    <row r="126" ht="13.5" customHeight="1">
      <c r="A126" s="106"/>
      <c r="B126" s="106"/>
      <c r="C126" s="106"/>
      <c r="D126" s="106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  <c r="AA126" s="1"/>
    </row>
    <row r="127" ht="13.5" customHeight="1">
      <c r="A127" s="106"/>
      <c r="B127" s="106"/>
      <c r="C127" s="106"/>
      <c r="D127" s="106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  <c r="AA127" s="1"/>
    </row>
    <row r="128" ht="13.5" customHeight="1">
      <c r="A128" s="106"/>
      <c r="B128" s="106"/>
      <c r="C128" s="106"/>
      <c r="D128" s="106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  <c r="AA128" s="1"/>
    </row>
    <row r="129" ht="13.5" customHeight="1">
      <c r="A129" s="106"/>
      <c r="B129" s="106"/>
      <c r="C129" s="106"/>
      <c r="D129" s="106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  <c r="AA129" s="1"/>
    </row>
    <row r="130" ht="13.5" customHeight="1">
      <c r="A130" s="106"/>
      <c r="B130" s="106"/>
      <c r="C130" s="106"/>
      <c r="D130" s="106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  <c r="AA130" s="1"/>
    </row>
    <row r="131" ht="13.5" customHeight="1">
      <c r="A131" s="106"/>
      <c r="B131" s="106"/>
      <c r="C131" s="106"/>
      <c r="D131" s="106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  <c r="AA131" s="1"/>
    </row>
    <row r="132" ht="13.5" customHeight="1">
      <c r="A132" s="106"/>
      <c r="B132" s="106"/>
      <c r="C132" s="106"/>
      <c r="D132" s="106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  <c r="AA132" s="1"/>
    </row>
    <row r="133" ht="13.5" customHeight="1">
      <c r="A133" s="106"/>
      <c r="B133" s="106"/>
      <c r="C133" s="106"/>
      <c r="D133" s="106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  <c r="AA133" s="1"/>
    </row>
    <row r="134" ht="13.5" customHeight="1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  <c r="AA134" s="1"/>
    </row>
    <row r="135" ht="13.5" customHeight="1">
      <c r="A135" s="106"/>
      <c r="B135" s="106"/>
      <c r="C135" s="106"/>
      <c r="D135" s="106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  <c r="AA135" s="1"/>
    </row>
    <row r="136" ht="13.5" customHeight="1">
      <c r="A136" s="106"/>
      <c r="B136" s="106"/>
      <c r="C136" s="106"/>
      <c r="D136" s="106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  <c r="AA136" s="1"/>
    </row>
    <row r="137" ht="13.5" customHeight="1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  <c r="AA137" s="1"/>
    </row>
    <row r="138" ht="13.5" customHeight="1">
      <c r="A138" s="106"/>
      <c r="B138" s="106"/>
      <c r="C138" s="106"/>
      <c r="D138" s="106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  <c r="AA138" s="1"/>
    </row>
    <row r="139" ht="13.5" customHeight="1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  <c r="AA139" s="1"/>
    </row>
    <row r="140" ht="13.5" customHeight="1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  <c r="AA140" s="1"/>
    </row>
    <row r="141" ht="13.5" customHeight="1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  <c r="AA141" s="1"/>
    </row>
    <row r="142" ht="13.5" customHeight="1">
      <c r="A142" s="106"/>
      <c r="B142" s="106"/>
      <c r="C142" s="106"/>
      <c r="D142" s="106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  <c r="AA142" s="1"/>
    </row>
    <row r="143" ht="13.5" customHeight="1">
      <c r="A143" s="106"/>
      <c r="B143" s="106"/>
      <c r="C143" s="106"/>
      <c r="D143" s="106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  <c r="AA143" s="1"/>
    </row>
    <row r="144" ht="13.5" customHeight="1">
      <c r="A144" s="106"/>
      <c r="B144" s="106"/>
      <c r="C144" s="106"/>
      <c r="D144" s="106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  <c r="AA144" s="1"/>
    </row>
    <row r="145" ht="13.5" customHeight="1">
      <c r="A145" s="106"/>
      <c r="B145" s="106"/>
      <c r="C145" s="106"/>
      <c r="D145" s="106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  <c r="AA145" s="1"/>
    </row>
    <row r="146" ht="13.5" customHeight="1">
      <c r="A146" s="106"/>
      <c r="B146" s="106"/>
      <c r="C146" s="106"/>
      <c r="D146" s="106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  <c r="AA146" s="1"/>
    </row>
    <row r="147" ht="13.5" customHeight="1">
      <c r="A147" s="106"/>
      <c r="B147" s="106"/>
      <c r="C147" s="106"/>
      <c r="D147" s="106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  <c r="AA147" s="1"/>
    </row>
    <row r="148" ht="13.5" customHeight="1">
      <c r="A148" s="106"/>
      <c r="B148" s="106"/>
      <c r="C148" s="106"/>
      <c r="D148" s="106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  <c r="AA148" s="1"/>
    </row>
    <row r="149" ht="13.5" customHeight="1">
      <c r="A149" s="106"/>
      <c r="B149" s="106"/>
      <c r="C149" s="106"/>
      <c r="D149" s="106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  <c r="AA149" s="1"/>
    </row>
    <row r="150" ht="13.5" customHeight="1">
      <c r="A150" s="106"/>
      <c r="B150" s="106"/>
      <c r="C150" s="106"/>
      <c r="D150" s="106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  <c r="AA150" s="1"/>
    </row>
    <row r="151" ht="13.5" customHeight="1">
      <c r="A151" s="106"/>
      <c r="B151" s="106"/>
      <c r="C151" s="106"/>
      <c r="D151" s="106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  <c r="AA151" s="1"/>
    </row>
    <row r="152" ht="13.5" customHeight="1">
      <c r="A152" s="106"/>
      <c r="B152" s="106"/>
      <c r="C152" s="106"/>
      <c r="D152" s="106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  <c r="AA152" s="1"/>
    </row>
    <row r="153" ht="13.5" customHeight="1">
      <c r="A153" s="106"/>
      <c r="B153" s="106"/>
      <c r="C153" s="106"/>
      <c r="D153" s="106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  <c r="AA153" s="1"/>
    </row>
    <row r="154" ht="13.5" customHeight="1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  <c r="AA154" s="1"/>
    </row>
    <row r="155" ht="13.5" customHeight="1">
      <c r="A155" s="106"/>
      <c r="B155" s="106"/>
      <c r="C155" s="106"/>
      <c r="D155" s="106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  <c r="AA155" s="1"/>
    </row>
    <row r="156" ht="13.5" customHeight="1">
      <c r="A156" s="106"/>
      <c r="B156" s="106"/>
      <c r="C156" s="106"/>
      <c r="D156" s="106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  <c r="AA156" s="1"/>
    </row>
    <row r="157" ht="13.5" customHeight="1">
      <c r="A157" s="106"/>
      <c r="B157" s="106"/>
      <c r="C157" s="106"/>
      <c r="D157" s="106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  <c r="AA157" s="1"/>
    </row>
    <row r="158" ht="13.5" customHeight="1">
      <c r="A158" s="106"/>
      <c r="B158" s="106"/>
      <c r="C158" s="106"/>
      <c r="D158" s="106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  <c r="AA158" s="1"/>
    </row>
    <row r="159" ht="13.5" customHeight="1">
      <c r="A159" s="106"/>
      <c r="B159" s="106"/>
      <c r="C159" s="106"/>
      <c r="D159" s="106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  <c r="AA159" s="1"/>
    </row>
    <row r="160" ht="13.5" customHeight="1">
      <c r="A160" s="106"/>
      <c r="B160" s="106"/>
      <c r="C160" s="106"/>
      <c r="D160" s="106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  <c r="AA160" s="1"/>
    </row>
    <row r="161" ht="13.5" customHeight="1">
      <c r="A161" s="106"/>
      <c r="B161" s="106"/>
      <c r="C161" s="106"/>
      <c r="D161" s="106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  <c r="AA161" s="1"/>
    </row>
    <row r="162" ht="13.5" customHeight="1">
      <c r="A162" s="106"/>
      <c r="B162" s="106"/>
      <c r="C162" s="106"/>
      <c r="D162" s="106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  <c r="AA162" s="1"/>
    </row>
    <row r="163" ht="13.5" customHeight="1">
      <c r="A163" s="106"/>
      <c r="B163" s="106"/>
      <c r="C163" s="106"/>
      <c r="D163" s="106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  <c r="AA163" s="1"/>
    </row>
    <row r="164" ht="13.5" customHeight="1">
      <c r="A164" s="106"/>
      <c r="B164" s="106"/>
      <c r="C164" s="106"/>
      <c r="D164" s="106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  <c r="AA164" s="1"/>
    </row>
    <row r="165" ht="13.5" customHeight="1">
      <c r="A165" s="106"/>
      <c r="B165" s="106"/>
      <c r="C165" s="106"/>
      <c r="D165" s="106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  <c r="AA165" s="1"/>
    </row>
    <row r="166" ht="13.5" customHeight="1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  <c r="AA166" s="1"/>
    </row>
    <row r="167" ht="13.5" customHeight="1">
      <c r="A167" s="106"/>
      <c r="B167" s="106"/>
      <c r="C167" s="106"/>
      <c r="D167" s="106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  <c r="AA167" s="1"/>
    </row>
    <row r="168" ht="13.5" customHeight="1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  <c r="AA168" s="1"/>
    </row>
    <row r="169" ht="13.5" customHeight="1">
      <c r="A169" s="106"/>
      <c r="B169" s="106"/>
      <c r="C169" s="106"/>
      <c r="D169" s="106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  <c r="AA169" s="1"/>
    </row>
    <row r="170" ht="13.5" customHeight="1">
      <c r="A170" s="106"/>
      <c r="B170" s="106"/>
      <c r="C170" s="106"/>
      <c r="D170" s="106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  <c r="AA170" s="1"/>
    </row>
    <row r="171" ht="13.5" customHeight="1">
      <c r="A171" s="106"/>
      <c r="B171" s="106"/>
      <c r="C171" s="106"/>
      <c r="D171" s="106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  <c r="AA171" s="1"/>
    </row>
    <row r="172" ht="13.5" customHeight="1">
      <c r="A172" s="106"/>
      <c r="B172" s="106"/>
      <c r="C172" s="106"/>
      <c r="D172" s="106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  <c r="AA172" s="1"/>
    </row>
    <row r="173" ht="13.5" customHeight="1">
      <c r="A173" s="106"/>
      <c r="B173" s="106"/>
      <c r="C173" s="106"/>
      <c r="D173" s="106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  <c r="AA173" s="1"/>
    </row>
    <row r="174" ht="13.5" customHeight="1">
      <c r="A174" s="106"/>
      <c r="B174" s="106"/>
      <c r="C174" s="106"/>
      <c r="D174" s="106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  <c r="AA174" s="1"/>
    </row>
    <row r="175" ht="13.5" customHeight="1">
      <c r="A175" s="106"/>
      <c r="B175" s="106"/>
      <c r="C175" s="106"/>
      <c r="D175" s="106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  <c r="AA175" s="1"/>
    </row>
    <row r="176" ht="13.5" customHeight="1">
      <c r="A176" s="106"/>
      <c r="B176" s="106"/>
      <c r="C176" s="106"/>
      <c r="D176" s="106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  <c r="AA176" s="1"/>
    </row>
    <row r="177" ht="13.5" customHeight="1">
      <c r="A177" s="106"/>
      <c r="B177" s="106"/>
      <c r="C177" s="106"/>
      <c r="D177" s="106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  <c r="AA177" s="1"/>
    </row>
    <row r="178" ht="13.5" customHeight="1">
      <c r="A178" s="106"/>
      <c r="B178" s="106"/>
      <c r="C178" s="106"/>
      <c r="D178" s="106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  <c r="AA178" s="1"/>
    </row>
    <row r="179" ht="13.5" customHeight="1">
      <c r="A179" s="106"/>
      <c r="B179" s="106"/>
      <c r="C179" s="106"/>
      <c r="D179" s="106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  <c r="AA179" s="1"/>
    </row>
    <row r="180" ht="13.5" customHeight="1">
      <c r="A180" s="106"/>
      <c r="B180" s="106"/>
      <c r="C180" s="106"/>
      <c r="D180" s="106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  <c r="AA180" s="1"/>
    </row>
    <row r="181" ht="13.5" customHeight="1">
      <c r="A181" s="106"/>
      <c r="B181" s="106"/>
      <c r="C181" s="106"/>
      <c r="D181" s="106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  <c r="AA181" s="1"/>
    </row>
    <row r="182" ht="13.5" customHeight="1">
      <c r="A182" s="106"/>
      <c r="B182" s="106"/>
      <c r="C182" s="106"/>
      <c r="D182" s="106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  <c r="AA182" s="1"/>
    </row>
    <row r="183" ht="13.5" customHeight="1">
      <c r="A183" s="106"/>
      <c r="B183" s="106"/>
      <c r="C183" s="106"/>
      <c r="D183" s="106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  <c r="AA183" s="1"/>
    </row>
    <row r="184" ht="13.5" customHeight="1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  <c r="AA184" s="1"/>
    </row>
    <row r="185" ht="13.5" customHeight="1">
      <c r="A185" s="106"/>
      <c r="B185" s="106"/>
      <c r="C185" s="106"/>
      <c r="D185" s="106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  <c r="AA185" s="1"/>
    </row>
    <row r="186" ht="13.5" customHeight="1">
      <c r="A186" s="106"/>
      <c r="B186" s="106"/>
      <c r="C186" s="106"/>
      <c r="D186" s="106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  <c r="AA186" s="1"/>
    </row>
    <row r="187" ht="13.5" customHeight="1">
      <c r="A187" s="106"/>
      <c r="B187" s="106"/>
      <c r="C187" s="106"/>
      <c r="D187" s="106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  <c r="AA187" s="1"/>
    </row>
    <row r="188" ht="13.5" customHeight="1">
      <c r="A188" s="106"/>
      <c r="B188" s="106"/>
      <c r="C188" s="106"/>
      <c r="D188" s="106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  <c r="AA188" s="1"/>
    </row>
    <row r="189" ht="13.5" customHeight="1">
      <c r="A189" s="106"/>
      <c r="B189" s="106"/>
      <c r="C189" s="106"/>
      <c r="D189" s="106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  <c r="AA189" s="1"/>
    </row>
    <row r="190" ht="13.5" customHeight="1">
      <c r="A190" s="106"/>
      <c r="B190" s="106"/>
      <c r="C190" s="106"/>
      <c r="D190" s="106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  <c r="AA190" s="1"/>
    </row>
    <row r="191" ht="13.5" customHeight="1">
      <c r="A191" s="106"/>
      <c r="B191" s="106"/>
      <c r="C191" s="106"/>
      <c r="D191" s="106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  <c r="AA191" s="1"/>
    </row>
    <row r="192" ht="13.5" customHeight="1">
      <c r="A192" s="106"/>
      <c r="B192" s="106"/>
      <c r="C192" s="106"/>
      <c r="D192" s="106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  <c r="AA192" s="1"/>
    </row>
    <row r="193" ht="13.5" customHeight="1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  <c r="AA193" s="1"/>
    </row>
    <row r="194" ht="13.5" customHeight="1">
      <c r="A194" s="106"/>
      <c r="B194" s="106"/>
      <c r="C194" s="106"/>
      <c r="D194" s="106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  <c r="AA194" s="1"/>
    </row>
    <row r="195" ht="13.5" customHeight="1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  <c r="AA195" s="1"/>
    </row>
    <row r="196" ht="13.5" customHeight="1">
      <c r="A196" s="106"/>
      <c r="B196" s="106"/>
      <c r="C196" s="106"/>
      <c r="D196" s="106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  <c r="AA196" s="1"/>
    </row>
    <row r="197" ht="13.5" customHeight="1">
      <c r="A197" s="106"/>
      <c r="B197" s="106"/>
      <c r="C197" s="106"/>
      <c r="D197" s="106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  <c r="AA197" s="1"/>
    </row>
    <row r="198" ht="13.5" customHeight="1">
      <c r="A198" s="106"/>
      <c r="B198" s="106"/>
      <c r="C198" s="106"/>
      <c r="D198" s="106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  <c r="AA198" s="1"/>
    </row>
    <row r="199" ht="13.5" customHeight="1">
      <c r="A199" s="106"/>
      <c r="B199" s="106"/>
      <c r="C199" s="106"/>
      <c r="D199" s="106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  <c r="AA199" s="1"/>
    </row>
    <row r="200" ht="13.5" customHeight="1">
      <c r="A200" s="106"/>
      <c r="B200" s="106"/>
      <c r="C200" s="106"/>
      <c r="D200" s="106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  <c r="AA200" s="1"/>
    </row>
    <row r="201" ht="13.5" customHeight="1">
      <c r="A201" s="106"/>
      <c r="B201" s="106"/>
      <c r="C201" s="106"/>
      <c r="D201" s="106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  <c r="AA201" s="1"/>
    </row>
    <row r="202" ht="13.5" customHeight="1">
      <c r="A202" s="106"/>
      <c r="B202" s="106"/>
      <c r="C202" s="106"/>
      <c r="D202" s="106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  <c r="AA202" s="1"/>
    </row>
    <row r="203" ht="13.5" customHeight="1">
      <c r="A203" s="106"/>
      <c r="B203" s="106"/>
      <c r="C203" s="106"/>
      <c r="D203" s="106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  <c r="AA203" s="1"/>
    </row>
    <row r="204" ht="13.5" customHeight="1">
      <c r="A204" s="106"/>
      <c r="B204" s="106"/>
      <c r="C204" s="106"/>
      <c r="D204" s="106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  <c r="AA204" s="1"/>
    </row>
    <row r="205" ht="13.5" customHeight="1">
      <c r="A205" s="106"/>
      <c r="B205" s="106"/>
      <c r="C205" s="106"/>
      <c r="D205" s="106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  <c r="AA205" s="1"/>
    </row>
    <row r="206" ht="13.5" customHeight="1">
      <c r="A206" s="106"/>
      <c r="B206" s="106"/>
      <c r="C206" s="106"/>
      <c r="D206" s="106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  <c r="AA206" s="1"/>
    </row>
    <row r="207" ht="13.5" customHeight="1">
      <c r="A207" s="106"/>
      <c r="B207" s="106"/>
      <c r="C207" s="106"/>
      <c r="D207" s="106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  <c r="AA207" s="1"/>
    </row>
    <row r="208" ht="13.5" customHeight="1">
      <c r="A208" s="106"/>
      <c r="B208" s="106"/>
      <c r="C208" s="106"/>
      <c r="D208" s="106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  <c r="AA208" s="1"/>
    </row>
    <row r="209" ht="13.5" customHeight="1">
      <c r="A209" s="106"/>
      <c r="B209" s="106"/>
      <c r="C209" s="106"/>
      <c r="D209" s="106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  <c r="AA209" s="1"/>
    </row>
    <row r="210" ht="13.5" customHeight="1">
      <c r="A210" s="106"/>
      <c r="B210" s="106"/>
      <c r="C210" s="106"/>
      <c r="D210" s="106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  <c r="AA210" s="1"/>
    </row>
    <row r="211" ht="13.5" customHeight="1">
      <c r="A211" s="106"/>
      <c r="B211" s="106"/>
      <c r="C211" s="106"/>
      <c r="D211" s="106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  <c r="AA211" s="1"/>
    </row>
    <row r="212" ht="13.5" customHeight="1">
      <c r="A212" s="106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  <c r="AA212" s="1"/>
    </row>
    <row r="213" ht="13.5" customHeight="1">
      <c r="A213" s="106"/>
      <c r="B213" s="106"/>
      <c r="C213" s="106"/>
      <c r="D213" s="106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  <c r="AA213" s="1"/>
    </row>
    <row r="214" ht="13.5" customHeight="1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  <c r="AA214" s="1"/>
    </row>
    <row r="215" ht="13.5" customHeight="1">
      <c r="A215" s="106"/>
      <c r="B215" s="106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  <c r="AA215" s="1"/>
    </row>
    <row r="216" ht="13.5" customHeight="1">
      <c r="A216" s="106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  <c r="AA216" s="1"/>
    </row>
    <row r="217" ht="13.5" customHeight="1">
      <c r="A217" s="106"/>
      <c r="B217" s="106"/>
      <c r="C217" s="106"/>
      <c r="D217" s="106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  <c r="AA217" s="1"/>
    </row>
    <row r="218" ht="13.5" customHeight="1">
      <c r="A218" s="106"/>
      <c r="B218" s="106"/>
      <c r="C218" s="106"/>
      <c r="D218" s="106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  <c r="AA218" s="1"/>
    </row>
    <row r="219" ht="13.5" customHeight="1">
      <c r="A219" s="106"/>
      <c r="B219" s="106"/>
      <c r="C219" s="106"/>
      <c r="D219" s="106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  <c r="AA219" s="1"/>
    </row>
    <row r="220" ht="13.5" customHeight="1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  <c r="AA220" s="1"/>
    </row>
    <row r="221" ht="13.5" customHeight="1">
      <c r="A221" s="106"/>
      <c r="B221" s="106"/>
      <c r="C221" s="106"/>
      <c r="D221" s="106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  <c r="AA221" s="1"/>
    </row>
    <row r="222" ht="13.5" customHeight="1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  <c r="AA222" s="1"/>
    </row>
    <row r="223" ht="13.5" customHeight="1">
      <c r="A223" s="106"/>
      <c r="B223" s="106"/>
      <c r="C223" s="106"/>
      <c r="D223" s="106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  <c r="AA223" s="1"/>
    </row>
    <row r="224" ht="13.5" customHeight="1">
      <c r="A224" s="106"/>
      <c r="B224" s="106"/>
      <c r="C224" s="106"/>
      <c r="D224" s="106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  <c r="AA224" s="1"/>
    </row>
    <row r="225" ht="13.5" customHeight="1">
      <c r="A225" s="106"/>
      <c r="B225" s="106"/>
      <c r="C225" s="106"/>
      <c r="D225" s="106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  <c r="AA225" s="1"/>
    </row>
    <row r="226" ht="13.5" customHeight="1">
      <c r="A226" s="106"/>
      <c r="B226" s="106"/>
      <c r="C226" s="106"/>
      <c r="D226" s="106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  <c r="AA226" s="1"/>
    </row>
    <row r="227" ht="13.5" customHeight="1">
      <c r="A227" s="106"/>
      <c r="B227" s="106"/>
      <c r="C227" s="106"/>
      <c r="D227" s="106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  <c r="AA227" s="1"/>
    </row>
    <row r="228" ht="13.5" customHeight="1">
      <c r="A228" s="106"/>
      <c r="B228" s="106"/>
      <c r="C228" s="106"/>
      <c r="D228" s="106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  <c r="AA228" s="1"/>
    </row>
    <row r="229" ht="13.5" customHeight="1">
      <c r="A229" s="106"/>
      <c r="B229" s="106"/>
      <c r="C229" s="106"/>
      <c r="D229" s="106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  <c r="AA229" s="1"/>
    </row>
    <row r="230" ht="13.5" customHeight="1">
      <c r="A230" s="106"/>
      <c r="B230" s="106"/>
      <c r="C230" s="106"/>
      <c r="D230" s="106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  <c r="AA230" s="1"/>
    </row>
    <row r="231" ht="13.5" customHeight="1">
      <c r="A231" s="106"/>
      <c r="B231" s="106"/>
      <c r="C231" s="106"/>
      <c r="D231" s="106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  <c r="AA231" s="1"/>
    </row>
    <row r="232" ht="13.5" customHeight="1">
      <c r="A232" s="106"/>
      <c r="B232" s="106"/>
      <c r="C232" s="106"/>
      <c r="D232" s="106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  <c r="AA232" s="1"/>
    </row>
    <row r="233" ht="13.5" customHeight="1">
      <c r="A233" s="106"/>
      <c r="B233" s="106"/>
      <c r="C233" s="106"/>
      <c r="D233" s="106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  <c r="AA233" s="1"/>
    </row>
    <row r="234" ht="13.5" customHeight="1">
      <c r="A234" s="106"/>
      <c r="B234" s="106"/>
      <c r="C234" s="106"/>
      <c r="D234" s="106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  <c r="AA234" s="1"/>
    </row>
    <row r="235" ht="13.5" customHeight="1">
      <c r="A235" s="106"/>
      <c r="B235" s="106"/>
      <c r="C235" s="106"/>
      <c r="D235" s="106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  <c r="AA235" s="1"/>
    </row>
    <row r="236" ht="13.5" customHeight="1">
      <c r="A236" s="106"/>
      <c r="B236" s="106"/>
      <c r="C236" s="106"/>
      <c r="D236" s="106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  <c r="AA236" s="1"/>
    </row>
    <row r="237" ht="13.5" customHeight="1">
      <c r="A237" s="106"/>
      <c r="B237" s="106"/>
      <c r="C237" s="106"/>
      <c r="D237" s="106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  <c r="AA237" s="1"/>
    </row>
    <row r="238" ht="13.5" customHeight="1">
      <c r="A238" s="106"/>
      <c r="B238" s="106"/>
      <c r="C238" s="106"/>
      <c r="D238" s="106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  <c r="AA238" s="1"/>
    </row>
    <row r="239" ht="13.5" customHeight="1">
      <c r="A239" s="106"/>
      <c r="B239" s="106"/>
      <c r="C239" s="106"/>
      <c r="D239" s="106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  <c r="AA239" s="1"/>
    </row>
    <row r="240" ht="13.5" customHeight="1">
      <c r="A240" s="106"/>
      <c r="B240" s="106"/>
      <c r="C240" s="106"/>
      <c r="D240" s="106"/>
      <c r="E240" s="106"/>
      <c r="F240" s="106"/>
      <c r="G240" s="106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  <c r="AA240" s="1"/>
    </row>
    <row r="241" ht="13.5" customHeight="1">
      <c r="A241" s="106"/>
      <c r="B241" s="106"/>
      <c r="C241" s="106"/>
      <c r="D241" s="106"/>
      <c r="E241" s="106"/>
      <c r="F241" s="106"/>
      <c r="G241" s="106"/>
      <c r="H241" s="106"/>
      <c r="I241" s="106"/>
      <c r="J241" s="106"/>
      <c r="K241" s="106"/>
      <c r="L241" s="106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  <c r="Y241" s="106"/>
      <c r="Z241" s="106"/>
      <c r="AA241" s="1"/>
    </row>
    <row r="242" ht="13.5" customHeight="1">
      <c r="A242" s="106"/>
      <c r="B242" s="106"/>
      <c r="C242" s="106"/>
      <c r="D242" s="106"/>
      <c r="E242" s="106"/>
      <c r="F242" s="106"/>
      <c r="G242" s="106"/>
      <c r="H242" s="106"/>
      <c r="I242" s="106"/>
      <c r="J242" s="106"/>
      <c r="K242" s="106"/>
      <c r="L242" s="106"/>
      <c r="M242" s="106"/>
      <c r="N242" s="106"/>
      <c r="O242" s="106"/>
      <c r="P242" s="106"/>
      <c r="Q242" s="106"/>
      <c r="R242" s="106"/>
      <c r="S242" s="106"/>
      <c r="T242" s="106"/>
      <c r="U242" s="106"/>
      <c r="V242" s="106"/>
      <c r="W242" s="106"/>
      <c r="X242" s="106"/>
      <c r="Y242" s="106"/>
      <c r="Z242" s="106"/>
      <c r="AA242" s="1"/>
    </row>
    <row r="243" ht="13.5" customHeight="1">
      <c r="A243" s="106"/>
      <c r="B243" s="106"/>
      <c r="C243" s="106"/>
      <c r="D243" s="106"/>
      <c r="E243" s="106"/>
      <c r="F243" s="106"/>
      <c r="G243" s="106"/>
      <c r="H243" s="106"/>
      <c r="I243" s="106"/>
      <c r="J243" s="106"/>
      <c r="K243" s="106"/>
      <c r="L243" s="106"/>
      <c r="M243" s="106"/>
      <c r="N243" s="106"/>
      <c r="O243" s="106"/>
      <c r="P243" s="106"/>
      <c r="Q243" s="106"/>
      <c r="R243" s="106"/>
      <c r="S243" s="106"/>
      <c r="T243" s="106"/>
      <c r="U243" s="106"/>
      <c r="V243" s="106"/>
      <c r="W243" s="106"/>
      <c r="X243" s="106"/>
      <c r="Y243" s="106"/>
      <c r="Z243" s="106"/>
      <c r="AA243" s="1"/>
    </row>
    <row r="244" ht="13.5" customHeight="1">
      <c r="A244" s="106"/>
      <c r="B244" s="106"/>
      <c r="C244" s="106"/>
      <c r="D244" s="106"/>
      <c r="E244" s="106"/>
      <c r="F244" s="106"/>
      <c r="G244" s="106"/>
      <c r="H244" s="106"/>
      <c r="I244" s="106"/>
      <c r="J244" s="106"/>
      <c r="K244" s="106"/>
      <c r="L244" s="106"/>
      <c r="M244" s="106"/>
      <c r="N244" s="106"/>
      <c r="O244" s="106"/>
      <c r="P244" s="106"/>
      <c r="Q244" s="106"/>
      <c r="R244" s="106"/>
      <c r="S244" s="106"/>
      <c r="T244" s="106"/>
      <c r="U244" s="106"/>
      <c r="V244" s="106"/>
      <c r="W244" s="106"/>
      <c r="X244" s="106"/>
      <c r="Y244" s="106"/>
      <c r="Z244" s="106"/>
      <c r="AA244" s="1"/>
    </row>
    <row r="245" ht="13.5" customHeight="1">
      <c r="A245" s="106"/>
      <c r="B245" s="106"/>
      <c r="C245" s="106"/>
      <c r="D245" s="106"/>
      <c r="E245" s="106"/>
      <c r="F245" s="106"/>
      <c r="G245" s="106"/>
      <c r="H245" s="106"/>
      <c r="I245" s="106"/>
      <c r="J245" s="106"/>
      <c r="K245" s="106"/>
      <c r="L245" s="106"/>
      <c r="M245" s="106"/>
      <c r="N245" s="106"/>
      <c r="O245" s="106"/>
      <c r="P245" s="106"/>
      <c r="Q245" s="106"/>
      <c r="R245" s="106"/>
      <c r="S245" s="106"/>
      <c r="T245" s="106"/>
      <c r="U245" s="106"/>
      <c r="V245" s="106"/>
      <c r="W245" s="106"/>
      <c r="X245" s="106"/>
      <c r="Y245" s="106"/>
      <c r="Z245" s="106"/>
      <c r="AA245" s="1"/>
    </row>
    <row r="246" ht="13.5" customHeight="1">
      <c r="A246" s="106"/>
      <c r="B246" s="106"/>
      <c r="C246" s="106"/>
      <c r="D246" s="106"/>
      <c r="E246" s="106"/>
      <c r="F246" s="106"/>
      <c r="G246" s="106"/>
      <c r="H246" s="106"/>
      <c r="I246" s="106"/>
      <c r="J246" s="106"/>
      <c r="K246" s="106"/>
      <c r="L246" s="106"/>
      <c r="M246" s="106"/>
      <c r="N246" s="106"/>
      <c r="O246" s="106"/>
      <c r="P246" s="106"/>
      <c r="Q246" s="106"/>
      <c r="R246" s="106"/>
      <c r="S246" s="106"/>
      <c r="T246" s="106"/>
      <c r="U246" s="106"/>
      <c r="V246" s="106"/>
      <c r="W246" s="106"/>
      <c r="X246" s="106"/>
      <c r="Y246" s="106"/>
      <c r="Z246" s="106"/>
      <c r="AA246" s="1"/>
    </row>
    <row r="247" ht="13.5" customHeight="1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Z247" s="106"/>
      <c r="AA247" s="1"/>
    </row>
    <row r="248" ht="13.5" customHeight="1">
      <c r="A248" s="106"/>
      <c r="B248" s="106"/>
      <c r="C248" s="106"/>
      <c r="D248" s="106"/>
      <c r="E248" s="106"/>
      <c r="F248" s="106"/>
      <c r="G248" s="106"/>
      <c r="H248" s="106"/>
      <c r="I248" s="106"/>
      <c r="J248" s="106"/>
      <c r="K248" s="106"/>
      <c r="L248" s="106"/>
      <c r="M248" s="106"/>
      <c r="N248" s="106"/>
      <c r="O248" s="106"/>
      <c r="P248" s="106"/>
      <c r="Q248" s="106"/>
      <c r="R248" s="106"/>
      <c r="S248" s="106"/>
      <c r="T248" s="106"/>
      <c r="U248" s="106"/>
      <c r="V248" s="106"/>
      <c r="W248" s="106"/>
      <c r="X248" s="106"/>
      <c r="Y248" s="106"/>
      <c r="Z248" s="106"/>
      <c r="AA248" s="1"/>
    </row>
    <row r="249" ht="13.5" customHeight="1">
      <c r="A249" s="106"/>
      <c r="B249" s="106"/>
      <c r="C249" s="106"/>
      <c r="D249" s="106"/>
      <c r="E249" s="106"/>
      <c r="F249" s="106"/>
      <c r="G249" s="106"/>
      <c r="H249" s="106"/>
      <c r="I249" s="106"/>
      <c r="J249" s="106"/>
      <c r="K249" s="106"/>
      <c r="L249" s="106"/>
      <c r="M249" s="106"/>
      <c r="N249" s="106"/>
      <c r="O249" s="106"/>
      <c r="P249" s="106"/>
      <c r="Q249" s="106"/>
      <c r="R249" s="106"/>
      <c r="S249" s="106"/>
      <c r="T249" s="106"/>
      <c r="U249" s="106"/>
      <c r="V249" s="106"/>
      <c r="W249" s="106"/>
      <c r="X249" s="106"/>
      <c r="Y249" s="106"/>
      <c r="Z249" s="106"/>
      <c r="AA249" s="1"/>
    </row>
    <row r="250" ht="13.5" customHeight="1">
      <c r="A250" s="106"/>
      <c r="B250" s="106"/>
      <c r="C250" s="106"/>
      <c r="D250" s="106"/>
      <c r="E250" s="106"/>
      <c r="F250" s="106"/>
      <c r="G250" s="106"/>
      <c r="H250" s="106"/>
      <c r="I250" s="106"/>
      <c r="J250" s="106"/>
      <c r="K250" s="106"/>
      <c r="L250" s="106"/>
      <c r="M250" s="106"/>
      <c r="N250" s="106"/>
      <c r="O250" s="106"/>
      <c r="P250" s="106"/>
      <c r="Q250" s="106"/>
      <c r="R250" s="106"/>
      <c r="S250" s="106"/>
      <c r="T250" s="106"/>
      <c r="U250" s="106"/>
      <c r="V250" s="106"/>
      <c r="W250" s="106"/>
      <c r="X250" s="106"/>
      <c r="Y250" s="106"/>
      <c r="Z250" s="106"/>
      <c r="AA250" s="1"/>
    </row>
    <row r="251" ht="13.5" customHeight="1">
      <c r="A251" s="106"/>
      <c r="B251" s="106"/>
      <c r="C251" s="106"/>
      <c r="D251" s="106"/>
      <c r="E251" s="106"/>
      <c r="F251" s="106"/>
      <c r="G251" s="106"/>
      <c r="H251" s="106"/>
      <c r="I251" s="106"/>
      <c r="J251" s="106"/>
      <c r="K251" s="106"/>
      <c r="L251" s="106"/>
      <c r="M251" s="106"/>
      <c r="N251" s="106"/>
      <c r="O251" s="106"/>
      <c r="P251" s="106"/>
      <c r="Q251" s="106"/>
      <c r="R251" s="106"/>
      <c r="S251" s="106"/>
      <c r="T251" s="106"/>
      <c r="U251" s="106"/>
      <c r="V251" s="106"/>
      <c r="W251" s="106"/>
      <c r="X251" s="106"/>
      <c r="Y251" s="106"/>
      <c r="Z251" s="106"/>
      <c r="AA251" s="1"/>
    </row>
    <row r="252" ht="13.5" customHeight="1">
      <c r="A252" s="106"/>
      <c r="B252" s="106"/>
      <c r="C252" s="106"/>
      <c r="D252" s="106"/>
      <c r="E252" s="106"/>
      <c r="F252" s="106"/>
      <c r="G252" s="106"/>
      <c r="H252" s="106"/>
      <c r="I252" s="106"/>
      <c r="J252" s="106"/>
      <c r="K252" s="106"/>
      <c r="L252" s="106"/>
      <c r="M252" s="106"/>
      <c r="N252" s="106"/>
      <c r="O252" s="106"/>
      <c r="P252" s="106"/>
      <c r="Q252" s="106"/>
      <c r="R252" s="106"/>
      <c r="S252" s="106"/>
      <c r="T252" s="106"/>
      <c r="U252" s="106"/>
      <c r="V252" s="106"/>
      <c r="W252" s="106"/>
      <c r="X252" s="106"/>
      <c r="Y252" s="106"/>
      <c r="Z252" s="106"/>
      <c r="AA252" s="1"/>
    </row>
    <row r="253" ht="13.5" customHeight="1">
      <c r="A253" s="106"/>
      <c r="B253" s="106"/>
      <c r="C253" s="106"/>
      <c r="D253" s="106"/>
      <c r="E253" s="106"/>
      <c r="F253" s="106"/>
      <c r="G253" s="106"/>
      <c r="H253" s="106"/>
      <c r="I253" s="106"/>
      <c r="J253" s="106"/>
      <c r="K253" s="106"/>
      <c r="L253" s="106"/>
      <c r="M253" s="106"/>
      <c r="N253" s="106"/>
      <c r="O253" s="106"/>
      <c r="P253" s="106"/>
      <c r="Q253" s="106"/>
      <c r="R253" s="106"/>
      <c r="S253" s="106"/>
      <c r="T253" s="106"/>
      <c r="U253" s="106"/>
      <c r="V253" s="106"/>
      <c r="W253" s="106"/>
      <c r="X253" s="106"/>
      <c r="Y253" s="106"/>
      <c r="Z253" s="106"/>
      <c r="AA253" s="1"/>
    </row>
    <row r="254" ht="13.5" customHeight="1">
      <c r="A254" s="106"/>
      <c r="B254" s="106"/>
      <c r="C254" s="106"/>
      <c r="D254" s="106"/>
      <c r="E254" s="106"/>
      <c r="F254" s="106"/>
      <c r="G254" s="106"/>
      <c r="H254" s="106"/>
      <c r="I254" s="106"/>
      <c r="J254" s="106"/>
      <c r="K254" s="106"/>
      <c r="L254" s="106"/>
      <c r="M254" s="106"/>
      <c r="N254" s="106"/>
      <c r="O254" s="106"/>
      <c r="P254" s="106"/>
      <c r="Q254" s="106"/>
      <c r="R254" s="106"/>
      <c r="S254" s="106"/>
      <c r="T254" s="106"/>
      <c r="U254" s="106"/>
      <c r="V254" s="106"/>
      <c r="W254" s="106"/>
      <c r="X254" s="106"/>
      <c r="Y254" s="106"/>
      <c r="Z254" s="106"/>
      <c r="AA254" s="1"/>
    </row>
    <row r="255" ht="13.5" customHeight="1">
      <c r="A255" s="106"/>
      <c r="B255" s="106"/>
      <c r="C255" s="106"/>
      <c r="D255" s="106"/>
      <c r="E255" s="106"/>
      <c r="F255" s="106"/>
      <c r="G255" s="106"/>
      <c r="H255" s="106"/>
      <c r="I255" s="106"/>
      <c r="J255" s="106"/>
      <c r="K255" s="106"/>
      <c r="L255" s="106"/>
      <c r="M255" s="106"/>
      <c r="N255" s="106"/>
      <c r="O255" s="106"/>
      <c r="P255" s="106"/>
      <c r="Q255" s="106"/>
      <c r="R255" s="106"/>
      <c r="S255" s="106"/>
      <c r="T255" s="106"/>
      <c r="U255" s="106"/>
      <c r="V255" s="106"/>
      <c r="W255" s="106"/>
      <c r="X255" s="106"/>
      <c r="Y255" s="106"/>
      <c r="Z255" s="106"/>
      <c r="AA255" s="1"/>
    </row>
    <row r="256" ht="13.5" customHeight="1">
      <c r="A256" s="106"/>
      <c r="B256" s="106"/>
      <c r="C256" s="106"/>
      <c r="D256" s="106"/>
      <c r="E256" s="106"/>
      <c r="F256" s="106"/>
      <c r="G256" s="106"/>
      <c r="H256" s="106"/>
      <c r="I256" s="106"/>
      <c r="J256" s="106"/>
      <c r="K256" s="106"/>
      <c r="L256" s="106"/>
      <c r="M256" s="106"/>
      <c r="N256" s="106"/>
      <c r="O256" s="106"/>
      <c r="P256" s="106"/>
      <c r="Q256" s="106"/>
      <c r="R256" s="106"/>
      <c r="S256" s="106"/>
      <c r="T256" s="106"/>
      <c r="U256" s="106"/>
      <c r="V256" s="106"/>
      <c r="W256" s="106"/>
      <c r="X256" s="106"/>
      <c r="Y256" s="106"/>
      <c r="Z256" s="106"/>
      <c r="AA256" s="1"/>
    </row>
    <row r="257" ht="13.5" customHeight="1">
      <c r="A257" s="106"/>
      <c r="B257" s="106"/>
      <c r="C257" s="106"/>
      <c r="D257" s="106"/>
      <c r="E257" s="106"/>
      <c r="F257" s="106"/>
      <c r="G257" s="106"/>
      <c r="H257" s="106"/>
      <c r="I257" s="106"/>
      <c r="J257" s="106"/>
      <c r="K257" s="106"/>
      <c r="L257" s="106"/>
      <c r="M257" s="106"/>
      <c r="N257" s="106"/>
      <c r="O257" s="106"/>
      <c r="P257" s="106"/>
      <c r="Q257" s="106"/>
      <c r="R257" s="106"/>
      <c r="S257" s="106"/>
      <c r="T257" s="106"/>
      <c r="U257" s="106"/>
      <c r="V257" s="106"/>
      <c r="W257" s="106"/>
      <c r="X257" s="106"/>
      <c r="Y257" s="106"/>
      <c r="Z257" s="106"/>
    </row>
    <row r="258" ht="13.5" customHeight="1">
      <c r="A258" s="106"/>
      <c r="B258" s="106"/>
      <c r="C258" s="106"/>
      <c r="D258" s="106"/>
      <c r="E258" s="106"/>
      <c r="F258" s="106"/>
      <c r="G258" s="106"/>
      <c r="H258" s="106"/>
      <c r="I258" s="106"/>
      <c r="J258" s="106"/>
      <c r="K258" s="106"/>
      <c r="L258" s="106"/>
      <c r="M258" s="106"/>
      <c r="N258" s="106"/>
      <c r="O258" s="106"/>
      <c r="P258" s="106"/>
      <c r="Q258" s="106"/>
      <c r="R258" s="106"/>
      <c r="S258" s="106"/>
      <c r="T258" s="106"/>
      <c r="U258" s="106"/>
      <c r="V258" s="106"/>
      <c r="W258" s="106"/>
      <c r="X258" s="106"/>
      <c r="Y258" s="106"/>
      <c r="Z258" s="106"/>
    </row>
    <row r="259" ht="15.75" customHeight="1">
      <c r="A259" s="106"/>
      <c r="B259" s="106"/>
      <c r="C259" s="106"/>
      <c r="D259" s="106"/>
      <c r="E259" s="106"/>
      <c r="F259" s="106"/>
      <c r="G259" s="106"/>
      <c r="H259" s="106"/>
      <c r="I259" s="106"/>
      <c r="J259" s="106"/>
      <c r="K259" s="106"/>
      <c r="L259" s="106"/>
      <c r="M259" s="106"/>
      <c r="N259" s="106"/>
      <c r="O259" s="106"/>
      <c r="P259" s="106"/>
      <c r="Q259" s="106"/>
      <c r="R259" s="106"/>
      <c r="S259" s="106"/>
      <c r="T259" s="106"/>
      <c r="U259" s="106"/>
      <c r="V259" s="106"/>
      <c r="W259" s="106"/>
      <c r="X259" s="106"/>
      <c r="Y259" s="106"/>
      <c r="Z259" s="106"/>
    </row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</sheetData>
  <mergeCells count="29">
    <mergeCell ref="F14:F15"/>
    <mergeCell ref="G14:G15"/>
    <mergeCell ref="G53:G54"/>
    <mergeCell ref="I53:J54"/>
    <mergeCell ref="K53:K54"/>
    <mergeCell ref="L53:L54"/>
    <mergeCell ref="A9:L9"/>
    <mergeCell ref="E10:L10"/>
    <mergeCell ref="A13:B13"/>
    <mergeCell ref="C13:D13"/>
    <mergeCell ref="H13:H15"/>
    <mergeCell ref="I13:I14"/>
    <mergeCell ref="J13:L14"/>
    <mergeCell ref="J15:L15"/>
    <mergeCell ref="B57:C57"/>
    <mergeCell ref="B58:C58"/>
    <mergeCell ref="G58:G59"/>
    <mergeCell ref="I58:J59"/>
    <mergeCell ref="K58:K59"/>
    <mergeCell ref="L58:L59"/>
    <mergeCell ref="B59:C59"/>
    <mergeCell ref="E61:G61"/>
    <mergeCell ref="B14:D14"/>
    <mergeCell ref="E14:E15"/>
    <mergeCell ref="B16:D16"/>
    <mergeCell ref="B53:C53"/>
    <mergeCell ref="B54:C54"/>
    <mergeCell ref="B55:C55"/>
    <mergeCell ref="B56:C56"/>
  </mergeCells>
  <conditionalFormatting sqref="B28:D28 B30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 B30:D30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K17:L51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27" width="10.71"/>
  </cols>
  <sheetData>
    <row r="1" ht="13.5" customHeight="1">
      <c r="A1" s="106"/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"/>
    </row>
    <row r="2" ht="15.0" customHeight="1">
      <c r="A2" s="107"/>
      <c r="B2" s="108"/>
      <c r="C2" s="108"/>
      <c r="D2" s="108"/>
      <c r="E2" s="109"/>
      <c r="F2" s="109"/>
      <c r="G2" s="109"/>
      <c r="H2" s="109"/>
      <c r="I2" s="109"/>
      <c r="J2" s="109"/>
      <c r="K2" s="109"/>
      <c r="L2" s="110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"/>
    </row>
    <row r="3" ht="15.0" customHeight="1">
      <c r="A3" s="111"/>
      <c r="B3" s="112"/>
      <c r="C3" s="112"/>
      <c r="D3" s="112"/>
      <c r="E3" s="106"/>
      <c r="F3" s="106"/>
      <c r="G3" s="106"/>
      <c r="H3" s="106"/>
      <c r="I3" s="106"/>
      <c r="J3" s="106"/>
      <c r="K3" s="106"/>
      <c r="L3" s="113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"/>
    </row>
    <row r="4" ht="15.0" customHeight="1">
      <c r="A4" s="111"/>
      <c r="B4" s="112"/>
      <c r="C4" s="112"/>
      <c r="D4" s="112"/>
      <c r="E4" s="106"/>
      <c r="F4" s="106"/>
      <c r="G4" s="106"/>
      <c r="H4" s="106"/>
      <c r="I4" s="106"/>
      <c r="J4" s="106"/>
      <c r="K4" s="106"/>
      <c r="L4" s="113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  <c r="AA4" s="1"/>
    </row>
    <row r="5" ht="15.0" customHeight="1">
      <c r="A5" s="111"/>
      <c r="B5" s="112"/>
      <c r="C5" s="112"/>
      <c r="D5" s="112"/>
      <c r="E5" s="106"/>
      <c r="F5" s="106"/>
      <c r="G5" s="106"/>
      <c r="H5" s="106"/>
      <c r="I5" s="106"/>
      <c r="J5" s="106"/>
      <c r="K5" s="106"/>
      <c r="L5" s="113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"/>
    </row>
    <row r="6" ht="15.0" customHeight="1">
      <c r="A6" s="111"/>
      <c r="B6" s="112"/>
      <c r="C6" s="112"/>
      <c r="D6" s="112"/>
      <c r="E6" s="106"/>
      <c r="F6" s="106"/>
      <c r="G6" s="106"/>
      <c r="H6" s="106"/>
      <c r="I6" s="106"/>
      <c r="J6" s="106"/>
      <c r="K6" s="106"/>
      <c r="L6" s="113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  <c r="AA6" s="1"/>
    </row>
    <row r="7" ht="15.0" customHeight="1">
      <c r="A7" s="111"/>
      <c r="B7" s="112"/>
      <c r="C7" s="112"/>
      <c r="D7" s="112"/>
      <c r="E7" s="106"/>
      <c r="F7" s="106"/>
      <c r="G7" s="106"/>
      <c r="H7" s="106"/>
      <c r="I7" s="106"/>
      <c r="J7" s="106"/>
      <c r="K7" s="106"/>
      <c r="L7" s="113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"/>
    </row>
    <row r="8" ht="9.75" customHeight="1">
      <c r="A8" s="111"/>
      <c r="B8" s="112"/>
      <c r="C8" s="112"/>
      <c r="D8" s="112"/>
      <c r="E8" s="106"/>
      <c r="F8" s="106"/>
      <c r="G8" s="106"/>
      <c r="H8" s="106"/>
      <c r="I8" s="106"/>
      <c r="J8" s="106"/>
      <c r="K8" s="106"/>
      <c r="L8" s="113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  <c r="AA8" s="1"/>
    </row>
    <row r="9" ht="23.25" customHeight="1">
      <c r="A9" s="114" t="s">
        <v>0</v>
      </c>
      <c r="L9" s="10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  <c r="AA9" s="1"/>
    </row>
    <row r="10" ht="9.75" customHeight="1">
      <c r="A10" s="111"/>
      <c r="B10" s="112"/>
      <c r="C10" s="112"/>
      <c r="D10" s="112"/>
      <c r="E10" s="115"/>
      <c r="L10" s="10"/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  <c r="AA10" s="1"/>
    </row>
    <row r="11" ht="19.5" customHeight="1">
      <c r="A11" s="111"/>
      <c r="B11" s="116" t="s">
        <v>1</v>
      </c>
      <c r="C11" s="112"/>
      <c r="D11" s="112"/>
      <c r="E11" s="106"/>
      <c r="F11" s="106"/>
      <c r="G11" s="106"/>
      <c r="H11" s="106"/>
      <c r="I11" s="106"/>
      <c r="J11" s="106"/>
      <c r="K11" s="106"/>
      <c r="L11" s="113"/>
      <c r="M11" s="106"/>
      <c r="N11" s="106"/>
      <c r="O11" s="106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  <c r="AA11" s="1"/>
    </row>
    <row r="12" ht="12.75" customHeight="1">
      <c r="A12" s="111"/>
      <c r="B12" s="112"/>
      <c r="C12" s="112"/>
      <c r="D12" s="112"/>
      <c r="E12" s="106"/>
      <c r="F12" s="106"/>
      <c r="G12" s="106"/>
      <c r="H12" s="106"/>
      <c r="I12" s="106"/>
      <c r="J12" s="106"/>
      <c r="K12" s="106"/>
      <c r="L12" s="113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"/>
    </row>
    <row r="13" ht="32.25" customHeight="1">
      <c r="A13" s="117" t="s">
        <v>2</v>
      </c>
      <c r="B13" s="17"/>
      <c r="C13" s="118"/>
      <c r="D13" s="17"/>
      <c r="E13" s="19" t="s">
        <v>3</v>
      </c>
      <c r="F13" s="19" t="s">
        <v>4</v>
      </c>
      <c r="G13" s="20" t="s">
        <v>5</v>
      </c>
      <c r="H13" s="119" t="s">
        <v>6</v>
      </c>
      <c r="I13" s="120">
        <v>1.0</v>
      </c>
      <c r="J13" s="23" t="s">
        <v>7</v>
      </c>
      <c r="K13" s="24"/>
      <c r="L13" s="25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  <c r="AA13" s="1"/>
    </row>
    <row r="14" ht="35.25" customHeight="1">
      <c r="A14" s="121" t="s">
        <v>8</v>
      </c>
      <c r="B14" s="122" t="s">
        <v>135</v>
      </c>
      <c r="C14" s="28"/>
      <c r="D14" s="29"/>
      <c r="E14" s="30" t="s">
        <v>10</v>
      </c>
      <c r="F14" s="30" t="s">
        <v>11</v>
      </c>
      <c r="G14" s="31" t="s">
        <v>12</v>
      </c>
      <c r="H14" s="32"/>
      <c r="I14" s="33"/>
      <c r="J14" s="34"/>
      <c r="K14" s="35"/>
      <c r="L14" s="36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  <c r="AA14" s="1"/>
    </row>
    <row r="15" ht="24.75" customHeight="1">
      <c r="A15" s="123" t="s">
        <v>13</v>
      </c>
      <c r="B15" s="124" t="s">
        <v>14</v>
      </c>
      <c r="C15" s="125" t="s">
        <v>15</v>
      </c>
      <c r="D15" s="125">
        <v>3.0</v>
      </c>
      <c r="E15" s="33"/>
      <c r="F15" s="33"/>
      <c r="G15" s="33"/>
      <c r="H15" s="40"/>
      <c r="I15" s="126"/>
      <c r="J15" s="127"/>
      <c r="K15" s="28"/>
      <c r="L15" s="43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  <c r="AA15" s="1"/>
    </row>
    <row r="16" ht="40.5" customHeight="1">
      <c r="A16" s="128" t="s">
        <v>16</v>
      </c>
      <c r="B16" s="129" t="s">
        <v>17</v>
      </c>
      <c r="C16" s="28"/>
      <c r="D16" s="29"/>
      <c r="E16" s="47"/>
      <c r="F16" s="47"/>
      <c r="G16" s="47"/>
      <c r="H16" s="130"/>
      <c r="I16" s="131" t="s">
        <v>18</v>
      </c>
      <c r="J16" s="132" t="s">
        <v>19</v>
      </c>
      <c r="K16" s="132" t="s">
        <v>20</v>
      </c>
      <c r="L16" s="133" t="s">
        <v>21</v>
      </c>
      <c r="M16" s="132" t="s">
        <v>20</v>
      </c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  <c r="AA16" s="1"/>
    </row>
    <row r="17" ht="24.75" customHeight="1">
      <c r="A17" s="134">
        <v>1.0</v>
      </c>
      <c r="B17" s="53" t="s">
        <v>22</v>
      </c>
      <c r="C17" s="53" t="s">
        <v>23</v>
      </c>
      <c r="D17" s="54" t="s">
        <v>24</v>
      </c>
      <c r="E17" s="135"/>
      <c r="F17" s="135"/>
      <c r="G17" s="135"/>
      <c r="H17" s="135"/>
      <c r="I17" s="136">
        <f t="shared" ref="I17:I51" si="1">SUM(E17:H17)</f>
        <v>0</v>
      </c>
      <c r="J17" s="137"/>
      <c r="K17" s="138">
        <f t="shared" ref="K17:K51" si="2">IF(M17&lt;6,5,M17)</f>
        <v>5</v>
      </c>
      <c r="L17" s="139"/>
      <c r="M17" s="140">
        <f t="shared" ref="M17:M51" si="3">IF(I17&gt;=6,ROUND(I17,0),TRUNC(I17,0))</f>
        <v>0</v>
      </c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  <c r="AA17" s="1"/>
    </row>
    <row r="18" ht="24.75" customHeight="1">
      <c r="A18" s="134">
        <v>2.0</v>
      </c>
      <c r="B18" s="53" t="s">
        <v>25</v>
      </c>
      <c r="C18" s="53" t="s">
        <v>26</v>
      </c>
      <c r="D18" s="54" t="s">
        <v>27</v>
      </c>
      <c r="E18" s="135"/>
      <c r="F18" s="135"/>
      <c r="G18" s="135"/>
      <c r="H18" s="135"/>
      <c r="I18" s="136">
        <f t="shared" si="1"/>
        <v>0</v>
      </c>
      <c r="J18" s="137"/>
      <c r="K18" s="138">
        <f t="shared" si="2"/>
        <v>5</v>
      </c>
      <c r="L18" s="137"/>
      <c r="M18" s="140">
        <f t="shared" si="3"/>
        <v>0</v>
      </c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6"/>
      <c r="AA18" s="1"/>
    </row>
    <row r="19" ht="24.75" customHeight="1">
      <c r="A19" s="134">
        <v>3.0</v>
      </c>
      <c r="B19" s="53" t="s">
        <v>28</v>
      </c>
      <c r="C19" s="53" t="s">
        <v>29</v>
      </c>
      <c r="D19" s="54" t="s">
        <v>30</v>
      </c>
      <c r="E19" s="135"/>
      <c r="F19" s="135"/>
      <c r="G19" s="135"/>
      <c r="H19" s="135"/>
      <c r="I19" s="136">
        <f t="shared" si="1"/>
        <v>0</v>
      </c>
      <c r="J19" s="137"/>
      <c r="K19" s="138">
        <f t="shared" si="2"/>
        <v>5</v>
      </c>
      <c r="L19" s="137"/>
      <c r="M19" s="140">
        <f t="shared" si="3"/>
        <v>0</v>
      </c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  <c r="AA19" s="1"/>
    </row>
    <row r="20" ht="24.75" customHeight="1">
      <c r="A20" s="134">
        <v>4.0</v>
      </c>
      <c r="B20" s="53" t="s">
        <v>31</v>
      </c>
      <c r="C20" s="53" t="s">
        <v>32</v>
      </c>
      <c r="D20" s="54" t="s">
        <v>33</v>
      </c>
      <c r="E20" s="135"/>
      <c r="F20" s="135"/>
      <c r="G20" s="135"/>
      <c r="H20" s="135"/>
      <c r="I20" s="136">
        <f t="shared" si="1"/>
        <v>0</v>
      </c>
      <c r="J20" s="137"/>
      <c r="K20" s="138">
        <f t="shared" si="2"/>
        <v>5</v>
      </c>
      <c r="L20" s="137"/>
      <c r="M20" s="140">
        <f t="shared" si="3"/>
        <v>0</v>
      </c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  <c r="AA20" s="1"/>
    </row>
    <row r="21" ht="24.75" customHeight="1">
      <c r="A21" s="134">
        <v>5.0</v>
      </c>
      <c r="B21" s="53" t="s">
        <v>34</v>
      </c>
      <c r="C21" s="53" t="s">
        <v>35</v>
      </c>
      <c r="D21" s="54" t="s">
        <v>36</v>
      </c>
      <c r="E21" s="135"/>
      <c r="F21" s="135"/>
      <c r="G21" s="135"/>
      <c r="H21" s="135"/>
      <c r="I21" s="136">
        <f t="shared" si="1"/>
        <v>0</v>
      </c>
      <c r="J21" s="137"/>
      <c r="K21" s="138">
        <f t="shared" si="2"/>
        <v>5</v>
      </c>
      <c r="L21" s="137"/>
      <c r="M21" s="140">
        <f t="shared" si="3"/>
        <v>0</v>
      </c>
      <c r="N21" s="106"/>
      <c r="O21" s="106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  <c r="AA21" s="1"/>
    </row>
    <row r="22" ht="24.75" customHeight="1">
      <c r="A22" s="134">
        <v>6.0</v>
      </c>
      <c r="B22" s="53" t="s">
        <v>37</v>
      </c>
      <c r="C22" s="53" t="s">
        <v>38</v>
      </c>
      <c r="D22" s="54" t="s">
        <v>39</v>
      </c>
      <c r="E22" s="135"/>
      <c r="F22" s="135"/>
      <c r="G22" s="135"/>
      <c r="H22" s="135"/>
      <c r="I22" s="136">
        <f t="shared" si="1"/>
        <v>0</v>
      </c>
      <c r="J22" s="137"/>
      <c r="K22" s="138">
        <f t="shared" si="2"/>
        <v>5</v>
      </c>
      <c r="L22" s="137"/>
      <c r="M22" s="140">
        <f t="shared" si="3"/>
        <v>0</v>
      </c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  <c r="AA22" s="1"/>
    </row>
    <row r="23" ht="24.75" customHeight="1">
      <c r="A23" s="134">
        <v>7.0</v>
      </c>
      <c r="B23" s="53" t="s">
        <v>37</v>
      </c>
      <c r="C23" s="53" t="s">
        <v>40</v>
      </c>
      <c r="D23" s="54" t="s">
        <v>41</v>
      </c>
      <c r="E23" s="135"/>
      <c r="F23" s="135"/>
      <c r="G23" s="135"/>
      <c r="H23" s="135"/>
      <c r="I23" s="136">
        <f t="shared" si="1"/>
        <v>0</v>
      </c>
      <c r="J23" s="137"/>
      <c r="K23" s="138">
        <f t="shared" si="2"/>
        <v>5</v>
      </c>
      <c r="L23" s="137"/>
      <c r="M23" s="140">
        <f t="shared" si="3"/>
        <v>0</v>
      </c>
      <c r="N23" s="106"/>
      <c r="O23" s="106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  <c r="AA23" s="1"/>
    </row>
    <row r="24" ht="24.75" customHeight="1">
      <c r="A24" s="134">
        <v>8.0</v>
      </c>
      <c r="B24" s="53" t="s">
        <v>42</v>
      </c>
      <c r="C24" s="53" t="s">
        <v>43</v>
      </c>
      <c r="D24" s="54" t="s">
        <v>44</v>
      </c>
      <c r="E24" s="135"/>
      <c r="F24" s="135"/>
      <c r="G24" s="135"/>
      <c r="H24" s="135"/>
      <c r="I24" s="136">
        <f t="shared" si="1"/>
        <v>0</v>
      </c>
      <c r="J24" s="137"/>
      <c r="K24" s="138">
        <f t="shared" si="2"/>
        <v>5</v>
      </c>
      <c r="L24" s="137"/>
      <c r="M24" s="140">
        <f t="shared" si="3"/>
        <v>0</v>
      </c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  <c r="AA24" s="1"/>
    </row>
    <row r="25" ht="24.75" customHeight="1">
      <c r="A25" s="134">
        <v>9.0</v>
      </c>
      <c r="B25" s="53" t="s">
        <v>45</v>
      </c>
      <c r="C25" s="53" t="s">
        <v>46</v>
      </c>
      <c r="D25" s="54" t="s">
        <v>47</v>
      </c>
      <c r="E25" s="135"/>
      <c r="F25" s="135"/>
      <c r="G25" s="135"/>
      <c r="H25" s="135"/>
      <c r="I25" s="136">
        <f t="shared" si="1"/>
        <v>0</v>
      </c>
      <c r="J25" s="137"/>
      <c r="K25" s="138">
        <f t="shared" si="2"/>
        <v>5</v>
      </c>
      <c r="L25" s="137"/>
      <c r="M25" s="140">
        <f t="shared" si="3"/>
        <v>0</v>
      </c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  <c r="AA25" s="1"/>
    </row>
    <row r="26" ht="24.75" customHeight="1">
      <c r="A26" s="134">
        <v>10.0</v>
      </c>
      <c r="B26" s="53" t="s">
        <v>48</v>
      </c>
      <c r="C26" s="53" t="s">
        <v>49</v>
      </c>
      <c r="D26" s="54" t="s">
        <v>50</v>
      </c>
      <c r="E26" s="135"/>
      <c r="F26" s="135"/>
      <c r="G26" s="135"/>
      <c r="H26" s="135"/>
      <c r="I26" s="136">
        <f t="shared" si="1"/>
        <v>0</v>
      </c>
      <c r="J26" s="137"/>
      <c r="K26" s="138">
        <f t="shared" si="2"/>
        <v>5</v>
      </c>
      <c r="L26" s="137"/>
      <c r="M26" s="140">
        <f t="shared" si="3"/>
        <v>0</v>
      </c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"/>
    </row>
    <row r="27" ht="24.75" customHeight="1">
      <c r="A27" s="134">
        <v>11.0</v>
      </c>
      <c r="B27" s="53" t="s">
        <v>48</v>
      </c>
      <c r="C27" s="53" t="s">
        <v>51</v>
      </c>
      <c r="D27" s="53" t="s">
        <v>52</v>
      </c>
      <c r="E27" s="135"/>
      <c r="F27" s="135"/>
      <c r="G27" s="135"/>
      <c r="H27" s="135"/>
      <c r="I27" s="136">
        <f t="shared" si="1"/>
        <v>0</v>
      </c>
      <c r="J27" s="137"/>
      <c r="K27" s="138">
        <f t="shared" si="2"/>
        <v>5</v>
      </c>
      <c r="L27" s="137"/>
      <c r="M27" s="140">
        <f t="shared" si="3"/>
        <v>0</v>
      </c>
      <c r="N27" s="106"/>
      <c r="O27" s="106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  <c r="AA27" s="1"/>
    </row>
    <row r="28" ht="24.75" customHeight="1">
      <c r="A28" s="134">
        <v>12.0</v>
      </c>
      <c r="B28" s="53" t="s">
        <v>53</v>
      </c>
      <c r="C28" s="53" t="s">
        <v>54</v>
      </c>
      <c r="D28" s="54" t="s">
        <v>55</v>
      </c>
      <c r="E28" s="135"/>
      <c r="F28" s="135"/>
      <c r="G28" s="135"/>
      <c r="H28" s="135"/>
      <c r="I28" s="136">
        <f t="shared" si="1"/>
        <v>0</v>
      </c>
      <c r="J28" s="137"/>
      <c r="K28" s="138">
        <f t="shared" si="2"/>
        <v>5</v>
      </c>
      <c r="L28" s="137"/>
      <c r="M28" s="140">
        <f t="shared" si="3"/>
        <v>0</v>
      </c>
      <c r="N28" s="106"/>
      <c r="O28" s="106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  <c r="AA28" s="1"/>
    </row>
    <row r="29" ht="24.75" customHeight="1">
      <c r="A29" s="134">
        <v>13.0</v>
      </c>
      <c r="B29" s="53" t="s">
        <v>56</v>
      </c>
      <c r="C29" s="53" t="s">
        <v>57</v>
      </c>
      <c r="D29" s="54" t="s">
        <v>58</v>
      </c>
      <c r="E29" s="135"/>
      <c r="F29" s="135"/>
      <c r="G29" s="135"/>
      <c r="H29" s="135"/>
      <c r="I29" s="136">
        <f t="shared" si="1"/>
        <v>0</v>
      </c>
      <c r="J29" s="137"/>
      <c r="K29" s="138">
        <f t="shared" si="2"/>
        <v>5</v>
      </c>
      <c r="L29" s="137"/>
      <c r="M29" s="140">
        <f t="shared" si="3"/>
        <v>0</v>
      </c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  <c r="AA29" s="1"/>
    </row>
    <row r="30" ht="24.75" customHeight="1">
      <c r="A30" s="134">
        <v>14.0</v>
      </c>
      <c r="B30" s="53" t="s">
        <v>57</v>
      </c>
      <c r="C30" s="53" t="s">
        <v>59</v>
      </c>
      <c r="D30" s="54" t="s">
        <v>60</v>
      </c>
      <c r="E30" s="135"/>
      <c r="F30" s="135"/>
      <c r="G30" s="135"/>
      <c r="H30" s="135"/>
      <c r="I30" s="136">
        <f t="shared" si="1"/>
        <v>0</v>
      </c>
      <c r="J30" s="137"/>
      <c r="K30" s="138">
        <f t="shared" si="2"/>
        <v>5</v>
      </c>
      <c r="L30" s="137"/>
      <c r="M30" s="140">
        <f t="shared" si="3"/>
        <v>0</v>
      </c>
      <c r="N30" s="106"/>
      <c r="O30" s="106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  <c r="AA30" s="1"/>
    </row>
    <row r="31" ht="24.75" customHeight="1">
      <c r="A31" s="134">
        <v>15.0</v>
      </c>
      <c r="B31" s="53" t="s">
        <v>61</v>
      </c>
      <c r="C31" s="53" t="s">
        <v>62</v>
      </c>
      <c r="D31" s="54" t="s">
        <v>63</v>
      </c>
      <c r="E31" s="135"/>
      <c r="F31" s="135"/>
      <c r="G31" s="135"/>
      <c r="H31" s="135"/>
      <c r="I31" s="136">
        <f t="shared" si="1"/>
        <v>0</v>
      </c>
      <c r="J31" s="137"/>
      <c r="K31" s="138">
        <f t="shared" si="2"/>
        <v>5</v>
      </c>
      <c r="L31" s="137"/>
      <c r="M31" s="140">
        <f t="shared" si="3"/>
        <v>0</v>
      </c>
      <c r="N31" s="106"/>
      <c r="O31" s="106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  <c r="AA31" s="1"/>
    </row>
    <row r="32" ht="24.75" customHeight="1">
      <c r="A32" s="134">
        <v>16.0</v>
      </c>
      <c r="B32" s="53" t="s">
        <v>64</v>
      </c>
      <c r="C32" s="53" t="s">
        <v>65</v>
      </c>
      <c r="D32" s="54" t="s">
        <v>66</v>
      </c>
      <c r="E32" s="135"/>
      <c r="F32" s="135"/>
      <c r="G32" s="135"/>
      <c r="H32" s="135"/>
      <c r="I32" s="136">
        <f t="shared" si="1"/>
        <v>0</v>
      </c>
      <c r="J32" s="137"/>
      <c r="K32" s="138">
        <f t="shared" si="2"/>
        <v>5</v>
      </c>
      <c r="L32" s="137"/>
      <c r="M32" s="140">
        <f t="shared" si="3"/>
        <v>0</v>
      </c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  <c r="AA32" s="1"/>
    </row>
    <row r="33" ht="24.75" customHeight="1">
      <c r="A33" s="134">
        <v>17.0</v>
      </c>
      <c r="B33" s="53" t="s">
        <v>64</v>
      </c>
      <c r="C33" s="53" t="s">
        <v>67</v>
      </c>
      <c r="D33" s="54" t="s">
        <v>68</v>
      </c>
      <c r="E33" s="135"/>
      <c r="F33" s="135"/>
      <c r="G33" s="135"/>
      <c r="H33" s="135"/>
      <c r="I33" s="136">
        <f t="shared" si="1"/>
        <v>0</v>
      </c>
      <c r="J33" s="137"/>
      <c r="K33" s="138">
        <f t="shared" si="2"/>
        <v>5</v>
      </c>
      <c r="L33" s="137"/>
      <c r="M33" s="140">
        <f t="shared" si="3"/>
        <v>0</v>
      </c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  <c r="AA33" s="1"/>
    </row>
    <row r="34" ht="24.75" customHeight="1">
      <c r="A34" s="134">
        <v>18.0</v>
      </c>
      <c r="B34" s="53" t="s">
        <v>69</v>
      </c>
      <c r="C34" s="53" t="s">
        <v>70</v>
      </c>
      <c r="D34" s="54" t="s">
        <v>71</v>
      </c>
      <c r="E34" s="135"/>
      <c r="F34" s="135"/>
      <c r="G34" s="135"/>
      <c r="H34" s="135"/>
      <c r="I34" s="136">
        <f t="shared" si="1"/>
        <v>0</v>
      </c>
      <c r="J34" s="137"/>
      <c r="K34" s="138">
        <f t="shared" si="2"/>
        <v>5</v>
      </c>
      <c r="L34" s="137"/>
      <c r="M34" s="140">
        <f t="shared" si="3"/>
        <v>0</v>
      </c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  <c r="AA34" s="1"/>
    </row>
    <row r="35" ht="24.75" customHeight="1">
      <c r="A35" s="134">
        <v>19.0</v>
      </c>
      <c r="B35" s="53" t="s">
        <v>26</v>
      </c>
      <c r="C35" s="53" t="s">
        <v>72</v>
      </c>
      <c r="D35" s="54" t="s">
        <v>73</v>
      </c>
      <c r="E35" s="135"/>
      <c r="F35" s="135"/>
      <c r="G35" s="135"/>
      <c r="H35" s="135"/>
      <c r="I35" s="136">
        <f t="shared" si="1"/>
        <v>0</v>
      </c>
      <c r="J35" s="137"/>
      <c r="K35" s="138">
        <f t="shared" si="2"/>
        <v>5</v>
      </c>
      <c r="L35" s="137"/>
      <c r="M35" s="140">
        <f t="shared" si="3"/>
        <v>0</v>
      </c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  <c r="AA35" s="1"/>
    </row>
    <row r="36" ht="24.75" customHeight="1">
      <c r="A36" s="134">
        <v>20.0</v>
      </c>
      <c r="B36" s="53" t="s">
        <v>74</v>
      </c>
      <c r="C36" s="53" t="s">
        <v>75</v>
      </c>
      <c r="D36" s="54" t="s">
        <v>76</v>
      </c>
      <c r="E36" s="135"/>
      <c r="F36" s="135"/>
      <c r="G36" s="135"/>
      <c r="H36" s="135"/>
      <c r="I36" s="136">
        <f t="shared" si="1"/>
        <v>0</v>
      </c>
      <c r="J36" s="137"/>
      <c r="K36" s="138">
        <f t="shared" si="2"/>
        <v>5</v>
      </c>
      <c r="L36" s="137"/>
      <c r="M36" s="140">
        <f t="shared" si="3"/>
        <v>0</v>
      </c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  <c r="AA36" s="1"/>
    </row>
    <row r="37" ht="24.75" customHeight="1">
      <c r="A37" s="134">
        <v>21.0</v>
      </c>
      <c r="B37" s="53" t="s">
        <v>77</v>
      </c>
      <c r="C37" s="53" t="s">
        <v>26</v>
      </c>
      <c r="D37" s="54" t="s">
        <v>78</v>
      </c>
      <c r="E37" s="135"/>
      <c r="F37" s="135"/>
      <c r="G37" s="135"/>
      <c r="H37" s="135"/>
      <c r="I37" s="136">
        <f t="shared" si="1"/>
        <v>0</v>
      </c>
      <c r="J37" s="137"/>
      <c r="K37" s="138">
        <f t="shared" si="2"/>
        <v>5</v>
      </c>
      <c r="L37" s="137"/>
      <c r="M37" s="140">
        <f t="shared" si="3"/>
        <v>0</v>
      </c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  <c r="AA37" s="1"/>
    </row>
    <row r="38" ht="24.75" customHeight="1">
      <c r="A38" s="134">
        <v>22.0</v>
      </c>
      <c r="B38" s="53" t="s">
        <v>79</v>
      </c>
      <c r="C38" s="53" t="s">
        <v>80</v>
      </c>
      <c r="D38" s="54" t="s">
        <v>81</v>
      </c>
      <c r="E38" s="135"/>
      <c r="F38" s="135"/>
      <c r="G38" s="135"/>
      <c r="H38" s="135"/>
      <c r="I38" s="136">
        <f t="shared" si="1"/>
        <v>0</v>
      </c>
      <c r="J38" s="137"/>
      <c r="K38" s="138">
        <f t="shared" si="2"/>
        <v>5</v>
      </c>
      <c r="L38" s="137"/>
      <c r="M38" s="140">
        <f t="shared" si="3"/>
        <v>0</v>
      </c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  <c r="AA38" s="1"/>
    </row>
    <row r="39" ht="24.75" customHeight="1">
      <c r="A39" s="134">
        <v>23.0</v>
      </c>
      <c r="B39" s="53" t="s">
        <v>82</v>
      </c>
      <c r="C39" s="53" t="s">
        <v>83</v>
      </c>
      <c r="D39" s="54" t="s">
        <v>84</v>
      </c>
      <c r="E39" s="135"/>
      <c r="F39" s="135"/>
      <c r="G39" s="135"/>
      <c r="H39" s="135"/>
      <c r="I39" s="136">
        <f t="shared" si="1"/>
        <v>0</v>
      </c>
      <c r="J39" s="137"/>
      <c r="K39" s="138">
        <f t="shared" si="2"/>
        <v>5</v>
      </c>
      <c r="L39" s="137"/>
      <c r="M39" s="140">
        <f t="shared" si="3"/>
        <v>0</v>
      </c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  <c r="AA39" s="1"/>
    </row>
    <row r="40" ht="24.75" customHeight="1">
      <c r="A40" s="134">
        <v>24.0</v>
      </c>
      <c r="B40" s="53" t="s">
        <v>85</v>
      </c>
      <c r="C40" s="53" t="s">
        <v>86</v>
      </c>
      <c r="D40" s="54" t="s">
        <v>87</v>
      </c>
      <c r="E40" s="135"/>
      <c r="F40" s="135"/>
      <c r="G40" s="135"/>
      <c r="H40" s="135"/>
      <c r="I40" s="136">
        <f t="shared" si="1"/>
        <v>0</v>
      </c>
      <c r="J40" s="137"/>
      <c r="K40" s="138">
        <f t="shared" si="2"/>
        <v>5</v>
      </c>
      <c r="L40" s="137"/>
      <c r="M40" s="140">
        <f t="shared" si="3"/>
        <v>0</v>
      </c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  <c r="AA40" s="1"/>
    </row>
    <row r="41" ht="24.75" customHeight="1">
      <c r="A41" s="134">
        <v>25.0</v>
      </c>
      <c r="B41" s="53" t="s">
        <v>88</v>
      </c>
      <c r="C41" s="53" t="s">
        <v>89</v>
      </c>
      <c r="D41" s="54" t="s">
        <v>90</v>
      </c>
      <c r="E41" s="135"/>
      <c r="F41" s="135"/>
      <c r="G41" s="135"/>
      <c r="H41" s="135"/>
      <c r="I41" s="136">
        <f t="shared" si="1"/>
        <v>0</v>
      </c>
      <c r="J41" s="137"/>
      <c r="K41" s="138">
        <f t="shared" si="2"/>
        <v>5</v>
      </c>
      <c r="L41" s="137"/>
      <c r="M41" s="140">
        <f t="shared" si="3"/>
        <v>0</v>
      </c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  <c r="AA41" s="1"/>
    </row>
    <row r="42" ht="24.75" customHeight="1">
      <c r="A42" s="134">
        <v>26.0</v>
      </c>
      <c r="B42" s="53" t="s">
        <v>91</v>
      </c>
      <c r="C42" s="53" t="s">
        <v>92</v>
      </c>
      <c r="D42" s="54" t="s">
        <v>93</v>
      </c>
      <c r="E42" s="135"/>
      <c r="F42" s="135"/>
      <c r="G42" s="135"/>
      <c r="H42" s="135"/>
      <c r="I42" s="136">
        <f t="shared" si="1"/>
        <v>0</v>
      </c>
      <c r="J42" s="137"/>
      <c r="K42" s="138">
        <f t="shared" si="2"/>
        <v>5</v>
      </c>
      <c r="L42" s="137"/>
      <c r="M42" s="140">
        <f t="shared" si="3"/>
        <v>0</v>
      </c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  <c r="AA42" s="1"/>
    </row>
    <row r="43" ht="24.75" customHeight="1">
      <c r="A43" s="134">
        <v>27.0</v>
      </c>
      <c r="B43" s="53" t="s">
        <v>94</v>
      </c>
      <c r="C43" s="53" t="s">
        <v>95</v>
      </c>
      <c r="D43" s="54" t="s">
        <v>96</v>
      </c>
      <c r="E43" s="135"/>
      <c r="F43" s="135"/>
      <c r="G43" s="135"/>
      <c r="H43" s="135"/>
      <c r="I43" s="136">
        <f t="shared" si="1"/>
        <v>0</v>
      </c>
      <c r="J43" s="137"/>
      <c r="K43" s="138">
        <f t="shared" si="2"/>
        <v>5</v>
      </c>
      <c r="L43" s="137"/>
      <c r="M43" s="140">
        <f t="shared" si="3"/>
        <v>0</v>
      </c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  <c r="AA43" s="1"/>
    </row>
    <row r="44" ht="24.75" customHeight="1">
      <c r="A44" s="134">
        <v>28.0</v>
      </c>
      <c r="B44" s="53" t="s">
        <v>94</v>
      </c>
      <c r="C44" s="53" t="s">
        <v>97</v>
      </c>
      <c r="D44" s="54" t="s">
        <v>98</v>
      </c>
      <c r="E44" s="135"/>
      <c r="F44" s="135"/>
      <c r="G44" s="135"/>
      <c r="H44" s="135"/>
      <c r="I44" s="136">
        <f t="shared" si="1"/>
        <v>0</v>
      </c>
      <c r="J44" s="137"/>
      <c r="K44" s="138">
        <f t="shared" si="2"/>
        <v>5</v>
      </c>
      <c r="L44" s="137"/>
      <c r="M44" s="140">
        <f t="shared" si="3"/>
        <v>0</v>
      </c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  <c r="AA44" s="1"/>
    </row>
    <row r="45" ht="24.75" customHeight="1">
      <c r="A45" s="134">
        <v>29.0</v>
      </c>
      <c r="B45" s="53" t="s">
        <v>94</v>
      </c>
      <c r="C45" s="53" t="s">
        <v>99</v>
      </c>
      <c r="D45" s="54" t="s">
        <v>100</v>
      </c>
      <c r="E45" s="135"/>
      <c r="F45" s="135"/>
      <c r="G45" s="135"/>
      <c r="H45" s="135"/>
      <c r="I45" s="136">
        <f t="shared" si="1"/>
        <v>0</v>
      </c>
      <c r="J45" s="137"/>
      <c r="K45" s="138">
        <f t="shared" si="2"/>
        <v>5</v>
      </c>
      <c r="L45" s="137"/>
      <c r="M45" s="140">
        <f t="shared" si="3"/>
        <v>0</v>
      </c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  <c r="AA45" s="1"/>
    </row>
    <row r="46" ht="24.75" customHeight="1">
      <c r="A46" s="134">
        <v>30.0</v>
      </c>
      <c r="B46" s="53" t="s">
        <v>101</v>
      </c>
      <c r="C46" s="53" t="s">
        <v>64</v>
      </c>
      <c r="D46" s="54" t="s">
        <v>102</v>
      </c>
      <c r="E46" s="135"/>
      <c r="F46" s="135"/>
      <c r="G46" s="135"/>
      <c r="H46" s="135"/>
      <c r="I46" s="136">
        <f t="shared" si="1"/>
        <v>0</v>
      </c>
      <c r="J46" s="137"/>
      <c r="K46" s="138">
        <f t="shared" si="2"/>
        <v>5</v>
      </c>
      <c r="L46" s="137"/>
      <c r="M46" s="140">
        <f t="shared" si="3"/>
        <v>0</v>
      </c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  <c r="AA46" s="1"/>
    </row>
    <row r="47" ht="24.75" customHeight="1">
      <c r="A47" s="134">
        <v>31.0</v>
      </c>
      <c r="B47" s="53" t="s">
        <v>103</v>
      </c>
      <c r="C47" s="53" t="s">
        <v>104</v>
      </c>
      <c r="D47" s="54" t="s">
        <v>105</v>
      </c>
      <c r="E47" s="135"/>
      <c r="F47" s="135"/>
      <c r="G47" s="135"/>
      <c r="H47" s="135"/>
      <c r="I47" s="136">
        <f t="shared" si="1"/>
        <v>0</v>
      </c>
      <c r="J47" s="137"/>
      <c r="K47" s="138">
        <f t="shared" si="2"/>
        <v>5</v>
      </c>
      <c r="L47" s="137"/>
      <c r="M47" s="140">
        <f t="shared" si="3"/>
        <v>0</v>
      </c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  <c r="AA47" s="1"/>
    </row>
    <row r="48" ht="24.75" customHeight="1">
      <c r="A48" s="134">
        <v>32.0</v>
      </c>
      <c r="B48" s="53" t="s">
        <v>65</v>
      </c>
      <c r="C48" s="53" t="s">
        <v>106</v>
      </c>
      <c r="D48" s="54" t="s">
        <v>107</v>
      </c>
      <c r="E48" s="135"/>
      <c r="F48" s="135"/>
      <c r="G48" s="135"/>
      <c r="H48" s="135"/>
      <c r="I48" s="136">
        <f t="shared" si="1"/>
        <v>0</v>
      </c>
      <c r="J48" s="137"/>
      <c r="K48" s="138">
        <f t="shared" si="2"/>
        <v>5</v>
      </c>
      <c r="L48" s="137"/>
      <c r="M48" s="140">
        <f t="shared" si="3"/>
        <v>0</v>
      </c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  <c r="AA48" s="1"/>
    </row>
    <row r="49" ht="24.75" customHeight="1">
      <c r="A49" s="134">
        <v>33.0</v>
      </c>
      <c r="B49" s="53" t="s">
        <v>108</v>
      </c>
      <c r="C49" s="53" t="s">
        <v>94</v>
      </c>
      <c r="D49" s="54" t="s">
        <v>41</v>
      </c>
      <c r="E49" s="135"/>
      <c r="F49" s="135"/>
      <c r="G49" s="135"/>
      <c r="H49" s="135"/>
      <c r="I49" s="136">
        <f t="shared" si="1"/>
        <v>0</v>
      </c>
      <c r="J49" s="137"/>
      <c r="K49" s="138">
        <f t="shared" si="2"/>
        <v>5</v>
      </c>
      <c r="L49" s="137"/>
      <c r="M49" s="140">
        <f t="shared" si="3"/>
        <v>0</v>
      </c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  <c r="AA49" s="1"/>
    </row>
    <row r="50" ht="24.75" customHeight="1">
      <c r="A50" s="134">
        <v>34.0</v>
      </c>
      <c r="B50" s="53" t="s">
        <v>83</v>
      </c>
      <c r="C50" s="53" t="s">
        <v>59</v>
      </c>
      <c r="D50" s="54" t="s">
        <v>109</v>
      </c>
      <c r="E50" s="135"/>
      <c r="F50" s="135"/>
      <c r="G50" s="135"/>
      <c r="H50" s="135"/>
      <c r="I50" s="136">
        <f t="shared" si="1"/>
        <v>0</v>
      </c>
      <c r="J50" s="137"/>
      <c r="K50" s="138">
        <f t="shared" si="2"/>
        <v>5</v>
      </c>
      <c r="L50" s="137"/>
      <c r="M50" s="140">
        <f t="shared" si="3"/>
        <v>0</v>
      </c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  <c r="AA50" s="1"/>
    </row>
    <row r="51" ht="24.75" customHeight="1">
      <c r="A51" s="134">
        <v>35.0</v>
      </c>
      <c r="B51" s="53" t="s">
        <v>110</v>
      </c>
      <c r="C51" s="53" t="s">
        <v>111</v>
      </c>
      <c r="D51" s="54" t="s">
        <v>112</v>
      </c>
      <c r="E51" s="135"/>
      <c r="F51" s="135"/>
      <c r="G51" s="135"/>
      <c r="H51" s="135"/>
      <c r="I51" s="136">
        <f t="shared" si="1"/>
        <v>0</v>
      </c>
      <c r="J51" s="137"/>
      <c r="K51" s="138">
        <f t="shared" si="2"/>
        <v>5</v>
      </c>
      <c r="L51" s="137"/>
      <c r="M51" s="140">
        <f t="shared" si="3"/>
        <v>0</v>
      </c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  <c r="AA51" s="1"/>
    </row>
    <row r="52" ht="21.75" customHeight="1">
      <c r="A52" s="111"/>
      <c r="B52" s="112"/>
      <c r="C52" s="112"/>
      <c r="D52" s="112"/>
      <c r="E52" s="112"/>
      <c r="F52" s="112"/>
      <c r="G52" s="112"/>
      <c r="H52" s="112"/>
      <c r="I52" s="112"/>
      <c r="J52" s="112"/>
      <c r="K52" s="106"/>
      <c r="L52" s="113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  <c r="AA52" s="1"/>
    </row>
    <row r="53" ht="21.75" customHeight="1">
      <c r="A53" s="106"/>
      <c r="B53" s="141" t="s">
        <v>113</v>
      </c>
      <c r="C53" s="64"/>
      <c r="D53" s="142">
        <f>COUNT(A17:A51)</f>
        <v>35</v>
      </c>
      <c r="E53" s="112"/>
      <c r="F53" s="112"/>
      <c r="G53" s="143" t="s">
        <v>114</v>
      </c>
      <c r="H53" s="112"/>
      <c r="I53" s="143" t="s">
        <v>115</v>
      </c>
      <c r="K53" s="144" t="s">
        <v>116</v>
      </c>
      <c r="L53" s="145" t="s">
        <v>117</v>
      </c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  <c r="AA53" s="1"/>
    </row>
    <row r="54" ht="21.75" customHeight="1">
      <c r="A54" s="106"/>
      <c r="B54" s="146" t="s">
        <v>118</v>
      </c>
      <c r="C54" s="70"/>
      <c r="D54" s="147">
        <f>COUNTIF(K17:K51,"BAJA")</f>
        <v>0</v>
      </c>
      <c r="E54" s="112"/>
      <c r="F54" s="112"/>
      <c r="H54" s="112"/>
      <c r="L54" s="10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  <c r="AA54" s="1"/>
    </row>
    <row r="55" ht="21.75" customHeight="1">
      <c r="A55" s="106"/>
      <c r="B55" s="146" t="s">
        <v>119</v>
      </c>
      <c r="C55" s="70"/>
      <c r="D55" s="148">
        <f>D53-D54</f>
        <v>35</v>
      </c>
      <c r="E55" s="112"/>
      <c r="F55" s="112"/>
      <c r="G55" s="112"/>
      <c r="H55" s="112"/>
      <c r="I55" s="112"/>
      <c r="J55" s="112"/>
      <c r="K55" s="106"/>
      <c r="L55" s="113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  <c r="AA55" s="1"/>
    </row>
    <row r="56" ht="21.75" customHeight="1">
      <c r="A56" s="106"/>
      <c r="B56" s="146" t="s">
        <v>120</v>
      </c>
      <c r="C56" s="70"/>
      <c r="D56" s="148">
        <f>COUNTIF(K17:K51,"&gt;=6")</f>
        <v>0</v>
      </c>
      <c r="E56" s="112"/>
      <c r="F56" s="112"/>
      <c r="G56" s="112"/>
      <c r="H56" s="112"/>
      <c r="I56" s="112"/>
      <c r="J56" s="112"/>
      <c r="K56" s="106"/>
      <c r="L56" s="113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  <c r="AA56" s="1"/>
    </row>
    <row r="57" ht="27.75" customHeight="1">
      <c r="A57" s="106"/>
      <c r="B57" s="146" t="s">
        <v>121</v>
      </c>
      <c r="C57" s="70"/>
      <c r="D57" s="148">
        <f>D55-D56</f>
        <v>35</v>
      </c>
      <c r="E57" s="112"/>
      <c r="F57" s="112"/>
      <c r="G57" s="149"/>
      <c r="H57" s="112"/>
      <c r="I57" s="149"/>
      <c r="J57" s="149"/>
      <c r="K57" s="150"/>
      <c r="L57" s="151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  <c r="AA57" s="1"/>
    </row>
    <row r="58" ht="21.75" customHeight="1">
      <c r="A58" s="106"/>
      <c r="B58" s="146" t="s">
        <v>122</v>
      </c>
      <c r="C58" s="70"/>
      <c r="D58" s="152">
        <f>D56*100/D55</f>
        <v>0</v>
      </c>
      <c r="E58" s="112"/>
      <c r="F58" s="112"/>
      <c r="G58" s="153" t="s">
        <v>123</v>
      </c>
      <c r="H58" s="115"/>
      <c r="I58" s="84" t="s">
        <v>124</v>
      </c>
      <c r="K58" s="85" t="s">
        <v>125</v>
      </c>
      <c r="L58" s="86" t="s">
        <v>126</v>
      </c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  <c r="AA58" s="1"/>
    </row>
    <row r="59" ht="13.5" customHeight="1">
      <c r="A59" s="106"/>
      <c r="B59" s="154" t="s">
        <v>127</v>
      </c>
      <c r="C59" s="89"/>
      <c r="D59" s="155">
        <f>AVERAGE(K17:K51)</f>
        <v>5</v>
      </c>
      <c r="E59" s="112"/>
      <c r="F59" s="112"/>
      <c r="H59" s="115"/>
      <c r="L59" s="10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  <c r="AA59" s="1"/>
    </row>
    <row r="60" ht="13.5" customHeight="1">
      <c r="A60" s="111"/>
      <c r="B60" s="106"/>
      <c r="C60" s="106"/>
      <c r="D60" s="106"/>
      <c r="E60" s="106"/>
      <c r="F60" s="106"/>
      <c r="G60" s="106"/>
      <c r="H60" s="106"/>
      <c r="I60" s="106"/>
      <c r="J60" s="106"/>
      <c r="K60" s="106"/>
      <c r="L60" s="113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  <c r="AA60" s="1"/>
    </row>
    <row r="61" ht="13.5" customHeight="1">
      <c r="A61" s="156"/>
      <c r="B61" s="157"/>
      <c r="C61" s="158"/>
      <c r="D61" s="158"/>
      <c r="E61" s="112"/>
      <c r="H61" s="112"/>
      <c r="I61" s="112"/>
      <c r="J61" s="112"/>
      <c r="K61" s="112"/>
      <c r="L61" s="159"/>
      <c r="M61" s="112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  <c r="AA61" s="1"/>
    </row>
    <row r="62" ht="13.5" customHeight="1">
      <c r="A62" s="160"/>
      <c r="B62" s="112"/>
      <c r="C62" s="112"/>
      <c r="D62" s="112"/>
      <c r="E62" s="112"/>
      <c r="F62" s="112"/>
      <c r="G62" s="106"/>
      <c r="H62" s="106"/>
      <c r="I62" s="106"/>
      <c r="J62" s="106"/>
      <c r="K62" s="106"/>
      <c r="L62" s="113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  <c r="AA62" s="1"/>
    </row>
    <row r="63" ht="13.5" customHeight="1">
      <c r="A63" s="160"/>
      <c r="B63" s="112"/>
      <c r="C63" s="112"/>
      <c r="D63" s="112"/>
      <c r="E63" s="112"/>
      <c r="F63" s="112"/>
      <c r="G63" s="106"/>
      <c r="H63" s="106"/>
      <c r="I63" s="106"/>
      <c r="J63" s="106"/>
      <c r="K63" s="106"/>
      <c r="L63" s="113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  <c r="AA63" s="1"/>
    </row>
    <row r="64" ht="14.25" customHeight="1">
      <c r="A64" s="161"/>
      <c r="B64" s="162"/>
      <c r="C64" s="162"/>
      <c r="D64" s="162"/>
      <c r="E64" s="162"/>
      <c r="F64" s="162"/>
      <c r="G64" s="163"/>
      <c r="H64" s="163"/>
      <c r="I64" s="163"/>
      <c r="J64" s="163"/>
      <c r="K64" s="163"/>
      <c r="L64" s="164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  <c r="AA64" s="1"/>
    </row>
    <row r="65" ht="14.25" customHeight="1">
      <c r="A65" s="106"/>
      <c r="B65" s="112"/>
      <c r="C65" s="112"/>
      <c r="D65" s="112"/>
      <c r="E65" s="112"/>
      <c r="F65" s="112"/>
      <c r="G65" s="106"/>
      <c r="H65" s="106"/>
      <c r="I65" s="106"/>
      <c r="J65" s="106"/>
      <c r="K65" s="115"/>
      <c r="L65" s="115"/>
      <c r="M65" s="115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  <c r="AA65" s="1"/>
    </row>
    <row r="66" ht="14.25" customHeight="1">
      <c r="A66" s="106"/>
      <c r="B66" s="112"/>
      <c r="C66" s="112"/>
      <c r="D66" s="112"/>
      <c r="E66" s="112"/>
      <c r="F66" s="112"/>
      <c r="G66" s="106"/>
      <c r="H66" s="106"/>
      <c r="I66" s="106"/>
      <c r="J66" s="106"/>
      <c r="K66" s="115"/>
      <c r="L66" s="115"/>
      <c r="M66" s="115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  <c r="AA66" s="1"/>
    </row>
    <row r="67" ht="14.25" customHeight="1">
      <c r="A67" s="106"/>
      <c r="B67" s="112"/>
      <c r="C67" s="112"/>
      <c r="D67" s="112"/>
      <c r="E67" s="112"/>
      <c r="F67" s="112"/>
      <c r="G67" s="106"/>
      <c r="H67" s="106"/>
      <c r="I67" s="106"/>
      <c r="J67" s="106"/>
      <c r="K67" s="115"/>
      <c r="L67" s="115"/>
      <c r="M67" s="115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  <c r="AA67" s="1"/>
    </row>
    <row r="68" ht="14.25" customHeight="1">
      <c r="A68" s="106"/>
      <c r="B68" s="112"/>
      <c r="C68" s="112"/>
      <c r="D68" s="112"/>
      <c r="E68" s="112"/>
      <c r="F68" s="112"/>
      <c r="G68" s="106"/>
      <c r="H68" s="106"/>
      <c r="I68" s="106"/>
      <c r="J68" s="106"/>
      <c r="K68" s="115"/>
      <c r="L68" s="115"/>
      <c r="M68" s="115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  <c r="AA68" s="1"/>
    </row>
    <row r="69" ht="14.25" customHeight="1">
      <c r="A69" s="106"/>
      <c r="B69" s="112"/>
      <c r="C69" s="112"/>
      <c r="D69" s="112"/>
      <c r="E69" s="112"/>
      <c r="F69" s="112"/>
      <c r="G69" s="106"/>
      <c r="H69" s="106"/>
      <c r="I69" s="106"/>
      <c r="J69" s="106"/>
      <c r="K69" s="106"/>
      <c r="L69" s="165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  <c r="AA69" s="1"/>
    </row>
    <row r="70" ht="14.25" customHeight="1">
      <c r="A70" s="106"/>
      <c r="B70" s="112"/>
      <c r="C70" s="112"/>
      <c r="D70" s="112"/>
      <c r="E70" s="112"/>
      <c r="F70" s="112"/>
      <c r="G70" s="106"/>
      <c r="H70" s="106"/>
      <c r="I70" s="106"/>
      <c r="J70" s="106"/>
      <c r="K70" s="106"/>
      <c r="L70" s="165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  <c r="AA70" s="1"/>
    </row>
    <row r="71" ht="14.25" customHeight="1">
      <c r="A71" s="106"/>
      <c r="B71" s="112"/>
      <c r="C71" s="112"/>
      <c r="D71" s="112"/>
      <c r="E71" s="112"/>
      <c r="F71" s="112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  <c r="AA71" s="1"/>
    </row>
    <row r="72" ht="14.25" customHeight="1">
      <c r="A72" s="106"/>
      <c r="B72" s="112"/>
      <c r="C72" s="112"/>
      <c r="D72" s="112"/>
      <c r="E72" s="112"/>
      <c r="F72" s="112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  <c r="AA72" s="1"/>
    </row>
    <row r="73" ht="14.25" customHeight="1">
      <c r="A73" s="106"/>
      <c r="B73" s="112"/>
      <c r="C73" s="112"/>
      <c r="D73" s="112"/>
      <c r="E73" s="112"/>
      <c r="F73" s="112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  <c r="AA73" s="1"/>
    </row>
    <row r="74" ht="14.25" customHeight="1">
      <c r="A74" s="106"/>
      <c r="B74" s="112"/>
      <c r="C74" s="112"/>
      <c r="D74" s="112"/>
      <c r="E74" s="112"/>
      <c r="F74" s="112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  <c r="AA74" s="1"/>
    </row>
    <row r="75" ht="14.25" customHeight="1">
      <c r="A75" s="106"/>
      <c r="B75" s="112"/>
      <c r="C75" s="112"/>
      <c r="D75" s="112"/>
      <c r="E75" s="112"/>
      <c r="F75" s="112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  <c r="AA75" s="1"/>
    </row>
    <row r="76" ht="13.5" customHeight="1">
      <c r="A76" s="106"/>
      <c r="B76" s="112"/>
      <c r="C76" s="112"/>
      <c r="D76" s="112"/>
      <c r="E76" s="112"/>
      <c r="F76" s="112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  <c r="AA76" s="1"/>
    </row>
    <row r="77" ht="13.5" customHeight="1">
      <c r="A77" s="106"/>
      <c r="B77" s="106"/>
      <c r="C77" s="106"/>
      <c r="D77" s="106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  <c r="AA77" s="1"/>
    </row>
    <row r="78" ht="13.5" customHeight="1">
      <c r="A78" s="106"/>
      <c r="B78" s="106"/>
      <c r="C78" s="106"/>
      <c r="D78" s="106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  <c r="AA78" s="1"/>
    </row>
    <row r="79" ht="13.5" customHeight="1">
      <c r="A79" s="106"/>
      <c r="B79" s="106"/>
      <c r="C79" s="106"/>
      <c r="D79" s="106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  <c r="AA79" s="1"/>
    </row>
    <row r="80" ht="13.5" customHeight="1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  <c r="AA80" s="1"/>
    </row>
    <row r="81" ht="13.5" customHeight="1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  <c r="AA81" s="1"/>
    </row>
    <row r="82" ht="13.5" customHeight="1">
      <c r="A82" s="106"/>
      <c r="B82" s="106"/>
      <c r="C82" s="106"/>
      <c r="D82" s="106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  <c r="AA82" s="1"/>
    </row>
    <row r="83" ht="13.5" customHeight="1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  <c r="AA83" s="1"/>
    </row>
    <row r="84" ht="13.5" customHeight="1">
      <c r="A84" s="106"/>
      <c r="B84" s="106"/>
      <c r="C84" s="106"/>
      <c r="D84" s="106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  <c r="AA84" s="1"/>
    </row>
    <row r="85" ht="13.5" customHeight="1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  <c r="AA85" s="1"/>
    </row>
    <row r="86" ht="13.5" customHeight="1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  <c r="AA86" s="1"/>
    </row>
    <row r="87" ht="13.5" customHeight="1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  <c r="AA87" s="1"/>
    </row>
    <row r="88" ht="13.5" customHeight="1">
      <c r="A88" s="106"/>
      <c r="B88" s="106"/>
      <c r="C88" s="106"/>
      <c r="D88" s="106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  <c r="AA88" s="1"/>
    </row>
    <row r="89" ht="13.5" customHeight="1">
      <c r="A89" s="106"/>
      <c r="B89" s="106"/>
      <c r="C89" s="106"/>
      <c r="D89" s="106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  <c r="AA89" s="1"/>
    </row>
    <row r="90" ht="13.5" customHeight="1">
      <c r="A90" s="106"/>
      <c r="B90" s="106"/>
      <c r="C90" s="106"/>
      <c r="D90" s="106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  <c r="AA90" s="1"/>
    </row>
    <row r="91" ht="13.5" customHeight="1">
      <c r="A91" s="106"/>
      <c r="B91" s="106"/>
      <c r="C91" s="106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  <c r="AA91" s="1"/>
    </row>
    <row r="92" ht="13.5" customHeight="1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  <c r="AA92" s="1"/>
    </row>
    <row r="93" ht="13.5" customHeight="1">
      <c r="A93" s="106"/>
      <c r="B93" s="106"/>
      <c r="C93" s="106"/>
      <c r="D93" s="106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  <c r="AA93" s="1"/>
    </row>
    <row r="94" ht="13.5" customHeight="1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  <c r="AA94" s="1"/>
    </row>
    <row r="95" ht="13.5" customHeight="1">
      <c r="A95" s="106"/>
      <c r="B95" s="106"/>
      <c r="C95" s="106"/>
      <c r="D95" s="106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  <c r="AA95" s="1"/>
    </row>
    <row r="96" ht="13.5" customHeight="1">
      <c r="A96" s="106"/>
      <c r="B96" s="106"/>
      <c r="C96" s="106"/>
      <c r="D96" s="106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  <c r="AA96" s="1"/>
    </row>
    <row r="97" ht="13.5" customHeight="1">
      <c r="A97" s="106"/>
      <c r="B97" s="106"/>
      <c r="C97" s="106"/>
      <c r="D97" s="106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  <c r="AA97" s="1"/>
    </row>
    <row r="98" ht="13.5" customHeight="1">
      <c r="A98" s="106"/>
      <c r="B98" s="106"/>
      <c r="C98" s="106"/>
      <c r="D98" s="106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  <c r="AA98" s="1"/>
    </row>
    <row r="99" ht="13.5" customHeight="1">
      <c r="A99" s="106"/>
      <c r="B99" s="106"/>
      <c r="C99" s="106"/>
      <c r="D99" s="106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  <c r="AA99" s="1"/>
    </row>
    <row r="100" ht="13.5" customHeight="1">
      <c r="A100" s="106"/>
      <c r="B100" s="106"/>
      <c r="C100" s="106"/>
      <c r="D100" s="106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  <c r="AA100" s="1"/>
    </row>
    <row r="101" ht="13.5" customHeight="1">
      <c r="A101" s="106"/>
      <c r="B101" s="106"/>
      <c r="C101" s="106"/>
      <c r="D101" s="106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  <c r="AA101" s="1"/>
    </row>
    <row r="102" ht="13.5" customHeight="1">
      <c r="A102" s="106"/>
      <c r="B102" s="106"/>
      <c r="C102" s="106"/>
      <c r="D102" s="106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  <c r="AA102" s="1"/>
    </row>
    <row r="103" ht="13.5" customHeight="1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  <c r="AA103" s="1"/>
    </row>
    <row r="104" ht="13.5" customHeight="1">
      <c r="A104" s="106"/>
      <c r="B104" s="106"/>
      <c r="C104" s="106"/>
      <c r="D104" s="106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  <c r="AA104" s="1"/>
    </row>
    <row r="105" ht="13.5" customHeight="1">
      <c r="A105" s="106"/>
      <c r="B105" s="106"/>
      <c r="C105" s="106"/>
      <c r="D105" s="106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  <c r="AA105" s="1"/>
    </row>
    <row r="106" ht="13.5" customHeight="1">
      <c r="A106" s="106"/>
      <c r="B106" s="106"/>
      <c r="C106" s="106"/>
      <c r="D106" s="106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  <c r="AA106" s="1"/>
    </row>
    <row r="107" ht="13.5" customHeight="1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  <c r="AA107" s="1"/>
    </row>
    <row r="108" ht="13.5" customHeight="1">
      <c r="A108" s="106"/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  <c r="AA108" s="1"/>
    </row>
    <row r="109" ht="13.5" customHeight="1">
      <c r="A109" s="106"/>
      <c r="B109" s="106"/>
      <c r="C109" s="106"/>
      <c r="D109" s="106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  <c r="AA109" s="1"/>
    </row>
    <row r="110" ht="13.5" customHeight="1">
      <c r="A110" s="106"/>
      <c r="B110" s="106"/>
      <c r="C110" s="106"/>
      <c r="D110" s="106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  <c r="AA110" s="1"/>
    </row>
    <row r="111" ht="13.5" customHeight="1">
      <c r="A111" s="106"/>
      <c r="B111" s="106"/>
      <c r="C111" s="106"/>
      <c r="D111" s="106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  <c r="AA111" s="1"/>
    </row>
    <row r="112" ht="13.5" customHeight="1">
      <c r="A112" s="106"/>
      <c r="B112" s="106"/>
      <c r="C112" s="106"/>
      <c r="D112" s="106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  <c r="AA112" s="1"/>
    </row>
    <row r="113" ht="13.5" customHeight="1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  <c r="AA113" s="1"/>
    </row>
    <row r="114" ht="13.5" customHeight="1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  <c r="AA114" s="1"/>
    </row>
    <row r="115" ht="13.5" customHeight="1">
      <c r="A115" s="106"/>
      <c r="B115" s="106"/>
      <c r="C115" s="106"/>
      <c r="D115" s="106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  <c r="AA115" s="1"/>
    </row>
    <row r="116" ht="13.5" customHeight="1">
      <c r="A116" s="106"/>
      <c r="B116" s="106"/>
      <c r="C116" s="106"/>
      <c r="D116" s="106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  <c r="AA116" s="1"/>
    </row>
    <row r="117" ht="13.5" customHeight="1">
      <c r="A117" s="106"/>
      <c r="B117" s="106"/>
      <c r="C117" s="106"/>
      <c r="D117" s="106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  <c r="AA117" s="1"/>
    </row>
    <row r="118" ht="13.5" customHeight="1">
      <c r="A118" s="106"/>
      <c r="B118" s="106"/>
      <c r="C118" s="106"/>
      <c r="D118" s="106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  <c r="AA118" s="1"/>
    </row>
    <row r="119" ht="13.5" customHeight="1">
      <c r="A119" s="106"/>
      <c r="B119" s="106"/>
      <c r="C119" s="106"/>
      <c r="D119" s="106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  <c r="AA119" s="1"/>
    </row>
    <row r="120" ht="13.5" customHeight="1">
      <c r="A120" s="106"/>
      <c r="B120" s="106"/>
      <c r="C120" s="106"/>
      <c r="D120" s="106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  <c r="AA120" s="1"/>
    </row>
    <row r="121" ht="13.5" customHeight="1">
      <c r="A121" s="106"/>
      <c r="B121" s="106"/>
      <c r="C121" s="106"/>
      <c r="D121" s="106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  <c r="AA121" s="1"/>
    </row>
    <row r="122" ht="13.5" customHeight="1">
      <c r="A122" s="106"/>
      <c r="B122" s="106"/>
      <c r="C122" s="106"/>
      <c r="D122" s="106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  <c r="AA122" s="1"/>
    </row>
    <row r="123" ht="13.5" customHeight="1">
      <c r="A123" s="106"/>
      <c r="B123" s="106"/>
      <c r="C123" s="106"/>
      <c r="D123" s="106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  <c r="AA123" s="1"/>
    </row>
    <row r="124" ht="13.5" customHeight="1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  <c r="AA124" s="1"/>
    </row>
    <row r="125" ht="13.5" customHeight="1">
      <c r="A125" s="106"/>
      <c r="B125" s="106"/>
      <c r="C125" s="106"/>
      <c r="D125" s="106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  <c r="AA125" s="1"/>
    </row>
    <row r="126" ht="13.5" customHeight="1">
      <c r="A126" s="106"/>
      <c r="B126" s="106"/>
      <c r="C126" s="106"/>
      <c r="D126" s="106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  <c r="AA126" s="1"/>
    </row>
    <row r="127" ht="13.5" customHeight="1">
      <c r="A127" s="106"/>
      <c r="B127" s="106"/>
      <c r="C127" s="106"/>
      <c r="D127" s="106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  <c r="AA127" s="1"/>
    </row>
    <row r="128" ht="13.5" customHeight="1">
      <c r="A128" s="106"/>
      <c r="B128" s="106"/>
      <c r="C128" s="106"/>
      <c r="D128" s="106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  <c r="AA128" s="1"/>
    </row>
    <row r="129" ht="13.5" customHeight="1">
      <c r="A129" s="106"/>
      <c r="B129" s="106"/>
      <c r="C129" s="106"/>
      <c r="D129" s="106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  <c r="AA129" s="1"/>
    </row>
    <row r="130" ht="13.5" customHeight="1">
      <c r="A130" s="106"/>
      <c r="B130" s="106"/>
      <c r="C130" s="106"/>
      <c r="D130" s="106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  <c r="AA130" s="1"/>
    </row>
    <row r="131" ht="13.5" customHeight="1">
      <c r="A131" s="106"/>
      <c r="B131" s="106"/>
      <c r="C131" s="106"/>
      <c r="D131" s="106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  <c r="AA131" s="1"/>
    </row>
    <row r="132" ht="13.5" customHeight="1">
      <c r="A132" s="106"/>
      <c r="B132" s="106"/>
      <c r="C132" s="106"/>
      <c r="D132" s="106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  <c r="AA132" s="1"/>
    </row>
    <row r="133" ht="13.5" customHeight="1">
      <c r="A133" s="106"/>
      <c r="B133" s="106"/>
      <c r="C133" s="106"/>
      <c r="D133" s="106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  <c r="AA133" s="1"/>
    </row>
    <row r="134" ht="13.5" customHeight="1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  <c r="AA134" s="1"/>
    </row>
    <row r="135" ht="13.5" customHeight="1">
      <c r="A135" s="106"/>
      <c r="B135" s="106"/>
      <c r="C135" s="106"/>
      <c r="D135" s="106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  <c r="AA135" s="1"/>
    </row>
    <row r="136" ht="13.5" customHeight="1">
      <c r="A136" s="106"/>
      <c r="B136" s="106"/>
      <c r="C136" s="106"/>
      <c r="D136" s="106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  <c r="AA136" s="1"/>
    </row>
    <row r="137" ht="13.5" customHeight="1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  <c r="AA137" s="1"/>
    </row>
    <row r="138" ht="13.5" customHeight="1">
      <c r="A138" s="106"/>
      <c r="B138" s="106"/>
      <c r="C138" s="106"/>
      <c r="D138" s="106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  <c r="AA138" s="1"/>
    </row>
    <row r="139" ht="13.5" customHeight="1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  <c r="AA139" s="1"/>
    </row>
    <row r="140" ht="13.5" customHeight="1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  <c r="AA140" s="1"/>
    </row>
    <row r="141" ht="13.5" customHeight="1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  <c r="AA141" s="1"/>
    </row>
    <row r="142" ht="13.5" customHeight="1">
      <c r="A142" s="106"/>
      <c r="B142" s="106"/>
      <c r="C142" s="106"/>
      <c r="D142" s="106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  <c r="AA142" s="1"/>
    </row>
    <row r="143" ht="13.5" customHeight="1">
      <c r="A143" s="106"/>
      <c r="B143" s="106"/>
      <c r="C143" s="106"/>
      <c r="D143" s="106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  <c r="AA143" s="1"/>
    </row>
    <row r="144" ht="13.5" customHeight="1">
      <c r="A144" s="106"/>
      <c r="B144" s="106"/>
      <c r="C144" s="106"/>
      <c r="D144" s="106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  <c r="AA144" s="1"/>
    </row>
    <row r="145" ht="13.5" customHeight="1">
      <c r="A145" s="106"/>
      <c r="B145" s="106"/>
      <c r="C145" s="106"/>
      <c r="D145" s="106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  <c r="AA145" s="1"/>
    </row>
    <row r="146" ht="13.5" customHeight="1">
      <c r="A146" s="106"/>
      <c r="B146" s="106"/>
      <c r="C146" s="106"/>
      <c r="D146" s="106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  <c r="AA146" s="1"/>
    </row>
    <row r="147" ht="13.5" customHeight="1">
      <c r="A147" s="106"/>
      <c r="B147" s="106"/>
      <c r="C147" s="106"/>
      <c r="D147" s="106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  <c r="AA147" s="1"/>
    </row>
    <row r="148" ht="13.5" customHeight="1">
      <c r="A148" s="106"/>
      <c r="B148" s="106"/>
      <c r="C148" s="106"/>
      <c r="D148" s="106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  <c r="AA148" s="1"/>
    </row>
    <row r="149" ht="13.5" customHeight="1">
      <c r="A149" s="106"/>
      <c r="B149" s="106"/>
      <c r="C149" s="106"/>
      <c r="D149" s="106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  <c r="AA149" s="1"/>
    </row>
    <row r="150" ht="13.5" customHeight="1">
      <c r="A150" s="106"/>
      <c r="B150" s="106"/>
      <c r="C150" s="106"/>
      <c r="D150" s="106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  <c r="AA150" s="1"/>
    </row>
    <row r="151" ht="13.5" customHeight="1">
      <c r="A151" s="106"/>
      <c r="B151" s="106"/>
      <c r="C151" s="106"/>
      <c r="D151" s="106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  <c r="AA151" s="1"/>
    </row>
    <row r="152" ht="13.5" customHeight="1">
      <c r="A152" s="106"/>
      <c r="B152" s="106"/>
      <c r="C152" s="106"/>
      <c r="D152" s="106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  <c r="AA152" s="1"/>
    </row>
    <row r="153" ht="13.5" customHeight="1">
      <c r="A153" s="106"/>
      <c r="B153" s="106"/>
      <c r="C153" s="106"/>
      <c r="D153" s="106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  <c r="AA153" s="1"/>
    </row>
    <row r="154" ht="13.5" customHeight="1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  <c r="AA154" s="1"/>
    </row>
    <row r="155" ht="13.5" customHeight="1">
      <c r="A155" s="106"/>
      <c r="B155" s="106"/>
      <c r="C155" s="106"/>
      <c r="D155" s="106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  <c r="AA155" s="1"/>
    </row>
    <row r="156" ht="13.5" customHeight="1">
      <c r="A156" s="106"/>
      <c r="B156" s="106"/>
      <c r="C156" s="106"/>
      <c r="D156" s="106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  <c r="AA156" s="1"/>
    </row>
    <row r="157" ht="13.5" customHeight="1">
      <c r="A157" s="106"/>
      <c r="B157" s="106"/>
      <c r="C157" s="106"/>
      <c r="D157" s="106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  <c r="AA157" s="1"/>
    </row>
    <row r="158" ht="13.5" customHeight="1">
      <c r="A158" s="106"/>
      <c r="B158" s="106"/>
      <c r="C158" s="106"/>
      <c r="D158" s="106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  <c r="AA158" s="1"/>
    </row>
    <row r="159" ht="13.5" customHeight="1">
      <c r="A159" s="106"/>
      <c r="B159" s="106"/>
      <c r="C159" s="106"/>
      <c r="D159" s="106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  <c r="AA159" s="1"/>
    </row>
    <row r="160" ht="13.5" customHeight="1">
      <c r="A160" s="106"/>
      <c r="B160" s="106"/>
      <c r="C160" s="106"/>
      <c r="D160" s="106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  <c r="AA160" s="1"/>
    </row>
    <row r="161" ht="13.5" customHeight="1">
      <c r="A161" s="106"/>
      <c r="B161" s="106"/>
      <c r="C161" s="106"/>
      <c r="D161" s="106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  <c r="AA161" s="1"/>
    </row>
    <row r="162" ht="13.5" customHeight="1">
      <c r="A162" s="106"/>
      <c r="B162" s="106"/>
      <c r="C162" s="106"/>
      <c r="D162" s="106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  <c r="AA162" s="1"/>
    </row>
    <row r="163" ht="13.5" customHeight="1">
      <c r="A163" s="106"/>
      <c r="B163" s="106"/>
      <c r="C163" s="106"/>
      <c r="D163" s="106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  <c r="AA163" s="1"/>
    </row>
    <row r="164" ht="13.5" customHeight="1">
      <c r="A164" s="106"/>
      <c r="B164" s="106"/>
      <c r="C164" s="106"/>
      <c r="D164" s="106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  <c r="AA164" s="1"/>
    </row>
    <row r="165" ht="13.5" customHeight="1">
      <c r="A165" s="106"/>
      <c r="B165" s="106"/>
      <c r="C165" s="106"/>
      <c r="D165" s="106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  <c r="AA165" s="1"/>
    </row>
    <row r="166" ht="13.5" customHeight="1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  <c r="AA166" s="1"/>
    </row>
    <row r="167" ht="13.5" customHeight="1">
      <c r="A167" s="106"/>
      <c r="B167" s="106"/>
      <c r="C167" s="106"/>
      <c r="D167" s="106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  <c r="AA167" s="1"/>
    </row>
    <row r="168" ht="13.5" customHeight="1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  <c r="AA168" s="1"/>
    </row>
    <row r="169" ht="13.5" customHeight="1">
      <c r="A169" s="106"/>
      <c r="B169" s="106"/>
      <c r="C169" s="106"/>
      <c r="D169" s="106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  <c r="AA169" s="1"/>
    </row>
    <row r="170" ht="13.5" customHeight="1">
      <c r="A170" s="106"/>
      <c r="B170" s="106"/>
      <c r="C170" s="106"/>
      <c r="D170" s="106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  <c r="AA170" s="1"/>
    </row>
    <row r="171" ht="13.5" customHeight="1">
      <c r="A171" s="106"/>
      <c r="B171" s="106"/>
      <c r="C171" s="106"/>
      <c r="D171" s="106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  <c r="AA171" s="1"/>
    </row>
    <row r="172" ht="13.5" customHeight="1">
      <c r="A172" s="106"/>
      <c r="B172" s="106"/>
      <c r="C172" s="106"/>
      <c r="D172" s="106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  <c r="AA172" s="1"/>
    </row>
    <row r="173" ht="13.5" customHeight="1">
      <c r="A173" s="106"/>
      <c r="B173" s="106"/>
      <c r="C173" s="106"/>
      <c r="D173" s="106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  <c r="AA173" s="1"/>
    </row>
    <row r="174" ht="13.5" customHeight="1">
      <c r="A174" s="106"/>
      <c r="B174" s="106"/>
      <c r="C174" s="106"/>
      <c r="D174" s="106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  <c r="AA174" s="1"/>
    </row>
    <row r="175" ht="13.5" customHeight="1">
      <c r="A175" s="106"/>
      <c r="B175" s="106"/>
      <c r="C175" s="106"/>
      <c r="D175" s="106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  <c r="AA175" s="1"/>
    </row>
    <row r="176" ht="13.5" customHeight="1">
      <c r="A176" s="106"/>
      <c r="B176" s="106"/>
      <c r="C176" s="106"/>
      <c r="D176" s="106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  <c r="AA176" s="1"/>
    </row>
    <row r="177" ht="13.5" customHeight="1">
      <c r="A177" s="106"/>
      <c r="B177" s="106"/>
      <c r="C177" s="106"/>
      <c r="D177" s="106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  <c r="AA177" s="1"/>
    </row>
    <row r="178" ht="13.5" customHeight="1">
      <c r="A178" s="106"/>
      <c r="B178" s="106"/>
      <c r="C178" s="106"/>
      <c r="D178" s="106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  <c r="AA178" s="1"/>
    </row>
    <row r="179" ht="13.5" customHeight="1">
      <c r="A179" s="106"/>
      <c r="B179" s="106"/>
      <c r="C179" s="106"/>
      <c r="D179" s="106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  <c r="AA179" s="1"/>
    </row>
    <row r="180" ht="13.5" customHeight="1">
      <c r="A180" s="106"/>
      <c r="B180" s="106"/>
      <c r="C180" s="106"/>
      <c r="D180" s="106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  <c r="AA180" s="1"/>
    </row>
    <row r="181" ht="13.5" customHeight="1">
      <c r="A181" s="106"/>
      <c r="B181" s="106"/>
      <c r="C181" s="106"/>
      <c r="D181" s="106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  <c r="AA181" s="1"/>
    </row>
    <row r="182" ht="13.5" customHeight="1">
      <c r="A182" s="106"/>
      <c r="B182" s="106"/>
      <c r="C182" s="106"/>
      <c r="D182" s="106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  <c r="AA182" s="1"/>
    </row>
    <row r="183" ht="13.5" customHeight="1">
      <c r="A183" s="106"/>
      <c r="B183" s="106"/>
      <c r="C183" s="106"/>
      <c r="D183" s="106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  <c r="AA183" s="1"/>
    </row>
    <row r="184" ht="13.5" customHeight="1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  <c r="AA184" s="1"/>
    </row>
    <row r="185" ht="13.5" customHeight="1">
      <c r="A185" s="106"/>
      <c r="B185" s="106"/>
      <c r="C185" s="106"/>
      <c r="D185" s="106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  <c r="AA185" s="1"/>
    </row>
    <row r="186" ht="13.5" customHeight="1">
      <c r="A186" s="106"/>
      <c r="B186" s="106"/>
      <c r="C186" s="106"/>
      <c r="D186" s="106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  <c r="AA186" s="1"/>
    </row>
    <row r="187" ht="13.5" customHeight="1">
      <c r="A187" s="106"/>
      <c r="B187" s="106"/>
      <c r="C187" s="106"/>
      <c r="D187" s="106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  <c r="AA187" s="1"/>
    </row>
    <row r="188" ht="13.5" customHeight="1">
      <c r="A188" s="106"/>
      <c r="B188" s="106"/>
      <c r="C188" s="106"/>
      <c r="D188" s="106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  <c r="AA188" s="1"/>
    </row>
    <row r="189" ht="13.5" customHeight="1">
      <c r="A189" s="106"/>
      <c r="B189" s="106"/>
      <c r="C189" s="106"/>
      <c r="D189" s="106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  <c r="AA189" s="1"/>
    </row>
    <row r="190" ht="13.5" customHeight="1">
      <c r="A190" s="106"/>
      <c r="B190" s="106"/>
      <c r="C190" s="106"/>
      <c r="D190" s="106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  <c r="AA190" s="1"/>
    </row>
    <row r="191" ht="13.5" customHeight="1">
      <c r="A191" s="106"/>
      <c r="B191" s="106"/>
      <c r="C191" s="106"/>
      <c r="D191" s="106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  <c r="AA191" s="1"/>
    </row>
    <row r="192" ht="13.5" customHeight="1">
      <c r="A192" s="106"/>
      <c r="B192" s="106"/>
      <c r="C192" s="106"/>
      <c r="D192" s="106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  <c r="AA192" s="1"/>
    </row>
    <row r="193" ht="13.5" customHeight="1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  <c r="AA193" s="1"/>
    </row>
    <row r="194" ht="13.5" customHeight="1">
      <c r="A194" s="106"/>
      <c r="B194" s="106"/>
      <c r="C194" s="106"/>
      <c r="D194" s="106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  <c r="AA194" s="1"/>
    </row>
    <row r="195" ht="13.5" customHeight="1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  <c r="AA195" s="1"/>
    </row>
    <row r="196" ht="13.5" customHeight="1">
      <c r="A196" s="106"/>
      <c r="B196" s="106"/>
      <c r="C196" s="106"/>
      <c r="D196" s="106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  <c r="AA196" s="1"/>
    </row>
    <row r="197" ht="13.5" customHeight="1">
      <c r="A197" s="106"/>
      <c r="B197" s="106"/>
      <c r="C197" s="106"/>
      <c r="D197" s="106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  <c r="AA197" s="1"/>
    </row>
    <row r="198" ht="13.5" customHeight="1">
      <c r="A198" s="106"/>
      <c r="B198" s="106"/>
      <c r="C198" s="106"/>
      <c r="D198" s="106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  <c r="AA198" s="1"/>
    </row>
    <row r="199" ht="13.5" customHeight="1">
      <c r="A199" s="106"/>
      <c r="B199" s="106"/>
      <c r="C199" s="106"/>
      <c r="D199" s="106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  <c r="AA199" s="1"/>
    </row>
    <row r="200" ht="13.5" customHeight="1">
      <c r="A200" s="106"/>
      <c r="B200" s="106"/>
      <c r="C200" s="106"/>
      <c r="D200" s="106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  <c r="AA200" s="1"/>
    </row>
    <row r="201" ht="13.5" customHeight="1">
      <c r="A201" s="106"/>
      <c r="B201" s="106"/>
      <c r="C201" s="106"/>
      <c r="D201" s="106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  <c r="AA201" s="1"/>
    </row>
    <row r="202" ht="13.5" customHeight="1">
      <c r="A202" s="106"/>
      <c r="B202" s="106"/>
      <c r="C202" s="106"/>
      <c r="D202" s="106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  <c r="AA202" s="1"/>
    </row>
    <row r="203" ht="13.5" customHeight="1">
      <c r="A203" s="106"/>
      <c r="B203" s="106"/>
      <c r="C203" s="106"/>
      <c r="D203" s="106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  <c r="AA203" s="1"/>
    </row>
    <row r="204" ht="13.5" customHeight="1">
      <c r="A204" s="106"/>
      <c r="B204" s="106"/>
      <c r="C204" s="106"/>
      <c r="D204" s="106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  <c r="AA204" s="1"/>
    </row>
    <row r="205" ht="13.5" customHeight="1">
      <c r="A205" s="106"/>
      <c r="B205" s="106"/>
      <c r="C205" s="106"/>
      <c r="D205" s="106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  <c r="AA205" s="1"/>
    </row>
    <row r="206" ht="13.5" customHeight="1">
      <c r="A206" s="106"/>
      <c r="B206" s="106"/>
      <c r="C206" s="106"/>
      <c r="D206" s="106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  <c r="AA206" s="1"/>
    </row>
    <row r="207" ht="13.5" customHeight="1">
      <c r="A207" s="106"/>
      <c r="B207" s="106"/>
      <c r="C207" s="106"/>
      <c r="D207" s="106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  <c r="AA207" s="1"/>
    </row>
    <row r="208" ht="13.5" customHeight="1">
      <c r="A208" s="106"/>
      <c r="B208" s="106"/>
      <c r="C208" s="106"/>
      <c r="D208" s="106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  <c r="AA208" s="1"/>
    </row>
    <row r="209" ht="13.5" customHeight="1">
      <c r="A209" s="106"/>
      <c r="B209" s="106"/>
      <c r="C209" s="106"/>
      <c r="D209" s="106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  <c r="AA209" s="1"/>
    </row>
    <row r="210" ht="13.5" customHeight="1">
      <c r="A210" s="106"/>
      <c r="B210" s="106"/>
      <c r="C210" s="106"/>
      <c r="D210" s="106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  <c r="AA210" s="1"/>
    </row>
    <row r="211" ht="13.5" customHeight="1">
      <c r="A211" s="106"/>
      <c r="B211" s="106"/>
      <c r="C211" s="106"/>
      <c r="D211" s="106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  <c r="AA211" s="1"/>
    </row>
    <row r="212" ht="13.5" customHeight="1">
      <c r="A212" s="106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  <c r="AA212" s="1"/>
    </row>
    <row r="213" ht="13.5" customHeight="1">
      <c r="A213" s="106"/>
      <c r="B213" s="106"/>
      <c r="C213" s="106"/>
      <c r="D213" s="106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  <c r="AA213" s="1"/>
    </row>
    <row r="214" ht="13.5" customHeight="1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  <c r="AA214" s="1"/>
    </row>
    <row r="215" ht="13.5" customHeight="1">
      <c r="A215" s="106"/>
      <c r="B215" s="106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  <c r="AA215" s="1"/>
    </row>
    <row r="216" ht="13.5" customHeight="1">
      <c r="A216" s="106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  <c r="AA216" s="1"/>
    </row>
    <row r="217" ht="13.5" customHeight="1">
      <c r="A217" s="106"/>
      <c r="B217" s="106"/>
      <c r="C217" s="106"/>
      <c r="D217" s="106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  <c r="AA217" s="1"/>
    </row>
    <row r="218" ht="13.5" customHeight="1">
      <c r="A218" s="106"/>
      <c r="B218" s="106"/>
      <c r="C218" s="106"/>
      <c r="D218" s="106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  <c r="AA218" s="1"/>
    </row>
    <row r="219" ht="13.5" customHeight="1">
      <c r="A219" s="106"/>
      <c r="B219" s="106"/>
      <c r="C219" s="106"/>
      <c r="D219" s="106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  <c r="AA219" s="1"/>
    </row>
    <row r="220" ht="13.5" customHeight="1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  <c r="AA220" s="1"/>
    </row>
    <row r="221" ht="13.5" customHeight="1">
      <c r="A221" s="106"/>
      <c r="B221" s="106"/>
      <c r="C221" s="106"/>
      <c r="D221" s="106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  <c r="AA221" s="1"/>
    </row>
    <row r="222" ht="13.5" customHeight="1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  <c r="AA222" s="1"/>
    </row>
    <row r="223" ht="13.5" customHeight="1">
      <c r="A223" s="106"/>
      <c r="B223" s="106"/>
      <c r="C223" s="106"/>
      <c r="D223" s="106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  <c r="AA223" s="1"/>
    </row>
    <row r="224" ht="13.5" customHeight="1">
      <c r="A224" s="106"/>
      <c r="B224" s="106"/>
      <c r="C224" s="106"/>
      <c r="D224" s="106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  <c r="AA224" s="1"/>
    </row>
    <row r="225" ht="13.5" customHeight="1">
      <c r="A225" s="106"/>
      <c r="B225" s="106"/>
      <c r="C225" s="106"/>
      <c r="D225" s="106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  <c r="AA225" s="1"/>
    </row>
    <row r="226" ht="13.5" customHeight="1">
      <c r="A226" s="106"/>
      <c r="B226" s="106"/>
      <c r="C226" s="106"/>
      <c r="D226" s="106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  <c r="AA226" s="1"/>
    </row>
    <row r="227" ht="13.5" customHeight="1">
      <c r="A227" s="106"/>
      <c r="B227" s="106"/>
      <c r="C227" s="106"/>
      <c r="D227" s="106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  <c r="AA227" s="1"/>
    </row>
    <row r="228" ht="13.5" customHeight="1">
      <c r="A228" s="106"/>
      <c r="B228" s="106"/>
      <c r="C228" s="106"/>
      <c r="D228" s="106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  <c r="AA228" s="1"/>
    </row>
    <row r="229" ht="13.5" customHeight="1">
      <c r="A229" s="106"/>
      <c r="B229" s="106"/>
      <c r="C229" s="106"/>
      <c r="D229" s="106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  <c r="AA229" s="1"/>
    </row>
    <row r="230" ht="13.5" customHeight="1">
      <c r="A230" s="106"/>
      <c r="B230" s="106"/>
      <c r="C230" s="106"/>
      <c r="D230" s="106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  <c r="AA230" s="1"/>
    </row>
    <row r="231" ht="13.5" customHeight="1">
      <c r="A231" s="106"/>
      <c r="B231" s="106"/>
      <c r="C231" s="106"/>
      <c r="D231" s="106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  <c r="AA231" s="1"/>
    </row>
    <row r="232" ht="13.5" customHeight="1">
      <c r="A232" s="106"/>
      <c r="B232" s="106"/>
      <c r="C232" s="106"/>
      <c r="D232" s="106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  <c r="AA232" s="1"/>
    </row>
    <row r="233" ht="13.5" customHeight="1">
      <c r="A233" s="106"/>
      <c r="B233" s="106"/>
      <c r="C233" s="106"/>
      <c r="D233" s="106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  <c r="AA233" s="1"/>
    </row>
    <row r="234" ht="13.5" customHeight="1">
      <c r="A234" s="106"/>
      <c r="B234" s="106"/>
      <c r="C234" s="106"/>
      <c r="D234" s="106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  <c r="AA234" s="1"/>
    </row>
    <row r="235" ht="13.5" customHeight="1">
      <c r="A235" s="106"/>
      <c r="B235" s="106"/>
      <c r="C235" s="106"/>
      <c r="D235" s="106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  <c r="AA235" s="1"/>
    </row>
    <row r="236" ht="13.5" customHeight="1">
      <c r="A236" s="106"/>
      <c r="B236" s="106"/>
      <c r="C236" s="106"/>
      <c r="D236" s="106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  <c r="AA236" s="1"/>
    </row>
    <row r="237" ht="13.5" customHeight="1">
      <c r="A237" s="106"/>
      <c r="B237" s="106"/>
      <c r="C237" s="106"/>
      <c r="D237" s="106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  <c r="AA237" s="1"/>
    </row>
    <row r="238" ht="13.5" customHeight="1">
      <c r="A238" s="106"/>
      <c r="B238" s="106"/>
      <c r="C238" s="106"/>
      <c r="D238" s="106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  <c r="AA238" s="1"/>
    </row>
    <row r="239" ht="13.5" customHeight="1">
      <c r="A239" s="106"/>
      <c r="B239" s="106"/>
      <c r="C239" s="106"/>
      <c r="D239" s="106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  <c r="AA239" s="1"/>
    </row>
    <row r="240" ht="13.5" customHeight="1">
      <c r="A240" s="106"/>
      <c r="B240" s="106"/>
      <c r="C240" s="106"/>
      <c r="D240" s="106"/>
      <c r="E240" s="106"/>
      <c r="F240" s="106"/>
      <c r="G240" s="106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  <c r="AA240" s="1"/>
    </row>
    <row r="241" ht="13.5" customHeight="1">
      <c r="A241" s="106"/>
      <c r="B241" s="106"/>
      <c r="C241" s="106"/>
      <c r="D241" s="106"/>
      <c r="E241" s="106"/>
      <c r="F241" s="106"/>
      <c r="G241" s="106"/>
      <c r="H241" s="106"/>
      <c r="I241" s="106"/>
      <c r="J241" s="106"/>
      <c r="K241" s="106"/>
      <c r="L241" s="106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  <c r="Y241" s="106"/>
      <c r="Z241" s="106"/>
      <c r="AA241" s="1"/>
    </row>
    <row r="242" ht="13.5" customHeight="1">
      <c r="A242" s="106"/>
      <c r="B242" s="106"/>
      <c r="C242" s="106"/>
      <c r="D242" s="106"/>
      <c r="E242" s="106"/>
      <c r="F242" s="106"/>
      <c r="G242" s="106"/>
      <c r="H242" s="106"/>
      <c r="I242" s="106"/>
      <c r="J242" s="106"/>
      <c r="K242" s="106"/>
      <c r="L242" s="106"/>
      <c r="M242" s="106"/>
      <c r="N242" s="106"/>
      <c r="O242" s="106"/>
      <c r="P242" s="106"/>
      <c r="Q242" s="106"/>
      <c r="R242" s="106"/>
      <c r="S242" s="106"/>
      <c r="T242" s="106"/>
      <c r="U242" s="106"/>
      <c r="V242" s="106"/>
      <c r="W242" s="106"/>
      <c r="X242" s="106"/>
      <c r="Y242" s="106"/>
      <c r="Z242" s="106"/>
      <c r="AA242" s="1"/>
    </row>
    <row r="243" ht="13.5" customHeight="1">
      <c r="A243" s="106"/>
      <c r="B243" s="106"/>
      <c r="C243" s="106"/>
      <c r="D243" s="106"/>
      <c r="E243" s="106"/>
      <c r="F243" s="106"/>
      <c r="G243" s="106"/>
      <c r="H243" s="106"/>
      <c r="I243" s="106"/>
      <c r="J243" s="106"/>
      <c r="K243" s="106"/>
      <c r="L243" s="106"/>
      <c r="M243" s="106"/>
      <c r="N243" s="106"/>
      <c r="O243" s="106"/>
      <c r="P243" s="106"/>
      <c r="Q243" s="106"/>
      <c r="R243" s="106"/>
      <c r="S243" s="106"/>
      <c r="T243" s="106"/>
      <c r="U243" s="106"/>
      <c r="V243" s="106"/>
      <c r="W243" s="106"/>
      <c r="X243" s="106"/>
      <c r="Y243" s="106"/>
      <c r="Z243" s="106"/>
      <c r="AA243" s="1"/>
    </row>
    <row r="244" ht="13.5" customHeight="1">
      <c r="A244" s="106"/>
      <c r="B244" s="106"/>
      <c r="C244" s="106"/>
      <c r="D244" s="106"/>
      <c r="E244" s="106"/>
      <c r="F244" s="106"/>
      <c r="G244" s="106"/>
      <c r="H244" s="106"/>
      <c r="I244" s="106"/>
      <c r="J244" s="106"/>
      <c r="K244" s="106"/>
      <c r="L244" s="106"/>
      <c r="M244" s="106"/>
      <c r="N244" s="106"/>
      <c r="O244" s="106"/>
      <c r="P244" s="106"/>
      <c r="Q244" s="106"/>
      <c r="R244" s="106"/>
      <c r="S244" s="106"/>
      <c r="T244" s="106"/>
      <c r="U244" s="106"/>
      <c r="V244" s="106"/>
      <c r="W244" s="106"/>
      <c r="X244" s="106"/>
      <c r="Y244" s="106"/>
      <c r="Z244" s="106"/>
      <c r="AA244" s="1"/>
    </row>
    <row r="245" ht="13.5" customHeight="1">
      <c r="A245" s="106"/>
      <c r="B245" s="106"/>
      <c r="C245" s="106"/>
      <c r="D245" s="106"/>
      <c r="E245" s="106"/>
      <c r="F245" s="106"/>
      <c r="G245" s="106"/>
      <c r="H245" s="106"/>
      <c r="I245" s="106"/>
      <c r="J245" s="106"/>
      <c r="K245" s="106"/>
      <c r="L245" s="106"/>
      <c r="M245" s="106"/>
      <c r="N245" s="106"/>
      <c r="O245" s="106"/>
      <c r="P245" s="106"/>
      <c r="Q245" s="106"/>
      <c r="R245" s="106"/>
      <c r="S245" s="106"/>
      <c r="T245" s="106"/>
      <c r="U245" s="106"/>
      <c r="V245" s="106"/>
      <c r="W245" s="106"/>
      <c r="X245" s="106"/>
      <c r="Y245" s="106"/>
      <c r="Z245" s="106"/>
      <c r="AA245" s="1"/>
    </row>
    <row r="246" ht="13.5" customHeight="1">
      <c r="A246" s="106"/>
      <c r="B246" s="106"/>
      <c r="C246" s="106"/>
      <c r="D246" s="106"/>
      <c r="E246" s="106"/>
      <c r="F246" s="106"/>
      <c r="G246" s="106"/>
      <c r="H246" s="106"/>
      <c r="I246" s="106"/>
      <c r="J246" s="106"/>
      <c r="K246" s="106"/>
      <c r="L246" s="106"/>
      <c r="M246" s="106"/>
      <c r="N246" s="106"/>
      <c r="O246" s="106"/>
      <c r="P246" s="106"/>
      <c r="Q246" s="106"/>
      <c r="R246" s="106"/>
      <c r="S246" s="106"/>
      <c r="T246" s="106"/>
      <c r="U246" s="106"/>
      <c r="V246" s="106"/>
      <c r="W246" s="106"/>
      <c r="X246" s="106"/>
      <c r="Y246" s="106"/>
      <c r="Z246" s="106"/>
      <c r="AA246" s="1"/>
    </row>
    <row r="247" ht="13.5" customHeight="1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Z247" s="106"/>
      <c r="AA247" s="1"/>
    </row>
    <row r="248" ht="13.5" customHeight="1">
      <c r="A248" s="106"/>
      <c r="B248" s="106"/>
      <c r="C248" s="106"/>
      <c r="D248" s="106"/>
      <c r="E248" s="106"/>
      <c r="F248" s="106"/>
      <c r="G248" s="106"/>
      <c r="H248" s="106"/>
      <c r="I248" s="106"/>
      <c r="J248" s="106"/>
      <c r="K248" s="106"/>
      <c r="L248" s="106"/>
      <c r="M248" s="106"/>
      <c r="N248" s="106"/>
      <c r="O248" s="106"/>
      <c r="P248" s="106"/>
      <c r="Q248" s="106"/>
      <c r="R248" s="106"/>
      <c r="S248" s="106"/>
      <c r="T248" s="106"/>
      <c r="U248" s="106"/>
      <c r="V248" s="106"/>
      <c r="W248" s="106"/>
      <c r="X248" s="106"/>
      <c r="Y248" s="106"/>
      <c r="Z248" s="106"/>
      <c r="AA248" s="1"/>
    </row>
    <row r="249" ht="13.5" customHeight="1">
      <c r="A249" s="106"/>
      <c r="B249" s="106"/>
      <c r="C249" s="106"/>
      <c r="D249" s="106"/>
      <c r="E249" s="106"/>
      <c r="F249" s="106"/>
      <c r="G249" s="106"/>
      <c r="H249" s="106"/>
      <c r="I249" s="106"/>
      <c r="J249" s="106"/>
      <c r="K249" s="106"/>
      <c r="L249" s="106"/>
      <c r="M249" s="106"/>
      <c r="N249" s="106"/>
      <c r="O249" s="106"/>
      <c r="P249" s="106"/>
      <c r="Q249" s="106"/>
      <c r="R249" s="106"/>
      <c r="S249" s="106"/>
      <c r="T249" s="106"/>
      <c r="U249" s="106"/>
      <c r="V249" s="106"/>
      <c r="W249" s="106"/>
      <c r="X249" s="106"/>
      <c r="Y249" s="106"/>
      <c r="Z249" s="106"/>
      <c r="AA249" s="1"/>
    </row>
    <row r="250" ht="13.5" customHeight="1">
      <c r="A250" s="106"/>
      <c r="B250" s="106"/>
      <c r="C250" s="106"/>
      <c r="D250" s="106"/>
      <c r="E250" s="106"/>
      <c r="F250" s="106"/>
      <c r="G250" s="106"/>
      <c r="H250" s="106"/>
      <c r="I250" s="106"/>
      <c r="J250" s="106"/>
      <c r="K250" s="106"/>
      <c r="L250" s="106"/>
      <c r="M250" s="106"/>
      <c r="N250" s="106"/>
      <c r="O250" s="106"/>
      <c r="P250" s="106"/>
      <c r="Q250" s="106"/>
      <c r="R250" s="106"/>
      <c r="S250" s="106"/>
      <c r="T250" s="106"/>
      <c r="U250" s="106"/>
      <c r="V250" s="106"/>
      <c r="W250" s="106"/>
      <c r="X250" s="106"/>
      <c r="Y250" s="106"/>
      <c r="Z250" s="106"/>
      <c r="AA250" s="1"/>
    </row>
    <row r="251" ht="13.5" customHeight="1">
      <c r="A251" s="106"/>
      <c r="B251" s="106"/>
      <c r="C251" s="106"/>
      <c r="D251" s="106"/>
      <c r="E251" s="106"/>
      <c r="F251" s="106"/>
      <c r="G251" s="106"/>
      <c r="H251" s="106"/>
      <c r="I251" s="106"/>
      <c r="J251" s="106"/>
      <c r="K251" s="106"/>
      <c r="L251" s="106"/>
      <c r="M251" s="106"/>
      <c r="N251" s="106"/>
      <c r="O251" s="106"/>
      <c r="P251" s="106"/>
      <c r="Q251" s="106"/>
      <c r="R251" s="106"/>
      <c r="S251" s="106"/>
      <c r="T251" s="106"/>
      <c r="U251" s="106"/>
      <c r="V251" s="106"/>
      <c r="W251" s="106"/>
      <c r="X251" s="106"/>
      <c r="Y251" s="106"/>
      <c r="Z251" s="106"/>
      <c r="AA251" s="1"/>
    </row>
    <row r="252" ht="13.5" customHeight="1">
      <c r="A252" s="106"/>
      <c r="B252" s="106"/>
      <c r="C252" s="106"/>
      <c r="D252" s="106"/>
      <c r="E252" s="106"/>
      <c r="F252" s="106"/>
      <c r="G252" s="106"/>
      <c r="H252" s="106"/>
      <c r="I252" s="106"/>
      <c r="J252" s="106"/>
      <c r="K252" s="106"/>
      <c r="L252" s="106"/>
      <c r="M252" s="106"/>
      <c r="N252" s="106"/>
      <c r="O252" s="106"/>
      <c r="P252" s="106"/>
      <c r="Q252" s="106"/>
      <c r="R252" s="106"/>
      <c r="S252" s="106"/>
      <c r="T252" s="106"/>
      <c r="U252" s="106"/>
      <c r="V252" s="106"/>
      <c r="W252" s="106"/>
      <c r="X252" s="106"/>
      <c r="Y252" s="106"/>
      <c r="Z252" s="106"/>
      <c r="AA252" s="1"/>
    </row>
    <row r="253" ht="13.5" customHeight="1">
      <c r="A253" s="106"/>
      <c r="B253" s="106"/>
      <c r="C253" s="106"/>
      <c r="D253" s="106"/>
      <c r="E253" s="106"/>
      <c r="F253" s="106"/>
      <c r="G253" s="106"/>
      <c r="H253" s="106"/>
      <c r="I253" s="106"/>
      <c r="J253" s="106"/>
      <c r="K253" s="106"/>
      <c r="L253" s="106"/>
      <c r="M253" s="106"/>
      <c r="N253" s="106"/>
      <c r="O253" s="106"/>
      <c r="P253" s="106"/>
      <c r="Q253" s="106"/>
      <c r="R253" s="106"/>
      <c r="S253" s="106"/>
      <c r="T253" s="106"/>
      <c r="U253" s="106"/>
      <c r="V253" s="106"/>
      <c r="W253" s="106"/>
      <c r="X253" s="106"/>
      <c r="Y253" s="106"/>
      <c r="Z253" s="106"/>
      <c r="AA253" s="1"/>
    </row>
    <row r="254" ht="13.5" customHeight="1">
      <c r="A254" s="106"/>
      <c r="B254" s="106"/>
      <c r="C254" s="106"/>
      <c r="D254" s="106"/>
      <c r="E254" s="106"/>
      <c r="F254" s="106"/>
      <c r="G254" s="106"/>
      <c r="H254" s="106"/>
      <c r="I254" s="106"/>
      <c r="J254" s="106"/>
      <c r="K254" s="106"/>
      <c r="L254" s="106"/>
      <c r="M254" s="106"/>
      <c r="N254" s="106"/>
      <c r="O254" s="106"/>
      <c r="P254" s="106"/>
      <c r="Q254" s="106"/>
      <c r="R254" s="106"/>
      <c r="S254" s="106"/>
      <c r="T254" s="106"/>
      <c r="U254" s="106"/>
      <c r="V254" s="106"/>
      <c r="W254" s="106"/>
      <c r="X254" s="106"/>
      <c r="Y254" s="106"/>
      <c r="Z254" s="106"/>
      <c r="AA254" s="1"/>
    </row>
    <row r="255" ht="13.5" customHeight="1">
      <c r="A255" s="106"/>
      <c r="B255" s="106"/>
      <c r="C255" s="106"/>
      <c r="D255" s="106"/>
      <c r="E255" s="106"/>
      <c r="F255" s="106"/>
      <c r="G255" s="106"/>
      <c r="H255" s="106"/>
      <c r="I255" s="106"/>
      <c r="J255" s="106"/>
      <c r="K255" s="106"/>
      <c r="L255" s="106"/>
      <c r="M255" s="106"/>
      <c r="N255" s="106"/>
      <c r="O255" s="106"/>
      <c r="P255" s="106"/>
      <c r="Q255" s="106"/>
      <c r="R255" s="106"/>
      <c r="S255" s="106"/>
      <c r="T255" s="106"/>
      <c r="U255" s="106"/>
      <c r="V255" s="106"/>
      <c r="W255" s="106"/>
      <c r="X255" s="106"/>
      <c r="Y255" s="106"/>
      <c r="Z255" s="106"/>
      <c r="AA255" s="1"/>
    </row>
    <row r="256" ht="13.5" customHeight="1">
      <c r="A256" s="106"/>
      <c r="B256" s="106"/>
      <c r="C256" s="106"/>
      <c r="D256" s="106"/>
      <c r="E256" s="106"/>
      <c r="F256" s="106"/>
      <c r="G256" s="106"/>
      <c r="H256" s="106"/>
      <c r="I256" s="106"/>
      <c r="J256" s="106"/>
      <c r="K256" s="106"/>
      <c r="L256" s="106"/>
      <c r="M256" s="106"/>
      <c r="N256" s="106"/>
      <c r="O256" s="106"/>
      <c r="P256" s="106"/>
      <c r="Q256" s="106"/>
      <c r="R256" s="106"/>
      <c r="S256" s="106"/>
      <c r="T256" s="106"/>
      <c r="U256" s="106"/>
      <c r="V256" s="106"/>
      <c r="W256" s="106"/>
      <c r="X256" s="106"/>
      <c r="Y256" s="106"/>
      <c r="Z256" s="106"/>
      <c r="AA256" s="1"/>
    </row>
    <row r="257" ht="13.5" customHeight="1">
      <c r="A257" s="106"/>
      <c r="B257" s="106"/>
      <c r="C257" s="106"/>
      <c r="D257" s="106"/>
      <c r="E257" s="106"/>
      <c r="F257" s="106"/>
      <c r="G257" s="106"/>
      <c r="H257" s="106"/>
      <c r="I257" s="106"/>
      <c r="J257" s="106"/>
      <c r="K257" s="106"/>
      <c r="L257" s="106"/>
      <c r="M257" s="106"/>
      <c r="N257" s="106"/>
      <c r="O257" s="106"/>
      <c r="P257" s="106"/>
      <c r="Q257" s="106"/>
      <c r="R257" s="106"/>
      <c r="S257" s="106"/>
      <c r="T257" s="106"/>
      <c r="U257" s="106"/>
      <c r="V257" s="106"/>
      <c r="W257" s="106"/>
      <c r="X257" s="106"/>
      <c r="Y257" s="106"/>
      <c r="Z257" s="106"/>
    </row>
    <row r="258" ht="13.5" customHeight="1">
      <c r="A258" s="106"/>
      <c r="B258" s="106"/>
      <c r="C258" s="106"/>
      <c r="D258" s="106"/>
      <c r="E258" s="106"/>
      <c r="F258" s="106"/>
      <c r="G258" s="106"/>
      <c r="H258" s="106"/>
      <c r="I258" s="106"/>
      <c r="J258" s="106"/>
      <c r="K258" s="106"/>
      <c r="L258" s="106"/>
      <c r="M258" s="106"/>
      <c r="N258" s="106"/>
      <c r="O258" s="106"/>
      <c r="P258" s="106"/>
      <c r="Q258" s="106"/>
      <c r="R258" s="106"/>
      <c r="S258" s="106"/>
      <c r="T258" s="106"/>
      <c r="U258" s="106"/>
      <c r="V258" s="106"/>
      <c r="W258" s="106"/>
      <c r="X258" s="106"/>
      <c r="Y258" s="106"/>
      <c r="Z258" s="106"/>
    </row>
    <row r="259" ht="15.75" customHeight="1">
      <c r="A259" s="106"/>
      <c r="B259" s="106"/>
      <c r="C259" s="106"/>
      <c r="D259" s="106"/>
      <c r="E259" s="106"/>
      <c r="F259" s="106"/>
      <c r="G259" s="106"/>
      <c r="H259" s="106"/>
      <c r="I259" s="106"/>
      <c r="J259" s="106"/>
      <c r="K259" s="106"/>
      <c r="L259" s="106"/>
      <c r="M259" s="106"/>
      <c r="N259" s="106"/>
      <c r="O259" s="106"/>
      <c r="P259" s="106"/>
      <c r="Q259" s="106"/>
      <c r="R259" s="106"/>
      <c r="S259" s="106"/>
      <c r="T259" s="106"/>
      <c r="U259" s="106"/>
      <c r="V259" s="106"/>
      <c r="W259" s="106"/>
      <c r="X259" s="106"/>
      <c r="Y259" s="106"/>
      <c r="Z259" s="106"/>
    </row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</sheetData>
  <mergeCells count="29">
    <mergeCell ref="F14:F15"/>
    <mergeCell ref="G14:G15"/>
    <mergeCell ref="G53:G54"/>
    <mergeCell ref="I53:J54"/>
    <mergeCell ref="K53:K54"/>
    <mergeCell ref="L53:L54"/>
    <mergeCell ref="A9:L9"/>
    <mergeCell ref="E10:L10"/>
    <mergeCell ref="A13:B13"/>
    <mergeCell ref="C13:D13"/>
    <mergeCell ref="H13:H15"/>
    <mergeCell ref="I13:I14"/>
    <mergeCell ref="J13:L14"/>
    <mergeCell ref="J15:L15"/>
    <mergeCell ref="B57:C57"/>
    <mergeCell ref="B58:C58"/>
    <mergeCell ref="G58:G59"/>
    <mergeCell ref="I58:J59"/>
    <mergeCell ref="K58:K59"/>
    <mergeCell ref="L58:L59"/>
    <mergeCell ref="B59:C59"/>
    <mergeCell ref="E61:G61"/>
    <mergeCell ref="B14:D14"/>
    <mergeCell ref="E14:E15"/>
    <mergeCell ref="B16:D16"/>
    <mergeCell ref="B53:C53"/>
    <mergeCell ref="B54:C54"/>
    <mergeCell ref="B55:C55"/>
    <mergeCell ref="B56:C56"/>
  </mergeCells>
  <conditionalFormatting sqref="B28:D28 B30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 B30:D30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K17:L51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27" width="10.71"/>
  </cols>
  <sheetData>
    <row r="1" ht="13.5" customHeight="1">
      <c r="A1" s="106"/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"/>
    </row>
    <row r="2" ht="15.0" customHeight="1">
      <c r="A2" s="107"/>
      <c r="B2" s="108"/>
      <c r="C2" s="108"/>
      <c r="D2" s="108"/>
      <c r="E2" s="109"/>
      <c r="F2" s="109"/>
      <c r="G2" s="109"/>
      <c r="H2" s="109"/>
      <c r="I2" s="109"/>
      <c r="J2" s="109"/>
      <c r="K2" s="109"/>
      <c r="L2" s="110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"/>
    </row>
    <row r="3" ht="15.0" customHeight="1">
      <c r="A3" s="111"/>
      <c r="B3" s="112"/>
      <c r="C3" s="112"/>
      <c r="D3" s="112"/>
      <c r="E3" s="106"/>
      <c r="F3" s="106"/>
      <c r="G3" s="106"/>
      <c r="H3" s="106"/>
      <c r="I3" s="106"/>
      <c r="J3" s="106"/>
      <c r="K3" s="106"/>
      <c r="L3" s="113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"/>
    </row>
    <row r="4" ht="15.0" customHeight="1">
      <c r="A4" s="111"/>
      <c r="B4" s="112"/>
      <c r="C4" s="112"/>
      <c r="D4" s="112"/>
      <c r="E4" s="106"/>
      <c r="F4" s="106"/>
      <c r="G4" s="106"/>
      <c r="H4" s="106"/>
      <c r="I4" s="106"/>
      <c r="J4" s="106"/>
      <c r="K4" s="106"/>
      <c r="L4" s="113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  <c r="AA4" s="1"/>
    </row>
    <row r="5" ht="15.0" customHeight="1">
      <c r="A5" s="111"/>
      <c r="B5" s="112"/>
      <c r="C5" s="112"/>
      <c r="D5" s="112"/>
      <c r="E5" s="106"/>
      <c r="F5" s="106"/>
      <c r="G5" s="106"/>
      <c r="H5" s="106"/>
      <c r="I5" s="106"/>
      <c r="J5" s="106"/>
      <c r="K5" s="106"/>
      <c r="L5" s="113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"/>
    </row>
    <row r="6" ht="15.0" customHeight="1">
      <c r="A6" s="111"/>
      <c r="B6" s="112"/>
      <c r="C6" s="112"/>
      <c r="D6" s="112"/>
      <c r="E6" s="106"/>
      <c r="F6" s="106"/>
      <c r="G6" s="106"/>
      <c r="H6" s="106"/>
      <c r="I6" s="106"/>
      <c r="J6" s="106"/>
      <c r="K6" s="106"/>
      <c r="L6" s="113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  <c r="AA6" s="1"/>
    </row>
    <row r="7" ht="15.0" customHeight="1">
      <c r="A7" s="111"/>
      <c r="B7" s="112"/>
      <c r="C7" s="112"/>
      <c r="D7" s="112"/>
      <c r="E7" s="106"/>
      <c r="F7" s="106"/>
      <c r="G7" s="106"/>
      <c r="H7" s="106"/>
      <c r="I7" s="106"/>
      <c r="J7" s="106"/>
      <c r="K7" s="106"/>
      <c r="L7" s="113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"/>
    </row>
    <row r="8" ht="9.75" customHeight="1">
      <c r="A8" s="111"/>
      <c r="B8" s="112"/>
      <c r="C8" s="112"/>
      <c r="D8" s="112"/>
      <c r="E8" s="106"/>
      <c r="F8" s="106"/>
      <c r="G8" s="106"/>
      <c r="H8" s="106"/>
      <c r="I8" s="106"/>
      <c r="J8" s="106"/>
      <c r="K8" s="106"/>
      <c r="L8" s="113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  <c r="AA8" s="1"/>
    </row>
    <row r="9" ht="23.25" customHeight="1">
      <c r="A9" s="114" t="s">
        <v>0</v>
      </c>
      <c r="L9" s="10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  <c r="AA9" s="1"/>
    </row>
    <row r="10" ht="9.75" customHeight="1">
      <c r="A10" s="111"/>
      <c r="B10" s="112"/>
      <c r="C10" s="112"/>
      <c r="D10" s="112"/>
      <c r="E10" s="115"/>
      <c r="L10" s="10"/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  <c r="AA10" s="1"/>
    </row>
    <row r="11" ht="19.5" customHeight="1">
      <c r="A11" s="111"/>
      <c r="B11" s="116" t="s">
        <v>1</v>
      </c>
      <c r="C11" s="112"/>
      <c r="D11" s="112"/>
      <c r="E11" s="106"/>
      <c r="F11" s="106"/>
      <c r="G11" s="106"/>
      <c r="H11" s="106"/>
      <c r="I11" s="106"/>
      <c r="J11" s="106"/>
      <c r="K11" s="106"/>
      <c r="L11" s="113"/>
      <c r="M11" s="106"/>
      <c r="N11" s="106"/>
      <c r="O11" s="106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  <c r="AA11" s="1"/>
    </row>
    <row r="12" ht="12.75" customHeight="1">
      <c r="A12" s="111"/>
      <c r="B12" s="112"/>
      <c r="C12" s="112"/>
      <c r="D12" s="112"/>
      <c r="E12" s="106"/>
      <c r="F12" s="106"/>
      <c r="G12" s="106"/>
      <c r="H12" s="106"/>
      <c r="I12" s="106"/>
      <c r="J12" s="106"/>
      <c r="K12" s="106"/>
      <c r="L12" s="113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"/>
    </row>
    <row r="13" ht="32.25" customHeight="1">
      <c r="A13" s="117" t="s">
        <v>2</v>
      </c>
      <c r="B13" s="17"/>
      <c r="C13" s="118"/>
      <c r="D13" s="17"/>
      <c r="E13" s="19" t="s">
        <v>3</v>
      </c>
      <c r="F13" s="19" t="s">
        <v>4</v>
      </c>
      <c r="G13" s="20" t="s">
        <v>5</v>
      </c>
      <c r="H13" s="119" t="s">
        <v>6</v>
      </c>
      <c r="I13" s="120">
        <v>1.0</v>
      </c>
      <c r="J13" s="23" t="s">
        <v>7</v>
      </c>
      <c r="K13" s="24"/>
      <c r="L13" s="25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  <c r="AA13" s="1"/>
    </row>
    <row r="14" ht="35.25" customHeight="1">
      <c r="A14" s="121" t="s">
        <v>8</v>
      </c>
      <c r="B14" s="122" t="s">
        <v>136</v>
      </c>
      <c r="C14" s="28"/>
      <c r="D14" s="29"/>
      <c r="E14" s="30" t="s">
        <v>10</v>
      </c>
      <c r="F14" s="30" t="s">
        <v>11</v>
      </c>
      <c r="G14" s="31" t="s">
        <v>12</v>
      </c>
      <c r="H14" s="32"/>
      <c r="I14" s="33"/>
      <c r="J14" s="34"/>
      <c r="K14" s="35"/>
      <c r="L14" s="36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  <c r="AA14" s="1"/>
    </row>
    <row r="15" ht="24.75" customHeight="1">
      <c r="A15" s="123" t="s">
        <v>13</v>
      </c>
      <c r="B15" s="124" t="s">
        <v>14</v>
      </c>
      <c r="C15" s="125" t="s">
        <v>15</v>
      </c>
      <c r="D15" s="125">
        <v>3.0</v>
      </c>
      <c r="E15" s="33"/>
      <c r="F15" s="33"/>
      <c r="G15" s="33"/>
      <c r="H15" s="40"/>
      <c r="I15" s="126"/>
      <c r="J15" s="127"/>
      <c r="K15" s="28"/>
      <c r="L15" s="43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  <c r="AA15" s="1"/>
    </row>
    <row r="16" ht="40.5" customHeight="1">
      <c r="A16" s="128" t="s">
        <v>16</v>
      </c>
      <c r="B16" s="129" t="s">
        <v>17</v>
      </c>
      <c r="C16" s="28"/>
      <c r="D16" s="29"/>
      <c r="E16" s="47"/>
      <c r="F16" s="47"/>
      <c r="G16" s="47"/>
      <c r="H16" s="130"/>
      <c r="I16" s="131" t="s">
        <v>18</v>
      </c>
      <c r="J16" s="132" t="s">
        <v>19</v>
      </c>
      <c r="K16" s="132" t="s">
        <v>20</v>
      </c>
      <c r="L16" s="133" t="s">
        <v>21</v>
      </c>
      <c r="M16" s="132" t="s">
        <v>20</v>
      </c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  <c r="AA16" s="1"/>
    </row>
    <row r="17" ht="24.75" customHeight="1">
      <c r="A17" s="134">
        <v>1.0</v>
      </c>
      <c r="B17" s="53" t="s">
        <v>22</v>
      </c>
      <c r="C17" s="53" t="s">
        <v>23</v>
      </c>
      <c r="D17" s="54" t="s">
        <v>24</v>
      </c>
      <c r="E17" s="135"/>
      <c r="F17" s="135"/>
      <c r="G17" s="135"/>
      <c r="H17" s="135"/>
      <c r="I17" s="136">
        <f t="shared" ref="I17:I51" si="1">SUM(E17:H17)</f>
        <v>0</v>
      </c>
      <c r="J17" s="137"/>
      <c r="K17" s="138">
        <f t="shared" ref="K17:K51" si="2">IF(M17&lt;6,5,M17)</f>
        <v>5</v>
      </c>
      <c r="L17" s="139"/>
      <c r="M17" s="140">
        <f t="shared" ref="M17:M51" si="3">IF(I17&gt;=6,ROUND(I17,0),TRUNC(I17,0))</f>
        <v>0</v>
      </c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  <c r="AA17" s="1"/>
    </row>
    <row r="18" ht="24.75" customHeight="1">
      <c r="A18" s="134">
        <v>2.0</v>
      </c>
      <c r="B18" s="53" t="s">
        <v>25</v>
      </c>
      <c r="C18" s="53" t="s">
        <v>26</v>
      </c>
      <c r="D18" s="54" t="s">
        <v>27</v>
      </c>
      <c r="E18" s="135"/>
      <c r="F18" s="135"/>
      <c r="G18" s="135"/>
      <c r="H18" s="135"/>
      <c r="I18" s="136">
        <f t="shared" si="1"/>
        <v>0</v>
      </c>
      <c r="J18" s="137"/>
      <c r="K18" s="138">
        <f t="shared" si="2"/>
        <v>5</v>
      </c>
      <c r="L18" s="137"/>
      <c r="M18" s="140">
        <f t="shared" si="3"/>
        <v>0</v>
      </c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6"/>
      <c r="AA18" s="1"/>
    </row>
    <row r="19" ht="24.75" customHeight="1">
      <c r="A19" s="134">
        <v>3.0</v>
      </c>
      <c r="B19" s="53" t="s">
        <v>28</v>
      </c>
      <c r="C19" s="53" t="s">
        <v>29</v>
      </c>
      <c r="D19" s="54" t="s">
        <v>30</v>
      </c>
      <c r="E19" s="135"/>
      <c r="F19" s="135"/>
      <c r="G19" s="135"/>
      <c r="H19" s="135"/>
      <c r="I19" s="136">
        <f t="shared" si="1"/>
        <v>0</v>
      </c>
      <c r="J19" s="137"/>
      <c r="K19" s="138">
        <f t="shared" si="2"/>
        <v>5</v>
      </c>
      <c r="L19" s="137"/>
      <c r="M19" s="140">
        <f t="shared" si="3"/>
        <v>0</v>
      </c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  <c r="AA19" s="1"/>
    </row>
    <row r="20" ht="24.75" customHeight="1">
      <c r="A20" s="134">
        <v>4.0</v>
      </c>
      <c r="B20" s="53" t="s">
        <v>31</v>
      </c>
      <c r="C20" s="53" t="s">
        <v>32</v>
      </c>
      <c r="D20" s="54" t="s">
        <v>33</v>
      </c>
      <c r="E20" s="135"/>
      <c r="F20" s="135"/>
      <c r="G20" s="135"/>
      <c r="H20" s="135"/>
      <c r="I20" s="136">
        <f t="shared" si="1"/>
        <v>0</v>
      </c>
      <c r="J20" s="137"/>
      <c r="K20" s="138">
        <f t="shared" si="2"/>
        <v>5</v>
      </c>
      <c r="L20" s="137"/>
      <c r="M20" s="140">
        <f t="shared" si="3"/>
        <v>0</v>
      </c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  <c r="AA20" s="1"/>
    </row>
    <row r="21" ht="24.75" customHeight="1">
      <c r="A21" s="134">
        <v>5.0</v>
      </c>
      <c r="B21" s="53" t="s">
        <v>34</v>
      </c>
      <c r="C21" s="53" t="s">
        <v>35</v>
      </c>
      <c r="D21" s="54" t="s">
        <v>36</v>
      </c>
      <c r="E21" s="135"/>
      <c r="F21" s="135"/>
      <c r="G21" s="135"/>
      <c r="H21" s="135"/>
      <c r="I21" s="136">
        <f t="shared" si="1"/>
        <v>0</v>
      </c>
      <c r="J21" s="137"/>
      <c r="K21" s="138">
        <f t="shared" si="2"/>
        <v>5</v>
      </c>
      <c r="L21" s="137"/>
      <c r="M21" s="140">
        <f t="shared" si="3"/>
        <v>0</v>
      </c>
      <c r="N21" s="106"/>
      <c r="O21" s="106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  <c r="AA21" s="1"/>
    </row>
    <row r="22" ht="24.75" customHeight="1">
      <c r="A22" s="134">
        <v>6.0</v>
      </c>
      <c r="B22" s="53" t="s">
        <v>37</v>
      </c>
      <c r="C22" s="53" t="s">
        <v>38</v>
      </c>
      <c r="D22" s="54" t="s">
        <v>39</v>
      </c>
      <c r="E22" s="135"/>
      <c r="F22" s="135"/>
      <c r="G22" s="135"/>
      <c r="H22" s="135"/>
      <c r="I22" s="136">
        <f t="shared" si="1"/>
        <v>0</v>
      </c>
      <c r="J22" s="137"/>
      <c r="K22" s="138">
        <f t="shared" si="2"/>
        <v>5</v>
      </c>
      <c r="L22" s="137"/>
      <c r="M22" s="140">
        <f t="shared" si="3"/>
        <v>0</v>
      </c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  <c r="AA22" s="1"/>
    </row>
    <row r="23" ht="24.75" customHeight="1">
      <c r="A23" s="134">
        <v>7.0</v>
      </c>
      <c r="B23" s="53" t="s">
        <v>37</v>
      </c>
      <c r="C23" s="53" t="s">
        <v>40</v>
      </c>
      <c r="D23" s="54" t="s">
        <v>41</v>
      </c>
      <c r="E23" s="135"/>
      <c r="F23" s="135"/>
      <c r="G23" s="135"/>
      <c r="H23" s="135"/>
      <c r="I23" s="136">
        <f t="shared" si="1"/>
        <v>0</v>
      </c>
      <c r="J23" s="137"/>
      <c r="K23" s="138">
        <f t="shared" si="2"/>
        <v>5</v>
      </c>
      <c r="L23" s="137"/>
      <c r="M23" s="140">
        <f t="shared" si="3"/>
        <v>0</v>
      </c>
      <c r="N23" s="106"/>
      <c r="O23" s="106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  <c r="AA23" s="1"/>
    </row>
    <row r="24" ht="24.75" customHeight="1">
      <c r="A24" s="134">
        <v>8.0</v>
      </c>
      <c r="B24" s="53" t="s">
        <v>42</v>
      </c>
      <c r="C24" s="53" t="s">
        <v>43</v>
      </c>
      <c r="D24" s="54" t="s">
        <v>44</v>
      </c>
      <c r="E24" s="135"/>
      <c r="F24" s="135"/>
      <c r="G24" s="135"/>
      <c r="H24" s="135"/>
      <c r="I24" s="136">
        <f t="shared" si="1"/>
        <v>0</v>
      </c>
      <c r="J24" s="137"/>
      <c r="K24" s="138">
        <f t="shared" si="2"/>
        <v>5</v>
      </c>
      <c r="L24" s="137"/>
      <c r="M24" s="140">
        <f t="shared" si="3"/>
        <v>0</v>
      </c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  <c r="AA24" s="1"/>
    </row>
    <row r="25" ht="24.75" customHeight="1">
      <c r="A25" s="134">
        <v>9.0</v>
      </c>
      <c r="B25" s="53" t="s">
        <v>45</v>
      </c>
      <c r="C25" s="53" t="s">
        <v>46</v>
      </c>
      <c r="D25" s="54" t="s">
        <v>47</v>
      </c>
      <c r="E25" s="135"/>
      <c r="F25" s="135"/>
      <c r="G25" s="135"/>
      <c r="H25" s="135"/>
      <c r="I25" s="136">
        <f t="shared" si="1"/>
        <v>0</v>
      </c>
      <c r="J25" s="137"/>
      <c r="K25" s="138">
        <f t="shared" si="2"/>
        <v>5</v>
      </c>
      <c r="L25" s="137"/>
      <c r="M25" s="140">
        <f t="shared" si="3"/>
        <v>0</v>
      </c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  <c r="AA25" s="1"/>
    </row>
    <row r="26" ht="24.75" customHeight="1">
      <c r="A26" s="134">
        <v>10.0</v>
      </c>
      <c r="B26" s="53" t="s">
        <v>48</v>
      </c>
      <c r="C26" s="53" t="s">
        <v>49</v>
      </c>
      <c r="D26" s="54" t="s">
        <v>50</v>
      </c>
      <c r="E26" s="135"/>
      <c r="F26" s="135"/>
      <c r="G26" s="135"/>
      <c r="H26" s="135"/>
      <c r="I26" s="136">
        <f t="shared" si="1"/>
        <v>0</v>
      </c>
      <c r="J26" s="137"/>
      <c r="K26" s="138">
        <f t="shared" si="2"/>
        <v>5</v>
      </c>
      <c r="L26" s="137"/>
      <c r="M26" s="140">
        <f t="shared" si="3"/>
        <v>0</v>
      </c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"/>
    </row>
    <row r="27" ht="24.75" customHeight="1">
      <c r="A27" s="134">
        <v>11.0</v>
      </c>
      <c r="B27" s="53" t="s">
        <v>48</v>
      </c>
      <c r="C27" s="53" t="s">
        <v>51</v>
      </c>
      <c r="D27" s="53" t="s">
        <v>52</v>
      </c>
      <c r="E27" s="135"/>
      <c r="F27" s="135"/>
      <c r="G27" s="135"/>
      <c r="H27" s="135"/>
      <c r="I27" s="136">
        <f t="shared" si="1"/>
        <v>0</v>
      </c>
      <c r="J27" s="137"/>
      <c r="K27" s="138">
        <f t="shared" si="2"/>
        <v>5</v>
      </c>
      <c r="L27" s="137"/>
      <c r="M27" s="140">
        <f t="shared" si="3"/>
        <v>0</v>
      </c>
      <c r="N27" s="106"/>
      <c r="O27" s="106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  <c r="AA27" s="1"/>
    </row>
    <row r="28" ht="24.75" customHeight="1">
      <c r="A28" s="134">
        <v>12.0</v>
      </c>
      <c r="B28" s="53" t="s">
        <v>53</v>
      </c>
      <c r="C28" s="53" t="s">
        <v>54</v>
      </c>
      <c r="D28" s="54" t="s">
        <v>55</v>
      </c>
      <c r="E28" s="135"/>
      <c r="F28" s="135"/>
      <c r="G28" s="135"/>
      <c r="H28" s="135"/>
      <c r="I28" s="136">
        <f t="shared" si="1"/>
        <v>0</v>
      </c>
      <c r="J28" s="137"/>
      <c r="K28" s="138">
        <f t="shared" si="2"/>
        <v>5</v>
      </c>
      <c r="L28" s="137"/>
      <c r="M28" s="140">
        <f t="shared" si="3"/>
        <v>0</v>
      </c>
      <c r="N28" s="106"/>
      <c r="O28" s="106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  <c r="AA28" s="1"/>
    </row>
    <row r="29" ht="24.75" customHeight="1">
      <c r="A29" s="134">
        <v>13.0</v>
      </c>
      <c r="B29" s="53" t="s">
        <v>56</v>
      </c>
      <c r="C29" s="53" t="s">
        <v>57</v>
      </c>
      <c r="D29" s="54" t="s">
        <v>58</v>
      </c>
      <c r="E29" s="135"/>
      <c r="F29" s="135"/>
      <c r="G29" s="135"/>
      <c r="H29" s="135"/>
      <c r="I29" s="136">
        <f t="shared" si="1"/>
        <v>0</v>
      </c>
      <c r="J29" s="137"/>
      <c r="K29" s="138">
        <f t="shared" si="2"/>
        <v>5</v>
      </c>
      <c r="L29" s="137"/>
      <c r="M29" s="140">
        <f t="shared" si="3"/>
        <v>0</v>
      </c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  <c r="AA29" s="1"/>
    </row>
    <row r="30" ht="24.75" customHeight="1">
      <c r="A30" s="134">
        <v>14.0</v>
      </c>
      <c r="B30" s="53" t="s">
        <v>57</v>
      </c>
      <c r="C30" s="53" t="s">
        <v>59</v>
      </c>
      <c r="D30" s="54" t="s">
        <v>60</v>
      </c>
      <c r="E30" s="135"/>
      <c r="F30" s="135"/>
      <c r="G30" s="135"/>
      <c r="H30" s="135"/>
      <c r="I30" s="136">
        <f t="shared" si="1"/>
        <v>0</v>
      </c>
      <c r="J30" s="137"/>
      <c r="K30" s="138">
        <f t="shared" si="2"/>
        <v>5</v>
      </c>
      <c r="L30" s="137"/>
      <c r="M30" s="140">
        <f t="shared" si="3"/>
        <v>0</v>
      </c>
      <c r="N30" s="106"/>
      <c r="O30" s="106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  <c r="AA30" s="1"/>
    </row>
    <row r="31" ht="24.75" customHeight="1">
      <c r="A31" s="134">
        <v>15.0</v>
      </c>
      <c r="B31" s="53" t="s">
        <v>61</v>
      </c>
      <c r="C31" s="53" t="s">
        <v>62</v>
      </c>
      <c r="D31" s="54" t="s">
        <v>63</v>
      </c>
      <c r="E31" s="135"/>
      <c r="F31" s="135"/>
      <c r="G31" s="135"/>
      <c r="H31" s="135"/>
      <c r="I31" s="136">
        <f t="shared" si="1"/>
        <v>0</v>
      </c>
      <c r="J31" s="137"/>
      <c r="K31" s="138">
        <f t="shared" si="2"/>
        <v>5</v>
      </c>
      <c r="L31" s="137"/>
      <c r="M31" s="140">
        <f t="shared" si="3"/>
        <v>0</v>
      </c>
      <c r="N31" s="106"/>
      <c r="O31" s="106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  <c r="AA31" s="1"/>
    </row>
    <row r="32" ht="24.75" customHeight="1">
      <c r="A32" s="134">
        <v>16.0</v>
      </c>
      <c r="B32" s="53" t="s">
        <v>64</v>
      </c>
      <c r="C32" s="53" t="s">
        <v>65</v>
      </c>
      <c r="D32" s="54" t="s">
        <v>66</v>
      </c>
      <c r="E32" s="135"/>
      <c r="F32" s="135"/>
      <c r="G32" s="135"/>
      <c r="H32" s="135"/>
      <c r="I32" s="136">
        <f t="shared" si="1"/>
        <v>0</v>
      </c>
      <c r="J32" s="137"/>
      <c r="K32" s="138">
        <f t="shared" si="2"/>
        <v>5</v>
      </c>
      <c r="L32" s="137"/>
      <c r="M32" s="140">
        <f t="shared" si="3"/>
        <v>0</v>
      </c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  <c r="AA32" s="1"/>
    </row>
    <row r="33" ht="24.75" customHeight="1">
      <c r="A33" s="134">
        <v>17.0</v>
      </c>
      <c r="B33" s="53" t="s">
        <v>64</v>
      </c>
      <c r="C33" s="53" t="s">
        <v>67</v>
      </c>
      <c r="D33" s="54" t="s">
        <v>68</v>
      </c>
      <c r="E33" s="135"/>
      <c r="F33" s="135"/>
      <c r="G33" s="135"/>
      <c r="H33" s="135"/>
      <c r="I33" s="136">
        <f t="shared" si="1"/>
        <v>0</v>
      </c>
      <c r="J33" s="137"/>
      <c r="K33" s="138">
        <f t="shared" si="2"/>
        <v>5</v>
      </c>
      <c r="L33" s="137"/>
      <c r="M33" s="140">
        <f t="shared" si="3"/>
        <v>0</v>
      </c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  <c r="AA33" s="1"/>
    </row>
    <row r="34" ht="24.75" customHeight="1">
      <c r="A34" s="134">
        <v>18.0</v>
      </c>
      <c r="B34" s="53" t="s">
        <v>69</v>
      </c>
      <c r="C34" s="53" t="s">
        <v>70</v>
      </c>
      <c r="D34" s="54" t="s">
        <v>71</v>
      </c>
      <c r="E34" s="135"/>
      <c r="F34" s="135"/>
      <c r="G34" s="135"/>
      <c r="H34" s="135"/>
      <c r="I34" s="136">
        <f t="shared" si="1"/>
        <v>0</v>
      </c>
      <c r="J34" s="137"/>
      <c r="K34" s="138">
        <f t="shared" si="2"/>
        <v>5</v>
      </c>
      <c r="L34" s="137"/>
      <c r="M34" s="140">
        <f t="shared" si="3"/>
        <v>0</v>
      </c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  <c r="AA34" s="1"/>
    </row>
    <row r="35" ht="24.75" customHeight="1">
      <c r="A35" s="134">
        <v>19.0</v>
      </c>
      <c r="B35" s="53" t="s">
        <v>26</v>
      </c>
      <c r="C35" s="53" t="s">
        <v>72</v>
      </c>
      <c r="D35" s="54" t="s">
        <v>73</v>
      </c>
      <c r="E35" s="135"/>
      <c r="F35" s="135"/>
      <c r="G35" s="135"/>
      <c r="H35" s="135"/>
      <c r="I35" s="136">
        <f t="shared" si="1"/>
        <v>0</v>
      </c>
      <c r="J35" s="137"/>
      <c r="K35" s="138">
        <f t="shared" si="2"/>
        <v>5</v>
      </c>
      <c r="L35" s="137"/>
      <c r="M35" s="140">
        <f t="shared" si="3"/>
        <v>0</v>
      </c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  <c r="AA35" s="1"/>
    </row>
    <row r="36" ht="24.75" customHeight="1">
      <c r="A36" s="134">
        <v>20.0</v>
      </c>
      <c r="B36" s="53" t="s">
        <v>74</v>
      </c>
      <c r="C36" s="53" t="s">
        <v>75</v>
      </c>
      <c r="D36" s="54" t="s">
        <v>76</v>
      </c>
      <c r="E36" s="135"/>
      <c r="F36" s="135"/>
      <c r="G36" s="135"/>
      <c r="H36" s="135"/>
      <c r="I36" s="136">
        <f t="shared" si="1"/>
        <v>0</v>
      </c>
      <c r="J36" s="137"/>
      <c r="K36" s="138">
        <f t="shared" si="2"/>
        <v>5</v>
      </c>
      <c r="L36" s="137"/>
      <c r="M36" s="140">
        <f t="shared" si="3"/>
        <v>0</v>
      </c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  <c r="AA36" s="1"/>
    </row>
    <row r="37" ht="24.75" customHeight="1">
      <c r="A37" s="134">
        <v>21.0</v>
      </c>
      <c r="B37" s="53" t="s">
        <v>77</v>
      </c>
      <c r="C37" s="53" t="s">
        <v>26</v>
      </c>
      <c r="D37" s="54" t="s">
        <v>78</v>
      </c>
      <c r="E37" s="135"/>
      <c r="F37" s="135"/>
      <c r="G37" s="135"/>
      <c r="H37" s="135"/>
      <c r="I37" s="136">
        <f t="shared" si="1"/>
        <v>0</v>
      </c>
      <c r="J37" s="137"/>
      <c r="K37" s="138">
        <f t="shared" si="2"/>
        <v>5</v>
      </c>
      <c r="L37" s="137"/>
      <c r="M37" s="140">
        <f t="shared" si="3"/>
        <v>0</v>
      </c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  <c r="AA37" s="1"/>
    </row>
    <row r="38" ht="24.75" customHeight="1">
      <c r="A38" s="134">
        <v>22.0</v>
      </c>
      <c r="B38" s="53" t="s">
        <v>79</v>
      </c>
      <c r="C38" s="53" t="s">
        <v>80</v>
      </c>
      <c r="D38" s="54" t="s">
        <v>81</v>
      </c>
      <c r="E38" s="135"/>
      <c r="F38" s="135"/>
      <c r="G38" s="135"/>
      <c r="H38" s="135"/>
      <c r="I38" s="136">
        <f t="shared" si="1"/>
        <v>0</v>
      </c>
      <c r="J38" s="137"/>
      <c r="K38" s="138">
        <f t="shared" si="2"/>
        <v>5</v>
      </c>
      <c r="L38" s="137"/>
      <c r="M38" s="140">
        <f t="shared" si="3"/>
        <v>0</v>
      </c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  <c r="AA38" s="1"/>
    </row>
    <row r="39" ht="24.75" customHeight="1">
      <c r="A39" s="134">
        <v>23.0</v>
      </c>
      <c r="B39" s="53" t="s">
        <v>82</v>
      </c>
      <c r="C39" s="53" t="s">
        <v>83</v>
      </c>
      <c r="D39" s="54" t="s">
        <v>84</v>
      </c>
      <c r="E39" s="135"/>
      <c r="F39" s="135"/>
      <c r="G39" s="135"/>
      <c r="H39" s="135"/>
      <c r="I39" s="136">
        <f t="shared" si="1"/>
        <v>0</v>
      </c>
      <c r="J39" s="137"/>
      <c r="K39" s="138">
        <f t="shared" si="2"/>
        <v>5</v>
      </c>
      <c r="L39" s="137"/>
      <c r="M39" s="140">
        <f t="shared" si="3"/>
        <v>0</v>
      </c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  <c r="AA39" s="1"/>
    </row>
    <row r="40" ht="24.75" customHeight="1">
      <c r="A40" s="134">
        <v>24.0</v>
      </c>
      <c r="B40" s="53" t="s">
        <v>85</v>
      </c>
      <c r="C40" s="53" t="s">
        <v>86</v>
      </c>
      <c r="D40" s="54" t="s">
        <v>87</v>
      </c>
      <c r="E40" s="135"/>
      <c r="F40" s="135"/>
      <c r="G40" s="135"/>
      <c r="H40" s="135"/>
      <c r="I40" s="136">
        <f t="shared" si="1"/>
        <v>0</v>
      </c>
      <c r="J40" s="137"/>
      <c r="K40" s="138">
        <f t="shared" si="2"/>
        <v>5</v>
      </c>
      <c r="L40" s="137"/>
      <c r="M40" s="140">
        <f t="shared" si="3"/>
        <v>0</v>
      </c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  <c r="AA40" s="1"/>
    </row>
    <row r="41" ht="24.75" customHeight="1">
      <c r="A41" s="134">
        <v>25.0</v>
      </c>
      <c r="B41" s="53" t="s">
        <v>88</v>
      </c>
      <c r="C41" s="53" t="s">
        <v>89</v>
      </c>
      <c r="D41" s="54" t="s">
        <v>90</v>
      </c>
      <c r="E41" s="135"/>
      <c r="F41" s="135"/>
      <c r="G41" s="135"/>
      <c r="H41" s="135"/>
      <c r="I41" s="136">
        <f t="shared" si="1"/>
        <v>0</v>
      </c>
      <c r="J41" s="137"/>
      <c r="K41" s="138">
        <f t="shared" si="2"/>
        <v>5</v>
      </c>
      <c r="L41" s="137"/>
      <c r="M41" s="140">
        <f t="shared" si="3"/>
        <v>0</v>
      </c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  <c r="AA41" s="1"/>
    </row>
    <row r="42" ht="24.75" customHeight="1">
      <c r="A42" s="134">
        <v>26.0</v>
      </c>
      <c r="B42" s="53" t="s">
        <v>91</v>
      </c>
      <c r="C42" s="53" t="s">
        <v>92</v>
      </c>
      <c r="D42" s="54" t="s">
        <v>93</v>
      </c>
      <c r="E42" s="135"/>
      <c r="F42" s="135"/>
      <c r="G42" s="135"/>
      <c r="H42" s="135"/>
      <c r="I42" s="136">
        <f t="shared" si="1"/>
        <v>0</v>
      </c>
      <c r="J42" s="137"/>
      <c r="K42" s="138">
        <f t="shared" si="2"/>
        <v>5</v>
      </c>
      <c r="L42" s="137"/>
      <c r="M42" s="140">
        <f t="shared" si="3"/>
        <v>0</v>
      </c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  <c r="AA42" s="1"/>
    </row>
    <row r="43" ht="24.75" customHeight="1">
      <c r="A43" s="134">
        <v>27.0</v>
      </c>
      <c r="B43" s="53" t="s">
        <v>94</v>
      </c>
      <c r="C43" s="53" t="s">
        <v>95</v>
      </c>
      <c r="D43" s="54" t="s">
        <v>96</v>
      </c>
      <c r="E43" s="135"/>
      <c r="F43" s="135"/>
      <c r="G43" s="135"/>
      <c r="H43" s="135"/>
      <c r="I43" s="136">
        <f t="shared" si="1"/>
        <v>0</v>
      </c>
      <c r="J43" s="137"/>
      <c r="K43" s="138">
        <f t="shared" si="2"/>
        <v>5</v>
      </c>
      <c r="L43" s="137"/>
      <c r="M43" s="140">
        <f t="shared" si="3"/>
        <v>0</v>
      </c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  <c r="AA43" s="1"/>
    </row>
    <row r="44" ht="24.75" customHeight="1">
      <c r="A44" s="134">
        <v>28.0</v>
      </c>
      <c r="B44" s="53" t="s">
        <v>94</v>
      </c>
      <c r="C44" s="53" t="s">
        <v>97</v>
      </c>
      <c r="D44" s="54" t="s">
        <v>98</v>
      </c>
      <c r="E44" s="135"/>
      <c r="F44" s="135"/>
      <c r="G44" s="135"/>
      <c r="H44" s="135"/>
      <c r="I44" s="136">
        <f t="shared" si="1"/>
        <v>0</v>
      </c>
      <c r="J44" s="137"/>
      <c r="K44" s="138">
        <f t="shared" si="2"/>
        <v>5</v>
      </c>
      <c r="L44" s="137"/>
      <c r="M44" s="140">
        <f t="shared" si="3"/>
        <v>0</v>
      </c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  <c r="AA44" s="1"/>
    </row>
    <row r="45" ht="24.75" customHeight="1">
      <c r="A45" s="134">
        <v>29.0</v>
      </c>
      <c r="B45" s="53" t="s">
        <v>94</v>
      </c>
      <c r="C45" s="53" t="s">
        <v>99</v>
      </c>
      <c r="D45" s="54" t="s">
        <v>100</v>
      </c>
      <c r="E45" s="135"/>
      <c r="F45" s="135"/>
      <c r="G45" s="135"/>
      <c r="H45" s="135"/>
      <c r="I45" s="136">
        <f t="shared" si="1"/>
        <v>0</v>
      </c>
      <c r="J45" s="137"/>
      <c r="K45" s="138">
        <f t="shared" si="2"/>
        <v>5</v>
      </c>
      <c r="L45" s="137"/>
      <c r="M45" s="140">
        <f t="shared" si="3"/>
        <v>0</v>
      </c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  <c r="AA45" s="1"/>
    </row>
    <row r="46" ht="24.75" customHeight="1">
      <c r="A46" s="134">
        <v>30.0</v>
      </c>
      <c r="B46" s="53" t="s">
        <v>101</v>
      </c>
      <c r="C46" s="53" t="s">
        <v>64</v>
      </c>
      <c r="D46" s="54" t="s">
        <v>102</v>
      </c>
      <c r="E46" s="135"/>
      <c r="F46" s="135"/>
      <c r="G46" s="135"/>
      <c r="H46" s="135"/>
      <c r="I46" s="136">
        <f t="shared" si="1"/>
        <v>0</v>
      </c>
      <c r="J46" s="137"/>
      <c r="K46" s="138">
        <f t="shared" si="2"/>
        <v>5</v>
      </c>
      <c r="L46" s="137"/>
      <c r="M46" s="140">
        <f t="shared" si="3"/>
        <v>0</v>
      </c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  <c r="AA46" s="1"/>
    </row>
    <row r="47" ht="24.75" customHeight="1">
      <c r="A47" s="134">
        <v>31.0</v>
      </c>
      <c r="B47" s="53" t="s">
        <v>103</v>
      </c>
      <c r="C47" s="53" t="s">
        <v>104</v>
      </c>
      <c r="D47" s="54" t="s">
        <v>105</v>
      </c>
      <c r="E47" s="135"/>
      <c r="F47" s="135"/>
      <c r="G47" s="135"/>
      <c r="H47" s="135"/>
      <c r="I47" s="136">
        <f t="shared" si="1"/>
        <v>0</v>
      </c>
      <c r="J47" s="137"/>
      <c r="K47" s="138">
        <f t="shared" si="2"/>
        <v>5</v>
      </c>
      <c r="L47" s="137"/>
      <c r="M47" s="140">
        <f t="shared" si="3"/>
        <v>0</v>
      </c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  <c r="AA47" s="1"/>
    </row>
    <row r="48" ht="24.75" customHeight="1">
      <c r="A48" s="134">
        <v>32.0</v>
      </c>
      <c r="B48" s="53" t="s">
        <v>65</v>
      </c>
      <c r="C48" s="53" t="s">
        <v>106</v>
      </c>
      <c r="D48" s="54" t="s">
        <v>107</v>
      </c>
      <c r="E48" s="135"/>
      <c r="F48" s="135"/>
      <c r="G48" s="135"/>
      <c r="H48" s="135"/>
      <c r="I48" s="136">
        <f t="shared" si="1"/>
        <v>0</v>
      </c>
      <c r="J48" s="137"/>
      <c r="K48" s="138">
        <f t="shared" si="2"/>
        <v>5</v>
      </c>
      <c r="L48" s="137"/>
      <c r="M48" s="140">
        <f t="shared" si="3"/>
        <v>0</v>
      </c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  <c r="AA48" s="1"/>
    </row>
    <row r="49" ht="24.75" customHeight="1">
      <c r="A49" s="134">
        <v>33.0</v>
      </c>
      <c r="B49" s="53" t="s">
        <v>108</v>
      </c>
      <c r="C49" s="53" t="s">
        <v>94</v>
      </c>
      <c r="D49" s="54" t="s">
        <v>41</v>
      </c>
      <c r="E49" s="135"/>
      <c r="F49" s="135"/>
      <c r="G49" s="135"/>
      <c r="H49" s="135"/>
      <c r="I49" s="136">
        <f t="shared" si="1"/>
        <v>0</v>
      </c>
      <c r="J49" s="137"/>
      <c r="K49" s="138">
        <f t="shared" si="2"/>
        <v>5</v>
      </c>
      <c r="L49" s="137"/>
      <c r="M49" s="140">
        <f t="shared" si="3"/>
        <v>0</v>
      </c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  <c r="AA49" s="1"/>
    </row>
    <row r="50" ht="24.75" customHeight="1">
      <c r="A50" s="134">
        <v>34.0</v>
      </c>
      <c r="B50" s="53" t="s">
        <v>83</v>
      </c>
      <c r="C50" s="53" t="s">
        <v>59</v>
      </c>
      <c r="D50" s="54" t="s">
        <v>109</v>
      </c>
      <c r="E50" s="135"/>
      <c r="F50" s="135"/>
      <c r="G50" s="135"/>
      <c r="H50" s="135"/>
      <c r="I50" s="136">
        <f t="shared" si="1"/>
        <v>0</v>
      </c>
      <c r="J50" s="137"/>
      <c r="K50" s="138">
        <f t="shared" si="2"/>
        <v>5</v>
      </c>
      <c r="L50" s="137"/>
      <c r="M50" s="140">
        <f t="shared" si="3"/>
        <v>0</v>
      </c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  <c r="AA50" s="1"/>
    </row>
    <row r="51" ht="24.75" customHeight="1">
      <c r="A51" s="134">
        <v>35.0</v>
      </c>
      <c r="B51" s="53" t="s">
        <v>110</v>
      </c>
      <c r="C51" s="53" t="s">
        <v>111</v>
      </c>
      <c r="D51" s="54" t="s">
        <v>112</v>
      </c>
      <c r="E51" s="135"/>
      <c r="F51" s="135"/>
      <c r="G51" s="135"/>
      <c r="H51" s="135"/>
      <c r="I51" s="136">
        <f t="shared" si="1"/>
        <v>0</v>
      </c>
      <c r="J51" s="137"/>
      <c r="K51" s="138">
        <f t="shared" si="2"/>
        <v>5</v>
      </c>
      <c r="L51" s="137"/>
      <c r="M51" s="140">
        <f t="shared" si="3"/>
        <v>0</v>
      </c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  <c r="AA51" s="1"/>
    </row>
    <row r="52" ht="21.75" customHeight="1">
      <c r="A52" s="111"/>
      <c r="B52" s="112"/>
      <c r="C52" s="112"/>
      <c r="D52" s="112"/>
      <c r="E52" s="112"/>
      <c r="F52" s="112"/>
      <c r="G52" s="112"/>
      <c r="H52" s="112"/>
      <c r="I52" s="112"/>
      <c r="J52" s="112"/>
      <c r="K52" s="106"/>
      <c r="L52" s="113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  <c r="AA52" s="1"/>
    </row>
    <row r="53" ht="21.75" customHeight="1">
      <c r="A53" s="106"/>
      <c r="B53" s="141" t="s">
        <v>113</v>
      </c>
      <c r="C53" s="64"/>
      <c r="D53" s="142">
        <f>COUNT(A17:A51)</f>
        <v>35</v>
      </c>
      <c r="E53" s="112"/>
      <c r="F53" s="112"/>
      <c r="G53" s="143" t="s">
        <v>114</v>
      </c>
      <c r="H53" s="112"/>
      <c r="I53" s="143" t="s">
        <v>115</v>
      </c>
      <c r="K53" s="144" t="s">
        <v>116</v>
      </c>
      <c r="L53" s="145" t="s">
        <v>117</v>
      </c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  <c r="AA53" s="1"/>
    </row>
    <row r="54" ht="21.75" customHeight="1">
      <c r="A54" s="106"/>
      <c r="B54" s="146" t="s">
        <v>118</v>
      </c>
      <c r="C54" s="70"/>
      <c r="D54" s="147">
        <f>COUNTIF(K17:K51,"BAJA")</f>
        <v>0</v>
      </c>
      <c r="E54" s="112"/>
      <c r="F54" s="112"/>
      <c r="H54" s="112"/>
      <c r="L54" s="10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  <c r="AA54" s="1"/>
    </row>
    <row r="55" ht="21.75" customHeight="1">
      <c r="A55" s="106"/>
      <c r="B55" s="146" t="s">
        <v>119</v>
      </c>
      <c r="C55" s="70"/>
      <c r="D55" s="148">
        <f>D53-D54</f>
        <v>35</v>
      </c>
      <c r="E55" s="112"/>
      <c r="F55" s="112"/>
      <c r="G55" s="112"/>
      <c r="H55" s="112"/>
      <c r="I55" s="112"/>
      <c r="J55" s="112"/>
      <c r="K55" s="106"/>
      <c r="L55" s="113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  <c r="AA55" s="1"/>
    </row>
    <row r="56" ht="21.75" customHeight="1">
      <c r="A56" s="106"/>
      <c r="B56" s="146" t="s">
        <v>120</v>
      </c>
      <c r="C56" s="70"/>
      <c r="D56" s="148">
        <f>COUNTIF(K17:K51,"&gt;=6")</f>
        <v>0</v>
      </c>
      <c r="E56" s="112"/>
      <c r="F56" s="112"/>
      <c r="G56" s="112"/>
      <c r="H56" s="112"/>
      <c r="I56" s="112"/>
      <c r="J56" s="112"/>
      <c r="K56" s="106"/>
      <c r="L56" s="113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  <c r="AA56" s="1"/>
    </row>
    <row r="57" ht="27.75" customHeight="1">
      <c r="A57" s="106"/>
      <c r="B57" s="146" t="s">
        <v>121</v>
      </c>
      <c r="C57" s="70"/>
      <c r="D57" s="148">
        <f>D55-D56</f>
        <v>35</v>
      </c>
      <c r="E57" s="112"/>
      <c r="F57" s="112"/>
      <c r="G57" s="149"/>
      <c r="H57" s="112"/>
      <c r="I57" s="149"/>
      <c r="J57" s="149"/>
      <c r="K57" s="150"/>
      <c r="L57" s="151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  <c r="AA57" s="1"/>
    </row>
    <row r="58" ht="21.75" customHeight="1">
      <c r="A58" s="106"/>
      <c r="B58" s="146" t="s">
        <v>122</v>
      </c>
      <c r="C58" s="70"/>
      <c r="D58" s="152">
        <f>D56*100/D55</f>
        <v>0</v>
      </c>
      <c r="E58" s="112"/>
      <c r="F58" s="112"/>
      <c r="G58" s="153" t="s">
        <v>123</v>
      </c>
      <c r="H58" s="115"/>
      <c r="I58" s="84" t="s">
        <v>124</v>
      </c>
      <c r="K58" s="85" t="s">
        <v>125</v>
      </c>
      <c r="L58" s="86" t="s">
        <v>126</v>
      </c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  <c r="AA58" s="1"/>
    </row>
    <row r="59" ht="13.5" customHeight="1">
      <c r="A59" s="106"/>
      <c r="B59" s="154" t="s">
        <v>127</v>
      </c>
      <c r="C59" s="89"/>
      <c r="D59" s="155">
        <f>AVERAGE(K17:K51)</f>
        <v>5</v>
      </c>
      <c r="E59" s="112"/>
      <c r="F59" s="112"/>
      <c r="H59" s="115"/>
      <c r="L59" s="10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  <c r="AA59" s="1"/>
    </row>
    <row r="60" ht="13.5" customHeight="1">
      <c r="A60" s="111"/>
      <c r="B60" s="106"/>
      <c r="C60" s="106"/>
      <c r="D60" s="106"/>
      <c r="E60" s="106"/>
      <c r="F60" s="106"/>
      <c r="G60" s="106"/>
      <c r="H60" s="106"/>
      <c r="I60" s="106"/>
      <c r="J60" s="106"/>
      <c r="K60" s="106"/>
      <c r="L60" s="113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  <c r="AA60" s="1"/>
    </row>
    <row r="61" ht="13.5" customHeight="1">
      <c r="A61" s="156"/>
      <c r="B61" s="157"/>
      <c r="C61" s="158"/>
      <c r="D61" s="158"/>
      <c r="E61" s="112"/>
      <c r="H61" s="112"/>
      <c r="I61" s="112"/>
      <c r="J61" s="112"/>
      <c r="K61" s="112"/>
      <c r="L61" s="159"/>
      <c r="M61" s="112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  <c r="AA61" s="1"/>
    </row>
    <row r="62" ht="13.5" customHeight="1">
      <c r="A62" s="160"/>
      <c r="B62" s="112"/>
      <c r="C62" s="112"/>
      <c r="D62" s="112"/>
      <c r="E62" s="112"/>
      <c r="F62" s="112"/>
      <c r="G62" s="106"/>
      <c r="H62" s="106"/>
      <c r="I62" s="106"/>
      <c r="J62" s="106"/>
      <c r="K62" s="106"/>
      <c r="L62" s="113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  <c r="AA62" s="1"/>
    </row>
    <row r="63" ht="13.5" customHeight="1">
      <c r="A63" s="160"/>
      <c r="B63" s="112"/>
      <c r="C63" s="112"/>
      <c r="D63" s="112"/>
      <c r="E63" s="112"/>
      <c r="F63" s="112"/>
      <c r="G63" s="106"/>
      <c r="H63" s="106"/>
      <c r="I63" s="106"/>
      <c r="J63" s="106"/>
      <c r="K63" s="106"/>
      <c r="L63" s="113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  <c r="AA63" s="1"/>
    </row>
    <row r="64" ht="14.25" customHeight="1">
      <c r="A64" s="161"/>
      <c r="B64" s="162"/>
      <c r="C64" s="162"/>
      <c r="D64" s="162"/>
      <c r="E64" s="162"/>
      <c r="F64" s="162"/>
      <c r="G64" s="163"/>
      <c r="H64" s="163"/>
      <c r="I64" s="163"/>
      <c r="J64" s="163"/>
      <c r="K64" s="163"/>
      <c r="L64" s="164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  <c r="AA64" s="1"/>
    </row>
    <row r="65" ht="14.25" customHeight="1">
      <c r="A65" s="106"/>
      <c r="B65" s="112"/>
      <c r="C65" s="112"/>
      <c r="D65" s="112"/>
      <c r="E65" s="112"/>
      <c r="F65" s="112"/>
      <c r="G65" s="106"/>
      <c r="H65" s="106"/>
      <c r="I65" s="106"/>
      <c r="J65" s="106"/>
      <c r="K65" s="115"/>
      <c r="L65" s="115"/>
      <c r="M65" s="115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  <c r="AA65" s="1"/>
    </row>
    <row r="66" ht="14.25" customHeight="1">
      <c r="A66" s="106"/>
      <c r="B66" s="112"/>
      <c r="C66" s="112"/>
      <c r="D66" s="112"/>
      <c r="E66" s="112"/>
      <c r="F66" s="112"/>
      <c r="G66" s="106"/>
      <c r="H66" s="106"/>
      <c r="I66" s="106"/>
      <c r="J66" s="106"/>
      <c r="K66" s="115"/>
      <c r="L66" s="115"/>
      <c r="M66" s="115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  <c r="AA66" s="1"/>
    </row>
    <row r="67" ht="14.25" customHeight="1">
      <c r="A67" s="106"/>
      <c r="B67" s="112"/>
      <c r="C67" s="112"/>
      <c r="D67" s="112"/>
      <c r="E67" s="112"/>
      <c r="F67" s="112"/>
      <c r="G67" s="106"/>
      <c r="H67" s="106"/>
      <c r="I67" s="106"/>
      <c r="J67" s="106"/>
      <c r="K67" s="115"/>
      <c r="L67" s="115"/>
      <c r="M67" s="115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  <c r="AA67" s="1"/>
    </row>
    <row r="68" ht="14.25" customHeight="1">
      <c r="A68" s="106"/>
      <c r="B68" s="112"/>
      <c r="C68" s="112"/>
      <c r="D68" s="112"/>
      <c r="E68" s="112"/>
      <c r="F68" s="112"/>
      <c r="G68" s="106"/>
      <c r="H68" s="106"/>
      <c r="I68" s="106"/>
      <c r="J68" s="106"/>
      <c r="K68" s="115"/>
      <c r="L68" s="115"/>
      <c r="M68" s="115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  <c r="AA68" s="1"/>
    </row>
    <row r="69" ht="14.25" customHeight="1">
      <c r="A69" s="106"/>
      <c r="B69" s="112"/>
      <c r="C69" s="112"/>
      <c r="D69" s="112"/>
      <c r="E69" s="112"/>
      <c r="F69" s="112"/>
      <c r="G69" s="106"/>
      <c r="H69" s="106"/>
      <c r="I69" s="106"/>
      <c r="J69" s="106"/>
      <c r="K69" s="106"/>
      <c r="L69" s="165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  <c r="AA69" s="1"/>
    </row>
    <row r="70" ht="14.25" customHeight="1">
      <c r="A70" s="106"/>
      <c r="B70" s="112"/>
      <c r="C70" s="112"/>
      <c r="D70" s="112"/>
      <c r="E70" s="112"/>
      <c r="F70" s="112"/>
      <c r="G70" s="106"/>
      <c r="H70" s="106"/>
      <c r="I70" s="106"/>
      <c r="J70" s="106"/>
      <c r="K70" s="106"/>
      <c r="L70" s="165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  <c r="AA70" s="1"/>
    </row>
    <row r="71" ht="14.25" customHeight="1">
      <c r="A71" s="106"/>
      <c r="B71" s="112"/>
      <c r="C71" s="112"/>
      <c r="D71" s="112"/>
      <c r="E71" s="112"/>
      <c r="F71" s="112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  <c r="AA71" s="1"/>
    </row>
    <row r="72" ht="14.25" customHeight="1">
      <c r="A72" s="106"/>
      <c r="B72" s="112"/>
      <c r="C72" s="112"/>
      <c r="D72" s="112"/>
      <c r="E72" s="112"/>
      <c r="F72" s="112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  <c r="AA72" s="1"/>
    </row>
    <row r="73" ht="14.25" customHeight="1">
      <c r="A73" s="106"/>
      <c r="B73" s="112"/>
      <c r="C73" s="112"/>
      <c r="D73" s="112"/>
      <c r="E73" s="112"/>
      <c r="F73" s="112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  <c r="AA73" s="1"/>
    </row>
    <row r="74" ht="14.25" customHeight="1">
      <c r="A74" s="106"/>
      <c r="B74" s="112"/>
      <c r="C74" s="112"/>
      <c r="D74" s="112"/>
      <c r="E74" s="112"/>
      <c r="F74" s="112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  <c r="AA74" s="1"/>
    </row>
    <row r="75" ht="14.25" customHeight="1">
      <c r="A75" s="106"/>
      <c r="B75" s="112"/>
      <c r="C75" s="112"/>
      <c r="D75" s="112"/>
      <c r="E75" s="112"/>
      <c r="F75" s="112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  <c r="AA75" s="1"/>
    </row>
    <row r="76" ht="13.5" customHeight="1">
      <c r="A76" s="106"/>
      <c r="B76" s="112"/>
      <c r="C76" s="112"/>
      <c r="D76" s="112"/>
      <c r="E76" s="112"/>
      <c r="F76" s="112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  <c r="AA76" s="1"/>
    </row>
    <row r="77" ht="13.5" customHeight="1">
      <c r="A77" s="106"/>
      <c r="B77" s="106"/>
      <c r="C77" s="106"/>
      <c r="D77" s="106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  <c r="AA77" s="1"/>
    </row>
    <row r="78" ht="13.5" customHeight="1">
      <c r="A78" s="106"/>
      <c r="B78" s="106"/>
      <c r="C78" s="106"/>
      <c r="D78" s="106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  <c r="AA78" s="1"/>
    </row>
    <row r="79" ht="13.5" customHeight="1">
      <c r="A79" s="106"/>
      <c r="B79" s="106"/>
      <c r="C79" s="106"/>
      <c r="D79" s="106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  <c r="AA79" s="1"/>
    </row>
    <row r="80" ht="13.5" customHeight="1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  <c r="AA80" s="1"/>
    </row>
    <row r="81" ht="13.5" customHeight="1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  <c r="AA81" s="1"/>
    </row>
    <row r="82" ht="13.5" customHeight="1">
      <c r="A82" s="106"/>
      <c r="B82" s="106"/>
      <c r="C82" s="106"/>
      <c r="D82" s="106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  <c r="AA82" s="1"/>
    </row>
    <row r="83" ht="13.5" customHeight="1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  <c r="AA83" s="1"/>
    </row>
    <row r="84" ht="13.5" customHeight="1">
      <c r="A84" s="106"/>
      <c r="B84" s="106"/>
      <c r="C84" s="106"/>
      <c r="D84" s="106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  <c r="AA84" s="1"/>
    </row>
    <row r="85" ht="13.5" customHeight="1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  <c r="AA85" s="1"/>
    </row>
    <row r="86" ht="13.5" customHeight="1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  <c r="AA86" s="1"/>
    </row>
    <row r="87" ht="13.5" customHeight="1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  <c r="AA87" s="1"/>
    </row>
    <row r="88" ht="13.5" customHeight="1">
      <c r="A88" s="106"/>
      <c r="B88" s="106"/>
      <c r="C88" s="106"/>
      <c r="D88" s="106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  <c r="AA88" s="1"/>
    </row>
    <row r="89" ht="13.5" customHeight="1">
      <c r="A89" s="106"/>
      <c r="B89" s="106"/>
      <c r="C89" s="106"/>
      <c r="D89" s="106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  <c r="AA89" s="1"/>
    </row>
    <row r="90" ht="13.5" customHeight="1">
      <c r="A90" s="106"/>
      <c r="B90" s="106"/>
      <c r="C90" s="106"/>
      <c r="D90" s="106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  <c r="AA90" s="1"/>
    </row>
    <row r="91" ht="13.5" customHeight="1">
      <c r="A91" s="106"/>
      <c r="B91" s="106"/>
      <c r="C91" s="106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  <c r="AA91" s="1"/>
    </row>
    <row r="92" ht="13.5" customHeight="1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  <c r="AA92" s="1"/>
    </row>
    <row r="93" ht="13.5" customHeight="1">
      <c r="A93" s="106"/>
      <c r="B93" s="106"/>
      <c r="C93" s="106"/>
      <c r="D93" s="106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  <c r="AA93" s="1"/>
    </row>
    <row r="94" ht="13.5" customHeight="1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  <c r="AA94" s="1"/>
    </row>
    <row r="95" ht="13.5" customHeight="1">
      <c r="A95" s="106"/>
      <c r="B95" s="106"/>
      <c r="C95" s="106"/>
      <c r="D95" s="106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  <c r="AA95" s="1"/>
    </row>
    <row r="96" ht="13.5" customHeight="1">
      <c r="A96" s="106"/>
      <c r="B96" s="106"/>
      <c r="C96" s="106"/>
      <c r="D96" s="106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  <c r="AA96" s="1"/>
    </row>
    <row r="97" ht="13.5" customHeight="1">
      <c r="A97" s="106"/>
      <c r="B97" s="106"/>
      <c r="C97" s="106"/>
      <c r="D97" s="106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  <c r="AA97" s="1"/>
    </row>
    <row r="98" ht="13.5" customHeight="1">
      <c r="A98" s="106"/>
      <c r="B98" s="106"/>
      <c r="C98" s="106"/>
      <c r="D98" s="106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  <c r="AA98" s="1"/>
    </row>
    <row r="99" ht="13.5" customHeight="1">
      <c r="A99" s="106"/>
      <c r="B99" s="106"/>
      <c r="C99" s="106"/>
      <c r="D99" s="106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  <c r="AA99" s="1"/>
    </row>
    <row r="100" ht="13.5" customHeight="1">
      <c r="A100" s="106"/>
      <c r="B100" s="106"/>
      <c r="C100" s="106"/>
      <c r="D100" s="106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  <c r="AA100" s="1"/>
    </row>
    <row r="101" ht="13.5" customHeight="1">
      <c r="A101" s="106"/>
      <c r="B101" s="106"/>
      <c r="C101" s="106"/>
      <c r="D101" s="106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  <c r="AA101" s="1"/>
    </row>
    <row r="102" ht="13.5" customHeight="1">
      <c r="A102" s="106"/>
      <c r="B102" s="106"/>
      <c r="C102" s="106"/>
      <c r="D102" s="106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  <c r="AA102" s="1"/>
    </row>
    <row r="103" ht="13.5" customHeight="1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  <c r="AA103" s="1"/>
    </row>
    <row r="104" ht="13.5" customHeight="1">
      <c r="A104" s="106"/>
      <c r="B104" s="106"/>
      <c r="C104" s="106"/>
      <c r="D104" s="106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  <c r="AA104" s="1"/>
    </row>
    <row r="105" ht="13.5" customHeight="1">
      <c r="A105" s="106"/>
      <c r="B105" s="106"/>
      <c r="C105" s="106"/>
      <c r="D105" s="106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  <c r="AA105" s="1"/>
    </row>
    <row r="106" ht="13.5" customHeight="1">
      <c r="A106" s="106"/>
      <c r="B106" s="106"/>
      <c r="C106" s="106"/>
      <c r="D106" s="106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  <c r="AA106" s="1"/>
    </row>
    <row r="107" ht="13.5" customHeight="1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  <c r="AA107" s="1"/>
    </row>
    <row r="108" ht="13.5" customHeight="1">
      <c r="A108" s="106"/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  <c r="AA108" s="1"/>
    </row>
    <row r="109" ht="13.5" customHeight="1">
      <c r="A109" s="106"/>
      <c r="B109" s="106"/>
      <c r="C109" s="106"/>
      <c r="D109" s="106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  <c r="AA109" s="1"/>
    </row>
    <row r="110" ht="13.5" customHeight="1">
      <c r="A110" s="106"/>
      <c r="B110" s="106"/>
      <c r="C110" s="106"/>
      <c r="D110" s="106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  <c r="AA110" s="1"/>
    </row>
    <row r="111" ht="13.5" customHeight="1">
      <c r="A111" s="106"/>
      <c r="B111" s="106"/>
      <c r="C111" s="106"/>
      <c r="D111" s="106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  <c r="AA111" s="1"/>
    </row>
    <row r="112" ht="13.5" customHeight="1">
      <c r="A112" s="106"/>
      <c r="B112" s="106"/>
      <c r="C112" s="106"/>
      <c r="D112" s="106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  <c r="AA112" s="1"/>
    </row>
    <row r="113" ht="13.5" customHeight="1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  <c r="AA113" s="1"/>
    </row>
    <row r="114" ht="13.5" customHeight="1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  <c r="AA114" s="1"/>
    </row>
    <row r="115" ht="13.5" customHeight="1">
      <c r="A115" s="106"/>
      <c r="B115" s="106"/>
      <c r="C115" s="106"/>
      <c r="D115" s="106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  <c r="AA115" s="1"/>
    </row>
    <row r="116" ht="13.5" customHeight="1">
      <c r="A116" s="106"/>
      <c r="B116" s="106"/>
      <c r="C116" s="106"/>
      <c r="D116" s="106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  <c r="AA116" s="1"/>
    </row>
    <row r="117" ht="13.5" customHeight="1">
      <c r="A117" s="106"/>
      <c r="B117" s="106"/>
      <c r="C117" s="106"/>
      <c r="D117" s="106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  <c r="AA117" s="1"/>
    </row>
    <row r="118" ht="13.5" customHeight="1">
      <c r="A118" s="106"/>
      <c r="B118" s="106"/>
      <c r="C118" s="106"/>
      <c r="D118" s="106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  <c r="AA118" s="1"/>
    </row>
    <row r="119" ht="13.5" customHeight="1">
      <c r="A119" s="106"/>
      <c r="B119" s="106"/>
      <c r="C119" s="106"/>
      <c r="D119" s="106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  <c r="AA119" s="1"/>
    </row>
    <row r="120" ht="13.5" customHeight="1">
      <c r="A120" s="106"/>
      <c r="B120" s="106"/>
      <c r="C120" s="106"/>
      <c r="D120" s="106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  <c r="AA120" s="1"/>
    </row>
    <row r="121" ht="13.5" customHeight="1">
      <c r="A121" s="106"/>
      <c r="B121" s="106"/>
      <c r="C121" s="106"/>
      <c r="D121" s="106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  <c r="AA121" s="1"/>
    </row>
    <row r="122" ht="13.5" customHeight="1">
      <c r="A122" s="106"/>
      <c r="B122" s="106"/>
      <c r="C122" s="106"/>
      <c r="D122" s="106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  <c r="AA122" s="1"/>
    </row>
    <row r="123" ht="13.5" customHeight="1">
      <c r="A123" s="106"/>
      <c r="B123" s="106"/>
      <c r="C123" s="106"/>
      <c r="D123" s="106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  <c r="AA123" s="1"/>
    </row>
    <row r="124" ht="13.5" customHeight="1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  <c r="AA124" s="1"/>
    </row>
    <row r="125" ht="13.5" customHeight="1">
      <c r="A125" s="106"/>
      <c r="B125" s="106"/>
      <c r="C125" s="106"/>
      <c r="D125" s="106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  <c r="AA125" s="1"/>
    </row>
    <row r="126" ht="13.5" customHeight="1">
      <c r="A126" s="106"/>
      <c r="B126" s="106"/>
      <c r="C126" s="106"/>
      <c r="D126" s="106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  <c r="AA126" s="1"/>
    </row>
    <row r="127" ht="13.5" customHeight="1">
      <c r="A127" s="106"/>
      <c r="B127" s="106"/>
      <c r="C127" s="106"/>
      <c r="D127" s="106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  <c r="AA127" s="1"/>
    </row>
    <row r="128" ht="13.5" customHeight="1">
      <c r="A128" s="106"/>
      <c r="B128" s="106"/>
      <c r="C128" s="106"/>
      <c r="D128" s="106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  <c r="AA128" s="1"/>
    </row>
    <row r="129" ht="13.5" customHeight="1">
      <c r="A129" s="106"/>
      <c r="B129" s="106"/>
      <c r="C129" s="106"/>
      <c r="D129" s="106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  <c r="AA129" s="1"/>
    </row>
    <row r="130" ht="13.5" customHeight="1">
      <c r="A130" s="106"/>
      <c r="B130" s="106"/>
      <c r="C130" s="106"/>
      <c r="D130" s="106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  <c r="AA130" s="1"/>
    </row>
    <row r="131" ht="13.5" customHeight="1">
      <c r="A131" s="106"/>
      <c r="B131" s="106"/>
      <c r="C131" s="106"/>
      <c r="D131" s="106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  <c r="AA131" s="1"/>
    </row>
    <row r="132" ht="13.5" customHeight="1">
      <c r="A132" s="106"/>
      <c r="B132" s="106"/>
      <c r="C132" s="106"/>
      <c r="D132" s="106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  <c r="AA132" s="1"/>
    </row>
    <row r="133" ht="13.5" customHeight="1">
      <c r="A133" s="106"/>
      <c r="B133" s="106"/>
      <c r="C133" s="106"/>
      <c r="D133" s="106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  <c r="AA133" s="1"/>
    </row>
    <row r="134" ht="13.5" customHeight="1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  <c r="AA134" s="1"/>
    </row>
    <row r="135" ht="13.5" customHeight="1">
      <c r="A135" s="106"/>
      <c r="B135" s="106"/>
      <c r="C135" s="106"/>
      <c r="D135" s="106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  <c r="AA135" s="1"/>
    </row>
    <row r="136" ht="13.5" customHeight="1">
      <c r="A136" s="106"/>
      <c r="B136" s="106"/>
      <c r="C136" s="106"/>
      <c r="D136" s="106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  <c r="AA136" s="1"/>
    </row>
    <row r="137" ht="13.5" customHeight="1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  <c r="AA137" s="1"/>
    </row>
    <row r="138" ht="13.5" customHeight="1">
      <c r="A138" s="106"/>
      <c r="B138" s="106"/>
      <c r="C138" s="106"/>
      <c r="D138" s="106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  <c r="AA138" s="1"/>
    </row>
    <row r="139" ht="13.5" customHeight="1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  <c r="AA139" s="1"/>
    </row>
    <row r="140" ht="13.5" customHeight="1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  <c r="AA140" s="1"/>
    </row>
    <row r="141" ht="13.5" customHeight="1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  <c r="AA141" s="1"/>
    </row>
    <row r="142" ht="13.5" customHeight="1">
      <c r="A142" s="106"/>
      <c r="B142" s="106"/>
      <c r="C142" s="106"/>
      <c r="D142" s="106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  <c r="AA142" s="1"/>
    </row>
    <row r="143" ht="13.5" customHeight="1">
      <c r="A143" s="106"/>
      <c r="B143" s="106"/>
      <c r="C143" s="106"/>
      <c r="D143" s="106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  <c r="AA143" s="1"/>
    </row>
    <row r="144" ht="13.5" customHeight="1">
      <c r="A144" s="106"/>
      <c r="B144" s="106"/>
      <c r="C144" s="106"/>
      <c r="D144" s="106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  <c r="AA144" s="1"/>
    </row>
    <row r="145" ht="13.5" customHeight="1">
      <c r="A145" s="106"/>
      <c r="B145" s="106"/>
      <c r="C145" s="106"/>
      <c r="D145" s="106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  <c r="AA145" s="1"/>
    </row>
    <row r="146" ht="13.5" customHeight="1">
      <c r="A146" s="106"/>
      <c r="B146" s="106"/>
      <c r="C146" s="106"/>
      <c r="D146" s="106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  <c r="AA146" s="1"/>
    </row>
    <row r="147" ht="13.5" customHeight="1">
      <c r="A147" s="106"/>
      <c r="B147" s="106"/>
      <c r="C147" s="106"/>
      <c r="D147" s="106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  <c r="AA147" s="1"/>
    </row>
    <row r="148" ht="13.5" customHeight="1">
      <c r="A148" s="106"/>
      <c r="B148" s="106"/>
      <c r="C148" s="106"/>
      <c r="D148" s="106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  <c r="AA148" s="1"/>
    </row>
    <row r="149" ht="13.5" customHeight="1">
      <c r="A149" s="106"/>
      <c r="B149" s="106"/>
      <c r="C149" s="106"/>
      <c r="D149" s="106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  <c r="AA149" s="1"/>
    </row>
    <row r="150" ht="13.5" customHeight="1">
      <c r="A150" s="106"/>
      <c r="B150" s="106"/>
      <c r="C150" s="106"/>
      <c r="D150" s="106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  <c r="AA150" s="1"/>
    </row>
    <row r="151" ht="13.5" customHeight="1">
      <c r="A151" s="106"/>
      <c r="B151" s="106"/>
      <c r="C151" s="106"/>
      <c r="D151" s="106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  <c r="AA151" s="1"/>
    </row>
    <row r="152" ht="13.5" customHeight="1">
      <c r="A152" s="106"/>
      <c r="B152" s="106"/>
      <c r="C152" s="106"/>
      <c r="D152" s="106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  <c r="AA152" s="1"/>
    </row>
    <row r="153" ht="13.5" customHeight="1">
      <c r="A153" s="106"/>
      <c r="B153" s="106"/>
      <c r="C153" s="106"/>
      <c r="D153" s="106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  <c r="AA153" s="1"/>
    </row>
    <row r="154" ht="13.5" customHeight="1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  <c r="AA154" s="1"/>
    </row>
    <row r="155" ht="13.5" customHeight="1">
      <c r="A155" s="106"/>
      <c r="B155" s="106"/>
      <c r="C155" s="106"/>
      <c r="D155" s="106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  <c r="AA155" s="1"/>
    </row>
    <row r="156" ht="13.5" customHeight="1">
      <c r="A156" s="106"/>
      <c r="B156" s="106"/>
      <c r="C156" s="106"/>
      <c r="D156" s="106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  <c r="AA156" s="1"/>
    </row>
    <row r="157" ht="13.5" customHeight="1">
      <c r="A157" s="106"/>
      <c r="B157" s="106"/>
      <c r="C157" s="106"/>
      <c r="D157" s="106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  <c r="AA157" s="1"/>
    </row>
    <row r="158" ht="13.5" customHeight="1">
      <c r="A158" s="106"/>
      <c r="B158" s="106"/>
      <c r="C158" s="106"/>
      <c r="D158" s="106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  <c r="AA158" s="1"/>
    </row>
    <row r="159" ht="13.5" customHeight="1">
      <c r="A159" s="106"/>
      <c r="B159" s="106"/>
      <c r="C159" s="106"/>
      <c r="D159" s="106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  <c r="AA159" s="1"/>
    </row>
    <row r="160" ht="13.5" customHeight="1">
      <c r="A160" s="106"/>
      <c r="B160" s="106"/>
      <c r="C160" s="106"/>
      <c r="D160" s="106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  <c r="AA160" s="1"/>
    </row>
    <row r="161" ht="13.5" customHeight="1">
      <c r="A161" s="106"/>
      <c r="B161" s="106"/>
      <c r="C161" s="106"/>
      <c r="D161" s="106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  <c r="AA161" s="1"/>
    </row>
    <row r="162" ht="13.5" customHeight="1">
      <c r="A162" s="106"/>
      <c r="B162" s="106"/>
      <c r="C162" s="106"/>
      <c r="D162" s="106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  <c r="AA162" s="1"/>
    </row>
    <row r="163" ht="13.5" customHeight="1">
      <c r="A163" s="106"/>
      <c r="B163" s="106"/>
      <c r="C163" s="106"/>
      <c r="D163" s="106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  <c r="AA163" s="1"/>
    </row>
    <row r="164" ht="13.5" customHeight="1">
      <c r="A164" s="106"/>
      <c r="B164" s="106"/>
      <c r="C164" s="106"/>
      <c r="D164" s="106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  <c r="AA164" s="1"/>
    </row>
    <row r="165" ht="13.5" customHeight="1">
      <c r="A165" s="106"/>
      <c r="B165" s="106"/>
      <c r="C165" s="106"/>
      <c r="D165" s="106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  <c r="AA165" s="1"/>
    </row>
    <row r="166" ht="13.5" customHeight="1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  <c r="AA166" s="1"/>
    </row>
    <row r="167" ht="13.5" customHeight="1">
      <c r="A167" s="106"/>
      <c r="B167" s="106"/>
      <c r="C167" s="106"/>
      <c r="D167" s="106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  <c r="AA167" s="1"/>
    </row>
    <row r="168" ht="13.5" customHeight="1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  <c r="AA168" s="1"/>
    </row>
    <row r="169" ht="13.5" customHeight="1">
      <c r="A169" s="106"/>
      <c r="B169" s="106"/>
      <c r="C169" s="106"/>
      <c r="D169" s="106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  <c r="AA169" s="1"/>
    </row>
    <row r="170" ht="13.5" customHeight="1">
      <c r="A170" s="106"/>
      <c r="B170" s="106"/>
      <c r="C170" s="106"/>
      <c r="D170" s="106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  <c r="AA170" s="1"/>
    </row>
    <row r="171" ht="13.5" customHeight="1">
      <c r="A171" s="106"/>
      <c r="B171" s="106"/>
      <c r="C171" s="106"/>
      <c r="D171" s="106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  <c r="AA171" s="1"/>
    </row>
    <row r="172" ht="13.5" customHeight="1">
      <c r="A172" s="106"/>
      <c r="B172" s="106"/>
      <c r="C172" s="106"/>
      <c r="D172" s="106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  <c r="AA172" s="1"/>
    </row>
    <row r="173" ht="13.5" customHeight="1">
      <c r="A173" s="106"/>
      <c r="B173" s="106"/>
      <c r="C173" s="106"/>
      <c r="D173" s="106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  <c r="AA173" s="1"/>
    </row>
    <row r="174" ht="13.5" customHeight="1">
      <c r="A174" s="106"/>
      <c r="B174" s="106"/>
      <c r="C174" s="106"/>
      <c r="D174" s="106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  <c r="AA174" s="1"/>
    </row>
    <row r="175" ht="13.5" customHeight="1">
      <c r="A175" s="106"/>
      <c r="B175" s="106"/>
      <c r="C175" s="106"/>
      <c r="D175" s="106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  <c r="AA175" s="1"/>
    </row>
    <row r="176" ht="13.5" customHeight="1">
      <c r="A176" s="106"/>
      <c r="B176" s="106"/>
      <c r="C176" s="106"/>
      <c r="D176" s="106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  <c r="AA176" s="1"/>
    </row>
    <row r="177" ht="13.5" customHeight="1">
      <c r="A177" s="106"/>
      <c r="B177" s="106"/>
      <c r="C177" s="106"/>
      <c r="D177" s="106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  <c r="AA177" s="1"/>
    </row>
    <row r="178" ht="13.5" customHeight="1">
      <c r="A178" s="106"/>
      <c r="B178" s="106"/>
      <c r="C178" s="106"/>
      <c r="D178" s="106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  <c r="AA178" s="1"/>
    </row>
    <row r="179" ht="13.5" customHeight="1">
      <c r="A179" s="106"/>
      <c r="B179" s="106"/>
      <c r="C179" s="106"/>
      <c r="D179" s="106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  <c r="AA179" s="1"/>
    </row>
    <row r="180" ht="13.5" customHeight="1">
      <c r="A180" s="106"/>
      <c r="B180" s="106"/>
      <c r="C180" s="106"/>
      <c r="D180" s="106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  <c r="AA180" s="1"/>
    </row>
    <row r="181" ht="13.5" customHeight="1">
      <c r="A181" s="106"/>
      <c r="B181" s="106"/>
      <c r="C181" s="106"/>
      <c r="D181" s="106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  <c r="AA181" s="1"/>
    </row>
    <row r="182" ht="13.5" customHeight="1">
      <c r="A182" s="106"/>
      <c r="B182" s="106"/>
      <c r="C182" s="106"/>
      <c r="D182" s="106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  <c r="AA182" s="1"/>
    </row>
    <row r="183" ht="13.5" customHeight="1">
      <c r="A183" s="106"/>
      <c r="B183" s="106"/>
      <c r="C183" s="106"/>
      <c r="D183" s="106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  <c r="AA183" s="1"/>
    </row>
    <row r="184" ht="13.5" customHeight="1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  <c r="AA184" s="1"/>
    </row>
    <row r="185" ht="13.5" customHeight="1">
      <c r="A185" s="106"/>
      <c r="B185" s="106"/>
      <c r="C185" s="106"/>
      <c r="D185" s="106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  <c r="AA185" s="1"/>
    </row>
    <row r="186" ht="13.5" customHeight="1">
      <c r="A186" s="106"/>
      <c r="B186" s="106"/>
      <c r="C186" s="106"/>
      <c r="D186" s="106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  <c r="AA186" s="1"/>
    </row>
    <row r="187" ht="13.5" customHeight="1">
      <c r="A187" s="106"/>
      <c r="B187" s="106"/>
      <c r="C187" s="106"/>
      <c r="D187" s="106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  <c r="AA187" s="1"/>
    </row>
    <row r="188" ht="13.5" customHeight="1">
      <c r="A188" s="106"/>
      <c r="B188" s="106"/>
      <c r="C188" s="106"/>
      <c r="D188" s="106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  <c r="AA188" s="1"/>
    </row>
    <row r="189" ht="13.5" customHeight="1">
      <c r="A189" s="106"/>
      <c r="B189" s="106"/>
      <c r="C189" s="106"/>
      <c r="D189" s="106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  <c r="AA189" s="1"/>
    </row>
    <row r="190" ht="13.5" customHeight="1">
      <c r="A190" s="106"/>
      <c r="B190" s="106"/>
      <c r="C190" s="106"/>
      <c r="D190" s="106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  <c r="AA190" s="1"/>
    </row>
    <row r="191" ht="13.5" customHeight="1">
      <c r="A191" s="106"/>
      <c r="B191" s="106"/>
      <c r="C191" s="106"/>
      <c r="D191" s="106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  <c r="AA191" s="1"/>
    </row>
    <row r="192" ht="13.5" customHeight="1">
      <c r="A192" s="106"/>
      <c r="B192" s="106"/>
      <c r="C192" s="106"/>
      <c r="D192" s="106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  <c r="AA192" s="1"/>
    </row>
    <row r="193" ht="13.5" customHeight="1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  <c r="AA193" s="1"/>
    </row>
    <row r="194" ht="13.5" customHeight="1">
      <c r="A194" s="106"/>
      <c r="B194" s="106"/>
      <c r="C194" s="106"/>
      <c r="D194" s="106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  <c r="AA194" s="1"/>
    </row>
    <row r="195" ht="13.5" customHeight="1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  <c r="AA195" s="1"/>
    </row>
    <row r="196" ht="13.5" customHeight="1">
      <c r="A196" s="106"/>
      <c r="B196" s="106"/>
      <c r="C196" s="106"/>
      <c r="D196" s="106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  <c r="AA196" s="1"/>
    </row>
    <row r="197" ht="13.5" customHeight="1">
      <c r="A197" s="106"/>
      <c r="B197" s="106"/>
      <c r="C197" s="106"/>
      <c r="D197" s="106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  <c r="AA197" s="1"/>
    </row>
    <row r="198" ht="13.5" customHeight="1">
      <c r="A198" s="106"/>
      <c r="B198" s="106"/>
      <c r="C198" s="106"/>
      <c r="D198" s="106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  <c r="AA198" s="1"/>
    </row>
    <row r="199" ht="13.5" customHeight="1">
      <c r="A199" s="106"/>
      <c r="B199" s="106"/>
      <c r="C199" s="106"/>
      <c r="D199" s="106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  <c r="AA199" s="1"/>
    </row>
    <row r="200" ht="13.5" customHeight="1">
      <c r="A200" s="106"/>
      <c r="B200" s="106"/>
      <c r="C200" s="106"/>
      <c r="D200" s="106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  <c r="AA200" s="1"/>
    </row>
    <row r="201" ht="13.5" customHeight="1">
      <c r="A201" s="106"/>
      <c r="B201" s="106"/>
      <c r="C201" s="106"/>
      <c r="D201" s="106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  <c r="AA201" s="1"/>
    </row>
    <row r="202" ht="13.5" customHeight="1">
      <c r="A202" s="106"/>
      <c r="B202" s="106"/>
      <c r="C202" s="106"/>
      <c r="D202" s="106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  <c r="AA202" s="1"/>
    </row>
    <row r="203" ht="13.5" customHeight="1">
      <c r="A203" s="106"/>
      <c r="B203" s="106"/>
      <c r="C203" s="106"/>
      <c r="D203" s="106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  <c r="AA203" s="1"/>
    </row>
    <row r="204" ht="13.5" customHeight="1">
      <c r="A204" s="106"/>
      <c r="B204" s="106"/>
      <c r="C204" s="106"/>
      <c r="D204" s="106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  <c r="AA204" s="1"/>
    </row>
    <row r="205" ht="13.5" customHeight="1">
      <c r="A205" s="106"/>
      <c r="B205" s="106"/>
      <c r="C205" s="106"/>
      <c r="D205" s="106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  <c r="AA205" s="1"/>
    </row>
    <row r="206" ht="13.5" customHeight="1">
      <c r="A206" s="106"/>
      <c r="B206" s="106"/>
      <c r="C206" s="106"/>
      <c r="D206" s="106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  <c r="AA206" s="1"/>
    </row>
    <row r="207" ht="13.5" customHeight="1">
      <c r="A207" s="106"/>
      <c r="B207" s="106"/>
      <c r="C207" s="106"/>
      <c r="D207" s="106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  <c r="AA207" s="1"/>
    </row>
    <row r="208" ht="13.5" customHeight="1">
      <c r="A208" s="106"/>
      <c r="B208" s="106"/>
      <c r="C208" s="106"/>
      <c r="D208" s="106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  <c r="AA208" s="1"/>
    </row>
    <row r="209" ht="13.5" customHeight="1">
      <c r="A209" s="106"/>
      <c r="B209" s="106"/>
      <c r="C209" s="106"/>
      <c r="D209" s="106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  <c r="AA209" s="1"/>
    </row>
    <row r="210" ht="13.5" customHeight="1">
      <c r="A210" s="106"/>
      <c r="B210" s="106"/>
      <c r="C210" s="106"/>
      <c r="D210" s="106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  <c r="AA210" s="1"/>
    </row>
    <row r="211" ht="13.5" customHeight="1">
      <c r="A211" s="106"/>
      <c r="B211" s="106"/>
      <c r="C211" s="106"/>
      <c r="D211" s="106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  <c r="AA211" s="1"/>
    </row>
    <row r="212" ht="13.5" customHeight="1">
      <c r="A212" s="106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  <c r="AA212" s="1"/>
    </row>
    <row r="213" ht="13.5" customHeight="1">
      <c r="A213" s="106"/>
      <c r="B213" s="106"/>
      <c r="C213" s="106"/>
      <c r="D213" s="106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  <c r="AA213" s="1"/>
    </row>
    <row r="214" ht="13.5" customHeight="1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  <c r="AA214" s="1"/>
    </row>
    <row r="215" ht="13.5" customHeight="1">
      <c r="A215" s="106"/>
      <c r="B215" s="106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  <c r="AA215" s="1"/>
    </row>
    <row r="216" ht="13.5" customHeight="1">
      <c r="A216" s="106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  <c r="AA216" s="1"/>
    </row>
    <row r="217" ht="13.5" customHeight="1">
      <c r="A217" s="106"/>
      <c r="B217" s="106"/>
      <c r="C217" s="106"/>
      <c r="D217" s="106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  <c r="AA217" s="1"/>
    </row>
    <row r="218" ht="13.5" customHeight="1">
      <c r="A218" s="106"/>
      <c r="B218" s="106"/>
      <c r="C218" s="106"/>
      <c r="D218" s="106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  <c r="AA218" s="1"/>
    </row>
    <row r="219" ht="13.5" customHeight="1">
      <c r="A219" s="106"/>
      <c r="B219" s="106"/>
      <c r="C219" s="106"/>
      <c r="D219" s="106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  <c r="AA219" s="1"/>
    </row>
    <row r="220" ht="13.5" customHeight="1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  <c r="AA220" s="1"/>
    </row>
    <row r="221" ht="13.5" customHeight="1">
      <c r="A221" s="106"/>
      <c r="B221" s="106"/>
      <c r="C221" s="106"/>
      <c r="D221" s="106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  <c r="AA221" s="1"/>
    </row>
    <row r="222" ht="13.5" customHeight="1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  <c r="AA222" s="1"/>
    </row>
    <row r="223" ht="13.5" customHeight="1">
      <c r="A223" s="106"/>
      <c r="B223" s="106"/>
      <c r="C223" s="106"/>
      <c r="D223" s="106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  <c r="AA223" s="1"/>
    </row>
    <row r="224" ht="13.5" customHeight="1">
      <c r="A224" s="106"/>
      <c r="B224" s="106"/>
      <c r="C224" s="106"/>
      <c r="D224" s="106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  <c r="AA224" s="1"/>
    </row>
    <row r="225" ht="13.5" customHeight="1">
      <c r="A225" s="106"/>
      <c r="B225" s="106"/>
      <c r="C225" s="106"/>
      <c r="D225" s="106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  <c r="AA225" s="1"/>
    </row>
    <row r="226" ht="13.5" customHeight="1">
      <c r="A226" s="106"/>
      <c r="B226" s="106"/>
      <c r="C226" s="106"/>
      <c r="D226" s="106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  <c r="AA226" s="1"/>
    </row>
    <row r="227" ht="13.5" customHeight="1">
      <c r="A227" s="106"/>
      <c r="B227" s="106"/>
      <c r="C227" s="106"/>
      <c r="D227" s="106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  <c r="AA227" s="1"/>
    </row>
    <row r="228" ht="13.5" customHeight="1">
      <c r="A228" s="106"/>
      <c r="B228" s="106"/>
      <c r="C228" s="106"/>
      <c r="D228" s="106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  <c r="AA228" s="1"/>
    </row>
    <row r="229" ht="13.5" customHeight="1">
      <c r="A229" s="106"/>
      <c r="B229" s="106"/>
      <c r="C229" s="106"/>
      <c r="D229" s="106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  <c r="AA229" s="1"/>
    </row>
    <row r="230" ht="13.5" customHeight="1">
      <c r="A230" s="106"/>
      <c r="B230" s="106"/>
      <c r="C230" s="106"/>
      <c r="D230" s="106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  <c r="AA230" s="1"/>
    </row>
    <row r="231" ht="13.5" customHeight="1">
      <c r="A231" s="106"/>
      <c r="B231" s="106"/>
      <c r="C231" s="106"/>
      <c r="D231" s="106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  <c r="AA231" s="1"/>
    </row>
    <row r="232" ht="13.5" customHeight="1">
      <c r="A232" s="106"/>
      <c r="B232" s="106"/>
      <c r="C232" s="106"/>
      <c r="D232" s="106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  <c r="AA232" s="1"/>
    </row>
    <row r="233" ht="13.5" customHeight="1">
      <c r="A233" s="106"/>
      <c r="B233" s="106"/>
      <c r="C233" s="106"/>
      <c r="D233" s="106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  <c r="AA233" s="1"/>
    </row>
    <row r="234" ht="13.5" customHeight="1">
      <c r="A234" s="106"/>
      <c r="B234" s="106"/>
      <c r="C234" s="106"/>
      <c r="D234" s="106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  <c r="AA234" s="1"/>
    </row>
    <row r="235" ht="13.5" customHeight="1">
      <c r="A235" s="106"/>
      <c r="B235" s="106"/>
      <c r="C235" s="106"/>
      <c r="D235" s="106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  <c r="AA235" s="1"/>
    </row>
    <row r="236" ht="13.5" customHeight="1">
      <c r="A236" s="106"/>
      <c r="B236" s="106"/>
      <c r="C236" s="106"/>
      <c r="D236" s="106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  <c r="AA236" s="1"/>
    </row>
    <row r="237" ht="13.5" customHeight="1">
      <c r="A237" s="106"/>
      <c r="B237" s="106"/>
      <c r="C237" s="106"/>
      <c r="D237" s="106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  <c r="AA237" s="1"/>
    </row>
    <row r="238" ht="13.5" customHeight="1">
      <c r="A238" s="106"/>
      <c r="B238" s="106"/>
      <c r="C238" s="106"/>
      <c r="D238" s="106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  <c r="AA238" s="1"/>
    </row>
    <row r="239" ht="13.5" customHeight="1">
      <c r="A239" s="106"/>
      <c r="B239" s="106"/>
      <c r="C239" s="106"/>
      <c r="D239" s="106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  <c r="AA239" s="1"/>
    </row>
    <row r="240" ht="13.5" customHeight="1">
      <c r="A240" s="106"/>
      <c r="B240" s="106"/>
      <c r="C240" s="106"/>
      <c r="D240" s="106"/>
      <c r="E240" s="106"/>
      <c r="F240" s="106"/>
      <c r="G240" s="106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  <c r="AA240" s="1"/>
    </row>
    <row r="241" ht="13.5" customHeight="1">
      <c r="A241" s="106"/>
      <c r="B241" s="106"/>
      <c r="C241" s="106"/>
      <c r="D241" s="106"/>
      <c r="E241" s="106"/>
      <c r="F241" s="106"/>
      <c r="G241" s="106"/>
      <c r="H241" s="106"/>
      <c r="I241" s="106"/>
      <c r="J241" s="106"/>
      <c r="K241" s="106"/>
      <c r="L241" s="106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  <c r="Y241" s="106"/>
      <c r="Z241" s="106"/>
      <c r="AA241" s="1"/>
    </row>
    <row r="242" ht="13.5" customHeight="1">
      <c r="A242" s="106"/>
      <c r="B242" s="106"/>
      <c r="C242" s="106"/>
      <c r="D242" s="106"/>
      <c r="E242" s="106"/>
      <c r="F242" s="106"/>
      <c r="G242" s="106"/>
      <c r="H242" s="106"/>
      <c r="I242" s="106"/>
      <c r="J242" s="106"/>
      <c r="K242" s="106"/>
      <c r="L242" s="106"/>
      <c r="M242" s="106"/>
      <c r="N242" s="106"/>
      <c r="O242" s="106"/>
      <c r="P242" s="106"/>
      <c r="Q242" s="106"/>
      <c r="R242" s="106"/>
      <c r="S242" s="106"/>
      <c r="T242" s="106"/>
      <c r="U242" s="106"/>
      <c r="V242" s="106"/>
      <c r="W242" s="106"/>
      <c r="X242" s="106"/>
      <c r="Y242" s="106"/>
      <c r="Z242" s="106"/>
      <c r="AA242" s="1"/>
    </row>
    <row r="243" ht="13.5" customHeight="1">
      <c r="A243" s="106"/>
      <c r="B243" s="106"/>
      <c r="C243" s="106"/>
      <c r="D243" s="106"/>
      <c r="E243" s="106"/>
      <c r="F243" s="106"/>
      <c r="G243" s="106"/>
      <c r="H243" s="106"/>
      <c r="I243" s="106"/>
      <c r="J243" s="106"/>
      <c r="K243" s="106"/>
      <c r="L243" s="106"/>
      <c r="M243" s="106"/>
      <c r="N243" s="106"/>
      <c r="O243" s="106"/>
      <c r="P243" s="106"/>
      <c r="Q243" s="106"/>
      <c r="R243" s="106"/>
      <c r="S243" s="106"/>
      <c r="T243" s="106"/>
      <c r="U243" s="106"/>
      <c r="V243" s="106"/>
      <c r="W243" s="106"/>
      <c r="X243" s="106"/>
      <c r="Y243" s="106"/>
      <c r="Z243" s="106"/>
      <c r="AA243" s="1"/>
    </row>
    <row r="244" ht="13.5" customHeight="1">
      <c r="A244" s="106"/>
      <c r="B244" s="106"/>
      <c r="C244" s="106"/>
      <c r="D244" s="106"/>
      <c r="E244" s="106"/>
      <c r="F244" s="106"/>
      <c r="G244" s="106"/>
      <c r="H244" s="106"/>
      <c r="I244" s="106"/>
      <c r="J244" s="106"/>
      <c r="K244" s="106"/>
      <c r="L244" s="106"/>
      <c r="M244" s="106"/>
      <c r="N244" s="106"/>
      <c r="O244" s="106"/>
      <c r="P244" s="106"/>
      <c r="Q244" s="106"/>
      <c r="R244" s="106"/>
      <c r="S244" s="106"/>
      <c r="T244" s="106"/>
      <c r="U244" s="106"/>
      <c r="V244" s="106"/>
      <c r="W244" s="106"/>
      <c r="X244" s="106"/>
      <c r="Y244" s="106"/>
      <c r="Z244" s="106"/>
      <c r="AA244" s="1"/>
    </row>
    <row r="245" ht="13.5" customHeight="1">
      <c r="A245" s="106"/>
      <c r="B245" s="106"/>
      <c r="C245" s="106"/>
      <c r="D245" s="106"/>
      <c r="E245" s="106"/>
      <c r="F245" s="106"/>
      <c r="G245" s="106"/>
      <c r="H245" s="106"/>
      <c r="I245" s="106"/>
      <c r="J245" s="106"/>
      <c r="K245" s="106"/>
      <c r="L245" s="106"/>
      <c r="M245" s="106"/>
      <c r="N245" s="106"/>
      <c r="O245" s="106"/>
      <c r="P245" s="106"/>
      <c r="Q245" s="106"/>
      <c r="R245" s="106"/>
      <c r="S245" s="106"/>
      <c r="T245" s="106"/>
      <c r="U245" s="106"/>
      <c r="V245" s="106"/>
      <c r="W245" s="106"/>
      <c r="X245" s="106"/>
      <c r="Y245" s="106"/>
      <c r="Z245" s="106"/>
      <c r="AA245" s="1"/>
    </row>
    <row r="246" ht="13.5" customHeight="1">
      <c r="A246" s="106"/>
      <c r="B246" s="106"/>
      <c r="C246" s="106"/>
      <c r="D246" s="106"/>
      <c r="E246" s="106"/>
      <c r="F246" s="106"/>
      <c r="G246" s="106"/>
      <c r="H246" s="106"/>
      <c r="I246" s="106"/>
      <c r="J246" s="106"/>
      <c r="K246" s="106"/>
      <c r="L246" s="106"/>
      <c r="M246" s="106"/>
      <c r="N246" s="106"/>
      <c r="O246" s="106"/>
      <c r="P246" s="106"/>
      <c r="Q246" s="106"/>
      <c r="R246" s="106"/>
      <c r="S246" s="106"/>
      <c r="T246" s="106"/>
      <c r="U246" s="106"/>
      <c r="V246" s="106"/>
      <c r="W246" s="106"/>
      <c r="X246" s="106"/>
      <c r="Y246" s="106"/>
      <c r="Z246" s="106"/>
      <c r="AA246" s="1"/>
    </row>
    <row r="247" ht="13.5" customHeight="1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Z247" s="106"/>
      <c r="AA247" s="1"/>
    </row>
    <row r="248" ht="13.5" customHeight="1">
      <c r="A248" s="106"/>
      <c r="B248" s="106"/>
      <c r="C248" s="106"/>
      <c r="D248" s="106"/>
      <c r="E248" s="106"/>
      <c r="F248" s="106"/>
      <c r="G248" s="106"/>
      <c r="H248" s="106"/>
      <c r="I248" s="106"/>
      <c r="J248" s="106"/>
      <c r="K248" s="106"/>
      <c r="L248" s="106"/>
      <c r="M248" s="106"/>
      <c r="N248" s="106"/>
      <c r="O248" s="106"/>
      <c r="P248" s="106"/>
      <c r="Q248" s="106"/>
      <c r="R248" s="106"/>
      <c r="S248" s="106"/>
      <c r="T248" s="106"/>
      <c r="U248" s="106"/>
      <c r="V248" s="106"/>
      <c r="W248" s="106"/>
      <c r="X248" s="106"/>
      <c r="Y248" s="106"/>
      <c r="Z248" s="106"/>
      <c r="AA248" s="1"/>
    </row>
    <row r="249" ht="13.5" customHeight="1">
      <c r="A249" s="106"/>
      <c r="B249" s="106"/>
      <c r="C249" s="106"/>
      <c r="D249" s="106"/>
      <c r="E249" s="106"/>
      <c r="F249" s="106"/>
      <c r="G249" s="106"/>
      <c r="H249" s="106"/>
      <c r="I249" s="106"/>
      <c r="J249" s="106"/>
      <c r="K249" s="106"/>
      <c r="L249" s="106"/>
      <c r="M249" s="106"/>
      <c r="N249" s="106"/>
      <c r="O249" s="106"/>
      <c r="P249" s="106"/>
      <c r="Q249" s="106"/>
      <c r="R249" s="106"/>
      <c r="S249" s="106"/>
      <c r="T249" s="106"/>
      <c r="U249" s="106"/>
      <c r="V249" s="106"/>
      <c r="W249" s="106"/>
      <c r="X249" s="106"/>
      <c r="Y249" s="106"/>
      <c r="Z249" s="106"/>
      <c r="AA249" s="1"/>
    </row>
    <row r="250" ht="13.5" customHeight="1">
      <c r="A250" s="106"/>
      <c r="B250" s="106"/>
      <c r="C250" s="106"/>
      <c r="D250" s="106"/>
      <c r="E250" s="106"/>
      <c r="F250" s="106"/>
      <c r="G250" s="106"/>
      <c r="H250" s="106"/>
      <c r="I250" s="106"/>
      <c r="J250" s="106"/>
      <c r="K250" s="106"/>
      <c r="L250" s="106"/>
      <c r="M250" s="106"/>
      <c r="N250" s="106"/>
      <c r="O250" s="106"/>
      <c r="P250" s="106"/>
      <c r="Q250" s="106"/>
      <c r="R250" s="106"/>
      <c r="S250" s="106"/>
      <c r="T250" s="106"/>
      <c r="U250" s="106"/>
      <c r="V250" s="106"/>
      <c r="W250" s="106"/>
      <c r="X250" s="106"/>
      <c r="Y250" s="106"/>
      <c r="Z250" s="106"/>
      <c r="AA250" s="1"/>
    </row>
    <row r="251" ht="13.5" customHeight="1">
      <c r="A251" s="106"/>
      <c r="B251" s="106"/>
      <c r="C251" s="106"/>
      <c r="D251" s="106"/>
      <c r="E251" s="106"/>
      <c r="F251" s="106"/>
      <c r="G251" s="106"/>
      <c r="H251" s="106"/>
      <c r="I251" s="106"/>
      <c r="J251" s="106"/>
      <c r="K251" s="106"/>
      <c r="L251" s="106"/>
      <c r="M251" s="106"/>
      <c r="N251" s="106"/>
      <c r="O251" s="106"/>
      <c r="P251" s="106"/>
      <c r="Q251" s="106"/>
      <c r="R251" s="106"/>
      <c r="S251" s="106"/>
      <c r="T251" s="106"/>
      <c r="U251" s="106"/>
      <c r="V251" s="106"/>
      <c r="W251" s="106"/>
      <c r="X251" s="106"/>
      <c r="Y251" s="106"/>
      <c r="Z251" s="106"/>
      <c r="AA251" s="1"/>
    </row>
    <row r="252" ht="13.5" customHeight="1">
      <c r="A252" s="106"/>
      <c r="B252" s="106"/>
      <c r="C252" s="106"/>
      <c r="D252" s="106"/>
      <c r="E252" s="106"/>
      <c r="F252" s="106"/>
      <c r="G252" s="106"/>
      <c r="H252" s="106"/>
      <c r="I252" s="106"/>
      <c r="J252" s="106"/>
      <c r="K252" s="106"/>
      <c r="L252" s="106"/>
      <c r="M252" s="106"/>
      <c r="N252" s="106"/>
      <c r="O252" s="106"/>
      <c r="P252" s="106"/>
      <c r="Q252" s="106"/>
      <c r="R252" s="106"/>
      <c r="S252" s="106"/>
      <c r="T252" s="106"/>
      <c r="U252" s="106"/>
      <c r="V252" s="106"/>
      <c r="W252" s="106"/>
      <c r="X252" s="106"/>
      <c r="Y252" s="106"/>
      <c r="Z252" s="106"/>
      <c r="AA252" s="1"/>
    </row>
    <row r="253" ht="13.5" customHeight="1">
      <c r="A253" s="106"/>
      <c r="B253" s="106"/>
      <c r="C253" s="106"/>
      <c r="D253" s="106"/>
      <c r="E253" s="106"/>
      <c r="F253" s="106"/>
      <c r="G253" s="106"/>
      <c r="H253" s="106"/>
      <c r="I253" s="106"/>
      <c r="J253" s="106"/>
      <c r="K253" s="106"/>
      <c r="L253" s="106"/>
      <c r="M253" s="106"/>
      <c r="N253" s="106"/>
      <c r="O253" s="106"/>
      <c r="P253" s="106"/>
      <c r="Q253" s="106"/>
      <c r="R253" s="106"/>
      <c r="S253" s="106"/>
      <c r="T253" s="106"/>
      <c r="U253" s="106"/>
      <c r="V253" s="106"/>
      <c r="W253" s="106"/>
      <c r="X253" s="106"/>
      <c r="Y253" s="106"/>
      <c r="Z253" s="106"/>
      <c r="AA253" s="1"/>
    </row>
    <row r="254" ht="13.5" customHeight="1">
      <c r="A254" s="106"/>
      <c r="B254" s="106"/>
      <c r="C254" s="106"/>
      <c r="D254" s="106"/>
      <c r="E254" s="106"/>
      <c r="F254" s="106"/>
      <c r="G254" s="106"/>
      <c r="H254" s="106"/>
      <c r="I254" s="106"/>
      <c r="J254" s="106"/>
      <c r="K254" s="106"/>
      <c r="L254" s="106"/>
      <c r="M254" s="106"/>
      <c r="N254" s="106"/>
      <c r="O254" s="106"/>
      <c r="P254" s="106"/>
      <c r="Q254" s="106"/>
      <c r="R254" s="106"/>
      <c r="S254" s="106"/>
      <c r="T254" s="106"/>
      <c r="U254" s="106"/>
      <c r="V254" s="106"/>
      <c r="W254" s="106"/>
      <c r="X254" s="106"/>
      <c r="Y254" s="106"/>
      <c r="Z254" s="106"/>
      <c r="AA254" s="1"/>
    </row>
    <row r="255" ht="13.5" customHeight="1">
      <c r="A255" s="106"/>
      <c r="B255" s="106"/>
      <c r="C255" s="106"/>
      <c r="D255" s="106"/>
      <c r="E255" s="106"/>
      <c r="F255" s="106"/>
      <c r="G255" s="106"/>
      <c r="H255" s="106"/>
      <c r="I255" s="106"/>
      <c r="J255" s="106"/>
      <c r="K255" s="106"/>
      <c r="L255" s="106"/>
      <c r="M255" s="106"/>
      <c r="N255" s="106"/>
      <c r="O255" s="106"/>
      <c r="P255" s="106"/>
      <c r="Q255" s="106"/>
      <c r="R255" s="106"/>
      <c r="S255" s="106"/>
      <c r="T255" s="106"/>
      <c r="U255" s="106"/>
      <c r="V255" s="106"/>
      <c r="W255" s="106"/>
      <c r="X255" s="106"/>
      <c r="Y255" s="106"/>
      <c r="Z255" s="106"/>
      <c r="AA255" s="1"/>
    </row>
    <row r="256" ht="13.5" customHeight="1">
      <c r="A256" s="106"/>
      <c r="B256" s="106"/>
      <c r="C256" s="106"/>
      <c r="D256" s="106"/>
      <c r="E256" s="106"/>
      <c r="F256" s="106"/>
      <c r="G256" s="106"/>
      <c r="H256" s="106"/>
      <c r="I256" s="106"/>
      <c r="J256" s="106"/>
      <c r="K256" s="106"/>
      <c r="L256" s="106"/>
      <c r="M256" s="106"/>
      <c r="N256" s="106"/>
      <c r="O256" s="106"/>
      <c r="P256" s="106"/>
      <c r="Q256" s="106"/>
      <c r="R256" s="106"/>
      <c r="S256" s="106"/>
      <c r="T256" s="106"/>
      <c r="U256" s="106"/>
      <c r="V256" s="106"/>
      <c r="W256" s="106"/>
      <c r="X256" s="106"/>
      <c r="Y256" s="106"/>
      <c r="Z256" s="106"/>
      <c r="AA256" s="1"/>
    </row>
    <row r="257" ht="13.5" customHeight="1">
      <c r="A257" s="106"/>
      <c r="B257" s="106"/>
      <c r="C257" s="106"/>
      <c r="D257" s="106"/>
      <c r="E257" s="106"/>
      <c r="F257" s="106"/>
      <c r="G257" s="106"/>
      <c r="H257" s="106"/>
      <c r="I257" s="106"/>
      <c r="J257" s="106"/>
      <c r="K257" s="106"/>
      <c r="L257" s="106"/>
      <c r="M257" s="106"/>
      <c r="N257" s="106"/>
      <c r="O257" s="106"/>
      <c r="P257" s="106"/>
      <c r="Q257" s="106"/>
      <c r="R257" s="106"/>
      <c r="S257" s="106"/>
      <c r="T257" s="106"/>
      <c r="U257" s="106"/>
      <c r="V257" s="106"/>
      <c r="W257" s="106"/>
      <c r="X257" s="106"/>
      <c r="Y257" s="106"/>
      <c r="Z257" s="106"/>
      <c r="AA257" s="1"/>
    </row>
    <row r="258" ht="13.5" customHeight="1">
      <c r="A258" s="106"/>
      <c r="B258" s="106"/>
      <c r="C258" s="106"/>
      <c r="D258" s="106"/>
      <c r="E258" s="106"/>
      <c r="F258" s="106"/>
      <c r="G258" s="106"/>
      <c r="H258" s="106"/>
      <c r="I258" s="106"/>
      <c r="J258" s="106"/>
      <c r="K258" s="106"/>
      <c r="L258" s="106"/>
      <c r="M258" s="106"/>
      <c r="N258" s="106"/>
      <c r="O258" s="106"/>
      <c r="P258" s="106"/>
      <c r="Q258" s="106"/>
      <c r="R258" s="106"/>
      <c r="S258" s="106"/>
      <c r="T258" s="106"/>
      <c r="U258" s="106"/>
      <c r="V258" s="106"/>
      <c r="W258" s="106"/>
      <c r="X258" s="106"/>
      <c r="Y258" s="106"/>
      <c r="Z258" s="106"/>
    </row>
    <row r="259" ht="15.75" customHeight="1">
      <c r="A259" s="106"/>
      <c r="B259" s="106"/>
      <c r="C259" s="106"/>
      <c r="D259" s="106"/>
      <c r="E259" s="106"/>
      <c r="F259" s="106"/>
      <c r="G259" s="106"/>
      <c r="H259" s="106"/>
      <c r="I259" s="106"/>
      <c r="J259" s="106"/>
      <c r="K259" s="106"/>
      <c r="L259" s="106"/>
      <c r="M259" s="106"/>
      <c r="N259" s="106"/>
      <c r="O259" s="106"/>
      <c r="P259" s="106"/>
      <c r="Q259" s="106"/>
      <c r="R259" s="106"/>
      <c r="S259" s="106"/>
      <c r="T259" s="106"/>
      <c r="U259" s="106"/>
      <c r="V259" s="106"/>
      <c r="W259" s="106"/>
      <c r="X259" s="106"/>
      <c r="Y259" s="106"/>
      <c r="Z259" s="106"/>
    </row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</sheetData>
  <mergeCells count="29">
    <mergeCell ref="F14:F15"/>
    <mergeCell ref="G14:G15"/>
    <mergeCell ref="G53:G54"/>
    <mergeCell ref="I53:J54"/>
    <mergeCell ref="K53:K54"/>
    <mergeCell ref="L53:L54"/>
    <mergeCell ref="A9:L9"/>
    <mergeCell ref="E10:L10"/>
    <mergeCell ref="A13:B13"/>
    <mergeCell ref="C13:D13"/>
    <mergeCell ref="H13:H15"/>
    <mergeCell ref="I13:I14"/>
    <mergeCell ref="J13:L14"/>
    <mergeCell ref="J15:L15"/>
    <mergeCell ref="B57:C57"/>
    <mergeCell ref="B58:C58"/>
    <mergeCell ref="G58:G59"/>
    <mergeCell ref="I58:J59"/>
    <mergeCell ref="K58:K59"/>
    <mergeCell ref="L58:L59"/>
    <mergeCell ref="B59:C59"/>
    <mergeCell ref="E61:G61"/>
    <mergeCell ref="B14:D14"/>
    <mergeCell ref="E14:E15"/>
    <mergeCell ref="B16:D16"/>
    <mergeCell ref="B53:C53"/>
    <mergeCell ref="B54:C54"/>
    <mergeCell ref="B55:C55"/>
    <mergeCell ref="B56:C56"/>
  </mergeCells>
  <conditionalFormatting sqref="B29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0" priority="2" operator="equal">
      <formula>1</formula>
    </cfRule>
  </conditionalFormatting>
  <conditionalFormatting sqref="B30:D30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4" operator="equal">
      <formula>1</formula>
    </cfRule>
  </conditionalFormatting>
  <conditionalFormatting sqref="B31:D3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0" priority="6" operator="equal">
      <formula>1</formula>
    </cfRule>
  </conditionalFormatting>
  <conditionalFormatting sqref="K17:K51 L18:L51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27" width="10.71"/>
  </cols>
  <sheetData>
    <row r="1" ht="13.5" customHeight="1">
      <c r="A1" s="106"/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"/>
    </row>
    <row r="2" ht="15.0" customHeight="1">
      <c r="A2" s="107"/>
      <c r="B2" s="108"/>
      <c r="C2" s="108"/>
      <c r="D2" s="108"/>
      <c r="E2" s="109"/>
      <c r="F2" s="109"/>
      <c r="G2" s="109"/>
      <c r="H2" s="109"/>
      <c r="I2" s="109"/>
      <c r="J2" s="109"/>
      <c r="K2" s="109"/>
      <c r="L2" s="110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"/>
    </row>
    <row r="3" ht="15.0" customHeight="1">
      <c r="A3" s="111"/>
      <c r="B3" s="112"/>
      <c r="C3" s="112"/>
      <c r="D3" s="112"/>
      <c r="E3" s="106"/>
      <c r="F3" s="106"/>
      <c r="G3" s="106"/>
      <c r="H3" s="106"/>
      <c r="I3" s="106"/>
      <c r="J3" s="106"/>
      <c r="K3" s="106"/>
      <c r="L3" s="113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"/>
    </row>
    <row r="4" ht="15.0" customHeight="1">
      <c r="A4" s="111"/>
      <c r="B4" s="112"/>
      <c r="C4" s="112"/>
      <c r="D4" s="112"/>
      <c r="E4" s="106"/>
      <c r="F4" s="106"/>
      <c r="G4" s="106"/>
      <c r="H4" s="106"/>
      <c r="I4" s="106"/>
      <c r="J4" s="106"/>
      <c r="K4" s="106"/>
      <c r="L4" s="113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  <c r="AA4" s="1"/>
    </row>
    <row r="5" ht="15.0" customHeight="1">
      <c r="A5" s="111"/>
      <c r="B5" s="112"/>
      <c r="C5" s="112"/>
      <c r="D5" s="112"/>
      <c r="E5" s="106"/>
      <c r="F5" s="106"/>
      <c r="G5" s="106"/>
      <c r="H5" s="106"/>
      <c r="I5" s="106"/>
      <c r="J5" s="106"/>
      <c r="K5" s="106"/>
      <c r="L5" s="113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"/>
    </row>
    <row r="6" ht="15.0" customHeight="1">
      <c r="A6" s="111"/>
      <c r="B6" s="112"/>
      <c r="C6" s="112"/>
      <c r="D6" s="112"/>
      <c r="E6" s="106"/>
      <c r="F6" s="106"/>
      <c r="G6" s="106"/>
      <c r="H6" s="106"/>
      <c r="I6" s="106"/>
      <c r="J6" s="106"/>
      <c r="K6" s="106"/>
      <c r="L6" s="113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  <c r="AA6" s="1"/>
    </row>
    <row r="7" ht="15.0" customHeight="1">
      <c r="A7" s="111"/>
      <c r="B7" s="112"/>
      <c r="C7" s="112"/>
      <c r="D7" s="112"/>
      <c r="E7" s="106"/>
      <c r="F7" s="106"/>
      <c r="G7" s="106"/>
      <c r="H7" s="106"/>
      <c r="I7" s="106"/>
      <c r="J7" s="106"/>
      <c r="K7" s="106"/>
      <c r="L7" s="113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"/>
    </row>
    <row r="8" ht="9.75" customHeight="1">
      <c r="A8" s="111"/>
      <c r="B8" s="112"/>
      <c r="C8" s="112"/>
      <c r="D8" s="112"/>
      <c r="E8" s="106"/>
      <c r="F8" s="106"/>
      <c r="G8" s="106"/>
      <c r="H8" s="106"/>
      <c r="I8" s="106"/>
      <c r="J8" s="106"/>
      <c r="K8" s="106"/>
      <c r="L8" s="113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  <c r="AA8" s="1"/>
    </row>
    <row r="9" ht="23.25" customHeight="1">
      <c r="A9" s="114" t="s">
        <v>0</v>
      </c>
      <c r="L9" s="10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  <c r="AA9" s="1"/>
    </row>
    <row r="10" ht="9.75" customHeight="1">
      <c r="A10" s="111"/>
      <c r="B10" s="112"/>
      <c r="C10" s="112"/>
      <c r="D10" s="112"/>
      <c r="E10" s="115"/>
      <c r="L10" s="10"/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  <c r="AA10" s="1"/>
    </row>
    <row r="11" ht="19.5" customHeight="1">
      <c r="A11" s="111"/>
      <c r="B11" s="116" t="s">
        <v>1</v>
      </c>
      <c r="C11" s="112"/>
      <c r="D11" s="112"/>
      <c r="E11" s="106"/>
      <c r="F11" s="106"/>
      <c r="G11" s="106"/>
      <c r="H11" s="106"/>
      <c r="I11" s="106"/>
      <c r="J11" s="106"/>
      <c r="K11" s="106"/>
      <c r="L11" s="113"/>
      <c r="M11" s="106"/>
      <c r="N11" s="106"/>
      <c r="O11" s="106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  <c r="AA11" s="1"/>
    </row>
    <row r="12" ht="12.75" customHeight="1">
      <c r="A12" s="111"/>
      <c r="B12" s="112"/>
      <c r="C12" s="112"/>
      <c r="D12" s="112"/>
      <c r="E12" s="106"/>
      <c r="F12" s="106"/>
      <c r="G12" s="106"/>
      <c r="H12" s="106"/>
      <c r="I12" s="106"/>
      <c r="J12" s="106"/>
      <c r="K12" s="106"/>
      <c r="L12" s="113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"/>
    </row>
    <row r="13" ht="32.25" customHeight="1">
      <c r="A13" s="117" t="s">
        <v>2</v>
      </c>
      <c r="B13" s="17"/>
      <c r="C13" s="118"/>
      <c r="D13" s="17"/>
      <c r="E13" s="19" t="s">
        <v>3</v>
      </c>
      <c r="F13" s="19" t="s">
        <v>4</v>
      </c>
      <c r="G13" s="20" t="s">
        <v>5</v>
      </c>
      <c r="H13" s="119" t="s">
        <v>6</v>
      </c>
      <c r="I13" s="120">
        <v>1.0</v>
      </c>
      <c r="J13" s="23" t="s">
        <v>7</v>
      </c>
      <c r="K13" s="24"/>
      <c r="L13" s="25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  <c r="AA13" s="1"/>
    </row>
    <row r="14" ht="35.25" customHeight="1">
      <c r="A14" s="121" t="s">
        <v>8</v>
      </c>
      <c r="B14" s="122" t="s">
        <v>137</v>
      </c>
      <c r="C14" s="28"/>
      <c r="D14" s="29"/>
      <c r="E14" s="30" t="s">
        <v>10</v>
      </c>
      <c r="F14" s="30" t="s">
        <v>11</v>
      </c>
      <c r="G14" s="31" t="s">
        <v>12</v>
      </c>
      <c r="H14" s="32"/>
      <c r="I14" s="33"/>
      <c r="J14" s="34"/>
      <c r="K14" s="35"/>
      <c r="L14" s="36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  <c r="AA14" s="1"/>
    </row>
    <row r="15" ht="24.75" customHeight="1">
      <c r="A15" s="123" t="s">
        <v>13</v>
      </c>
      <c r="B15" s="124" t="s">
        <v>14</v>
      </c>
      <c r="C15" s="125" t="s">
        <v>15</v>
      </c>
      <c r="D15" s="125">
        <v>3.0</v>
      </c>
      <c r="E15" s="33"/>
      <c r="F15" s="33"/>
      <c r="G15" s="33"/>
      <c r="H15" s="40"/>
      <c r="I15" s="126"/>
      <c r="J15" s="127"/>
      <c r="K15" s="28"/>
      <c r="L15" s="43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  <c r="AA15" s="1"/>
    </row>
    <row r="16" ht="40.5" customHeight="1">
      <c r="A16" s="128" t="s">
        <v>16</v>
      </c>
      <c r="B16" s="129" t="s">
        <v>17</v>
      </c>
      <c r="C16" s="28"/>
      <c r="D16" s="29"/>
      <c r="E16" s="47"/>
      <c r="F16" s="47"/>
      <c r="G16" s="47"/>
      <c r="H16" s="130"/>
      <c r="I16" s="131" t="s">
        <v>18</v>
      </c>
      <c r="J16" s="132" t="s">
        <v>19</v>
      </c>
      <c r="K16" s="132" t="s">
        <v>20</v>
      </c>
      <c r="L16" s="133" t="s">
        <v>21</v>
      </c>
      <c r="M16" s="132" t="s">
        <v>20</v>
      </c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  <c r="AA16" s="1"/>
    </row>
    <row r="17" ht="24.75" customHeight="1">
      <c r="A17" s="134">
        <v>1.0</v>
      </c>
      <c r="B17" s="53" t="s">
        <v>22</v>
      </c>
      <c r="C17" s="53" t="s">
        <v>23</v>
      </c>
      <c r="D17" s="54" t="s">
        <v>24</v>
      </c>
      <c r="E17" s="135"/>
      <c r="F17" s="135"/>
      <c r="G17" s="135"/>
      <c r="H17" s="135"/>
      <c r="I17" s="136">
        <f t="shared" ref="I17:I51" si="1">SUM(E17:H17)</f>
        <v>0</v>
      </c>
      <c r="J17" s="137"/>
      <c r="K17" s="138">
        <f t="shared" ref="K17:K51" si="2">IF(M17&lt;6,5,M17)</f>
        <v>5</v>
      </c>
      <c r="L17" s="139"/>
      <c r="M17" s="140">
        <f t="shared" ref="M17:M51" si="3">IF(I17&gt;=6,ROUND(I17,0),TRUNC(I17,0))</f>
        <v>0</v>
      </c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  <c r="AA17" s="1"/>
    </row>
    <row r="18" ht="24.75" customHeight="1">
      <c r="A18" s="134">
        <v>2.0</v>
      </c>
      <c r="B18" s="53" t="s">
        <v>25</v>
      </c>
      <c r="C18" s="53" t="s">
        <v>26</v>
      </c>
      <c r="D18" s="54" t="s">
        <v>27</v>
      </c>
      <c r="E18" s="135"/>
      <c r="F18" s="135"/>
      <c r="G18" s="135"/>
      <c r="H18" s="135"/>
      <c r="I18" s="136">
        <f t="shared" si="1"/>
        <v>0</v>
      </c>
      <c r="J18" s="137"/>
      <c r="K18" s="138">
        <f t="shared" si="2"/>
        <v>5</v>
      </c>
      <c r="L18" s="137"/>
      <c r="M18" s="140">
        <f t="shared" si="3"/>
        <v>0</v>
      </c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6"/>
      <c r="AA18" s="1"/>
    </row>
    <row r="19" ht="24.75" customHeight="1">
      <c r="A19" s="134">
        <v>3.0</v>
      </c>
      <c r="B19" s="53" t="s">
        <v>28</v>
      </c>
      <c r="C19" s="53" t="s">
        <v>29</v>
      </c>
      <c r="D19" s="54" t="s">
        <v>30</v>
      </c>
      <c r="E19" s="135"/>
      <c r="F19" s="135"/>
      <c r="G19" s="135"/>
      <c r="H19" s="135"/>
      <c r="I19" s="136">
        <f t="shared" si="1"/>
        <v>0</v>
      </c>
      <c r="J19" s="137"/>
      <c r="K19" s="138">
        <f t="shared" si="2"/>
        <v>5</v>
      </c>
      <c r="L19" s="137"/>
      <c r="M19" s="140">
        <f t="shared" si="3"/>
        <v>0</v>
      </c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  <c r="AA19" s="1"/>
    </row>
    <row r="20" ht="24.75" customHeight="1">
      <c r="A20" s="134">
        <v>4.0</v>
      </c>
      <c r="B20" s="53" t="s">
        <v>31</v>
      </c>
      <c r="C20" s="53" t="s">
        <v>32</v>
      </c>
      <c r="D20" s="54" t="s">
        <v>33</v>
      </c>
      <c r="E20" s="135"/>
      <c r="F20" s="135"/>
      <c r="G20" s="135"/>
      <c r="H20" s="135"/>
      <c r="I20" s="136">
        <f t="shared" si="1"/>
        <v>0</v>
      </c>
      <c r="J20" s="137"/>
      <c r="K20" s="138">
        <f t="shared" si="2"/>
        <v>5</v>
      </c>
      <c r="L20" s="137"/>
      <c r="M20" s="140">
        <f t="shared" si="3"/>
        <v>0</v>
      </c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  <c r="AA20" s="1"/>
    </row>
    <row r="21" ht="24.75" customHeight="1">
      <c r="A21" s="134">
        <v>5.0</v>
      </c>
      <c r="B21" s="53" t="s">
        <v>34</v>
      </c>
      <c r="C21" s="53" t="s">
        <v>35</v>
      </c>
      <c r="D21" s="54" t="s">
        <v>36</v>
      </c>
      <c r="E21" s="135"/>
      <c r="F21" s="135"/>
      <c r="G21" s="135"/>
      <c r="H21" s="135"/>
      <c r="I21" s="136">
        <f t="shared" si="1"/>
        <v>0</v>
      </c>
      <c r="J21" s="137"/>
      <c r="K21" s="138">
        <f t="shared" si="2"/>
        <v>5</v>
      </c>
      <c r="L21" s="137"/>
      <c r="M21" s="140">
        <f t="shared" si="3"/>
        <v>0</v>
      </c>
      <c r="N21" s="106"/>
      <c r="O21" s="106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  <c r="AA21" s="1"/>
    </row>
    <row r="22" ht="24.75" customHeight="1">
      <c r="A22" s="134">
        <v>6.0</v>
      </c>
      <c r="B22" s="53" t="s">
        <v>37</v>
      </c>
      <c r="C22" s="53" t="s">
        <v>38</v>
      </c>
      <c r="D22" s="54" t="s">
        <v>39</v>
      </c>
      <c r="E22" s="135"/>
      <c r="F22" s="135"/>
      <c r="G22" s="135"/>
      <c r="H22" s="135"/>
      <c r="I22" s="136">
        <f t="shared" si="1"/>
        <v>0</v>
      </c>
      <c r="J22" s="137"/>
      <c r="K22" s="138">
        <f t="shared" si="2"/>
        <v>5</v>
      </c>
      <c r="L22" s="137"/>
      <c r="M22" s="140">
        <f t="shared" si="3"/>
        <v>0</v>
      </c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  <c r="AA22" s="1"/>
    </row>
    <row r="23" ht="24.75" customHeight="1">
      <c r="A23" s="134">
        <v>7.0</v>
      </c>
      <c r="B23" s="53" t="s">
        <v>37</v>
      </c>
      <c r="C23" s="53" t="s">
        <v>40</v>
      </c>
      <c r="D23" s="54" t="s">
        <v>41</v>
      </c>
      <c r="E23" s="135"/>
      <c r="F23" s="135"/>
      <c r="G23" s="135"/>
      <c r="H23" s="135"/>
      <c r="I23" s="136">
        <f t="shared" si="1"/>
        <v>0</v>
      </c>
      <c r="J23" s="137"/>
      <c r="K23" s="138">
        <f t="shared" si="2"/>
        <v>5</v>
      </c>
      <c r="L23" s="137"/>
      <c r="M23" s="140">
        <f t="shared" si="3"/>
        <v>0</v>
      </c>
      <c r="N23" s="106"/>
      <c r="O23" s="106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  <c r="AA23" s="1"/>
    </row>
    <row r="24" ht="24.75" customHeight="1">
      <c r="A24" s="134">
        <v>8.0</v>
      </c>
      <c r="B24" s="53" t="s">
        <v>42</v>
      </c>
      <c r="C24" s="53" t="s">
        <v>43</v>
      </c>
      <c r="D24" s="54" t="s">
        <v>44</v>
      </c>
      <c r="E24" s="135"/>
      <c r="F24" s="135"/>
      <c r="G24" s="135"/>
      <c r="H24" s="135"/>
      <c r="I24" s="136">
        <f t="shared" si="1"/>
        <v>0</v>
      </c>
      <c r="J24" s="137"/>
      <c r="K24" s="138">
        <f t="shared" si="2"/>
        <v>5</v>
      </c>
      <c r="L24" s="137"/>
      <c r="M24" s="140">
        <f t="shared" si="3"/>
        <v>0</v>
      </c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  <c r="AA24" s="1"/>
    </row>
    <row r="25" ht="24.75" customHeight="1">
      <c r="A25" s="134">
        <v>9.0</v>
      </c>
      <c r="B25" s="53" t="s">
        <v>45</v>
      </c>
      <c r="C25" s="53" t="s">
        <v>46</v>
      </c>
      <c r="D25" s="54" t="s">
        <v>47</v>
      </c>
      <c r="E25" s="135"/>
      <c r="F25" s="135"/>
      <c r="G25" s="135"/>
      <c r="H25" s="135"/>
      <c r="I25" s="136">
        <f t="shared" si="1"/>
        <v>0</v>
      </c>
      <c r="J25" s="137"/>
      <c r="K25" s="138">
        <f t="shared" si="2"/>
        <v>5</v>
      </c>
      <c r="L25" s="137"/>
      <c r="M25" s="140">
        <f t="shared" si="3"/>
        <v>0</v>
      </c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  <c r="AA25" s="1"/>
    </row>
    <row r="26" ht="24.75" customHeight="1">
      <c r="A26" s="134">
        <v>10.0</v>
      </c>
      <c r="B26" s="53" t="s">
        <v>48</v>
      </c>
      <c r="C26" s="53" t="s">
        <v>49</v>
      </c>
      <c r="D26" s="54" t="s">
        <v>50</v>
      </c>
      <c r="E26" s="135"/>
      <c r="F26" s="135"/>
      <c r="G26" s="135"/>
      <c r="H26" s="135"/>
      <c r="I26" s="136">
        <f t="shared" si="1"/>
        <v>0</v>
      </c>
      <c r="J26" s="137"/>
      <c r="K26" s="138">
        <f t="shared" si="2"/>
        <v>5</v>
      </c>
      <c r="L26" s="137"/>
      <c r="M26" s="140">
        <f t="shared" si="3"/>
        <v>0</v>
      </c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"/>
    </row>
    <row r="27" ht="24.75" customHeight="1">
      <c r="A27" s="134">
        <v>11.0</v>
      </c>
      <c r="B27" s="53" t="s">
        <v>48</v>
      </c>
      <c r="C27" s="53" t="s">
        <v>51</v>
      </c>
      <c r="D27" s="53" t="s">
        <v>52</v>
      </c>
      <c r="E27" s="135"/>
      <c r="F27" s="135"/>
      <c r="G27" s="135"/>
      <c r="H27" s="135"/>
      <c r="I27" s="136">
        <f t="shared" si="1"/>
        <v>0</v>
      </c>
      <c r="J27" s="137"/>
      <c r="K27" s="138">
        <f t="shared" si="2"/>
        <v>5</v>
      </c>
      <c r="L27" s="137"/>
      <c r="M27" s="140">
        <f t="shared" si="3"/>
        <v>0</v>
      </c>
      <c r="N27" s="106"/>
      <c r="O27" s="106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  <c r="AA27" s="1"/>
    </row>
    <row r="28" ht="24.75" customHeight="1">
      <c r="A28" s="134">
        <v>12.0</v>
      </c>
      <c r="B28" s="53" t="s">
        <v>53</v>
      </c>
      <c r="C28" s="53" t="s">
        <v>54</v>
      </c>
      <c r="D28" s="54" t="s">
        <v>55</v>
      </c>
      <c r="E28" s="135"/>
      <c r="F28" s="135"/>
      <c r="G28" s="135"/>
      <c r="H28" s="135"/>
      <c r="I28" s="136">
        <f t="shared" si="1"/>
        <v>0</v>
      </c>
      <c r="J28" s="137"/>
      <c r="K28" s="138">
        <f t="shared" si="2"/>
        <v>5</v>
      </c>
      <c r="L28" s="137"/>
      <c r="M28" s="140">
        <f t="shared" si="3"/>
        <v>0</v>
      </c>
      <c r="N28" s="106"/>
      <c r="O28" s="106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  <c r="AA28" s="1"/>
    </row>
    <row r="29" ht="24.75" customHeight="1">
      <c r="A29" s="134">
        <v>13.0</v>
      </c>
      <c r="B29" s="53" t="s">
        <v>56</v>
      </c>
      <c r="C29" s="53" t="s">
        <v>57</v>
      </c>
      <c r="D29" s="54" t="s">
        <v>58</v>
      </c>
      <c r="E29" s="135"/>
      <c r="F29" s="135"/>
      <c r="G29" s="135"/>
      <c r="H29" s="135"/>
      <c r="I29" s="136">
        <f t="shared" si="1"/>
        <v>0</v>
      </c>
      <c r="J29" s="137"/>
      <c r="K29" s="138">
        <f t="shared" si="2"/>
        <v>5</v>
      </c>
      <c r="L29" s="137"/>
      <c r="M29" s="140">
        <f t="shared" si="3"/>
        <v>0</v>
      </c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  <c r="AA29" s="1"/>
    </row>
    <row r="30" ht="24.75" customHeight="1">
      <c r="A30" s="134">
        <v>14.0</v>
      </c>
      <c r="B30" s="53" t="s">
        <v>57</v>
      </c>
      <c r="C30" s="53" t="s">
        <v>59</v>
      </c>
      <c r="D30" s="54" t="s">
        <v>60</v>
      </c>
      <c r="E30" s="135"/>
      <c r="F30" s="135"/>
      <c r="G30" s="135"/>
      <c r="H30" s="135"/>
      <c r="I30" s="136">
        <f t="shared" si="1"/>
        <v>0</v>
      </c>
      <c r="J30" s="137"/>
      <c r="K30" s="138">
        <f t="shared" si="2"/>
        <v>5</v>
      </c>
      <c r="L30" s="137"/>
      <c r="M30" s="140">
        <f t="shared" si="3"/>
        <v>0</v>
      </c>
      <c r="N30" s="106"/>
      <c r="O30" s="106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  <c r="AA30" s="1"/>
    </row>
    <row r="31" ht="24.75" customHeight="1">
      <c r="A31" s="134">
        <v>15.0</v>
      </c>
      <c r="B31" s="53" t="s">
        <v>61</v>
      </c>
      <c r="C31" s="53" t="s">
        <v>62</v>
      </c>
      <c r="D31" s="54" t="s">
        <v>63</v>
      </c>
      <c r="E31" s="135"/>
      <c r="F31" s="135"/>
      <c r="G31" s="135"/>
      <c r="H31" s="135"/>
      <c r="I31" s="136">
        <f t="shared" si="1"/>
        <v>0</v>
      </c>
      <c r="J31" s="137"/>
      <c r="K31" s="138">
        <f t="shared" si="2"/>
        <v>5</v>
      </c>
      <c r="L31" s="137"/>
      <c r="M31" s="140">
        <f t="shared" si="3"/>
        <v>0</v>
      </c>
      <c r="N31" s="106"/>
      <c r="O31" s="106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  <c r="AA31" s="1"/>
    </row>
    <row r="32" ht="24.75" customHeight="1">
      <c r="A32" s="134">
        <v>16.0</v>
      </c>
      <c r="B32" s="53" t="s">
        <v>64</v>
      </c>
      <c r="C32" s="53" t="s">
        <v>65</v>
      </c>
      <c r="D32" s="54" t="s">
        <v>66</v>
      </c>
      <c r="E32" s="135"/>
      <c r="F32" s="135"/>
      <c r="G32" s="135"/>
      <c r="H32" s="135"/>
      <c r="I32" s="136">
        <f t="shared" si="1"/>
        <v>0</v>
      </c>
      <c r="J32" s="137"/>
      <c r="K32" s="138">
        <f t="shared" si="2"/>
        <v>5</v>
      </c>
      <c r="L32" s="137"/>
      <c r="M32" s="140">
        <f t="shared" si="3"/>
        <v>0</v>
      </c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  <c r="AA32" s="1"/>
    </row>
    <row r="33" ht="24.75" customHeight="1">
      <c r="A33" s="134">
        <v>17.0</v>
      </c>
      <c r="B33" s="53" t="s">
        <v>64</v>
      </c>
      <c r="C33" s="53" t="s">
        <v>67</v>
      </c>
      <c r="D33" s="54" t="s">
        <v>68</v>
      </c>
      <c r="E33" s="135"/>
      <c r="F33" s="135"/>
      <c r="G33" s="135"/>
      <c r="H33" s="135"/>
      <c r="I33" s="136">
        <f t="shared" si="1"/>
        <v>0</v>
      </c>
      <c r="J33" s="137"/>
      <c r="K33" s="138">
        <f t="shared" si="2"/>
        <v>5</v>
      </c>
      <c r="L33" s="137"/>
      <c r="M33" s="140">
        <f t="shared" si="3"/>
        <v>0</v>
      </c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  <c r="AA33" s="1"/>
    </row>
    <row r="34" ht="24.75" customHeight="1">
      <c r="A34" s="134">
        <v>18.0</v>
      </c>
      <c r="B34" s="53" t="s">
        <v>69</v>
      </c>
      <c r="C34" s="53" t="s">
        <v>70</v>
      </c>
      <c r="D34" s="54" t="s">
        <v>71</v>
      </c>
      <c r="E34" s="135"/>
      <c r="F34" s="135"/>
      <c r="G34" s="135"/>
      <c r="H34" s="135"/>
      <c r="I34" s="136">
        <f t="shared" si="1"/>
        <v>0</v>
      </c>
      <c r="J34" s="137"/>
      <c r="K34" s="138">
        <f t="shared" si="2"/>
        <v>5</v>
      </c>
      <c r="L34" s="137"/>
      <c r="M34" s="140">
        <f t="shared" si="3"/>
        <v>0</v>
      </c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  <c r="AA34" s="1"/>
    </row>
    <row r="35" ht="24.75" customHeight="1">
      <c r="A35" s="134">
        <v>19.0</v>
      </c>
      <c r="B35" s="53" t="s">
        <v>26</v>
      </c>
      <c r="C35" s="53" t="s">
        <v>72</v>
      </c>
      <c r="D35" s="54" t="s">
        <v>73</v>
      </c>
      <c r="E35" s="135"/>
      <c r="F35" s="135"/>
      <c r="G35" s="135"/>
      <c r="H35" s="135"/>
      <c r="I35" s="136">
        <f t="shared" si="1"/>
        <v>0</v>
      </c>
      <c r="J35" s="137"/>
      <c r="K35" s="138">
        <f t="shared" si="2"/>
        <v>5</v>
      </c>
      <c r="L35" s="137"/>
      <c r="M35" s="140">
        <f t="shared" si="3"/>
        <v>0</v>
      </c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  <c r="AA35" s="1"/>
    </row>
    <row r="36" ht="24.75" customHeight="1">
      <c r="A36" s="134">
        <v>20.0</v>
      </c>
      <c r="B36" s="53" t="s">
        <v>74</v>
      </c>
      <c r="C36" s="53" t="s">
        <v>75</v>
      </c>
      <c r="D36" s="54" t="s">
        <v>76</v>
      </c>
      <c r="E36" s="135"/>
      <c r="F36" s="135"/>
      <c r="G36" s="135"/>
      <c r="H36" s="135"/>
      <c r="I36" s="136">
        <f t="shared" si="1"/>
        <v>0</v>
      </c>
      <c r="J36" s="137"/>
      <c r="K36" s="138">
        <f t="shared" si="2"/>
        <v>5</v>
      </c>
      <c r="L36" s="137"/>
      <c r="M36" s="140">
        <f t="shared" si="3"/>
        <v>0</v>
      </c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  <c r="AA36" s="1"/>
    </row>
    <row r="37" ht="24.75" customHeight="1">
      <c r="A37" s="134">
        <v>21.0</v>
      </c>
      <c r="B37" s="53" t="s">
        <v>77</v>
      </c>
      <c r="C37" s="53" t="s">
        <v>26</v>
      </c>
      <c r="D37" s="54" t="s">
        <v>78</v>
      </c>
      <c r="E37" s="135"/>
      <c r="F37" s="135"/>
      <c r="G37" s="135"/>
      <c r="H37" s="135"/>
      <c r="I37" s="136">
        <f t="shared" si="1"/>
        <v>0</v>
      </c>
      <c r="J37" s="137"/>
      <c r="K37" s="138">
        <f t="shared" si="2"/>
        <v>5</v>
      </c>
      <c r="L37" s="137"/>
      <c r="M37" s="140">
        <f t="shared" si="3"/>
        <v>0</v>
      </c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  <c r="AA37" s="1"/>
    </row>
    <row r="38" ht="24.75" customHeight="1">
      <c r="A38" s="134">
        <v>22.0</v>
      </c>
      <c r="B38" s="53" t="s">
        <v>79</v>
      </c>
      <c r="C38" s="53" t="s">
        <v>80</v>
      </c>
      <c r="D38" s="54" t="s">
        <v>81</v>
      </c>
      <c r="E38" s="135"/>
      <c r="F38" s="135"/>
      <c r="G38" s="135"/>
      <c r="H38" s="135"/>
      <c r="I38" s="136">
        <f t="shared" si="1"/>
        <v>0</v>
      </c>
      <c r="J38" s="137"/>
      <c r="K38" s="138">
        <f t="shared" si="2"/>
        <v>5</v>
      </c>
      <c r="L38" s="137"/>
      <c r="M38" s="140">
        <f t="shared" si="3"/>
        <v>0</v>
      </c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  <c r="AA38" s="1"/>
    </row>
    <row r="39" ht="24.75" customHeight="1">
      <c r="A39" s="134">
        <v>23.0</v>
      </c>
      <c r="B39" s="53" t="s">
        <v>82</v>
      </c>
      <c r="C39" s="53" t="s">
        <v>83</v>
      </c>
      <c r="D39" s="54" t="s">
        <v>84</v>
      </c>
      <c r="E39" s="135"/>
      <c r="F39" s="135"/>
      <c r="G39" s="135"/>
      <c r="H39" s="135"/>
      <c r="I39" s="136">
        <f t="shared" si="1"/>
        <v>0</v>
      </c>
      <c r="J39" s="137"/>
      <c r="K39" s="138">
        <f t="shared" si="2"/>
        <v>5</v>
      </c>
      <c r="L39" s="137"/>
      <c r="M39" s="140">
        <f t="shared" si="3"/>
        <v>0</v>
      </c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  <c r="AA39" s="1"/>
    </row>
    <row r="40" ht="24.75" customHeight="1">
      <c r="A40" s="134">
        <v>24.0</v>
      </c>
      <c r="B40" s="53" t="s">
        <v>85</v>
      </c>
      <c r="C40" s="53" t="s">
        <v>86</v>
      </c>
      <c r="D40" s="54" t="s">
        <v>87</v>
      </c>
      <c r="E40" s="135"/>
      <c r="F40" s="135"/>
      <c r="G40" s="135"/>
      <c r="H40" s="135"/>
      <c r="I40" s="136">
        <f t="shared" si="1"/>
        <v>0</v>
      </c>
      <c r="J40" s="137"/>
      <c r="K40" s="138">
        <f t="shared" si="2"/>
        <v>5</v>
      </c>
      <c r="L40" s="137"/>
      <c r="M40" s="140">
        <f t="shared" si="3"/>
        <v>0</v>
      </c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  <c r="AA40" s="1"/>
    </row>
    <row r="41" ht="24.75" customHeight="1">
      <c r="A41" s="134">
        <v>25.0</v>
      </c>
      <c r="B41" s="53" t="s">
        <v>88</v>
      </c>
      <c r="C41" s="53" t="s">
        <v>89</v>
      </c>
      <c r="D41" s="54" t="s">
        <v>90</v>
      </c>
      <c r="E41" s="135"/>
      <c r="F41" s="135"/>
      <c r="G41" s="135"/>
      <c r="H41" s="135"/>
      <c r="I41" s="136">
        <f t="shared" si="1"/>
        <v>0</v>
      </c>
      <c r="J41" s="137"/>
      <c r="K41" s="138">
        <f t="shared" si="2"/>
        <v>5</v>
      </c>
      <c r="L41" s="137"/>
      <c r="M41" s="140">
        <f t="shared" si="3"/>
        <v>0</v>
      </c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  <c r="AA41" s="1"/>
    </row>
    <row r="42" ht="24.75" customHeight="1">
      <c r="A42" s="134">
        <v>26.0</v>
      </c>
      <c r="B42" s="53" t="s">
        <v>91</v>
      </c>
      <c r="C42" s="53" t="s">
        <v>92</v>
      </c>
      <c r="D42" s="54" t="s">
        <v>93</v>
      </c>
      <c r="E42" s="135"/>
      <c r="F42" s="135"/>
      <c r="G42" s="135"/>
      <c r="H42" s="135"/>
      <c r="I42" s="136">
        <f t="shared" si="1"/>
        <v>0</v>
      </c>
      <c r="J42" s="137"/>
      <c r="K42" s="138">
        <f t="shared" si="2"/>
        <v>5</v>
      </c>
      <c r="L42" s="137"/>
      <c r="M42" s="140">
        <f t="shared" si="3"/>
        <v>0</v>
      </c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  <c r="AA42" s="1"/>
    </row>
    <row r="43" ht="24.75" customHeight="1">
      <c r="A43" s="134">
        <v>27.0</v>
      </c>
      <c r="B43" s="53" t="s">
        <v>94</v>
      </c>
      <c r="C43" s="53" t="s">
        <v>95</v>
      </c>
      <c r="D43" s="54" t="s">
        <v>96</v>
      </c>
      <c r="E43" s="135"/>
      <c r="F43" s="135"/>
      <c r="G43" s="135"/>
      <c r="H43" s="135"/>
      <c r="I43" s="136">
        <f t="shared" si="1"/>
        <v>0</v>
      </c>
      <c r="J43" s="137"/>
      <c r="K43" s="138">
        <f t="shared" si="2"/>
        <v>5</v>
      </c>
      <c r="L43" s="137"/>
      <c r="M43" s="140">
        <f t="shared" si="3"/>
        <v>0</v>
      </c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  <c r="AA43" s="1"/>
    </row>
    <row r="44" ht="24.75" customHeight="1">
      <c r="A44" s="134">
        <v>28.0</v>
      </c>
      <c r="B44" s="53" t="s">
        <v>94</v>
      </c>
      <c r="C44" s="53" t="s">
        <v>97</v>
      </c>
      <c r="D44" s="54" t="s">
        <v>98</v>
      </c>
      <c r="E44" s="135"/>
      <c r="F44" s="135"/>
      <c r="G44" s="135"/>
      <c r="H44" s="135"/>
      <c r="I44" s="136">
        <f t="shared" si="1"/>
        <v>0</v>
      </c>
      <c r="J44" s="137"/>
      <c r="K44" s="138">
        <f t="shared" si="2"/>
        <v>5</v>
      </c>
      <c r="L44" s="137"/>
      <c r="M44" s="140">
        <f t="shared" si="3"/>
        <v>0</v>
      </c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  <c r="AA44" s="1"/>
    </row>
    <row r="45" ht="24.75" customHeight="1">
      <c r="A45" s="134">
        <v>29.0</v>
      </c>
      <c r="B45" s="53" t="s">
        <v>94</v>
      </c>
      <c r="C45" s="53" t="s">
        <v>99</v>
      </c>
      <c r="D45" s="54" t="s">
        <v>100</v>
      </c>
      <c r="E45" s="135"/>
      <c r="F45" s="135"/>
      <c r="G45" s="135"/>
      <c r="H45" s="135"/>
      <c r="I45" s="136">
        <f t="shared" si="1"/>
        <v>0</v>
      </c>
      <c r="J45" s="137"/>
      <c r="K45" s="138">
        <f t="shared" si="2"/>
        <v>5</v>
      </c>
      <c r="L45" s="137"/>
      <c r="M45" s="140">
        <f t="shared" si="3"/>
        <v>0</v>
      </c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  <c r="AA45" s="1"/>
    </row>
    <row r="46" ht="24.75" customHeight="1">
      <c r="A46" s="134">
        <v>30.0</v>
      </c>
      <c r="B46" s="53" t="s">
        <v>101</v>
      </c>
      <c r="C46" s="53" t="s">
        <v>64</v>
      </c>
      <c r="D46" s="54" t="s">
        <v>102</v>
      </c>
      <c r="E46" s="135"/>
      <c r="F46" s="135"/>
      <c r="G46" s="135"/>
      <c r="H46" s="135"/>
      <c r="I46" s="136">
        <f t="shared" si="1"/>
        <v>0</v>
      </c>
      <c r="J46" s="137"/>
      <c r="K46" s="138">
        <f t="shared" si="2"/>
        <v>5</v>
      </c>
      <c r="L46" s="137"/>
      <c r="M46" s="140">
        <f t="shared" si="3"/>
        <v>0</v>
      </c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  <c r="AA46" s="1"/>
    </row>
    <row r="47" ht="24.75" customHeight="1">
      <c r="A47" s="134">
        <v>31.0</v>
      </c>
      <c r="B47" s="53" t="s">
        <v>103</v>
      </c>
      <c r="C47" s="53" t="s">
        <v>104</v>
      </c>
      <c r="D47" s="54" t="s">
        <v>105</v>
      </c>
      <c r="E47" s="135"/>
      <c r="F47" s="135"/>
      <c r="G47" s="135"/>
      <c r="H47" s="135"/>
      <c r="I47" s="136">
        <f t="shared" si="1"/>
        <v>0</v>
      </c>
      <c r="J47" s="137"/>
      <c r="K47" s="138">
        <f t="shared" si="2"/>
        <v>5</v>
      </c>
      <c r="L47" s="137"/>
      <c r="M47" s="140">
        <f t="shared" si="3"/>
        <v>0</v>
      </c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  <c r="AA47" s="1"/>
    </row>
    <row r="48" ht="24.75" customHeight="1">
      <c r="A48" s="134">
        <v>32.0</v>
      </c>
      <c r="B48" s="53" t="s">
        <v>65</v>
      </c>
      <c r="C48" s="53" t="s">
        <v>106</v>
      </c>
      <c r="D48" s="54" t="s">
        <v>107</v>
      </c>
      <c r="E48" s="135"/>
      <c r="F48" s="135"/>
      <c r="G48" s="135"/>
      <c r="H48" s="135"/>
      <c r="I48" s="136">
        <f t="shared" si="1"/>
        <v>0</v>
      </c>
      <c r="J48" s="137"/>
      <c r="K48" s="138">
        <f t="shared" si="2"/>
        <v>5</v>
      </c>
      <c r="L48" s="137"/>
      <c r="M48" s="140">
        <f t="shared" si="3"/>
        <v>0</v>
      </c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  <c r="AA48" s="1"/>
    </row>
    <row r="49" ht="24.75" customHeight="1">
      <c r="A49" s="134">
        <v>33.0</v>
      </c>
      <c r="B49" s="53" t="s">
        <v>108</v>
      </c>
      <c r="C49" s="53" t="s">
        <v>94</v>
      </c>
      <c r="D49" s="54" t="s">
        <v>41</v>
      </c>
      <c r="E49" s="135"/>
      <c r="F49" s="135"/>
      <c r="G49" s="135"/>
      <c r="H49" s="135"/>
      <c r="I49" s="136">
        <f t="shared" si="1"/>
        <v>0</v>
      </c>
      <c r="J49" s="137"/>
      <c r="K49" s="138">
        <f t="shared" si="2"/>
        <v>5</v>
      </c>
      <c r="L49" s="137"/>
      <c r="M49" s="140">
        <f t="shared" si="3"/>
        <v>0</v>
      </c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  <c r="AA49" s="1"/>
    </row>
    <row r="50" ht="24.75" customHeight="1">
      <c r="A50" s="134">
        <v>34.0</v>
      </c>
      <c r="B50" s="53" t="s">
        <v>83</v>
      </c>
      <c r="C50" s="53" t="s">
        <v>59</v>
      </c>
      <c r="D50" s="54" t="s">
        <v>109</v>
      </c>
      <c r="E50" s="135"/>
      <c r="F50" s="135"/>
      <c r="G50" s="135"/>
      <c r="H50" s="135"/>
      <c r="I50" s="136">
        <f t="shared" si="1"/>
        <v>0</v>
      </c>
      <c r="J50" s="137"/>
      <c r="K50" s="138">
        <f t="shared" si="2"/>
        <v>5</v>
      </c>
      <c r="L50" s="137"/>
      <c r="M50" s="140">
        <f t="shared" si="3"/>
        <v>0</v>
      </c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  <c r="AA50" s="1"/>
    </row>
    <row r="51" ht="24.75" customHeight="1">
      <c r="A51" s="134">
        <v>35.0</v>
      </c>
      <c r="B51" s="53" t="s">
        <v>110</v>
      </c>
      <c r="C51" s="53" t="s">
        <v>111</v>
      </c>
      <c r="D51" s="54" t="s">
        <v>112</v>
      </c>
      <c r="E51" s="135"/>
      <c r="F51" s="135"/>
      <c r="G51" s="135"/>
      <c r="H51" s="135"/>
      <c r="I51" s="136">
        <f t="shared" si="1"/>
        <v>0</v>
      </c>
      <c r="J51" s="137"/>
      <c r="K51" s="138">
        <f t="shared" si="2"/>
        <v>5</v>
      </c>
      <c r="L51" s="137"/>
      <c r="M51" s="140">
        <f t="shared" si="3"/>
        <v>0</v>
      </c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  <c r="AA51" s="1"/>
    </row>
    <row r="52" ht="21.75" customHeight="1">
      <c r="A52" s="111"/>
      <c r="B52" s="112"/>
      <c r="C52" s="112"/>
      <c r="D52" s="112"/>
      <c r="E52" s="112"/>
      <c r="F52" s="112"/>
      <c r="G52" s="112"/>
      <c r="H52" s="112"/>
      <c r="I52" s="112"/>
      <c r="J52" s="112"/>
      <c r="K52" s="106"/>
      <c r="L52" s="113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  <c r="AA52" s="1"/>
    </row>
    <row r="53" ht="21.75" customHeight="1">
      <c r="A53" s="106"/>
      <c r="B53" s="141" t="s">
        <v>113</v>
      </c>
      <c r="C53" s="64"/>
      <c r="D53" s="142">
        <f>COUNT(A17:A51)</f>
        <v>35</v>
      </c>
      <c r="E53" s="112"/>
      <c r="F53" s="112"/>
      <c r="G53" s="143" t="s">
        <v>114</v>
      </c>
      <c r="H53" s="112"/>
      <c r="I53" s="143" t="s">
        <v>115</v>
      </c>
      <c r="K53" s="144" t="s">
        <v>116</v>
      </c>
      <c r="L53" s="145" t="s">
        <v>117</v>
      </c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  <c r="AA53" s="1"/>
    </row>
    <row r="54" ht="21.75" customHeight="1">
      <c r="A54" s="106"/>
      <c r="B54" s="146" t="s">
        <v>118</v>
      </c>
      <c r="C54" s="70"/>
      <c r="D54" s="147">
        <f>COUNTIF(K17:K51,"BAJA")</f>
        <v>0</v>
      </c>
      <c r="E54" s="112"/>
      <c r="F54" s="112"/>
      <c r="H54" s="112"/>
      <c r="L54" s="10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  <c r="AA54" s="1"/>
    </row>
    <row r="55" ht="21.75" customHeight="1">
      <c r="A55" s="106"/>
      <c r="B55" s="146" t="s">
        <v>119</v>
      </c>
      <c r="C55" s="70"/>
      <c r="D55" s="148">
        <f>D53-D54</f>
        <v>35</v>
      </c>
      <c r="E55" s="112"/>
      <c r="F55" s="112"/>
      <c r="G55" s="112"/>
      <c r="H55" s="112"/>
      <c r="I55" s="112"/>
      <c r="J55" s="112"/>
      <c r="K55" s="106"/>
      <c r="L55" s="113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  <c r="AA55" s="1"/>
    </row>
    <row r="56" ht="21.75" customHeight="1">
      <c r="A56" s="106"/>
      <c r="B56" s="146" t="s">
        <v>120</v>
      </c>
      <c r="C56" s="70"/>
      <c r="D56" s="148">
        <f>COUNTIF(K17:K51,"&gt;=6")</f>
        <v>0</v>
      </c>
      <c r="E56" s="112"/>
      <c r="F56" s="112"/>
      <c r="G56" s="112"/>
      <c r="H56" s="112"/>
      <c r="I56" s="112"/>
      <c r="J56" s="112"/>
      <c r="K56" s="106"/>
      <c r="L56" s="113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  <c r="AA56" s="1"/>
    </row>
    <row r="57" ht="27.75" customHeight="1">
      <c r="A57" s="106"/>
      <c r="B57" s="146" t="s">
        <v>121</v>
      </c>
      <c r="C57" s="70"/>
      <c r="D57" s="148">
        <f>D55-D56</f>
        <v>35</v>
      </c>
      <c r="E57" s="112"/>
      <c r="F57" s="112"/>
      <c r="G57" s="149"/>
      <c r="H57" s="112"/>
      <c r="I57" s="149"/>
      <c r="J57" s="149"/>
      <c r="K57" s="150"/>
      <c r="L57" s="151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  <c r="AA57" s="1"/>
    </row>
    <row r="58" ht="21.75" customHeight="1">
      <c r="A58" s="106"/>
      <c r="B58" s="146" t="s">
        <v>122</v>
      </c>
      <c r="C58" s="70"/>
      <c r="D58" s="152">
        <f>D56*100/D55</f>
        <v>0</v>
      </c>
      <c r="E58" s="112"/>
      <c r="F58" s="112"/>
      <c r="G58" s="153" t="s">
        <v>123</v>
      </c>
      <c r="H58" s="115"/>
      <c r="I58" s="84" t="s">
        <v>124</v>
      </c>
      <c r="K58" s="85" t="s">
        <v>125</v>
      </c>
      <c r="L58" s="86" t="s">
        <v>126</v>
      </c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  <c r="AA58" s="1"/>
    </row>
    <row r="59" ht="13.5" customHeight="1">
      <c r="A59" s="106"/>
      <c r="B59" s="154" t="s">
        <v>127</v>
      </c>
      <c r="C59" s="89"/>
      <c r="D59" s="155">
        <f>AVERAGE(K17:K51)</f>
        <v>5</v>
      </c>
      <c r="E59" s="112"/>
      <c r="F59" s="112"/>
      <c r="H59" s="115"/>
      <c r="L59" s="10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  <c r="AA59" s="1"/>
    </row>
    <row r="60" ht="13.5" customHeight="1">
      <c r="A60" s="111"/>
      <c r="B60" s="106"/>
      <c r="C60" s="106"/>
      <c r="D60" s="106"/>
      <c r="E60" s="106"/>
      <c r="F60" s="106"/>
      <c r="G60" s="106"/>
      <c r="H60" s="106"/>
      <c r="I60" s="106"/>
      <c r="J60" s="106"/>
      <c r="K60" s="106"/>
      <c r="L60" s="113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  <c r="AA60" s="1"/>
    </row>
    <row r="61" ht="13.5" customHeight="1">
      <c r="A61" s="156"/>
      <c r="B61" s="157"/>
      <c r="C61" s="158"/>
      <c r="D61" s="158"/>
      <c r="E61" s="112"/>
      <c r="H61" s="112"/>
      <c r="I61" s="112"/>
      <c r="J61" s="112"/>
      <c r="K61" s="112"/>
      <c r="L61" s="159"/>
      <c r="M61" s="112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  <c r="AA61" s="1"/>
    </row>
    <row r="62" ht="13.5" customHeight="1">
      <c r="A62" s="160"/>
      <c r="B62" s="112"/>
      <c r="C62" s="112"/>
      <c r="D62" s="112"/>
      <c r="E62" s="112"/>
      <c r="F62" s="112"/>
      <c r="G62" s="106"/>
      <c r="H62" s="106"/>
      <c r="I62" s="106"/>
      <c r="J62" s="106"/>
      <c r="K62" s="106"/>
      <c r="L62" s="113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  <c r="AA62" s="1"/>
    </row>
    <row r="63" ht="13.5" customHeight="1">
      <c r="A63" s="160"/>
      <c r="B63" s="112"/>
      <c r="C63" s="112"/>
      <c r="D63" s="112"/>
      <c r="E63" s="112"/>
      <c r="F63" s="112"/>
      <c r="G63" s="106"/>
      <c r="H63" s="106"/>
      <c r="I63" s="106"/>
      <c r="J63" s="106"/>
      <c r="K63" s="106"/>
      <c r="L63" s="113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  <c r="AA63" s="1"/>
    </row>
    <row r="64" ht="14.25" customHeight="1">
      <c r="A64" s="161"/>
      <c r="B64" s="162"/>
      <c r="C64" s="162"/>
      <c r="D64" s="162"/>
      <c r="E64" s="162"/>
      <c r="F64" s="162"/>
      <c r="G64" s="163"/>
      <c r="H64" s="163"/>
      <c r="I64" s="163"/>
      <c r="J64" s="163"/>
      <c r="K64" s="163"/>
      <c r="L64" s="164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  <c r="AA64" s="1"/>
    </row>
    <row r="65" ht="14.25" customHeight="1">
      <c r="A65" s="106"/>
      <c r="B65" s="112"/>
      <c r="C65" s="112"/>
      <c r="D65" s="112"/>
      <c r="E65" s="112"/>
      <c r="F65" s="112"/>
      <c r="G65" s="106"/>
      <c r="H65" s="106"/>
      <c r="I65" s="106"/>
      <c r="J65" s="106"/>
      <c r="K65" s="115"/>
      <c r="L65" s="115"/>
      <c r="M65" s="115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  <c r="AA65" s="1"/>
    </row>
    <row r="66" ht="14.25" customHeight="1">
      <c r="A66" s="106"/>
      <c r="B66" s="112"/>
      <c r="C66" s="112"/>
      <c r="D66" s="112"/>
      <c r="E66" s="112"/>
      <c r="F66" s="112"/>
      <c r="G66" s="106"/>
      <c r="H66" s="106"/>
      <c r="I66" s="106"/>
      <c r="J66" s="106"/>
      <c r="K66" s="115"/>
      <c r="L66" s="115"/>
      <c r="M66" s="115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  <c r="AA66" s="1"/>
    </row>
    <row r="67" ht="14.25" customHeight="1">
      <c r="A67" s="106"/>
      <c r="B67" s="112"/>
      <c r="C67" s="112"/>
      <c r="D67" s="112"/>
      <c r="E67" s="112"/>
      <c r="F67" s="112"/>
      <c r="G67" s="106"/>
      <c r="H67" s="106"/>
      <c r="I67" s="106"/>
      <c r="J67" s="106"/>
      <c r="K67" s="115"/>
      <c r="L67" s="115"/>
      <c r="M67" s="115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  <c r="AA67" s="1"/>
    </row>
    <row r="68" ht="14.25" customHeight="1">
      <c r="A68" s="106"/>
      <c r="B68" s="112"/>
      <c r="C68" s="112"/>
      <c r="D68" s="112"/>
      <c r="E68" s="112"/>
      <c r="F68" s="112"/>
      <c r="G68" s="106"/>
      <c r="H68" s="106"/>
      <c r="I68" s="106"/>
      <c r="J68" s="106"/>
      <c r="K68" s="115"/>
      <c r="L68" s="115"/>
      <c r="M68" s="115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  <c r="AA68" s="1"/>
    </row>
    <row r="69" ht="14.25" customHeight="1">
      <c r="A69" s="106"/>
      <c r="B69" s="112"/>
      <c r="C69" s="112"/>
      <c r="D69" s="112"/>
      <c r="E69" s="112"/>
      <c r="F69" s="112"/>
      <c r="G69" s="106"/>
      <c r="H69" s="106"/>
      <c r="I69" s="106"/>
      <c r="J69" s="106"/>
      <c r="K69" s="106"/>
      <c r="L69" s="165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  <c r="AA69" s="1"/>
    </row>
    <row r="70" ht="14.25" customHeight="1">
      <c r="A70" s="106"/>
      <c r="B70" s="112"/>
      <c r="C70" s="112"/>
      <c r="D70" s="112"/>
      <c r="E70" s="112"/>
      <c r="F70" s="112"/>
      <c r="G70" s="106"/>
      <c r="H70" s="106"/>
      <c r="I70" s="106"/>
      <c r="J70" s="106"/>
      <c r="K70" s="106"/>
      <c r="L70" s="165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  <c r="AA70" s="1"/>
    </row>
    <row r="71" ht="14.25" customHeight="1">
      <c r="A71" s="106"/>
      <c r="B71" s="112"/>
      <c r="C71" s="112"/>
      <c r="D71" s="112"/>
      <c r="E71" s="112"/>
      <c r="F71" s="112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  <c r="AA71" s="1"/>
    </row>
    <row r="72" ht="14.25" customHeight="1">
      <c r="A72" s="106"/>
      <c r="B72" s="112"/>
      <c r="C72" s="112"/>
      <c r="D72" s="112"/>
      <c r="E72" s="112"/>
      <c r="F72" s="112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  <c r="AA72" s="1"/>
    </row>
    <row r="73" ht="14.25" customHeight="1">
      <c r="A73" s="106"/>
      <c r="B73" s="112"/>
      <c r="C73" s="112"/>
      <c r="D73" s="112"/>
      <c r="E73" s="112"/>
      <c r="F73" s="112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  <c r="AA73" s="1"/>
    </row>
    <row r="74" ht="14.25" customHeight="1">
      <c r="A74" s="106"/>
      <c r="B74" s="112"/>
      <c r="C74" s="112"/>
      <c r="D74" s="112"/>
      <c r="E74" s="112"/>
      <c r="F74" s="112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  <c r="AA74" s="1"/>
    </row>
    <row r="75" ht="14.25" customHeight="1">
      <c r="A75" s="106"/>
      <c r="B75" s="112"/>
      <c r="C75" s="112"/>
      <c r="D75" s="112"/>
      <c r="E75" s="112"/>
      <c r="F75" s="112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  <c r="AA75" s="1"/>
    </row>
    <row r="76" ht="13.5" customHeight="1">
      <c r="A76" s="106"/>
      <c r="B76" s="112"/>
      <c r="C76" s="112"/>
      <c r="D76" s="112"/>
      <c r="E76" s="112"/>
      <c r="F76" s="112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  <c r="AA76" s="1"/>
    </row>
    <row r="77" ht="13.5" customHeight="1">
      <c r="A77" s="106"/>
      <c r="B77" s="106"/>
      <c r="C77" s="106"/>
      <c r="D77" s="106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  <c r="AA77" s="1"/>
    </row>
    <row r="78" ht="13.5" customHeight="1">
      <c r="A78" s="106"/>
      <c r="B78" s="106"/>
      <c r="C78" s="106"/>
      <c r="D78" s="106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  <c r="AA78" s="1"/>
    </row>
    <row r="79" ht="13.5" customHeight="1">
      <c r="A79" s="106"/>
      <c r="B79" s="106"/>
      <c r="C79" s="106"/>
      <c r="D79" s="106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  <c r="AA79" s="1"/>
    </row>
    <row r="80" ht="13.5" customHeight="1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  <c r="AA80" s="1"/>
    </row>
    <row r="81" ht="13.5" customHeight="1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  <c r="AA81" s="1"/>
    </row>
    <row r="82" ht="13.5" customHeight="1">
      <c r="A82" s="106"/>
      <c r="B82" s="106"/>
      <c r="C82" s="106"/>
      <c r="D82" s="106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  <c r="AA82" s="1"/>
    </row>
    <row r="83" ht="13.5" customHeight="1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  <c r="AA83" s="1"/>
    </row>
    <row r="84" ht="13.5" customHeight="1">
      <c r="A84" s="106"/>
      <c r="B84" s="106"/>
      <c r="C84" s="106"/>
      <c r="D84" s="106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  <c r="AA84" s="1"/>
    </row>
    <row r="85" ht="13.5" customHeight="1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  <c r="AA85" s="1"/>
    </row>
    <row r="86" ht="13.5" customHeight="1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  <c r="AA86" s="1"/>
    </row>
    <row r="87" ht="13.5" customHeight="1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  <c r="AA87" s="1"/>
    </row>
    <row r="88" ht="13.5" customHeight="1">
      <c r="A88" s="106"/>
      <c r="B88" s="106"/>
      <c r="C88" s="106"/>
      <c r="D88" s="106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  <c r="AA88" s="1"/>
    </row>
    <row r="89" ht="13.5" customHeight="1">
      <c r="A89" s="106"/>
      <c r="B89" s="106"/>
      <c r="C89" s="106"/>
      <c r="D89" s="106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  <c r="AA89" s="1"/>
    </row>
    <row r="90" ht="13.5" customHeight="1">
      <c r="A90" s="106"/>
      <c r="B90" s="106"/>
      <c r="C90" s="106"/>
      <c r="D90" s="106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  <c r="AA90" s="1"/>
    </row>
    <row r="91" ht="13.5" customHeight="1">
      <c r="A91" s="106"/>
      <c r="B91" s="106"/>
      <c r="C91" s="106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  <c r="AA91" s="1"/>
    </row>
    <row r="92" ht="13.5" customHeight="1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  <c r="AA92" s="1"/>
    </row>
    <row r="93" ht="13.5" customHeight="1">
      <c r="A93" s="106"/>
      <c r="B93" s="106"/>
      <c r="C93" s="106"/>
      <c r="D93" s="106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  <c r="AA93" s="1"/>
    </row>
    <row r="94" ht="13.5" customHeight="1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  <c r="AA94" s="1"/>
    </row>
    <row r="95" ht="13.5" customHeight="1">
      <c r="A95" s="106"/>
      <c r="B95" s="106"/>
      <c r="C95" s="106"/>
      <c r="D95" s="106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  <c r="AA95" s="1"/>
    </row>
    <row r="96" ht="13.5" customHeight="1">
      <c r="A96" s="106"/>
      <c r="B96" s="106"/>
      <c r="C96" s="106"/>
      <c r="D96" s="106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  <c r="AA96" s="1"/>
    </row>
    <row r="97" ht="13.5" customHeight="1">
      <c r="A97" s="106"/>
      <c r="B97" s="106"/>
      <c r="C97" s="106"/>
      <c r="D97" s="106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  <c r="AA97" s="1"/>
    </row>
    <row r="98" ht="13.5" customHeight="1">
      <c r="A98" s="106"/>
      <c r="B98" s="106"/>
      <c r="C98" s="106"/>
      <c r="D98" s="106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  <c r="AA98" s="1"/>
    </row>
    <row r="99" ht="13.5" customHeight="1">
      <c r="A99" s="106"/>
      <c r="B99" s="106"/>
      <c r="C99" s="106"/>
      <c r="D99" s="106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  <c r="AA99" s="1"/>
    </row>
    <row r="100" ht="13.5" customHeight="1">
      <c r="A100" s="106"/>
      <c r="B100" s="106"/>
      <c r="C100" s="106"/>
      <c r="D100" s="106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  <c r="AA100" s="1"/>
    </row>
    <row r="101" ht="13.5" customHeight="1">
      <c r="A101" s="106"/>
      <c r="B101" s="106"/>
      <c r="C101" s="106"/>
      <c r="D101" s="106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  <c r="AA101" s="1"/>
    </row>
    <row r="102" ht="13.5" customHeight="1">
      <c r="A102" s="106"/>
      <c r="B102" s="106"/>
      <c r="C102" s="106"/>
      <c r="D102" s="106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  <c r="AA102" s="1"/>
    </row>
    <row r="103" ht="13.5" customHeight="1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  <c r="AA103" s="1"/>
    </row>
    <row r="104" ht="13.5" customHeight="1">
      <c r="A104" s="106"/>
      <c r="B104" s="106"/>
      <c r="C104" s="106"/>
      <c r="D104" s="106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  <c r="AA104" s="1"/>
    </row>
    <row r="105" ht="13.5" customHeight="1">
      <c r="A105" s="106"/>
      <c r="B105" s="106"/>
      <c r="C105" s="106"/>
      <c r="D105" s="106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  <c r="AA105" s="1"/>
    </row>
    <row r="106" ht="13.5" customHeight="1">
      <c r="A106" s="106"/>
      <c r="B106" s="106"/>
      <c r="C106" s="106"/>
      <c r="D106" s="106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  <c r="AA106" s="1"/>
    </row>
    <row r="107" ht="13.5" customHeight="1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  <c r="AA107" s="1"/>
    </row>
    <row r="108" ht="13.5" customHeight="1">
      <c r="A108" s="106"/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  <c r="AA108" s="1"/>
    </row>
    <row r="109" ht="13.5" customHeight="1">
      <c r="A109" s="106"/>
      <c r="B109" s="106"/>
      <c r="C109" s="106"/>
      <c r="D109" s="106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  <c r="AA109" s="1"/>
    </row>
    <row r="110" ht="13.5" customHeight="1">
      <c r="A110" s="106"/>
      <c r="B110" s="106"/>
      <c r="C110" s="106"/>
      <c r="D110" s="106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  <c r="AA110" s="1"/>
    </row>
    <row r="111" ht="13.5" customHeight="1">
      <c r="A111" s="106"/>
      <c r="B111" s="106"/>
      <c r="C111" s="106"/>
      <c r="D111" s="106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  <c r="AA111" s="1"/>
    </row>
    <row r="112" ht="13.5" customHeight="1">
      <c r="A112" s="106"/>
      <c r="B112" s="106"/>
      <c r="C112" s="106"/>
      <c r="D112" s="106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  <c r="AA112" s="1"/>
    </row>
    <row r="113" ht="13.5" customHeight="1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  <c r="AA113" s="1"/>
    </row>
    <row r="114" ht="13.5" customHeight="1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  <c r="AA114" s="1"/>
    </row>
    <row r="115" ht="13.5" customHeight="1">
      <c r="A115" s="106"/>
      <c r="B115" s="106"/>
      <c r="C115" s="106"/>
      <c r="D115" s="106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  <c r="AA115" s="1"/>
    </row>
    <row r="116" ht="13.5" customHeight="1">
      <c r="A116" s="106"/>
      <c r="B116" s="106"/>
      <c r="C116" s="106"/>
      <c r="D116" s="106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  <c r="AA116" s="1"/>
    </row>
    <row r="117" ht="13.5" customHeight="1">
      <c r="A117" s="106"/>
      <c r="B117" s="106"/>
      <c r="C117" s="106"/>
      <c r="D117" s="106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  <c r="AA117" s="1"/>
    </row>
    <row r="118" ht="13.5" customHeight="1">
      <c r="A118" s="106"/>
      <c r="B118" s="106"/>
      <c r="C118" s="106"/>
      <c r="D118" s="106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  <c r="AA118" s="1"/>
    </row>
    <row r="119" ht="13.5" customHeight="1">
      <c r="A119" s="106"/>
      <c r="B119" s="106"/>
      <c r="C119" s="106"/>
      <c r="D119" s="106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  <c r="AA119" s="1"/>
    </row>
    <row r="120" ht="13.5" customHeight="1">
      <c r="A120" s="106"/>
      <c r="B120" s="106"/>
      <c r="C120" s="106"/>
      <c r="D120" s="106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  <c r="AA120" s="1"/>
    </row>
    <row r="121" ht="13.5" customHeight="1">
      <c r="A121" s="106"/>
      <c r="B121" s="106"/>
      <c r="C121" s="106"/>
      <c r="D121" s="106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  <c r="AA121" s="1"/>
    </row>
    <row r="122" ht="13.5" customHeight="1">
      <c r="A122" s="106"/>
      <c r="B122" s="106"/>
      <c r="C122" s="106"/>
      <c r="D122" s="106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  <c r="AA122" s="1"/>
    </row>
    <row r="123" ht="13.5" customHeight="1">
      <c r="A123" s="106"/>
      <c r="B123" s="106"/>
      <c r="C123" s="106"/>
      <c r="D123" s="106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  <c r="AA123" s="1"/>
    </row>
    <row r="124" ht="13.5" customHeight="1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  <c r="AA124" s="1"/>
    </row>
    <row r="125" ht="13.5" customHeight="1">
      <c r="A125" s="106"/>
      <c r="B125" s="106"/>
      <c r="C125" s="106"/>
      <c r="D125" s="106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  <c r="AA125" s="1"/>
    </row>
    <row r="126" ht="13.5" customHeight="1">
      <c r="A126" s="106"/>
      <c r="B126" s="106"/>
      <c r="C126" s="106"/>
      <c r="D126" s="106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  <c r="AA126" s="1"/>
    </row>
    <row r="127" ht="13.5" customHeight="1">
      <c r="A127" s="106"/>
      <c r="B127" s="106"/>
      <c r="C127" s="106"/>
      <c r="D127" s="106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  <c r="AA127" s="1"/>
    </row>
    <row r="128" ht="13.5" customHeight="1">
      <c r="A128" s="106"/>
      <c r="B128" s="106"/>
      <c r="C128" s="106"/>
      <c r="D128" s="106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  <c r="AA128" s="1"/>
    </row>
    <row r="129" ht="13.5" customHeight="1">
      <c r="A129" s="106"/>
      <c r="B129" s="106"/>
      <c r="C129" s="106"/>
      <c r="D129" s="106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  <c r="AA129" s="1"/>
    </row>
    <row r="130" ht="13.5" customHeight="1">
      <c r="A130" s="106"/>
      <c r="B130" s="106"/>
      <c r="C130" s="106"/>
      <c r="D130" s="106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  <c r="AA130" s="1"/>
    </row>
    <row r="131" ht="13.5" customHeight="1">
      <c r="A131" s="106"/>
      <c r="B131" s="106"/>
      <c r="C131" s="106"/>
      <c r="D131" s="106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  <c r="AA131" s="1"/>
    </row>
    <row r="132" ht="13.5" customHeight="1">
      <c r="A132" s="106"/>
      <c r="B132" s="106"/>
      <c r="C132" s="106"/>
      <c r="D132" s="106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  <c r="AA132" s="1"/>
    </row>
    <row r="133" ht="13.5" customHeight="1">
      <c r="A133" s="106"/>
      <c r="B133" s="106"/>
      <c r="C133" s="106"/>
      <c r="D133" s="106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  <c r="AA133" s="1"/>
    </row>
    <row r="134" ht="13.5" customHeight="1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  <c r="AA134" s="1"/>
    </row>
    <row r="135" ht="13.5" customHeight="1">
      <c r="A135" s="106"/>
      <c r="B135" s="106"/>
      <c r="C135" s="106"/>
      <c r="D135" s="106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  <c r="AA135" s="1"/>
    </row>
    <row r="136" ht="13.5" customHeight="1">
      <c r="A136" s="106"/>
      <c r="B136" s="106"/>
      <c r="C136" s="106"/>
      <c r="D136" s="106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  <c r="AA136" s="1"/>
    </row>
    <row r="137" ht="13.5" customHeight="1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  <c r="AA137" s="1"/>
    </row>
    <row r="138" ht="13.5" customHeight="1">
      <c r="A138" s="106"/>
      <c r="B138" s="106"/>
      <c r="C138" s="106"/>
      <c r="D138" s="106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  <c r="AA138" s="1"/>
    </row>
    <row r="139" ht="13.5" customHeight="1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  <c r="AA139" s="1"/>
    </row>
    <row r="140" ht="13.5" customHeight="1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  <c r="AA140" s="1"/>
    </row>
    <row r="141" ht="13.5" customHeight="1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  <c r="AA141" s="1"/>
    </row>
    <row r="142" ht="13.5" customHeight="1">
      <c r="A142" s="106"/>
      <c r="B142" s="106"/>
      <c r="C142" s="106"/>
      <c r="D142" s="106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  <c r="AA142" s="1"/>
    </row>
    <row r="143" ht="13.5" customHeight="1">
      <c r="A143" s="106"/>
      <c r="B143" s="106"/>
      <c r="C143" s="106"/>
      <c r="D143" s="106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  <c r="AA143" s="1"/>
    </row>
    <row r="144" ht="13.5" customHeight="1">
      <c r="A144" s="106"/>
      <c r="B144" s="106"/>
      <c r="C144" s="106"/>
      <c r="D144" s="106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  <c r="AA144" s="1"/>
    </row>
    <row r="145" ht="13.5" customHeight="1">
      <c r="A145" s="106"/>
      <c r="B145" s="106"/>
      <c r="C145" s="106"/>
      <c r="D145" s="106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  <c r="AA145" s="1"/>
    </row>
    <row r="146" ht="13.5" customHeight="1">
      <c r="A146" s="106"/>
      <c r="B146" s="106"/>
      <c r="C146" s="106"/>
      <c r="D146" s="106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  <c r="AA146" s="1"/>
    </row>
    <row r="147" ht="13.5" customHeight="1">
      <c r="A147" s="106"/>
      <c r="B147" s="106"/>
      <c r="C147" s="106"/>
      <c r="D147" s="106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  <c r="AA147" s="1"/>
    </row>
    <row r="148" ht="13.5" customHeight="1">
      <c r="A148" s="106"/>
      <c r="B148" s="106"/>
      <c r="C148" s="106"/>
      <c r="D148" s="106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  <c r="AA148" s="1"/>
    </row>
    <row r="149" ht="13.5" customHeight="1">
      <c r="A149" s="106"/>
      <c r="B149" s="106"/>
      <c r="C149" s="106"/>
      <c r="D149" s="106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  <c r="AA149" s="1"/>
    </row>
    <row r="150" ht="13.5" customHeight="1">
      <c r="A150" s="106"/>
      <c r="B150" s="106"/>
      <c r="C150" s="106"/>
      <c r="D150" s="106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  <c r="AA150" s="1"/>
    </row>
    <row r="151" ht="13.5" customHeight="1">
      <c r="A151" s="106"/>
      <c r="B151" s="106"/>
      <c r="C151" s="106"/>
      <c r="D151" s="106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  <c r="AA151" s="1"/>
    </row>
    <row r="152" ht="13.5" customHeight="1">
      <c r="A152" s="106"/>
      <c r="B152" s="106"/>
      <c r="C152" s="106"/>
      <c r="D152" s="106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  <c r="AA152" s="1"/>
    </row>
    <row r="153" ht="13.5" customHeight="1">
      <c r="A153" s="106"/>
      <c r="B153" s="106"/>
      <c r="C153" s="106"/>
      <c r="D153" s="106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  <c r="AA153" s="1"/>
    </row>
    <row r="154" ht="13.5" customHeight="1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  <c r="AA154" s="1"/>
    </row>
    <row r="155" ht="13.5" customHeight="1">
      <c r="A155" s="106"/>
      <c r="B155" s="106"/>
      <c r="C155" s="106"/>
      <c r="D155" s="106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  <c r="AA155" s="1"/>
    </row>
    <row r="156" ht="13.5" customHeight="1">
      <c r="A156" s="106"/>
      <c r="B156" s="106"/>
      <c r="C156" s="106"/>
      <c r="D156" s="106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  <c r="AA156" s="1"/>
    </row>
    <row r="157" ht="13.5" customHeight="1">
      <c r="A157" s="106"/>
      <c r="B157" s="106"/>
      <c r="C157" s="106"/>
      <c r="D157" s="106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  <c r="AA157" s="1"/>
    </row>
    <row r="158" ht="13.5" customHeight="1">
      <c r="A158" s="106"/>
      <c r="B158" s="106"/>
      <c r="C158" s="106"/>
      <c r="D158" s="106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  <c r="AA158" s="1"/>
    </row>
    <row r="159" ht="13.5" customHeight="1">
      <c r="A159" s="106"/>
      <c r="B159" s="106"/>
      <c r="C159" s="106"/>
      <c r="D159" s="106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  <c r="AA159" s="1"/>
    </row>
    <row r="160" ht="13.5" customHeight="1">
      <c r="A160" s="106"/>
      <c r="B160" s="106"/>
      <c r="C160" s="106"/>
      <c r="D160" s="106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  <c r="AA160" s="1"/>
    </row>
    <row r="161" ht="13.5" customHeight="1">
      <c r="A161" s="106"/>
      <c r="B161" s="106"/>
      <c r="C161" s="106"/>
      <c r="D161" s="106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  <c r="AA161" s="1"/>
    </row>
    <row r="162" ht="13.5" customHeight="1">
      <c r="A162" s="106"/>
      <c r="B162" s="106"/>
      <c r="C162" s="106"/>
      <c r="D162" s="106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  <c r="AA162" s="1"/>
    </row>
    <row r="163" ht="13.5" customHeight="1">
      <c r="A163" s="106"/>
      <c r="B163" s="106"/>
      <c r="C163" s="106"/>
      <c r="D163" s="106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  <c r="AA163" s="1"/>
    </row>
    <row r="164" ht="13.5" customHeight="1">
      <c r="A164" s="106"/>
      <c r="B164" s="106"/>
      <c r="C164" s="106"/>
      <c r="D164" s="106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  <c r="AA164" s="1"/>
    </row>
    <row r="165" ht="13.5" customHeight="1">
      <c r="A165" s="106"/>
      <c r="B165" s="106"/>
      <c r="C165" s="106"/>
      <c r="D165" s="106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  <c r="AA165" s="1"/>
    </row>
    <row r="166" ht="13.5" customHeight="1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  <c r="AA166" s="1"/>
    </row>
    <row r="167" ht="13.5" customHeight="1">
      <c r="A167" s="106"/>
      <c r="B167" s="106"/>
      <c r="C167" s="106"/>
      <c r="D167" s="106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  <c r="AA167" s="1"/>
    </row>
    <row r="168" ht="13.5" customHeight="1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  <c r="AA168" s="1"/>
    </row>
    <row r="169" ht="13.5" customHeight="1">
      <c r="A169" s="106"/>
      <c r="B169" s="106"/>
      <c r="C169" s="106"/>
      <c r="D169" s="106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  <c r="AA169" s="1"/>
    </row>
    <row r="170" ht="13.5" customHeight="1">
      <c r="A170" s="106"/>
      <c r="B170" s="106"/>
      <c r="C170" s="106"/>
      <c r="D170" s="106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  <c r="AA170" s="1"/>
    </row>
    <row r="171" ht="13.5" customHeight="1">
      <c r="A171" s="106"/>
      <c r="B171" s="106"/>
      <c r="C171" s="106"/>
      <c r="D171" s="106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  <c r="AA171" s="1"/>
    </row>
    <row r="172" ht="13.5" customHeight="1">
      <c r="A172" s="106"/>
      <c r="B172" s="106"/>
      <c r="C172" s="106"/>
      <c r="D172" s="106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  <c r="AA172" s="1"/>
    </row>
    <row r="173" ht="13.5" customHeight="1">
      <c r="A173" s="106"/>
      <c r="B173" s="106"/>
      <c r="C173" s="106"/>
      <c r="D173" s="106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  <c r="AA173" s="1"/>
    </row>
    <row r="174" ht="13.5" customHeight="1">
      <c r="A174" s="106"/>
      <c r="B174" s="106"/>
      <c r="C174" s="106"/>
      <c r="D174" s="106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  <c r="AA174" s="1"/>
    </row>
    <row r="175" ht="13.5" customHeight="1">
      <c r="A175" s="106"/>
      <c r="B175" s="106"/>
      <c r="C175" s="106"/>
      <c r="D175" s="106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  <c r="AA175" s="1"/>
    </row>
    <row r="176" ht="13.5" customHeight="1">
      <c r="A176" s="106"/>
      <c r="B176" s="106"/>
      <c r="C176" s="106"/>
      <c r="D176" s="106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  <c r="AA176" s="1"/>
    </row>
    <row r="177" ht="13.5" customHeight="1">
      <c r="A177" s="106"/>
      <c r="B177" s="106"/>
      <c r="C177" s="106"/>
      <c r="D177" s="106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  <c r="AA177" s="1"/>
    </row>
    <row r="178" ht="13.5" customHeight="1">
      <c r="A178" s="106"/>
      <c r="B178" s="106"/>
      <c r="C178" s="106"/>
      <c r="D178" s="106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  <c r="AA178" s="1"/>
    </row>
    <row r="179" ht="13.5" customHeight="1">
      <c r="A179" s="106"/>
      <c r="B179" s="106"/>
      <c r="C179" s="106"/>
      <c r="D179" s="106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  <c r="AA179" s="1"/>
    </row>
    <row r="180" ht="13.5" customHeight="1">
      <c r="A180" s="106"/>
      <c r="B180" s="106"/>
      <c r="C180" s="106"/>
      <c r="D180" s="106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  <c r="AA180" s="1"/>
    </row>
    <row r="181" ht="13.5" customHeight="1">
      <c r="A181" s="106"/>
      <c r="B181" s="106"/>
      <c r="C181" s="106"/>
      <c r="D181" s="106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  <c r="AA181" s="1"/>
    </row>
    <row r="182" ht="13.5" customHeight="1">
      <c r="A182" s="106"/>
      <c r="B182" s="106"/>
      <c r="C182" s="106"/>
      <c r="D182" s="106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  <c r="AA182" s="1"/>
    </row>
    <row r="183" ht="13.5" customHeight="1">
      <c r="A183" s="106"/>
      <c r="B183" s="106"/>
      <c r="C183" s="106"/>
      <c r="D183" s="106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  <c r="AA183" s="1"/>
    </row>
    <row r="184" ht="13.5" customHeight="1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  <c r="AA184" s="1"/>
    </row>
    <row r="185" ht="13.5" customHeight="1">
      <c r="A185" s="106"/>
      <c r="B185" s="106"/>
      <c r="C185" s="106"/>
      <c r="D185" s="106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  <c r="AA185" s="1"/>
    </row>
    <row r="186" ht="13.5" customHeight="1">
      <c r="A186" s="106"/>
      <c r="B186" s="106"/>
      <c r="C186" s="106"/>
      <c r="D186" s="106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  <c r="AA186" s="1"/>
    </row>
    <row r="187" ht="13.5" customHeight="1">
      <c r="A187" s="106"/>
      <c r="B187" s="106"/>
      <c r="C187" s="106"/>
      <c r="D187" s="106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  <c r="AA187" s="1"/>
    </row>
    <row r="188" ht="13.5" customHeight="1">
      <c r="A188" s="106"/>
      <c r="B188" s="106"/>
      <c r="C188" s="106"/>
      <c r="D188" s="106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  <c r="AA188" s="1"/>
    </row>
    <row r="189" ht="13.5" customHeight="1">
      <c r="A189" s="106"/>
      <c r="B189" s="106"/>
      <c r="C189" s="106"/>
      <c r="D189" s="106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  <c r="AA189" s="1"/>
    </row>
    <row r="190" ht="13.5" customHeight="1">
      <c r="A190" s="106"/>
      <c r="B190" s="106"/>
      <c r="C190" s="106"/>
      <c r="D190" s="106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  <c r="AA190" s="1"/>
    </row>
    <row r="191" ht="13.5" customHeight="1">
      <c r="A191" s="106"/>
      <c r="B191" s="106"/>
      <c r="C191" s="106"/>
      <c r="D191" s="106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  <c r="AA191" s="1"/>
    </row>
    <row r="192" ht="13.5" customHeight="1">
      <c r="A192" s="106"/>
      <c r="B192" s="106"/>
      <c r="C192" s="106"/>
      <c r="D192" s="106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  <c r="AA192" s="1"/>
    </row>
    <row r="193" ht="13.5" customHeight="1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  <c r="AA193" s="1"/>
    </row>
    <row r="194" ht="13.5" customHeight="1">
      <c r="A194" s="106"/>
      <c r="B194" s="106"/>
      <c r="C194" s="106"/>
      <c r="D194" s="106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  <c r="AA194" s="1"/>
    </row>
    <row r="195" ht="13.5" customHeight="1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  <c r="AA195" s="1"/>
    </row>
    <row r="196" ht="13.5" customHeight="1">
      <c r="A196" s="106"/>
      <c r="B196" s="106"/>
      <c r="C196" s="106"/>
      <c r="D196" s="106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  <c r="AA196" s="1"/>
    </row>
    <row r="197" ht="13.5" customHeight="1">
      <c r="A197" s="106"/>
      <c r="B197" s="106"/>
      <c r="C197" s="106"/>
      <c r="D197" s="106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  <c r="AA197" s="1"/>
    </row>
    <row r="198" ht="13.5" customHeight="1">
      <c r="A198" s="106"/>
      <c r="B198" s="106"/>
      <c r="C198" s="106"/>
      <c r="D198" s="106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  <c r="AA198" s="1"/>
    </row>
    <row r="199" ht="13.5" customHeight="1">
      <c r="A199" s="106"/>
      <c r="B199" s="106"/>
      <c r="C199" s="106"/>
      <c r="D199" s="106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  <c r="AA199" s="1"/>
    </row>
    <row r="200" ht="13.5" customHeight="1">
      <c r="A200" s="106"/>
      <c r="B200" s="106"/>
      <c r="C200" s="106"/>
      <c r="D200" s="106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  <c r="AA200" s="1"/>
    </row>
    <row r="201" ht="13.5" customHeight="1">
      <c r="A201" s="106"/>
      <c r="B201" s="106"/>
      <c r="C201" s="106"/>
      <c r="D201" s="106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  <c r="AA201" s="1"/>
    </row>
    <row r="202" ht="13.5" customHeight="1">
      <c r="A202" s="106"/>
      <c r="B202" s="106"/>
      <c r="C202" s="106"/>
      <c r="D202" s="106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  <c r="AA202" s="1"/>
    </row>
    <row r="203" ht="13.5" customHeight="1">
      <c r="A203" s="106"/>
      <c r="B203" s="106"/>
      <c r="C203" s="106"/>
      <c r="D203" s="106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  <c r="AA203" s="1"/>
    </row>
    <row r="204" ht="13.5" customHeight="1">
      <c r="A204" s="106"/>
      <c r="B204" s="106"/>
      <c r="C204" s="106"/>
      <c r="D204" s="106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  <c r="AA204" s="1"/>
    </row>
    <row r="205" ht="13.5" customHeight="1">
      <c r="A205" s="106"/>
      <c r="B205" s="106"/>
      <c r="C205" s="106"/>
      <c r="D205" s="106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  <c r="AA205" s="1"/>
    </row>
    <row r="206" ht="13.5" customHeight="1">
      <c r="A206" s="106"/>
      <c r="B206" s="106"/>
      <c r="C206" s="106"/>
      <c r="D206" s="106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  <c r="AA206" s="1"/>
    </row>
    <row r="207" ht="13.5" customHeight="1">
      <c r="A207" s="106"/>
      <c r="B207" s="106"/>
      <c r="C207" s="106"/>
      <c r="D207" s="106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  <c r="AA207" s="1"/>
    </row>
    <row r="208" ht="13.5" customHeight="1">
      <c r="A208" s="106"/>
      <c r="B208" s="106"/>
      <c r="C208" s="106"/>
      <c r="D208" s="106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  <c r="AA208" s="1"/>
    </row>
    <row r="209" ht="13.5" customHeight="1">
      <c r="A209" s="106"/>
      <c r="B209" s="106"/>
      <c r="C209" s="106"/>
      <c r="D209" s="106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  <c r="AA209" s="1"/>
    </row>
    <row r="210" ht="13.5" customHeight="1">
      <c r="A210" s="106"/>
      <c r="B210" s="106"/>
      <c r="C210" s="106"/>
      <c r="D210" s="106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  <c r="AA210" s="1"/>
    </row>
    <row r="211" ht="13.5" customHeight="1">
      <c r="A211" s="106"/>
      <c r="B211" s="106"/>
      <c r="C211" s="106"/>
      <c r="D211" s="106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  <c r="AA211" s="1"/>
    </row>
    <row r="212" ht="13.5" customHeight="1">
      <c r="A212" s="106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  <c r="AA212" s="1"/>
    </row>
    <row r="213" ht="13.5" customHeight="1">
      <c r="A213" s="106"/>
      <c r="B213" s="106"/>
      <c r="C213" s="106"/>
      <c r="D213" s="106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  <c r="AA213" s="1"/>
    </row>
    <row r="214" ht="13.5" customHeight="1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  <c r="AA214" s="1"/>
    </row>
    <row r="215" ht="13.5" customHeight="1">
      <c r="A215" s="106"/>
      <c r="B215" s="106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  <c r="AA215" s="1"/>
    </row>
    <row r="216" ht="13.5" customHeight="1">
      <c r="A216" s="106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  <c r="AA216" s="1"/>
    </row>
    <row r="217" ht="13.5" customHeight="1">
      <c r="A217" s="106"/>
      <c r="B217" s="106"/>
      <c r="C217" s="106"/>
      <c r="D217" s="106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  <c r="AA217" s="1"/>
    </row>
    <row r="218" ht="13.5" customHeight="1">
      <c r="A218" s="106"/>
      <c r="B218" s="106"/>
      <c r="C218" s="106"/>
      <c r="D218" s="106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  <c r="AA218" s="1"/>
    </row>
    <row r="219" ht="13.5" customHeight="1">
      <c r="A219" s="106"/>
      <c r="B219" s="106"/>
      <c r="C219" s="106"/>
      <c r="D219" s="106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  <c r="AA219" s="1"/>
    </row>
    <row r="220" ht="13.5" customHeight="1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  <c r="AA220" s="1"/>
    </row>
    <row r="221" ht="13.5" customHeight="1">
      <c r="A221" s="106"/>
      <c r="B221" s="106"/>
      <c r="C221" s="106"/>
      <c r="D221" s="106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  <c r="AA221" s="1"/>
    </row>
    <row r="222" ht="13.5" customHeight="1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  <c r="AA222" s="1"/>
    </row>
    <row r="223" ht="13.5" customHeight="1">
      <c r="A223" s="106"/>
      <c r="B223" s="106"/>
      <c r="C223" s="106"/>
      <c r="D223" s="106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  <c r="AA223" s="1"/>
    </row>
    <row r="224" ht="13.5" customHeight="1">
      <c r="A224" s="106"/>
      <c r="B224" s="106"/>
      <c r="C224" s="106"/>
      <c r="D224" s="106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  <c r="AA224" s="1"/>
    </row>
    <row r="225" ht="13.5" customHeight="1">
      <c r="A225" s="106"/>
      <c r="B225" s="106"/>
      <c r="C225" s="106"/>
      <c r="D225" s="106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  <c r="AA225" s="1"/>
    </row>
    <row r="226" ht="13.5" customHeight="1">
      <c r="A226" s="106"/>
      <c r="B226" s="106"/>
      <c r="C226" s="106"/>
      <c r="D226" s="106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  <c r="AA226" s="1"/>
    </row>
    <row r="227" ht="13.5" customHeight="1">
      <c r="A227" s="106"/>
      <c r="B227" s="106"/>
      <c r="C227" s="106"/>
      <c r="D227" s="106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  <c r="AA227" s="1"/>
    </row>
    <row r="228" ht="13.5" customHeight="1">
      <c r="A228" s="106"/>
      <c r="B228" s="106"/>
      <c r="C228" s="106"/>
      <c r="D228" s="106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  <c r="AA228" s="1"/>
    </row>
    <row r="229" ht="13.5" customHeight="1">
      <c r="A229" s="106"/>
      <c r="B229" s="106"/>
      <c r="C229" s="106"/>
      <c r="D229" s="106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  <c r="AA229" s="1"/>
    </row>
    <row r="230" ht="13.5" customHeight="1">
      <c r="A230" s="106"/>
      <c r="B230" s="106"/>
      <c r="C230" s="106"/>
      <c r="D230" s="106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  <c r="AA230" s="1"/>
    </row>
    <row r="231" ht="13.5" customHeight="1">
      <c r="A231" s="106"/>
      <c r="B231" s="106"/>
      <c r="C231" s="106"/>
      <c r="D231" s="106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  <c r="AA231" s="1"/>
    </row>
    <row r="232" ht="13.5" customHeight="1">
      <c r="A232" s="106"/>
      <c r="B232" s="106"/>
      <c r="C232" s="106"/>
      <c r="D232" s="106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  <c r="AA232" s="1"/>
    </row>
    <row r="233" ht="13.5" customHeight="1">
      <c r="A233" s="106"/>
      <c r="B233" s="106"/>
      <c r="C233" s="106"/>
      <c r="D233" s="106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  <c r="AA233" s="1"/>
    </row>
    <row r="234" ht="13.5" customHeight="1">
      <c r="A234" s="106"/>
      <c r="B234" s="106"/>
      <c r="C234" s="106"/>
      <c r="D234" s="106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  <c r="AA234" s="1"/>
    </row>
    <row r="235" ht="13.5" customHeight="1">
      <c r="A235" s="106"/>
      <c r="B235" s="106"/>
      <c r="C235" s="106"/>
      <c r="D235" s="106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  <c r="AA235" s="1"/>
    </row>
    <row r="236" ht="13.5" customHeight="1">
      <c r="A236" s="106"/>
      <c r="B236" s="106"/>
      <c r="C236" s="106"/>
      <c r="D236" s="106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  <c r="AA236" s="1"/>
    </row>
    <row r="237" ht="13.5" customHeight="1">
      <c r="A237" s="106"/>
      <c r="B237" s="106"/>
      <c r="C237" s="106"/>
      <c r="D237" s="106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  <c r="AA237" s="1"/>
    </row>
    <row r="238" ht="13.5" customHeight="1">
      <c r="A238" s="106"/>
      <c r="B238" s="106"/>
      <c r="C238" s="106"/>
      <c r="D238" s="106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  <c r="AA238" s="1"/>
    </row>
    <row r="239" ht="13.5" customHeight="1">
      <c r="A239" s="106"/>
      <c r="B239" s="106"/>
      <c r="C239" s="106"/>
      <c r="D239" s="106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  <c r="AA239" s="1"/>
    </row>
    <row r="240" ht="13.5" customHeight="1">
      <c r="A240" s="106"/>
      <c r="B240" s="106"/>
      <c r="C240" s="106"/>
      <c r="D240" s="106"/>
      <c r="E240" s="106"/>
      <c r="F240" s="106"/>
      <c r="G240" s="106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  <c r="AA240" s="1"/>
    </row>
    <row r="241" ht="13.5" customHeight="1">
      <c r="A241" s="106"/>
      <c r="B241" s="106"/>
      <c r="C241" s="106"/>
      <c r="D241" s="106"/>
      <c r="E241" s="106"/>
      <c r="F241" s="106"/>
      <c r="G241" s="106"/>
      <c r="H241" s="106"/>
      <c r="I241" s="106"/>
      <c r="J241" s="106"/>
      <c r="K241" s="106"/>
      <c r="L241" s="106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  <c r="Y241" s="106"/>
      <c r="Z241" s="106"/>
      <c r="AA241" s="1"/>
    </row>
    <row r="242" ht="13.5" customHeight="1">
      <c r="A242" s="106"/>
      <c r="B242" s="106"/>
      <c r="C242" s="106"/>
      <c r="D242" s="106"/>
      <c r="E242" s="106"/>
      <c r="F242" s="106"/>
      <c r="G242" s="106"/>
      <c r="H242" s="106"/>
      <c r="I242" s="106"/>
      <c r="J242" s="106"/>
      <c r="K242" s="106"/>
      <c r="L242" s="106"/>
      <c r="M242" s="106"/>
      <c r="N242" s="106"/>
      <c r="O242" s="106"/>
      <c r="P242" s="106"/>
      <c r="Q242" s="106"/>
      <c r="R242" s="106"/>
      <c r="S242" s="106"/>
      <c r="T242" s="106"/>
      <c r="U242" s="106"/>
      <c r="V242" s="106"/>
      <c r="W242" s="106"/>
      <c r="X242" s="106"/>
      <c r="Y242" s="106"/>
      <c r="Z242" s="106"/>
      <c r="AA242" s="1"/>
    </row>
    <row r="243" ht="13.5" customHeight="1">
      <c r="A243" s="106"/>
      <c r="B243" s="106"/>
      <c r="C243" s="106"/>
      <c r="D243" s="106"/>
      <c r="E243" s="106"/>
      <c r="F243" s="106"/>
      <c r="G243" s="106"/>
      <c r="H243" s="106"/>
      <c r="I243" s="106"/>
      <c r="J243" s="106"/>
      <c r="K243" s="106"/>
      <c r="L243" s="106"/>
      <c r="M243" s="106"/>
      <c r="N243" s="106"/>
      <c r="O243" s="106"/>
      <c r="P243" s="106"/>
      <c r="Q243" s="106"/>
      <c r="R243" s="106"/>
      <c r="S243" s="106"/>
      <c r="T243" s="106"/>
      <c r="U243" s="106"/>
      <c r="V243" s="106"/>
      <c r="W243" s="106"/>
      <c r="X243" s="106"/>
      <c r="Y243" s="106"/>
      <c r="Z243" s="106"/>
      <c r="AA243" s="1"/>
    </row>
    <row r="244" ht="13.5" customHeight="1">
      <c r="A244" s="106"/>
      <c r="B244" s="106"/>
      <c r="C244" s="106"/>
      <c r="D244" s="106"/>
      <c r="E244" s="106"/>
      <c r="F244" s="106"/>
      <c r="G244" s="106"/>
      <c r="H244" s="106"/>
      <c r="I244" s="106"/>
      <c r="J244" s="106"/>
      <c r="K244" s="106"/>
      <c r="L244" s="106"/>
      <c r="M244" s="106"/>
      <c r="N244" s="106"/>
      <c r="O244" s="106"/>
      <c r="P244" s="106"/>
      <c r="Q244" s="106"/>
      <c r="R244" s="106"/>
      <c r="S244" s="106"/>
      <c r="T244" s="106"/>
      <c r="U244" s="106"/>
      <c r="V244" s="106"/>
      <c r="W244" s="106"/>
      <c r="X244" s="106"/>
      <c r="Y244" s="106"/>
      <c r="Z244" s="106"/>
      <c r="AA244" s="1"/>
    </row>
    <row r="245" ht="13.5" customHeight="1">
      <c r="A245" s="106"/>
      <c r="B245" s="106"/>
      <c r="C245" s="106"/>
      <c r="D245" s="106"/>
      <c r="E245" s="106"/>
      <c r="F245" s="106"/>
      <c r="G245" s="106"/>
      <c r="H245" s="106"/>
      <c r="I245" s="106"/>
      <c r="J245" s="106"/>
      <c r="K245" s="106"/>
      <c r="L245" s="106"/>
      <c r="M245" s="106"/>
      <c r="N245" s="106"/>
      <c r="O245" s="106"/>
      <c r="P245" s="106"/>
      <c r="Q245" s="106"/>
      <c r="R245" s="106"/>
      <c r="S245" s="106"/>
      <c r="T245" s="106"/>
      <c r="U245" s="106"/>
      <c r="V245" s="106"/>
      <c r="W245" s="106"/>
      <c r="X245" s="106"/>
      <c r="Y245" s="106"/>
      <c r="Z245" s="106"/>
      <c r="AA245" s="1"/>
    </row>
    <row r="246" ht="13.5" customHeight="1">
      <c r="A246" s="106"/>
      <c r="B246" s="106"/>
      <c r="C246" s="106"/>
      <c r="D246" s="106"/>
      <c r="E246" s="106"/>
      <c r="F246" s="106"/>
      <c r="G246" s="106"/>
      <c r="H246" s="106"/>
      <c r="I246" s="106"/>
      <c r="J246" s="106"/>
      <c r="K246" s="106"/>
      <c r="L246" s="106"/>
      <c r="M246" s="106"/>
      <c r="N246" s="106"/>
      <c r="O246" s="106"/>
      <c r="P246" s="106"/>
      <c r="Q246" s="106"/>
      <c r="R246" s="106"/>
      <c r="S246" s="106"/>
      <c r="T246" s="106"/>
      <c r="U246" s="106"/>
      <c r="V246" s="106"/>
      <c r="W246" s="106"/>
      <c r="X246" s="106"/>
      <c r="Y246" s="106"/>
      <c r="Z246" s="106"/>
      <c r="AA246" s="1"/>
    </row>
    <row r="247" ht="13.5" customHeight="1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Z247" s="106"/>
      <c r="AA247" s="1"/>
    </row>
    <row r="248" ht="13.5" customHeight="1">
      <c r="A248" s="106"/>
      <c r="B248" s="106"/>
      <c r="C248" s="106"/>
      <c r="D248" s="106"/>
      <c r="E248" s="106"/>
      <c r="F248" s="106"/>
      <c r="G248" s="106"/>
      <c r="H248" s="106"/>
      <c r="I248" s="106"/>
      <c r="J248" s="106"/>
      <c r="K248" s="106"/>
      <c r="L248" s="106"/>
      <c r="M248" s="106"/>
      <c r="N248" s="106"/>
      <c r="O248" s="106"/>
      <c r="P248" s="106"/>
      <c r="Q248" s="106"/>
      <c r="R248" s="106"/>
      <c r="S248" s="106"/>
      <c r="T248" s="106"/>
      <c r="U248" s="106"/>
      <c r="V248" s="106"/>
      <c r="W248" s="106"/>
      <c r="X248" s="106"/>
      <c r="Y248" s="106"/>
      <c r="Z248" s="106"/>
      <c r="AA248" s="1"/>
    </row>
    <row r="249" ht="13.5" customHeight="1">
      <c r="A249" s="106"/>
      <c r="B249" s="106"/>
      <c r="C249" s="106"/>
      <c r="D249" s="106"/>
      <c r="E249" s="106"/>
      <c r="F249" s="106"/>
      <c r="G249" s="106"/>
      <c r="H249" s="106"/>
      <c r="I249" s="106"/>
      <c r="J249" s="106"/>
      <c r="K249" s="106"/>
      <c r="L249" s="106"/>
      <c r="M249" s="106"/>
      <c r="N249" s="106"/>
      <c r="O249" s="106"/>
      <c r="P249" s="106"/>
      <c r="Q249" s="106"/>
      <c r="R249" s="106"/>
      <c r="S249" s="106"/>
      <c r="T249" s="106"/>
      <c r="U249" s="106"/>
      <c r="V249" s="106"/>
      <c r="W249" s="106"/>
      <c r="X249" s="106"/>
      <c r="Y249" s="106"/>
      <c r="Z249" s="106"/>
      <c r="AA249" s="1"/>
    </row>
    <row r="250" ht="13.5" customHeight="1">
      <c r="A250" s="106"/>
      <c r="B250" s="106"/>
      <c r="C250" s="106"/>
      <c r="D250" s="106"/>
      <c r="E250" s="106"/>
      <c r="F250" s="106"/>
      <c r="G250" s="106"/>
      <c r="H250" s="106"/>
      <c r="I250" s="106"/>
      <c r="J250" s="106"/>
      <c r="K250" s="106"/>
      <c r="L250" s="106"/>
      <c r="M250" s="106"/>
      <c r="N250" s="106"/>
      <c r="O250" s="106"/>
      <c r="P250" s="106"/>
      <c r="Q250" s="106"/>
      <c r="R250" s="106"/>
      <c r="S250" s="106"/>
      <c r="T250" s="106"/>
      <c r="U250" s="106"/>
      <c r="V250" s="106"/>
      <c r="W250" s="106"/>
      <c r="X250" s="106"/>
      <c r="Y250" s="106"/>
      <c r="Z250" s="106"/>
      <c r="AA250" s="1"/>
    </row>
    <row r="251" ht="13.5" customHeight="1">
      <c r="A251" s="106"/>
      <c r="B251" s="106"/>
      <c r="C251" s="106"/>
      <c r="D251" s="106"/>
      <c r="E251" s="106"/>
      <c r="F251" s="106"/>
      <c r="G251" s="106"/>
      <c r="H251" s="106"/>
      <c r="I251" s="106"/>
      <c r="J251" s="106"/>
      <c r="K251" s="106"/>
      <c r="L251" s="106"/>
      <c r="M251" s="106"/>
      <c r="N251" s="106"/>
      <c r="O251" s="106"/>
      <c r="P251" s="106"/>
      <c r="Q251" s="106"/>
      <c r="R251" s="106"/>
      <c r="S251" s="106"/>
      <c r="T251" s="106"/>
      <c r="U251" s="106"/>
      <c r="V251" s="106"/>
      <c r="W251" s="106"/>
      <c r="X251" s="106"/>
      <c r="Y251" s="106"/>
      <c r="Z251" s="106"/>
      <c r="AA251" s="1"/>
    </row>
    <row r="252" ht="13.5" customHeight="1">
      <c r="A252" s="106"/>
      <c r="B252" s="106"/>
      <c r="C252" s="106"/>
      <c r="D252" s="106"/>
      <c r="E252" s="106"/>
      <c r="F252" s="106"/>
      <c r="G252" s="106"/>
      <c r="H252" s="106"/>
      <c r="I252" s="106"/>
      <c r="J252" s="106"/>
      <c r="K252" s="106"/>
      <c r="L252" s="106"/>
      <c r="M252" s="106"/>
      <c r="N252" s="106"/>
      <c r="O252" s="106"/>
      <c r="P252" s="106"/>
      <c r="Q252" s="106"/>
      <c r="R252" s="106"/>
      <c r="S252" s="106"/>
      <c r="T252" s="106"/>
      <c r="U252" s="106"/>
      <c r="V252" s="106"/>
      <c r="W252" s="106"/>
      <c r="X252" s="106"/>
      <c r="Y252" s="106"/>
      <c r="Z252" s="106"/>
      <c r="AA252" s="1"/>
    </row>
    <row r="253" ht="13.5" customHeight="1">
      <c r="A253" s="106"/>
      <c r="B253" s="106"/>
      <c r="C253" s="106"/>
      <c r="D253" s="106"/>
      <c r="E253" s="106"/>
      <c r="F253" s="106"/>
      <c r="G253" s="106"/>
      <c r="H253" s="106"/>
      <c r="I253" s="106"/>
      <c r="J253" s="106"/>
      <c r="K253" s="106"/>
      <c r="L253" s="106"/>
      <c r="M253" s="106"/>
      <c r="N253" s="106"/>
      <c r="O253" s="106"/>
      <c r="P253" s="106"/>
      <c r="Q253" s="106"/>
      <c r="R253" s="106"/>
      <c r="S253" s="106"/>
      <c r="T253" s="106"/>
      <c r="U253" s="106"/>
      <c r="V253" s="106"/>
      <c r="W253" s="106"/>
      <c r="X253" s="106"/>
      <c r="Y253" s="106"/>
      <c r="Z253" s="106"/>
      <c r="AA253" s="1"/>
    </row>
    <row r="254" ht="13.5" customHeight="1">
      <c r="A254" s="106"/>
      <c r="B254" s="106"/>
      <c r="C254" s="106"/>
      <c r="D254" s="106"/>
      <c r="E254" s="106"/>
      <c r="F254" s="106"/>
      <c r="G254" s="106"/>
      <c r="H254" s="106"/>
      <c r="I254" s="106"/>
      <c r="J254" s="106"/>
      <c r="K254" s="106"/>
      <c r="L254" s="106"/>
      <c r="M254" s="106"/>
      <c r="N254" s="106"/>
      <c r="O254" s="106"/>
      <c r="P254" s="106"/>
      <c r="Q254" s="106"/>
      <c r="R254" s="106"/>
      <c r="S254" s="106"/>
      <c r="T254" s="106"/>
      <c r="U254" s="106"/>
      <c r="V254" s="106"/>
      <c r="W254" s="106"/>
      <c r="X254" s="106"/>
      <c r="Y254" s="106"/>
      <c r="Z254" s="106"/>
      <c r="AA254" s="1"/>
    </row>
    <row r="255" ht="13.5" customHeight="1">
      <c r="A255" s="106"/>
      <c r="B255" s="106"/>
      <c r="C255" s="106"/>
      <c r="D255" s="106"/>
      <c r="E255" s="106"/>
      <c r="F255" s="106"/>
      <c r="G255" s="106"/>
      <c r="H255" s="106"/>
      <c r="I255" s="106"/>
      <c r="J255" s="106"/>
      <c r="K255" s="106"/>
      <c r="L255" s="106"/>
      <c r="M255" s="106"/>
      <c r="N255" s="106"/>
      <c r="O255" s="106"/>
      <c r="P255" s="106"/>
      <c r="Q255" s="106"/>
      <c r="R255" s="106"/>
      <c r="S255" s="106"/>
      <c r="T255" s="106"/>
      <c r="U255" s="106"/>
      <c r="V255" s="106"/>
      <c r="W255" s="106"/>
      <c r="X255" s="106"/>
      <c r="Y255" s="106"/>
      <c r="Z255" s="106"/>
      <c r="AA255" s="1"/>
    </row>
    <row r="256" ht="13.5" customHeight="1">
      <c r="A256" s="106"/>
      <c r="B256" s="106"/>
      <c r="C256" s="106"/>
      <c r="D256" s="106"/>
      <c r="E256" s="106"/>
      <c r="F256" s="106"/>
      <c r="G256" s="106"/>
      <c r="H256" s="106"/>
      <c r="I256" s="106"/>
      <c r="J256" s="106"/>
      <c r="K256" s="106"/>
      <c r="L256" s="106"/>
      <c r="M256" s="106"/>
      <c r="N256" s="106"/>
      <c r="O256" s="106"/>
      <c r="P256" s="106"/>
      <c r="Q256" s="106"/>
      <c r="R256" s="106"/>
      <c r="S256" s="106"/>
      <c r="T256" s="106"/>
      <c r="U256" s="106"/>
      <c r="V256" s="106"/>
      <c r="W256" s="106"/>
      <c r="X256" s="106"/>
      <c r="Y256" s="106"/>
      <c r="Z256" s="106"/>
      <c r="AA256" s="1"/>
    </row>
    <row r="257" ht="13.5" customHeight="1">
      <c r="A257" s="106"/>
      <c r="B257" s="106"/>
      <c r="C257" s="106"/>
      <c r="D257" s="106"/>
      <c r="E257" s="106"/>
      <c r="F257" s="106"/>
      <c r="G257" s="106"/>
      <c r="H257" s="106"/>
      <c r="I257" s="106"/>
      <c r="J257" s="106"/>
      <c r="K257" s="106"/>
      <c r="L257" s="106"/>
      <c r="M257" s="106"/>
      <c r="N257" s="106"/>
      <c r="O257" s="106"/>
      <c r="P257" s="106"/>
      <c r="Q257" s="106"/>
      <c r="R257" s="106"/>
      <c r="S257" s="106"/>
      <c r="T257" s="106"/>
      <c r="U257" s="106"/>
      <c r="V257" s="106"/>
      <c r="W257" s="106"/>
      <c r="X257" s="106"/>
      <c r="Y257" s="106"/>
      <c r="Z257" s="106"/>
      <c r="AA257" s="1"/>
    </row>
    <row r="258" ht="13.5" customHeight="1">
      <c r="A258" s="106"/>
      <c r="B258" s="106"/>
      <c r="C258" s="106"/>
      <c r="D258" s="106"/>
      <c r="E258" s="106"/>
      <c r="F258" s="106"/>
      <c r="G258" s="106"/>
      <c r="H258" s="106"/>
      <c r="I258" s="106"/>
      <c r="J258" s="106"/>
      <c r="K258" s="106"/>
      <c r="L258" s="106"/>
      <c r="M258" s="106"/>
      <c r="N258" s="106"/>
      <c r="O258" s="106"/>
      <c r="P258" s="106"/>
      <c r="Q258" s="106"/>
      <c r="R258" s="106"/>
      <c r="S258" s="106"/>
      <c r="T258" s="106"/>
      <c r="U258" s="106"/>
      <c r="V258" s="106"/>
      <c r="W258" s="106"/>
      <c r="X258" s="106"/>
      <c r="Y258" s="106"/>
      <c r="Z258" s="106"/>
    </row>
    <row r="259" ht="15.75" customHeight="1">
      <c r="A259" s="106"/>
      <c r="B259" s="106"/>
      <c r="C259" s="106"/>
      <c r="D259" s="106"/>
      <c r="E259" s="106"/>
      <c r="F259" s="106"/>
      <c r="G259" s="106"/>
      <c r="H259" s="106"/>
      <c r="I259" s="106"/>
      <c r="J259" s="106"/>
      <c r="K259" s="106"/>
      <c r="L259" s="106"/>
      <c r="M259" s="106"/>
      <c r="N259" s="106"/>
      <c r="O259" s="106"/>
      <c r="P259" s="106"/>
      <c r="Q259" s="106"/>
      <c r="R259" s="106"/>
      <c r="S259" s="106"/>
      <c r="T259" s="106"/>
      <c r="U259" s="106"/>
      <c r="V259" s="106"/>
      <c r="W259" s="106"/>
      <c r="X259" s="106"/>
      <c r="Y259" s="106"/>
      <c r="Z259" s="106"/>
    </row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</sheetData>
  <mergeCells count="29">
    <mergeCell ref="F14:F15"/>
    <mergeCell ref="G14:G15"/>
    <mergeCell ref="G53:G54"/>
    <mergeCell ref="I53:J54"/>
    <mergeCell ref="K53:K54"/>
    <mergeCell ref="L53:L54"/>
    <mergeCell ref="A9:L9"/>
    <mergeCell ref="E10:L10"/>
    <mergeCell ref="A13:B13"/>
    <mergeCell ref="C13:D13"/>
    <mergeCell ref="H13:H15"/>
    <mergeCell ref="I13:I14"/>
    <mergeCell ref="J13:L14"/>
    <mergeCell ref="J15:L15"/>
    <mergeCell ref="B57:C57"/>
    <mergeCell ref="B58:C58"/>
    <mergeCell ref="G58:G59"/>
    <mergeCell ref="I58:J59"/>
    <mergeCell ref="K58:K59"/>
    <mergeCell ref="L58:L59"/>
    <mergeCell ref="B59:C59"/>
    <mergeCell ref="E61:G61"/>
    <mergeCell ref="B14:D14"/>
    <mergeCell ref="E14:E15"/>
    <mergeCell ref="B16:D16"/>
    <mergeCell ref="B53:C53"/>
    <mergeCell ref="B54:C54"/>
    <mergeCell ref="B55:C55"/>
    <mergeCell ref="B56:C56"/>
  </mergeCells>
  <conditionalFormatting sqref="B29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0" priority="2" operator="equal">
      <formula>1</formula>
    </cfRule>
  </conditionalFormatting>
  <conditionalFormatting sqref="B30:D30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4" operator="equal">
      <formula>1</formula>
    </cfRule>
  </conditionalFormatting>
  <conditionalFormatting sqref="B31:D3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0" priority="6" operator="equal">
      <formula>1</formula>
    </cfRule>
  </conditionalFormatting>
  <conditionalFormatting sqref="K17:K51 L18:L51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