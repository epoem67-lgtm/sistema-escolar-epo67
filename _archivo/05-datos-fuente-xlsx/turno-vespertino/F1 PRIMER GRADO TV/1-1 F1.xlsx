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  <sheet state="visible" name="1-1 ingles II" sheetId="2" r:id="rId6"/>
    <sheet state="visible" name="1-1 pensamiento matematico ii" sheetId="3" r:id="rId7"/>
    <sheet state="visible" name="1-1 cultura digital ii" sheetId="4" r:id="rId8"/>
    <sheet state="visible" name="1-1 ciencias naturales experime" sheetId="5" r:id="rId9"/>
    <sheet state="visible" name="1-1 pensamiento filosofico y hu" sheetId="6" r:id="rId10"/>
    <sheet state="visible" name="1-1 ciencias sociales ii" sheetId="7" r:id="rId11"/>
    <sheet state="visible" name="1-1 taller de ciencias i" sheetId="8" r:id="rId12"/>
    <sheet state="visible" name="1-1 actividades fisicas y depor" sheetId="9" r:id="rId13"/>
    <sheet state="visible" name="1-1 educacion para la salud ii" sheetId="10" r:id="rId14"/>
    <sheet state="visible" name="1-1 temas selectos de igualdad " sheetId="11" r:id="rId15"/>
    <sheet state="visible" name="INDICADORES" sheetId="12" r:id="rId16"/>
  </sheets>
  <definedNames>
    <definedName localSheetId="4" name="Excel_BuiltIn_Print_Area">'1-1 ciencias naturales experime'!$A$6:$O$68</definedName>
    <definedName localSheetId="1" name="Excel_BuiltIn_Print_Area">'1-1 ingles II'!$A$6:$O$68</definedName>
    <definedName localSheetId="8" name="Excel_BuiltIn_Print_Area">'1-1 actividades fisicas y depor'!$A$6:$O$68</definedName>
    <definedName localSheetId="7" name="Excel_BuiltIn_Print_Area">'1-1 taller de ciencias i'!$A$6:$O$68</definedName>
    <definedName localSheetId="9" name="Excel_BuiltIn_Print_Area">'1-1 educacion para la salud ii'!$A$6:$O$68</definedName>
    <definedName localSheetId="0" name="Excel_BuiltIn_Print_Area">'1-1 lengua y comunicacion ii'!$A$6:$O$68</definedName>
    <definedName localSheetId="5" name="Excel_BuiltIn_Print_Area">'1-1 pensamiento filosofico y hu'!$A$6:$O$68</definedName>
    <definedName localSheetId="6" name="Excel_BuiltIn_Print_Area">'1-1 ciencias sociales ii'!$A$6:$O$68</definedName>
    <definedName localSheetId="2" name="Excel_BuiltIn_Print_Area">'1-1 pensamiento matematico ii'!$A$6:$O$68</definedName>
    <definedName localSheetId="10" name="Excel_BuiltIn_Print_Area">'1-1 temas selectos de igualdad '!$A$6:$O$68</definedName>
    <definedName localSheetId="3" name="Excel_BuiltIn_Print_Area">'1-1 cultura digital ii'!$A$6:$O$68</definedName>
    <definedName hidden="1" localSheetId="0" name="_xlnm._FilterDatabase">'1-1 lengua y comunicacion ii'!$S$1:$S$96</definedName>
    <definedName hidden="1" localSheetId="1" name="_xlnm._FilterDatabase">'1-1 ingles II'!$S$1:$S$96</definedName>
    <definedName hidden="1" localSheetId="2" name="_xlnm._FilterDatabase">'1-1 pensamiento matematico ii'!$S$1:$S$96</definedName>
    <definedName hidden="1" localSheetId="3" name="_xlnm._FilterDatabase">'1-1 cultura digital ii'!$S$1:$S$96</definedName>
    <definedName hidden="1" localSheetId="4" name="_xlnm._FilterDatabase">'1-1 ciencias naturales experime'!$S$1:$S$96</definedName>
    <definedName hidden="1" localSheetId="5" name="_xlnm._FilterDatabase">'1-1 pensamiento filosofico y hu'!$S$1:$S$96</definedName>
    <definedName hidden="1" localSheetId="6" name="_xlnm._FilterDatabase">'1-1 ciencias sociales ii'!$S$1:$S$96</definedName>
    <definedName hidden="1" localSheetId="7" name="_xlnm._FilterDatabase">'1-1 taller de ciencias i'!$S$1:$S$96</definedName>
    <definedName hidden="1" localSheetId="8" name="_xlnm._FilterDatabase">'1-1 actividades fisicas y depor'!$S$1:$S$96</definedName>
    <definedName hidden="1" localSheetId="9" name="_xlnm._FilterDatabase">'1-1 educacion para la salud ii'!$S$1:$S$96</definedName>
    <definedName hidden="1" localSheetId="10" name="_xlnm._FilterDatabase">'1-1 temas selectos de igualdad '!$S$1:$S$96</definedName>
  </definedNames>
  <calcPr/>
</workbook>
</file>

<file path=xl/sharedStrings.xml><?xml version="1.0" encoding="utf-8"?>
<sst xmlns="http://schemas.openxmlformats.org/spreadsheetml/2006/main" count="2464" uniqueCount="207">
  <si>
    <t>HORAS IMPARTIDAS</t>
  </si>
  <si>
    <t xml:space="preserve">ORIENTADOR </t>
  </si>
  <si>
    <t>JOSE EDGAR SALAZAR ZUÑIGA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</si>
  <si>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</si>
  <si>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</si>
  <si>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</si>
  <si>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</si>
  <si>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</si>
  <si>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</si>
  <si>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</si>
  <si>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</si>
  <si>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</si>
  <si>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</si>
  <si>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</si>
  <si>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</si>
  <si>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</si>
  <si>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ASIGNATURA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</si>
  <si>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</si>
  <si>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</si>
  <si>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</si>
  <si>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</si>
  <si>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</si>
  <si>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</si>
  <si>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</si>
  <si>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</si>
  <si>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</si>
  <si>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</si>
  <si>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</si>
  <si>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</si>
  <si>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</si>
  <si>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</si>
  <si>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</si>
  <si>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</si>
  <si>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</si>
  <si>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</si>
  <si>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</si>
  <si>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</si>
  <si>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</si>
  <si>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</si>
  <si>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</si>
  <si>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ALVAREZ</t>
  </si>
  <si>
    <t>HERNANDEZ</t>
  </si>
  <si>
    <t>DAYANNA ZOE</t>
  </si>
  <si>
    <t>ANAYA</t>
  </si>
  <si>
    <t>LEAL</t>
  </si>
  <si>
    <t>ANA IXCHEL</t>
  </si>
  <si>
    <t>ARIAS</t>
  </si>
  <si>
    <t>APARICIO</t>
  </si>
  <si>
    <t>AILISH ELIZABETH</t>
  </si>
  <si>
    <t>ARRAZOLA</t>
  </si>
  <si>
    <t>ROMERO</t>
  </si>
  <si>
    <t>DIEGO IVAN</t>
  </si>
  <si>
    <t>ARREDONDO</t>
  </si>
  <si>
    <t>LOREDO</t>
  </si>
  <si>
    <t>JOSHUA JAAFET</t>
  </si>
  <si>
    <t>AVILES</t>
  </si>
  <si>
    <t>ACOSTA</t>
  </si>
  <si>
    <t>ARELI</t>
  </si>
  <si>
    <t>CARBAJAL</t>
  </si>
  <si>
    <t>RODRIGUEZ</t>
  </si>
  <si>
    <t>GAEL</t>
  </si>
  <si>
    <t>CARDENAS</t>
  </si>
  <si>
    <t>MORENO</t>
  </si>
  <si>
    <t>CRISTOPHER TADEO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</si>
  <si>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</si>
  <si>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</si>
  <si>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</si>
  <si>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</si>
  <si>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</si>
  <si>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</si>
  <si>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</si>
  <si>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</si>
  <si>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</si>
  <si>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</si>
  <si>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</si>
  <si>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</si>
  <si>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</si>
  <si>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</si>
  <si>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</si>
  <si>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</si>
  <si>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</si>
  <si>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</si>
  <si>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</si>
  <si>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</si>
  <si>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</si>
  <si>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</si>
  <si>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</si>
  <si>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</si>
  <si>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</si>
  <si>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</si>
  <si>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</si>
  <si>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</si>
  <si>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</si>
  <si>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</si>
  <si>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</si>
  <si>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</si>
  <si>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</si>
  <si>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</si>
  <si>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</si>
  <si>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</si>
  <si>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</si>
  <si>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</si>
  <si>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</si>
  <si>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</si>
  <si>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</si>
  <si>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</si>
  <si>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</si>
  <si>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</si>
  <si>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</si>
  <si>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</si>
  <si>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</si>
  <si>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</si>
  <si>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</si>
  <si>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</si>
  <si>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</si>
  <si>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</si>
  <si>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</si>
  <si>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</si>
  <si>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</si>
  <si>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</si>
  <si>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</si>
  <si>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</si>
  <si>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</si>
  <si>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</si>
  <si>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</si>
  <si>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</si>
  <si>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</si>
  <si>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</si>
  <si>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</si>
  <si>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</si>
  <si>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</si>
  <si>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</si>
  <si>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</si>
  <si>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</si>
  <si>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</si>
  <si>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</si>
  <si>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</si>
  <si>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</si>
  <si>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</si>
  <si>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</si>
  <si>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</si>
  <si>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</si>
  <si>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</si>
  <si>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</si>
  <si>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</si>
  <si>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</si>
  <si>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</si>
  <si>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</si>
  <si>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</si>
  <si>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</si>
  <si>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</si>
  <si>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</si>
  <si>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</si>
  <si>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</si>
  <si>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</si>
  <si>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</si>
  <si>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</si>
  <si>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</si>
  <si>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</si>
  <si>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</si>
  <si>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</si>
  <si>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</si>
  <si>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</si>
  <si>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</si>
  <si>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</si>
  <si>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</si>
  <si>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</si>
  <si>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</si>
  <si>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</si>
  <si>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</si>
  <si>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</si>
  <si>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</si>
  <si>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</si>
  <si>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</si>
  <si>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</si>
  <si>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</si>
  <si>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</si>
  <si>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</si>
  <si>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UAC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</si>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</sst>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2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10.0"/>
      <color theme="1"/>
      <name val="Arial"/>
    </font>
    <font>
      <b/>
      <sz val="9.0"/>
      <color theme="1"/>
      <name val="Century Gothic"/>
    </font>
    <font>
      <b/>
      <color theme="1"/>
      <name val="Arial"/>
    </font>
    <font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8.0"/>
      <color theme="1"/>
      <name val="Century Gothic"/>
    </font>
    <font>
      <sz val="9.0"/>
      <color theme="1"/>
      <name val="Century Gothic"/>
    </font>
    <font>
      <sz val="10.0"/>
      <color rgb="FF00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sz val="10.0"/>
      <color rgb="FFFF0000"/>
      <name val="Arial"/>
    </font>
    <font>
      <b/>
      <sz val="8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4" fillId="2" fontId="11" numFmtId="0" xfId="0" applyAlignment="1" applyBorder="1" applyFont="1">
      <alignment horizontal="center" shrinkToFit="0" vertical="bottom" wrapText="0"/>
    </xf>
    <xf borderId="3" fillId="2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wrapText="1"/>
    </xf>
    <xf borderId="18" fillId="0" fontId="7" numFmtId="164" xfId="0" applyAlignment="1" applyBorder="1" applyFont="1" applyNumberFormat="1">
      <alignment horizontal="center" shrinkToFit="0" wrapText="1"/>
    </xf>
    <xf borderId="15" fillId="0" fontId="7" numFmtId="0" xfId="0" applyAlignment="1" applyBorder="1" applyFont="1">
      <alignment horizontal="center" vertical="bottom"/>
    </xf>
    <xf borderId="19" fillId="0" fontId="7" numFmtId="1" xfId="0" applyAlignment="1" applyBorder="1" applyFont="1" applyNumberFormat="1">
      <alignment horizontal="center" shrinkToFit="0" wrapText="1"/>
    </xf>
    <xf borderId="20" fillId="0" fontId="7" numFmtId="0" xfId="0" applyBorder="1" applyFont="1"/>
    <xf borderId="15" fillId="0" fontId="10" numFmtId="0" xfId="0" applyAlignment="1" applyBorder="1" applyFont="1">
      <alignment horizontal="center"/>
    </xf>
    <xf borderId="3" fillId="2" fontId="11" numFmtId="0" xfId="0" applyAlignment="1" applyBorder="1" applyFont="1">
      <alignment horizontal="center" shrinkToFit="0" vertical="bottom" wrapText="0"/>
    </xf>
    <xf borderId="4" fillId="2" fontId="11" numFmtId="0" xfId="0" applyAlignment="1" applyBorder="1" applyFont="1">
      <alignment horizontal="center" shrinkToFit="0" vertical="bottom" wrapText="0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0" fillId="0" fontId="13" numFmtId="0" xfId="0" applyFont="1"/>
    <xf borderId="22" fillId="3" fontId="1" numFmtId="0" xfId="0" applyAlignment="1" applyBorder="1" applyFill="1" applyFont="1">
      <alignment horizontal="center" shrinkToFit="0" vertical="center" wrapText="1"/>
    </xf>
    <xf borderId="3" fillId="0" fontId="12" numFmtId="0" xfId="0" applyAlignment="1" applyBorder="1" applyFont="1">
      <alignment shrinkToFit="0" vertical="top" wrapText="0"/>
    </xf>
    <xf borderId="3" fillId="0" fontId="12" numFmtId="0" xfId="0" applyAlignment="1" applyBorder="1" applyFont="1">
      <alignment horizontal="left" shrinkToFit="0" wrapText="0"/>
    </xf>
    <xf borderId="3" fillId="2" fontId="12" numFmtId="0" xfId="0" applyAlignment="1" applyBorder="1" applyFont="1">
      <alignment horizontal="left" shrinkToFit="0" vertical="bottom" wrapText="0"/>
    </xf>
    <xf borderId="23" fillId="3" fontId="1" numFmtId="0" xfId="0" applyAlignment="1" applyBorder="1" applyFont="1">
      <alignment horizontal="center" shrinkToFit="0" vertical="center" wrapText="1"/>
    </xf>
    <xf borderId="24" fillId="3" fontId="13" numFmtId="0" xfId="0" applyBorder="1" applyFont="1"/>
    <xf borderId="25" fillId="3" fontId="13" numFmtId="0" xfId="0" applyBorder="1" applyFont="1"/>
    <xf borderId="3" fillId="0" fontId="12" numFmtId="0" xfId="0" applyAlignment="1" applyBorder="1" applyFont="1">
      <alignment horizontal="left" shrinkToFit="0" vertical="bottom" wrapText="0"/>
    </xf>
    <xf borderId="26" fillId="0" fontId="7" numFmtId="164" xfId="0" applyAlignment="1" applyBorder="1" applyFont="1" applyNumberFormat="1">
      <alignment horizontal="center" shrinkToFit="0" wrapText="1"/>
    </xf>
    <xf borderId="15" fillId="0" fontId="7" numFmtId="164" xfId="0" applyAlignment="1" applyBorder="1" applyFont="1" applyNumberFormat="1">
      <alignment horizontal="center" shrinkToFit="0" wrapText="1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4" fillId="0" fontId="7" numFmtId="0" xfId="0" applyAlignment="1" applyBorder="1" applyFont="1">
      <alignment horizontal="center"/>
    </xf>
    <xf borderId="20" fillId="0" fontId="1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15" fillId="0" fontId="4" numFmtId="164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bottom" wrapText="0"/>
    </xf>
    <xf borderId="0" fillId="2" fontId="12" numFmtId="0" xfId="0" applyAlignment="1" applyFont="1">
      <alignment shrinkToFit="0" vertical="bottom" wrapText="0"/>
    </xf>
    <xf borderId="30" fillId="4" fontId="14" numFmtId="0" xfId="0" applyAlignment="1" applyBorder="1" applyFill="1" applyFont="1">
      <alignment horizontal="right"/>
    </xf>
    <xf borderId="25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right" shrinkToFit="0" vertical="bottom" wrapText="0"/>
    </xf>
    <xf borderId="4" fillId="5" fontId="10" numFmtId="0" xfId="0" applyAlignment="1" applyBorder="1" applyFill="1" applyFont="1">
      <alignment horizontal="right"/>
    </xf>
    <xf borderId="25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0" fillId="5" fontId="2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right"/>
    </xf>
    <xf borderId="25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1" fillId="6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15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5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5" fillId="8" fontId="1" numFmtId="164" xfId="0" applyAlignment="1" applyBorder="1" applyFont="1" applyNumberForma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34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vertical="center"/>
    </xf>
    <xf borderId="36" fillId="0" fontId="1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 shrinkToFit="0" vertical="center" wrapText="1"/>
    </xf>
    <xf borderId="37" fillId="0" fontId="7" numFmtId="1" xfId="0" applyAlignment="1" applyBorder="1" applyFont="1" applyNumberFormat="1">
      <alignment horizontal="center" shrinkToFit="0" wrapText="1"/>
    </xf>
    <xf borderId="39" fillId="0" fontId="7" numFmtId="1" xfId="0" applyAlignment="1" applyBorder="1" applyFont="1" applyNumberFormat="1">
      <alignment horizontal="center" shrinkToFit="0" wrapText="1"/>
    </xf>
    <xf borderId="13" fillId="0" fontId="7" numFmtId="1" xfId="0" applyAlignment="1" applyBorder="1" applyFont="1" applyNumberFormat="1">
      <alignment horizontal="center" vertical="bottom"/>
    </xf>
    <xf borderId="40" fillId="0" fontId="7" numFmtId="1" xfId="0" applyAlignment="1" applyBorder="1" applyFont="1" applyNumberFormat="1">
      <alignment horizontal="center" shrinkToFit="0" wrapText="1"/>
    </xf>
    <xf borderId="20" fillId="0" fontId="7" numFmtId="1" xfId="0" applyBorder="1" applyFont="1" applyNumberFormat="1"/>
    <xf borderId="3" fillId="0" fontId="10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41" fillId="3" fontId="1" numFmtId="1" xfId="0" applyAlignment="1" applyBorder="1" applyFont="1" applyNumberForma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1" fillId="0" fontId="7" numFmtId="1" xfId="0" applyAlignment="1" applyBorder="1" applyFont="1" applyNumberFormat="1">
      <alignment horizontal="center"/>
    </xf>
    <xf borderId="3" fillId="6" fontId="1" numFmtId="0" xfId="0" applyAlignment="1" applyBorder="1" applyFont="1">
      <alignment horizontal="center" shrinkToFit="0" vertical="center" wrapText="1"/>
    </xf>
    <xf borderId="15" fillId="7" fontId="1" numFmtId="1" xfId="0" applyAlignment="1" applyBorder="1" applyFont="1" applyNumberFormat="1">
      <alignment horizontal="center" shrinkToFit="0" vertical="center" wrapText="1"/>
    </xf>
    <xf borderId="15" fillId="8" fontId="1" numFmtId="1" xfId="0" applyAlignment="1" applyBorder="1" applyFont="1" applyNumberForma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wrapText="1"/>
    </xf>
    <xf borderId="39" fillId="0" fontId="7" numFmtId="164" xfId="0" applyAlignment="1" applyBorder="1" applyFont="1" applyNumberFormat="1">
      <alignment horizontal="center" shrinkToFit="0" wrapText="1"/>
    </xf>
    <xf borderId="13" fillId="0" fontId="7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5" fillId="6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43" fillId="0" fontId="3" numFmtId="0" xfId="0" applyBorder="1" applyFont="1"/>
    <xf borderId="44" fillId="0" fontId="4" numFmtId="0" xfId="0" applyAlignment="1" applyBorder="1" applyFont="1">
      <alignment horizontal="left" shrinkToFit="0" vertical="center" wrapText="1"/>
    </xf>
    <xf borderId="44" fillId="0" fontId="3" numFmtId="0" xfId="0" applyBorder="1" applyFont="1"/>
    <xf borderId="45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9" fillId="2" fontId="5" numFmtId="0" xfId="0" applyAlignment="1" applyBorder="1" applyFont="1">
      <alignment horizontal="center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13" fillId="2" fontId="12" numFmtId="0" xfId="0" applyAlignment="1" applyBorder="1" applyFont="1">
      <alignment shrinkToFit="0" vertical="bottom" wrapText="0"/>
    </xf>
    <xf borderId="13" fillId="0" fontId="1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33" fillId="0" fontId="3" numFmtId="0" xfId="0" applyBorder="1" applyFont="1"/>
    <xf borderId="0" fillId="0" fontId="18" numFmtId="0" xfId="0" applyFont="1"/>
    <xf borderId="3" fillId="9" fontId="7" numFmtId="0" xfId="0" applyBorder="1" applyFill="1" applyFont="1"/>
    <xf borderId="0" fillId="0" fontId="7" numFmtId="0" xfId="0" applyAlignment="1" applyFont="1">
      <alignment vertical="bottom"/>
    </xf>
    <xf borderId="3" fillId="0" fontId="7" numFmtId="0" xfId="0" applyAlignment="1" applyBorder="1" applyFont="1">
      <alignment vertical="bottom"/>
    </xf>
    <xf borderId="3" fillId="0" fontId="19" numFmtId="0" xfId="0" applyAlignment="1" applyBorder="1" applyFont="1">
      <alignment horizontal="center" shrinkToFit="0" wrapText="1"/>
    </xf>
    <xf borderId="3" fillId="0" fontId="6" numFmtId="0" xfId="0" applyBorder="1" applyFont="1"/>
    <xf borderId="3" fillId="0" fontId="19" numFmtId="0" xfId="0" applyAlignment="1" applyBorder="1" applyFont="1">
      <alignment horizontal="center" shrinkToFit="0" vertical="bottom" wrapText="1"/>
    </xf>
    <xf borderId="3" fillId="10" fontId="7" numFmtId="0" xfId="0" applyAlignment="1" applyBorder="1" applyFill="1" applyFont="1">
      <alignment horizontal="right" vertical="bottom"/>
    </xf>
    <xf borderId="3" fillId="10" fontId="7" numFmtId="0" xfId="0" applyAlignment="1" applyBorder="1" applyFont="1">
      <alignment vertical="bottom"/>
    </xf>
    <xf borderId="3" fillId="10" fontId="7" numFmtId="164" xfId="0" applyAlignment="1" applyBorder="1" applyFont="1" applyNumberFormat="1">
      <alignment horizontal="right" vertical="bottom"/>
    </xf>
    <xf borderId="3" fillId="10" fontId="7" numFmtId="1" xfId="0" applyAlignment="1" applyBorder="1" applyFont="1" applyNumberFormat="1">
      <alignment horizontal="right" vertical="bottom"/>
    </xf>
    <xf borderId="3" fillId="10" fontId="7" numFmtId="165" xfId="0" applyAlignment="1" applyBorder="1" applyFont="1" applyNumberFormat="1">
      <alignment horizontal="right" vertical="bottom"/>
    </xf>
    <xf borderId="3" fillId="10" fontId="7" numFmtId="0" xfId="0" applyAlignment="1" applyBorder="1" applyFont="1">
      <alignment horizontal="center" shrinkToFit="0" wrapText="1"/>
    </xf>
    <xf borderId="3" fillId="10" fontId="7" numFmtId="164" xfId="0" applyAlignment="1" applyBorder="1" applyFont="1" applyNumberFormat="1">
      <alignment horizontal="center" shrinkToFit="0" wrapText="1"/>
    </xf>
    <xf borderId="3" fillId="10" fontId="7" numFmtId="1" xfId="0" applyAlignment="1" applyBorder="1" applyFont="1" applyNumberFormat="1">
      <alignment horizontal="center" shrinkToFit="0" wrapText="1"/>
    </xf>
    <xf borderId="3" fillId="10" fontId="7" numFmtId="164" xfId="0" applyAlignment="1" applyBorder="1" applyFont="1" applyNumberFormat="1">
      <alignment horizontal="center" vertical="bottom"/>
    </xf>
    <xf borderId="3" fillId="0" fontId="20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center" shrinkToFit="0" wrapText="1"/>
    </xf>
    <xf borderId="3" fillId="0" fontId="7" numFmtId="1" xfId="0" applyAlignment="1" applyBorder="1" applyFont="1" applyNumberFormat="1">
      <alignment horizontal="center" shrinkToFit="0" wrapText="1"/>
    </xf>
    <xf borderId="3" fillId="0" fontId="7" numFmtId="164" xfId="0" applyAlignment="1" applyBorder="1" applyFont="1" applyNumberFormat="1">
      <alignment horizontal="center" vertical="bottom"/>
    </xf>
    <xf borderId="3" fillId="0" fontId="7" numFmtId="164" xfId="0" applyAlignment="1" applyBorder="1" applyFont="1" applyNumberFormat="1">
      <alignment horizontal="center" shrinkToFit="0" vertical="bottom" wrapText="1"/>
    </xf>
    <xf borderId="3" fillId="10" fontId="20" numFmtId="0" xfId="0" applyAlignment="1" applyBorder="1" applyFont="1">
      <alignment horizontal="center"/>
    </xf>
    <xf borderId="3" fillId="10" fontId="7" numFmtId="1" xfId="0" applyAlignment="1" applyBorder="1" applyFont="1" applyNumberFormat="1">
      <alignment horizontal="center" vertical="bottom"/>
    </xf>
    <xf borderId="3" fillId="0" fontId="7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/>
    </xf>
    <xf borderId="6" fillId="10" fontId="7" numFmtId="164" xfId="0" applyAlignment="1" applyBorder="1" applyFont="1" applyNumberFormat="1">
      <alignment horizontal="center" vertical="bottom"/>
    </xf>
    <xf borderId="6" fillId="10" fontId="7" numFmtId="1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horizontal="right" vertical="bottom"/>
    </xf>
    <xf borderId="3" fillId="0" fontId="7" numFmtId="164" xfId="0" applyAlignment="1" applyBorder="1" applyFont="1" applyNumberFormat="1">
      <alignment horizontal="right" vertical="bottom"/>
    </xf>
    <xf borderId="3" fillId="0" fontId="7" numFmtId="1" xfId="0" applyAlignment="1" applyBorder="1" applyFont="1" applyNumberFormat="1">
      <alignment horizontal="right" vertical="bottom"/>
    </xf>
    <xf borderId="3" fillId="0" fontId="7" numFmtId="165" xfId="0" applyAlignment="1" applyBorder="1" applyFont="1" applyNumberFormat="1">
      <alignment horizontal="right" vertical="bottom"/>
    </xf>
    <xf borderId="48" fillId="0" fontId="20" numFmtId="0" xfId="0" applyAlignment="1" applyBorder="1" applyFont="1">
      <alignment horizontal="center"/>
    </xf>
    <xf borderId="48" fillId="0" fontId="21" numFmtId="164" xfId="0" applyAlignment="1" applyBorder="1" applyFont="1" applyNumberFormat="1">
      <alignment horizontal="center" vertical="bottom"/>
    </xf>
    <xf borderId="48" fillId="0" fontId="21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6" fillId="1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right" vertical="bottom"/>
    </xf>
    <xf borderId="3" fillId="10" fontId="7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15.0</v>
      </c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5.0</v>
      </c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18" t="s">
        <v>16</v>
      </c>
      <c r="L6" s="16" t="s">
        <v>17</v>
      </c>
      <c r="M6" s="17"/>
      <c r="N6" s="19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60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38" t="s">
        <v>34</v>
      </c>
      <c r="N11" s="38" t="s">
        <v>35</v>
      </c>
      <c r="O11" s="40" t="s">
        <v>36</v>
      </c>
      <c r="P11" s="38" t="s">
        <v>37</v>
      </c>
      <c r="Q11" s="41" t="s">
        <v>38</v>
      </c>
      <c r="R11" s="42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46">
        <v>0.0</v>
      </c>
      <c r="H12" s="47">
        <v>9.0</v>
      </c>
      <c r="I12" s="46">
        <v>0.0</v>
      </c>
      <c r="J12" s="47">
        <v>9.0</v>
      </c>
      <c r="K12" s="46">
        <v>0.0</v>
      </c>
      <c r="L12" s="47">
        <v>9.0</v>
      </c>
      <c r="M12" s="48">
        <f t="shared" ref="M12:M64" si="1">G12+I12+K12</f>
        <v>0</v>
      </c>
      <c r="N12" s="49">
        <f t="shared" ref="N12:N64" si="2">(M12*100)/$P$8</f>
        <v>0</v>
      </c>
      <c r="O12" s="50">
        <f t="shared" ref="O12:O64" si="3">H12+J12+L12</f>
        <v>27</v>
      </c>
      <c r="P12" s="51">
        <f t="shared" ref="P12:P64" si="4">IF(AVERAGE(H12,J12,L12)&lt;6,(5),(ROUND(AVERAGE(H12,J12,L12),0)))</f>
        <v>9</v>
      </c>
      <c r="Q12" s="52"/>
      <c r="R12" s="5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56">
        <v>2.0</v>
      </c>
      <c r="H13" s="57">
        <v>8.0</v>
      </c>
      <c r="I13" s="56">
        <v>2.0</v>
      </c>
      <c r="J13" s="57">
        <v>8.0</v>
      </c>
      <c r="K13" s="56">
        <v>2.0</v>
      </c>
      <c r="L13" s="57">
        <v>8.0</v>
      </c>
      <c r="M13" s="48">
        <f t="shared" si="1"/>
        <v>6</v>
      </c>
      <c r="N13" s="49">
        <f t="shared" si="2"/>
        <v>10</v>
      </c>
      <c r="O13" s="50">
        <f t="shared" si="3"/>
        <v>24</v>
      </c>
      <c r="P13" s="51">
        <f t="shared" si="4"/>
        <v>8</v>
      </c>
      <c r="Q13" s="52"/>
      <c r="R13" s="5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56">
        <v>3.0</v>
      </c>
      <c r="H14" s="57">
        <v>7.0</v>
      </c>
      <c r="I14" s="56">
        <v>3.0</v>
      </c>
      <c r="J14" s="57">
        <v>7.0</v>
      </c>
      <c r="K14" s="56">
        <v>3.0</v>
      </c>
      <c r="L14" s="57">
        <v>7.0</v>
      </c>
      <c r="M14" s="48">
        <f t="shared" si="1"/>
        <v>9</v>
      </c>
      <c r="N14" s="49">
        <f t="shared" si="2"/>
        <v>15</v>
      </c>
      <c r="O14" s="50">
        <f t="shared" si="3"/>
        <v>21</v>
      </c>
      <c r="P14" s="51">
        <f t="shared" si="4"/>
        <v>7</v>
      </c>
      <c r="Q14" s="52"/>
      <c r="R14" s="5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56">
        <v>1.0</v>
      </c>
      <c r="H15" s="57">
        <v>7.0</v>
      </c>
      <c r="I15" s="56">
        <v>10.0</v>
      </c>
      <c r="J15" s="57">
        <v>7.0</v>
      </c>
      <c r="K15" s="56">
        <v>2.0</v>
      </c>
      <c r="L15" s="57">
        <v>7.0</v>
      </c>
      <c r="M15" s="48">
        <f t="shared" si="1"/>
        <v>13</v>
      </c>
      <c r="N15" s="49">
        <f t="shared" si="2"/>
        <v>21.66666667</v>
      </c>
      <c r="O15" s="50">
        <f t="shared" si="3"/>
        <v>21</v>
      </c>
      <c r="P15" s="51">
        <f t="shared" si="4"/>
        <v>7</v>
      </c>
      <c r="Q15" s="52"/>
      <c r="R15" s="53" t="str">
        <f t="shared" si="5"/>
        <v>EXTRA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56">
        <v>0.0</v>
      </c>
      <c r="H16" s="57">
        <v>8.0</v>
      </c>
      <c r="I16" s="56">
        <v>0.0</v>
      </c>
      <c r="J16" s="57">
        <v>8.0</v>
      </c>
      <c r="K16" s="56">
        <v>0.0</v>
      </c>
      <c r="L16" s="57">
        <v>8.0</v>
      </c>
      <c r="M16" s="48">
        <f t="shared" si="1"/>
        <v>0</v>
      </c>
      <c r="N16" s="49">
        <f t="shared" si="2"/>
        <v>0</v>
      </c>
      <c r="O16" s="50">
        <f t="shared" si="3"/>
        <v>24</v>
      </c>
      <c r="P16" s="51">
        <f t="shared" si="4"/>
        <v>8</v>
      </c>
      <c r="Q16" s="52"/>
      <c r="R16" s="5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56">
        <v>1.0</v>
      </c>
      <c r="H17" s="57">
        <v>7.0</v>
      </c>
      <c r="I17" s="56">
        <v>1.0</v>
      </c>
      <c r="J17" s="57">
        <v>7.0</v>
      </c>
      <c r="K17" s="56">
        <v>1.0</v>
      </c>
      <c r="L17" s="57">
        <v>7.0</v>
      </c>
      <c r="M17" s="48">
        <f t="shared" si="1"/>
        <v>3</v>
      </c>
      <c r="N17" s="49">
        <f t="shared" si="2"/>
        <v>5</v>
      </c>
      <c r="O17" s="50">
        <f t="shared" si="3"/>
        <v>21</v>
      </c>
      <c r="P17" s="51">
        <f t="shared" si="4"/>
        <v>7</v>
      </c>
      <c r="Q17" s="52"/>
      <c r="R17" s="5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56">
        <v>0.0</v>
      </c>
      <c r="H18" s="57">
        <v>7.0</v>
      </c>
      <c r="I18" s="56">
        <v>0.0</v>
      </c>
      <c r="J18" s="57">
        <v>7.0</v>
      </c>
      <c r="K18" s="56">
        <v>0.0</v>
      </c>
      <c r="L18" s="57">
        <v>7.0</v>
      </c>
      <c r="M18" s="48">
        <f t="shared" si="1"/>
        <v>0</v>
      </c>
      <c r="N18" s="49">
        <f t="shared" si="2"/>
        <v>0</v>
      </c>
      <c r="O18" s="50">
        <f t="shared" si="3"/>
        <v>21</v>
      </c>
      <c r="P18" s="51">
        <f t="shared" si="4"/>
        <v>7</v>
      </c>
      <c r="Q18" s="52"/>
      <c r="R18" s="5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56">
        <v>0.0</v>
      </c>
      <c r="H19" s="57">
        <v>5.0</v>
      </c>
      <c r="I19" s="56">
        <v>0.0</v>
      </c>
      <c r="J19" s="57">
        <v>5.0</v>
      </c>
      <c r="K19" s="56">
        <v>0.0</v>
      </c>
      <c r="L19" s="57">
        <v>5.0</v>
      </c>
      <c r="M19" s="48">
        <f t="shared" si="1"/>
        <v>0</v>
      </c>
      <c r="N19" s="49">
        <f t="shared" si="2"/>
        <v>0</v>
      </c>
      <c r="O19" s="50">
        <f t="shared" si="3"/>
        <v>15</v>
      </c>
      <c r="P19" s="51">
        <f t="shared" si="4"/>
        <v>5</v>
      </c>
      <c r="Q19" s="52"/>
      <c r="R19" s="5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56">
        <v>3.0</v>
      </c>
      <c r="H20" s="57">
        <v>6.0</v>
      </c>
      <c r="I20" s="56">
        <v>3.0</v>
      </c>
      <c r="J20" s="57">
        <v>6.0</v>
      </c>
      <c r="K20" s="56">
        <v>3.0</v>
      </c>
      <c r="L20" s="57">
        <v>6.0</v>
      </c>
      <c r="M20" s="48">
        <f t="shared" si="1"/>
        <v>9</v>
      </c>
      <c r="N20" s="49">
        <f t="shared" si="2"/>
        <v>15</v>
      </c>
      <c r="O20" s="50">
        <f t="shared" si="3"/>
        <v>18</v>
      </c>
      <c r="P20" s="51">
        <f t="shared" si="4"/>
        <v>6</v>
      </c>
      <c r="Q20" s="52"/>
      <c r="R20" s="5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56">
        <v>0.0</v>
      </c>
      <c r="H21" s="57">
        <v>6.0</v>
      </c>
      <c r="I21" s="56">
        <v>0.0</v>
      </c>
      <c r="J21" s="57">
        <v>6.0</v>
      </c>
      <c r="K21" s="56">
        <v>0.0</v>
      </c>
      <c r="L21" s="57">
        <v>6.0</v>
      </c>
      <c r="M21" s="48">
        <f t="shared" si="1"/>
        <v>0</v>
      </c>
      <c r="N21" s="49">
        <f t="shared" si="2"/>
        <v>0</v>
      </c>
      <c r="O21" s="50">
        <f t="shared" si="3"/>
        <v>18</v>
      </c>
      <c r="P21" s="51">
        <f t="shared" si="4"/>
        <v>6</v>
      </c>
      <c r="Q21" s="52"/>
      <c r="R21" s="5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56">
        <v>1.0</v>
      </c>
      <c r="H22" s="57">
        <v>7.0</v>
      </c>
      <c r="I22" s="56">
        <v>1.0</v>
      </c>
      <c r="J22" s="57">
        <v>7.0</v>
      </c>
      <c r="K22" s="56">
        <v>1.0</v>
      </c>
      <c r="L22" s="57">
        <v>7.0</v>
      </c>
      <c r="M22" s="48">
        <f t="shared" si="1"/>
        <v>3</v>
      </c>
      <c r="N22" s="49">
        <f t="shared" si="2"/>
        <v>5</v>
      </c>
      <c r="O22" s="50">
        <f t="shared" si="3"/>
        <v>21</v>
      </c>
      <c r="P22" s="51">
        <f t="shared" si="4"/>
        <v>7</v>
      </c>
      <c r="Q22" s="52"/>
      <c r="R22" s="5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56">
        <v>0.0</v>
      </c>
      <c r="H23" s="57">
        <v>6.0</v>
      </c>
      <c r="I23" s="56">
        <v>0.0</v>
      </c>
      <c r="J23" s="57">
        <v>6.0</v>
      </c>
      <c r="K23" s="56">
        <v>0.0</v>
      </c>
      <c r="L23" s="57">
        <v>6.0</v>
      </c>
      <c r="M23" s="48">
        <f t="shared" si="1"/>
        <v>0</v>
      </c>
      <c r="N23" s="49">
        <f t="shared" si="2"/>
        <v>0</v>
      </c>
      <c r="O23" s="50">
        <f t="shared" si="3"/>
        <v>18</v>
      </c>
      <c r="P23" s="51">
        <f t="shared" si="4"/>
        <v>6</v>
      </c>
      <c r="Q23" s="52"/>
      <c r="R23" s="5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56">
        <v>0.0</v>
      </c>
      <c r="H24" s="57">
        <v>5.0</v>
      </c>
      <c r="I24" s="56">
        <v>0.0</v>
      </c>
      <c r="J24" s="57">
        <v>5.0</v>
      </c>
      <c r="K24" s="56">
        <v>0.0</v>
      </c>
      <c r="L24" s="57">
        <v>5.0</v>
      </c>
      <c r="M24" s="48">
        <f t="shared" si="1"/>
        <v>0</v>
      </c>
      <c r="N24" s="49">
        <f t="shared" si="2"/>
        <v>0</v>
      </c>
      <c r="O24" s="50">
        <f t="shared" si="3"/>
        <v>15</v>
      </c>
      <c r="P24" s="51">
        <f t="shared" si="4"/>
        <v>5</v>
      </c>
      <c r="Q24" s="52"/>
      <c r="R24" s="5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56">
        <v>1.0</v>
      </c>
      <c r="H25" s="57">
        <v>7.0</v>
      </c>
      <c r="I25" s="56">
        <v>1.0</v>
      </c>
      <c r="J25" s="57">
        <v>7.0</v>
      </c>
      <c r="K25" s="56">
        <v>1.0</v>
      </c>
      <c r="L25" s="57">
        <v>7.0</v>
      </c>
      <c r="M25" s="48">
        <f t="shared" si="1"/>
        <v>3</v>
      </c>
      <c r="N25" s="49">
        <f t="shared" si="2"/>
        <v>5</v>
      </c>
      <c r="O25" s="50">
        <f t="shared" si="3"/>
        <v>21</v>
      </c>
      <c r="P25" s="51">
        <f t="shared" si="4"/>
        <v>7</v>
      </c>
      <c r="Q25" s="52"/>
      <c r="R25" s="5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56">
        <v>0.0</v>
      </c>
      <c r="H26" s="57">
        <v>7.0</v>
      </c>
      <c r="I26" s="56">
        <v>0.0</v>
      </c>
      <c r="J26" s="57">
        <v>7.0</v>
      </c>
      <c r="K26" s="56">
        <v>0.0</v>
      </c>
      <c r="L26" s="57">
        <v>7.0</v>
      </c>
      <c r="M26" s="48">
        <f t="shared" si="1"/>
        <v>0</v>
      </c>
      <c r="N26" s="49">
        <f t="shared" si="2"/>
        <v>0</v>
      </c>
      <c r="O26" s="50">
        <f t="shared" si="3"/>
        <v>21</v>
      </c>
      <c r="P26" s="51">
        <f t="shared" si="4"/>
        <v>7</v>
      </c>
      <c r="Q26" s="52"/>
      <c r="R26" s="5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56">
        <v>0.0</v>
      </c>
      <c r="H27" s="57">
        <v>7.0</v>
      </c>
      <c r="I27" s="56">
        <v>0.0</v>
      </c>
      <c r="J27" s="57">
        <v>7.0</v>
      </c>
      <c r="K27" s="56">
        <v>0.0</v>
      </c>
      <c r="L27" s="57">
        <v>7.0</v>
      </c>
      <c r="M27" s="48">
        <f t="shared" si="1"/>
        <v>0</v>
      </c>
      <c r="N27" s="49">
        <f t="shared" si="2"/>
        <v>0</v>
      </c>
      <c r="O27" s="50">
        <f t="shared" si="3"/>
        <v>21</v>
      </c>
      <c r="P27" s="51">
        <f t="shared" si="4"/>
        <v>7</v>
      </c>
      <c r="Q27" s="52"/>
      <c r="R27" s="5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56">
        <v>2.0</v>
      </c>
      <c r="H28" s="57">
        <v>8.0</v>
      </c>
      <c r="I28" s="56">
        <v>2.0</v>
      </c>
      <c r="J28" s="57">
        <v>8.0</v>
      </c>
      <c r="K28" s="56">
        <v>2.0</v>
      </c>
      <c r="L28" s="57">
        <v>8.0</v>
      </c>
      <c r="M28" s="48">
        <f t="shared" si="1"/>
        <v>6</v>
      </c>
      <c r="N28" s="49">
        <f t="shared" si="2"/>
        <v>10</v>
      </c>
      <c r="O28" s="50">
        <f t="shared" si="3"/>
        <v>24</v>
      </c>
      <c r="P28" s="51">
        <f t="shared" si="4"/>
        <v>8</v>
      </c>
      <c r="Q28" s="52"/>
      <c r="R28" s="5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56">
        <v>0.0</v>
      </c>
      <c r="H29" s="57">
        <v>6.0</v>
      </c>
      <c r="I29" s="56">
        <v>0.0</v>
      </c>
      <c r="J29" s="57">
        <v>6.0</v>
      </c>
      <c r="K29" s="56">
        <v>0.0</v>
      </c>
      <c r="L29" s="57">
        <v>6.0</v>
      </c>
      <c r="M29" s="48">
        <f t="shared" si="1"/>
        <v>0</v>
      </c>
      <c r="N29" s="49">
        <f t="shared" si="2"/>
        <v>0</v>
      </c>
      <c r="O29" s="50">
        <f t="shared" si="3"/>
        <v>18</v>
      </c>
      <c r="P29" s="51">
        <f t="shared" si="4"/>
        <v>6</v>
      </c>
      <c r="Q29" s="52"/>
      <c r="R29" s="5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56">
        <v>1.0</v>
      </c>
      <c r="H30" s="57">
        <v>7.0</v>
      </c>
      <c r="I30" s="56">
        <v>1.0</v>
      </c>
      <c r="J30" s="57">
        <v>7.0</v>
      </c>
      <c r="K30" s="56">
        <v>1.0</v>
      </c>
      <c r="L30" s="57">
        <v>7.0</v>
      </c>
      <c r="M30" s="48">
        <f t="shared" si="1"/>
        <v>3</v>
      </c>
      <c r="N30" s="49">
        <f t="shared" si="2"/>
        <v>5</v>
      </c>
      <c r="O30" s="50">
        <f t="shared" si="3"/>
        <v>21</v>
      </c>
      <c r="P30" s="51">
        <f t="shared" si="4"/>
        <v>7</v>
      </c>
      <c r="Q30" s="52"/>
      <c r="R30" s="5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56">
        <v>0.0</v>
      </c>
      <c r="H31" s="57">
        <v>7.0</v>
      </c>
      <c r="I31" s="56">
        <v>0.0</v>
      </c>
      <c r="J31" s="57">
        <v>7.0</v>
      </c>
      <c r="K31" s="56">
        <v>0.0</v>
      </c>
      <c r="L31" s="57">
        <v>7.0</v>
      </c>
      <c r="M31" s="48">
        <f t="shared" si="1"/>
        <v>0</v>
      </c>
      <c r="N31" s="49">
        <f t="shared" si="2"/>
        <v>0</v>
      </c>
      <c r="O31" s="50">
        <f t="shared" si="3"/>
        <v>21</v>
      </c>
      <c r="P31" s="51">
        <f t="shared" si="4"/>
        <v>7</v>
      </c>
      <c r="Q31" s="52"/>
      <c r="R31" s="5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56">
        <v>0.0</v>
      </c>
      <c r="H32" s="57">
        <v>6.0</v>
      </c>
      <c r="I32" s="56">
        <v>0.0</v>
      </c>
      <c r="J32" s="57">
        <v>6.0</v>
      </c>
      <c r="K32" s="56">
        <v>0.0</v>
      </c>
      <c r="L32" s="57">
        <v>6.0</v>
      </c>
      <c r="M32" s="48">
        <f t="shared" si="1"/>
        <v>0</v>
      </c>
      <c r="N32" s="49">
        <f t="shared" si="2"/>
        <v>0</v>
      </c>
      <c r="O32" s="50">
        <f t="shared" si="3"/>
        <v>18</v>
      </c>
      <c r="P32" s="51">
        <f t="shared" si="4"/>
        <v>6</v>
      </c>
      <c r="Q32" s="52"/>
      <c r="R32" s="5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56">
        <v>1.0</v>
      </c>
      <c r="H33" s="57">
        <v>6.0</v>
      </c>
      <c r="I33" s="56">
        <v>1.0</v>
      </c>
      <c r="J33" s="57">
        <v>6.0</v>
      </c>
      <c r="K33" s="56">
        <v>1.0</v>
      </c>
      <c r="L33" s="57">
        <v>6.0</v>
      </c>
      <c r="M33" s="48">
        <f t="shared" si="1"/>
        <v>3</v>
      </c>
      <c r="N33" s="49">
        <f t="shared" si="2"/>
        <v>5</v>
      </c>
      <c r="O33" s="50">
        <f t="shared" si="3"/>
        <v>18</v>
      </c>
      <c r="P33" s="51">
        <f t="shared" si="4"/>
        <v>6</v>
      </c>
      <c r="Q33" s="52"/>
      <c r="R33" s="5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56">
        <v>0.0</v>
      </c>
      <c r="H34" s="57">
        <v>8.0</v>
      </c>
      <c r="I34" s="56">
        <v>0.0</v>
      </c>
      <c r="J34" s="57">
        <v>8.0</v>
      </c>
      <c r="K34" s="56">
        <v>0.0</v>
      </c>
      <c r="L34" s="57">
        <v>8.0</v>
      </c>
      <c r="M34" s="48">
        <f t="shared" si="1"/>
        <v>0</v>
      </c>
      <c r="N34" s="49">
        <f t="shared" si="2"/>
        <v>0</v>
      </c>
      <c r="O34" s="50">
        <f t="shared" si="3"/>
        <v>24</v>
      </c>
      <c r="P34" s="51">
        <f t="shared" si="4"/>
        <v>8</v>
      </c>
      <c r="Q34" s="52"/>
      <c r="R34" s="5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56">
        <v>0.0</v>
      </c>
      <c r="H35" s="57">
        <v>7.0</v>
      </c>
      <c r="I35" s="56">
        <v>0.0</v>
      </c>
      <c r="J35" s="57">
        <v>7.0</v>
      </c>
      <c r="K35" s="56">
        <v>0.0</v>
      </c>
      <c r="L35" s="57">
        <v>7.0</v>
      </c>
      <c r="M35" s="48">
        <f t="shared" si="1"/>
        <v>0</v>
      </c>
      <c r="N35" s="49">
        <f t="shared" si="2"/>
        <v>0</v>
      </c>
      <c r="O35" s="50">
        <f t="shared" si="3"/>
        <v>21</v>
      </c>
      <c r="P35" s="51">
        <f t="shared" si="4"/>
        <v>7</v>
      </c>
      <c r="Q35" s="52"/>
      <c r="R35" s="53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56">
        <v>0.0</v>
      </c>
      <c r="H36" s="59">
        <v>7.0</v>
      </c>
      <c r="I36" s="56">
        <v>0.0</v>
      </c>
      <c r="J36" s="59">
        <v>7.0</v>
      </c>
      <c r="K36" s="56">
        <v>0.0</v>
      </c>
      <c r="L36" s="59">
        <v>7.0</v>
      </c>
      <c r="M36" s="48">
        <f t="shared" si="1"/>
        <v>0</v>
      </c>
      <c r="N36" s="49">
        <f t="shared" si="2"/>
        <v>0</v>
      </c>
      <c r="O36" s="50">
        <f t="shared" si="3"/>
        <v>21</v>
      </c>
      <c r="P36" s="51">
        <f t="shared" si="4"/>
        <v>7</v>
      </c>
      <c r="Q36" s="52"/>
      <c r="R36" s="5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56">
        <v>0.0</v>
      </c>
      <c r="H37" s="57">
        <v>7.0</v>
      </c>
      <c r="I37" s="56">
        <v>0.0</v>
      </c>
      <c r="J37" s="57">
        <v>7.0</v>
      </c>
      <c r="K37" s="56">
        <v>0.0</v>
      </c>
      <c r="L37" s="57">
        <v>7.0</v>
      </c>
      <c r="M37" s="48">
        <f t="shared" si="1"/>
        <v>0</v>
      </c>
      <c r="N37" s="49">
        <f t="shared" si="2"/>
        <v>0</v>
      </c>
      <c r="O37" s="50">
        <f t="shared" si="3"/>
        <v>21</v>
      </c>
      <c r="P37" s="51">
        <f t="shared" si="4"/>
        <v>7</v>
      </c>
      <c r="Q37" s="52"/>
      <c r="R37" s="5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56">
        <v>0.0</v>
      </c>
      <c r="H38" s="57">
        <v>7.0</v>
      </c>
      <c r="I38" s="56">
        <v>0.0</v>
      </c>
      <c r="J38" s="57">
        <v>7.0</v>
      </c>
      <c r="K38" s="56">
        <v>0.0</v>
      </c>
      <c r="L38" s="57">
        <v>7.0</v>
      </c>
      <c r="M38" s="48">
        <f t="shared" si="1"/>
        <v>0</v>
      </c>
      <c r="N38" s="49">
        <f t="shared" si="2"/>
        <v>0</v>
      </c>
      <c r="O38" s="50">
        <f t="shared" si="3"/>
        <v>21</v>
      </c>
      <c r="P38" s="51">
        <f t="shared" si="4"/>
        <v>7</v>
      </c>
      <c r="Q38" s="52"/>
      <c r="R38" s="5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56">
        <v>1.0</v>
      </c>
      <c r="H39" s="57">
        <v>7.0</v>
      </c>
      <c r="I39" s="56">
        <v>1.0</v>
      </c>
      <c r="J39" s="57">
        <v>7.0</v>
      </c>
      <c r="K39" s="56">
        <v>1.0</v>
      </c>
      <c r="L39" s="57">
        <v>7.0</v>
      </c>
      <c r="M39" s="48">
        <f t="shared" si="1"/>
        <v>3</v>
      </c>
      <c r="N39" s="49">
        <f t="shared" si="2"/>
        <v>5</v>
      </c>
      <c r="O39" s="50">
        <f t="shared" si="3"/>
        <v>21</v>
      </c>
      <c r="P39" s="51">
        <f t="shared" si="4"/>
        <v>7</v>
      </c>
      <c r="Q39" s="52"/>
      <c r="R39" s="5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56">
        <v>3.0</v>
      </c>
      <c r="H40" s="57">
        <v>7.0</v>
      </c>
      <c r="I40" s="56">
        <v>3.0</v>
      </c>
      <c r="J40" s="57">
        <v>7.0</v>
      </c>
      <c r="K40" s="56">
        <v>3.0</v>
      </c>
      <c r="L40" s="57">
        <v>7.0</v>
      </c>
      <c r="M40" s="48">
        <f t="shared" si="1"/>
        <v>9</v>
      </c>
      <c r="N40" s="49">
        <f t="shared" si="2"/>
        <v>15</v>
      </c>
      <c r="O40" s="50">
        <f t="shared" si="3"/>
        <v>21</v>
      </c>
      <c r="P40" s="51">
        <f t="shared" si="4"/>
        <v>7</v>
      </c>
      <c r="Q40" s="52"/>
      <c r="R40" s="5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56">
        <v>3.0</v>
      </c>
      <c r="H41" s="57">
        <v>6.0</v>
      </c>
      <c r="I41" s="56">
        <v>3.0</v>
      </c>
      <c r="J41" s="57">
        <v>6.0</v>
      </c>
      <c r="K41" s="56">
        <v>3.0</v>
      </c>
      <c r="L41" s="57">
        <v>6.0</v>
      </c>
      <c r="M41" s="48">
        <f t="shared" si="1"/>
        <v>9</v>
      </c>
      <c r="N41" s="49">
        <f t="shared" si="2"/>
        <v>15</v>
      </c>
      <c r="O41" s="50">
        <f t="shared" si="3"/>
        <v>18</v>
      </c>
      <c r="P41" s="51">
        <f t="shared" si="4"/>
        <v>6</v>
      </c>
      <c r="Q41" s="52"/>
      <c r="R41" s="5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56">
        <v>0.0</v>
      </c>
      <c r="H42" s="57">
        <v>6.0</v>
      </c>
      <c r="I42" s="56">
        <v>0.0</v>
      </c>
      <c r="J42" s="57">
        <v>6.0</v>
      </c>
      <c r="K42" s="56">
        <v>0.0</v>
      </c>
      <c r="L42" s="57">
        <v>6.0</v>
      </c>
      <c r="M42" s="48">
        <f t="shared" si="1"/>
        <v>0</v>
      </c>
      <c r="N42" s="49">
        <f t="shared" si="2"/>
        <v>0</v>
      </c>
      <c r="O42" s="50">
        <f t="shared" si="3"/>
        <v>18</v>
      </c>
      <c r="P42" s="51">
        <f t="shared" si="4"/>
        <v>6</v>
      </c>
      <c r="Q42" s="52"/>
      <c r="R42" s="5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56">
        <v>4.0</v>
      </c>
      <c r="H43" s="57">
        <v>6.0</v>
      </c>
      <c r="I43" s="56">
        <v>4.0</v>
      </c>
      <c r="J43" s="57">
        <v>6.0</v>
      </c>
      <c r="K43" s="56">
        <v>4.0</v>
      </c>
      <c r="L43" s="57">
        <v>6.0</v>
      </c>
      <c r="M43" s="48">
        <f t="shared" si="1"/>
        <v>12</v>
      </c>
      <c r="N43" s="49">
        <f t="shared" si="2"/>
        <v>20</v>
      </c>
      <c r="O43" s="50">
        <f t="shared" si="3"/>
        <v>18</v>
      </c>
      <c r="P43" s="51">
        <f t="shared" si="4"/>
        <v>6</v>
      </c>
      <c r="Q43" s="52"/>
      <c r="R43" s="5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56">
        <v>0.0</v>
      </c>
      <c r="H44" s="57">
        <v>6.0</v>
      </c>
      <c r="I44" s="56">
        <v>0.0</v>
      </c>
      <c r="J44" s="57">
        <v>6.0</v>
      </c>
      <c r="K44" s="56">
        <v>0.0</v>
      </c>
      <c r="L44" s="57">
        <v>6.0</v>
      </c>
      <c r="M44" s="48">
        <f t="shared" si="1"/>
        <v>0</v>
      </c>
      <c r="N44" s="49">
        <f t="shared" si="2"/>
        <v>0</v>
      </c>
      <c r="O44" s="50">
        <f t="shared" si="3"/>
        <v>18</v>
      </c>
      <c r="P44" s="51">
        <f t="shared" si="4"/>
        <v>6</v>
      </c>
      <c r="Q44" s="52"/>
      <c r="R44" s="5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63"/>
      <c r="G45" s="56">
        <v>3.0</v>
      </c>
      <c r="H45" s="59">
        <v>6.0</v>
      </c>
      <c r="I45" s="56">
        <v>3.0</v>
      </c>
      <c r="J45" s="59">
        <v>6.0</v>
      </c>
      <c r="K45" s="56">
        <v>3.0</v>
      </c>
      <c r="L45" s="59">
        <v>6.0</v>
      </c>
      <c r="M45" s="48">
        <f t="shared" si="1"/>
        <v>9</v>
      </c>
      <c r="N45" s="49">
        <f t="shared" si="2"/>
        <v>15</v>
      </c>
      <c r="O45" s="50">
        <f t="shared" si="3"/>
        <v>18</v>
      </c>
      <c r="P45" s="51">
        <f t="shared" si="4"/>
        <v>6</v>
      </c>
      <c r="Q45" s="52"/>
      <c r="R45" s="53" t="str">
        <f t="shared" si="5"/>
        <v>ORD</v>
      </c>
      <c r="S45" s="64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56">
        <v>0.0</v>
      </c>
      <c r="H46" s="57">
        <v>6.0</v>
      </c>
      <c r="I46" s="56">
        <v>0.0</v>
      </c>
      <c r="J46" s="57">
        <v>6.0</v>
      </c>
      <c r="K46" s="56">
        <v>0.0</v>
      </c>
      <c r="L46" s="57">
        <v>6.0</v>
      </c>
      <c r="M46" s="48">
        <f t="shared" si="1"/>
        <v>0</v>
      </c>
      <c r="N46" s="49">
        <f t="shared" si="2"/>
        <v>0</v>
      </c>
      <c r="O46" s="50">
        <f t="shared" si="3"/>
        <v>18</v>
      </c>
      <c r="P46" s="51">
        <f t="shared" si="4"/>
        <v>6</v>
      </c>
      <c r="Q46" s="52"/>
      <c r="R46" s="5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56">
        <v>1.0</v>
      </c>
      <c r="H47" s="57">
        <v>8.0</v>
      </c>
      <c r="I47" s="56">
        <v>1.0</v>
      </c>
      <c r="J47" s="57">
        <v>8.0</v>
      </c>
      <c r="K47" s="56">
        <v>1.0</v>
      </c>
      <c r="L47" s="57">
        <v>8.0</v>
      </c>
      <c r="M47" s="48">
        <f t="shared" si="1"/>
        <v>3</v>
      </c>
      <c r="N47" s="49">
        <f t="shared" si="2"/>
        <v>5</v>
      </c>
      <c r="O47" s="50">
        <f t="shared" si="3"/>
        <v>24</v>
      </c>
      <c r="P47" s="51">
        <f t="shared" si="4"/>
        <v>8</v>
      </c>
      <c r="Q47" s="52"/>
      <c r="R47" s="5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56">
        <v>1.0</v>
      </c>
      <c r="H48" s="57">
        <v>8.0</v>
      </c>
      <c r="I48" s="56">
        <v>1.0</v>
      </c>
      <c r="J48" s="57">
        <v>8.0</v>
      </c>
      <c r="K48" s="56">
        <v>1.0</v>
      </c>
      <c r="L48" s="57">
        <v>8.0</v>
      </c>
      <c r="M48" s="48">
        <f t="shared" si="1"/>
        <v>3</v>
      </c>
      <c r="N48" s="49">
        <f t="shared" si="2"/>
        <v>5</v>
      </c>
      <c r="O48" s="50">
        <f t="shared" si="3"/>
        <v>24</v>
      </c>
      <c r="P48" s="51">
        <f t="shared" si="4"/>
        <v>8</v>
      </c>
      <c r="Q48" s="52"/>
      <c r="R48" s="5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56">
        <v>1.0</v>
      </c>
      <c r="H49" s="57">
        <v>8.0</v>
      </c>
      <c r="I49" s="56">
        <v>1.0</v>
      </c>
      <c r="J49" s="57">
        <v>8.0</v>
      </c>
      <c r="K49" s="56">
        <v>1.0</v>
      </c>
      <c r="L49" s="57">
        <v>8.0</v>
      </c>
      <c r="M49" s="48">
        <f t="shared" si="1"/>
        <v>3</v>
      </c>
      <c r="N49" s="49">
        <f t="shared" si="2"/>
        <v>5</v>
      </c>
      <c r="O49" s="50">
        <f t="shared" si="3"/>
        <v>24</v>
      </c>
      <c r="P49" s="51">
        <f t="shared" si="4"/>
        <v>8</v>
      </c>
      <c r="Q49" s="52"/>
      <c r="R49" s="5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56">
        <v>0.0</v>
      </c>
      <c r="H50" s="57">
        <v>8.0</v>
      </c>
      <c r="I50" s="56">
        <v>0.0</v>
      </c>
      <c r="J50" s="57">
        <v>8.0</v>
      </c>
      <c r="K50" s="56">
        <v>0.0</v>
      </c>
      <c r="L50" s="57">
        <v>8.0</v>
      </c>
      <c r="M50" s="48">
        <f t="shared" si="1"/>
        <v>0</v>
      </c>
      <c r="N50" s="49">
        <f t="shared" si="2"/>
        <v>0</v>
      </c>
      <c r="O50" s="50">
        <f t="shared" si="3"/>
        <v>24</v>
      </c>
      <c r="P50" s="51">
        <f t="shared" si="4"/>
        <v>8</v>
      </c>
      <c r="Q50" s="52"/>
      <c r="R50" s="5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56">
        <v>3.0</v>
      </c>
      <c r="H51" s="57">
        <v>7.0</v>
      </c>
      <c r="I51" s="56">
        <v>3.0</v>
      </c>
      <c r="J51" s="57">
        <v>7.0</v>
      </c>
      <c r="K51" s="56">
        <v>3.0</v>
      </c>
      <c r="L51" s="57">
        <v>7.0</v>
      </c>
      <c r="M51" s="48">
        <f t="shared" si="1"/>
        <v>9</v>
      </c>
      <c r="N51" s="49">
        <f t="shared" si="2"/>
        <v>15</v>
      </c>
      <c r="O51" s="50">
        <f t="shared" si="3"/>
        <v>21</v>
      </c>
      <c r="P51" s="51">
        <f t="shared" si="4"/>
        <v>7</v>
      </c>
      <c r="Q51" s="52"/>
      <c r="R51" s="5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56">
        <v>0.0</v>
      </c>
      <c r="H52" s="57">
        <v>8.0</v>
      </c>
      <c r="I52" s="56">
        <v>0.0</v>
      </c>
      <c r="J52" s="57">
        <v>8.0</v>
      </c>
      <c r="K52" s="56">
        <v>0.0</v>
      </c>
      <c r="L52" s="57">
        <v>8.0</v>
      </c>
      <c r="M52" s="48">
        <f t="shared" si="1"/>
        <v>0</v>
      </c>
      <c r="N52" s="49">
        <f t="shared" si="2"/>
        <v>0</v>
      </c>
      <c r="O52" s="50">
        <f t="shared" si="3"/>
        <v>24</v>
      </c>
      <c r="P52" s="51">
        <f t="shared" si="4"/>
        <v>8</v>
      </c>
      <c r="Q52" s="52"/>
      <c r="R52" s="5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56">
        <v>3.0</v>
      </c>
      <c r="H53" s="57">
        <v>8.0</v>
      </c>
      <c r="I53" s="56">
        <v>3.0</v>
      </c>
      <c r="J53" s="57">
        <v>8.0</v>
      </c>
      <c r="K53" s="56">
        <v>3.0</v>
      </c>
      <c r="L53" s="57">
        <v>8.0</v>
      </c>
      <c r="M53" s="48">
        <f t="shared" si="1"/>
        <v>9</v>
      </c>
      <c r="N53" s="49">
        <f t="shared" si="2"/>
        <v>15</v>
      </c>
      <c r="O53" s="50">
        <f t="shared" si="3"/>
        <v>24</v>
      </c>
      <c r="P53" s="51">
        <f t="shared" si="4"/>
        <v>8</v>
      </c>
      <c r="Q53" s="52"/>
      <c r="R53" s="5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56">
        <v>2.0</v>
      </c>
      <c r="H54" s="57">
        <v>8.0</v>
      </c>
      <c r="I54" s="56">
        <v>2.0</v>
      </c>
      <c r="J54" s="57">
        <v>8.0</v>
      </c>
      <c r="K54" s="56">
        <v>2.0</v>
      </c>
      <c r="L54" s="57">
        <v>8.0</v>
      </c>
      <c r="M54" s="48">
        <f t="shared" si="1"/>
        <v>6</v>
      </c>
      <c r="N54" s="49">
        <f t="shared" si="2"/>
        <v>10</v>
      </c>
      <c r="O54" s="50">
        <f t="shared" si="3"/>
        <v>24</v>
      </c>
      <c r="P54" s="51">
        <f t="shared" si="4"/>
        <v>8</v>
      </c>
      <c r="Q54" s="52"/>
      <c r="R54" s="5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56">
        <v>1.0</v>
      </c>
      <c r="H55" s="57">
        <v>8.0</v>
      </c>
      <c r="I55" s="56">
        <v>1.0</v>
      </c>
      <c r="J55" s="57">
        <v>8.0</v>
      </c>
      <c r="K55" s="56">
        <v>1.0</v>
      </c>
      <c r="L55" s="57">
        <v>8.0</v>
      </c>
      <c r="M55" s="48">
        <f t="shared" si="1"/>
        <v>3</v>
      </c>
      <c r="N55" s="49">
        <f t="shared" si="2"/>
        <v>5</v>
      </c>
      <c r="O55" s="50">
        <f t="shared" si="3"/>
        <v>24</v>
      </c>
      <c r="P55" s="51">
        <f t="shared" si="4"/>
        <v>8</v>
      </c>
      <c r="Q55" s="52"/>
      <c r="R55" s="5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56">
        <v>8.0</v>
      </c>
      <c r="H56" s="57">
        <v>8.0</v>
      </c>
      <c r="I56" s="56">
        <v>8.0</v>
      </c>
      <c r="J56" s="57">
        <v>8.0</v>
      </c>
      <c r="K56" s="56">
        <v>8.0</v>
      </c>
      <c r="L56" s="57">
        <v>8.0</v>
      </c>
      <c r="M56" s="48">
        <f t="shared" si="1"/>
        <v>24</v>
      </c>
      <c r="N56" s="49">
        <f t="shared" si="2"/>
        <v>40</v>
      </c>
      <c r="O56" s="50">
        <f t="shared" si="3"/>
        <v>24</v>
      </c>
      <c r="P56" s="51">
        <f t="shared" si="4"/>
        <v>8</v>
      </c>
      <c r="Q56" s="52"/>
      <c r="R56" s="53" t="str">
        <f t="shared" si="5"/>
        <v>EXTRA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56">
        <v>1.0</v>
      </c>
      <c r="H57" s="57">
        <v>8.0</v>
      </c>
      <c r="I57" s="56">
        <v>1.0</v>
      </c>
      <c r="J57" s="57">
        <v>8.0</v>
      </c>
      <c r="K57" s="56">
        <v>1.0</v>
      </c>
      <c r="L57" s="57">
        <v>8.0</v>
      </c>
      <c r="M57" s="48">
        <f t="shared" si="1"/>
        <v>3</v>
      </c>
      <c r="N57" s="49">
        <f t="shared" si="2"/>
        <v>5</v>
      </c>
      <c r="O57" s="50">
        <f t="shared" si="3"/>
        <v>24</v>
      </c>
      <c r="P57" s="51">
        <f t="shared" si="4"/>
        <v>8</v>
      </c>
      <c r="Q57" s="52"/>
      <c r="R57" s="5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56">
        <v>1.0</v>
      </c>
      <c r="H58" s="57">
        <v>8.0</v>
      </c>
      <c r="I58" s="56">
        <v>1.0</v>
      </c>
      <c r="J58" s="57">
        <v>8.0</v>
      </c>
      <c r="K58" s="56">
        <v>1.0</v>
      </c>
      <c r="L58" s="57">
        <v>8.0</v>
      </c>
      <c r="M58" s="48">
        <f t="shared" si="1"/>
        <v>3</v>
      </c>
      <c r="N58" s="49">
        <f t="shared" si="2"/>
        <v>5</v>
      </c>
      <c r="O58" s="50">
        <f t="shared" si="3"/>
        <v>24</v>
      </c>
      <c r="P58" s="51">
        <f t="shared" si="4"/>
        <v>8</v>
      </c>
      <c r="Q58" s="52"/>
      <c r="R58" s="5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56">
        <v>0.0</v>
      </c>
      <c r="H59" s="57">
        <v>8.0</v>
      </c>
      <c r="I59" s="56">
        <v>0.0</v>
      </c>
      <c r="J59" s="57">
        <v>8.0</v>
      </c>
      <c r="K59" s="56">
        <v>0.0</v>
      </c>
      <c r="L59" s="57">
        <v>8.0</v>
      </c>
      <c r="M59" s="48">
        <f t="shared" si="1"/>
        <v>0</v>
      </c>
      <c r="N59" s="49">
        <f t="shared" si="2"/>
        <v>0</v>
      </c>
      <c r="O59" s="50">
        <f t="shared" si="3"/>
        <v>24</v>
      </c>
      <c r="P59" s="51">
        <f t="shared" si="4"/>
        <v>8</v>
      </c>
      <c r="Q59" s="52"/>
      <c r="R59" s="5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56">
        <v>0.0</v>
      </c>
      <c r="H60" s="57">
        <v>8.0</v>
      </c>
      <c r="I60" s="56">
        <v>0.0</v>
      </c>
      <c r="J60" s="57">
        <v>8.0</v>
      </c>
      <c r="K60" s="56">
        <v>0.0</v>
      </c>
      <c r="L60" s="57">
        <v>8.0</v>
      </c>
      <c r="M60" s="48">
        <f t="shared" si="1"/>
        <v>0</v>
      </c>
      <c r="N60" s="49">
        <f t="shared" si="2"/>
        <v>0</v>
      </c>
      <c r="O60" s="50">
        <f t="shared" si="3"/>
        <v>24</v>
      </c>
      <c r="P60" s="51">
        <f t="shared" si="4"/>
        <v>8</v>
      </c>
      <c r="Q60" s="52"/>
      <c r="R60" s="5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56">
        <v>0.0</v>
      </c>
      <c r="H61" s="57">
        <v>8.0</v>
      </c>
      <c r="I61" s="56">
        <v>0.0</v>
      </c>
      <c r="J61" s="57">
        <v>8.0</v>
      </c>
      <c r="K61" s="56">
        <v>0.0</v>
      </c>
      <c r="L61" s="57">
        <v>8.0</v>
      </c>
      <c r="M61" s="48">
        <f t="shared" si="1"/>
        <v>0</v>
      </c>
      <c r="N61" s="49">
        <f t="shared" si="2"/>
        <v>0</v>
      </c>
      <c r="O61" s="50">
        <f t="shared" si="3"/>
        <v>24</v>
      </c>
      <c r="P61" s="51">
        <f t="shared" si="4"/>
        <v>8</v>
      </c>
      <c r="Q61" s="52"/>
      <c r="R61" s="5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56">
        <v>0.0</v>
      </c>
      <c r="H62" s="57">
        <v>8.0</v>
      </c>
      <c r="I62" s="56">
        <v>0.0</v>
      </c>
      <c r="J62" s="57">
        <v>8.0</v>
      </c>
      <c r="K62" s="56">
        <v>0.0</v>
      </c>
      <c r="L62" s="57">
        <v>8.0</v>
      </c>
      <c r="M62" s="48">
        <f t="shared" si="1"/>
        <v>0</v>
      </c>
      <c r="N62" s="67">
        <f t="shared" si="2"/>
        <v>0</v>
      </c>
      <c r="O62" s="50">
        <f t="shared" si="3"/>
        <v>24</v>
      </c>
      <c r="P62" s="51">
        <f t="shared" si="4"/>
        <v>8</v>
      </c>
      <c r="Q62" s="52"/>
      <c r="R62" s="5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56">
        <v>0.0</v>
      </c>
      <c r="H63" s="57">
        <v>8.0</v>
      </c>
      <c r="I63" s="56">
        <v>0.0</v>
      </c>
      <c r="J63" s="57">
        <v>8.0</v>
      </c>
      <c r="K63" s="56">
        <v>0.0</v>
      </c>
      <c r="L63" s="57">
        <v>8.0</v>
      </c>
      <c r="M63" s="48">
        <f t="shared" si="1"/>
        <v>0</v>
      </c>
      <c r="N63" s="68">
        <f t="shared" si="2"/>
        <v>0</v>
      </c>
      <c r="O63" s="50">
        <f t="shared" si="3"/>
        <v>24</v>
      </c>
      <c r="P63" s="51">
        <f t="shared" si="4"/>
        <v>8</v>
      </c>
      <c r="Q63" s="52"/>
      <c r="R63" s="5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69">
        <v>1.0</v>
      </c>
      <c r="H64" s="70">
        <v>7.0</v>
      </c>
      <c r="I64" s="69">
        <v>1.0</v>
      </c>
      <c r="J64" s="70">
        <v>7.0</v>
      </c>
      <c r="K64" s="69">
        <v>1.0</v>
      </c>
      <c r="L64" s="70">
        <v>7.0</v>
      </c>
      <c r="M64" s="48">
        <f t="shared" si="1"/>
        <v>3</v>
      </c>
      <c r="N64" s="68">
        <f t="shared" si="2"/>
        <v>5</v>
      </c>
      <c r="O64" s="50">
        <f t="shared" si="3"/>
        <v>21</v>
      </c>
      <c r="P64" s="51">
        <f t="shared" si="4"/>
        <v>7</v>
      </c>
      <c r="Q64" s="52"/>
      <c r="R64" s="53" t="str">
        <f t="shared" si="5"/>
        <v>ORD</v>
      </c>
    </row>
    <row r="65" ht="13.5" customHeight="1">
      <c r="E65" s="71" t="s">
        <v>169</v>
      </c>
      <c r="F65" s="1"/>
      <c r="G65" s="72">
        <f>SUM(G12:G64)</f>
        <v>53</v>
      </c>
      <c r="H65" s="73">
        <f>AVERAGE(H12:H64)</f>
        <v>7.113207547</v>
      </c>
      <c r="I65" s="72">
        <f>SUM(I12:I64)</f>
        <v>62</v>
      </c>
      <c r="J65" s="74">
        <f>AVERAGE(J12:J64)</f>
        <v>7.113207547</v>
      </c>
      <c r="K65" s="72">
        <f>SUM(K12:K64)</f>
        <v>54</v>
      </c>
      <c r="L65" s="74">
        <f>AVERAGE(L12:L64)</f>
        <v>7.113207547</v>
      </c>
      <c r="M65" s="75">
        <f>SUM(M12:M64)</f>
        <v>169</v>
      </c>
      <c r="N65" s="76" t="s">
        <v>170</v>
      </c>
      <c r="O65" s="77"/>
      <c r="P65" s="78">
        <f>AVERAGE(P6:P64)</f>
        <v>8.107142857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51</v>
      </c>
      <c r="I66" s="82"/>
      <c r="J66" s="83">
        <f>COUNTIF(J12:J64,"&gt;5")</f>
        <v>51</v>
      </c>
      <c r="K66" s="82"/>
      <c r="L66" s="83">
        <f>COUNTIF(L12:L64,"&gt;5")</f>
        <v>51</v>
      </c>
      <c r="N66" s="84" t="s">
        <v>172</v>
      </c>
      <c r="O66" s="77"/>
      <c r="P66" s="85">
        <f>COUNTIF(P12:P64,"&gt;5")</f>
        <v>51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2</v>
      </c>
      <c r="I67" s="88"/>
      <c r="J67" s="89">
        <f>COUNTIF(J12:J64,5)</f>
        <v>2</v>
      </c>
      <c r="K67" s="88"/>
      <c r="L67" s="89">
        <f>COUNTIF(L12:L64,5)</f>
        <v>2</v>
      </c>
      <c r="N67" s="90" t="s">
        <v>174</v>
      </c>
      <c r="O67" s="77"/>
      <c r="P67" s="91">
        <f>COUNTIF(P12:P64,5)</f>
        <v>2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96.22641509</v>
      </c>
      <c r="I68" s="93"/>
      <c r="J68" s="94">
        <f>J66*100/H9</f>
        <v>96.22641509</v>
      </c>
      <c r="K68" s="93"/>
      <c r="L68" s="94">
        <f>L66*100/H9</f>
        <v>96.22641509</v>
      </c>
      <c r="N68" s="95" t="s">
        <v>176</v>
      </c>
      <c r="O68" s="96"/>
      <c r="P68" s="97">
        <f>P66*100/H9</f>
        <v>96.22641509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5.314465409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94.68553459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J12:J64 L12:L64">
    <cfRule type="cellIs" dxfId="0" priority="1" operator="equal">
      <formula>5</formula>
    </cfRule>
  </conditionalFormatting>
  <conditionalFormatting sqref="J67">
    <cfRule type="cellIs" dxfId="0" priority="2" operator="equal">
      <formula>5</formula>
    </cfRule>
  </conditionalFormatting>
  <conditionalFormatting sqref="P12:P64">
    <cfRule type="cellIs" dxfId="0" priority="3" operator="equal">
      <formula>5</formula>
    </cfRule>
  </conditionalFormatting>
  <conditionalFormatting sqref="H12:H65 J12:J1000 L12:L64 P12:P64">
    <cfRule type="cellIs" dxfId="0" priority="4" operator="equal">
      <formula>5</formula>
    </cfRule>
  </conditionalFormatting>
  <conditionalFormatting sqref="R12:R64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103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15.0</v>
      </c>
      <c r="Q3" s="103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50.0</v>
      </c>
      <c r="Q4" s="103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179</v>
      </c>
      <c r="M6" s="17"/>
      <c r="N6" s="19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105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21.0</v>
      </c>
      <c r="H12" s="112">
        <v>7.0</v>
      </c>
      <c r="I12" s="111"/>
      <c r="J12" s="112"/>
      <c r="K12" s="111"/>
      <c r="L12" s="112"/>
      <c r="M12" s="113">
        <f t="shared" ref="M12:M64" si="1">G12+I12+K12</f>
        <v>21</v>
      </c>
      <c r="N12" s="114">
        <f t="shared" ref="N12:N64" si="2">(M12*100)/$P$8</f>
        <v>20</v>
      </c>
      <c r="O12" s="115">
        <f t="shared" ref="O12:O64" si="3">H12+J12+L12</f>
        <v>7</v>
      </c>
      <c r="P12" s="116">
        <f t="shared" ref="P12:P64" si="4">IF(AVERAGE(H12,J12,L12)&lt;6,(5),(ROUND(AVERAGE(H12,J12,L12),0)))</f>
        <v>7</v>
      </c>
      <c r="Q12" s="117"/>
      <c r="R12" s="118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13">
        <f t="shared" si="1"/>
        <v>0</v>
      </c>
      <c r="N13" s="114">
        <f t="shared" si="2"/>
        <v>0</v>
      </c>
      <c r="O13" s="115">
        <f t="shared" si="3"/>
        <v>10</v>
      </c>
      <c r="P13" s="116">
        <f t="shared" si="4"/>
        <v>10</v>
      </c>
      <c r="Q13" s="117"/>
      <c r="R13" s="118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13">
        <f t="shared" si="1"/>
        <v>0</v>
      </c>
      <c r="N14" s="114">
        <f t="shared" si="2"/>
        <v>0</v>
      </c>
      <c r="O14" s="115">
        <f t="shared" si="3"/>
        <v>10</v>
      </c>
      <c r="P14" s="116">
        <f t="shared" si="4"/>
        <v>10</v>
      </c>
      <c r="Q14" s="117"/>
      <c r="R14" s="118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13">
        <f t="shared" si="1"/>
        <v>0</v>
      </c>
      <c r="N15" s="114">
        <f t="shared" si="2"/>
        <v>0</v>
      </c>
      <c r="O15" s="115">
        <f t="shared" si="3"/>
        <v>6</v>
      </c>
      <c r="P15" s="116">
        <f t="shared" si="4"/>
        <v>6</v>
      </c>
      <c r="Q15" s="117"/>
      <c r="R15" s="118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13">
        <f t="shared" si="1"/>
        <v>0</v>
      </c>
      <c r="N16" s="114">
        <f t="shared" si="2"/>
        <v>0</v>
      </c>
      <c r="O16" s="115">
        <f t="shared" si="3"/>
        <v>8</v>
      </c>
      <c r="P16" s="116">
        <f t="shared" si="4"/>
        <v>8</v>
      </c>
      <c r="Q16" s="117"/>
      <c r="R16" s="118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13">
        <f t="shared" si="1"/>
        <v>0</v>
      </c>
      <c r="N17" s="114">
        <f t="shared" si="2"/>
        <v>0</v>
      </c>
      <c r="O17" s="115">
        <f t="shared" si="3"/>
        <v>8</v>
      </c>
      <c r="P17" s="116">
        <f t="shared" si="4"/>
        <v>8</v>
      </c>
      <c r="Q17" s="117"/>
      <c r="R17" s="118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13">
        <f t="shared" si="1"/>
        <v>0</v>
      </c>
      <c r="N18" s="114">
        <f t="shared" si="2"/>
        <v>0</v>
      </c>
      <c r="O18" s="115">
        <f t="shared" si="3"/>
        <v>8</v>
      </c>
      <c r="P18" s="116">
        <f t="shared" si="4"/>
        <v>8</v>
      </c>
      <c r="Q18" s="117"/>
      <c r="R18" s="118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13">
        <f t="shared" si="1"/>
        <v>0</v>
      </c>
      <c r="N19" s="114">
        <f t="shared" si="2"/>
        <v>0</v>
      </c>
      <c r="O19" s="115">
        <f t="shared" si="3"/>
        <v>10</v>
      </c>
      <c r="P19" s="116">
        <f t="shared" si="4"/>
        <v>10</v>
      </c>
      <c r="Q19" s="117"/>
      <c r="R19" s="118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13">
        <f t="shared" si="1"/>
        <v>0</v>
      </c>
      <c r="N20" s="114">
        <f t="shared" si="2"/>
        <v>0</v>
      </c>
      <c r="O20" s="115">
        <f t="shared" si="3"/>
        <v>5</v>
      </c>
      <c r="P20" s="116">
        <f t="shared" si="4"/>
        <v>5</v>
      </c>
      <c r="Q20" s="117"/>
      <c r="R20" s="118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13">
        <f t="shared" si="1"/>
        <v>0</v>
      </c>
      <c r="N21" s="114">
        <f t="shared" si="2"/>
        <v>0</v>
      </c>
      <c r="O21" s="115">
        <f t="shared" si="3"/>
        <v>10</v>
      </c>
      <c r="P21" s="116">
        <f t="shared" si="4"/>
        <v>10</v>
      </c>
      <c r="Q21" s="117"/>
      <c r="R21" s="118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13">
        <f t="shared" si="1"/>
        <v>0</v>
      </c>
      <c r="N22" s="114">
        <f t="shared" si="2"/>
        <v>0</v>
      </c>
      <c r="O22" s="115">
        <f t="shared" si="3"/>
        <v>8</v>
      </c>
      <c r="P22" s="116">
        <f t="shared" si="4"/>
        <v>8</v>
      </c>
      <c r="Q22" s="117"/>
      <c r="R22" s="118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13">
        <f t="shared" si="1"/>
        <v>0</v>
      </c>
      <c r="N23" s="114">
        <f t="shared" si="2"/>
        <v>0</v>
      </c>
      <c r="O23" s="115">
        <f t="shared" si="3"/>
        <v>6</v>
      </c>
      <c r="P23" s="116">
        <f t="shared" si="4"/>
        <v>6</v>
      </c>
      <c r="Q23" s="117"/>
      <c r="R23" s="118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7.0</v>
      </c>
      <c r="I24" s="56"/>
      <c r="J24" s="119"/>
      <c r="K24" s="56"/>
      <c r="L24" s="119"/>
      <c r="M24" s="113">
        <f t="shared" si="1"/>
        <v>0</v>
      </c>
      <c r="N24" s="114">
        <f t="shared" si="2"/>
        <v>0</v>
      </c>
      <c r="O24" s="115">
        <f t="shared" si="3"/>
        <v>7</v>
      </c>
      <c r="P24" s="116">
        <f t="shared" si="4"/>
        <v>7</v>
      </c>
      <c r="Q24" s="117"/>
      <c r="R24" s="118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13">
        <f t="shared" si="1"/>
        <v>0</v>
      </c>
      <c r="N25" s="114">
        <f t="shared" si="2"/>
        <v>0</v>
      </c>
      <c r="O25" s="115">
        <f t="shared" si="3"/>
        <v>10</v>
      </c>
      <c r="P25" s="116">
        <f t="shared" si="4"/>
        <v>10</v>
      </c>
      <c r="Q25" s="117"/>
      <c r="R25" s="118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13">
        <f t="shared" si="1"/>
        <v>0</v>
      </c>
      <c r="N26" s="114">
        <f t="shared" si="2"/>
        <v>0</v>
      </c>
      <c r="O26" s="115">
        <f t="shared" si="3"/>
        <v>10</v>
      </c>
      <c r="P26" s="116">
        <f t="shared" si="4"/>
        <v>10</v>
      </c>
      <c r="Q26" s="117"/>
      <c r="R26" s="118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13">
        <f t="shared" si="1"/>
        <v>0</v>
      </c>
      <c r="N27" s="114">
        <f t="shared" si="2"/>
        <v>0</v>
      </c>
      <c r="O27" s="115">
        <f t="shared" si="3"/>
        <v>5</v>
      </c>
      <c r="P27" s="116">
        <f t="shared" si="4"/>
        <v>5</v>
      </c>
      <c r="Q27" s="117"/>
      <c r="R27" s="118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13">
        <f t="shared" si="1"/>
        <v>0</v>
      </c>
      <c r="N28" s="114">
        <f t="shared" si="2"/>
        <v>0</v>
      </c>
      <c r="O28" s="115">
        <f t="shared" si="3"/>
        <v>7</v>
      </c>
      <c r="P28" s="116">
        <f t="shared" si="4"/>
        <v>7</v>
      </c>
      <c r="Q28" s="117"/>
      <c r="R28" s="118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13">
        <f t="shared" si="1"/>
        <v>0</v>
      </c>
      <c r="N29" s="114">
        <f t="shared" si="2"/>
        <v>0</v>
      </c>
      <c r="O29" s="115">
        <f t="shared" si="3"/>
        <v>6</v>
      </c>
      <c r="P29" s="116">
        <f t="shared" si="4"/>
        <v>6</v>
      </c>
      <c r="Q29" s="117"/>
      <c r="R29" s="118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13">
        <f t="shared" si="1"/>
        <v>1</v>
      </c>
      <c r="N30" s="114">
        <f t="shared" si="2"/>
        <v>0.9523809524</v>
      </c>
      <c r="O30" s="115">
        <f t="shared" si="3"/>
        <v>6</v>
      </c>
      <c r="P30" s="116">
        <f t="shared" si="4"/>
        <v>6</v>
      </c>
      <c r="Q30" s="117"/>
      <c r="R30" s="118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13">
        <f t="shared" si="1"/>
        <v>0</v>
      </c>
      <c r="N31" s="114">
        <f t="shared" si="2"/>
        <v>0</v>
      </c>
      <c r="O31" s="115">
        <f t="shared" si="3"/>
        <v>10</v>
      </c>
      <c r="P31" s="116">
        <f t="shared" si="4"/>
        <v>10</v>
      </c>
      <c r="Q31" s="117"/>
      <c r="R31" s="118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13">
        <f t="shared" si="1"/>
        <v>0</v>
      </c>
      <c r="N32" s="114">
        <f t="shared" si="2"/>
        <v>0</v>
      </c>
      <c r="O32" s="115">
        <f t="shared" si="3"/>
        <v>9</v>
      </c>
      <c r="P32" s="116">
        <f t="shared" si="4"/>
        <v>9</v>
      </c>
      <c r="Q32" s="117"/>
      <c r="R32" s="118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7.0</v>
      </c>
      <c r="I33" s="56"/>
      <c r="J33" s="119"/>
      <c r="K33" s="56"/>
      <c r="L33" s="119"/>
      <c r="M33" s="113">
        <f t="shared" si="1"/>
        <v>0</v>
      </c>
      <c r="N33" s="114">
        <f t="shared" si="2"/>
        <v>0</v>
      </c>
      <c r="O33" s="115">
        <f t="shared" si="3"/>
        <v>7</v>
      </c>
      <c r="P33" s="116">
        <f t="shared" si="4"/>
        <v>7</v>
      </c>
      <c r="Q33" s="117"/>
      <c r="R33" s="118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13">
        <f t="shared" si="1"/>
        <v>1</v>
      </c>
      <c r="N34" s="114">
        <f t="shared" si="2"/>
        <v>0.9523809524</v>
      </c>
      <c r="O34" s="115">
        <f t="shared" si="3"/>
        <v>5</v>
      </c>
      <c r="P34" s="116">
        <f t="shared" si="4"/>
        <v>5</v>
      </c>
      <c r="Q34" s="117"/>
      <c r="R34" s="118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10.0</v>
      </c>
      <c r="I35" s="56"/>
      <c r="J35" s="119"/>
      <c r="K35" s="56"/>
      <c r="L35" s="119"/>
      <c r="M35" s="113">
        <f t="shared" si="1"/>
        <v>2</v>
      </c>
      <c r="N35" s="114">
        <f t="shared" si="2"/>
        <v>1.904761905</v>
      </c>
      <c r="O35" s="115">
        <f t="shared" si="3"/>
        <v>10</v>
      </c>
      <c r="P35" s="116">
        <f t="shared" si="4"/>
        <v>10</v>
      </c>
      <c r="Q35" s="117"/>
      <c r="R35" s="118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1">
        <v>10.0</v>
      </c>
      <c r="I36" s="56"/>
      <c r="J36" s="119"/>
      <c r="K36" s="56"/>
      <c r="L36" s="119"/>
      <c r="M36" s="113">
        <f t="shared" si="1"/>
        <v>0</v>
      </c>
      <c r="N36" s="114">
        <f t="shared" si="2"/>
        <v>0</v>
      </c>
      <c r="O36" s="115">
        <f t="shared" si="3"/>
        <v>10</v>
      </c>
      <c r="P36" s="116">
        <f t="shared" si="4"/>
        <v>10</v>
      </c>
      <c r="Q36" s="117"/>
      <c r="R36" s="118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10.0</v>
      </c>
      <c r="I37" s="56"/>
      <c r="J37" s="119"/>
      <c r="K37" s="56"/>
      <c r="L37" s="119"/>
      <c r="M37" s="113">
        <f t="shared" si="1"/>
        <v>0</v>
      </c>
      <c r="N37" s="114">
        <f t="shared" si="2"/>
        <v>0</v>
      </c>
      <c r="O37" s="115">
        <f t="shared" si="3"/>
        <v>10</v>
      </c>
      <c r="P37" s="116">
        <f t="shared" si="4"/>
        <v>10</v>
      </c>
      <c r="Q37" s="117"/>
      <c r="R37" s="118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10.0</v>
      </c>
      <c r="I38" s="56"/>
      <c r="J38" s="119"/>
      <c r="K38" s="56"/>
      <c r="L38" s="119"/>
      <c r="M38" s="113">
        <f t="shared" si="1"/>
        <v>0</v>
      </c>
      <c r="N38" s="114">
        <f t="shared" si="2"/>
        <v>0</v>
      </c>
      <c r="O38" s="115">
        <f t="shared" si="3"/>
        <v>10</v>
      </c>
      <c r="P38" s="116">
        <f t="shared" si="4"/>
        <v>10</v>
      </c>
      <c r="Q38" s="117"/>
      <c r="R38" s="118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9.0</v>
      </c>
      <c r="I39" s="56"/>
      <c r="J39" s="119"/>
      <c r="K39" s="56"/>
      <c r="L39" s="119"/>
      <c r="M39" s="113">
        <f t="shared" si="1"/>
        <v>0</v>
      </c>
      <c r="N39" s="114">
        <f t="shared" si="2"/>
        <v>0</v>
      </c>
      <c r="O39" s="115">
        <f t="shared" si="3"/>
        <v>9</v>
      </c>
      <c r="P39" s="116">
        <f t="shared" si="4"/>
        <v>9</v>
      </c>
      <c r="Q39" s="117"/>
      <c r="R39" s="118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9.0</v>
      </c>
      <c r="I40" s="56"/>
      <c r="J40" s="119"/>
      <c r="K40" s="56"/>
      <c r="L40" s="119"/>
      <c r="M40" s="113">
        <f t="shared" si="1"/>
        <v>0</v>
      </c>
      <c r="N40" s="114">
        <f t="shared" si="2"/>
        <v>0</v>
      </c>
      <c r="O40" s="115">
        <f t="shared" si="3"/>
        <v>9</v>
      </c>
      <c r="P40" s="116">
        <f t="shared" si="4"/>
        <v>9</v>
      </c>
      <c r="Q40" s="117"/>
      <c r="R40" s="118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9.0</v>
      </c>
      <c r="I41" s="56"/>
      <c r="J41" s="119"/>
      <c r="K41" s="56"/>
      <c r="L41" s="119"/>
      <c r="M41" s="113">
        <f t="shared" si="1"/>
        <v>0</v>
      </c>
      <c r="N41" s="114">
        <f t="shared" si="2"/>
        <v>0</v>
      </c>
      <c r="O41" s="115">
        <f t="shared" si="3"/>
        <v>9</v>
      </c>
      <c r="P41" s="116">
        <f t="shared" si="4"/>
        <v>9</v>
      </c>
      <c r="Q41" s="117"/>
      <c r="R41" s="118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9.0</v>
      </c>
      <c r="I42" s="56"/>
      <c r="J42" s="119"/>
      <c r="K42" s="56"/>
      <c r="L42" s="119"/>
      <c r="M42" s="113">
        <f t="shared" si="1"/>
        <v>0</v>
      </c>
      <c r="N42" s="114">
        <f t="shared" si="2"/>
        <v>0</v>
      </c>
      <c r="O42" s="115">
        <f t="shared" si="3"/>
        <v>9</v>
      </c>
      <c r="P42" s="116">
        <f t="shared" si="4"/>
        <v>9</v>
      </c>
      <c r="Q42" s="117"/>
      <c r="R42" s="118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9.0</v>
      </c>
      <c r="I43" s="56"/>
      <c r="J43" s="120"/>
      <c r="K43" s="56"/>
      <c r="L43" s="119"/>
      <c r="M43" s="113">
        <f t="shared" si="1"/>
        <v>0</v>
      </c>
      <c r="N43" s="114">
        <f t="shared" si="2"/>
        <v>0</v>
      </c>
      <c r="O43" s="115">
        <f t="shared" si="3"/>
        <v>9</v>
      </c>
      <c r="P43" s="116">
        <f t="shared" si="4"/>
        <v>9</v>
      </c>
      <c r="Q43" s="117"/>
      <c r="R43" s="118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13">
        <f t="shared" si="1"/>
        <v>0</v>
      </c>
      <c r="N44" s="114">
        <f t="shared" si="2"/>
        <v>0</v>
      </c>
      <c r="O44" s="115">
        <f t="shared" si="3"/>
        <v>8</v>
      </c>
      <c r="P44" s="116">
        <f t="shared" si="4"/>
        <v>8</v>
      </c>
      <c r="Q44" s="117"/>
      <c r="R44" s="118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13">
        <f t="shared" si="1"/>
        <v>2</v>
      </c>
      <c r="N45" s="114">
        <f t="shared" si="2"/>
        <v>1.904761905</v>
      </c>
      <c r="O45" s="115">
        <f t="shared" si="3"/>
        <v>5</v>
      </c>
      <c r="P45" s="116">
        <f t="shared" si="4"/>
        <v>5</v>
      </c>
      <c r="Q45" s="117"/>
      <c r="R45" s="118" t="str">
        <f t="shared" si="5"/>
        <v>ORD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13">
        <f t="shared" si="1"/>
        <v>0</v>
      </c>
      <c r="N46" s="114">
        <f t="shared" si="2"/>
        <v>0</v>
      </c>
      <c r="O46" s="115">
        <f t="shared" si="3"/>
        <v>9</v>
      </c>
      <c r="P46" s="116">
        <f t="shared" si="4"/>
        <v>9</v>
      </c>
      <c r="Q46" s="117"/>
      <c r="R46" s="118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13">
        <f t="shared" si="1"/>
        <v>0</v>
      </c>
      <c r="N47" s="114">
        <f t="shared" si="2"/>
        <v>0</v>
      </c>
      <c r="O47" s="115">
        <f t="shared" si="3"/>
        <v>8</v>
      </c>
      <c r="P47" s="116">
        <f t="shared" si="4"/>
        <v>8</v>
      </c>
      <c r="Q47" s="117"/>
      <c r="R47" s="118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13">
        <f t="shared" si="1"/>
        <v>0</v>
      </c>
      <c r="N48" s="114">
        <f t="shared" si="2"/>
        <v>0</v>
      </c>
      <c r="O48" s="115">
        <f t="shared" si="3"/>
        <v>10</v>
      </c>
      <c r="P48" s="116">
        <f t="shared" si="4"/>
        <v>10</v>
      </c>
      <c r="Q48" s="117"/>
      <c r="R48" s="118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10.0</v>
      </c>
      <c r="I49" s="56"/>
      <c r="J49" s="119"/>
      <c r="K49" s="56"/>
      <c r="L49" s="119"/>
      <c r="M49" s="113">
        <f t="shared" si="1"/>
        <v>0</v>
      </c>
      <c r="N49" s="114">
        <f t="shared" si="2"/>
        <v>0</v>
      </c>
      <c r="O49" s="115">
        <f t="shared" si="3"/>
        <v>10</v>
      </c>
      <c r="P49" s="116">
        <f t="shared" si="4"/>
        <v>10</v>
      </c>
      <c r="Q49" s="117"/>
      <c r="R49" s="118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13">
        <f t="shared" si="1"/>
        <v>0</v>
      </c>
      <c r="N50" s="114">
        <f t="shared" si="2"/>
        <v>0</v>
      </c>
      <c r="O50" s="115">
        <f t="shared" si="3"/>
        <v>10</v>
      </c>
      <c r="P50" s="116">
        <f t="shared" si="4"/>
        <v>10</v>
      </c>
      <c r="Q50" s="117"/>
      <c r="R50" s="118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10.0</v>
      </c>
      <c r="I51" s="56"/>
      <c r="J51" s="119"/>
      <c r="K51" s="56"/>
      <c r="L51" s="119"/>
      <c r="M51" s="113">
        <f t="shared" si="1"/>
        <v>0</v>
      </c>
      <c r="N51" s="114">
        <f t="shared" si="2"/>
        <v>0</v>
      </c>
      <c r="O51" s="115">
        <f t="shared" si="3"/>
        <v>10</v>
      </c>
      <c r="P51" s="116">
        <f t="shared" si="4"/>
        <v>10</v>
      </c>
      <c r="Q51" s="117"/>
      <c r="R51" s="118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10.0</v>
      </c>
      <c r="I52" s="56"/>
      <c r="J52" s="119"/>
      <c r="K52" s="56"/>
      <c r="L52" s="119"/>
      <c r="M52" s="113">
        <f t="shared" si="1"/>
        <v>0</v>
      </c>
      <c r="N52" s="114">
        <f t="shared" si="2"/>
        <v>0</v>
      </c>
      <c r="O52" s="115">
        <f t="shared" si="3"/>
        <v>10</v>
      </c>
      <c r="P52" s="116">
        <f t="shared" si="4"/>
        <v>10</v>
      </c>
      <c r="Q52" s="117"/>
      <c r="R52" s="118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10.0</v>
      </c>
      <c r="I53" s="56"/>
      <c r="J53" s="119"/>
      <c r="K53" s="56"/>
      <c r="L53" s="119"/>
      <c r="M53" s="113">
        <f t="shared" si="1"/>
        <v>0</v>
      </c>
      <c r="N53" s="114">
        <f t="shared" si="2"/>
        <v>0</v>
      </c>
      <c r="O53" s="115">
        <f t="shared" si="3"/>
        <v>10</v>
      </c>
      <c r="P53" s="116">
        <f t="shared" si="4"/>
        <v>10</v>
      </c>
      <c r="Q53" s="117"/>
      <c r="R53" s="118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13">
        <f t="shared" si="1"/>
        <v>0</v>
      </c>
      <c r="N54" s="114">
        <f t="shared" si="2"/>
        <v>0</v>
      </c>
      <c r="O54" s="115">
        <f t="shared" si="3"/>
        <v>10</v>
      </c>
      <c r="P54" s="116">
        <f t="shared" si="4"/>
        <v>10</v>
      </c>
      <c r="Q54" s="117"/>
      <c r="R54" s="118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13">
        <f t="shared" si="1"/>
        <v>0</v>
      </c>
      <c r="N55" s="114">
        <f t="shared" si="2"/>
        <v>0</v>
      </c>
      <c r="O55" s="115">
        <f t="shared" si="3"/>
        <v>10</v>
      </c>
      <c r="P55" s="116">
        <f t="shared" si="4"/>
        <v>10</v>
      </c>
      <c r="Q55" s="117"/>
      <c r="R55" s="118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13">
        <f t="shared" si="1"/>
        <v>0</v>
      </c>
      <c r="N56" s="114">
        <f t="shared" si="2"/>
        <v>0</v>
      </c>
      <c r="O56" s="115">
        <f t="shared" si="3"/>
        <v>7</v>
      </c>
      <c r="P56" s="116">
        <f t="shared" si="4"/>
        <v>7</v>
      </c>
      <c r="Q56" s="117"/>
      <c r="R56" s="118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10.0</v>
      </c>
      <c r="I57" s="56"/>
      <c r="J57" s="119"/>
      <c r="K57" s="56"/>
      <c r="L57" s="119"/>
      <c r="M57" s="113">
        <f t="shared" si="1"/>
        <v>0</v>
      </c>
      <c r="N57" s="114">
        <f t="shared" si="2"/>
        <v>0</v>
      </c>
      <c r="O57" s="115">
        <f t="shared" si="3"/>
        <v>10</v>
      </c>
      <c r="P57" s="116">
        <f t="shared" si="4"/>
        <v>10</v>
      </c>
      <c r="Q57" s="117"/>
      <c r="R57" s="118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10.0</v>
      </c>
      <c r="I58" s="56"/>
      <c r="J58" s="119"/>
      <c r="K58" s="56"/>
      <c r="L58" s="119"/>
      <c r="M58" s="113">
        <f t="shared" si="1"/>
        <v>0</v>
      </c>
      <c r="N58" s="114">
        <f t="shared" si="2"/>
        <v>0</v>
      </c>
      <c r="O58" s="115">
        <f t="shared" si="3"/>
        <v>10</v>
      </c>
      <c r="P58" s="116">
        <f t="shared" si="4"/>
        <v>10</v>
      </c>
      <c r="Q58" s="117"/>
      <c r="R58" s="118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13">
        <f t="shared" si="1"/>
        <v>0</v>
      </c>
      <c r="N59" s="114">
        <f t="shared" si="2"/>
        <v>0</v>
      </c>
      <c r="O59" s="115">
        <f t="shared" si="3"/>
        <v>10</v>
      </c>
      <c r="P59" s="116">
        <f t="shared" si="4"/>
        <v>10</v>
      </c>
      <c r="Q59" s="117"/>
      <c r="R59" s="118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13">
        <f t="shared" si="1"/>
        <v>0</v>
      </c>
      <c r="N60" s="114">
        <f t="shared" si="2"/>
        <v>0</v>
      </c>
      <c r="O60" s="115">
        <f t="shared" si="3"/>
        <v>10</v>
      </c>
      <c r="P60" s="116">
        <f t="shared" si="4"/>
        <v>10</v>
      </c>
      <c r="Q60" s="117"/>
      <c r="R60" s="118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13">
        <f t="shared" si="1"/>
        <v>0</v>
      </c>
      <c r="N61" s="114">
        <f t="shared" si="2"/>
        <v>0</v>
      </c>
      <c r="O61" s="115">
        <f t="shared" si="3"/>
        <v>10</v>
      </c>
      <c r="P61" s="116">
        <f t="shared" si="4"/>
        <v>10</v>
      </c>
      <c r="Q61" s="117"/>
      <c r="R61" s="118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13">
        <f t="shared" si="1"/>
        <v>0</v>
      </c>
      <c r="N62" s="114">
        <f t="shared" si="2"/>
        <v>0</v>
      </c>
      <c r="O62" s="115">
        <f t="shared" si="3"/>
        <v>9</v>
      </c>
      <c r="P62" s="116">
        <f t="shared" si="4"/>
        <v>9</v>
      </c>
      <c r="Q62" s="117"/>
      <c r="R62" s="118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13">
        <f t="shared" si="1"/>
        <v>0</v>
      </c>
      <c r="N63" s="114">
        <f t="shared" si="2"/>
        <v>0</v>
      </c>
      <c r="O63" s="115">
        <f t="shared" si="3"/>
        <v>10</v>
      </c>
      <c r="P63" s="116">
        <f t="shared" si="4"/>
        <v>10</v>
      </c>
      <c r="Q63" s="117"/>
      <c r="R63" s="118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13">
        <f t="shared" si="1"/>
        <v>0</v>
      </c>
      <c r="N64" s="114">
        <f t="shared" si="2"/>
        <v>0</v>
      </c>
      <c r="O64" s="115">
        <f t="shared" si="3"/>
        <v>9</v>
      </c>
      <c r="P64" s="116">
        <f t="shared" si="4"/>
        <v>9</v>
      </c>
      <c r="Q64" s="117"/>
      <c r="R64" s="118" t="str">
        <f t="shared" si="5"/>
        <v>ORD</v>
      </c>
    </row>
    <row r="65" ht="13.5" customHeight="1">
      <c r="E65" s="71" t="s">
        <v>169</v>
      </c>
      <c r="F65" s="1"/>
      <c r="G65" s="72">
        <f>SUM(G12:G64)</f>
        <v>27</v>
      </c>
      <c r="H65" s="74">
        <f>AVERAGE(H12:H64)</f>
        <v>8.641509434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25">
        <f>SUM(M12:M64)</f>
        <v>27</v>
      </c>
      <c r="N65" s="76" t="s">
        <v>170</v>
      </c>
      <c r="O65" s="77"/>
      <c r="P65" s="78">
        <f>AVERAGE(P6:P64)</f>
        <v>10.35714286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49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49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4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4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92.45283019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92.45283019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127">
        <f>AVERAGE(N12:N64)</f>
        <v>0.4851752022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28">
        <f>100-P69</f>
        <v>99.5148248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9">
        <v>12.0</v>
      </c>
      <c r="Q2" s="103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119">
        <v>15.0</v>
      </c>
      <c r="Q3" s="103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119">
        <v>5.0</v>
      </c>
      <c r="Q4" s="103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180</v>
      </c>
      <c r="M6" s="17"/>
      <c r="N6" s="19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60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129" t="s">
        <v>32</v>
      </c>
      <c r="H11" s="129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6.0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6</v>
      </c>
      <c r="P12" s="116">
        <f t="shared" ref="P12:P64" si="4">IF(AVERAGE(H12,J12,L12)&lt;6,(5),(ROUND(AVERAGE(H12,J12,L12),0)))</f>
        <v>6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6.0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6</v>
      </c>
      <c r="P13" s="116">
        <f t="shared" si="4"/>
        <v>6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6.0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6</v>
      </c>
      <c r="P14" s="116">
        <f t="shared" si="4"/>
        <v>6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6.0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6</v>
      </c>
      <c r="P16" s="116">
        <f t="shared" si="4"/>
        <v>6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6.0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6</v>
      </c>
      <c r="P17" s="116">
        <f t="shared" si="4"/>
        <v>6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6.0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6</v>
      </c>
      <c r="P18" s="116">
        <f t="shared" si="4"/>
        <v>6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8.0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8</v>
      </c>
      <c r="P19" s="116">
        <f t="shared" si="4"/>
        <v>8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6.0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6</v>
      </c>
      <c r="P21" s="116">
        <f t="shared" si="4"/>
        <v>6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6.0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6</v>
      </c>
      <c r="P22" s="116">
        <f t="shared" si="4"/>
        <v>6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6.0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6</v>
      </c>
      <c r="P25" s="116">
        <f t="shared" si="4"/>
        <v>6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1.666666667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1.666666667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3.333333333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5.0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5</v>
      </c>
      <c r="P40" s="116">
        <f t="shared" si="4"/>
        <v>5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5.0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5</v>
      </c>
      <c r="P41" s="116">
        <f t="shared" si="4"/>
        <v>5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5.0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5</v>
      </c>
      <c r="P42" s="116">
        <f t="shared" si="4"/>
        <v>5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5.0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5</v>
      </c>
      <c r="P43" s="116">
        <f t="shared" si="4"/>
        <v>5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5.0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5</v>
      </c>
      <c r="P44" s="116">
        <f t="shared" si="4"/>
        <v>5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3.333333333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ORD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5.0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5</v>
      </c>
      <c r="P46" s="116">
        <f t="shared" si="4"/>
        <v>5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5.0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5</v>
      </c>
      <c r="P47" s="116">
        <f t="shared" si="4"/>
        <v>5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5.0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5</v>
      </c>
      <c r="P48" s="116">
        <f t="shared" si="4"/>
        <v>5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5.0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5</v>
      </c>
      <c r="P49" s="116">
        <f t="shared" si="4"/>
        <v>5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5.0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5</v>
      </c>
      <c r="P50" s="116">
        <f t="shared" si="4"/>
        <v>5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5.0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5</v>
      </c>
      <c r="P51" s="116">
        <f t="shared" si="4"/>
        <v>5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5.0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5</v>
      </c>
      <c r="P52" s="116">
        <f t="shared" si="4"/>
        <v>5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5.0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5</v>
      </c>
      <c r="P53" s="116">
        <f t="shared" si="4"/>
        <v>5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5.0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5</v>
      </c>
      <c r="P54" s="116">
        <f t="shared" si="4"/>
        <v>5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5.0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5</v>
      </c>
      <c r="P55" s="116">
        <f t="shared" si="4"/>
        <v>5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4">
        <f>AVERAGE(H12:H64)</f>
        <v>6.452830189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7.482142857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32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32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21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21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60.37735849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60.37735849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15.0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181</v>
      </c>
      <c r="M6" s="17"/>
      <c r="N6" s="19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15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6.666666667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6.666666667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13.33333333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13.33333333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ORD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8.018518519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135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0.7547169811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99.24528302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9"/>
      <c r="Q2" s="103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119"/>
      <c r="Q3" s="103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119"/>
      <c r="Q4" s="103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9.0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36" t="s">
        <v>182</v>
      </c>
      <c r="N6" s="137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7"/>
      <c r="M7" s="17"/>
      <c r="N7" s="19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9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8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04"/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11.11111111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11.11111111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22.22222222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EXTRA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22.22222222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EXTRA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7.907407407</v>
      </c>
      <c r="Q65" s="1"/>
      <c r="R65" s="110" t="str">
        <f>IF(M65&gt;20,"EXTRA","ORD")</f>
        <v>ORD</v>
      </c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9"/>
      <c r="Q2" s="103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119">
        <v>12.0</v>
      </c>
      <c r="Q3" s="103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119"/>
      <c r="Q4" s="103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/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38" t="s">
        <v>183</v>
      </c>
      <c r="M6" s="139"/>
      <c r="N6" s="140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M7" s="141"/>
      <c r="N7" s="14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12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129" t="s">
        <v>32</v>
      </c>
      <c r="H11" s="129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8.333333333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8.333333333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16.66666667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16.66666667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ORD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7.962962963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0.9433962264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99.05660377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7.0</v>
      </c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/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184</v>
      </c>
      <c r="M6" s="17"/>
      <c r="N6" s="19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4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7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142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143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144" t="s">
        <v>40</v>
      </c>
      <c r="D12" s="145" t="s">
        <v>41</v>
      </c>
      <c r="E12" s="1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14.28571429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14.28571429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28.57142857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EXTRA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28.57142857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EXTRA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7.87037037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20">
    <mergeCell ref="L6:N6"/>
    <mergeCell ref="L7:N7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5:H5"/>
    <mergeCell ref="G6:J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8.0</v>
      </c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/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185</v>
      </c>
      <c r="M6" s="17"/>
      <c r="N6" s="19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41"/>
      <c r="M7" s="141"/>
      <c r="N7" s="14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8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12.5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12.5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25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EXTRA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25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EXTRA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7.888888889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1.41509434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98.58490566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9.0</v>
      </c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/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186</v>
      </c>
      <c r="M6" s="17"/>
      <c r="N6" s="19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41"/>
      <c r="M7" s="141"/>
      <c r="N7" s="14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9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11.11111111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11.11111111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22.22222222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EXTRA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22.22222222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EXTRA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7.907407407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9"/>
      <c r="Q2" s="103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119"/>
      <c r="Q3" s="103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119"/>
      <c r="Q4" s="103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/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6" t="s">
        <v>187</v>
      </c>
      <c r="M6" s="17"/>
      <c r="N6" s="19"/>
      <c r="O6" s="7" t="s">
        <v>18</v>
      </c>
      <c r="P6" s="7">
        <v>5.0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41"/>
      <c r="M7" s="141"/>
      <c r="N7" s="141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5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7.0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7</v>
      </c>
      <c r="P12" s="116">
        <f t="shared" ref="P12:P64" si="4">IF(AVERAGE(H12,J12,L12)&lt;6,(5),(ROUND(AVERAGE(H12,J12,L12),0)))</f>
        <v>7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0.0</v>
      </c>
      <c r="H13" s="119">
        <v>10.0</v>
      </c>
      <c r="I13" s="56"/>
      <c r="J13" s="119"/>
      <c r="K13" s="56"/>
      <c r="L13" s="119"/>
      <c r="M13" s="130">
        <f t="shared" si="1"/>
        <v>0</v>
      </c>
      <c r="N13" s="131">
        <f t="shared" si="2"/>
        <v>0</v>
      </c>
      <c r="O13" s="132">
        <f t="shared" si="3"/>
        <v>10</v>
      </c>
      <c r="P13" s="116">
        <f t="shared" si="4"/>
        <v>10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0.0</v>
      </c>
      <c r="H14" s="119">
        <v>10.0</v>
      </c>
      <c r="I14" s="56"/>
      <c r="J14" s="119"/>
      <c r="K14" s="56"/>
      <c r="L14" s="119"/>
      <c r="M14" s="130">
        <f t="shared" si="1"/>
        <v>0</v>
      </c>
      <c r="N14" s="131">
        <f t="shared" si="2"/>
        <v>0</v>
      </c>
      <c r="O14" s="132">
        <f t="shared" si="3"/>
        <v>10</v>
      </c>
      <c r="P14" s="116">
        <f t="shared" si="4"/>
        <v>10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0.0</v>
      </c>
      <c r="H15" s="119">
        <v>6.0</v>
      </c>
      <c r="I15" s="56"/>
      <c r="J15" s="119"/>
      <c r="K15" s="56"/>
      <c r="L15" s="119"/>
      <c r="M15" s="130">
        <f t="shared" si="1"/>
        <v>0</v>
      </c>
      <c r="N15" s="131">
        <f t="shared" si="2"/>
        <v>0</v>
      </c>
      <c r="O15" s="132">
        <f t="shared" si="3"/>
        <v>6</v>
      </c>
      <c r="P15" s="116">
        <f t="shared" si="4"/>
        <v>6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0.0</v>
      </c>
      <c r="H17" s="119">
        <v>8.0</v>
      </c>
      <c r="I17" s="56"/>
      <c r="J17" s="119"/>
      <c r="K17" s="56"/>
      <c r="L17" s="119"/>
      <c r="M17" s="130">
        <f t="shared" si="1"/>
        <v>0</v>
      </c>
      <c r="N17" s="131">
        <f t="shared" si="2"/>
        <v>0</v>
      </c>
      <c r="O17" s="132">
        <f t="shared" si="3"/>
        <v>8</v>
      </c>
      <c r="P17" s="116">
        <f t="shared" si="4"/>
        <v>8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8.0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8</v>
      </c>
      <c r="P18" s="116">
        <f t="shared" si="4"/>
        <v>8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10.0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10</v>
      </c>
      <c r="P19" s="116">
        <f t="shared" si="4"/>
        <v>10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0.0</v>
      </c>
      <c r="H20" s="119">
        <v>5.0</v>
      </c>
      <c r="I20" s="56"/>
      <c r="J20" s="119"/>
      <c r="K20" s="56"/>
      <c r="L20" s="119"/>
      <c r="M20" s="130">
        <f t="shared" si="1"/>
        <v>0</v>
      </c>
      <c r="N20" s="131">
        <f t="shared" si="2"/>
        <v>0</v>
      </c>
      <c r="O20" s="132">
        <f t="shared" si="3"/>
        <v>5</v>
      </c>
      <c r="P20" s="116">
        <f t="shared" si="4"/>
        <v>5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10.0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10</v>
      </c>
      <c r="P21" s="116">
        <f t="shared" si="4"/>
        <v>10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0.0</v>
      </c>
      <c r="H22" s="119">
        <v>8.0</v>
      </c>
      <c r="I22" s="56"/>
      <c r="J22" s="119"/>
      <c r="K22" s="56"/>
      <c r="L22" s="119"/>
      <c r="M22" s="130">
        <f t="shared" si="1"/>
        <v>0</v>
      </c>
      <c r="N22" s="131">
        <f t="shared" si="2"/>
        <v>0</v>
      </c>
      <c r="O22" s="132">
        <f t="shared" si="3"/>
        <v>8</v>
      </c>
      <c r="P22" s="116">
        <f t="shared" si="4"/>
        <v>8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0.0</v>
      </c>
      <c r="H25" s="119">
        <v>10.0</v>
      </c>
      <c r="I25" s="56"/>
      <c r="J25" s="119"/>
      <c r="K25" s="56"/>
      <c r="L25" s="119"/>
      <c r="M25" s="130">
        <f t="shared" si="1"/>
        <v>0</v>
      </c>
      <c r="N25" s="131">
        <f t="shared" si="2"/>
        <v>0</v>
      </c>
      <c r="O25" s="132">
        <f t="shared" si="3"/>
        <v>10</v>
      </c>
      <c r="P25" s="116">
        <f t="shared" si="4"/>
        <v>10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10.0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10</v>
      </c>
      <c r="P26" s="116">
        <f t="shared" si="4"/>
        <v>10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5.0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5</v>
      </c>
      <c r="P27" s="116">
        <f t="shared" si="4"/>
        <v>5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0.0</v>
      </c>
      <c r="H28" s="119">
        <v>7.0</v>
      </c>
      <c r="I28" s="56"/>
      <c r="J28" s="119"/>
      <c r="K28" s="56"/>
      <c r="L28" s="119"/>
      <c r="M28" s="130">
        <f t="shared" si="1"/>
        <v>0</v>
      </c>
      <c r="N28" s="131">
        <f t="shared" si="2"/>
        <v>0</v>
      </c>
      <c r="O28" s="132">
        <f t="shared" si="3"/>
        <v>7</v>
      </c>
      <c r="P28" s="116">
        <f t="shared" si="4"/>
        <v>7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6.0</v>
      </c>
      <c r="I30" s="56"/>
      <c r="J30" s="119"/>
      <c r="K30" s="56"/>
      <c r="L30" s="119"/>
      <c r="M30" s="130">
        <f t="shared" si="1"/>
        <v>1</v>
      </c>
      <c r="N30" s="131">
        <f t="shared" si="2"/>
        <v>20</v>
      </c>
      <c r="O30" s="132">
        <f t="shared" si="3"/>
        <v>6</v>
      </c>
      <c r="P30" s="116">
        <f t="shared" si="4"/>
        <v>6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10.0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10</v>
      </c>
      <c r="P31" s="116">
        <f t="shared" si="4"/>
        <v>10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9.0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9</v>
      </c>
      <c r="P32" s="116">
        <f t="shared" si="4"/>
        <v>9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0.0</v>
      </c>
      <c r="H33" s="119">
        <v>6.0</v>
      </c>
      <c r="I33" s="56"/>
      <c r="J33" s="119"/>
      <c r="K33" s="56"/>
      <c r="L33" s="119"/>
      <c r="M33" s="130">
        <f t="shared" si="1"/>
        <v>0</v>
      </c>
      <c r="N33" s="131">
        <f t="shared" si="2"/>
        <v>0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1.0</v>
      </c>
      <c r="H34" s="119">
        <v>5.0</v>
      </c>
      <c r="I34" s="56"/>
      <c r="J34" s="120"/>
      <c r="K34" s="56"/>
      <c r="L34" s="119"/>
      <c r="M34" s="130">
        <f t="shared" si="1"/>
        <v>1</v>
      </c>
      <c r="N34" s="131">
        <f t="shared" si="2"/>
        <v>20</v>
      </c>
      <c r="O34" s="132">
        <f t="shared" si="3"/>
        <v>5</v>
      </c>
      <c r="P34" s="116">
        <f t="shared" si="4"/>
        <v>5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2.0</v>
      </c>
      <c r="H35" s="119">
        <v>7.0</v>
      </c>
      <c r="I35" s="56"/>
      <c r="J35" s="119"/>
      <c r="K35" s="56"/>
      <c r="L35" s="119"/>
      <c r="M35" s="130">
        <f t="shared" si="1"/>
        <v>2</v>
      </c>
      <c r="N35" s="131">
        <f t="shared" si="2"/>
        <v>40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EXTRA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0.0</v>
      </c>
      <c r="H39" s="119">
        <v>8.0</v>
      </c>
      <c r="I39" s="56"/>
      <c r="J39" s="119"/>
      <c r="K39" s="56"/>
      <c r="L39" s="119"/>
      <c r="M39" s="130">
        <f t="shared" si="1"/>
        <v>0</v>
      </c>
      <c r="N39" s="131">
        <f t="shared" si="2"/>
        <v>0</v>
      </c>
      <c r="O39" s="132">
        <f t="shared" si="3"/>
        <v>8</v>
      </c>
      <c r="P39" s="116">
        <f t="shared" si="4"/>
        <v>8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0.0</v>
      </c>
      <c r="H40" s="119">
        <v>8.0</v>
      </c>
      <c r="I40" s="56"/>
      <c r="J40" s="119"/>
      <c r="K40" s="56"/>
      <c r="L40" s="119"/>
      <c r="M40" s="130">
        <f t="shared" si="1"/>
        <v>0</v>
      </c>
      <c r="N40" s="131">
        <f t="shared" si="2"/>
        <v>0</v>
      </c>
      <c r="O40" s="132">
        <f t="shared" si="3"/>
        <v>8</v>
      </c>
      <c r="P40" s="116">
        <f t="shared" si="4"/>
        <v>8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0.0</v>
      </c>
      <c r="H41" s="119">
        <v>8.0</v>
      </c>
      <c r="I41" s="56"/>
      <c r="J41" s="119"/>
      <c r="K41" s="56"/>
      <c r="L41" s="119"/>
      <c r="M41" s="130">
        <f t="shared" si="1"/>
        <v>0</v>
      </c>
      <c r="N41" s="131">
        <f t="shared" si="2"/>
        <v>0</v>
      </c>
      <c r="O41" s="132">
        <f t="shared" si="3"/>
        <v>8</v>
      </c>
      <c r="P41" s="116">
        <f t="shared" si="4"/>
        <v>8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8.0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8</v>
      </c>
      <c r="P42" s="116">
        <f t="shared" si="4"/>
        <v>8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0.0</v>
      </c>
      <c r="H43" s="119">
        <v>6.0</v>
      </c>
      <c r="I43" s="56"/>
      <c r="J43" s="120"/>
      <c r="K43" s="56"/>
      <c r="L43" s="119"/>
      <c r="M43" s="130">
        <f t="shared" si="1"/>
        <v>0</v>
      </c>
      <c r="N43" s="131">
        <f t="shared" si="2"/>
        <v>0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8.0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8</v>
      </c>
      <c r="P44" s="116">
        <f t="shared" si="4"/>
        <v>8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2.0</v>
      </c>
      <c r="H45" s="123">
        <v>5.0</v>
      </c>
      <c r="I45" s="124"/>
      <c r="J45" s="123"/>
      <c r="K45" s="124"/>
      <c r="L45" s="123"/>
      <c r="M45" s="130">
        <f t="shared" si="1"/>
        <v>2</v>
      </c>
      <c r="N45" s="131">
        <f t="shared" si="2"/>
        <v>40</v>
      </c>
      <c r="O45" s="132">
        <f t="shared" si="3"/>
        <v>5</v>
      </c>
      <c r="P45" s="116">
        <f t="shared" si="4"/>
        <v>5</v>
      </c>
      <c r="Q45" s="52"/>
      <c r="R45" s="133" t="str">
        <f t="shared" si="5"/>
        <v>EXTRA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9.0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9</v>
      </c>
      <c r="P46" s="116">
        <f t="shared" si="4"/>
        <v>9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0.0</v>
      </c>
      <c r="H47" s="119">
        <v>8.0</v>
      </c>
      <c r="I47" s="56"/>
      <c r="J47" s="119"/>
      <c r="K47" s="56"/>
      <c r="L47" s="119"/>
      <c r="M47" s="130">
        <f t="shared" si="1"/>
        <v>0</v>
      </c>
      <c r="N47" s="131">
        <f t="shared" si="2"/>
        <v>0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0.0</v>
      </c>
      <c r="H48" s="119">
        <v>10.0</v>
      </c>
      <c r="I48" s="56"/>
      <c r="J48" s="119"/>
      <c r="K48" s="56"/>
      <c r="L48" s="119"/>
      <c r="M48" s="130">
        <f t="shared" si="1"/>
        <v>0</v>
      </c>
      <c r="N48" s="131">
        <f t="shared" si="2"/>
        <v>0</v>
      </c>
      <c r="O48" s="132">
        <f t="shared" si="3"/>
        <v>10</v>
      </c>
      <c r="P48" s="116">
        <f t="shared" si="4"/>
        <v>10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0.0</v>
      </c>
      <c r="H49" s="119">
        <v>7.0</v>
      </c>
      <c r="I49" s="56"/>
      <c r="J49" s="119"/>
      <c r="K49" s="56"/>
      <c r="L49" s="119"/>
      <c r="M49" s="130">
        <f t="shared" si="1"/>
        <v>0</v>
      </c>
      <c r="N49" s="131">
        <f t="shared" si="2"/>
        <v>0</v>
      </c>
      <c r="O49" s="132">
        <f t="shared" si="3"/>
        <v>7</v>
      </c>
      <c r="P49" s="116">
        <f t="shared" si="4"/>
        <v>7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10.0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10</v>
      </c>
      <c r="P50" s="116">
        <f t="shared" si="4"/>
        <v>10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0.0</v>
      </c>
      <c r="H51" s="119">
        <v>7.0</v>
      </c>
      <c r="I51" s="56"/>
      <c r="J51" s="119"/>
      <c r="K51" s="56"/>
      <c r="L51" s="119"/>
      <c r="M51" s="130">
        <f t="shared" si="1"/>
        <v>0</v>
      </c>
      <c r="N51" s="131">
        <f t="shared" si="2"/>
        <v>0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7.0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7</v>
      </c>
      <c r="P52" s="116">
        <f t="shared" si="4"/>
        <v>7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0.0</v>
      </c>
      <c r="H53" s="119">
        <v>8.0</v>
      </c>
      <c r="I53" s="56"/>
      <c r="J53" s="119"/>
      <c r="K53" s="56"/>
      <c r="L53" s="119"/>
      <c r="M53" s="130">
        <f t="shared" si="1"/>
        <v>0</v>
      </c>
      <c r="N53" s="131">
        <f t="shared" si="2"/>
        <v>0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0.0</v>
      </c>
      <c r="H54" s="119">
        <v>10.0</v>
      </c>
      <c r="I54" s="56"/>
      <c r="J54" s="119"/>
      <c r="K54" s="56"/>
      <c r="L54" s="119"/>
      <c r="M54" s="130">
        <f t="shared" si="1"/>
        <v>0</v>
      </c>
      <c r="N54" s="131">
        <f t="shared" si="2"/>
        <v>0</v>
      </c>
      <c r="O54" s="132">
        <f t="shared" si="3"/>
        <v>10</v>
      </c>
      <c r="P54" s="116">
        <f t="shared" si="4"/>
        <v>10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0.0</v>
      </c>
      <c r="H55" s="119">
        <v>10.0</v>
      </c>
      <c r="I55" s="56"/>
      <c r="J55" s="119"/>
      <c r="K55" s="56"/>
      <c r="L55" s="119"/>
      <c r="M55" s="130">
        <f t="shared" si="1"/>
        <v>0</v>
      </c>
      <c r="N55" s="131">
        <f t="shared" si="2"/>
        <v>0</v>
      </c>
      <c r="O55" s="132">
        <f t="shared" si="3"/>
        <v>10</v>
      </c>
      <c r="P55" s="116">
        <f t="shared" si="4"/>
        <v>10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0.0</v>
      </c>
      <c r="H56" s="119">
        <v>7.0</v>
      </c>
      <c r="I56" s="56"/>
      <c r="J56" s="119"/>
      <c r="K56" s="56"/>
      <c r="L56" s="119"/>
      <c r="M56" s="130">
        <f t="shared" si="1"/>
        <v>0</v>
      </c>
      <c r="N56" s="131">
        <f t="shared" si="2"/>
        <v>0</v>
      </c>
      <c r="O56" s="132">
        <f t="shared" si="3"/>
        <v>7</v>
      </c>
      <c r="P56" s="116">
        <f t="shared" si="4"/>
        <v>7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0.0</v>
      </c>
      <c r="H57" s="119">
        <v>5.0</v>
      </c>
      <c r="I57" s="56"/>
      <c r="J57" s="119"/>
      <c r="K57" s="56"/>
      <c r="L57" s="119"/>
      <c r="M57" s="130">
        <f t="shared" si="1"/>
        <v>0</v>
      </c>
      <c r="N57" s="131">
        <f t="shared" si="2"/>
        <v>0</v>
      </c>
      <c r="O57" s="132">
        <f t="shared" si="3"/>
        <v>5</v>
      </c>
      <c r="P57" s="116">
        <f t="shared" si="4"/>
        <v>5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0.0</v>
      </c>
      <c r="H58" s="119">
        <v>8.0</v>
      </c>
      <c r="I58" s="56"/>
      <c r="J58" s="119"/>
      <c r="K58" s="56"/>
      <c r="L58" s="119"/>
      <c r="M58" s="130">
        <f t="shared" si="1"/>
        <v>0</v>
      </c>
      <c r="N58" s="131">
        <f t="shared" si="2"/>
        <v>0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10.0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10</v>
      </c>
      <c r="P59" s="116">
        <f t="shared" si="4"/>
        <v>10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10.0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10</v>
      </c>
      <c r="P60" s="116">
        <f t="shared" si="4"/>
        <v>10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10.0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10</v>
      </c>
      <c r="P61" s="116">
        <f t="shared" si="4"/>
        <v>10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9.0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9</v>
      </c>
      <c r="P62" s="116">
        <f t="shared" si="4"/>
        <v>9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10.0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10</v>
      </c>
      <c r="P63" s="116">
        <f t="shared" si="4"/>
        <v>10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0.0</v>
      </c>
      <c r="H64" s="119">
        <v>9.0</v>
      </c>
      <c r="I64" s="56"/>
      <c r="J64" s="119"/>
      <c r="K64" s="56"/>
      <c r="L64" s="119"/>
      <c r="M64" s="130">
        <f t="shared" si="1"/>
        <v>0</v>
      </c>
      <c r="N64" s="131">
        <f t="shared" si="2"/>
        <v>0</v>
      </c>
      <c r="O64" s="132">
        <f t="shared" si="3"/>
        <v>9</v>
      </c>
      <c r="P64" s="116">
        <f t="shared" si="4"/>
        <v>9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6</v>
      </c>
      <c r="H65" s="73">
        <f>AVERAGE(H12:H64)</f>
        <v>7.886792453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6</v>
      </c>
      <c r="N65" s="76" t="s">
        <v>170</v>
      </c>
      <c r="O65" s="77"/>
      <c r="P65" s="78">
        <f>AVERAGE(P6:P64)</f>
        <v>7.781818182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47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47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6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6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88.67924528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88.67924528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2.264150943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97.73584906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4.0</v>
      </c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3.0</v>
      </c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4.0</v>
      </c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12" t="s">
        <v>11</v>
      </c>
      <c r="K5" s="13" t="s">
        <v>12</v>
      </c>
      <c r="L5" s="12" t="s">
        <v>13</v>
      </c>
      <c r="M5" s="12">
        <v>1.0</v>
      </c>
      <c r="N5" s="14"/>
      <c r="O5" s="7" t="s">
        <v>14</v>
      </c>
      <c r="P5" s="7">
        <v>4.0</v>
      </c>
      <c r="Q5" s="1"/>
      <c r="R5" s="8"/>
    </row>
    <row r="6" ht="13.5" customHeight="1">
      <c r="A6" s="1"/>
      <c r="B6" s="1"/>
      <c r="D6" s="15"/>
      <c r="E6" s="15" t="s">
        <v>15</v>
      </c>
      <c r="F6" s="1"/>
      <c r="G6" s="16"/>
      <c r="H6" s="17"/>
      <c r="I6" s="17"/>
      <c r="J6" s="17"/>
      <c r="K6" s="5" t="s">
        <v>178</v>
      </c>
      <c r="L6" s="136" t="s">
        <v>188</v>
      </c>
      <c r="N6" s="137"/>
      <c r="O6" s="7" t="s">
        <v>18</v>
      </c>
      <c r="P6" s="7">
        <v>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A67</f>
        <v>28</v>
      </c>
      <c r="I7" s="1"/>
      <c r="J7" s="1"/>
      <c r="K7" s="1"/>
      <c r="L7" s="17"/>
      <c r="M7" s="17"/>
      <c r="N7" s="19"/>
      <c r="O7" s="146" t="s">
        <v>20</v>
      </c>
      <c r="P7" s="7">
        <v>4.0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B67</f>
        <v>25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23</v>
      </c>
      <c r="Q8" s="22"/>
      <c r="R8" s="8"/>
    </row>
    <row r="9" ht="13.5" customHeight="1">
      <c r="A9" s="1"/>
      <c r="B9" s="1"/>
      <c r="C9" s="1"/>
      <c r="D9" s="1"/>
      <c r="E9" s="1"/>
      <c r="F9" s="1"/>
      <c r="G9" s="7" t="s">
        <v>22</v>
      </c>
      <c r="H9" s="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7"/>
      <c r="F10" s="1"/>
      <c r="G10" s="147" t="s">
        <v>26</v>
      </c>
      <c r="H10" s="148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104"/>
    </row>
    <row r="11" ht="23.25" customHeight="1">
      <c r="A11" s="35" t="s">
        <v>30</v>
      </c>
      <c r="B11" s="36" t="s">
        <v>31</v>
      </c>
      <c r="C11" s="149"/>
      <c r="F11" s="1"/>
      <c r="G11" s="38" t="s">
        <v>32</v>
      </c>
      <c r="H11" s="38" t="s">
        <v>33</v>
      </c>
      <c r="I11" s="38" t="s">
        <v>32</v>
      </c>
      <c r="J11" s="38" t="s">
        <v>33</v>
      </c>
      <c r="K11" s="38" t="s">
        <v>32</v>
      </c>
      <c r="L11" s="39" t="s">
        <v>33</v>
      </c>
      <c r="M11" s="105" t="s">
        <v>34</v>
      </c>
      <c r="N11" s="106" t="s">
        <v>35</v>
      </c>
      <c r="O11" s="107" t="s">
        <v>36</v>
      </c>
      <c r="P11" s="108" t="s">
        <v>37</v>
      </c>
      <c r="Q11" s="109" t="s">
        <v>38</v>
      </c>
      <c r="R11" s="110" t="s">
        <v>39</v>
      </c>
    </row>
    <row r="12" ht="12.75" customHeight="1">
      <c r="A12" s="43"/>
      <c r="B12" s="43">
        <v>1.0</v>
      </c>
      <c r="C12" s="44" t="s">
        <v>40</v>
      </c>
      <c r="D12" s="45" t="s">
        <v>41</v>
      </c>
      <c r="E12" s="44" t="s">
        <v>42</v>
      </c>
      <c r="F12" s="1"/>
      <c r="G12" s="111">
        <v>0.0</v>
      </c>
      <c r="H12" s="112">
        <v>9.0</v>
      </c>
      <c r="I12" s="111"/>
      <c r="J12" s="112"/>
      <c r="K12" s="111"/>
      <c r="L12" s="112"/>
      <c r="M12" s="130">
        <f t="shared" ref="M12:M64" si="1">G12+I12+K12</f>
        <v>0</v>
      </c>
      <c r="N12" s="131">
        <f t="shared" ref="N12:N64" si="2">(M12*100)/$P$8</f>
        <v>0</v>
      </c>
      <c r="O12" s="132">
        <f t="shared" ref="O12:O64" si="3">H12+J12+L12</f>
        <v>9</v>
      </c>
      <c r="P12" s="116">
        <f t="shared" ref="P12:P64" si="4">IF(AVERAGE(H12,J12,L12)&lt;6,(5),(ROUND(AVERAGE(H12,J12,L12),0)))</f>
        <v>9</v>
      </c>
      <c r="Q12" s="52"/>
      <c r="R12" s="133" t="str">
        <f t="shared" ref="R12:R64" si="5">IF(N12&gt;20,"EXTRA","ORD")</f>
        <v>ORD</v>
      </c>
    </row>
    <row r="13" ht="12.75" customHeight="1">
      <c r="A13" s="54"/>
      <c r="B13" s="55">
        <v>2.0</v>
      </c>
      <c r="C13" s="45" t="s">
        <v>43</v>
      </c>
      <c r="D13" s="44" t="s">
        <v>44</v>
      </c>
      <c r="E13" s="44" t="s">
        <v>45</v>
      </c>
      <c r="F13" s="1"/>
      <c r="G13" s="111">
        <v>2.0</v>
      </c>
      <c r="H13" s="119">
        <v>8.0</v>
      </c>
      <c r="I13" s="56"/>
      <c r="J13" s="119"/>
      <c r="K13" s="56"/>
      <c r="L13" s="119"/>
      <c r="M13" s="130">
        <f t="shared" si="1"/>
        <v>2</v>
      </c>
      <c r="N13" s="131">
        <f t="shared" si="2"/>
        <v>8.695652174</v>
      </c>
      <c r="O13" s="132">
        <f t="shared" si="3"/>
        <v>8</v>
      </c>
      <c r="P13" s="116">
        <f t="shared" si="4"/>
        <v>8</v>
      </c>
      <c r="Q13" s="52"/>
      <c r="R13" s="133" t="str">
        <f t="shared" si="5"/>
        <v>ORD</v>
      </c>
      <c r="S13" s="58"/>
    </row>
    <row r="14" ht="12.75" customHeight="1">
      <c r="A14" s="54"/>
      <c r="B14" s="55">
        <v>3.0</v>
      </c>
      <c r="C14" s="45" t="s">
        <v>46</v>
      </c>
      <c r="D14" s="44" t="s">
        <v>47</v>
      </c>
      <c r="E14" s="44" t="s">
        <v>48</v>
      </c>
      <c r="F14" s="1"/>
      <c r="G14" s="111">
        <v>3.0</v>
      </c>
      <c r="H14" s="119">
        <v>7.0</v>
      </c>
      <c r="I14" s="56"/>
      <c r="J14" s="119"/>
      <c r="K14" s="56"/>
      <c r="L14" s="119"/>
      <c r="M14" s="130">
        <f t="shared" si="1"/>
        <v>3</v>
      </c>
      <c r="N14" s="131">
        <f t="shared" si="2"/>
        <v>13.04347826</v>
      </c>
      <c r="O14" s="132">
        <f t="shared" si="3"/>
        <v>7</v>
      </c>
      <c r="P14" s="116">
        <f t="shared" si="4"/>
        <v>7</v>
      </c>
      <c r="Q14" s="52"/>
      <c r="R14" s="133" t="str">
        <f t="shared" si="5"/>
        <v>ORD</v>
      </c>
      <c r="S14" s="58"/>
    </row>
    <row r="15" ht="12.75" customHeight="1">
      <c r="A15" s="54">
        <v>4.0</v>
      </c>
      <c r="B15" s="55"/>
      <c r="C15" s="45" t="s">
        <v>49</v>
      </c>
      <c r="D15" s="44" t="s">
        <v>50</v>
      </c>
      <c r="E15" s="44" t="s">
        <v>51</v>
      </c>
      <c r="F15" s="1"/>
      <c r="G15" s="111">
        <v>1.0</v>
      </c>
      <c r="H15" s="119">
        <v>7.0</v>
      </c>
      <c r="I15" s="56"/>
      <c r="J15" s="119"/>
      <c r="K15" s="56"/>
      <c r="L15" s="119"/>
      <c r="M15" s="130">
        <f t="shared" si="1"/>
        <v>1</v>
      </c>
      <c r="N15" s="131">
        <f t="shared" si="2"/>
        <v>4.347826087</v>
      </c>
      <c r="O15" s="132">
        <f t="shared" si="3"/>
        <v>7</v>
      </c>
      <c r="P15" s="116">
        <f t="shared" si="4"/>
        <v>7</v>
      </c>
      <c r="Q15" s="52"/>
      <c r="R15" s="133" t="str">
        <f t="shared" si="5"/>
        <v>ORD</v>
      </c>
      <c r="S15" s="58"/>
    </row>
    <row r="16" ht="12.75" customHeight="1">
      <c r="A16" s="54">
        <v>5.0</v>
      </c>
      <c r="B16" s="55"/>
      <c r="C16" s="45" t="s">
        <v>52</v>
      </c>
      <c r="D16" s="44" t="s">
        <v>53</v>
      </c>
      <c r="E16" s="44" t="s">
        <v>54</v>
      </c>
      <c r="F16" s="1"/>
      <c r="G16" s="111">
        <v>0.0</v>
      </c>
      <c r="H16" s="119">
        <v>8.0</v>
      </c>
      <c r="I16" s="56"/>
      <c r="J16" s="119"/>
      <c r="K16" s="56"/>
      <c r="L16" s="119"/>
      <c r="M16" s="130">
        <f t="shared" si="1"/>
        <v>0</v>
      </c>
      <c r="N16" s="131">
        <f t="shared" si="2"/>
        <v>0</v>
      </c>
      <c r="O16" s="132">
        <f t="shared" si="3"/>
        <v>8</v>
      </c>
      <c r="P16" s="116">
        <f t="shared" si="4"/>
        <v>8</v>
      </c>
      <c r="Q16" s="52"/>
      <c r="R16" s="133" t="str">
        <f t="shared" si="5"/>
        <v>ORD</v>
      </c>
      <c r="S16" s="58"/>
    </row>
    <row r="17" ht="12.75" customHeight="1">
      <c r="A17" s="54"/>
      <c r="B17" s="55">
        <v>6.0</v>
      </c>
      <c r="C17" s="45" t="s">
        <v>55</v>
      </c>
      <c r="D17" s="44" t="s">
        <v>56</v>
      </c>
      <c r="E17" s="44" t="s">
        <v>57</v>
      </c>
      <c r="F17" s="1"/>
      <c r="G17" s="111">
        <v>1.0</v>
      </c>
      <c r="H17" s="119">
        <v>7.0</v>
      </c>
      <c r="I17" s="56"/>
      <c r="J17" s="119"/>
      <c r="K17" s="56"/>
      <c r="L17" s="119"/>
      <c r="M17" s="130">
        <f t="shared" si="1"/>
        <v>1</v>
      </c>
      <c r="N17" s="131">
        <f t="shared" si="2"/>
        <v>4.347826087</v>
      </c>
      <c r="O17" s="132">
        <f t="shared" si="3"/>
        <v>7</v>
      </c>
      <c r="P17" s="116">
        <f t="shared" si="4"/>
        <v>7</v>
      </c>
      <c r="Q17" s="52"/>
      <c r="R17" s="133" t="str">
        <f t="shared" si="5"/>
        <v>ORD</v>
      </c>
      <c r="S17" s="58"/>
    </row>
    <row r="18" ht="12.75" customHeight="1">
      <c r="A18" s="54">
        <v>7.0</v>
      </c>
      <c r="B18" s="55"/>
      <c r="C18" s="45" t="s">
        <v>58</v>
      </c>
      <c r="D18" s="44" t="s">
        <v>59</v>
      </c>
      <c r="E18" s="44" t="s">
        <v>60</v>
      </c>
      <c r="F18" s="1"/>
      <c r="G18" s="111">
        <v>0.0</v>
      </c>
      <c r="H18" s="119">
        <v>7.0</v>
      </c>
      <c r="I18" s="56"/>
      <c r="J18" s="120"/>
      <c r="K18" s="56"/>
      <c r="L18" s="119"/>
      <c r="M18" s="130">
        <f t="shared" si="1"/>
        <v>0</v>
      </c>
      <c r="N18" s="131">
        <f t="shared" si="2"/>
        <v>0</v>
      </c>
      <c r="O18" s="132">
        <f t="shared" si="3"/>
        <v>7</v>
      </c>
      <c r="P18" s="116">
        <f t="shared" si="4"/>
        <v>7</v>
      </c>
      <c r="Q18" s="52"/>
      <c r="R18" s="133" t="str">
        <f t="shared" si="5"/>
        <v>ORD</v>
      </c>
      <c r="S18" s="58"/>
    </row>
    <row r="19" ht="12.75" customHeight="1">
      <c r="A19" s="54">
        <v>8.0</v>
      </c>
      <c r="B19" s="55"/>
      <c r="C19" s="45" t="s">
        <v>61</v>
      </c>
      <c r="D19" s="44" t="s">
        <v>62</v>
      </c>
      <c r="E19" s="44" t="s">
        <v>63</v>
      </c>
      <c r="F19" s="1"/>
      <c r="G19" s="111">
        <v>0.0</v>
      </c>
      <c r="H19" s="119">
        <v>5.0</v>
      </c>
      <c r="I19" s="56"/>
      <c r="J19" s="119"/>
      <c r="K19" s="56"/>
      <c r="L19" s="119"/>
      <c r="M19" s="130">
        <f t="shared" si="1"/>
        <v>0</v>
      </c>
      <c r="N19" s="131">
        <f t="shared" si="2"/>
        <v>0</v>
      </c>
      <c r="O19" s="132">
        <f t="shared" si="3"/>
        <v>5</v>
      </c>
      <c r="P19" s="116">
        <f t="shared" si="4"/>
        <v>5</v>
      </c>
      <c r="Q19" s="52"/>
      <c r="R19" s="133" t="str">
        <f t="shared" si="5"/>
        <v>ORD</v>
      </c>
      <c r="S19" s="58"/>
    </row>
    <row r="20" ht="12.75" customHeight="1">
      <c r="A20" s="54"/>
      <c r="B20" s="55">
        <v>9.0</v>
      </c>
      <c r="C20" s="45" t="s">
        <v>64</v>
      </c>
      <c r="D20" s="44" t="s">
        <v>41</v>
      </c>
      <c r="E20" s="44" t="s">
        <v>65</v>
      </c>
      <c r="F20" s="1"/>
      <c r="G20" s="111">
        <v>3.0</v>
      </c>
      <c r="H20" s="119">
        <v>6.0</v>
      </c>
      <c r="I20" s="56"/>
      <c r="J20" s="119"/>
      <c r="K20" s="56"/>
      <c r="L20" s="119"/>
      <c r="M20" s="130">
        <f t="shared" si="1"/>
        <v>3</v>
      </c>
      <c r="N20" s="131">
        <f t="shared" si="2"/>
        <v>13.04347826</v>
      </c>
      <c r="O20" s="132">
        <f t="shared" si="3"/>
        <v>6</v>
      </c>
      <c r="P20" s="116">
        <f t="shared" si="4"/>
        <v>6</v>
      </c>
      <c r="Q20" s="52"/>
      <c r="R20" s="133" t="str">
        <f t="shared" si="5"/>
        <v>ORD</v>
      </c>
      <c r="S20" s="58"/>
    </row>
    <row r="21" ht="12.75" customHeight="1">
      <c r="A21" s="54"/>
      <c r="B21" s="55">
        <v>10.0</v>
      </c>
      <c r="C21" s="45" t="s">
        <v>66</v>
      </c>
      <c r="D21" s="44" t="s">
        <v>67</v>
      </c>
      <c r="E21" s="44" t="s">
        <v>68</v>
      </c>
      <c r="F21" s="1"/>
      <c r="G21" s="111">
        <v>0.0</v>
      </c>
      <c r="H21" s="119">
        <v>6.0</v>
      </c>
      <c r="I21" s="56"/>
      <c r="J21" s="119"/>
      <c r="K21" s="56"/>
      <c r="L21" s="119"/>
      <c r="M21" s="130">
        <f t="shared" si="1"/>
        <v>0</v>
      </c>
      <c r="N21" s="131">
        <f t="shared" si="2"/>
        <v>0</v>
      </c>
      <c r="O21" s="132">
        <f t="shared" si="3"/>
        <v>6</v>
      </c>
      <c r="P21" s="116">
        <f t="shared" si="4"/>
        <v>6</v>
      </c>
      <c r="Q21" s="52"/>
      <c r="R21" s="133" t="str">
        <f t="shared" si="5"/>
        <v>ORD</v>
      </c>
      <c r="S21" s="58"/>
    </row>
    <row r="22" ht="12.75" customHeight="1">
      <c r="A22" s="54">
        <v>11.0</v>
      </c>
      <c r="B22" s="55"/>
      <c r="C22" s="45" t="s">
        <v>69</v>
      </c>
      <c r="D22" s="44" t="s">
        <v>70</v>
      </c>
      <c r="E22" s="44" t="s">
        <v>71</v>
      </c>
      <c r="F22" s="1"/>
      <c r="G22" s="111">
        <v>1.0</v>
      </c>
      <c r="H22" s="119">
        <v>7.0</v>
      </c>
      <c r="I22" s="56"/>
      <c r="J22" s="119"/>
      <c r="K22" s="56"/>
      <c r="L22" s="119"/>
      <c r="M22" s="130">
        <f t="shared" si="1"/>
        <v>1</v>
      </c>
      <c r="N22" s="131">
        <f t="shared" si="2"/>
        <v>4.347826087</v>
      </c>
      <c r="O22" s="132">
        <f t="shared" si="3"/>
        <v>7</v>
      </c>
      <c r="P22" s="116">
        <f t="shared" si="4"/>
        <v>7</v>
      </c>
      <c r="Q22" s="52"/>
      <c r="R22" s="133" t="str">
        <f t="shared" si="5"/>
        <v>ORD</v>
      </c>
      <c r="S22" s="58"/>
    </row>
    <row r="23" ht="12.75" customHeight="1">
      <c r="A23" s="54"/>
      <c r="B23" s="55">
        <v>12.0</v>
      </c>
      <c r="C23" s="45" t="s">
        <v>72</v>
      </c>
      <c r="D23" s="44" t="s">
        <v>73</v>
      </c>
      <c r="E23" s="44" t="s">
        <v>74</v>
      </c>
      <c r="F23" s="1"/>
      <c r="G23" s="111">
        <v>0.0</v>
      </c>
      <c r="H23" s="119">
        <v>6.0</v>
      </c>
      <c r="I23" s="56"/>
      <c r="J23" s="119"/>
      <c r="K23" s="56"/>
      <c r="L23" s="119"/>
      <c r="M23" s="130">
        <f t="shared" si="1"/>
        <v>0</v>
      </c>
      <c r="N23" s="131">
        <f t="shared" si="2"/>
        <v>0</v>
      </c>
      <c r="O23" s="132">
        <f t="shared" si="3"/>
        <v>6</v>
      </c>
      <c r="P23" s="116">
        <f t="shared" si="4"/>
        <v>6</v>
      </c>
      <c r="Q23" s="52"/>
      <c r="R23" s="133" t="str">
        <f t="shared" si="5"/>
        <v>ORD</v>
      </c>
      <c r="S23" s="58"/>
    </row>
    <row r="24" ht="12.75" customHeight="1">
      <c r="A24" s="54">
        <v>13.0</v>
      </c>
      <c r="B24" s="55"/>
      <c r="C24" s="45" t="s">
        <v>72</v>
      </c>
      <c r="D24" s="44" t="s">
        <v>75</v>
      </c>
      <c r="E24" s="44" t="s">
        <v>76</v>
      </c>
      <c r="F24" s="1"/>
      <c r="G24" s="111">
        <v>0.0</v>
      </c>
      <c r="H24" s="119">
        <v>5.0</v>
      </c>
      <c r="I24" s="56"/>
      <c r="J24" s="119"/>
      <c r="K24" s="56"/>
      <c r="L24" s="119"/>
      <c r="M24" s="130">
        <f t="shared" si="1"/>
        <v>0</v>
      </c>
      <c r="N24" s="131">
        <f t="shared" si="2"/>
        <v>0</v>
      </c>
      <c r="O24" s="132">
        <f t="shared" si="3"/>
        <v>5</v>
      </c>
      <c r="P24" s="116">
        <f t="shared" si="4"/>
        <v>5</v>
      </c>
      <c r="Q24" s="52"/>
      <c r="R24" s="133" t="str">
        <f t="shared" si="5"/>
        <v>ORD</v>
      </c>
      <c r="S24" s="58"/>
    </row>
    <row r="25" ht="12.75" customHeight="1">
      <c r="A25" s="54"/>
      <c r="B25" s="55">
        <v>14.0</v>
      </c>
      <c r="C25" s="45" t="s">
        <v>77</v>
      </c>
      <c r="D25" s="44" t="s">
        <v>78</v>
      </c>
      <c r="E25" s="44" t="s">
        <v>79</v>
      </c>
      <c r="F25" s="1"/>
      <c r="G25" s="111">
        <v>1.0</v>
      </c>
      <c r="H25" s="119">
        <v>7.0</v>
      </c>
      <c r="I25" s="56"/>
      <c r="J25" s="119"/>
      <c r="K25" s="56"/>
      <c r="L25" s="119"/>
      <c r="M25" s="130">
        <f t="shared" si="1"/>
        <v>1</v>
      </c>
      <c r="N25" s="131">
        <f t="shared" si="2"/>
        <v>4.347826087</v>
      </c>
      <c r="O25" s="132">
        <f t="shared" si="3"/>
        <v>7</v>
      </c>
      <c r="P25" s="116">
        <f t="shared" si="4"/>
        <v>7</v>
      </c>
      <c r="Q25" s="52"/>
      <c r="R25" s="133" t="str">
        <f t="shared" si="5"/>
        <v>ORD</v>
      </c>
      <c r="S25" s="58"/>
    </row>
    <row r="26" ht="12.75" customHeight="1">
      <c r="A26" s="54">
        <v>15.0</v>
      </c>
      <c r="B26" s="55"/>
      <c r="C26" s="45" t="s">
        <v>80</v>
      </c>
      <c r="D26" s="44" t="s">
        <v>81</v>
      </c>
      <c r="E26" s="44" t="s">
        <v>82</v>
      </c>
      <c r="F26" s="1"/>
      <c r="G26" s="111">
        <v>0.0</v>
      </c>
      <c r="H26" s="119">
        <v>7.0</v>
      </c>
      <c r="I26" s="56"/>
      <c r="J26" s="119"/>
      <c r="K26" s="56"/>
      <c r="L26" s="119"/>
      <c r="M26" s="130">
        <f t="shared" si="1"/>
        <v>0</v>
      </c>
      <c r="N26" s="131">
        <f t="shared" si="2"/>
        <v>0</v>
      </c>
      <c r="O26" s="132">
        <f t="shared" si="3"/>
        <v>7</v>
      </c>
      <c r="P26" s="116">
        <f t="shared" si="4"/>
        <v>7</v>
      </c>
      <c r="Q26" s="52"/>
      <c r="R26" s="133" t="str">
        <f t="shared" si="5"/>
        <v>ORD</v>
      </c>
      <c r="S26" s="58"/>
    </row>
    <row r="27" ht="12.75" customHeight="1">
      <c r="A27" s="54">
        <v>16.0</v>
      </c>
      <c r="B27" s="55"/>
      <c r="C27" s="45" t="s">
        <v>83</v>
      </c>
      <c r="D27" s="44" t="s">
        <v>84</v>
      </c>
      <c r="E27" s="44" t="s">
        <v>85</v>
      </c>
      <c r="F27" s="1"/>
      <c r="G27" s="111">
        <v>0.0</v>
      </c>
      <c r="H27" s="119">
        <v>7.0</v>
      </c>
      <c r="I27" s="56"/>
      <c r="J27" s="119"/>
      <c r="K27" s="56"/>
      <c r="L27" s="119"/>
      <c r="M27" s="130">
        <f t="shared" si="1"/>
        <v>0</v>
      </c>
      <c r="N27" s="131">
        <f t="shared" si="2"/>
        <v>0</v>
      </c>
      <c r="O27" s="132">
        <f t="shared" si="3"/>
        <v>7</v>
      </c>
      <c r="P27" s="116">
        <f t="shared" si="4"/>
        <v>7</v>
      </c>
      <c r="Q27" s="52"/>
      <c r="R27" s="133" t="str">
        <f t="shared" si="5"/>
        <v>ORD</v>
      </c>
      <c r="S27" s="58"/>
    </row>
    <row r="28" ht="12.75" customHeight="1">
      <c r="A28" s="54"/>
      <c r="B28" s="55">
        <v>17.0</v>
      </c>
      <c r="C28" s="45" t="s">
        <v>86</v>
      </c>
      <c r="D28" s="44" t="s">
        <v>87</v>
      </c>
      <c r="E28" s="44" t="s">
        <v>88</v>
      </c>
      <c r="F28" s="1"/>
      <c r="G28" s="111">
        <v>2.0</v>
      </c>
      <c r="H28" s="119">
        <v>8.0</v>
      </c>
      <c r="I28" s="56"/>
      <c r="J28" s="119"/>
      <c r="K28" s="56"/>
      <c r="L28" s="119"/>
      <c r="M28" s="130">
        <f t="shared" si="1"/>
        <v>2</v>
      </c>
      <c r="N28" s="131">
        <f t="shared" si="2"/>
        <v>8.695652174</v>
      </c>
      <c r="O28" s="132">
        <f t="shared" si="3"/>
        <v>8</v>
      </c>
      <c r="P28" s="116">
        <f t="shared" si="4"/>
        <v>8</v>
      </c>
      <c r="Q28" s="52"/>
      <c r="R28" s="133" t="str">
        <f t="shared" si="5"/>
        <v>ORD</v>
      </c>
      <c r="S28" s="58"/>
    </row>
    <row r="29" ht="12.75" customHeight="1">
      <c r="A29" s="54">
        <v>18.0</v>
      </c>
      <c r="B29" s="55"/>
      <c r="C29" s="45" t="s">
        <v>89</v>
      </c>
      <c r="D29" s="44" t="s">
        <v>41</v>
      </c>
      <c r="E29" s="44" t="s">
        <v>90</v>
      </c>
      <c r="F29" s="1"/>
      <c r="G29" s="111">
        <v>0.0</v>
      </c>
      <c r="H29" s="119">
        <v>6.0</v>
      </c>
      <c r="I29" s="56"/>
      <c r="J29" s="119"/>
      <c r="K29" s="56"/>
      <c r="L29" s="119"/>
      <c r="M29" s="130">
        <f t="shared" si="1"/>
        <v>0</v>
      </c>
      <c r="N29" s="131">
        <f t="shared" si="2"/>
        <v>0</v>
      </c>
      <c r="O29" s="132">
        <f t="shared" si="3"/>
        <v>6</v>
      </c>
      <c r="P29" s="116">
        <f t="shared" si="4"/>
        <v>6</v>
      </c>
      <c r="Q29" s="52"/>
      <c r="R29" s="133" t="str">
        <f t="shared" si="5"/>
        <v>ORD</v>
      </c>
      <c r="S29" s="58"/>
    </row>
    <row r="30" ht="12.75" customHeight="1">
      <c r="A30" s="54"/>
      <c r="B30" s="55">
        <v>19.0</v>
      </c>
      <c r="C30" s="45" t="s">
        <v>91</v>
      </c>
      <c r="D30" s="44" t="s">
        <v>72</v>
      </c>
      <c r="E30" s="44" t="s">
        <v>92</v>
      </c>
      <c r="F30" s="1"/>
      <c r="G30" s="111">
        <v>1.0</v>
      </c>
      <c r="H30" s="119">
        <v>7.0</v>
      </c>
      <c r="I30" s="56"/>
      <c r="J30" s="119"/>
      <c r="K30" s="56"/>
      <c r="L30" s="119"/>
      <c r="M30" s="130">
        <f t="shared" si="1"/>
        <v>1</v>
      </c>
      <c r="N30" s="131">
        <f t="shared" si="2"/>
        <v>4.347826087</v>
      </c>
      <c r="O30" s="132">
        <f t="shared" si="3"/>
        <v>7</v>
      </c>
      <c r="P30" s="116">
        <f t="shared" si="4"/>
        <v>7</v>
      </c>
      <c r="Q30" s="52"/>
      <c r="R30" s="133" t="str">
        <f t="shared" si="5"/>
        <v>ORD</v>
      </c>
      <c r="S30" s="58"/>
    </row>
    <row r="31" ht="12.75" customHeight="1">
      <c r="A31" s="54"/>
      <c r="B31" s="55">
        <v>20.0</v>
      </c>
      <c r="C31" s="45" t="s">
        <v>93</v>
      </c>
      <c r="D31" s="44" t="s">
        <v>94</v>
      </c>
      <c r="E31" s="44" t="s">
        <v>95</v>
      </c>
      <c r="F31" s="1"/>
      <c r="G31" s="111">
        <v>0.0</v>
      </c>
      <c r="H31" s="119">
        <v>7.0</v>
      </c>
      <c r="I31" s="56"/>
      <c r="J31" s="119"/>
      <c r="K31" s="56"/>
      <c r="L31" s="119"/>
      <c r="M31" s="130">
        <f t="shared" si="1"/>
        <v>0</v>
      </c>
      <c r="N31" s="131">
        <f t="shared" si="2"/>
        <v>0</v>
      </c>
      <c r="O31" s="132">
        <f t="shared" si="3"/>
        <v>7</v>
      </c>
      <c r="P31" s="116">
        <f t="shared" si="4"/>
        <v>7</v>
      </c>
      <c r="Q31" s="52"/>
      <c r="R31" s="133" t="str">
        <f t="shared" si="5"/>
        <v>ORD</v>
      </c>
      <c r="S31" s="58"/>
    </row>
    <row r="32" ht="12.75" customHeight="1">
      <c r="A32" s="54">
        <v>21.0</v>
      </c>
      <c r="B32" s="55"/>
      <c r="C32" s="45" t="s">
        <v>93</v>
      </c>
      <c r="D32" s="44" t="s">
        <v>96</v>
      </c>
      <c r="E32" s="44" t="s">
        <v>97</v>
      </c>
      <c r="F32" s="1"/>
      <c r="G32" s="111">
        <v>0.0</v>
      </c>
      <c r="H32" s="119">
        <v>6.0</v>
      </c>
      <c r="I32" s="56"/>
      <c r="J32" s="119"/>
      <c r="K32" s="56"/>
      <c r="L32" s="119"/>
      <c r="M32" s="130">
        <f t="shared" si="1"/>
        <v>0</v>
      </c>
      <c r="N32" s="131">
        <f t="shared" si="2"/>
        <v>0</v>
      </c>
      <c r="O32" s="132">
        <f t="shared" si="3"/>
        <v>6</v>
      </c>
      <c r="P32" s="116">
        <f t="shared" si="4"/>
        <v>6</v>
      </c>
      <c r="Q32" s="52"/>
      <c r="R32" s="133" t="str">
        <f t="shared" si="5"/>
        <v>ORD</v>
      </c>
      <c r="S32" s="58"/>
    </row>
    <row r="33" ht="12.75" customHeight="1">
      <c r="A33" s="54">
        <v>22.0</v>
      </c>
      <c r="B33" s="55"/>
      <c r="C33" s="45" t="s">
        <v>98</v>
      </c>
      <c r="D33" s="44" t="s">
        <v>99</v>
      </c>
      <c r="E33" s="44" t="s">
        <v>100</v>
      </c>
      <c r="F33" s="1"/>
      <c r="G33" s="111">
        <v>1.0</v>
      </c>
      <c r="H33" s="119">
        <v>6.0</v>
      </c>
      <c r="I33" s="56"/>
      <c r="J33" s="119"/>
      <c r="K33" s="56"/>
      <c r="L33" s="119"/>
      <c r="M33" s="130">
        <f t="shared" si="1"/>
        <v>1</v>
      </c>
      <c r="N33" s="131">
        <f t="shared" si="2"/>
        <v>4.347826087</v>
      </c>
      <c r="O33" s="132">
        <f t="shared" si="3"/>
        <v>6</v>
      </c>
      <c r="P33" s="116">
        <f t="shared" si="4"/>
        <v>6</v>
      </c>
      <c r="Q33" s="52"/>
      <c r="R33" s="133" t="str">
        <f t="shared" si="5"/>
        <v>ORD</v>
      </c>
      <c r="S33" s="58"/>
    </row>
    <row r="34" ht="12.75" customHeight="1">
      <c r="A34" s="54">
        <v>23.0</v>
      </c>
      <c r="B34" s="55"/>
      <c r="C34" s="45" t="s">
        <v>101</v>
      </c>
      <c r="D34" s="44" t="s">
        <v>102</v>
      </c>
      <c r="E34" s="44" t="s">
        <v>103</v>
      </c>
      <c r="F34" s="1"/>
      <c r="G34" s="111">
        <v>0.0</v>
      </c>
      <c r="H34" s="119">
        <v>8.0</v>
      </c>
      <c r="I34" s="56"/>
      <c r="J34" s="120"/>
      <c r="K34" s="56"/>
      <c r="L34" s="119"/>
      <c r="M34" s="130">
        <f t="shared" si="1"/>
        <v>0</v>
      </c>
      <c r="N34" s="131">
        <f t="shared" si="2"/>
        <v>0</v>
      </c>
      <c r="O34" s="132">
        <f t="shared" si="3"/>
        <v>8</v>
      </c>
      <c r="P34" s="116">
        <f t="shared" si="4"/>
        <v>8</v>
      </c>
      <c r="Q34" s="52"/>
      <c r="R34" s="133" t="str">
        <f t="shared" si="5"/>
        <v>ORD</v>
      </c>
      <c r="S34" s="58"/>
    </row>
    <row r="35" ht="12.75" customHeight="1">
      <c r="A35" s="54"/>
      <c r="B35" s="55">
        <v>24.0</v>
      </c>
      <c r="C35" s="45" t="s">
        <v>104</v>
      </c>
      <c r="D35" s="44" t="s">
        <v>105</v>
      </c>
      <c r="E35" s="44" t="s">
        <v>106</v>
      </c>
      <c r="F35" s="1"/>
      <c r="G35" s="111">
        <v>0.0</v>
      </c>
      <c r="H35" s="119">
        <v>7.0</v>
      </c>
      <c r="I35" s="56"/>
      <c r="J35" s="119"/>
      <c r="K35" s="56"/>
      <c r="L35" s="119"/>
      <c r="M35" s="130">
        <f t="shared" si="1"/>
        <v>0</v>
      </c>
      <c r="N35" s="131">
        <f t="shared" si="2"/>
        <v>0</v>
      </c>
      <c r="O35" s="132">
        <f t="shared" si="3"/>
        <v>7</v>
      </c>
      <c r="P35" s="116">
        <f t="shared" si="4"/>
        <v>7</v>
      </c>
      <c r="Q35" s="52"/>
      <c r="R35" s="133" t="str">
        <f t="shared" si="5"/>
        <v>ORD</v>
      </c>
      <c r="S35" s="58"/>
    </row>
    <row r="36" ht="12.75" customHeight="1">
      <c r="A36" s="54"/>
      <c r="B36" s="55">
        <v>25.0</v>
      </c>
      <c r="C36" s="45" t="s">
        <v>107</v>
      </c>
      <c r="D36" s="44" t="s">
        <v>108</v>
      </c>
      <c r="E36" s="44" t="s">
        <v>109</v>
      </c>
      <c r="F36" s="1"/>
      <c r="G36" s="111">
        <v>0.0</v>
      </c>
      <c r="H36" s="123">
        <v>7.0</v>
      </c>
      <c r="I36" s="56"/>
      <c r="J36" s="119"/>
      <c r="K36" s="56"/>
      <c r="L36" s="119"/>
      <c r="M36" s="130">
        <f t="shared" si="1"/>
        <v>0</v>
      </c>
      <c r="N36" s="131">
        <f t="shared" si="2"/>
        <v>0</v>
      </c>
      <c r="O36" s="132">
        <f t="shared" si="3"/>
        <v>7</v>
      </c>
      <c r="P36" s="116">
        <f t="shared" si="4"/>
        <v>7</v>
      </c>
      <c r="Q36" s="52"/>
      <c r="R36" s="133" t="str">
        <f t="shared" si="5"/>
        <v>ORD</v>
      </c>
      <c r="S36" s="58"/>
    </row>
    <row r="37" ht="12.75" customHeight="1">
      <c r="A37" s="54"/>
      <c r="B37" s="55">
        <v>26.0</v>
      </c>
      <c r="C37" s="45" t="s">
        <v>110</v>
      </c>
      <c r="D37" s="44" t="s">
        <v>111</v>
      </c>
      <c r="E37" s="44" t="s">
        <v>112</v>
      </c>
      <c r="F37" s="1"/>
      <c r="G37" s="111">
        <v>0.0</v>
      </c>
      <c r="H37" s="119">
        <v>7.0</v>
      </c>
      <c r="I37" s="56"/>
      <c r="J37" s="119"/>
      <c r="K37" s="56"/>
      <c r="L37" s="119"/>
      <c r="M37" s="130">
        <f t="shared" si="1"/>
        <v>0</v>
      </c>
      <c r="N37" s="131">
        <f t="shared" si="2"/>
        <v>0</v>
      </c>
      <c r="O37" s="132">
        <f t="shared" si="3"/>
        <v>7</v>
      </c>
      <c r="P37" s="116">
        <f t="shared" si="4"/>
        <v>7</v>
      </c>
      <c r="Q37" s="52"/>
      <c r="R37" s="133" t="str">
        <f t="shared" si="5"/>
        <v>ORD</v>
      </c>
      <c r="S37" s="58"/>
    </row>
    <row r="38" ht="12.75" customHeight="1">
      <c r="A38" s="54">
        <v>27.0</v>
      </c>
      <c r="B38" s="55"/>
      <c r="C38" s="45" t="s">
        <v>41</v>
      </c>
      <c r="D38" s="44" t="s">
        <v>87</v>
      </c>
      <c r="E38" s="44" t="s">
        <v>113</v>
      </c>
      <c r="F38" s="1"/>
      <c r="G38" s="111">
        <v>0.0</v>
      </c>
      <c r="H38" s="119">
        <v>7.0</v>
      </c>
      <c r="I38" s="56"/>
      <c r="J38" s="119"/>
      <c r="K38" s="56"/>
      <c r="L38" s="119"/>
      <c r="M38" s="130">
        <f t="shared" si="1"/>
        <v>0</v>
      </c>
      <c r="N38" s="131">
        <f t="shared" si="2"/>
        <v>0</v>
      </c>
      <c r="O38" s="132">
        <f t="shared" si="3"/>
        <v>7</v>
      </c>
      <c r="P38" s="116">
        <f t="shared" si="4"/>
        <v>7</v>
      </c>
      <c r="Q38" s="52"/>
      <c r="R38" s="133" t="str">
        <f t="shared" si="5"/>
        <v>ORD</v>
      </c>
      <c r="S38" s="58"/>
    </row>
    <row r="39" ht="12.75" customHeight="1">
      <c r="A39" s="54"/>
      <c r="B39" s="55">
        <v>28.0</v>
      </c>
      <c r="C39" s="60" t="s">
        <v>41</v>
      </c>
      <c r="D39" s="44" t="s">
        <v>114</v>
      </c>
      <c r="E39" s="44" t="s">
        <v>115</v>
      </c>
      <c r="F39" s="1"/>
      <c r="G39" s="111">
        <v>1.0</v>
      </c>
      <c r="H39" s="119">
        <v>7.0</v>
      </c>
      <c r="I39" s="56"/>
      <c r="J39" s="119"/>
      <c r="K39" s="56"/>
      <c r="L39" s="119"/>
      <c r="M39" s="130">
        <f t="shared" si="1"/>
        <v>1</v>
      </c>
      <c r="N39" s="131">
        <f t="shared" si="2"/>
        <v>4.347826087</v>
      </c>
      <c r="O39" s="132">
        <f t="shared" si="3"/>
        <v>7</v>
      </c>
      <c r="P39" s="116">
        <f t="shared" si="4"/>
        <v>7</v>
      </c>
      <c r="Q39" s="52"/>
      <c r="R39" s="133" t="str">
        <f t="shared" si="5"/>
        <v>ORD</v>
      </c>
      <c r="S39" s="58"/>
    </row>
    <row r="40" ht="12.75" customHeight="1">
      <c r="A40" s="54"/>
      <c r="B40" s="55">
        <v>29.0</v>
      </c>
      <c r="C40" s="45" t="s">
        <v>116</v>
      </c>
      <c r="D40" s="44" t="s">
        <v>93</v>
      </c>
      <c r="E40" s="44" t="s">
        <v>117</v>
      </c>
      <c r="F40" s="1"/>
      <c r="G40" s="111">
        <v>3.0</v>
      </c>
      <c r="H40" s="119">
        <v>7.0</v>
      </c>
      <c r="I40" s="56"/>
      <c r="J40" s="119"/>
      <c r="K40" s="56"/>
      <c r="L40" s="119"/>
      <c r="M40" s="130">
        <f t="shared" si="1"/>
        <v>3</v>
      </c>
      <c r="N40" s="131">
        <f t="shared" si="2"/>
        <v>13.04347826</v>
      </c>
      <c r="O40" s="132">
        <f t="shared" si="3"/>
        <v>7</v>
      </c>
      <c r="P40" s="116">
        <f t="shared" si="4"/>
        <v>7</v>
      </c>
      <c r="Q40" s="52"/>
      <c r="R40" s="133" t="str">
        <f t="shared" si="5"/>
        <v>ORD</v>
      </c>
      <c r="S40" s="58"/>
    </row>
    <row r="41" ht="12.75" customHeight="1">
      <c r="A41" s="54">
        <v>30.0</v>
      </c>
      <c r="B41" s="54"/>
      <c r="C41" s="61" t="s">
        <v>116</v>
      </c>
      <c r="D41" s="61" t="s">
        <v>118</v>
      </c>
      <c r="E41" s="62" t="s">
        <v>119</v>
      </c>
      <c r="F41" s="1"/>
      <c r="G41" s="111">
        <v>3.0</v>
      </c>
      <c r="H41" s="119">
        <v>6.0</v>
      </c>
      <c r="I41" s="56"/>
      <c r="J41" s="119"/>
      <c r="K41" s="56"/>
      <c r="L41" s="119"/>
      <c r="M41" s="130">
        <f t="shared" si="1"/>
        <v>3</v>
      </c>
      <c r="N41" s="131">
        <f t="shared" si="2"/>
        <v>13.04347826</v>
      </c>
      <c r="O41" s="132">
        <f t="shared" si="3"/>
        <v>6</v>
      </c>
      <c r="P41" s="116">
        <f t="shared" si="4"/>
        <v>6</v>
      </c>
      <c r="Q41" s="52"/>
      <c r="R41" s="133" t="str">
        <f t="shared" si="5"/>
        <v>ORD</v>
      </c>
      <c r="S41" s="58"/>
    </row>
    <row r="42" ht="12.75" customHeight="1">
      <c r="A42" s="54">
        <v>31.0</v>
      </c>
      <c r="B42" s="55"/>
      <c r="C42" s="45" t="s">
        <v>120</v>
      </c>
      <c r="D42" s="44" t="s">
        <v>83</v>
      </c>
      <c r="E42" s="44" t="s">
        <v>121</v>
      </c>
      <c r="F42" s="1"/>
      <c r="G42" s="111">
        <v>0.0</v>
      </c>
      <c r="H42" s="119">
        <v>6.0</v>
      </c>
      <c r="I42" s="56"/>
      <c r="J42" s="119"/>
      <c r="K42" s="56"/>
      <c r="L42" s="119"/>
      <c r="M42" s="130">
        <f t="shared" si="1"/>
        <v>0</v>
      </c>
      <c r="N42" s="131">
        <f t="shared" si="2"/>
        <v>0</v>
      </c>
      <c r="O42" s="132">
        <f t="shared" si="3"/>
        <v>6</v>
      </c>
      <c r="P42" s="116">
        <f t="shared" si="4"/>
        <v>6</v>
      </c>
      <c r="Q42" s="52"/>
      <c r="R42" s="133" t="str">
        <f t="shared" si="5"/>
        <v>ORD</v>
      </c>
      <c r="S42" s="58"/>
    </row>
    <row r="43" ht="12.75" customHeight="1">
      <c r="A43" s="54"/>
      <c r="B43" s="55">
        <v>32.0</v>
      </c>
      <c r="C43" s="45" t="s">
        <v>122</v>
      </c>
      <c r="D43" s="44" t="s">
        <v>40</v>
      </c>
      <c r="E43" s="44" t="s">
        <v>123</v>
      </c>
      <c r="F43" s="1"/>
      <c r="G43" s="111">
        <v>4.0</v>
      </c>
      <c r="H43" s="119">
        <v>6.0</v>
      </c>
      <c r="I43" s="56"/>
      <c r="J43" s="120"/>
      <c r="K43" s="56"/>
      <c r="L43" s="119"/>
      <c r="M43" s="130">
        <f t="shared" si="1"/>
        <v>4</v>
      </c>
      <c r="N43" s="131">
        <f t="shared" si="2"/>
        <v>17.39130435</v>
      </c>
      <c r="O43" s="132">
        <f t="shared" si="3"/>
        <v>6</v>
      </c>
      <c r="P43" s="116">
        <f t="shared" si="4"/>
        <v>6</v>
      </c>
      <c r="Q43" s="52"/>
      <c r="R43" s="133" t="str">
        <f t="shared" si="5"/>
        <v>ORD</v>
      </c>
      <c r="S43" s="58"/>
    </row>
    <row r="44" ht="12.75" customHeight="1">
      <c r="A44" s="54"/>
      <c r="B44" s="55">
        <v>33.0</v>
      </c>
      <c r="C44" s="45" t="s">
        <v>124</v>
      </c>
      <c r="D44" s="44" t="s">
        <v>125</v>
      </c>
      <c r="E44" s="44" t="s">
        <v>126</v>
      </c>
      <c r="F44" s="1"/>
      <c r="G44" s="111">
        <v>0.0</v>
      </c>
      <c r="H44" s="119">
        <v>6.0</v>
      </c>
      <c r="I44" s="56"/>
      <c r="J44" s="119"/>
      <c r="K44" s="56"/>
      <c r="L44" s="119"/>
      <c r="M44" s="130">
        <f t="shared" si="1"/>
        <v>0</v>
      </c>
      <c r="N44" s="131">
        <f t="shared" si="2"/>
        <v>0</v>
      </c>
      <c r="O44" s="132">
        <f t="shared" si="3"/>
        <v>6</v>
      </c>
      <c r="P44" s="116">
        <f t="shared" si="4"/>
        <v>6</v>
      </c>
      <c r="Q44" s="52"/>
      <c r="R44" s="133" t="str">
        <f t="shared" si="5"/>
        <v>ORD</v>
      </c>
      <c r="S44" s="58"/>
    </row>
    <row r="45" ht="12.75" customHeight="1">
      <c r="A45" s="54">
        <v>34.0</v>
      </c>
      <c r="B45" s="55"/>
      <c r="C45" s="45" t="s">
        <v>127</v>
      </c>
      <c r="D45" s="44" t="s">
        <v>128</v>
      </c>
      <c r="E45" s="44" t="s">
        <v>129</v>
      </c>
      <c r="F45" s="122"/>
      <c r="G45" s="111">
        <v>3.0</v>
      </c>
      <c r="H45" s="123">
        <v>6.0</v>
      </c>
      <c r="I45" s="124"/>
      <c r="J45" s="123"/>
      <c r="K45" s="124"/>
      <c r="L45" s="123"/>
      <c r="M45" s="130">
        <f t="shared" si="1"/>
        <v>3</v>
      </c>
      <c r="N45" s="131">
        <f t="shared" si="2"/>
        <v>13.04347826</v>
      </c>
      <c r="O45" s="132">
        <f t="shared" si="3"/>
        <v>6</v>
      </c>
      <c r="P45" s="116">
        <f t="shared" si="4"/>
        <v>6</v>
      </c>
      <c r="Q45" s="52"/>
      <c r="R45" s="133" t="str">
        <f t="shared" si="5"/>
        <v>ORD</v>
      </c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54"/>
      <c r="B46" s="55">
        <v>35.0</v>
      </c>
      <c r="C46" s="45" t="s">
        <v>130</v>
      </c>
      <c r="D46" s="44" t="s">
        <v>105</v>
      </c>
      <c r="E46" s="44" t="s">
        <v>131</v>
      </c>
      <c r="F46" s="1"/>
      <c r="G46" s="111">
        <v>0.0</v>
      </c>
      <c r="H46" s="119">
        <v>6.0</v>
      </c>
      <c r="I46" s="56"/>
      <c r="J46" s="119"/>
      <c r="K46" s="56"/>
      <c r="L46" s="119"/>
      <c r="M46" s="130">
        <f t="shared" si="1"/>
        <v>0</v>
      </c>
      <c r="N46" s="131">
        <f t="shared" si="2"/>
        <v>0</v>
      </c>
      <c r="O46" s="132">
        <f t="shared" si="3"/>
        <v>6</v>
      </c>
      <c r="P46" s="116">
        <f t="shared" si="4"/>
        <v>6</v>
      </c>
      <c r="Q46" s="52"/>
      <c r="R46" s="133" t="str">
        <f t="shared" si="5"/>
        <v>ORD</v>
      </c>
      <c r="S46" s="58"/>
    </row>
    <row r="47" ht="12.75" customHeight="1">
      <c r="A47" s="54">
        <v>36.0</v>
      </c>
      <c r="B47" s="55"/>
      <c r="C47" s="45" t="s">
        <v>132</v>
      </c>
      <c r="D47" s="44" t="s">
        <v>86</v>
      </c>
      <c r="E47" s="44" t="s">
        <v>133</v>
      </c>
      <c r="F47" s="1"/>
      <c r="G47" s="111">
        <v>1.0</v>
      </c>
      <c r="H47" s="119">
        <v>8.0</v>
      </c>
      <c r="I47" s="56"/>
      <c r="J47" s="119"/>
      <c r="K47" s="56"/>
      <c r="L47" s="119"/>
      <c r="M47" s="130">
        <f t="shared" si="1"/>
        <v>1</v>
      </c>
      <c r="N47" s="131">
        <f t="shared" si="2"/>
        <v>4.347826087</v>
      </c>
      <c r="O47" s="132">
        <f t="shared" si="3"/>
        <v>8</v>
      </c>
      <c r="P47" s="116">
        <f t="shared" si="4"/>
        <v>8</v>
      </c>
      <c r="Q47" s="52"/>
      <c r="R47" s="133" t="str">
        <f t="shared" si="5"/>
        <v>ORD</v>
      </c>
      <c r="S47" s="58"/>
    </row>
    <row r="48" ht="12.75" customHeight="1">
      <c r="A48" s="54">
        <v>37.0</v>
      </c>
      <c r="B48" s="55"/>
      <c r="C48" s="45" t="s">
        <v>132</v>
      </c>
      <c r="D48" s="44" t="s">
        <v>134</v>
      </c>
      <c r="E48" s="44" t="s">
        <v>119</v>
      </c>
      <c r="F48" s="1"/>
      <c r="G48" s="111">
        <v>1.0</v>
      </c>
      <c r="H48" s="119">
        <v>8.0</v>
      </c>
      <c r="I48" s="56"/>
      <c r="J48" s="119"/>
      <c r="K48" s="56"/>
      <c r="L48" s="119"/>
      <c r="M48" s="130">
        <f t="shared" si="1"/>
        <v>1</v>
      </c>
      <c r="N48" s="131">
        <f t="shared" si="2"/>
        <v>4.347826087</v>
      </c>
      <c r="O48" s="132">
        <f t="shared" si="3"/>
        <v>8</v>
      </c>
      <c r="P48" s="116">
        <f t="shared" si="4"/>
        <v>8</v>
      </c>
      <c r="Q48" s="52"/>
      <c r="R48" s="133" t="str">
        <f t="shared" si="5"/>
        <v>ORD</v>
      </c>
      <c r="S48" s="58"/>
    </row>
    <row r="49" ht="12.75" customHeight="1">
      <c r="A49" s="54"/>
      <c r="B49" s="55">
        <v>38.0</v>
      </c>
      <c r="C49" s="45" t="s">
        <v>132</v>
      </c>
      <c r="D49" s="44" t="s">
        <v>134</v>
      </c>
      <c r="E49" s="44" t="s">
        <v>135</v>
      </c>
      <c r="F49" s="1"/>
      <c r="G49" s="111">
        <v>1.0</v>
      </c>
      <c r="H49" s="119">
        <v>8.0</v>
      </c>
      <c r="I49" s="56"/>
      <c r="J49" s="119"/>
      <c r="K49" s="56"/>
      <c r="L49" s="119"/>
      <c r="M49" s="130">
        <f t="shared" si="1"/>
        <v>1</v>
      </c>
      <c r="N49" s="131">
        <f t="shared" si="2"/>
        <v>4.347826087</v>
      </c>
      <c r="O49" s="132">
        <f t="shared" si="3"/>
        <v>8</v>
      </c>
      <c r="P49" s="116">
        <f t="shared" si="4"/>
        <v>8</v>
      </c>
      <c r="Q49" s="52"/>
      <c r="R49" s="133" t="str">
        <f t="shared" si="5"/>
        <v>ORD</v>
      </c>
      <c r="S49" s="58"/>
    </row>
    <row r="50" ht="12.75" customHeight="1">
      <c r="A50" s="54">
        <v>39.0</v>
      </c>
      <c r="B50" s="55"/>
      <c r="C50" s="66" t="s">
        <v>136</v>
      </c>
      <c r="D50" s="61" t="s">
        <v>72</v>
      </c>
      <c r="E50" s="62" t="s">
        <v>137</v>
      </c>
      <c r="F50" s="1"/>
      <c r="G50" s="111">
        <v>0.0</v>
      </c>
      <c r="H50" s="119">
        <v>8.0</v>
      </c>
      <c r="I50" s="56"/>
      <c r="J50" s="119"/>
      <c r="K50" s="56"/>
      <c r="L50" s="119"/>
      <c r="M50" s="130">
        <f t="shared" si="1"/>
        <v>0</v>
      </c>
      <c r="N50" s="131">
        <f t="shared" si="2"/>
        <v>0</v>
      </c>
      <c r="O50" s="132">
        <f t="shared" si="3"/>
        <v>8</v>
      </c>
      <c r="P50" s="116">
        <f t="shared" si="4"/>
        <v>8</v>
      </c>
      <c r="Q50" s="52"/>
      <c r="R50" s="133" t="str">
        <f t="shared" si="5"/>
        <v>ORD</v>
      </c>
      <c r="S50" s="58"/>
    </row>
    <row r="51" ht="12.75" customHeight="1">
      <c r="A51" s="54"/>
      <c r="B51" s="55">
        <v>40.0</v>
      </c>
      <c r="C51" s="45" t="s">
        <v>138</v>
      </c>
      <c r="D51" s="44" t="s">
        <v>139</v>
      </c>
      <c r="E51" s="44" t="s">
        <v>140</v>
      </c>
      <c r="F51" s="1"/>
      <c r="G51" s="111">
        <v>3.0</v>
      </c>
      <c r="H51" s="119">
        <v>7.0</v>
      </c>
      <c r="I51" s="56"/>
      <c r="J51" s="119"/>
      <c r="K51" s="56"/>
      <c r="L51" s="119"/>
      <c r="M51" s="130">
        <f t="shared" si="1"/>
        <v>3</v>
      </c>
      <c r="N51" s="131">
        <f t="shared" si="2"/>
        <v>13.04347826</v>
      </c>
      <c r="O51" s="132">
        <f t="shared" si="3"/>
        <v>7</v>
      </c>
      <c r="P51" s="116">
        <f t="shared" si="4"/>
        <v>7</v>
      </c>
      <c r="Q51" s="52"/>
      <c r="R51" s="133" t="str">
        <f t="shared" si="5"/>
        <v>ORD</v>
      </c>
      <c r="S51" s="58"/>
    </row>
    <row r="52" ht="12.75" customHeight="1">
      <c r="A52" s="54">
        <v>41.0</v>
      </c>
      <c r="B52" s="55"/>
      <c r="C52" s="66" t="s">
        <v>141</v>
      </c>
      <c r="D52" s="61" t="s">
        <v>104</v>
      </c>
      <c r="E52" s="62" t="s">
        <v>142</v>
      </c>
      <c r="F52" s="1"/>
      <c r="G52" s="111">
        <v>0.0</v>
      </c>
      <c r="H52" s="119">
        <v>8.0</v>
      </c>
      <c r="I52" s="56"/>
      <c r="J52" s="119"/>
      <c r="K52" s="56"/>
      <c r="L52" s="119"/>
      <c r="M52" s="130">
        <f t="shared" si="1"/>
        <v>0</v>
      </c>
      <c r="N52" s="131">
        <f t="shared" si="2"/>
        <v>0</v>
      </c>
      <c r="O52" s="132">
        <f t="shared" si="3"/>
        <v>8</v>
      </c>
      <c r="P52" s="116">
        <f t="shared" si="4"/>
        <v>8</v>
      </c>
      <c r="Q52" s="52"/>
      <c r="R52" s="133" t="str">
        <f t="shared" si="5"/>
        <v>ORD</v>
      </c>
      <c r="S52" s="58"/>
    </row>
    <row r="53" ht="12.75" customHeight="1">
      <c r="A53" s="54">
        <v>42.0</v>
      </c>
      <c r="B53" s="55"/>
      <c r="C53" s="66" t="s">
        <v>143</v>
      </c>
      <c r="D53" s="61" t="s">
        <v>41</v>
      </c>
      <c r="E53" s="62" t="s">
        <v>144</v>
      </c>
      <c r="F53" s="1"/>
      <c r="G53" s="111">
        <v>3.0</v>
      </c>
      <c r="H53" s="119">
        <v>8.0</v>
      </c>
      <c r="I53" s="56"/>
      <c r="J53" s="119"/>
      <c r="K53" s="56"/>
      <c r="L53" s="119"/>
      <c r="M53" s="130">
        <f t="shared" si="1"/>
        <v>3</v>
      </c>
      <c r="N53" s="131">
        <f t="shared" si="2"/>
        <v>13.04347826</v>
      </c>
      <c r="O53" s="132">
        <f t="shared" si="3"/>
        <v>8</v>
      </c>
      <c r="P53" s="116">
        <f t="shared" si="4"/>
        <v>8</v>
      </c>
      <c r="Q53" s="52"/>
      <c r="R53" s="133" t="str">
        <f t="shared" si="5"/>
        <v>ORD</v>
      </c>
      <c r="S53" s="58"/>
    </row>
    <row r="54" ht="12.75" customHeight="1">
      <c r="A54" s="54">
        <v>43.0</v>
      </c>
      <c r="B54" s="55"/>
      <c r="C54" s="66" t="s">
        <v>145</v>
      </c>
      <c r="D54" s="61" t="s">
        <v>59</v>
      </c>
      <c r="E54" s="62" t="s">
        <v>146</v>
      </c>
      <c r="F54" s="1"/>
      <c r="G54" s="111">
        <v>2.0</v>
      </c>
      <c r="H54" s="119">
        <v>8.0</v>
      </c>
      <c r="I54" s="56"/>
      <c r="J54" s="119"/>
      <c r="K54" s="56"/>
      <c r="L54" s="119"/>
      <c r="M54" s="130">
        <f t="shared" si="1"/>
        <v>2</v>
      </c>
      <c r="N54" s="131">
        <f t="shared" si="2"/>
        <v>8.695652174</v>
      </c>
      <c r="O54" s="132">
        <f t="shared" si="3"/>
        <v>8</v>
      </c>
      <c r="P54" s="116">
        <f t="shared" si="4"/>
        <v>8</v>
      </c>
      <c r="Q54" s="52"/>
      <c r="R54" s="133" t="str">
        <f t="shared" si="5"/>
        <v>ORD</v>
      </c>
      <c r="S54" s="58"/>
    </row>
    <row r="55" ht="12.75" customHeight="1">
      <c r="A55" s="54"/>
      <c r="B55" s="55">
        <v>44.0</v>
      </c>
      <c r="C55" s="66" t="s">
        <v>50</v>
      </c>
      <c r="D55" s="61" t="s">
        <v>147</v>
      </c>
      <c r="E55" s="62" t="s">
        <v>148</v>
      </c>
      <c r="F55" s="1"/>
      <c r="G55" s="111">
        <v>1.0</v>
      </c>
      <c r="H55" s="119">
        <v>8.0</v>
      </c>
      <c r="I55" s="56"/>
      <c r="J55" s="119"/>
      <c r="K55" s="56"/>
      <c r="L55" s="119"/>
      <c r="M55" s="130">
        <f t="shared" si="1"/>
        <v>1</v>
      </c>
      <c r="N55" s="131">
        <f t="shared" si="2"/>
        <v>4.347826087</v>
      </c>
      <c r="O55" s="132">
        <f t="shared" si="3"/>
        <v>8</v>
      </c>
      <c r="P55" s="116">
        <f t="shared" si="4"/>
        <v>8</v>
      </c>
      <c r="Q55" s="52"/>
      <c r="R55" s="133" t="str">
        <f t="shared" si="5"/>
        <v>ORD</v>
      </c>
      <c r="S55" s="58"/>
    </row>
    <row r="56" ht="12.75" customHeight="1">
      <c r="A56" s="54">
        <v>45.0</v>
      </c>
      <c r="B56" s="55"/>
      <c r="C56" s="66" t="s">
        <v>149</v>
      </c>
      <c r="D56" s="61" t="s">
        <v>41</v>
      </c>
      <c r="E56" s="62" t="s">
        <v>150</v>
      </c>
      <c r="F56" s="1"/>
      <c r="G56" s="111">
        <v>1.0</v>
      </c>
      <c r="H56" s="119">
        <v>8.0</v>
      </c>
      <c r="I56" s="56"/>
      <c r="J56" s="119"/>
      <c r="K56" s="56"/>
      <c r="L56" s="119"/>
      <c r="M56" s="130">
        <f t="shared" si="1"/>
        <v>1</v>
      </c>
      <c r="N56" s="131">
        <f t="shared" si="2"/>
        <v>4.347826087</v>
      </c>
      <c r="O56" s="132">
        <f t="shared" si="3"/>
        <v>8</v>
      </c>
      <c r="P56" s="116">
        <f t="shared" si="4"/>
        <v>8</v>
      </c>
      <c r="Q56" s="52"/>
      <c r="R56" s="133" t="str">
        <f t="shared" si="5"/>
        <v>ORD</v>
      </c>
      <c r="S56" s="58"/>
    </row>
    <row r="57" ht="12.75" customHeight="1">
      <c r="A57" s="54">
        <v>46.0</v>
      </c>
      <c r="B57" s="55"/>
      <c r="C57" s="66" t="s">
        <v>151</v>
      </c>
      <c r="D57" s="61" t="s">
        <v>152</v>
      </c>
      <c r="E57" s="62" t="s">
        <v>153</v>
      </c>
      <c r="F57" s="1"/>
      <c r="G57" s="111">
        <v>1.0</v>
      </c>
      <c r="H57" s="119">
        <v>8.0</v>
      </c>
      <c r="I57" s="56"/>
      <c r="J57" s="119"/>
      <c r="K57" s="56"/>
      <c r="L57" s="119"/>
      <c r="M57" s="130">
        <f t="shared" si="1"/>
        <v>1</v>
      </c>
      <c r="N57" s="131">
        <f t="shared" si="2"/>
        <v>4.347826087</v>
      </c>
      <c r="O57" s="132">
        <f t="shared" si="3"/>
        <v>8</v>
      </c>
      <c r="P57" s="116">
        <f t="shared" si="4"/>
        <v>8</v>
      </c>
      <c r="Q57" s="52"/>
      <c r="R57" s="133" t="str">
        <f t="shared" si="5"/>
        <v>ORD</v>
      </c>
      <c r="S57" s="58"/>
    </row>
    <row r="58" ht="12.75" customHeight="1">
      <c r="A58" s="54"/>
      <c r="B58" s="55">
        <v>47.0</v>
      </c>
      <c r="C58" s="66" t="s">
        <v>139</v>
      </c>
      <c r="D58" s="61" t="s">
        <v>154</v>
      </c>
      <c r="E58" s="62" t="s">
        <v>155</v>
      </c>
      <c r="F58" s="1"/>
      <c r="G58" s="111">
        <v>1.0</v>
      </c>
      <c r="H58" s="119">
        <v>8.0</v>
      </c>
      <c r="I58" s="56"/>
      <c r="J58" s="119"/>
      <c r="K58" s="56"/>
      <c r="L58" s="119"/>
      <c r="M58" s="130">
        <f t="shared" si="1"/>
        <v>1</v>
      </c>
      <c r="N58" s="131">
        <f t="shared" si="2"/>
        <v>4.347826087</v>
      </c>
      <c r="O58" s="132">
        <f t="shared" si="3"/>
        <v>8</v>
      </c>
      <c r="P58" s="116">
        <f t="shared" si="4"/>
        <v>8</v>
      </c>
      <c r="Q58" s="52"/>
      <c r="R58" s="133" t="str">
        <f t="shared" si="5"/>
        <v>ORD</v>
      </c>
      <c r="S58" s="58"/>
    </row>
    <row r="59" ht="12.75" customHeight="1">
      <c r="A59" s="54"/>
      <c r="B59" s="55">
        <v>48.0</v>
      </c>
      <c r="C59" s="66" t="s">
        <v>156</v>
      </c>
      <c r="D59" s="61" t="s">
        <v>157</v>
      </c>
      <c r="E59" s="62" t="s">
        <v>158</v>
      </c>
      <c r="F59" s="1"/>
      <c r="G59" s="111">
        <v>0.0</v>
      </c>
      <c r="H59" s="119">
        <v>8.0</v>
      </c>
      <c r="I59" s="56"/>
      <c r="J59" s="119"/>
      <c r="K59" s="56"/>
      <c r="L59" s="119"/>
      <c r="M59" s="130">
        <f t="shared" si="1"/>
        <v>0</v>
      </c>
      <c r="N59" s="131">
        <f t="shared" si="2"/>
        <v>0</v>
      </c>
      <c r="O59" s="132">
        <f t="shared" si="3"/>
        <v>8</v>
      </c>
      <c r="P59" s="116">
        <f t="shared" si="4"/>
        <v>8</v>
      </c>
      <c r="Q59" s="52"/>
      <c r="R59" s="133" t="str">
        <f t="shared" si="5"/>
        <v>ORD</v>
      </c>
      <c r="S59" s="58"/>
    </row>
    <row r="60" ht="12.75" customHeight="1">
      <c r="A60" s="54">
        <v>49.0</v>
      </c>
      <c r="B60" s="55"/>
      <c r="C60" s="66" t="s">
        <v>159</v>
      </c>
      <c r="D60" s="61" t="s">
        <v>160</v>
      </c>
      <c r="E60" s="62" t="s">
        <v>119</v>
      </c>
      <c r="F60" s="1"/>
      <c r="G60" s="111">
        <v>0.0</v>
      </c>
      <c r="H60" s="119">
        <v>8.0</v>
      </c>
      <c r="I60" s="56"/>
      <c r="J60" s="119"/>
      <c r="K60" s="56"/>
      <c r="L60" s="119"/>
      <c r="M60" s="130">
        <f t="shared" si="1"/>
        <v>0</v>
      </c>
      <c r="N60" s="131">
        <f t="shared" si="2"/>
        <v>0</v>
      </c>
      <c r="O60" s="132">
        <f t="shared" si="3"/>
        <v>8</v>
      </c>
      <c r="P60" s="116">
        <f t="shared" si="4"/>
        <v>8</v>
      </c>
      <c r="Q60" s="52"/>
      <c r="R60" s="133" t="str">
        <f t="shared" si="5"/>
        <v>ORD</v>
      </c>
      <c r="S60" s="58"/>
    </row>
    <row r="61" ht="12.75" customHeight="1">
      <c r="A61" s="54">
        <v>50.0</v>
      </c>
      <c r="B61" s="55"/>
      <c r="C61" s="66" t="s">
        <v>161</v>
      </c>
      <c r="D61" s="61" t="s">
        <v>73</v>
      </c>
      <c r="E61" s="62" t="s">
        <v>162</v>
      </c>
      <c r="F61" s="1"/>
      <c r="G61" s="111">
        <v>0.0</v>
      </c>
      <c r="H61" s="119">
        <v>8.0</v>
      </c>
      <c r="I61" s="56"/>
      <c r="J61" s="119"/>
      <c r="K61" s="56"/>
      <c r="L61" s="119"/>
      <c r="M61" s="130">
        <f t="shared" si="1"/>
        <v>0</v>
      </c>
      <c r="N61" s="131">
        <f t="shared" si="2"/>
        <v>0</v>
      </c>
      <c r="O61" s="132">
        <f t="shared" si="3"/>
        <v>8</v>
      </c>
      <c r="P61" s="116">
        <f t="shared" si="4"/>
        <v>8</v>
      </c>
      <c r="Q61" s="52"/>
      <c r="R61" s="133" t="str">
        <f t="shared" si="5"/>
        <v>ORD</v>
      </c>
      <c r="S61" s="58"/>
    </row>
    <row r="62" ht="13.5" customHeight="1">
      <c r="A62" s="54">
        <v>51.0</v>
      </c>
      <c r="B62" s="54"/>
      <c r="C62" s="61" t="s">
        <v>163</v>
      </c>
      <c r="D62" s="61" t="s">
        <v>164</v>
      </c>
      <c r="E62" s="62" t="s">
        <v>165</v>
      </c>
      <c r="F62" s="1"/>
      <c r="G62" s="111">
        <v>0.0</v>
      </c>
      <c r="H62" s="119">
        <v>8.0</v>
      </c>
      <c r="I62" s="56"/>
      <c r="J62" s="119"/>
      <c r="K62" s="56"/>
      <c r="L62" s="119"/>
      <c r="M62" s="130">
        <f t="shared" si="1"/>
        <v>0</v>
      </c>
      <c r="N62" s="131">
        <f t="shared" si="2"/>
        <v>0</v>
      </c>
      <c r="O62" s="132">
        <f t="shared" si="3"/>
        <v>8</v>
      </c>
      <c r="P62" s="116">
        <f t="shared" si="4"/>
        <v>8</v>
      </c>
      <c r="Q62" s="52"/>
      <c r="R62" s="133" t="str">
        <f t="shared" si="5"/>
        <v>ORD</v>
      </c>
    </row>
    <row r="63" ht="13.5" customHeight="1">
      <c r="A63" s="54">
        <v>52.0</v>
      </c>
      <c r="B63" s="55"/>
      <c r="C63" s="66" t="s">
        <v>87</v>
      </c>
      <c r="D63" s="61" t="s">
        <v>41</v>
      </c>
      <c r="E63" s="62" t="s">
        <v>166</v>
      </c>
      <c r="F63" s="1"/>
      <c r="G63" s="111">
        <v>0.0</v>
      </c>
      <c r="H63" s="119">
        <v>8.0</v>
      </c>
      <c r="I63" s="56"/>
      <c r="J63" s="119"/>
      <c r="K63" s="56"/>
      <c r="L63" s="119"/>
      <c r="M63" s="130">
        <f t="shared" si="1"/>
        <v>0</v>
      </c>
      <c r="N63" s="131">
        <f t="shared" si="2"/>
        <v>0</v>
      </c>
      <c r="O63" s="132">
        <f t="shared" si="3"/>
        <v>8</v>
      </c>
      <c r="P63" s="116">
        <f t="shared" si="4"/>
        <v>8</v>
      </c>
      <c r="Q63" s="52"/>
      <c r="R63" s="133" t="str">
        <f t="shared" si="5"/>
        <v>ORD</v>
      </c>
    </row>
    <row r="64" ht="13.5" customHeight="1">
      <c r="A64" s="54"/>
      <c r="B64" s="55">
        <v>53.0</v>
      </c>
      <c r="C64" s="66" t="s">
        <v>87</v>
      </c>
      <c r="D64" s="61" t="s">
        <v>167</v>
      </c>
      <c r="E64" s="62" t="s">
        <v>168</v>
      </c>
      <c r="F64" s="1"/>
      <c r="G64" s="111">
        <v>1.0</v>
      </c>
      <c r="H64" s="119">
        <v>7.0</v>
      </c>
      <c r="I64" s="56"/>
      <c r="J64" s="119"/>
      <c r="K64" s="56"/>
      <c r="L64" s="119"/>
      <c r="M64" s="130">
        <f t="shared" si="1"/>
        <v>1</v>
      </c>
      <c r="N64" s="131">
        <f t="shared" si="2"/>
        <v>4.347826087</v>
      </c>
      <c r="O64" s="132">
        <f t="shared" si="3"/>
        <v>7</v>
      </c>
      <c r="P64" s="116">
        <f t="shared" si="4"/>
        <v>7</v>
      </c>
      <c r="Q64" s="52"/>
      <c r="R64" s="133" t="str">
        <f t="shared" si="5"/>
        <v>ORD</v>
      </c>
    </row>
    <row r="65" ht="13.5" customHeight="1">
      <c r="E65" s="71" t="s">
        <v>169</v>
      </c>
      <c r="F65" s="1"/>
      <c r="G65" s="72">
        <f>SUM(G12:G64)</f>
        <v>46</v>
      </c>
      <c r="H65" s="73">
        <f>AVERAGE(H12:H64)</f>
        <v>7.113207547</v>
      </c>
      <c r="I65" s="72">
        <f>SUM(I12:I64)</f>
        <v>0</v>
      </c>
      <c r="J65" s="74" t="str">
        <f>AVERAGE(J12:J64)</f>
        <v>#DIV/0!</v>
      </c>
      <c r="K65" s="72">
        <f>SUM(K12:K64)</f>
        <v>0</v>
      </c>
      <c r="L65" s="74" t="str">
        <f>AVERAGE(L12:L64)</f>
        <v>#DIV/0!</v>
      </c>
      <c r="M65" s="134">
        <f>SUM(M12:M64)</f>
        <v>46</v>
      </c>
      <c r="N65" s="76" t="s">
        <v>170</v>
      </c>
      <c r="O65" s="77"/>
      <c r="P65" s="78">
        <f>AVERAGE(P6:P64)</f>
        <v>7.285714286</v>
      </c>
      <c r="Q65" s="1"/>
      <c r="R65" s="8"/>
    </row>
    <row r="66" ht="13.5" customHeight="1">
      <c r="A66" s="79" t="s">
        <v>30</v>
      </c>
      <c r="B66" s="79" t="s">
        <v>31</v>
      </c>
      <c r="C66" s="80"/>
      <c r="D66" s="80"/>
      <c r="E66" s="81" t="s">
        <v>171</v>
      </c>
      <c r="F66" s="1"/>
      <c r="G66" s="82"/>
      <c r="H66" s="83">
        <f>COUNTIF(H12:H64,"&gt;5")</f>
        <v>51</v>
      </c>
      <c r="I66" s="82"/>
      <c r="J66" s="83">
        <f>COUNTIF(J12:J64,"&gt;5")</f>
        <v>0</v>
      </c>
      <c r="K66" s="82"/>
      <c r="L66" s="83">
        <f>COUNTIF(L12:L64,"&gt;5")</f>
        <v>0</v>
      </c>
      <c r="N66" s="84" t="s">
        <v>172</v>
      </c>
      <c r="O66" s="77"/>
      <c r="P66" s="85">
        <f>COUNTIF(P12:P64,"&gt;5")</f>
        <v>51</v>
      </c>
      <c r="Q66" s="1"/>
      <c r="R66" s="8"/>
    </row>
    <row r="67" ht="12.75" customHeight="1">
      <c r="A67" s="86">
        <f t="shared" ref="A67:B67" si="6">COUNT(A12:A64)</f>
        <v>28</v>
      </c>
      <c r="B67" s="86">
        <f t="shared" si="6"/>
        <v>25</v>
      </c>
      <c r="C67" s="6"/>
      <c r="D67" s="6"/>
      <c r="E67" s="87" t="s">
        <v>173</v>
      </c>
      <c r="F67" s="1"/>
      <c r="G67" s="88"/>
      <c r="H67" s="89">
        <f>COUNTIF(H12:H64,5)</f>
        <v>2</v>
      </c>
      <c r="I67" s="88"/>
      <c r="J67" s="89">
        <f>COUNTIF(J12:J64,5)</f>
        <v>0</v>
      </c>
      <c r="K67" s="88"/>
      <c r="L67" s="89">
        <f>COUNTIF(L12:L64,5)</f>
        <v>0</v>
      </c>
      <c r="N67" s="90" t="s">
        <v>174</v>
      </c>
      <c r="O67" s="77"/>
      <c r="P67" s="91">
        <f>COUNTIF(P12:P64,5)</f>
        <v>2</v>
      </c>
      <c r="Q67" s="1"/>
      <c r="R67" s="8"/>
    </row>
    <row r="68" ht="12.75" customHeight="1">
      <c r="A68" s="1"/>
      <c r="B68" s="1"/>
      <c r="C68" s="1"/>
      <c r="D68" s="1"/>
      <c r="E68" s="92" t="s">
        <v>175</v>
      </c>
      <c r="F68" s="1"/>
      <c r="G68" s="93"/>
      <c r="H68" s="94">
        <f>H66*100/H9</f>
        <v>96.22641509</v>
      </c>
      <c r="I68" s="93"/>
      <c r="J68" s="126">
        <f>J66*100/H9</f>
        <v>0</v>
      </c>
      <c r="K68" s="93"/>
      <c r="L68" s="126">
        <f>L66*100/H9</f>
        <v>0</v>
      </c>
      <c r="N68" s="95" t="s">
        <v>176</v>
      </c>
      <c r="O68" s="96"/>
      <c r="P68" s="97">
        <f>P66*100/H9</f>
        <v>96.22641509</v>
      </c>
      <c r="Q68" s="1"/>
      <c r="R68" s="8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98" t="s">
        <v>35</v>
      </c>
      <c r="O69" s="30"/>
      <c r="P69" s="99">
        <f>AVERAGE(N12:N64)</f>
        <v>3.773584906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0" t="s">
        <v>177</v>
      </c>
      <c r="O70" s="30"/>
      <c r="P70" s="101">
        <f>100-P69</f>
        <v>96.22641509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  <col customWidth="1" min="15" max="15" width="49.63"/>
  </cols>
  <sheetData>
    <row r="1">
      <c r="B1" s="150" t="s">
        <v>189</v>
      </c>
      <c r="C1" s="151" t="s">
        <v>190</v>
      </c>
      <c r="D1" s="104">
        <f>'1-1 lengua y comunicacion ii'!H9</f>
        <v>53</v>
      </c>
      <c r="H1" s="152"/>
      <c r="N1" s="153" t="s">
        <v>191</v>
      </c>
      <c r="O1" s="153" t="s">
        <v>192</v>
      </c>
      <c r="P1" s="153" t="s">
        <v>193</v>
      </c>
      <c r="Q1" s="153" t="s">
        <v>194</v>
      </c>
      <c r="R1" s="153" t="s">
        <v>195</v>
      </c>
      <c r="S1" s="153" t="s">
        <v>196</v>
      </c>
      <c r="T1" s="153" t="s">
        <v>197</v>
      </c>
      <c r="U1" s="153" t="s">
        <v>198</v>
      </c>
      <c r="V1" s="153" t="s">
        <v>13</v>
      </c>
    </row>
    <row r="2">
      <c r="B2" s="154" t="s">
        <v>178</v>
      </c>
      <c r="C2" s="154" t="s">
        <v>199</v>
      </c>
      <c r="D2" s="154" t="s">
        <v>171</v>
      </c>
      <c r="E2" s="155" t="s">
        <v>173</v>
      </c>
      <c r="F2" s="154" t="s">
        <v>200</v>
      </c>
      <c r="G2" s="154" t="s">
        <v>201</v>
      </c>
      <c r="H2" s="156" t="s">
        <v>177</v>
      </c>
      <c r="N2" s="157">
        <v>1.0</v>
      </c>
      <c r="O2" s="158" t="str">
        <f t="shared" ref="O2:O12" si="2">B3</f>
        <v>LENGUA Y COMUNICACIÓN II</v>
      </c>
      <c r="P2" s="159">
        <f t="shared" ref="P2:P12" si="3">H3</f>
        <v>94.68553459</v>
      </c>
      <c r="Q2" s="159">
        <f t="shared" ref="Q2:Q12" si="4">C3</f>
        <v>7.113207547</v>
      </c>
      <c r="R2" s="159">
        <f t="shared" ref="R2:R12" si="5">G3</f>
        <v>3.773584906</v>
      </c>
      <c r="S2" s="160">
        <f t="shared" ref="S2:T2" si="1">E3</f>
        <v>2</v>
      </c>
      <c r="T2" s="159">
        <f t="shared" si="1"/>
        <v>96.22641509</v>
      </c>
      <c r="U2" s="157">
        <v>1.0</v>
      </c>
      <c r="V2" s="161">
        <v>46023.0</v>
      </c>
    </row>
    <row r="3">
      <c r="B3" s="162" t="s">
        <v>17</v>
      </c>
      <c r="C3" s="163">
        <f>'1-1 lengua y comunicacion ii'!H65</f>
        <v>7.113207547</v>
      </c>
      <c r="D3" s="164">
        <f>'1-1 lengua y comunicacion ii'!H66</f>
        <v>51</v>
      </c>
      <c r="E3" s="164">
        <f>'1-1 lengua y comunicacion ii'!H67</f>
        <v>2</v>
      </c>
      <c r="F3" s="163">
        <f>'1-1 lengua y comunicacion ii'!H68</f>
        <v>96.22641509</v>
      </c>
      <c r="G3" s="165">
        <f t="shared" ref="G3:G13" si="7">(E3*100)/$D$1</f>
        <v>3.773584906</v>
      </c>
      <c r="H3" s="165">
        <f>'1-1 lengua y comunicacion ii'!P70</f>
        <v>94.68553459</v>
      </c>
      <c r="N3" s="157">
        <v>1.0</v>
      </c>
      <c r="O3" s="158" t="str">
        <f t="shared" si="2"/>
        <v>INGLÉS II</v>
      </c>
      <c r="P3" s="159">
        <f t="shared" si="3"/>
        <v>99.5148248</v>
      </c>
      <c r="Q3" s="159">
        <f t="shared" si="4"/>
        <v>8.641509434</v>
      </c>
      <c r="R3" s="159">
        <f t="shared" si="5"/>
        <v>7.547169811</v>
      </c>
      <c r="S3" s="160">
        <f t="shared" ref="S3:T3" si="6">E4</f>
        <v>4</v>
      </c>
      <c r="T3" s="159">
        <f t="shared" si="6"/>
        <v>92.45283019</v>
      </c>
      <c r="U3" s="157">
        <v>1.0</v>
      </c>
      <c r="V3" s="161">
        <v>46023.0</v>
      </c>
    </row>
    <row r="4">
      <c r="B4" s="166" t="s">
        <v>179</v>
      </c>
      <c r="C4" s="167">
        <f>'1-1 ingles II'!H65</f>
        <v>8.641509434</v>
      </c>
      <c r="D4" s="168">
        <f>'1-1 ingles II'!H66</f>
        <v>49</v>
      </c>
      <c r="E4" s="168">
        <f>'1-1 ingles II'!H67</f>
        <v>4</v>
      </c>
      <c r="F4" s="167">
        <f>'1-1 ingles II'!H68</f>
        <v>92.45283019</v>
      </c>
      <c r="G4" s="169">
        <f t="shared" si="7"/>
        <v>7.547169811</v>
      </c>
      <c r="H4" s="170">
        <f>'1-1 ingles II'!P70</f>
        <v>99.5148248</v>
      </c>
      <c r="N4" s="157">
        <v>1.0</v>
      </c>
      <c r="O4" s="158" t="str">
        <f t="shared" si="2"/>
        <v>PENSAMIENTO MATEMÁTICO II</v>
      </c>
      <c r="P4" s="159">
        <f t="shared" si="3"/>
        <v>99.81132075</v>
      </c>
      <c r="Q4" s="159">
        <f t="shared" si="4"/>
        <v>6.452830189</v>
      </c>
      <c r="R4" s="159">
        <f t="shared" si="5"/>
        <v>39.62264151</v>
      </c>
      <c r="S4" s="160">
        <f t="shared" ref="S4:T4" si="8">E5</f>
        <v>21</v>
      </c>
      <c r="T4" s="159">
        <f t="shared" si="8"/>
        <v>60.37735849</v>
      </c>
      <c r="U4" s="157">
        <v>1.0</v>
      </c>
      <c r="V4" s="161">
        <v>46023.0</v>
      </c>
    </row>
    <row r="5">
      <c r="B5" s="171" t="s">
        <v>180</v>
      </c>
      <c r="C5" s="165">
        <f>'1-1 pensamiento matematico ii'!H65</f>
        <v>6.452830189</v>
      </c>
      <c r="D5" s="172">
        <f>'1-1 pensamiento matematico ii'!H66</f>
        <v>32</v>
      </c>
      <c r="E5" s="172">
        <f>'1-1 pensamiento matematico ii'!H67</f>
        <v>21</v>
      </c>
      <c r="F5" s="165">
        <f>'1-1 pensamiento matematico ii'!H68</f>
        <v>60.37735849</v>
      </c>
      <c r="G5" s="165">
        <f t="shared" si="7"/>
        <v>39.62264151</v>
      </c>
      <c r="H5" s="165">
        <f>'1-1 pensamiento matematico ii'!P70</f>
        <v>99.81132075</v>
      </c>
      <c r="N5" s="157">
        <v>1.0</v>
      </c>
      <c r="O5" s="158" t="str">
        <f t="shared" si="2"/>
        <v>CULTURA DIGITAL II</v>
      </c>
      <c r="P5" s="159">
        <f t="shared" si="3"/>
        <v>99.24528302</v>
      </c>
      <c r="Q5" s="159">
        <f t="shared" si="4"/>
        <v>7.886792453</v>
      </c>
      <c r="R5" s="159">
        <f t="shared" si="5"/>
        <v>11.32075472</v>
      </c>
      <c r="S5" s="160">
        <f t="shared" ref="S5:T5" si="9">E6</f>
        <v>6</v>
      </c>
      <c r="T5" s="159">
        <f t="shared" si="9"/>
        <v>88.67924528</v>
      </c>
      <c r="U5" s="157">
        <v>1.0</v>
      </c>
      <c r="V5" s="161">
        <v>46023.0</v>
      </c>
    </row>
    <row r="6">
      <c r="B6" s="166" t="s">
        <v>181</v>
      </c>
      <c r="C6" s="169">
        <f>'1-1 cultura digital ii'!H65</f>
        <v>7.886792453</v>
      </c>
      <c r="D6" s="173">
        <f>'1-1 cultura digital ii'!H66</f>
        <v>47</v>
      </c>
      <c r="E6" s="173">
        <f>'1-1 cultura digital ii'!H67</f>
        <v>6</v>
      </c>
      <c r="F6" s="169">
        <f>'1-1 cultura digital ii'!H68</f>
        <v>88.67924528</v>
      </c>
      <c r="G6" s="169">
        <f t="shared" si="7"/>
        <v>11.32075472</v>
      </c>
      <c r="H6" s="169">
        <f>'1-1 cultura digital ii'!P70</f>
        <v>99.24528302</v>
      </c>
      <c r="N6" s="157">
        <v>1.0</v>
      </c>
      <c r="O6" s="158" t="str">
        <f t="shared" si="2"/>
        <v>CIENCIAS NATURALES, EXPERIMENTALES Y TECNOLOGIA II</v>
      </c>
      <c r="P6" s="159">
        <f t="shared" si="3"/>
        <v>98.74213836</v>
      </c>
      <c r="Q6" s="159">
        <f t="shared" si="4"/>
        <v>7.886792453</v>
      </c>
      <c r="R6" s="159">
        <f t="shared" si="5"/>
        <v>11.32075472</v>
      </c>
      <c r="S6" s="160">
        <f t="shared" ref="S6:T6" si="10">E7</f>
        <v>6</v>
      </c>
      <c r="T6" s="159">
        <f t="shared" si="10"/>
        <v>88.67924528</v>
      </c>
      <c r="U6" s="157">
        <v>1.0</v>
      </c>
      <c r="V6" s="161">
        <v>46023.0</v>
      </c>
    </row>
    <row r="7">
      <c r="B7" s="171" t="s">
        <v>202</v>
      </c>
      <c r="C7" s="165">
        <f>'1-1 ciencias naturales experime'!H65</f>
        <v>7.886792453</v>
      </c>
      <c r="D7" s="172">
        <f>'1-1 ciencias naturales experime'!H66</f>
        <v>47</v>
      </c>
      <c r="E7" s="172">
        <f>'1-1 ciencias naturales experime'!H67</f>
        <v>6</v>
      </c>
      <c r="F7" s="165">
        <f>'1-1 ciencias naturales experime'!H68</f>
        <v>88.67924528</v>
      </c>
      <c r="G7" s="165">
        <f t="shared" si="7"/>
        <v>11.32075472</v>
      </c>
      <c r="H7" s="165">
        <f>'1-1 ciencias naturales experime'!P70</f>
        <v>98.74213836</v>
      </c>
      <c r="N7" s="157">
        <v>1.0</v>
      </c>
      <c r="O7" s="158" t="str">
        <f t="shared" si="2"/>
        <v>PENSAMIENTO FILOSÓFICO Y HUMANIDADES II</v>
      </c>
      <c r="P7" s="159">
        <f t="shared" si="3"/>
        <v>99.05660377</v>
      </c>
      <c r="Q7" s="159">
        <f t="shared" si="4"/>
        <v>7.886792453</v>
      </c>
      <c r="R7" s="159">
        <f t="shared" si="5"/>
        <v>11.32075472</v>
      </c>
      <c r="S7" s="160">
        <f t="shared" ref="S7:T7" si="11">E8</f>
        <v>6</v>
      </c>
      <c r="T7" s="159">
        <f t="shared" si="11"/>
        <v>88.67924528</v>
      </c>
      <c r="U7" s="157">
        <v>1.0</v>
      </c>
      <c r="V7" s="161">
        <v>46023.0</v>
      </c>
    </row>
    <row r="8">
      <c r="B8" s="166" t="s">
        <v>183</v>
      </c>
      <c r="C8" s="169">
        <f>'1-1 pensamiento filosofico y hu'!H65</f>
        <v>7.886792453</v>
      </c>
      <c r="D8" s="173">
        <f>'1-1 pensamiento filosofico y hu'!H66</f>
        <v>47</v>
      </c>
      <c r="E8" s="173">
        <f>'1-1 pensamiento filosofico y hu'!H67</f>
        <v>6</v>
      </c>
      <c r="F8" s="169">
        <f>'1-1 pensamiento filosofico y hu'!H68</f>
        <v>88.67924528</v>
      </c>
      <c r="G8" s="169">
        <f t="shared" si="7"/>
        <v>11.32075472</v>
      </c>
      <c r="H8" s="169">
        <f>'1-1 pensamiento filosofico y hu'!P70</f>
        <v>99.05660377</v>
      </c>
      <c r="N8" s="157">
        <v>1.0</v>
      </c>
      <c r="O8" s="158" t="str">
        <f t="shared" si="2"/>
        <v>CIENCIAS SOCIALES II</v>
      </c>
      <c r="P8" s="159">
        <f t="shared" si="3"/>
        <v>98.38274933</v>
      </c>
      <c r="Q8" s="159">
        <f t="shared" si="4"/>
        <v>7.886792453</v>
      </c>
      <c r="R8" s="159">
        <f t="shared" si="5"/>
        <v>11.32075472</v>
      </c>
      <c r="S8" s="160">
        <f t="shared" ref="S8:T8" si="12">E9</f>
        <v>6</v>
      </c>
      <c r="T8" s="159">
        <f t="shared" si="12"/>
        <v>88.67924528</v>
      </c>
      <c r="U8" s="157">
        <v>1.0</v>
      </c>
      <c r="V8" s="161">
        <v>46023.0</v>
      </c>
    </row>
    <row r="9">
      <c r="B9" s="171" t="s">
        <v>184</v>
      </c>
      <c r="C9" s="165">
        <f>'1-1 ciencias sociales ii'!H65</f>
        <v>7.886792453</v>
      </c>
      <c r="D9" s="172">
        <f>'1-1 ciencias sociales ii'!H66</f>
        <v>47</v>
      </c>
      <c r="E9" s="172">
        <f>'1-1 ciencias sociales ii'!H67</f>
        <v>6</v>
      </c>
      <c r="F9" s="165">
        <f>'1-1 ciencias sociales ii'!H68</f>
        <v>88.67924528</v>
      </c>
      <c r="G9" s="165">
        <f t="shared" si="7"/>
        <v>11.32075472</v>
      </c>
      <c r="H9" s="165">
        <f>'1-1 ciencias sociales ii'!P70</f>
        <v>98.38274933</v>
      </c>
      <c r="N9" s="157">
        <v>1.0</v>
      </c>
      <c r="O9" s="158" t="str">
        <f t="shared" si="2"/>
        <v>TALLER DE CIENCIAS I</v>
      </c>
      <c r="P9" s="159">
        <f t="shared" si="3"/>
        <v>98.58490566</v>
      </c>
      <c r="Q9" s="159">
        <f t="shared" si="4"/>
        <v>7.886792453</v>
      </c>
      <c r="R9" s="159">
        <f t="shared" si="5"/>
        <v>11.32075472</v>
      </c>
      <c r="S9" s="160">
        <f t="shared" ref="S9:T9" si="13">E10</f>
        <v>6</v>
      </c>
      <c r="T9" s="159">
        <f t="shared" si="13"/>
        <v>88.67924528</v>
      </c>
      <c r="U9" s="157">
        <v>1.0</v>
      </c>
      <c r="V9" s="161">
        <v>46023.0</v>
      </c>
    </row>
    <row r="10">
      <c r="B10" s="166" t="s">
        <v>185</v>
      </c>
      <c r="C10" s="169">
        <f>'1-1 taller de ciencias i'!H65</f>
        <v>7.886792453</v>
      </c>
      <c r="D10" s="173">
        <f>'1-1 taller de ciencias i'!H66</f>
        <v>47</v>
      </c>
      <c r="E10" s="173">
        <f>'1-1 taller de ciencias i'!H67</f>
        <v>6</v>
      </c>
      <c r="F10" s="169">
        <f>'1-1 taller de ciencias i'!H68</f>
        <v>88.67924528</v>
      </c>
      <c r="G10" s="169">
        <f t="shared" si="7"/>
        <v>11.32075472</v>
      </c>
      <c r="H10" s="169">
        <f>'1-1 taller de ciencias i'!P70</f>
        <v>98.58490566</v>
      </c>
      <c r="N10" s="157">
        <v>1.0</v>
      </c>
      <c r="O10" s="158" t="str">
        <f t="shared" si="2"/>
        <v>ACTIVIDADES FISICAS Y DEPORTIVAS II</v>
      </c>
      <c r="P10" s="159">
        <f t="shared" si="3"/>
        <v>98.74213836</v>
      </c>
      <c r="Q10" s="159">
        <f t="shared" si="4"/>
        <v>7.886792453</v>
      </c>
      <c r="R10" s="159">
        <f t="shared" si="5"/>
        <v>11.32075472</v>
      </c>
      <c r="S10" s="160">
        <f t="shared" ref="S10:T10" si="14">E11</f>
        <v>6</v>
      </c>
      <c r="T10" s="159">
        <f t="shared" si="14"/>
        <v>88.67924528</v>
      </c>
      <c r="U10" s="157">
        <v>1.0</v>
      </c>
      <c r="V10" s="161">
        <v>46023.0</v>
      </c>
    </row>
    <row r="11">
      <c r="B11" s="171" t="s">
        <v>203</v>
      </c>
      <c r="C11" s="165">
        <f>'1-1 actividades fisicas y depor'!H65</f>
        <v>7.886792453</v>
      </c>
      <c r="D11" s="172">
        <f>'1-1 actividades fisicas y depor'!H66</f>
        <v>47</v>
      </c>
      <c r="E11" s="172">
        <f>'1-1 actividades fisicas y depor'!H67</f>
        <v>6</v>
      </c>
      <c r="F11" s="165">
        <f>'1-1 actividades fisicas y depor'!H68</f>
        <v>88.67924528</v>
      </c>
      <c r="G11" s="165">
        <f t="shared" si="7"/>
        <v>11.32075472</v>
      </c>
      <c r="H11" s="165">
        <f>'1-1 actividades fisicas y depor'!P70</f>
        <v>98.74213836</v>
      </c>
      <c r="N11" s="157">
        <v>1.0</v>
      </c>
      <c r="O11" s="158" t="str">
        <f t="shared" si="2"/>
        <v>EDUCACION PARA LA SALUD II</v>
      </c>
      <c r="P11" s="159">
        <f t="shared" si="3"/>
        <v>97.73584906</v>
      </c>
      <c r="Q11" s="159">
        <f t="shared" si="4"/>
        <v>7.886792453</v>
      </c>
      <c r="R11" s="159">
        <f t="shared" si="5"/>
        <v>11.32075472</v>
      </c>
      <c r="S11" s="160">
        <f t="shared" ref="S11:T11" si="15">E12</f>
        <v>6</v>
      </c>
      <c r="T11" s="159">
        <f t="shared" si="15"/>
        <v>88.67924528</v>
      </c>
      <c r="U11" s="157">
        <v>1.0</v>
      </c>
      <c r="V11" s="161">
        <v>46023.0</v>
      </c>
    </row>
    <row r="12">
      <c r="B12" s="166" t="s">
        <v>204</v>
      </c>
      <c r="C12" s="169">
        <f>'1-1 educacion para la salud ii'!H65</f>
        <v>7.886792453</v>
      </c>
      <c r="D12" s="173">
        <f>'1-1 educacion para la salud ii'!H66</f>
        <v>47</v>
      </c>
      <c r="E12" s="173">
        <f>'1-1 educacion para la salud ii'!H67</f>
        <v>6</v>
      </c>
      <c r="F12" s="169">
        <f>'1-1 educacion para la salud ii'!H68</f>
        <v>88.67924528</v>
      </c>
      <c r="G12" s="169">
        <f t="shared" si="7"/>
        <v>11.32075472</v>
      </c>
      <c r="H12" s="169">
        <f>'1-1 educacion para la salud ii'!P70</f>
        <v>97.73584906</v>
      </c>
      <c r="N12" s="157">
        <v>1.0</v>
      </c>
      <c r="O12" s="158" t="str">
        <f t="shared" si="2"/>
        <v>TEMAS SELECTOS DE IGUALDAD Y DERECHOS HUMANOS II</v>
      </c>
      <c r="P12" s="159">
        <f t="shared" si="3"/>
        <v>96.22641509</v>
      </c>
      <c r="Q12" s="159">
        <f t="shared" si="4"/>
        <v>7.113207547</v>
      </c>
      <c r="R12" s="159">
        <f t="shared" si="5"/>
        <v>3.773584906</v>
      </c>
      <c r="S12" s="160">
        <f t="shared" ref="S12:T12" si="16">E13</f>
        <v>2</v>
      </c>
      <c r="T12" s="159">
        <f t="shared" si="16"/>
        <v>96.22641509</v>
      </c>
      <c r="U12" s="157">
        <v>1.0</v>
      </c>
      <c r="V12" s="161">
        <v>46023.0</v>
      </c>
    </row>
    <row r="13">
      <c r="B13" s="174" t="s">
        <v>188</v>
      </c>
      <c r="C13" s="175">
        <f>'1-1 temas selectos de igualdad '!H65</f>
        <v>7.113207547</v>
      </c>
      <c r="D13" s="176">
        <f>'1-1 temas selectos de igualdad '!H66</f>
        <v>51</v>
      </c>
      <c r="E13" s="176">
        <f>'1-1 temas selectos de igualdad '!H67</f>
        <v>2</v>
      </c>
      <c r="F13" s="175">
        <f>'1-1 temas selectos de igualdad '!H68</f>
        <v>96.22641509</v>
      </c>
      <c r="G13" s="175">
        <f t="shared" si="7"/>
        <v>3.773584906</v>
      </c>
      <c r="H13" s="175">
        <f>'1-1 temas selectos de igualdad '!P70</f>
        <v>96.22641509</v>
      </c>
      <c r="N13" s="177">
        <v>2.0</v>
      </c>
      <c r="O13" s="153" t="str">
        <f t="shared" ref="O13:O23" si="19">B18</f>
        <v>LENGUA Y COMUNICACIÓN II</v>
      </c>
      <c r="P13" s="178">
        <f t="shared" ref="P13:P23" si="20">H18</f>
        <v>94.68553459</v>
      </c>
      <c r="Q13" s="178">
        <f t="shared" ref="Q13:Q23" si="21">C18</f>
        <v>7.113207547</v>
      </c>
      <c r="R13" s="178">
        <f t="shared" ref="R13:R23" si="22">G18</f>
        <v>3.773584906</v>
      </c>
      <c r="S13" s="179">
        <f t="shared" ref="S13:T13" si="17">E18</f>
        <v>2</v>
      </c>
      <c r="T13" s="178">
        <f t="shared" si="17"/>
        <v>96.22641509</v>
      </c>
      <c r="U13" s="177">
        <v>1.0</v>
      </c>
      <c r="V13" s="180">
        <v>46023.0</v>
      </c>
    </row>
    <row r="14">
      <c r="B14" s="181"/>
      <c r="C14" s="182">
        <f t="shared" ref="C14:G14" si="18">AVERAGE(C3:C13)</f>
        <v>7.684391081</v>
      </c>
      <c r="D14" s="183">
        <f t="shared" si="18"/>
        <v>46.54545455</v>
      </c>
      <c r="E14" s="183">
        <f t="shared" si="18"/>
        <v>6.454545455</v>
      </c>
      <c r="F14" s="182">
        <f t="shared" si="18"/>
        <v>87.82161235</v>
      </c>
      <c r="G14" s="182">
        <f t="shared" si="18"/>
        <v>12.17838765</v>
      </c>
      <c r="H14" s="182">
        <f>AVERAGE(H2:H13)</f>
        <v>98.24797844</v>
      </c>
      <c r="N14" s="177">
        <v>2.0</v>
      </c>
      <c r="O14" s="153" t="str">
        <f t="shared" si="19"/>
        <v>INGLÉS II</v>
      </c>
      <c r="P14" s="178">
        <f t="shared" si="20"/>
        <v>99.5148248</v>
      </c>
      <c r="Q14" s="178" t="str">
        <f t="shared" si="21"/>
        <v>#DIV/0!</v>
      </c>
      <c r="R14" s="178">
        <f t="shared" si="22"/>
        <v>0</v>
      </c>
      <c r="S14" s="179">
        <f t="shared" ref="S14:T14" si="23">E19</f>
        <v>0</v>
      </c>
      <c r="T14" s="178">
        <f t="shared" si="23"/>
        <v>0</v>
      </c>
      <c r="U14" s="177">
        <v>1.0</v>
      </c>
      <c r="V14" s="180">
        <v>46023.0</v>
      </c>
    </row>
    <row r="15">
      <c r="H15" s="152"/>
      <c r="N15" s="177">
        <v>2.0</v>
      </c>
      <c r="O15" s="153" t="str">
        <f t="shared" si="19"/>
        <v>PENSAMIENTO MATEMÁTICO II</v>
      </c>
      <c r="P15" s="178">
        <f t="shared" si="20"/>
        <v>99.81132075</v>
      </c>
      <c r="Q15" s="178" t="str">
        <f t="shared" si="21"/>
        <v>#DIV/0!</v>
      </c>
      <c r="R15" s="178">
        <f t="shared" si="22"/>
        <v>0</v>
      </c>
      <c r="S15" s="179">
        <f t="shared" ref="S15:T15" si="24">E20</f>
        <v>0</v>
      </c>
      <c r="T15" s="178">
        <f t="shared" si="24"/>
        <v>0</v>
      </c>
      <c r="U15" s="177">
        <v>1.0</v>
      </c>
      <c r="V15" s="180">
        <v>46023.0</v>
      </c>
    </row>
    <row r="16">
      <c r="B16" s="150" t="s">
        <v>205</v>
      </c>
      <c r="C16" s="151" t="s">
        <v>190</v>
      </c>
      <c r="D16" s="104">
        <f>'1-1 lengua y comunicacion ii'!H9</f>
        <v>53</v>
      </c>
      <c r="H16" s="152"/>
      <c r="N16" s="177">
        <v>2.0</v>
      </c>
      <c r="O16" s="153" t="str">
        <f t="shared" si="19"/>
        <v>CULTURA DIGITAL II</v>
      </c>
      <c r="P16" s="178">
        <f t="shared" si="20"/>
        <v>99.24528302</v>
      </c>
      <c r="Q16" s="178" t="str">
        <f t="shared" si="21"/>
        <v>#DIV/0!</v>
      </c>
      <c r="R16" s="178">
        <f t="shared" si="22"/>
        <v>0</v>
      </c>
      <c r="S16" s="179">
        <f t="shared" ref="S16:T16" si="25">E21</f>
        <v>0</v>
      </c>
      <c r="T16" s="178">
        <f t="shared" si="25"/>
        <v>0</v>
      </c>
      <c r="U16" s="177">
        <v>1.0</v>
      </c>
      <c r="V16" s="180">
        <v>46023.0</v>
      </c>
    </row>
    <row r="17">
      <c r="B17" s="154" t="s">
        <v>178</v>
      </c>
      <c r="C17" s="154" t="s">
        <v>199</v>
      </c>
      <c r="D17" s="154" t="s">
        <v>171</v>
      </c>
      <c r="E17" s="155" t="s">
        <v>173</v>
      </c>
      <c r="F17" s="154" t="s">
        <v>200</v>
      </c>
      <c r="G17" s="154" t="s">
        <v>201</v>
      </c>
      <c r="H17" s="156" t="s">
        <v>177</v>
      </c>
      <c r="N17" s="177">
        <v>2.0</v>
      </c>
      <c r="O17" s="153" t="str">
        <f t="shared" si="19"/>
        <v>CIENCIAS NATURALES, EXPERIMENTALES Y TECNOLOGIA II</v>
      </c>
      <c r="P17" s="178">
        <f t="shared" si="20"/>
        <v>98.74213836</v>
      </c>
      <c r="Q17" s="178" t="str">
        <f t="shared" si="21"/>
        <v>#DIV/0!</v>
      </c>
      <c r="R17" s="178">
        <f t="shared" si="22"/>
        <v>0</v>
      </c>
      <c r="S17" s="179">
        <f t="shared" ref="S17:T17" si="26">E22</f>
        <v>0</v>
      </c>
      <c r="T17" s="178">
        <f t="shared" si="26"/>
        <v>0</v>
      </c>
      <c r="U17" s="177">
        <v>1.0</v>
      </c>
      <c r="V17" s="180">
        <v>46023.0</v>
      </c>
    </row>
    <row r="18">
      <c r="B18" s="162" t="s">
        <v>17</v>
      </c>
      <c r="C18" s="163">
        <f>'1-1 lengua y comunicacion ii'!J65</f>
        <v>7.113207547</v>
      </c>
      <c r="D18" s="164">
        <f>'1-1 lengua y comunicacion ii'!J66</f>
        <v>51</v>
      </c>
      <c r="E18" s="164">
        <f>'1-1 lengua y comunicacion ii'!J67</f>
        <v>2</v>
      </c>
      <c r="F18" s="163">
        <f>'1-1 lengua y comunicacion ii'!J68</f>
        <v>96.22641509</v>
      </c>
      <c r="G18" s="165">
        <f t="shared" ref="G18:G28" si="28">(E18*100)/$D$1</f>
        <v>3.773584906</v>
      </c>
      <c r="H18" s="165">
        <f>'1-1 lengua y comunicacion ii'!P70</f>
        <v>94.68553459</v>
      </c>
      <c r="N18" s="177">
        <v>2.0</v>
      </c>
      <c r="O18" s="153" t="str">
        <f t="shared" si="19"/>
        <v>PENSAMIENTO FILOSÓFICO Y HUMANIDADES II</v>
      </c>
      <c r="P18" s="178">
        <f t="shared" si="20"/>
        <v>99.05660377</v>
      </c>
      <c r="Q18" s="178" t="str">
        <f t="shared" si="21"/>
        <v>#DIV/0!</v>
      </c>
      <c r="R18" s="178">
        <f t="shared" si="22"/>
        <v>0</v>
      </c>
      <c r="S18" s="179">
        <f t="shared" ref="S18:T18" si="27">E23</f>
        <v>0</v>
      </c>
      <c r="T18" s="178">
        <f t="shared" si="27"/>
        <v>0</v>
      </c>
      <c r="U18" s="177">
        <v>1.0</v>
      </c>
      <c r="V18" s="180">
        <v>46023.0</v>
      </c>
    </row>
    <row r="19">
      <c r="B19" s="166" t="s">
        <v>179</v>
      </c>
      <c r="C19" s="167" t="str">
        <f>'1-1 ingles II'!J65</f>
        <v>#DIV/0!</v>
      </c>
      <c r="D19" s="168">
        <f>'1-1 ingles II'!J66</f>
        <v>0</v>
      </c>
      <c r="E19" s="168">
        <f>'1-1 ingles II'!J67</f>
        <v>0</v>
      </c>
      <c r="F19" s="167">
        <f>'1-1 ingles II'!J68</f>
        <v>0</v>
      </c>
      <c r="G19" s="169">
        <f t="shared" si="28"/>
        <v>0</v>
      </c>
      <c r="H19" s="170">
        <f>'1-1 ingles II'!P70</f>
        <v>99.5148248</v>
      </c>
      <c r="N19" s="177">
        <v>2.0</v>
      </c>
      <c r="O19" s="153" t="str">
        <f t="shared" si="19"/>
        <v>CIENCIAS SOCIALES II</v>
      </c>
      <c r="P19" s="178">
        <f t="shared" si="20"/>
        <v>98.38274933</v>
      </c>
      <c r="Q19" s="178" t="str">
        <f t="shared" si="21"/>
        <v>#DIV/0!</v>
      </c>
      <c r="R19" s="178">
        <f t="shared" si="22"/>
        <v>0</v>
      </c>
      <c r="S19" s="179">
        <f t="shared" ref="S19:T19" si="29">E24</f>
        <v>0</v>
      </c>
      <c r="T19" s="178">
        <f t="shared" si="29"/>
        <v>0</v>
      </c>
      <c r="U19" s="177">
        <v>1.0</v>
      </c>
      <c r="V19" s="180">
        <v>46023.0</v>
      </c>
    </row>
    <row r="20">
      <c r="B20" s="171" t="s">
        <v>180</v>
      </c>
      <c r="C20" s="165" t="str">
        <f>'1-1 pensamiento matematico ii'!J65</f>
        <v>#DIV/0!</v>
      </c>
      <c r="D20" s="172">
        <f>'1-1 pensamiento matematico ii'!J66</f>
        <v>0</v>
      </c>
      <c r="E20" s="172">
        <f>'1-1 pensamiento matematico ii'!J67</f>
        <v>0</v>
      </c>
      <c r="F20" s="165">
        <f>'1-1 pensamiento matematico ii'!J68</f>
        <v>0</v>
      </c>
      <c r="G20" s="165">
        <f t="shared" si="28"/>
        <v>0</v>
      </c>
      <c r="H20" s="165">
        <f>'1-1 pensamiento matematico ii'!P70</f>
        <v>99.81132075</v>
      </c>
      <c r="N20" s="177">
        <v>2.0</v>
      </c>
      <c r="O20" s="153" t="str">
        <f t="shared" si="19"/>
        <v>TALLER DE CIENCIAS I</v>
      </c>
      <c r="P20" s="178">
        <f t="shared" si="20"/>
        <v>98.58490566</v>
      </c>
      <c r="Q20" s="178" t="str">
        <f t="shared" si="21"/>
        <v>#DIV/0!</v>
      </c>
      <c r="R20" s="178">
        <f t="shared" si="22"/>
        <v>0</v>
      </c>
      <c r="S20" s="179">
        <f t="shared" ref="S20:T20" si="30">E25</f>
        <v>0</v>
      </c>
      <c r="T20" s="178">
        <f t="shared" si="30"/>
        <v>0</v>
      </c>
      <c r="U20" s="177">
        <v>1.0</v>
      </c>
      <c r="V20" s="180">
        <v>46023.0</v>
      </c>
    </row>
    <row r="21" ht="15.75" customHeight="1">
      <c r="B21" s="166" t="s">
        <v>181</v>
      </c>
      <c r="C21" s="169" t="str">
        <f>'1-1 cultura digital ii'!J65</f>
        <v>#DIV/0!</v>
      </c>
      <c r="D21" s="173">
        <f>'1-1 cultura digital ii'!J66</f>
        <v>0</v>
      </c>
      <c r="E21" s="173">
        <f>'1-1 cultura digital ii'!J67</f>
        <v>0</v>
      </c>
      <c r="F21" s="169">
        <f>'1-1 cultura digital ii'!J68</f>
        <v>0</v>
      </c>
      <c r="G21" s="169">
        <f t="shared" si="28"/>
        <v>0</v>
      </c>
      <c r="H21" s="169">
        <f>'1-1 cultura digital ii'!P70</f>
        <v>99.24528302</v>
      </c>
      <c r="N21" s="177">
        <v>2.0</v>
      </c>
      <c r="O21" s="153" t="str">
        <f t="shared" si="19"/>
        <v>ACTIVIDADES FISICAS Y DEPORTIVAS II</v>
      </c>
      <c r="P21" s="178">
        <f t="shared" si="20"/>
        <v>98.74213836</v>
      </c>
      <c r="Q21" s="178" t="str">
        <f t="shared" si="21"/>
        <v>#DIV/0!</v>
      </c>
      <c r="R21" s="178">
        <f t="shared" si="22"/>
        <v>0</v>
      </c>
      <c r="S21" s="179">
        <f t="shared" ref="S21:T21" si="31">E26</f>
        <v>0</v>
      </c>
      <c r="T21" s="178">
        <f t="shared" si="31"/>
        <v>0</v>
      </c>
      <c r="U21" s="177">
        <v>1.0</v>
      </c>
      <c r="V21" s="180">
        <v>46023.0</v>
      </c>
    </row>
    <row r="22" ht="15.75" customHeight="1">
      <c r="B22" s="171" t="s">
        <v>202</v>
      </c>
      <c r="C22" s="165" t="str">
        <f>'1-1 ciencias naturales experime'!J65</f>
        <v>#DIV/0!</v>
      </c>
      <c r="D22" s="172">
        <f>'1-1 ciencias naturales experime'!J66</f>
        <v>0</v>
      </c>
      <c r="E22" s="172">
        <f>'1-1 ciencias naturales experime'!J67</f>
        <v>0</v>
      </c>
      <c r="F22" s="165">
        <f>'1-1 ciencias naturales experime'!J68</f>
        <v>0</v>
      </c>
      <c r="G22" s="165">
        <f t="shared" si="28"/>
        <v>0</v>
      </c>
      <c r="H22" s="165">
        <f>'1-1 ciencias naturales experime'!P70</f>
        <v>98.74213836</v>
      </c>
      <c r="N22" s="177">
        <v>2.0</v>
      </c>
      <c r="O22" s="153" t="str">
        <f t="shared" si="19"/>
        <v>EDUCACION PARA LA SALUD II</v>
      </c>
      <c r="P22" s="178">
        <f t="shared" si="20"/>
        <v>97.73584906</v>
      </c>
      <c r="Q22" s="178" t="str">
        <f t="shared" si="21"/>
        <v>#DIV/0!</v>
      </c>
      <c r="R22" s="178">
        <f t="shared" si="22"/>
        <v>0</v>
      </c>
      <c r="S22" s="179">
        <f t="shared" ref="S22:T22" si="32">E27</f>
        <v>0</v>
      </c>
      <c r="T22" s="178">
        <f t="shared" si="32"/>
        <v>0</v>
      </c>
      <c r="U22" s="177">
        <v>1.0</v>
      </c>
      <c r="V22" s="180">
        <v>46023.0</v>
      </c>
    </row>
    <row r="23" ht="15.75" customHeight="1">
      <c r="B23" s="166" t="s">
        <v>183</v>
      </c>
      <c r="C23" s="169" t="str">
        <f>'1-1 pensamiento filosofico y hu'!J65</f>
        <v>#DIV/0!</v>
      </c>
      <c r="D23" s="173">
        <f>'1-1 pensamiento filosofico y hu'!J66</f>
        <v>0</v>
      </c>
      <c r="E23" s="173">
        <f>'1-1 pensamiento filosofico y hu'!J67</f>
        <v>0</v>
      </c>
      <c r="F23" s="169">
        <f>'1-1 pensamiento filosofico y hu'!J68</f>
        <v>0</v>
      </c>
      <c r="G23" s="169">
        <f t="shared" si="28"/>
        <v>0</v>
      </c>
      <c r="H23" s="169">
        <f>'1-1 pensamiento filosofico y hu'!P70</f>
        <v>99.05660377</v>
      </c>
      <c r="N23" s="177">
        <v>2.0</v>
      </c>
      <c r="O23" s="153" t="str">
        <f t="shared" si="19"/>
        <v>TEMAS SELECTOS DE IGUALDAD Y DERECHOS HUMANOS II</v>
      </c>
      <c r="P23" s="178">
        <f t="shared" si="20"/>
        <v>96.22641509</v>
      </c>
      <c r="Q23" s="178" t="str">
        <f t="shared" si="21"/>
        <v>#DIV/0!</v>
      </c>
      <c r="R23" s="178">
        <f t="shared" si="22"/>
        <v>0</v>
      </c>
      <c r="S23" s="179">
        <f t="shared" ref="S23:T23" si="33">E28</f>
        <v>0</v>
      </c>
      <c r="T23" s="178">
        <f t="shared" si="33"/>
        <v>0</v>
      </c>
      <c r="U23" s="177">
        <v>1.0</v>
      </c>
      <c r="V23" s="180">
        <v>46023.0</v>
      </c>
    </row>
    <row r="24" ht="15.75" customHeight="1">
      <c r="B24" s="171" t="s">
        <v>184</v>
      </c>
      <c r="C24" s="165" t="str">
        <f>'1-1 ciencias sociales ii'!J65</f>
        <v>#DIV/0!</v>
      </c>
      <c r="D24" s="172">
        <f>'1-1 ciencias sociales ii'!J66</f>
        <v>0</v>
      </c>
      <c r="E24" s="172">
        <f>'1-1 ciencias sociales ii'!J67</f>
        <v>0</v>
      </c>
      <c r="F24" s="165">
        <f>'1-1 ciencias sociales ii'!J68</f>
        <v>0</v>
      </c>
      <c r="G24" s="165">
        <f t="shared" si="28"/>
        <v>0</v>
      </c>
      <c r="H24" s="165">
        <f>'1-1 ciencias sociales ii'!P70</f>
        <v>98.38274933</v>
      </c>
      <c r="N24" s="157">
        <v>3.0</v>
      </c>
      <c r="O24" s="158" t="str">
        <f t="shared" ref="O24:O34" si="35">B34</f>
        <v>LENGUA Y COMUNICACIÓN II</v>
      </c>
      <c r="P24" s="159">
        <f t="shared" ref="P24:P34" si="36">H34</f>
        <v>94.68553459</v>
      </c>
      <c r="Q24" s="159">
        <f t="shared" ref="Q24:Q34" si="37">C34</f>
        <v>7.113207547</v>
      </c>
      <c r="R24" s="159">
        <f t="shared" ref="R24:R34" si="38">G34</f>
        <v>3.773584906</v>
      </c>
      <c r="S24" s="160">
        <f t="shared" ref="S24:T24" si="34">E34</f>
        <v>2</v>
      </c>
      <c r="T24" s="159">
        <f t="shared" si="34"/>
        <v>2</v>
      </c>
      <c r="U24" s="157">
        <v>1.0</v>
      </c>
      <c r="V24" s="161">
        <v>46023.0</v>
      </c>
    </row>
    <row r="25" ht="15.75" customHeight="1">
      <c r="B25" s="166" t="s">
        <v>185</v>
      </c>
      <c r="C25" s="169" t="str">
        <f>'1-1 taller de ciencias i'!J65</f>
        <v>#DIV/0!</v>
      </c>
      <c r="D25" s="173">
        <f>'1-1 taller de ciencias i'!J66</f>
        <v>0</v>
      </c>
      <c r="E25" s="173">
        <f>'1-1 taller de ciencias i'!J67</f>
        <v>0</v>
      </c>
      <c r="F25" s="169">
        <f>'1-1 taller de ciencias i'!J68</f>
        <v>0</v>
      </c>
      <c r="G25" s="169">
        <f t="shared" si="28"/>
        <v>0</v>
      </c>
      <c r="H25" s="169">
        <f>'1-1 taller de ciencias i'!P70</f>
        <v>98.58490566</v>
      </c>
      <c r="N25" s="157">
        <v>3.0</v>
      </c>
      <c r="O25" s="158" t="str">
        <f t="shared" si="35"/>
        <v>INGLÉS II</v>
      </c>
      <c r="P25" s="159">
        <f t="shared" si="36"/>
        <v>99.5148248</v>
      </c>
      <c r="Q25" s="159" t="str">
        <f t="shared" si="37"/>
        <v>#DIV/0!</v>
      </c>
      <c r="R25" s="159">
        <f t="shared" si="38"/>
        <v>0</v>
      </c>
      <c r="S25" s="160">
        <f t="shared" ref="S25:T25" si="39">E35</f>
        <v>0</v>
      </c>
      <c r="T25" s="159">
        <f t="shared" si="39"/>
        <v>0</v>
      </c>
      <c r="U25" s="157">
        <v>1.0</v>
      </c>
      <c r="V25" s="161">
        <v>46054.0</v>
      </c>
    </row>
    <row r="26" ht="15.75" customHeight="1">
      <c r="B26" s="171" t="s">
        <v>203</v>
      </c>
      <c r="C26" s="165" t="str">
        <f>'1-1 actividades fisicas y depor'!J65</f>
        <v>#DIV/0!</v>
      </c>
      <c r="D26" s="172">
        <f>'1-1 actividades fisicas y depor'!J66</f>
        <v>0</v>
      </c>
      <c r="E26" s="172">
        <f>'1-1 actividades fisicas y depor'!J67</f>
        <v>0</v>
      </c>
      <c r="F26" s="165">
        <f>'1-1 actividades fisicas y depor'!J68</f>
        <v>0</v>
      </c>
      <c r="G26" s="165">
        <f t="shared" si="28"/>
        <v>0</v>
      </c>
      <c r="H26" s="165">
        <f>'1-1 actividades fisicas y depor'!P70</f>
        <v>98.74213836</v>
      </c>
      <c r="N26" s="157">
        <v>3.0</v>
      </c>
      <c r="O26" s="158" t="str">
        <f t="shared" si="35"/>
        <v>PENSAMIENTO MATEMÁTICO II</v>
      </c>
      <c r="P26" s="159">
        <f t="shared" si="36"/>
        <v>99.81132075</v>
      </c>
      <c r="Q26" s="159" t="str">
        <f t="shared" si="37"/>
        <v>#DIV/0!</v>
      </c>
      <c r="R26" s="159">
        <f t="shared" si="38"/>
        <v>0</v>
      </c>
      <c r="S26" s="160">
        <f t="shared" ref="S26:T26" si="40">E36</f>
        <v>0</v>
      </c>
      <c r="T26" s="159">
        <f t="shared" si="40"/>
        <v>0</v>
      </c>
      <c r="U26" s="157">
        <v>1.0</v>
      </c>
      <c r="V26" s="161">
        <v>46023.0</v>
      </c>
    </row>
    <row r="27" ht="15.75" customHeight="1">
      <c r="B27" s="166" t="s">
        <v>204</v>
      </c>
      <c r="C27" s="169" t="str">
        <f>'1-1 educacion para la salud ii'!J65</f>
        <v>#DIV/0!</v>
      </c>
      <c r="D27" s="173">
        <f>'1-1 educacion para la salud ii'!J66</f>
        <v>0</v>
      </c>
      <c r="E27" s="173">
        <f>'1-1 educacion para la salud ii'!J67</f>
        <v>0</v>
      </c>
      <c r="F27" s="169">
        <f>'1-1 educacion para la salud ii'!J68</f>
        <v>0</v>
      </c>
      <c r="G27" s="169">
        <f t="shared" si="28"/>
        <v>0</v>
      </c>
      <c r="H27" s="169">
        <f>'1-1 educacion para la salud ii'!P70</f>
        <v>97.73584906</v>
      </c>
      <c r="N27" s="157">
        <v>3.0</v>
      </c>
      <c r="O27" s="158" t="str">
        <f t="shared" si="35"/>
        <v>CULTURA DIGITAL II</v>
      </c>
      <c r="P27" s="159">
        <f t="shared" si="36"/>
        <v>99.24528302</v>
      </c>
      <c r="Q27" s="159" t="str">
        <f t="shared" si="37"/>
        <v>#DIV/0!</v>
      </c>
      <c r="R27" s="159">
        <f t="shared" si="38"/>
        <v>0</v>
      </c>
      <c r="S27" s="160">
        <f t="shared" ref="S27:T27" si="41">E37</f>
        <v>0</v>
      </c>
      <c r="T27" s="159">
        <f t="shared" si="41"/>
        <v>0</v>
      </c>
      <c r="U27" s="157">
        <v>1.0</v>
      </c>
      <c r="V27" s="161">
        <v>46023.0</v>
      </c>
    </row>
    <row r="28" ht="15.75" customHeight="1">
      <c r="B28" s="174" t="s">
        <v>188</v>
      </c>
      <c r="C28" s="175" t="str">
        <f>'1-1 temas selectos de igualdad '!J65</f>
        <v>#DIV/0!</v>
      </c>
      <c r="D28" s="176">
        <f>'1-1 temas selectos de igualdad '!J66</f>
        <v>0</v>
      </c>
      <c r="E28" s="176">
        <f>'1-1 temas selectos de igualdad '!J67</f>
        <v>0</v>
      </c>
      <c r="F28" s="175">
        <f>'1-1 temas selectos de igualdad '!J68</f>
        <v>0</v>
      </c>
      <c r="G28" s="175">
        <f t="shared" si="28"/>
        <v>0</v>
      </c>
      <c r="H28" s="175">
        <f>'1-1 temas selectos de igualdad '!P70</f>
        <v>96.22641509</v>
      </c>
      <c r="N28" s="157">
        <v>3.0</v>
      </c>
      <c r="O28" s="158" t="str">
        <f t="shared" si="35"/>
        <v>CIENCIAS NATURALES, EXPERIMENTALES Y TECNOLOGIA II</v>
      </c>
      <c r="P28" s="159">
        <f t="shared" si="36"/>
        <v>98.74213836</v>
      </c>
      <c r="Q28" s="159" t="str">
        <f t="shared" si="37"/>
        <v>#DIV/0!</v>
      </c>
      <c r="R28" s="159">
        <f t="shared" si="38"/>
        <v>0</v>
      </c>
      <c r="S28" s="160">
        <f t="shared" ref="S28:T28" si="42">E38</f>
        <v>0</v>
      </c>
      <c r="T28" s="159">
        <f t="shared" si="42"/>
        <v>0</v>
      </c>
      <c r="U28" s="157">
        <v>1.0</v>
      </c>
      <c r="V28" s="161">
        <v>46023.0</v>
      </c>
    </row>
    <row r="29" ht="15.75" customHeight="1">
      <c r="B29" s="181"/>
      <c r="C29" s="182" t="str">
        <f t="shared" ref="C29:G29" si="43">AVERAGE(C18:C28)</f>
        <v>#DIV/0!</v>
      </c>
      <c r="D29" s="183">
        <f t="shared" si="43"/>
        <v>4.636363636</v>
      </c>
      <c r="E29" s="183">
        <f t="shared" si="43"/>
        <v>0.1818181818</v>
      </c>
      <c r="F29" s="182">
        <f t="shared" si="43"/>
        <v>8.747855918</v>
      </c>
      <c r="G29" s="182">
        <f t="shared" si="43"/>
        <v>0.3430531732</v>
      </c>
      <c r="H29" s="182">
        <f>AVERAGE(H17:H28)</f>
        <v>98.24797844</v>
      </c>
      <c r="N29" s="157">
        <v>3.0</v>
      </c>
      <c r="O29" s="158" t="str">
        <f t="shared" si="35"/>
        <v>PENSAMIENTO FILOSÓFICO Y HUMANIDADES II</v>
      </c>
      <c r="P29" s="159">
        <f t="shared" si="36"/>
        <v>99.05660377</v>
      </c>
      <c r="Q29" s="159" t="str">
        <f t="shared" si="37"/>
        <v>#DIV/0!</v>
      </c>
      <c r="R29" s="159">
        <f t="shared" si="38"/>
        <v>0</v>
      </c>
      <c r="S29" s="160">
        <f t="shared" ref="S29:T29" si="44">E39</f>
        <v>0</v>
      </c>
      <c r="T29" s="159">
        <f t="shared" si="44"/>
        <v>0</v>
      </c>
      <c r="U29" s="157">
        <v>1.0</v>
      </c>
      <c r="V29" s="161">
        <v>46023.0</v>
      </c>
    </row>
    <row r="30" ht="15.75" customHeight="1">
      <c r="B30" s="71"/>
      <c r="C30" s="184" t="str">
        <f t="shared" ref="C30:E30" si="45">AVERAGE(C19:C29)</f>
        <v>#DIV/0!</v>
      </c>
      <c r="D30" s="185">
        <f t="shared" si="45"/>
        <v>0.4214876033</v>
      </c>
      <c r="E30" s="184">
        <f t="shared" si="45"/>
        <v>0.01652892562</v>
      </c>
      <c r="F30" s="71"/>
      <c r="G30" s="71"/>
      <c r="H30" s="152"/>
      <c r="N30" s="157">
        <v>3.0</v>
      </c>
      <c r="O30" s="158" t="str">
        <f t="shared" si="35"/>
        <v>CIENCIAS SOCIALES II</v>
      </c>
      <c r="P30" s="159">
        <f t="shared" si="36"/>
        <v>98.38274933</v>
      </c>
      <c r="Q30" s="159" t="str">
        <f t="shared" si="37"/>
        <v>#DIV/0!</v>
      </c>
      <c r="R30" s="159">
        <f t="shared" si="38"/>
        <v>0</v>
      </c>
      <c r="S30" s="160">
        <f t="shared" ref="S30:T30" si="46">E40</f>
        <v>0</v>
      </c>
      <c r="T30" s="159">
        <f t="shared" si="46"/>
        <v>0</v>
      </c>
      <c r="U30" s="157">
        <v>1.0</v>
      </c>
      <c r="V30" s="161">
        <v>46023.0</v>
      </c>
    </row>
    <row r="31" ht="15.75" customHeight="1">
      <c r="H31" s="152"/>
      <c r="N31" s="157">
        <v>3.0</v>
      </c>
      <c r="O31" s="158" t="str">
        <f t="shared" si="35"/>
        <v>TALLER DE CIENCIAS I</v>
      </c>
      <c r="P31" s="159">
        <f t="shared" si="36"/>
        <v>98.58490566</v>
      </c>
      <c r="Q31" s="159" t="str">
        <f t="shared" si="37"/>
        <v>#DIV/0!</v>
      </c>
      <c r="R31" s="159">
        <f t="shared" si="38"/>
        <v>0</v>
      </c>
      <c r="S31" s="160">
        <f t="shared" ref="S31:T31" si="47">E41</f>
        <v>0</v>
      </c>
      <c r="T31" s="159">
        <f t="shared" si="47"/>
        <v>0</v>
      </c>
      <c r="U31" s="157">
        <v>1.0</v>
      </c>
      <c r="V31" s="161">
        <v>46023.0</v>
      </c>
    </row>
    <row r="32" ht="15.75" customHeight="1">
      <c r="B32" s="150" t="s">
        <v>205</v>
      </c>
      <c r="C32" s="151" t="s">
        <v>190</v>
      </c>
      <c r="D32" s="104">
        <f>'1-1 lengua y comunicacion ii'!H9</f>
        <v>53</v>
      </c>
      <c r="H32" s="152"/>
      <c r="N32" s="157">
        <v>3.0</v>
      </c>
      <c r="O32" s="158" t="str">
        <f t="shared" si="35"/>
        <v>ACTIVIDADES FISICAS Y DEPORTIVAS II</v>
      </c>
      <c r="P32" s="159">
        <f t="shared" si="36"/>
        <v>98.74213836</v>
      </c>
      <c r="Q32" s="159" t="str">
        <f t="shared" si="37"/>
        <v>#DIV/0!</v>
      </c>
      <c r="R32" s="159">
        <f t="shared" si="38"/>
        <v>0</v>
      </c>
      <c r="S32" s="160">
        <f t="shared" ref="S32:T32" si="48">E42</f>
        <v>0</v>
      </c>
      <c r="T32" s="159">
        <f t="shared" si="48"/>
        <v>0</v>
      </c>
      <c r="U32" s="157">
        <v>1.0</v>
      </c>
      <c r="V32" s="161">
        <v>46023.0</v>
      </c>
    </row>
    <row r="33" ht="15.75" customHeight="1">
      <c r="B33" s="154" t="s">
        <v>178</v>
      </c>
      <c r="C33" s="154" t="s">
        <v>199</v>
      </c>
      <c r="D33" s="154" t="s">
        <v>171</v>
      </c>
      <c r="E33" s="155" t="s">
        <v>173</v>
      </c>
      <c r="F33" s="154" t="s">
        <v>200</v>
      </c>
      <c r="G33" s="154" t="s">
        <v>201</v>
      </c>
      <c r="H33" s="156" t="s">
        <v>177</v>
      </c>
      <c r="N33" s="157">
        <v>3.0</v>
      </c>
      <c r="O33" s="158" t="str">
        <f t="shared" si="35"/>
        <v>EDUCACION PARA LA SALUD II</v>
      </c>
      <c r="P33" s="159">
        <f t="shared" si="36"/>
        <v>97.73584906</v>
      </c>
      <c r="Q33" s="159" t="str">
        <f t="shared" si="37"/>
        <v>#DIV/0!</v>
      </c>
      <c r="R33" s="159">
        <f t="shared" si="38"/>
        <v>0</v>
      </c>
      <c r="S33" s="160">
        <f t="shared" ref="S33:T33" si="49">E43</f>
        <v>0</v>
      </c>
      <c r="T33" s="159">
        <f t="shared" si="49"/>
        <v>0</v>
      </c>
      <c r="U33" s="157">
        <v>1.0</v>
      </c>
      <c r="V33" s="161">
        <v>46023.0</v>
      </c>
    </row>
    <row r="34" ht="15.75" customHeight="1">
      <c r="B34" s="162" t="s">
        <v>17</v>
      </c>
      <c r="C34" s="163">
        <f>'1-1 lengua y comunicacion ii'!L65</f>
        <v>7.113207547</v>
      </c>
      <c r="D34" s="164">
        <f>'1-1 lengua y comunicacion ii'!L66</f>
        <v>51</v>
      </c>
      <c r="E34" s="164">
        <f>'1-1 lengua y comunicacion ii'!L67</f>
        <v>2</v>
      </c>
      <c r="F34" s="163">
        <f>'1-1 lengua y comunicacion ii'!L67</f>
        <v>2</v>
      </c>
      <c r="G34" s="165">
        <f t="shared" ref="G34:G44" si="51">(E34*100)/$D$1</f>
        <v>3.773584906</v>
      </c>
      <c r="H34" s="165">
        <f>'1-1 lengua y comunicacion ii'!P70</f>
        <v>94.68553459</v>
      </c>
      <c r="N34" s="186">
        <v>3.0</v>
      </c>
      <c r="O34" s="158" t="str">
        <f t="shared" si="35"/>
        <v>TEMAS SELECTOS DE IGUALDAD Y DERECHOS HUMANOS II</v>
      </c>
      <c r="P34" s="159">
        <f t="shared" si="36"/>
        <v>96.22641509</v>
      </c>
      <c r="Q34" s="159" t="str">
        <f t="shared" si="37"/>
        <v>#DIV/0!</v>
      </c>
      <c r="R34" s="159">
        <f t="shared" si="38"/>
        <v>0</v>
      </c>
      <c r="S34" s="160">
        <f t="shared" ref="S34:T34" si="50">E44</f>
        <v>0</v>
      </c>
      <c r="T34" s="159">
        <f t="shared" si="50"/>
        <v>0</v>
      </c>
      <c r="U34" s="157">
        <v>1.0</v>
      </c>
      <c r="V34" s="161">
        <v>46023.0</v>
      </c>
    </row>
    <row r="35" ht="15.75" customHeight="1">
      <c r="B35" s="166" t="s">
        <v>179</v>
      </c>
      <c r="C35" s="167" t="str">
        <f>'1-1 ingles II'!L65</f>
        <v>#DIV/0!</v>
      </c>
      <c r="D35" s="168">
        <f>'1-1 ingles II'!L66</f>
        <v>0</v>
      </c>
      <c r="E35" s="168">
        <f>'1-1 ingles II'!L67</f>
        <v>0</v>
      </c>
      <c r="F35" s="167">
        <f>'1-1 ingles II'!L67</f>
        <v>0</v>
      </c>
      <c r="G35" s="169">
        <f t="shared" si="51"/>
        <v>0</v>
      </c>
      <c r="H35" s="170">
        <f>'1-1 ingles II'!P70</f>
        <v>99.5148248</v>
      </c>
      <c r="N35" s="187"/>
      <c r="O35" s="152"/>
      <c r="P35" s="188"/>
      <c r="Q35" s="189"/>
      <c r="R35" s="188"/>
      <c r="S35" s="187"/>
      <c r="T35" s="190"/>
    </row>
    <row r="36" ht="15.75" customHeight="1">
      <c r="B36" s="171" t="s">
        <v>180</v>
      </c>
      <c r="C36" s="165" t="str">
        <f>'1-1 pensamiento matematico ii'!L65</f>
        <v>#DIV/0!</v>
      </c>
      <c r="D36" s="172">
        <f>'1-1 pensamiento matematico ii'!L66</f>
        <v>0</v>
      </c>
      <c r="E36" s="172">
        <f>'1-1 pensamiento matematico ii'!L67</f>
        <v>0</v>
      </c>
      <c r="F36" s="165">
        <f>'1-1 pensamiento matematico ii'!L67</f>
        <v>0</v>
      </c>
      <c r="G36" s="165">
        <f t="shared" si="51"/>
        <v>0</v>
      </c>
      <c r="H36" s="165">
        <f>'1-1 pensamiento matematico ii'!P70</f>
        <v>99.81132075</v>
      </c>
      <c r="N36" s="187"/>
      <c r="O36" s="152"/>
      <c r="P36" s="188"/>
      <c r="Q36" s="189"/>
      <c r="R36" s="188"/>
      <c r="S36" s="187"/>
      <c r="T36" s="190"/>
    </row>
    <row r="37" ht="15.75" customHeight="1">
      <c r="B37" s="166" t="s">
        <v>181</v>
      </c>
      <c r="C37" s="169" t="str">
        <f>'1-1 cultura digital ii'!L65</f>
        <v>#DIV/0!</v>
      </c>
      <c r="D37" s="173">
        <f>'1-1 cultura digital ii'!L66</f>
        <v>0</v>
      </c>
      <c r="E37" s="173">
        <f>'1-1 cultura digital ii'!L67</f>
        <v>0</v>
      </c>
      <c r="F37" s="169">
        <f>'1-1 cultura digital ii'!L67</f>
        <v>0</v>
      </c>
      <c r="G37" s="169">
        <f t="shared" si="51"/>
        <v>0</v>
      </c>
      <c r="H37" s="169">
        <f>'1-1 cultura digital ii'!P70</f>
        <v>99.24528302</v>
      </c>
      <c r="N37" s="187"/>
      <c r="O37" s="152"/>
      <c r="P37" s="188"/>
      <c r="Q37" s="189"/>
      <c r="R37" s="188"/>
      <c r="S37" s="187"/>
      <c r="T37" s="190"/>
    </row>
    <row r="38" ht="15.75" customHeight="1">
      <c r="B38" s="171" t="s">
        <v>202</v>
      </c>
      <c r="C38" s="165" t="str">
        <f>'1-1 ciencias naturales experime'!L65</f>
        <v>#DIV/0!</v>
      </c>
      <c r="D38" s="172">
        <f>'1-1 ciencias naturales experime'!L66</f>
        <v>0</v>
      </c>
      <c r="E38" s="172">
        <f>'1-1 ciencias naturales experime'!L67</f>
        <v>0</v>
      </c>
      <c r="F38" s="165">
        <f>'1-1 ciencias naturales experime'!L67</f>
        <v>0</v>
      </c>
      <c r="G38" s="165">
        <f t="shared" si="51"/>
        <v>0</v>
      </c>
      <c r="H38" s="165">
        <f>'1-1 ciencias naturales experime'!P70</f>
        <v>98.74213836</v>
      </c>
    </row>
    <row r="39" ht="15.75" customHeight="1">
      <c r="B39" s="166" t="s">
        <v>183</v>
      </c>
      <c r="C39" s="169" t="str">
        <f>'1-1 pensamiento filosofico y hu'!L65</f>
        <v>#DIV/0!</v>
      </c>
      <c r="D39" s="173">
        <f>'1-1 pensamiento filosofico y hu'!L66</f>
        <v>0</v>
      </c>
      <c r="E39" s="173">
        <f>'1-1 pensamiento filosofico y hu'!L67</f>
        <v>0</v>
      </c>
      <c r="F39" s="169">
        <f>'1-1 pensamiento filosofico y hu'!L67</f>
        <v>0</v>
      </c>
      <c r="G39" s="169">
        <f t="shared" si="51"/>
        <v>0</v>
      </c>
      <c r="H39" s="169">
        <f>'1-1 pensamiento filosofico y hu'!P70</f>
        <v>99.05660377</v>
      </c>
    </row>
    <row r="40" ht="15.75" customHeight="1">
      <c r="B40" s="171" t="s">
        <v>184</v>
      </c>
      <c r="C40" s="165" t="str">
        <f>'1-1 ciencias sociales ii'!L65</f>
        <v>#DIV/0!</v>
      </c>
      <c r="D40" s="172">
        <f>'1-1 ciencias sociales ii'!L66</f>
        <v>0</v>
      </c>
      <c r="E40" s="172">
        <f>'1-1 ciencias sociales ii'!L67</f>
        <v>0</v>
      </c>
      <c r="F40" s="165">
        <f>'1-1 ciencias sociales ii'!L67</f>
        <v>0</v>
      </c>
      <c r="G40" s="165">
        <f t="shared" si="51"/>
        <v>0</v>
      </c>
      <c r="H40" s="165">
        <f>'1-1 ciencias sociales ii'!P70</f>
        <v>98.38274933</v>
      </c>
    </row>
    <row r="41" ht="15.75" customHeight="1">
      <c r="B41" s="166" t="s">
        <v>185</v>
      </c>
      <c r="C41" s="169" t="str">
        <f>'1-1 taller de ciencias i'!L65</f>
        <v>#DIV/0!</v>
      </c>
      <c r="D41" s="173">
        <f>'1-1 taller de ciencias i'!L66</f>
        <v>0</v>
      </c>
      <c r="E41" s="173">
        <f>'1-1 taller de ciencias i'!L67</f>
        <v>0</v>
      </c>
      <c r="F41" s="169">
        <f>'1-1 taller de ciencias i'!L67</f>
        <v>0</v>
      </c>
      <c r="G41" s="169">
        <f t="shared" si="51"/>
        <v>0</v>
      </c>
      <c r="H41" s="169">
        <f>'1-1 taller de ciencias i'!P70</f>
        <v>98.58490566</v>
      </c>
    </row>
    <row r="42" ht="15.75" customHeight="1">
      <c r="B42" s="171" t="s">
        <v>203</v>
      </c>
      <c r="C42" s="165" t="str">
        <f>'1-1 actividades fisicas y depor'!L65</f>
        <v>#DIV/0!</v>
      </c>
      <c r="D42" s="172">
        <f>'1-1 actividades fisicas y depor'!L66</f>
        <v>0</v>
      </c>
      <c r="E42" s="172">
        <f>'1-1 actividades fisicas y depor'!L67</f>
        <v>0</v>
      </c>
      <c r="F42" s="165">
        <f>'1-1 actividades fisicas y depor'!L67</f>
        <v>0</v>
      </c>
      <c r="G42" s="165">
        <f t="shared" si="51"/>
        <v>0</v>
      </c>
      <c r="H42" s="165">
        <f>'1-1 actividades fisicas y depor'!P70</f>
        <v>98.74213836</v>
      </c>
    </row>
    <row r="43" ht="15.75" customHeight="1">
      <c r="B43" s="166" t="s">
        <v>204</v>
      </c>
      <c r="C43" s="169" t="str">
        <f>'1-1 educacion para la salud ii'!L65</f>
        <v>#DIV/0!</v>
      </c>
      <c r="D43" s="173">
        <f>'1-1 educacion para la salud ii'!L66</f>
        <v>0</v>
      </c>
      <c r="E43" s="173">
        <f>'1-1 educacion para la salud ii'!L67</f>
        <v>0</v>
      </c>
      <c r="F43" s="169">
        <f>'1-1 educacion para la salud ii'!L67</f>
        <v>0</v>
      </c>
      <c r="G43" s="169">
        <f t="shared" si="51"/>
        <v>0</v>
      </c>
      <c r="H43" s="169">
        <f>'1-1 educacion para la salud ii'!P70</f>
        <v>97.73584906</v>
      </c>
    </row>
    <row r="44" ht="15.75" customHeight="1">
      <c r="B44" s="174" t="s">
        <v>188</v>
      </c>
      <c r="C44" s="175" t="str">
        <f>'1-1 temas selectos de igualdad '!L65</f>
        <v>#DIV/0!</v>
      </c>
      <c r="D44" s="176">
        <f>'1-1 temas selectos de igualdad '!L66</f>
        <v>0</v>
      </c>
      <c r="E44" s="176">
        <f>'1-1 temas selectos de igualdad '!L67</f>
        <v>0</v>
      </c>
      <c r="F44" s="175">
        <f>'1-1 temas selectos de igualdad '!L67</f>
        <v>0</v>
      </c>
      <c r="G44" s="175">
        <f t="shared" si="51"/>
        <v>0</v>
      </c>
      <c r="H44" s="175">
        <f>'1-1 temas selectos de igualdad '!P70</f>
        <v>96.22641509</v>
      </c>
    </row>
    <row r="45" ht="15.75" customHeight="1">
      <c r="B45" s="181"/>
      <c r="C45" s="182" t="str">
        <f t="shared" ref="C45:H45" si="52">AVERAGE(C34:C44)</f>
        <v>#DIV/0!</v>
      </c>
      <c r="D45" s="183">
        <f t="shared" si="52"/>
        <v>4.636363636</v>
      </c>
      <c r="E45" s="183">
        <f t="shared" si="52"/>
        <v>0.1818181818</v>
      </c>
      <c r="F45" s="182">
        <f t="shared" si="52"/>
        <v>0.1818181818</v>
      </c>
      <c r="G45" s="182">
        <f t="shared" si="52"/>
        <v>0.3430531732</v>
      </c>
      <c r="H45" s="182">
        <f t="shared" si="52"/>
        <v>98.24797844</v>
      </c>
    </row>
    <row r="46" ht="15.75" customHeight="1">
      <c r="H46" s="152"/>
    </row>
    <row r="47" ht="15.75" customHeight="1">
      <c r="H47" s="152"/>
    </row>
    <row r="48" ht="15.75" customHeight="1">
      <c r="H48" s="152"/>
    </row>
    <row r="49" ht="15.75" customHeight="1">
      <c r="B49" s="150" t="s">
        <v>206</v>
      </c>
      <c r="C49" s="151" t="s">
        <v>190</v>
      </c>
      <c r="D49" s="104">
        <f>'1-1 lengua y comunicacion ii'!H9</f>
        <v>53</v>
      </c>
      <c r="H49" s="152"/>
    </row>
    <row r="50" ht="15.75" customHeight="1">
      <c r="B50" s="154" t="s">
        <v>178</v>
      </c>
      <c r="C50" s="154" t="s">
        <v>199</v>
      </c>
      <c r="D50" s="154" t="s">
        <v>171</v>
      </c>
      <c r="E50" s="155" t="s">
        <v>173</v>
      </c>
      <c r="F50" s="154" t="s">
        <v>200</v>
      </c>
      <c r="G50" s="154" t="s">
        <v>201</v>
      </c>
      <c r="H50" s="156" t="s">
        <v>177</v>
      </c>
    </row>
    <row r="51" ht="15.75" customHeight="1">
      <c r="B51" s="162" t="s">
        <v>17</v>
      </c>
      <c r="C51" s="163">
        <f>'1-1 lengua y comunicacion ii'!P65</f>
        <v>8.107142857</v>
      </c>
      <c r="D51" s="164">
        <f>'1-1 lengua y comunicacion ii'!P66</f>
        <v>51</v>
      </c>
      <c r="E51" s="164">
        <f>'1-1 lengua y comunicacion ii'!P67</f>
        <v>2</v>
      </c>
      <c r="F51" s="163">
        <f>'1-1 lengua y comunicacion ii'!P68</f>
        <v>96.22641509</v>
      </c>
      <c r="G51" s="165">
        <f t="shared" ref="G51:G61" si="53">(E51*100)/$D$1</f>
        <v>3.773584906</v>
      </c>
      <c r="H51" s="191">
        <f>'1-1 lengua y comunicacion ii'!P70</f>
        <v>94.68553459</v>
      </c>
    </row>
    <row r="52" ht="15.75" customHeight="1">
      <c r="B52" s="166" t="s">
        <v>179</v>
      </c>
      <c r="C52" s="167">
        <f>'1-1 ingles II'!P65</f>
        <v>10.35714286</v>
      </c>
      <c r="D52" s="168">
        <f>'1-1 ingles II'!P66</f>
        <v>49</v>
      </c>
      <c r="E52" s="168">
        <f>'1-1 ingles II'!P67</f>
        <v>4</v>
      </c>
      <c r="F52" s="167">
        <f>'1-1 ingles II'!P68</f>
        <v>92.45283019</v>
      </c>
      <c r="G52" s="169">
        <f t="shared" si="53"/>
        <v>7.547169811</v>
      </c>
      <c r="H52" s="170">
        <f>'1-1 ingles II'!P70</f>
        <v>99.5148248</v>
      </c>
    </row>
    <row r="53" ht="15.75" customHeight="1">
      <c r="B53" s="171" t="s">
        <v>180</v>
      </c>
      <c r="C53" s="165">
        <f>'1-1 pensamiento matematico ii'!P65</f>
        <v>7.482142857</v>
      </c>
      <c r="D53" s="172">
        <f>'1-1 pensamiento matematico ii'!P66</f>
        <v>32</v>
      </c>
      <c r="E53" s="172">
        <f>'1-1 pensamiento matematico ii'!P67</f>
        <v>21</v>
      </c>
      <c r="F53" s="165">
        <f>'1-1 pensamiento matematico ii'!P68</f>
        <v>60.37735849</v>
      </c>
      <c r="G53" s="165">
        <f t="shared" si="53"/>
        <v>39.62264151</v>
      </c>
      <c r="H53" s="165">
        <f>'1-1 pensamiento matematico ii'!P70</f>
        <v>99.81132075</v>
      </c>
    </row>
    <row r="54" ht="15.75" customHeight="1">
      <c r="B54" s="166" t="s">
        <v>181</v>
      </c>
      <c r="C54" s="169">
        <f>'1-1 cultura digital ii'!P65</f>
        <v>8.018518519</v>
      </c>
      <c r="D54" s="173">
        <f>'1-1 cultura digital ii'!P66</f>
        <v>47</v>
      </c>
      <c r="E54" s="173">
        <f>'1-1 cultura digital ii'!P67</f>
        <v>6</v>
      </c>
      <c r="F54" s="169">
        <f>'1-1 cultura digital ii'!P68</f>
        <v>88.67924528</v>
      </c>
      <c r="G54" s="169">
        <f t="shared" si="53"/>
        <v>11.32075472</v>
      </c>
      <c r="H54" s="169">
        <f>'1-1 cultura digital ii'!P70</f>
        <v>99.24528302</v>
      </c>
    </row>
    <row r="55" ht="15.75" customHeight="1">
      <c r="B55" s="171" t="s">
        <v>202</v>
      </c>
      <c r="C55" s="165">
        <f>'1-1 ciencias naturales experime'!P65</f>
        <v>7.907407407</v>
      </c>
      <c r="D55" s="172">
        <f>'1-1 ciencias naturales experime'!P66</f>
        <v>47</v>
      </c>
      <c r="E55" s="172">
        <f>'1-1 ciencias naturales experime'!P67</f>
        <v>6</v>
      </c>
      <c r="F55" s="165">
        <f>'1-1 ciencias naturales experime'!P68</f>
        <v>88.67924528</v>
      </c>
      <c r="G55" s="165">
        <f t="shared" si="53"/>
        <v>11.32075472</v>
      </c>
      <c r="H55" s="165">
        <f>'1-1 ciencias naturales experime'!P70</f>
        <v>98.74213836</v>
      </c>
    </row>
    <row r="56" ht="15.75" customHeight="1">
      <c r="B56" s="166" t="s">
        <v>183</v>
      </c>
      <c r="C56" s="169">
        <f>'1-1 pensamiento filosofico y hu'!P65</f>
        <v>7.962962963</v>
      </c>
      <c r="D56" s="173">
        <f>'1-1 pensamiento filosofico y hu'!P66</f>
        <v>47</v>
      </c>
      <c r="E56" s="173">
        <f>'1-1 pensamiento filosofico y hu'!P67</f>
        <v>6</v>
      </c>
      <c r="F56" s="169">
        <f>'1-1 pensamiento filosofico y hu'!P68</f>
        <v>88.67924528</v>
      </c>
      <c r="G56" s="169">
        <f t="shared" si="53"/>
        <v>11.32075472</v>
      </c>
      <c r="H56" s="169">
        <f>'1-1 pensamiento filosofico y hu'!P70</f>
        <v>99.05660377</v>
      </c>
    </row>
    <row r="57" ht="15.75" customHeight="1">
      <c r="B57" s="171" t="s">
        <v>184</v>
      </c>
      <c r="C57" s="165">
        <f>'1-1 ciencias sociales ii'!P65</f>
        <v>7.87037037</v>
      </c>
      <c r="D57" s="172">
        <f>'1-1 ciencias sociales ii'!P66</f>
        <v>47</v>
      </c>
      <c r="E57" s="172">
        <f>'1-1 ciencias sociales ii'!P67</f>
        <v>6</v>
      </c>
      <c r="F57" s="165">
        <f>'1-1 ciencias sociales ii'!P68</f>
        <v>88.67924528</v>
      </c>
      <c r="G57" s="165">
        <f t="shared" si="53"/>
        <v>11.32075472</v>
      </c>
      <c r="H57" s="165">
        <f>'1-1 ciencias sociales ii'!P70</f>
        <v>98.38274933</v>
      </c>
    </row>
    <row r="58" ht="15.75" customHeight="1">
      <c r="B58" s="166" t="s">
        <v>185</v>
      </c>
      <c r="C58" s="169">
        <f>'1-1 taller de ciencias i'!P65</f>
        <v>7.888888889</v>
      </c>
      <c r="D58" s="173">
        <f>'1-1 taller de ciencias i'!P66</f>
        <v>47</v>
      </c>
      <c r="E58" s="173">
        <f>'1-1 taller de ciencias i'!P67</f>
        <v>6</v>
      </c>
      <c r="F58" s="169">
        <f>'1-1 taller de ciencias i'!P68</f>
        <v>88.67924528</v>
      </c>
      <c r="G58" s="169">
        <f t="shared" si="53"/>
        <v>11.32075472</v>
      </c>
      <c r="H58" s="169">
        <f>'1-1 taller de ciencias i'!P70</f>
        <v>98.58490566</v>
      </c>
    </row>
    <row r="59" ht="15.75" customHeight="1">
      <c r="B59" s="171" t="s">
        <v>203</v>
      </c>
      <c r="C59" s="165">
        <f>'1-1 actividades fisicas y depor'!P65</f>
        <v>7.907407407</v>
      </c>
      <c r="D59" s="172">
        <f>'1-1 actividades fisicas y depor'!P66</f>
        <v>47</v>
      </c>
      <c r="E59" s="172">
        <f>'1-1 actividades fisicas y depor'!P67</f>
        <v>6</v>
      </c>
      <c r="F59" s="165">
        <f>'1-1 actividades fisicas y depor'!P68</f>
        <v>88.67924528</v>
      </c>
      <c r="G59" s="165">
        <f t="shared" si="53"/>
        <v>11.32075472</v>
      </c>
      <c r="H59" s="165">
        <f>'1-1 actividades fisicas y depor'!P70</f>
        <v>98.74213836</v>
      </c>
    </row>
    <row r="60" ht="15.75" customHeight="1">
      <c r="B60" s="166" t="s">
        <v>204</v>
      </c>
      <c r="C60" s="169">
        <f>'1-1 educacion para la salud ii'!P65</f>
        <v>7.781818182</v>
      </c>
      <c r="D60" s="173">
        <f>'1-1 educacion para la salud ii'!P66</f>
        <v>47</v>
      </c>
      <c r="E60" s="173">
        <f>'1-1 educacion para la salud ii'!P67</f>
        <v>6</v>
      </c>
      <c r="F60" s="169">
        <f>'1-1 educacion para la salud ii'!P68</f>
        <v>88.67924528</v>
      </c>
      <c r="G60" s="169">
        <f t="shared" si="53"/>
        <v>11.32075472</v>
      </c>
      <c r="H60" s="169">
        <f>'1-1 educacion para la salud ii'!P70</f>
        <v>97.73584906</v>
      </c>
    </row>
    <row r="61" ht="15.75" customHeight="1">
      <c r="B61" s="174" t="s">
        <v>188</v>
      </c>
      <c r="C61" s="175">
        <f>'1-1 temas selectos de igualdad '!P65</f>
        <v>7.285714286</v>
      </c>
      <c r="D61" s="176">
        <f>'1-1 temas selectos de igualdad '!P66</f>
        <v>51</v>
      </c>
      <c r="E61" s="176">
        <f>'1-1 temas selectos de igualdad '!P67</f>
        <v>2</v>
      </c>
      <c r="F61" s="175">
        <f>'1-1 temas selectos de igualdad '!P68</f>
        <v>96.22641509</v>
      </c>
      <c r="G61" s="175">
        <f t="shared" si="53"/>
        <v>3.773584906</v>
      </c>
      <c r="H61" s="175">
        <f>'1-1 temas selectos de igualdad '!P70</f>
        <v>96.22641509</v>
      </c>
    </row>
    <row r="62" ht="15.75" customHeight="1">
      <c r="B62" s="181"/>
      <c r="C62" s="182">
        <f t="shared" ref="C62:G62" si="54">AVERAGE(C51:C61)</f>
        <v>8.051774236</v>
      </c>
      <c r="D62" s="183">
        <f t="shared" si="54"/>
        <v>46.54545455</v>
      </c>
      <c r="E62" s="183">
        <f t="shared" si="54"/>
        <v>6.454545455</v>
      </c>
      <c r="F62" s="182">
        <f t="shared" si="54"/>
        <v>87.82161235</v>
      </c>
      <c r="G62" s="182">
        <f t="shared" si="54"/>
        <v>12.17838765</v>
      </c>
      <c r="H62" s="182">
        <f>AVERAGE(H50:H61)</f>
        <v>98.24797844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4 C18:C29 C34:C45 C51:C62">
    <cfRule type="cellIs" dxfId="0" priority="1" operator="lessThan">
      <formula>8.3</formula>
    </cfRule>
  </conditionalFormatting>
  <conditionalFormatting sqref="F3:F14 F18:F29 F34:F45 F51:F62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drawing r:id="rId1"/>
</worksheet>
</file>