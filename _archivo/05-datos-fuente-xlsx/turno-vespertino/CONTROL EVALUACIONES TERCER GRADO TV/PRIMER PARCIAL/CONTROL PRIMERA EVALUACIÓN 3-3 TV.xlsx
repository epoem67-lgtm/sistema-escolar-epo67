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3 ciencias de la comunicación" sheetId="1" r:id="rId5"/>
    <sheet state="visible" name="3-3 temas selectos de ingles ii" sheetId="2" r:id="rId6"/>
    <sheet state="visible" name="3-3 temas selectos de matematic" sheetId="3" r:id="rId7"/>
    <sheet state="visible" name="3-3 conciencia historica iii" sheetId="4" r:id="rId8"/>
    <sheet state="visible" name="3-3 organismos" sheetId="5" r:id="rId9"/>
    <sheet state="visible" name="3-3 temas selectos de filosofia" sheetId="6" r:id="rId10"/>
    <sheet state="visible" name="3-3 economia i" sheetId="7" r:id="rId11"/>
    <sheet state="visible" name="3-3 paginas web" sheetId="8" r:id="rId12"/>
    <sheet state="visible" name="3-3 diseño digital" sheetId="9" r:id="rId13"/>
    <sheet state="visible" name="3-3 actividades artisticas y cu" sheetId="10" r:id="rId14"/>
    <sheet state="visible" name="3-3 practica y colaboracion ciu" sheetId="11" r:id="rId15"/>
    <sheet state="visible" name="3-3 temas selectos de igualdad " sheetId="12" r:id="rId16"/>
  </sheets>
  <definedNames/>
  <calcPr/>
</workbook>
</file>

<file path=xl/sharedStrings.xml><?xml version="1.0" encoding="utf-8"?>
<sst xmlns="http://schemas.openxmlformats.org/spreadsheetml/2006/main" count="2148" uniqueCount="165">
  <si>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</si>
  <si>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</si>
  <si>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</si>
  <si>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</si>
  <si>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</si>
  <si>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</si>
  <si>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</si>
  <si>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SEXTO SEMESTRE
VESPERTINO</t>
  </si>
  <si>
    <t>UAC</t>
  </si>
  <si>
    <t>CIENCIAS DE LA COMUNICACIÓN 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</si>
  <si>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</si>
  <si>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</si>
  <si>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</si>
  <si>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</si>
  <si>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</si>
  <si>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</si>
  <si>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</si>
  <si>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</si>
  <si>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</si>
  <si>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</si>
  <si>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</si>
  <si>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</si>
  <si>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</si>
  <si>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HERNANDEZ</t>
  </si>
  <si>
    <t>ADRIAN MARTIN</t>
  </si>
  <si>
    <t>ARRIAGA</t>
  </si>
  <si>
    <t>LEYTE</t>
  </si>
  <si>
    <t>RENATA</t>
  </si>
  <si>
    <t>CABRERA</t>
  </si>
  <si>
    <t>VIDAL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</si>
  <si>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</si>
  <si>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</si>
  <si>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</si>
  <si>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</si>
  <si>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</si>
  <si>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</si>
  <si>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</si>
  <si>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CASTILLO</t>
  </si>
  <si>
    <t xml:space="preserve">HERNANDEZ 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</si>
  <si>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</si>
  <si>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</si>
  <si>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</si>
  <si>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</si>
  <si>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</si>
  <si>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</si>
  <si>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</si>
  <si>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</si>
  <si>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GARDUÑO</t>
  </si>
  <si>
    <t>GONZALEZ</t>
  </si>
  <si>
    <t>ROBERTO ALEJANDRO</t>
  </si>
  <si>
    <t>GUERRERO</t>
  </si>
  <si>
    <t>ENRIQUEZ</t>
  </si>
  <si>
    <t>FELIPE</t>
  </si>
  <si>
    <t>PEREZ</t>
  </si>
  <si>
    <t>JUAN PABLO</t>
  </si>
  <si>
    <t>GRIFALDO</t>
  </si>
  <si>
    <t>LILIAN ANGELIC</t>
  </si>
  <si>
    <t>RAMIREZ</t>
  </si>
  <si>
    <t>CAMILA ZOE</t>
  </si>
  <si>
    <t>ROSAS</t>
  </si>
  <si>
    <t>EMMANUEL</t>
  </si>
  <si>
    <t>SANDOVAL</t>
  </si>
  <si>
    <t>ALEXA FERNANDA</t>
  </si>
  <si>
    <t>HERRERA</t>
  </si>
  <si>
    <t>ALEMAN</t>
  </si>
  <si>
    <t>AMERICA GUADALUPE</t>
  </si>
  <si>
    <t>MARTINEZ</t>
  </si>
  <si>
    <t>EMILIANO</t>
  </si>
  <si>
    <t>LEDESMA</t>
  </si>
  <si>
    <t>VERA</t>
  </si>
  <si>
    <t>LAURA ALEXANDRA</t>
  </si>
  <si>
    <t>LOPEZ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</si>
  <si>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</si>
  <si>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</si>
  <si>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</si>
  <si>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</si>
  <si>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</si>
  <si>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</si>
  <si>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</si>
  <si>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GODINEZ</t>
  </si>
  <si>
    <t>KARLA</t>
  </si>
  <si>
    <t>MENDIOLA</t>
  </si>
  <si>
    <t>BRISEÑO</t>
  </si>
  <si>
    <t>XIMENA MICHEL</t>
  </si>
  <si>
    <t>MENDOZA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</si>
  <si>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</si>
  <si>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</si>
  <si>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</si>
  <si>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</si>
  <si>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</si>
  <si>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</si>
  <si>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</si>
  <si>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MORALES</t>
  </si>
  <si>
    <t>GARCIA</t>
  </si>
  <si>
    <t>TRISTAN ZOE</t>
  </si>
  <si>
    <t>MORA</t>
  </si>
  <si>
    <t>MAGAÑA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</si>
  <si>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</si>
  <si>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</si>
  <si>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</si>
  <si>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</si>
  <si>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</si>
  <si>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</si>
  <si>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</si>
  <si>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REYES</t>
  </si>
  <si>
    <t>MELANY MAYRIN</t>
  </si>
  <si>
    <t>ROMERO</t>
  </si>
  <si>
    <t>CAMACHO</t>
  </si>
  <si>
    <t>RENATA SARAHI</t>
  </si>
  <si>
    <t>YAMILA GUADALUPE</t>
  </si>
  <si>
    <t>SANCHEZ</t>
  </si>
  <si>
    <t>PONCE</t>
  </si>
  <si>
    <t>ERIK MAXIMILIANO</t>
  </si>
  <si>
    <t>SANTOS</t>
  </si>
  <si>
    <t>ARANA</t>
  </si>
  <si>
    <t>STEFANY</t>
  </si>
  <si>
    <t>SEGURA</t>
  </si>
  <si>
    <t>ZAMORA</t>
  </si>
  <si>
    <t>VALERIA</t>
  </si>
  <si>
    <t>SILVA</t>
  </si>
  <si>
    <t>ELAINE</t>
  </si>
  <si>
    <t>DANIELA DAYANA</t>
  </si>
  <si>
    <t>SOLARES</t>
  </si>
  <si>
    <t>TORRES</t>
  </si>
  <si>
    <t>SARABIA</t>
  </si>
  <si>
    <t>DEMY NAOMY</t>
  </si>
  <si>
    <t>TOVAR</t>
  </si>
  <si>
    <t>RODRIGUEZ</t>
  </si>
  <si>
    <t>ALISSON NAOMI</t>
  </si>
  <si>
    <t>TURCOTT</t>
  </si>
  <si>
    <t>VICTOR RAMSES</t>
  </si>
  <si>
    <t>VELASCO</t>
  </si>
  <si>
    <t>CRUZ</t>
  </si>
  <si>
    <t>RODRIGO ALEJANDRO</t>
  </si>
  <si>
    <t>VENEGAS</t>
  </si>
  <si>
    <t>BALDELAMAR</t>
  </si>
  <si>
    <t>AXEL</t>
  </si>
  <si>
    <t>ZAMUDIO</t>
  </si>
  <si>
    <t>GUSTAVO GAEL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</si>
  <si>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</si>
  <si>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</si>
  <si>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</si>
  <si>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</si>
  <si>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</si>
  <si>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</si>
  <si>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</si>
  <si>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</si>
  <si>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</si>
  <si>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</si>
  <si>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</si>
  <si>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</si>
  <si>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</si>
  <si>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</si>
  <si>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</si>
  <si>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>TEMAS SELECTOS DE INGLÉS II</t>
  </si>
  <si>
    <t>TEMAS SELECTOS DE MATEMÁTICAS II</t>
  </si>
  <si>
    <t>CONCIENCIA HISTÓRICA III</t>
  </si>
  <si>
    <t>ORGANISMOS</t>
  </si>
  <si>
    <t>TEMAS SELECTOS DE FILOSOFÍA</t>
  </si>
  <si>
    <t>ECONOMÍA I</t>
  </si>
  <si>
    <t>PÁGINAS WEB</t>
  </si>
  <si>
    <t>DISEÑO DIGITAL</t>
  </si>
  <si>
    <t>ACTIVIDADES ARTÍSTICAS Y CULTURALES III</t>
  </si>
  <si>
    <t>PRÁCTICA Y COLABORACIÓN CIUDADANA II</t>
  </si>
  <si>
    <t>TEMAS SELECTOS DE IGUALDAD Y DERECHOS HUMANOS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</si>
</sst>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5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5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2" fillId="0" fontId="19" numFmtId="0" xfId="0" applyAlignment="1" applyBorder="1" applyFont="1">
      <alignment horizontal="right"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  <xf borderId="0" fillId="0" fontId="5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9" fillId="2" fontId="6" numFmtId="0" xfId="0" applyAlignment="1" applyBorder="1" applyFont="1">
      <alignment horizontal="center"/>
    </xf>
    <xf borderId="9" fillId="2" fontId="4" numFmtId="0" xfId="0" applyAlignment="1" applyBorder="1" applyFont="1">
      <alignment horizontal="center"/>
    </xf>
    <xf borderId="14" fillId="2" fontId="5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horizontal="center" shrinkToFit="0" wrapText="1"/>
    </xf>
    <xf borderId="16" fillId="2" fontId="7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08" t="s">
        <v>3</v>
      </c>
      <c r="F13" s="108" t="s">
        <v>4</v>
      </c>
      <c r="G13" s="109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154</v>
      </c>
      <c r="C14" s="28"/>
      <c r="D14" s="29"/>
      <c r="E14" s="111" t="s">
        <v>10</v>
      </c>
      <c r="F14" s="111" t="s">
        <v>11</v>
      </c>
      <c r="G14" s="112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155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156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157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158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159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160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161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162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163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10" t="s">
        <v>164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63" si="1">SUM(E17:H17)</f>
        <v>0</v>
      </c>
      <c r="J17" s="57"/>
      <c r="K17" s="58">
        <f t="shared" ref="K17:K63" si="2">IF(M17&lt;6,5,M17)</f>
        <v>5</v>
      </c>
      <c r="L17" s="59"/>
      <c r="M17" s="60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23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48</v>
      </c>
      <c r="D26" s="54" t="s">
        <v>49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50</v>
      </c>
      <c r="C27" s="53" t="s">
        <v>51</v>
      </c>
      <c r="D27" s="54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48</v>
      </c>
      <c r="C28" s="53" t="s">
        <v>53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23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23</v>
      </c>
      <c r="C30" s="53" t="s">
        <v>57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23</v>
      </c>
      <c r="C31" s="53" t="s">
        <v>59</v>
      </c>
      <c r="D31" s="54" t="s">
        <v>60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23</v>
      </c>
      <c r="C32" s="53" t="s">
        <v>61</v>
      </c>
      <c r="D32" s="54" t="s">
        <v>62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64</v>
      </c>
      <c r="D33" s="54" t="s">
        <v>65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66</v>
      </c>
      <c r="D34" s="54" t="s">
        <v>67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68</v>
      </c>
      <c r="C35" s="53" t="s">
        <v>69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75</v>
      </c>
      <c r="D37" s="54" t="s">
        <v>76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66</v>
      </c>
      <c r="C38" s="53" t="s">
        <v>77</v>
      </c>
      <c r="D38" s="54" t="s">
        <v>78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66</v>
      </c>
      <c r="C39" s="53" t="s">
        <v>79</v>
      </c>
      <c r="D39" s="54" t="s">
        <v>80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81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87</v>
      </c>
      <c r="C42" s="53" t="s">
        <v>88</v>
      </c>
      <c r="D42" s="54" t="s">
        <v>89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90</v>
      </c>
      <c r="C43" s="53" t="s">
        <v>84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96</v>
      </c>
      <c r="D45" s="54" t="s">
        <v>97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92</v>
      </c>
      <c r="C46" s="53" t="s">
        <v>98</v>
      </c>
      <c r="D46" s="54" t="s">
        <v>99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92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48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104</v>
      </c>
      <c r="C49" s="53" t="s">
        <v>22</v>
      </c>
      <c r="D49" s="54" t="s">
        <v>105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106</v>
      </c>
      <c r="C50" s="53" t="s">
        <v>107</v>
      </c>
      <c r="D50" s="54" t="s">
        <v>108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106</v>
      </c>
      <c r="C51" s="53" t="s">
        <v>92</v>
      </c>
      <c r="D51" s="54" t="s">
        <v>109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110</v>
      </c>
      <c r="C52" s="53" t="s">
        <v>111</v>
      </c>
      <c r="D52" s="54" t="s">
        <v>112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113</v>
      </c>
      <c r="C53" s="53" t="s">
        <v>114</v>
      </c>
      <c r="D53" s="54" t="s">
        <v>115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116</v>
      </c>
      <c r="C54" s="53" t="s">
        <v>117</v>
      </c>
      <c r="D54" s="54" t="s">
        <v>118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119</v>
      </c>
      <c r="C55" s="53" t="s">
        <v>48</v>
      </c>
      <c r="D55" s="54" t="s">
        <v>120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110</v>
      </c>
      <c r="D56" s="54" t="s">
        <v>121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57</v>
      </c>
      <c r="D57" s="54" t="s">
        <v>46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124</v>
      </c>
      <c r="D58" s="54" t="s">
        <v>125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126</v>
      </c>
      <c r="C59" s="53" t="s">
        <v>127</v>
      </c>
      <c r="D59" s="54" t="s">
        <v>128</v>
      </c>
      <c r="E59" s="55"/>
      <c r="F59" s="55"/>
      <c r="G59" s="55"/>
      <c r="H59" s="55"/>
      <c r="I59" s="56">
        <f t="shared" si="1"/>
        <v>0</v>
      </c>
      <c r="J59" s="57"/>
      <c r="K59" s="58">
        <f t="shared" si="2"/>
        <v>5</v>
      </c>
      <c r="L59" s="52"/>
      <c r="M59" s="59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129</v>
      </c>
      <c r="C60" s="53" t="s">
        <v>110</v>
      </c>
      <c r="D60" s="54" t="s">
        <v>130</v>
      </c>
      <c r="E60" s="55"/>
      <c r="F60" s="55"/>
      <c r="G60" s="55"/>
      <c r="H60" s="55"/>
      <c r="I60" s="56">
        <f t="shared" si="1"/>
        <v>0</v>
      </c>
      <c r="J60" s="57"/>
      <c r="K60" s="58">
        <f t="shared" si="2"/>
        <v>5</v>
      </c>
      <c r="L60" s="52"/>
      <c r="M60" s="59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131</v>
      </c>
      <c r="C61" s="53" t="s">
        <v>132</v>
      </c>
      <c r="D61" s="54" t="s">
        <v>133</v>
      </c>
      <c r="E61" s="55"/>
      <c r="F61" s="55"/>
      <c r="G61" s="55"/>
      <c r="H61" s="55"/>
      <c r="I61" s="56">
        <f t="shared" si="1"/>
        <v>0</v>
      </c>
      <c r="J61" s="57"/>
      <c r="K61" s="58">
        <f t="shared" si="2"/>
        <v>5</v>
      </c>
      <c r="L61" s="52"/>
      <c r="M61" s="59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134</v>
      </c>
      <c r="C62" s="53" t="s">
        <v>135</v>
      </c>
      <c r="D62" s="54" t="s">
        <v>136</v>
      </c>
      <c r="E62" s="55"/>
      <c r="F62" s="55"/>
      <c r="G62" s="55"/>
      <c r="H62" s="55"/>
      <c r="I62" s="56">
        <f t="shared" si="1"/>
        <v>0</v>
      </c>
      <c r="J62" s="57"/>
      <c r="K62" s="58">
        <f t="shared" si="2"/>
        <v>5</v>
      </c>
      <c r="L62" s="52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137</v>
      </c>
      <c r="C63" s="53" t="s">
        <v>132</v>
      </c>
      <c r="D63" s="54" t="s">
        <v>138</v>
      </c>
      <c r="E63" s="55"/>
      <c r="F63" s="55"/>
      <c r="G63" s="55"/>
      <c r="H63" s="55"/>
      <c r="I63" s="56">
        <f t="shared" si="1"/>
        <v>0</v>
      </c>
      <c r="J63" s="57"/>
      <c r="K63" s="58">
        <f t="shared" si="2"/>
        <v>5</v>
      </c>
      <c r="L63" s="52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2"/>
      <c r="C64" s="62"/>
      <c r="D64" s="62"/>
      <c r="E64" s="63"/>
      <c r="F64" s="63"/>
      <c r="G64" s="62"/>
      <c r="H64" s="62"/>
      <c r="I64" s="62"/>
      <c r="J64" s="62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64" t="s">
        <v>139</v>
      </c>
      <c r="C65" s="65"/>
      <c r="D65" s="66">
        <f>COUNT(A17:A63)</f>
        <v>47</v>
      </c>
      <c r="E65" s="62"/>
      <c r="F65" s="62"/>
      <c r="G65" s="67" t="s">
        <v>140</v>
      </c>
      <c r="H65" s="67"/>
      <c r="I65" s="67" t="s">
        <v>141</v>
      </c>
      <c r="K65" s="68" t="s">
        <v>142</v>
      </c>
      <c r="L65" s="69" t="s">
        <v>143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0" t="s">
        <v>144</v>
      </c>
      <c r="C66" s="71"/>
      <c r="D66" s="72">
        <f>COUNTIF(K17:K63,"BAJA")</f>
        <v>0</v>
      </c>
      <c r="E66" s="62"/>
      <c r="F66" s="62"/>
      <c r="H66" s="67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3" t="s">
        <v>145</v>
      </c>
      <c r="C67" s="71"/>
      <c r="D67" s="74">
        <f>D65-D66</f>
        <v>47</v>
      </c>
      <c r="E67" s="62"/>
      <c r="F67" s="62"/>
      <c r="G67" s="75"/>
      <c r="H67" s="76"/>
      <c r="I67" s="75"/>
      <c r="J67" s="75"/>
      <c r="K67" s="77"/>
      <c r="L67" s="7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3" t="s">
        <v>146</v>
      </c>
      <c r="C68" s="71"/>
      <c r="D68" s="79">
        <f>COUNTIF(K17:K63,"&gt;=6")</f>
        <v>0</v>
      </c>
      <c r="E68" s="62"/>
      <c r="F68" s="62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3" t="s">
        <v>147</v>
      </c>
      <c r="C69" s="71"/>
      <c r="D69" s="79">
        <f>D67-D68</f>
        <v>47</v>
      </c>
      <c r="E69" s="62"/>
      <c r="F69" s="62"/>
      <c r="G69" s="80"/>
      <c r="H69" s="76"/>
      <c r="I69" s="80"/>
      <c r="J69" s="80"/>
      <c r="K69" s="81"/>
      <c r="L69" s="8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B70" s="73" t="s">
        <v>148</v>
      </c>
      <c r="C70" s="71"/>
      <c r="D70" s="83">
        <f>D68*100/D67</f>
        <v>0</v>
      </c>
      <c r="E70" s="62"/>
      <c r="F70" s="62"/>
      <c r="G70" s="84" t="s">
        <v>149</v>
      </c>
      <c r="H70" s="85"/>
      <c r="I70" s="86" t="s">
        <v>150</v>
      </c>
      <c r="K70" s="87" t="s">
        <v>151</v>
      </c>
      <c r="L70" s="88" t="s">
        <v>152</v>
      </c>
      <c r="M70" s="8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B71" s="90" t="s">
        <v>153</v>
      </c>
      <c r="C71" s="91"/>
      <c r="D71" s="92">
        <f>AVERAGE(K17:K63)</f>
        <v>5</v>
      </c>
      <c r="E71" s="62"/>
      <c r="F71" s="62"/>
      <c r="H71" s="85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3"/>
      <c r="B73" s="94"/>
      <c r="C73" s="95"/>
      <c r="D73" s="95"/>
      <c r="E73" s="62"/>
      <c r="H73" s="7"/>
      <c r="I73" s="7"/>
      <c r="J73" s="7"/>
      <c r="K73" s="7"/>
      <c r="L73" s="96"/>
      <c r="M73" s="9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8"/>
      <c r="B74" s="62"/>
      <c r="C74" s="62"/>
      <c r="D74" s="62"/>
      <c r="E74" s="7"/>
      <c r="F74" s="7"/>
      <c r="G74" s="1"/>
      <c r="H74" s="1"/>
      <c r="I74" s="1"/>
      <c r="J74" s="1"/>
      <c r="K74" s="1"/>
      <c r="L74" s="8"/>
      <c r="M74" s="9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8"/>
      <c r="B75" s="62"/>
      <c r="C75" s="62"/>
      <c r="D75" s="62"/>
      <c r="E75" s="7"/>
      <c r="F75" s="7"/>
      <c r="G75" s="1"/>
      <c r="H75" s="1"/>
      <c r="I75" s="1"/>
      <c r="J75" s="1"/>
      <c r="K75" s="1"/>
      <c r="L75" s="8"/>
      <c r="M75" s="9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0"/>
      <c r="B76" s="101"/>
      <c r="C76" s="101"/>
      <c r="D76" s="101"/>
      <c r="E76" s="102"/>
      <c r="F76" s="102"/>
      <c r="G76" s="103"/>
      <c r="H76" s="103"/>
      <c r="I76" s="103"/>
      <c r="J76" s="103"/>
      <c r="K76" s="103"/>
      <c r="L76" s="104"/>
      <c r="M76" s="9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06"/>
      <c r="L77" s="106"/>
      <c r="M77" s="10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06"/>
      <c r="L78" s="106"/>
      <c r="M78" s="10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06"/>
      <c r="L79" s="106"/>
      <c r="M79" s="10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06"/>
      <c r="L80" s="106"/>
      <c r="M80" s="10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5"/>
      <c r="C84" s="105"/>
      <c r="D84" s="105"/>
      <c r="E84" s="105"/>
      <c r="F84" s="10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5"/>
      <c r="C85" s="105"/>
      <c r="D85" s="105"/>
      <c r="E85" s="105"/>
      <c r="F85" s="10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5"/>
      <c r="C86" s="105"/>
      <c r="D86" s="105"/>
      <c r="E86" s="105"/>
      <c r="F86" s="10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5"/>
      <c r="C87" s="105"/>
      <c r="D87" s="105"/>
      <c r="E87" s="105"/>
      <c r="F87" s="10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5"/>
      <c r="C88" s="105"/>
      <c r="D88" s="105"/>
      <c r="E88" s="105"/>
      <c r="F88" s="10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