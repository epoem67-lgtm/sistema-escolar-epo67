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1 ciencias de la comunicacion" sheetId="1" r:id="rId5"/>
    <sheet state="visible" name="3-1 temas selectos de ingles ii" sheetId="2" r:id="rId6"/>
    <sheet state="visible" name="3-1 temas selectos de matematic" sheetId="3" r:id="rId7"/>
    <sheet state="visible" name="3-1 conciencia historica iii" sheetId="4" r:id="rId8"/>
    <sheet state="visible" name="3-1 organismos " sheetId="5" r:id="rId9"/>
    <sheet state="visible" name="3-1 temas selectos de filosofia" sheetId="6" r:id="rId10"/>
    <sheet state="visible" name="3-1 economia i" sheetId="7" r:id="rId11"/>
    <sheet state="visible" name="3-1 paginas web" sheetId="8" r:id="rId12"/>
    <sheet state="visible" name="3-1 diseño digital" sheetId="9" r:id="rId13"/>
    <sheet state="visible" name="3-1 actividades artisticas y cu" sheetId="10" r:id="rId14"/>
    <sheet state="visible" name="3-1 practica y colaboracion ciu" sheetId="11" r:id="rId15"/>
    <sheet state="visible" name="3-1 temas selectos de igualdad " sheetId="12" r:id="rId16"/>
  </sheets>
  <definedNames/>
  <calcPr/>
</workbook>
</file>

<file path=xl/sharedStrings.xml><?xml version="1.0" encoding="utf-8"?>
<sst xmlns="http://schemas.openxmlformats.org/spreadsheetml/2006/main" count="2184" uniqueCount="166">
  <si>
    <t>ESCUELA PREPARATORIA OFICIAL NÚM. 67</t>
  </si>
  <si>
    <t xml:space="preserve">CONTROL PRIMER PARCIAL </t>
  </si>
  <si>
    <t xml:space="preserve">PROFESOR (A): </t>
  </si>
  <si>
    <t>I</t>
  </si>
  <si>
    <t>II</t>
  </si>
  <si>
    <t>III</t>
  </si>
  <si>
    <t>PUNTAJE EXTRA</t>
  </si>
  <si>
    <t>SEXTO SEMESTRE
VESPERTINO</t>
  </si>
  <si>
    <t>UAC</t>
  </si>
  <si>
    <t xml:space="preserve">CIENCIAS DE LA COMUNICACIÓN I </t>
  </si>
  <si>
    <t>Evaluación continua 50%</t>
  </si>
  <si>
    <t>Examen parcial 30%</t>
  </si>
  <si>
    <t>Transversal 20%</t>
  </si>
  <si>
    <t>GRADO</t>
  </si>
  <si>
    <t>3°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</si>
  <si>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</si>
  <si>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</si>
  <si>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</si>
  <si>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</si>
  <si>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</si>
  <si>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</si>
  <si>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</si>
  <si>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AGUILAR</t>
  </si>
  <si>
    <t>RODRIGUEZ</t>
  </si>
  <si>
    <t>ALEXA</t>
  </si>
  <si>
    <t xml:space="preserve">ARANA </t>
  </si>
  <si>
    <t xml:space="preserve">DOMINGUEZ </t>
  </si>
  <si>
    <t>JORGE</t>
  </si>
  <si>
    <t>AVILA</t>
  </si>
  <si>
    <t>PEREZ</t>
  </si>
  <si>
    <t>ANDY JOSHUA</t>
  </si>
  <si>
    <t>BARRERA</t>
  </si>
  <si>
    <t>MARTINEZ</t>
  </si>
  <si>
    <t>MARLEN GUADALUPE</t>
  </si>
  <si>
    <t>BRAVO</t>
  </si>
  <si>
    <t>ESQUIVEL</t>
  </si>
  <si>
    <t>DANIELA NICOLE</t>
  </si>
  <si>
    <t>CAMACHO</t>
  </si>
  <si>
    <t>REYES</t>
  </si>
  <si>
    <t>AZUL VALENTINA</t>
  </si>
  <si>
    <t>CHERON</t>
  </si>
  <si>
    <t>CARRASCO</t>
  </si>
  <si>
    <t>ORLANDO MANUEL</t>
  </si>
  <si>
    <t>CRESCENCIO</t>
  </si>
  <si>
    <t>DOMINGUEZ</t>
  </si>
  <si>
    <t>LEONARDO</t>
  </si>
  <si>
    <t xml:space="preserve">CRUZ </t>
  </si>
  <si>
    <t>LOPEZ</t>
  </si>
  <si>
    <t>ARANZA MABEL</t>
  </si>
  <si>
    <t>CRUZ</t>
  </si>
  <si>
    <t>ROLDAN</t>
  </si>
  <si>
    <t>IVANNA GISELLE</t>
  </si>
  <si>
    <t>DIAZ</t>
  </si>
  <si>
    <t>TORRES</t>
  </si>
  <si>
    <t>JOLENE LISETTE</t>
  </si>
  <si>
    <t>ALVAREZ</t>
  </si>
  <si>
    <t>LEONARDO FABIAN</t>
  </si>
  <si>
    <t xml:space="preserve">ESPINOZA </t>
  </si>
  <si>
    <t>GUTIERREZ</t>
  </si>
  <si>
    <t>DANIELA MICHELLE</t>
  </si>
  <si>
    <t>VAZQUEZ</t>
  </si>
  <si>
    <t>KEVIN MIGUEL</t>
  </si>
  <si>
    <t>GARCIA</t>
  </si>
  <si>
    <t>BRAULIO</t>
  </si>
  <si>
    <t xml:space="preserve">GOMEZ </t>
  </si>
  <si>
    <t xml:space="preserve">ANGULO </t>
  </si>
  <si>
    <t>PAMELA</t>
  </si>
  <si>
    <t>GONZALEZ</t>
  </si>
  <si>
    <t>OSWALDO</t>
  </si>
  <si>
    <t>HERNANDEZ</t>
  </si>
  <si>
    <t>NAOMI AKETZALLI</t>
  </si>
  <si>
    <t>NICOLAS</t>
  </si>
  <si>
    <t>MIGUEL ALEJANDRO</t>
  </si>
  <si>
    <t>JIMENEZ</t>
  </si>
  <si>
    <t>NAZUKI ARAMI</t>
  </si>
  <si>
    <t xml:space="preserve">LOPEZ </t>
  </si>
  <si>
    <t xml:space="preserve">CHAVEZ </t>
  </si>
  <si>
    <t>ANDREA</t>
  </si>
  <si>
    <t>IAN HUMBERTO</t>
  </si>
  <si>
    <t>LUNA</t>
  </si>
  <si>
    <t>HURTADO</t>
  </si>
  <si>
    <t>JADE IXCHEL</t>
  </si>
  <si>
    <t>RAMIREZ</t>
  </si>
  <si>
    <t>AILED AIRAMZUL</t>
  </si>
  <si>
    <t>SERRATOS</t>
  </si>
  <si>
    <t>ROGELIO</t>
  </si>
  <si>
    <t>MENDOZA</t>
  </si>
  <si>
    <t>LUIS RAUL</t>
  </si>
  <si>
    <t xml:space="preserve">MONTERO  </t>
  </si>
  <si>
    <t>NATALY BETSABET</t>
  </si>
  <si>
    <t xml:space="preserve">NAVA </t>
  </si>
  <si>
    <t xml:space="preserve">DURAN </t>
  </si>
  <si>
    <t>ALEXA GUADALUPE</t>
  </si>
  <si>
    <t>NAVARRETE</t>
  </si>
  <si>
    <t>MORALES</t>
  </si>
  <si>
    <t>JESHUA YAEL</t>
  </si>
  <si>
    <t>PARRA</t>
  </si>
  <si>
    <t>TREJO</t>
  </si>
  <si>
    <t>IAN GABRIEL</t>
  </si>
  <si>
    <t>PESINA</t>
  </si>
  <si>
    <t>IBARRA</t>
  </si>
  <si>
    <t>XIMENA AMAIRANY</t>
  </si>
  <si>
    <t>PLAZA</t>
  </si>
  <si>
    <t>LARA</t>
  </si>
  <si>
    <t>ALVIN SANTIAGO</t>
  </si>
  <si>
    <t>RANGEL</t>
  </si>
  <si>
    <t>RAZIEL ALEJANDRO</t>
  </si>
  <si>
    <t>MAGAÑA</t>
  </si>
  <si>
    <t>AMERICA ALEXA</t>
  </si>
  <si>
    <t>MAYO</t>
  </si>
  <si>
    <t>BRITANI</t>
  </si>
  <si>
    <t>RUIZ</t>
  </si>
  <si>
    <t>ARLETTE</t>
  </si>
  <si>
    <t>ERIKA MARIEL</t>
  </si>
  <si>
    <t>SANCHEZ</t>
  </si>
  <si>
    <t>JESSICA JAZMIN</t>
  </si>
  <si>
    <t>SANDOVAL</t>
  </si>
  <si>
    <t>PLATA</t>
  </si>
  <si>
    <t>SOFIA VALENTINA</t>
  </si>
  <si>
    <t>SILVA</t>
  </si>
  <si>
    <t>MONTOYA</t>
  </si>
  <si>
    <t>RENATA GERALDY</t>
  </si>
  <si>
    <t>SUAREZ</t>
  </si>
  <si>
    <t>TELLEZ</t>
  </si>
  <si>
    <t>SANTIAGO</t>
  </si>
  <si>
    <t>ZARA JOSELYN</t>
  </si>
  <si>
    <t>CASTRO</t>
  </si>
  <si>
    <t>REGINA</t>
  </si>
  <si>
    <t>URIBE</t>
  </si>
  <si>
    <t>SERGIO</t>
  </si>
  <si>
    <t>VARGAS</t>
  </si>
  <si>
    <t>ALCALA</t>
  </si>
  <si>
    <t>AFRICA ESTEFANIA</t>
  </si>
  <si>
    <t>VELAZQUEZ</t>
  </si>
  <si>
    <t>DIEGO GUSTAVO</t>
  </si>
  <si>
    <t>VIDAL</t>
  </si>
  <si>
    <t>MENDEZ</t>
  </si>
  <si>
    <t>EMILIO ANDRE</t>
  </si>
  <si>
    <t>ZAPATA</t>
  </si>
  <si>
    <t>CRISTO URIEL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</si>
  <si>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</si>
  <si>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</si>
  <si>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</si>
  <si>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</si>
  <si>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</si>
  <si>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</si>
  <si>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</si>
  <si>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</si>
  <si>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</si>
  <si>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</si>
  <si>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</si>
  <si>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IVONNE GABRIELA CEDILLO POLO</t>
  </si>
  <si>
    <t>PROFR. OCTAVIO VÁZQUEZ BARRETO</t>
  </si>
  <si>
    <t xml:space="preserve">PROFR. ROBERTO PALOMARES MEJÍA </t>
  </si>
  <si>
    <t>PROMEDIO</t>
  </si>
  <si>
    <t>TEMAS SELECTOS DE INGLÉS II</t>
  </si>
  <si>
    <t>TEMAS SELECTOS DE MATEMÁTICAS II</t>
  </si>
  <si>
    <t>CONCIENCIA HISTÓRICA III</t>
  </si>
  <si>
    <t>ORGANISMOS</t>
  </si>
  <si>
    <t>TEMAS SELECTOS DE FILOSOFÍA</t>
  </si>
  <si>
    <t>ECONOMÍA I</t>
  </si>
  <si>
    <t>PÁGINAS WEB</t>
  </si>
  <si>
    <t>DISEÑO DIGITAL</t>
  </si>
  <si>
    <t xml:space="preserve">ACTIVIDADES ARTÍSTICAS Y CULTURALES III </t>
  </si>
  <si>
    <t>PRÁCTICA Y COLABORACIÓN CIUDADANA II</t>
  </si>
  <si>
    <t>TEMAS SELECTOS DE IGUALDAD Y DERECHOS HUMANOS 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</si>
</sst>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3">
    <font>
      <sz val="11.0"/>
      <color theme="1"/>
      <name val="Calibri"/>
      <scheme val="minor"/>
    </font>
    <font>
      <sz val="11.0"/>
      <color theme="1"/>
      <name val="Gotham Book"/>
    </font>
    <font>
      <b/>
      <sz val="14.0"/>
      <color theme="1"/>
      <name val="Arial"/>
    </font>
    <font/>
    <font>
      <b/>
      <sz val="11.0"/>
      <color theme="1"/>
      <name val="Gotham Book"/>
    </font>
    <font>
      <b/>
      <sz val="10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b/>
      <sz val="10.0"/>
      <color rgb="FF000000"/>
      <name val="Arial"/>
    </font>
    <font>
      <b/>
      <sz val="10.0"/>
      <color theme="1"/>
      <name val="Gotham Book"/>
    </font>
    <font>
      <b/>
      <sz val="9.0"/>
      <color theme="1"/>
      <name val="Gotham Book"/>
    </font>
    <font>
      <sz val="11.0"/>
      <color theme="1"/>
      <name val="Calibri"/>
    </font>
    <font>
      <sz val="11.0"/>
      <color theme="1"/>
      <name val="Century Gothic"/>
    </font>
    <font>
      <sz val="11.0"/>
      <color theme="1"/>
      <name val="Arial"/>
    </font>
    <font>
      <b/>
      <sz val="12.0"/>
      <color theme="1"/>
      <name val="Gotham Book"/>
    </font>
    <font>
      <sz val="10.0"/>
      <color theme="1"/>
      <name val="Arial"/>
    </font>
    <font>
      <sz val="12.0"/>
      <color theme="1"/>
      <name val="Gotham Book"/>
    </font>
    <font>
      <sz val="9.0"/>
      <color theme="1"/>
      <name val="Gotham Book"/>
    </font>
    <font>
      <sz val="9.0"/>
      <color theme="1"/>
      <name val="Arial"/>
    </font>
    <font>
      <sz val="10.0"/>
      <color theme="1"/>
      <name val="Gotham Book"/>
    </font>
    <font>
      <sz val="16.0"/>
      <color theme="1"/>
      <name val="Gotham Book"/>
    </font>
    <font>
      <sz val="11.0"/>
      <color theme="1"/>
      <name val="Gotham"/>
    </font>
    <font>
      <sz val="18.0"/>
      <color theme="1"/>
      <name val="Gotham Book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Alignment="1" applyBorder="1" applyFont="1">
      <alignment vertical="center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vertical="center"/>
    </xf>
    <xf borderId="5" fillId="0" fontId="1" numFmtId="0" xfId="0" applyBorder="1" applyFont="1"/>
    <xf borderId="4" fillId="0" fontId="2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0" fillId="0" fontId="4" numFmtId="0" xfId="0" applyAlignment="1" applyFont="1">
      <alignment horizontal="center" shrinkToFit="0" vertical="top" wrapText="1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6" fillId="2" fontId="5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2" fontId="5" numFmtId="0" xfId="0" applyAlignment="1" applyBorder="1" applyFont="1">
      <alignment horizontal="center" vertical="center"/>
    </xf>
    <xf borderId="9" fillId="2" fontId="6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shrinkToFit="0" vertical="center" wrapText="1"/>
    </xf>
    <xf borderId="11" fillId="2" fontId="4" numFmtId="9" xfId="0" applyAlignment="1" applyBorder="1" applyFont="1" applyNumberFormat="1">
      <alignment horizontal="center" vertical="center"/>
    </xf>
    <xf borderId="12" fillId="2" fontId="6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13" fillId="2" fontId="5" numFmtId="0" xfId="0" applyAlignment="1" applyBorder="1" applyFont="1">
      <alignment horizontal="center" readingOrder="0" shrinkToFit="0" vertical="center" wrapText="1"/>
    </xf>
    <xf borderId="14" fillId="2" fontId="5" numFmtId="0" xfId="0" applyAlignment="1" applyBorder="1" applyFont="1">
      <alignment horizontal="center" readingOrder="0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2" fontId="7" numFmtId="0" xfId="0" applyAlignment="1" applyBorder="1" applyFont="1">
      <alignment horizontal="center" shrinkToFit="0" vertical="center" wrapText="1"/>
    </xf>
    <xf borderId="16" fillId="2" fontId="7" numFmtId="0" xfId="0" applyAlignment="1" applyBorder="1" applyFont="1">
      <alignment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2" fontId="8" numFmtId="0" xfId="0" applyAlignment="1" applyBorder="1" applyFont="1">
      <alignment horizontal="center" readingOrder="0" vertical="center"/>
    </xf>
    <xf borderId="23" fillId="2" fontId="5" numFmtId="0" xfId="0" applyAlignment="1" applyBorder="1" applyFont="1">
      <alignment horizontal="center" readingOrder="0" vertical="center"/>
    </xf>
    <xf borderId="15" fillId="2" fontId="5" numFmtId="0" xfId="0" applyAlignment="1" applyBorder="1" applyFont="1">
      <alignment horizontal="center" readingOrder="0" vertical="center"/>
    </xf>
    <xf borderId="24" fillId="0" fontId="3" numFmtId="0" xfId="0" applyBorder="1" applyFont="1"/>
    <xf borderId="18" fillId="2" fontId="4" numFmtId="0" xfId="0" applyAlignment="1" applyBorder="1" applyFont="1">
      <alignment horizontal="center" shrinkToFit="0" vertical="center" wrapText="1"/>
    </xf>
    <xf borderId="25" fillId="2" fontId="6" numFmtId="0" xfId="0" applyAlignment="1" applyBorder="1" applyFont="1">
      <alignment horizontal="center" vertical="center"/>
    </xf>
    <xf borderId="26" fillId="0" fontId="3" numFmtId="0" xfId="0" applyBorder="1" applyFont="1"/>
    <xf borderId="22" fillId="2" fontId="9" numFmtId="0" xfId="0" applyAlignment="1" applyBorder="1" applyFont="1">
      <alignment horizontal="center" vertical="center"/>
    </xf>
    <xf borderId="27" fillId="2" fontId="9" numFmtId="0" xfId="0" applyAlignment="1" applyBorder="1" applyFont="1">
      <alignment horizontal="center" vertical="center"/>
    </xf>
    <xf borderId="23" fillId="2" fontId="10" numFmtId="0" xfId="0" applyAlignment="1" applyBorder="1" applyFont="1">
      <alignment horizontal="center" shrinkToFit="0" vertical="bottom" wrapText="1"/>
    </xf>
    <xf borderId="23" fillId="2" fontId="11" numFmtId="0" xfId="0" applyAlignment="1" applyBorder="1" applyFont="1">
      <alignment vertical="bottom"/>
    </xf>
    <xf borderId="23" fillId="2" fontId="10" numFmtId="0" xfId="0" applyAlignment="1" applyBorder="1" applyFont="1">
      <alignment horizontal="center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3" fillId="2" fontId="4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2" numFmtId="1" xfId="0" applyAlignment="1" applyBorder="1" applyFont="1" applyNumberFormat="1">
      <alignment vertical="bottom"/>
    </xf>
    <xf borderId="23" fillId="0" fontId="12" numFmtId="0" xfId="0" applyAlignment="1" applyBorder="1" applyFont="1">
      <alignment vertical="bottom"/>
    </xf>
    <xf borderId="23" fillId="0" fontId="13" numFmtId="164" xfId="0" applyAlignment="1" applyBorder="1" applyFont="1" applyNumberFormat="1">
      <alignment horizontal="center" readingOrder="0" vertical="center"/>
    </xf>
    <xf borderId="23" fillId="0" fontId="13" numFmtId="164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3" numFmtId="0" xfId="0" applyAlignment="1" applyBorder="1" applyFont="1">
      <alignment horizontal="center" vertical="center"/>
    </xf>
    <xf borderId="23" fillId="0" fontId="14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3" fillId="0" fontId="13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3" numFmtId="0" xfId="0" applyAlignment="1" applyFont="1">
      <alignment horizontal="center" readingOrder="0" vertical="center"/>
    </xf>
    <xf borderId="29" fillId="0" fontId="15" numFmtId="0" xfId="0" applyAlignment="1" applyBorder="1" applyFont="1">
      <alignment horizontal="right" readingOrder="0" shrinkToFit="1" vertical="center" wrapText="0"/>
    </xf>
    <xf borderId="30" fillId="0" fontId="3" numFmtId="0" xfId="0" applyBorder="1" applyFont="1"/>
    <xf borderId="31" fillId="0" fontId="16" numFmtId="0" xfId="0" applyAlignment="1" applyBorder="1" applyFont="1">
      <alignment shrinkToFit="1" vertical="center" wrapText="0"/>
    </xf>
    <xf borderId="0" fillId="0" fontId="17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5" fillId="0" fontId="17" numFmtId="0" xfId="0" applyAlignment="1" applyBorder="1" applyFont="1">
      <alignment horizontal="center" shrinkToFit="0" vertical="center" wrapText="1"/>
    </xf>
    <xf borderId="32" fillId="0" fontId="19" numFmtId="0" xfId="0" applyAlignment="1" applyBorder="1" applyFont="1">
      <alignment horizontal="right" shrinkToFit="1" vertical="center" wrapText="0"/>
    </xf>
    <xf borderId="33" fillId="0" fontId="3" numFmtId="0" xfId="0" applyBorder="1" applyFont="1"/>
    <xf borderId="34" fillId="0" fontId="16" numFmtId="0" xfId="0" applyAlignment="1" applyBorder="1" applyFont="1">
      <alignment shrinkToFit="1" vertical="center" wrapText="0"/>
    </xf>
    <xf borderId="35" fillId="0" fontId="16" numFmtId="0" xfId="0" applyAlignment="1" applyBorder="1" applyFont="1">
      <alignment shrinkToFit="1" vertical="center" wrapText="0"/>
    </xf>
    <xf borderId="0" fillId="0" fontId="19" numFmtId="0" xfId="0" applyAlignment="1" applyFont="1">
      <alignment shrinkToFit="1" vertical="center" wrapText="0"/>
    </xf>
    <xf borderId="0" fillId="0" fontId="19" numFmtId="0" xfId="0" applyAlignment="1" applyFont="1">
      <alignment horizontal="center" vertical="center"/>
    </xf>
    <xf borderId="0" fillId="0" fontId="19" numFmtId="0" xfId="0" applyFont="1"/>
    <xf borderId="5" fillId="0" fontId="19" numFmtId="0" xfId="0" applyBorder="1" applyFont="1"/>
    <xf borderId="35" fillId="0" fontId="16" numFmtId="1" xfId="0" applyAlignment="1" applyBorder="1" applyFont="1" applyNumberFormat="1">
      <alignment shrinkToFit="1" vertical="center" wrapText="0"/>
    </xf>
    <xf borderId="20" fillId="0" fontId="19" numFmtId="0" xfId="0" applyAlignment="1" applyBorder="1" applyFont="1">
      <alignment shrinkToFit="1" vertical="center" wrapText="0"/>
    </xf>
    <xf borderId="20" fillId="0" fontId="19" numFmtId="0" xfId="0" applyBorder="1" applyFont="1"/>
    <xf borderId="21" fillId="0" fontId="19" numFmtId="0" xfId="0" applyBorder="1" applyFont="1"/>
    <xf borderId="35" fillId="0" fontId="16" numFmtId="2" xfId="0" applyAlignment="1" applyBorder="1" applyFont="1" applyNumberFormat="1">
      <alignment shrinkToFit="1" vertical="center" wrapText="0"/>
    </xf>
    <xf borderId="36" fillId="0" fontId="5" numFmtId="0" xfId="0" applyAlignment="1" applyBorder="1" applyFont="1">
      <alignment horizontal="center" readingOrder="0" shrinkToFit="0" vertical="top" wrapText="1"/>
    </xf>
    <xf borderId="0" fillId="0" fontId="19" numFmtId="0" xfId="0" applyAlignment="1" applyFont="1">
      <alignment horizontal="center" vertical="top"/>
    </xf>
    <xf borderId="0" fillId="0" fontId="7" numFmtId="0" xfId="0" applyAlignment="1" applyFont="1">
      <alignment horizontal="center" readingOrder="0" shrinkToFit="0" vertical="top" wrapText="1"/>
    </xf>
    <xf borderId="5" fillId="0" fontId="7" numFmtId="0" xfId="0" applyAlignment="1" applyBorder="1" applyFont="1">
      <alignment horizontal="center" readingOrder="0" shrinkToFit="0" vertical="top" wrapText="1"/>
    </xf>
    <xf borderId="0" fillId="0" fontId="17" numFmtId="0" xfId="0" applyFont="1"/>
    <xf borderId="37" fillId="0" fontId="15" numFmtId="0" xfId="0" applyAlignment="1" applyBorder="1" applyFont="1">
      <alignment horizontal="right" readingOrder="0" shrinkToFit="1" vertical="center" wrapText="0"/>
    </xf>
    <xf borderId="38" fillId="0" fontId="3" numFmtId="0" xfId="0" applyBorder="1" applyFont="1"/>
    <xf borderId="39" fillId="0" fontId="14" numFmtId="2" xfId="0" applyAlignment="1" applyBorder="1" applyFont="1" applyNumberFormat="1">
      <alignment vertical="center"/>
    </xf>
    <xf borderId="40" fillId="3" fontId="1" numFmtId="0" xfId="0" applyAlignment="1" applyBorder="1" applyFill="1" applyFont="1">
      <alignment vertical="center"/>
    </xf>
    <xf borderId="41" fillId="3" fontId="1" numFmtId="0" xfId="0" applyAlignment="1" applyBorder="1" applyFont="1">
      <alignment vertical="center"/>
    </xf>
    <xf borderId="0" fillId="3" fontId="1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4" fillId="0" fontId="1" numFmtId="0" xfId="0" applyAlignment="1" applyBorder="1" applyFont="1">
      <alignment horizontal="center" vertical="center"/>
    </xf>
    <xf borderId="0" fillId="0" fontId="21" numFmtId="0" xfId="0" applyFont="1"/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vertical="center"/>
    </xf>
    <xf borderId="43" fillId="0" fontId="1" numFmtId="0" xfId="0" applyBorder="1" applyFont="1"/>
    <xf borderId="44" fillId="0" fontId="1" numFmtId="0" xfId="0" applyBorder="1" applyFont="1"/>
    <xf borderId="0" fillId="0" fontId="22" numFmtId="0" xfId="0" applyAlignment="1" applyFont="1">
      <alignment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1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74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72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74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72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74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72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74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72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74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72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74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72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74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72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74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72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74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72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74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72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74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72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74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72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27" t="s">
        <v>9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6"/>
      <c r="I17" s="57">
        <f t="shared" ref="I17:I64" si="1">SUM(E17:H17)</f>
        <v>0</v>
      </c>
      <c r="J17" s="58"/>
      <c r="K17" s="59">
        <f t="shared" ref="K17:K64" si="2">IF(M17&lt;6,5,M17)</f>
        <v>5</v>
      </c>
      <c r="L17" s="60"/>
      <c r="M17" s="61">
        <f t="shared" ref="M17:M64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6"/>
      <c r="I18" s="57">
        <f t="shared" si="1"/>
        <v>0</v>
      </c>
      <c r="J18" s="58"/>
      <c r="K18" s="59">
        <f t="shared" si="2"/>
        <v>5</v>
      </c>
      <c r="L18" s="52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6"/>
      <c r="F19" s="56"/>
      <c r="G19" s="55"/>
      <c r="H19" s="56"/>
      <c r="I19" s="57">
        <f t="shared" si="1"/>
        <v>0</v>
      </c>
      <c r="J19" s="58"/>
      <c r="K19" s="59">
        <f t="shared" si="2"/>
        <v>5</v>
      </c>
      <c r="L19" s="52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6"/>
      <c r="I20" s="57">
        <f t="shared" si="1"/>
        <v>0</v>
      </c>
      <c r="J20" s="58"/>
      <c r="K20" s="59">
        <f t="shared" si="2"/>
        <v>5</v>
      </c>
      <c r="L20" s="52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6"/>
      <c r="I21" s="57">
        <f t="shared" si="1"/>
        <v>0</v>
      </c>
      <c r="J21" s="58"/>
      <c r="K21" s="59">
        <f t="shared" si="2"/>
        <v>5</v>
      </c>
      <c r="L21" s="52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6"/>
      <c r="I22" s="57">
        <f t="shared" si="1"/>
        <v>0</v>
      </c>
      <c r="J22" s="58"/>
      <c r="K22" s="59">
        <f t="shared" si="2"/>
        <v>5</v>
      </c>
      <c r="L22" s="52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6"/>
      <c r="I23" s="57">
        <f t="shared" si="1"/>
        <v>0</v>
      </c>
      <c r="J23" s="58"/>
      <c r="K23" s="59">
        <f t="shared" si="2"/>
        <v>5</v>
      </c>
      <c r="L23" s="52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6"/>
      <c r="F24" s="56"/>
      <c r="G24" s="55"/>
      <c r="H24" s="56"/>
      <c r="I24" s="57">
        <f t="shared" si="1"/>
        <v>0</v>
      </c>
      <c r="J24" s="58"/>
      <c r="K24" s="59">
        <f t="shared" si="2"/>
        <v>5</v>
      </c>
      <c r="L24" s="52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6"/>
      <c r="I25" s="57">
        <f t="shared" si="1"/>
        <v>0</v>
      </c>
      <c r="J25" s="58"/>
      <c r="K25" s="59">
        <f t="shared" si="2"/>
        <v>5</v>
      </c>
      <c r="L25" s="52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6"/>
      <c r="F26" s="56"/>
      <c r="G26" s="55"/>
      <c r="H26" s="56"/>
      <c r="I26" s="57">
        <f t="shared" si="1"/>
        <v>0</v>
      </c>
      <c r="J26" s="58"/>
      <c r="K26" s="59">
        <f t="shared" si="2"/>
        <v>5</v>
      </c>
      <c r="L26" s="52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52</v>
      </c>
      <c r="C27" s="53" t="s">
        <v>53</v>
      </c>
      <c r="D27" s="54" t="s">
        <v>54</v>
      </c>
      <c r="E27" s="55"/>
      <c r="F27" s="55"/>
      <c r="G27" s="55"/>
      <c r="H27" s="56"/>
      <c r="I27" s="57">
        <f t="shared" si="1"/>
        <v>0</v>
      </c>
      <c r="J27" s="58"/>
      <c r="K27" s="59">
        <f t="shared" si="2"/>
        <v>5</v>
      </c>
      <c r="L27" s="52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44</v>
      </c>
      <c r="C28" s="53" t="s">
        <v>55</v>
      </c>
      <c r="D28" s="54" t="s">
        <v>56</v>
      </c>
      <c r="E28" s="55"/>
      <c r="F28" s="55"/>
      <c r="G28" s="55"/>
      <c r="H28" s="56"/>
      <c r="I28" s="57">
        <f t="shared" si="1"/>
        <v>0</v>
      </c>
      <c r="J28" s="58"/>
      <c r="K28" s="59">
        <f t="shared" si="2"/>
        <v>5</v>
      </c>
      <c r="L28" s="52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57</v>
      </c>
      <c r="C29" s="53" t="s">
        <v>58</v>
      </c>
      <c r="D29" s="54" t="s">
        <v>59</v>
      </c>
      <c r="E29" s="55"/>
      <c r="F29" s="55"/>
      <c r="G29" s="55"/>
      <c r="H29" s="56"/>
      <c r="I29" s="57">
        <f t="shared" si="1"/>
        <v>0</v>
      </c>
      <c r="J29" s="58"/>
      <c r="K29" s="59">
        <f t="shared" si="2"/>
        <v>5</v>
      </c>
      <c r="L29" s="52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35</v>
      </c>
      <c r="C30" s="53" t="s">
        <v>60</v>
      </c>
      <c r="D30" s="54" t="s">
        <v>61</v>
      </c>
      <c r="E30" s="56"/>
      <c r="F30" s="56"/>
      <c r="G30" s="55"/>
      <c r="H30" s="56"/>
      <c r="I30" s="57">
        <f t="shared" si="1"/>
        <v>0</v>
      </c>
      <c r="J30" s="58"/>
      <c r="K30" s="59">
        <f t="shared" si="2"/>
        <v>5</v>
      </c>
      <c r="L30" s="52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62</v>
      </c>
      <c r="C31" s="53" t="s">
        <v>32</v>
      </c>
      <c r="D31" s="54" t="s">
        <v>63</v>
      </c>
      <c r="E31" s="56"/>
      <c r="F31" s="56"/>
      <c r="G31" s="55"/>
      <c r="H31" s="56"/>
      <c r="I31" s="57">
        <f t="shared" si="1"/>
        <v>0</v>
      </c>
      <c r="J31" s="58"/>
      <c r="K31" s="59">
        <f t="shared" si="2"/>
        <v>5</v>
      </c>
      <c r="L31" s="52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64</v>
      </c>
      <c r="C32" s="53" t="s">
        <v>65</v>
      </c>
      <c r="D32" s="54" t="s">
        <v>66</v>
      </c>
      <c r="E32" s="55"/>
      <c r="F32" s="55"/>
      <c r="G32" s="55"/>
      <c r="H32" s="56"/>
      <c r="I32" s="57">
        <f t="shared" si="1"/>
        <v>0</v>
      </c>
      <c r="J32" s="58"/>
      <c r="K32" s="59">
        <f t="shared" si="2"/>
        <v>5</v>
      </c>
      <c r="L32" s="52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67</v>
      </c>
      <c r="C33" s="53" t="s">
        <v>67</v>
      </c>
      <c r="D33" s="54" t="s">
        <v>68</v>
      </c>
      <c r="E33" s="55"/>
      <c r="F33" s="55"/>
      <c r="G33" s="55"/>
      <c r="H33" s="56"/>
      <c r="I33" s="57">
        <f t="shared" si="1"/>
        <v>0</v>
      </c>
      <c r="J33" s="58"/>
      <c r="K33" s="59">
        <f t="shared" si="2"/>
        <v>5</v>
      </c>
      <c r="L33" s="52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69</v>
      </c>
      <c r="C34" s="53" t="s">
        <v>67</v>
      </c>
      <c r="D34" s="54" t="s">
        <v>70</v>
      </c>
      <c r="E34" s="56"/>
      <c r="F34" s="56"/>
      <c r="G34" s="55"/>
      <c r="H34" s="56"/>
      <c r="I34" s="57">
        <f t="shared" si="1"/>
        <v>0</v>
      </c>
      <c r="J34" s="58"/>
      <c r="K34" s="59">
        <f t="shared" si="2"/>
        <v>5</v>
      </c>
      <c r="L34" s="52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69</v>
      </c>
      <c r="C35" s="53" t="s">
        <v>71</v>
      </c>
      <c r="D35" s="54" t="s">
        <v>72</v>
      </c>
      <c r="E35" s="55"/>
      <c r="F35" s="55"/>
      <c r="G35" s="55"/>
      <c r="H35" s="56"/>
      <c r="I35" s="57">
        <f t="shared" si="1"/>
        <v>0</v>
      </c>
      <c r="J35" s="58"/>
      <c r="K35" s="59">
        <f t="shared" si="2"/>
        <v>5</v>
      </c>
      <c r="L35" s="52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73</v>
      </c>
      <c r="C36" s="53" t="s">
        <v>38</v>
      </c>
      <c r="D36" s="54" t="s">
        <v>74</v>
      </c>
      <c r="E36" s="55"/>
      <c r="F36" s="55"/>
      <c r="G36" s="55"/>
      <c r="H36" s="56"/>
      <c r="I36" s="57">
        <f t="shared" si="1"/>
        <v>0</v>
      </c>
      <c r="J36" s="58"/>
      <c r="K36" s="59">
        <f t="shared" si="2"/>
        <v>5</v>
      </c>
      <c r="L36" s="52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75</v>
      </c>
      <c r="C37" s="53" t="s">
        <v>76</v>
      </c>
      <c r="D37" s="54" t="s">
        <v>77</v>
      </c>
      <c r="E37" s="56"/>
      <c r="F37" s="56"/>
      <c r="G37" s="55"/>
      <c r="H37" s="56"/>
      <c r="I37" s="57">
        <f t="shared" si="1"/>
        <v>0</v>
      </c>
      <c r="J37" s="58"/>
      <c r="K37" s="59">
        <f t="shared" si="2"/>
        <v>5</v>
      </c>
      <c r="L37" s="52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47</v>
      </c>
      <c r="C38" s="53" t="s">
        <v>62</v>
      </c>
      <c r="D38" s="54" t="s">
        <v>78</v>
      </c>
      <c r="E38" s="55"/>
      <c r="F38" s="55"/>
      <c r="G38" s="55"/>
      <c r="H38" s="56"/>
      <c r="I38" s="57">
        <f t="shared" si="1"/>
        <v>0</v>
      </c>
      <c r="J38" s="58"/>
      <c r="K38" s="59">
        <f t="shared" si="2"/>
        <v>5</v>
      </c>
      <c r="L38" s="52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79</v>
      </c>
      <c r="C39" s="53" t="s">
        <v>80</v>
      </c>
      <c r="D39" s="54" t="s">
        <v>81</v>
      </c>
      <c r="E39" s="55"/>
      <c r="F39" s="55"/>
      <c r="G39" s="55"/>
      <c r="H39" s="56"/>
      <c r="I39" s="57">
        <f t="shared" si="1"/>
        <v>0</v>
      </c>
      <c r="J39" s="58"/>
      <c r="K39" s="59">
        <f t="shared" si="2"/>
        <v>5</v>
      </c>
      <c r="L39" s="52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79</v>
      </c>
      <c r="C40" s="53" t="s">
        <v>82</v>
      </c>
      <c r="D40" s="54" t="s">
        <v>83</v>
      </c>
      <c r="E40" s="55"/>
      <c r="F40" s="55"/>
      <c r="G40" s="55"/>
      <c r="H40" s="56"/>
      <c r="I40" s="57">
        <f t="shared" si="1"/>
        <v>0</v>
      </c>
      <c r="J40" s="58"/>
      <c r="K40" s="59">
        <f t="shared" si="2"/>
        <v>5</v>
      </c>
      <c r="L40" s="52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32</v>
      </c>
      <c r="C41" s="53" t="s">
        <v>84</v>
      </c>
      <c r="D41" s="54" t="s">
        <v>85</v>
      </c>
      <c r="E41" s="55"/>
      <c r="F41" s="55"/>
      <c r="G41" s="55"/>
      <c r="H41" s="56"/>
      <c r="I41" s="57">
        <f t="shared" si="1"/>
        <v>0</v>
      </c>
      <c r="J41" s="58"/>
      <c r="K41" s="59">
        <f t="shared" si="2"/>
        <v>5</v>
      </c>
      <c r="L41" s="52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86</v>
      </c>
      <c r="C42" s="53" t="s">
        <v>62</v>
      </c>
      <c r="D42" s="54" t="s">
        <v>87</v>
      </c>
      <c r="E42" s="55"/>
      <c r="F42" s="55"/>
      <c r="G42" s="55"/>
      <c r="H42" s="56"/>
      <c r="I42" s="57">
        <f t="shared" si="1"/>
        <v>0</v>
      </c>
      <c r="J42" s="58"/>
      <c r="K42" s="59">
        <f t="shared" si="2"/>
        <v>5</v>
      </c>
      <c r="L42" s="52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88</v>
      </c>
      <c r="C43" s="53" t="s">
        <v>29</v>
      </c>
      <c r="D43" s="54" t="s">
        <v>89</v>
      </c>
      <c r="E43" s="55"/>
      <c r="F43" s="55"/>
      <c r="G43" s="55"/>
      <c r="H43" s="56"/>
      <c r="I43" s="57">
        <f t="shared" si="1"/>
        <v>0</v>
      </c>
      <c r="J43" s="58"/>
      <c r="K43" s="59">
        <f t="shared" si="2"/>
        <v>5</v>
      </c>
      <c r="L43" s="52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90</v>
      </c>
      <c r="C44" s="53" t="s">
        <v>91</v>
      </c>
      <c r="D44" s="54" t="s">
        <v>92</v>
      </c>
      <c r="E44" s="55"/>
      <c r="F44" s="55"/>
      <c r="G44" s="55"/>
      <c r="H44" s="56"/>
      <c r="I44" s="57">
        <f t="shared" si="1"/>
        <v>0</v>
      </c>
      <c r="J44" s="58"/>
      <c r="K44" s="59">
        <f t="shared" si="2"/>
        <v>5</v>
      </c>
      <c r="L44" s="52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93</v>
      </c>
      <c r="C45" s="53" t="s">
        <v>94</v>
      </c>
      <c r="D45" s="54" t="s">
        <v>95</v>
      </c>
      <c r="E45" s="55"/>
      <c r="F45" s="55"/>
      <c r="G45" s="55"/>
      <c r="H45" s="56"/>
      <c r="I45" s="57">
        <f t="shared" si="1"/>
        <v>0</v>
      </c>
      <c r="J45" s="58"/>
      <c r="K45" s="59">
        <f t="shared" si="2"/>
        <v>5</v>
      </c>
      <c r="L45" s="52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96</v>
      </c>
      <c r="C46" s="53" t="s">
        <v>97</v>
      </c>
      <c r="D46" s="54" t="s">
        <v>98</v>
      </c>
      <c r="E46" s="55"/>
      <c r="F46" s="55"/>
      <c r="G46" s="55"/>
      <c r="H46" s="56"/>
      <c r="I46" s="57">
        <f t="shared" si="1"/>
        <v>0</v>
      </c>
      <c r="J46" s="58"/>
      <c r="K46" s="59">
        <f t="shared" si="2"/>
        <v>5</v>
      </c>
      <c r="L46" s="52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99</v>
      </c>
      <c r="C47" s="53" t="s">
        <v>100</v>
      </c>
      <c r="D47" s="54" t="s">
        <v>101</v>
      </c>
      <c r="E47" s="55"/>
      <c r="F47" s="55"/>
      <c r="G47" s="55"/>
      <c r="H47" s="56"/>
      <c r="I47" s="57">
        <f t="shared" si="1"/>
        <v>0</v>
      </c>
      <c r="J47" s="58"/>
      <c r="K47" s="59">
        <f t="shared" si="2"/>
        <v>5</v>
      </c>
      <c r="L47" s="52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102</v>
      </c>
      <c r="C48" s="53" t="s">
        <v>103</v>
      </c>
      <c r="D48" s="54" t="s">
        <v>104</v>
      </c>
      <c r="E48" s="55"/>
      <c r="F48" s="55"/>
      <c r="G48" s="55"/>
      <c r="H48" s="56"/>
      <c r="I48" s="57">
        <f t="shared" si="1"/>
        <v>0</v>
      </c>
      <c r="J48" s="58"/>
      <c r="K48" s="59">
        <f t="shared" si="2"/>
        <v>5</v>
      </c>
      <c r="L48" s="52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105</v>
      </c>
      <c r="C49" s="53" t="s">
        <v>22</v>
      </c>
      <c r="D49" s="54" t="s">
        <v>106</v>
      </c>
      <c r="E49" s="55"/>
      <c r="F49" s="55"/>
      <c r="G49" s="55"/>
      <c r="H49" s="56"/>
      <c r="I49" s="57">
        <f t="shared" si="1"/>
        <v>0</v>
      </c>
      <c r="J49" s="58"/>
      <c r="K49" s="59">
        <f t="shared" si="2"/>
        <v>5</v>
      </c>
      <c r="L49" s="52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23</v>
      </c>
      <c r="C50" s="53" t="s">
        <v>107</v>
      </c>
      <c r="D50" s="54" t="s">
        <v>108</v>
      </c>
      <c r="E50" s="55"/>
      <c r="F50" s="55"/>
      <c r="G50" s="55"/>
      <c r="H50" s="56"/>
      <c r="I50" s="57">
        <f t="shared" si="1"/>
        <v>0</v>
      </c>
      <c r="J50" s="58"/>
      <c r="K50" s="59">
        <f t="shared" si="2"/>
        <v>5</v>
      </c>
      <c r="L50" s="52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23</v>
      </c>
      <c r="C51" s="53" t="s">
        <v>109</v>
      </c>
      <c r="D51" s="54" t="s">
        <v>110</v>
      </c>
      <c r="E51" s="55"/>
      <c r="F51" s="55"/>
      <c r="G51" s="55"/>
      <c r="H51" s="56"/>
      <c r="I51" s="57">
        <f t="shared" si="1"/>
        <v>0</v>
      </c>
      <c r="J51" s="58"/>
      <c r="K51" s="59">
        <f t="shared" si="2"/>
        <v>5</v>
      </c>
      <c r="L51" s="52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111</v>
      </c>
      <c r="C52" s="53" t="s">
        <v>62</v>
      </c>
      <c r="D52" s="54" t="s">
        <v>112</v>
      </c>
      <c r="E52" s="55"/>
      <c r="F52" s="55"/>
      <c r="G52" s="55"/>
      <c r="H52" s="56"/>
      <c r="I52" s="57">
        <f t="shared" si="1"/>
        <v>0</v>
      </c>
      <c r="J52" s="58"/>
      <c r="K52" s="59">
        <f t="shared" si="2"/>
        <v>5</v>
      </c>
      <c r="L52" s="52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111</v>
      </c>
      <c r="C53" s="53" t="s">
        <v>73</v>
      </c>
      <c r="D53" s="54" t="s">
        <v>113</v>
      </c>
      <c r="E53" s="55"/>
      <c r="F53" s="55"/>
      <c r="G53" s="55"/>
      <c r="H53" s="56"/>
      <c r="I53" s="57">
        <f t="shared" si="1"/>
        <v>0</v>
      </c>
      <c r="J53" s="58"/>
      <c r="K53" s="59">
        <f t="shared" si="2"/>
        <v>5</v>
      </c>
      <c r="L53" s="52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114</v>
      </c>
      <c r="C54" s="53" t="s">
        <v>69</v>
      </c>
      <c r="D54" s="54" t="s">
        <v>115</v>
      </c>
      <c r="E54" s="55"/>
      <c r="F54" s="55"/>
      <c r="G54" s="55"/>
      <c r="H54" s="56"/>
      <c r="I54" s="57">
        <f t="shared" si="1"/>
        <v>0</v>
      </c>
      <c r="J54" s="58"/>
      <c r="K54" s="59">
        <f t="shared" si="2"/>
        <v>5</v>
      </c>
      <c r="L54" s="52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116</v>
      </c>
      <c r="C55" s="53" t="s">
        <v>117</v>
      </c>
      <c r="D55" s="54" t="s">
        <v>118</v>
      </c>
      <c r="E55" s="55"/>
      <c r="F55" s="55"/>
      <c r="G55" s="55"/>
      <c r="H55" s="56"/>
      <c r="I55" s="57">
        <f t="shared" si="1"/>
        <v>0</v>
      </c>
      <c r="J55" s="62"/>
      <c r="K55" s="59">
        <f t="shared" si="2"/>
        <v>5</v>
      </c>
      <c r="L55" s="52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119</v>
      </c>
      <c r="C56" s="53" t="s">
        <v>120</v>
      </c>
      <c r="D56" s="54" t="s">
        <v>121</v>
      </c>
      <c r="E56" s="55"/>
      <c r="F56" s="55"/>
      <c r="G56" s="55"/>
      <c r="H56" s="56"/>
      <c r="I56" s="57">
        <f t="shared" si="1"/>
        <v>0</v>
      </c>
      <c r="J56" s="62"/>
      <c r="K56" s="59">
        <f t="shared" si="2"/>
        <v>5</v>
      </c>
      <c r="L56" s="52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122</v>
      </c>
      <c r="C57" s="53" t="s">
        <v>123</v>
      </c>
      <c r="D57" s="54" t="s">
        <v>124</v>
      </c>
      <c r="E57" s="55"/>
      <c r="F57" s="55"/>
      <c r="G57" s="55"/>
      <c r="H57" s="56"/>
      <c r="I57" s="57">
        <f t="shared" si="1"/>
        <v>0</v>
      </c>
      <c r="J57" s="62"/>
      <c r="K57" s="59">
        <f t="shared" si="2"/>
        <v>5</v>
      </c>
      <c r="L57" s="52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2">
        <v>42.0</v>
      </c>
      <c r="B58" s="53" t="s">
        <v>123</v>
      </c>
      <c r="C58" s="53" t="s">
        <v>90</v>
      </c>
      <c r="D58" s="54" t="s">
        <v>125</v>
      </c>
      <c r="E58" s="55"/>
      <c r="F58" s="55"/>
      <c r="G58" s="55"/>
      <c r="H58" s="56"/>
      <c r="I58" s="57">
        <f t="shared" si="1"/>
        <v>0</v>
      </c>
      <c r="J58" s="62"/>
      <c r="K58" s="59">
        <f t="shared" si="2"/>
        <v>5</v>
      </c>
      <c r="L58" s="52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2">
        <v>43.0</v>
      </c>
      <c r="B59" s="53" t="s">
        <v>97</v>
      </c>
      <c r="C59" s="53" t="s">
        <v>126</v>
      </c>
      <c r="D59" s="54" t="s">
        <v>127</v>
      </c>
      <c r="E59" s="55"/>
      <c r="F59" s="55"/>
      <c r="G59" s="55"/>
      <c r="H59" s="56"/>
      <c r="I59" s="57">
        <f t="shared" si="1"/>
        <v>0</v>
      </c>
      <c r="J59" s="62"/>
      <c r="K59" s="59">
        <f t="shared" si="2"/>
        <v>5</v>
      </c>
      <c r="L59" s="52"/>
      <c r="M59" s="60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2">
        <v>44.0</v>
      </c>
      <c r="B60" s="53" t="s">
        <v>128</v>
      </c>
      <c r="C60" s="53" t="s">
        <v>124</v>
      </c>
      <c r="D60" s="54" t="s">
        <v>129</v>
      </c>
      <c r="E60" s="55"/>
      <c r="F60" s="55"/>
      <c r="G60" s="55"/>
      <c r="H60" s="56"/>
      <c r="I60" s="57">
        <f t="shared" si="1"/>
        <v>0</v>
      </c>
      <c r="J60" s="62"/>
      <c r="K60" s="59">
        <f t="shared" si="2"/>
        <v>5</v>
      </c>
      <c r="L60" s="52"/>
      <c r="M60" s="60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2">
        <v>45.0</v>
      </c>
      <c r="B61" s="53" t="s">
        <v>130</v>
      </c>
      <c r="C61" s="53" t="s">
        <v>131</v>
      </c>
      <c r="D61" s="54" t="s">
        <v>132</v>
      </c>
      <c r="E61" s="55"/>
      <c r="F61" s="55"/>
      <c r="G61" s="55"/>
      <c r="H61" s="56"/>
      <c r="I61" s="57">
        <f t="shared" si="1"/>
        <v>0</v>
      </c>
      <c r="J61" s="62"/>
      <c r="K61" s="59">
        <f t="shared" si="2"/>
        <v>5</v>
      </c>
      <c r="L61" s="52"/>
      <c r="M61" s="60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2">
        <v>46.0</v>
      </c>
      <c r="B62" s="53" t="s">
        <v>133</v>
      </c>
      <c r="C62" s="53" t="s">
        <v>67</v>
      </c>
      <c r="D62" s="54" t="s">
        <v>134</v>
      </c>
      <c r="E62" s="55"/>
      <c r="F62" s="55"/>
      <c r="G62" s="55"/>
      <c r="H62" s="56"/>
      <c r="I62" s="57">
        <f t="shared" si="1"/>
        <v>0</v>
      </c>
      <c r="J62" s="62"/>
      <c r="K62" s="59">
        <f t="shared" si="2"/>
        <v>5</v>
      </c>
      <c r="L62" s="52"/>
      <c r="M62" s="60">
        <f t="shared" si="3"/>
        <v>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2">
        <v>47.0</v>
      </c>
      <c r="B63" s="53" t="s">
        <v>135</v>
      </c>
      <c r="C63" s="53" t="s">
        <v>136</v>
      </c>
      <c r="D63" s="54" t="s">
        <v>137</v>
      </c>
      <c r="E63" s="55"/>
      <c r="F63" s="55"/>
      <c r="G63" s="55"/>
      <c r="H63" s="56"/>
      <c r="I63" s="57">
        <f t="shared" si="1"/>
        <v>0</v>
      </c>
      <c r="J63" s="62"/>
      <c r="K63" s="59">
        <f t="shared" si="2"/>
        <v>5</v>
      </c>
      <c r="L63" s="52"/>
      <c r="M63" s="60">
        <f t="shared" si="3"/>
        <v>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2">
        <v>48.0</v>
      </c>
      <c r="B64" s="53" t="s">
        <v>138</v>
      </c>
      <c r="C64" s="53" t="s">
        <v>67</v>
      </c>
      <c r="D64" s="54" t="s">
        <v>139</v>
      </c>
      <c r="E64" s="55"/>
      <c r="F64" s="55"/>
      <c r="G64" s="55"/>
      <c r="H64" s="56"/>
      <c r="I64" s="57">
        <f t="shared" si="1"/>
        <v>0</v>
      </c>
      <c r="J64" s="62"/>
      <c r="K64" s="59">
        <f t="shared" si="2"/>
        <v>5</v>
      </c>
      <c r="L64" s="52"/>
      <c r="M64" s="60">
        <f t="shared" si="3"/>
        <v>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6"/>
      <c r="B65" s="63"/>
      <c r="C65" s="63"/>
      <c r="D65" s="63"/>
      <c r="E65" s="64"/>
      <c r="F65" s="64"/>
      <c r="G65" s="63"/>
      <c r="H65" s="63"/>
      <c r="I65" s="63"/>
      <c r="J65" s="63"/>
      <c r="K65" s="1"/>
      <c r="L65" s="8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65" t="s">
        <v>140</v>
      </c>
      <c r="C66" s="66"/>
      <c r="D66" s="67">
        <f>COUNT(A17:A64)</f>
        <v>48</v>
      </c>
      <c r="E66" s="63"/>
      <c r="F66" s="63"/>
      <c r="G66" s="68" t="s">
        <v>141</v>
      </c>
      <c r="H66" s="68"/>
      <c r="I66" s="68" t="s">
        <v>142</v>
      </c>
      <c r="K66" s="69" t="s">
        <v>143</v>
      </c>
      <c r="L66" s="70" t="s">
        <v>144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1" t="s">
        <v>145</v>
      </c>
      <c r="C67" s="72"/>
      <c r="D67" s="73">
        <f>COUNTIF(K17:K64,"BAJA")</f>
        <v>0</v>
      </c>
      <c r="E67" s="63"/>
      <c r="F67" s="63"/>
      <c r="H67" s="68"/>
      <c r="L67" s="10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1" t="s">
        <v>146</v>
      </c>
      <c r="C68" s="72"/>
      <c r="D68" s="74">
        <f>D66-D67</f>
        <v>48</v>
      </c>
      <c r="E68" s="63"/>
      <c r="F68" s="63"/>
      <c r="G68" s="75"/>
      <c r="H68" s="76"/>
      <c r="I68" s="75"/>
      <c r="J68" s="75"/>
      <c r="K68" s="77"/>
      <c r="L68" s="7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B69" s="71" t="s">
        <v>147</v>
      </c>
      <c r="C69" s="72"/>
      <c r="D69" s="79">
        <f>COUNTIF(K17:K64,"&gt;=6")</f>
        <v>0</v>
      </c>
      <c r="E69" s="63"/>
      <c r="F69" s="63"/>
      <c r="G69" s="75"/>
      <c r="H69" s="76"/>
      <c r="I69" s="75"/>
      <c r="J69" s="75"/>
      <c r="K69" s="77"/>
      <c r="L69" s="78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B70" s="71" t="s">
        <v>148</v>
      </c>
      <c r="C70" s="72"/>
      <c r="D70" s="79">
        <f>D68-D69</f>
        <v>48</v>
      </c>
      <c r="E70" s="63"/>
      <c r="F70" s="63"/>
      <c r="G70" s="80"/>
      <c r="H70" s="76"/>
      <c r="I70" s="80"/>
      <c r="J70" s="80"/>
      <c r="K70" s="81"/>
      <c r="L70" s="8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B71" s="71" t="s">
        <v>149</v>
      </c>
      <c r="C71" s="72"/>
      <c r="D71" s="83">
        <f>D69*100/D68</f>
        <v>0</v>
      </c>
      <c r="E71" s="63"/>
      <c r="F71" s="63"/>
      <c r="G71" s="84" t="s">
        <v>150</v>
      </c>
      <c r="H71" s="85"/>
      <c r="I71" s="86" t="s">
        <v>151</v>
      </c>
      <c r="K71" s="86" t="s">
        <v>152</v>
      </c>
      <c r="L71" s="87" t="s">
        <v>153</v>
      </c>
      <c r="M71" s="88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B72" s="89" t="s">
        <v>154</v>
      </c>
      <c r="C72" s="90"/>
      <c r="D72" s="91">
        <f>AVERAGE(K17:K64)</f>
        <v>5</v>
      </c>
      <c r="E72" s="63"/>
      <c r="F72" s="63"/>
      <c r="H72" s="85"/>
      <c r="L72" s="1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6"/>
      <c r="B73" s="1"/>
      <c r="C73" s="1"/>
      <c r="D73" s="1"/>
      <c r="E73" s="1"/>
      <c r="F73" s="1"/>
      <c r="G73" s="1"/>
      <c r="H73" s="1"/>
      <c r="I73" s="1"/>
      <c r="J73" s="1"/>
      <c r="K73" s="1"/>
      <c r="L73" s="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2"/>
      <c r="B74" s="93"/>
      <c r="C74" s="94"/>
      <c r="D74" s="94"/>
      <c r="E74" s="63"/>
      <c r="H74" s="7"/>
      <c r="I74" s="7"/>
      <c r="J74" s="7"/>
      <c r="K74" s="7"/>
      <c r="L74" s="95"/>
      <c r="M74" s="9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97"/>
      <c r="B75" s="63"/>
      <c r="C75" s="63"/>
      <c r="D75" s="63"/>
      <c r="E75" s="7"/>
      <c r="F75" s="7"/>
      <c r="G75" s="1"/>
      <c r="H75" s="1"/>
      <c r="I75" s="1"/>
      <c r="J75" s="1"/>
      <c r="K75" s="1"/>
      <c r="L75" s="8"/>
      <c r="M75" s="98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97"/>
      <c r="B76" s="63"/>
      <c r="C76" s="63"/>
      <c r="D76" s="63"/>
      <c r="E76" s="7"/>
      <c r="F76" s="7"/>
      <c r="G76" s="1"/>
      <c r="H76" s="1"/>
      <c r="I76" s="1"/>
      <c r="J76" s="1"/>
      <c r="K76" s="1"/>
      <c r="L76" s="8"/>
      <c r="M76" s="98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99"/>
      <c r="B77" s="100"/>
      <c r="C77" s="100"/>
      <c r="D77" s="100"/>
      <c r="E77" s="101"/>
      <c r="F77" s="101"/>
      <c r="G77" s="102"/>
      <c r="H77" s="102"/>
      <c r="I77" s="102"/>
      <c r="J77" s="102"/>
      <c r="K77" s="102"/>
      <c r="L77" s="103"/>
      <c r="M77" s="98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4"/>
      <c r="C78" s="104"/>
      <c r="D78" s="104"/>
      <c r="E78" s="104"/>
      <c r="F78" s="104"/>
      <c r="G78" s="1"/>
      <c r="H78" s="1"/>
      <c r="I78" s="1"/>
      <c r="J78" s="1"/>
      <c r="K78" s="105"/>
      <c r="L78" s="105"/>
      <c r="M78" s="10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4"/>
      <c r="C79" s="104"/>
      <c r="D79" s="104"/>
      <c r="E79" s="104"/>
      <c r="F79" s="104"/>
      <c r="G79" s="1"/>
      <c r="H79" s="1"/>
      <c r="I79" s="1"/>
      <c r="J79" s="1"/>
      <c r="K79" s="105"/>
      <c r="L79" s="105"/>
      <c r="M79" s="10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4"/>
      <c r="C80" s="104"/>
      <c r="D80" s="104"/>
      <c r="E80" s="104"/>
      <c r="F80" s="104"/>
      <c r="G80" s="1"/>
      <c r="H80" s="1"/>
      <c r="I80" s="1"/>
      <c r="J80" s="1"/>
      <c r="K80" s="105"/>
      <c r="L80" s="105"/>
      <c r="M80" s="10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4"/>
      <c r="C81" s="104"/>
      <c r="D81" s="104"/>
      <c r="E81" s="104"/>
      <c r="F81" s="104"/>
      <c r="G81" s="1"/>
      <c r="H81" s="1"/>
      <c r="I81" s="1"/>
      <c r="J81" s="1"/>
      <c r="K81" s="105"/>
      <c r="L81" s="105"/>
      <c r="M81" s="105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4"/>
      <c r="C82" s="104"/>
      <c r="D82" s="104"/>
      <c r="E82" s="104"/>
      <c r="F82" s="10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4"/>
      <c r="C83" s="104"/>
      <c r="D83" s="104"/>
      <c r="E83" s="104"/>
      <c r="F83" s="104"/>
      <c r="G83" s="1"/>
      <c r="H83" s="1"/>
      <c r="I83" s="1"/>
      <c r="J83" s="1"/>
      <c r="K83" s="1"/>
      <c r="L83" s="106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4"/>
      <c r="C84" s="104"/>
      <c r="D84" s="104"/>
      <c r="E84" s="104"/>
      <c r="F84" s="10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4"/>
      <c r="C85" s="104"/>
      <c r="D85" s="104"/>
      <c r="E85" s="104"/>
      <c r="F85" s="10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4"/>
      <c r="C86" s="104"/>
      <c r="D86" s="104"/>
      <c r="E86" s="104"/>
      <c r="F86" s="10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4"/>
      <c r="C87" s="104"/>
      <c r="D87" s="104"/>
      <c r="E87" s="104"/>
      <c r="F87" s="10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4"/>
      <c r="C88" s="104"/>
      <c r="D88" s="104"/>
      <c r="E88" s="104"/>
      <c r="F88" s="10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04"/>
      <c r="C89" s="104"/>
      <c r="D89" s="104"/>
      <c r="E89" s="104"/>
      <c r="F89" s="10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29">
    <mergeCell ref="F14:F15"/>
    <mergeCell ref="G14:G15"/>
    <mergeCell ref="G66:G67"/>
    <mergeCell ref="I66:J67"/>
    <mergeCell ref="K66:K67"/>
    <mergeCell ref="L66:L67"/>
    <mergeCell ref="A9:L9"/>
    <mergeCell ref="E10:L10"/>
    <mergeCell ref="A13:B13"/>
    <mergeCell ref="C13:D13"/>
    <mergeCell ref="H13:H15"/>
    <mergeCell ref="I13:I14"/>
    <mergeCell ref="J13:L14"/>
    <mergeCell ref="J15:L15"/>
    <mergeCell ref="B70:C70"/>
    <mergeCell ref="B71:C71"/>
    <mergeCell ref="G71:G72"/>
    <mergeCell ref="I71:J72"/>
    <mergeCell ref="K71:K72"/>
    <mergeCell ref="L71:L72"/>
    <mergeCell ref="B72:C72"/>
    <mergeCell ref="E74:G74"/>
    <mergeCell ref="B14:D14"/>
    <mergeCell ref="E14:E15"/>
    <mergeCell ref="B16:D16"/>
    <mergeCell ref="B66:C66"/>
    <mergeCell ref="B67:C67"/>
    <mergeCell ref="B68:C68"/>
    <mergeCell ref="B69:C69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4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27" t="s">
        <v>155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6"/>
      <c r="I17" s="57">
        <f t="shared" ref="I17:I64" si="1">SUM(E17:H17)</f>
        <v>0</v>
      </c>
      <c r="J17" s="58"/>
      <c r="K17" s="59">
        <f t="shared" ref="K17:K64" si="2">IF(M17&lt;6,5,M17)</f>
        <v>5</v>
      </c>
      <c r="L17" s="60"/>
      <c r="M17" s="61">
        <f t="shared" ref="M17:M64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6"/>
      <c r="I18" s="57">
        <f t="shared" si="1"/>
        <v>0</v>
      </c>
      <c r="J18" s="58"/>
      <c r="K18" s="59">
        <f t="shared" si="2"/>
        <v>5</v>
      </c>
      <c r="L18" s="52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6"/>
      <c r="F19" s="56"/>
      <c r="G19" s="55"/>
      <c r="H19" s="56"/>
      <c r="I19" s="57">
        <f t="shared" si="1"/>
        <v>0</v>
      </c>
      <c r="J19" s="58"/>
      <c r="K19" s="59">
        <f t="shared" si="2"/>
        <v>5</v>
      </c>
      <c r="L19" s="52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6"/>
      <c r="I20" s="57">
        <f t="shared" si="1"/>
        <v>0</v>
      </c>
      <c r="J20" s="58"/>
      <c r="K20" s="59">
        <f t="shared" si="2"/>
        <v>5</v>
      </c>
      <c r="L20" s="52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6"/>
      <c r="I21" s="57">
        <f t="shared" si="1"/>
        <v>0</v>
      </c>
      <c r="J21" s="58"/>
      <c r="K21" s="59">
        <f t="shared" si="2"/>
        <v>5</v>
      </c>
      <c r="L21" s="52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6"/>
      <c r="I22" s="57">
        <f t="shared" si="1"/>
        <v>0</v>
      </c>
      <c r="J22" s="58"/>
      <c r="K22" s="59">
        <f t="shared" si="2"/>
        <v>5</v>
      </c>
      <c r="L22" s="52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6"/>
      <c r="I23" s="57">
        <f t="shared" si="1"/>
        <v>0</v>
      </c>
      <c r="J23" s="58"/>
      <c r="K23" s="59">
        <f t="shared" si="2"/>
        <v>5</v>
      </c>
      <c r="L23" s="52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6"/>
      <c r="F24" s="56"/>
      <c r="G24" s="55"/>
      <c r="H24" s="56"/>
      <c r="I24" s="57">
        <f t="shared" si="1"/>
        <v>0</v>
      </c>
      <c r="J24" s="58"/>
      <c r="K24" s="59">
        <f t="shared" si="2"/>
        <v>5</v>
      </c>
      <c r="L24" s="52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6"/>
      <c r="I25" s="57">
        <f t="shared" si="1"/>
        <v>0</v>
      </c>
      <c r="J25" s="58"/>
      <c r="K25" s="59">
        <f t="shared" si="2"/>
        <v>5</v>
      </c>
      <c r="L25" s="52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6"/>
      <c r="F26" s="56"/>
      <c r="G26" s="55"/>
      <c r="H26" s="56"/>
      <c r="I26" s="57">
        <f t="shared" si="1"/>
        <v>0</v>
      </c>
      <c r="J26" s="58"/>
      <c r="K26" s="59">
        <f t="shared" si="2"/>
        <v>5</v>
      </c>
      <c r="L26" s="52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52</v>
      </c>
      <c r="C27" s="53" t="s">
        <v>53</v>
      </c>
      <c r="D27" s="54" t="s">
        <v>54</v>
      </c>
      <c r="E27" s="55"/>
      <c r="F27" s="55"/>
      <c r="G27" s="55"/>
      <c r="H27" s="56"/>
      <c r="I27" s="57">
        <f t="shared" si="1"/>
        <v>0</v>
      </c>
      <c r="J27" s="58"/>
      <c r="K27" s="59">
        <f t="shared" si="2"/>
        <v>5</v>
      </c>
      <c r="L27" s="52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44</v>
      </c>
      <c r="C28" s="53" t="s">
        <v>55</v>
      </c>
      <c r="D28" s="54" t="s">
        <v>56</v>
      </c>
      <c r="E28" s="55"/>
      <c r="F28" s="55"/>
      <c r="G28" s="55"/>
      <c r="H28" s="56"/>
      <c r="I28" s="57">
        <f t="shared" si="1"/>
        <v>0</v>
      </c>
      <c r="J28" s="58"/>
      <c r="K28" s="59">
        <f t="shared" si="2"/>
        <v>5</v>
      </c>
      <c r="L28" s="52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57</v>
      </c>
      <c r="C29" s="53" t="s">
        <v>58</v>
      </c>
      <c r="D29" s="54" t="s">
        <v>59</v>
      </c>
      <c r="E29" s="55"/>
      <c r="F29" s="55"/>
      <c r="G29" s="55"/>
      <c r="H29" s="56"/>
      <c r="I29" s="57">
        <f t="shared" si="1"/>
        <v>0</v>
      </c>
      <c r="J29" s="58"/>
      <c r="K29" s="59">
        <f t="shared" si="2"/>
        <v>5</v>
      </c>
      <c r="L29" s="52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35</v>
      </c>
      <c r="C30" s="53" t="s">
        <v>60</v>
      </c>
      <c r="D30" s="54" t="s">
        <v>61</v>
      </c>
      <c r="E30" s="56"/>
      <c r="F30" s="56"/>
      <c r="G30" s="55"/>
      <c r="H30" s="56"/>
      <c r="I30" s="57">
        <f t="shared" si="1"/>
        <v>0</v>
      </c>
      <c r="J30" s="58"/>
      <c r="K30" s="59">
        <f t="shared" si="2"/>
        <v>5</v>
      </c>
      <c r="L30" s="52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62</v>
      </c>
      <c r="C31" s="53" t="s">
        <v>32</v>
      </c>
      <c r="D31" s="54" t="s">
        <v>63</v>
      </c>
      <c r="E31" s="56"/>
      <c r="F31" s="56"/>
      <c r="G31" s="55"/>
      <c r="H31" s="56"/>
      <c r="I31" s="57">
        <f t="shared" si="1"/>
        <v>0</v>
      </c>
      <c r="J31" s="58"/>
      <c r="K31" s="59">
        <f t="shared" si="2"/>
        <v>5</v>
      </c>
      <c r="L31" s="52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64</v>
      </c>
      <c r="C32" s="53" t="s">
        <v>65</v>
      </c>
      <c r="D32" s="54" t="s">
        <v>66</v>
      </c>
      <c r="E32" s="55"/>
      <c r="F32" s="55"/>
      <c r="G32" s="55"/>
      <c r="H32" s="56"/>
      <c r="I32" s="57">
        <f t="shared" si="1"/>
        <v>0</v>
      </c>
      <c r="J32" s="58"/>
      <c r="K32" s="59">
        <f t="shared" si="2"/>
        <v>5</v>
      </c>
      <c r="L32" s="52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67</v>
      </c>
      <c r="C33" s="53" t="s">
        <v>67</v>
      </c>
      <c r="D33" s="54" t="s">
        <v>68</v>
      </c>
      <c r="E33" s="55"/>
      <c r="F33" s="55"/>
      <c r="G33" s="55"/>
      <c r="H33" s="56"/>
      <c r="I33" s="57">
        <f t="shared" si="1"/>
        <v>0</v>
      </c>
      <c r="J33" s="58"/>
      <c r="K33" s="59">
        <f t="shared" si="2"/>
        <v>5</v>
      </c>
      <c r="L33" s="52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69</v>
      </c>
      <c r="C34" s="53" t="s">
        <v>67</v>
      </c>
      <c r="D34" s="54" t="s">
        <v>70</v>
      </c>
      <c r="E34" s="56"/>
      <c r="F34" s="56"/>
      <c r="G34" s="55"/>
      <c r="H34" s="56"/>
      <c r="I34" s="57">
        <f t="shared" si="1"/>
        <v>0</v>
      </c>
      <c r="J34" s="58"/>
      <c r="K34" s="59">
        <f t="shared" si="2"/>
        <v>5</v>
      </c>
      <c r="L34" s="52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69</v>
      </c>
      <c r="C35" s="53" t="s">
        <v>71</v>
      </c>
      <c r="D35" s="54" t="s">
        <v>72</v>
      </c>
      <c r="E35" s="55"/>
      <c r="F35" s="55"/>
      <c r="G35" s="55"/>
      <c r="H35" s="56"/>
      <c r="I35" s="57">
        <f t="shared" si="1"/>
        <v>0</v>
      </c>
      <c r="J35" s="58"/>
      <c r="K35" s="59">
        <f t="shared" si="2"/>
        <v>5</v>
      </c>
      <c r="L35" s="52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73</v>
      </c>
      <c r="C36" s="53" t="s">
        <v>38</v>
      </c>
      <c r="D36" s="54" t="s">
        <v>74</v>
      </c>
      <c r="E36" s="55"/>
      <c r="F36" s="55"/>
      <c r="G36" s="55"/>
      <c r="H36" s="56"/>
      <c r="I36" s="57">
        <f t="shared" si="1"/>
        <v>0</v>
      </c>
      <c r="J36" s="58"/>
      <c r="K36" s="59">
        <f t="shared" si="2"/>
        <v>5</v>
      </c>
      <c r="L36" s="52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75</v>
      </c>
      <c r="C37" s="53" t="s">
        <v>76</v>
      </c>
      <c r="D37" s="54" t="s">
        <v>77</v>
      </c>
      <c r="E37" s="56"/>
      <c r="F37" s="56"/>
      <c r="G37" s="55"/>
      <c r="H37" s="56"/>
      <c r="I37" s="57">
        <f t="shared" si="1"/>
        <v>0</v>
      </c>
      <c r="J37" s="58"/>
      <c r="K37" s="59">
        <f t="shared" si="2"/>
        <v>5</v>
      </c>
      <c r="L37" s="52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47</v>
      </c>
      <c r="C38" s="53" t="s">
        <v>62</v>
      </c>
      <c r="D38" s="54" t="s">
        <v>78</v>
      </c>
      <c r="E38" s="55"/>
      <c r="F38" s="55"/>
      <c r="G38" s="55"/>
      <c r="H38" s="56"/>
      <c r="I38" s="57">
        <f t="shared" si="1"/>
        <v>0</v>
      </c>
      <c r="J38" s="58"/>
      <c r="K38" s="59">
        <f t="shared" si="2"/>
        <v>5</v>
      </c>
      <c r="L38" s="52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79</v>
      </c>
      <c r="C39" s="53" t="s">
        <v>80</v>
      </c>
      <c r="D39" s="54" t="s">
        <v>81</v>
      </c>
      <c r="E39" s="55"/>
      <c r="F39" s="55"/>
      <c r="G39" s="55"/>
      <c r="H39" s="56"/>
      <c r="I39" s="57">
        <f t="shared" si="1"/>
        <v>0</v>
      </c>
      <c r="J39" s="58"/>
      <c r="K39" s="59">
        <f t="shared" si="2"/>
        <v>5</v>
      </c>
      <c r="L39" s="52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79</v>
      </c>
      <c r="C40" s="53" t="s">
        <v>82</v>
      </c>
      <c r="D40" s="54" t="s">
        <v>83</v>
      </c>
      <c r="E40" s="55"/>
      <c r="F40" s="55"/>
      <c r="G40" s="55"/>
      <c r="H40" s="56"/>
      <c r="I40" s="57">
        <f t="shared" si="1"/>
        <v>0</v>
      </c>
      <c r="J40" s="58"/>
      <c r="K40" s="59">
        <f t="shared" si="2"/>
        <v>5</v>
      </c>
      <c r="L40" s="52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32</v>
      </c>
      <c r="C41" s="53" t="s">
        <v>84</v>
      </c>
      <c r="D41" s="54" t="s">
        <v>85</v>
      </c>
      <c r="E41" s="55"/>
      <c r="F41" s="55"/>
      <c r="G41" s="55"/>
      <c r="H41" s="56"/>
      <c r="I41" s="57">
        <f t="shared" si="1"/>
        <v>0</v>
      </c>
      <c r="J41" s="58"/>
      <c r="K41" s="59">
        <f t="shared" si="2"/>
        <v>5</v>
      </c>
      <c r="L41" s="52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86</v>
      </c>
      <c r="C42" s="53" t="s">
        <v>62</v>
      </c>
      <c r="D42" s="54" t="s">
        <v>87</v>
      </c>
      <c r="E42" s="55"/>
      <c r="F42" s="55"/>
      <c r="G42" s="55"/>
      <c r="H42" s="56"/>
      <c r="I42" s="57">
        <f t="shared" si="1"/>
        <v>0</v>
      </c>
      <c r="J42" s="58"/>
      <c r="K42" s="59">
        <f t="shared" si="2"/>
        <v>5</v>
      </c>
      <c r="L42" s="52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88</v>
      </c>
      <c r="C43" s="53" t="s">
        <v>29</v>
      </c>
      <c r="D43" s="54" t="s">
        <v>89</v>
      </c>
      <c r="E43" s="55"/>
      <c r="F43" s="55"/>
      <c r="G43" s="55"/>
      <c r="H43" s="56"/>
      <c r="I43" s="57">
        <f t="shared" si="1"/>
        <v>0</v>
      </c>
      <c r="J43" s="58"/>
      <c r="K43" s="59">
        <f t="shared" si="2"/>
        <v>5</v>
      </c>
      <c r="L43" s="52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90</v>
      </c>
      <c r="C44" s="53" t="s">
        <v>91</v>
      </c>
      <c r="D44" s="54" t="s">
        <v>92</v>
      </c>
      <c r="E44" s="55"/>
      <c r="F44" s="55"/>
      <c r="G44" s="55"/>
      <c r="H44" s="56"/>
      <c r="I44" s="57">
        <f t="shared" si="1"/>
        <v>0</v>
      </c>
      <c r="J44" s="58"/>
      <c r="K44" s="59">
        <f t="shared" si="2"/>
        <v>5</v>
      </c>
      <c r="L44" s="52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93</v>
      </c>
      <c r="C45" s="53" t="s">
        <v>94</v>
      </c>
      <c r="D45" s="54" t="s">
        <v>95</v>
      </c>
      <c r="E45" s="55"/>
      <c r="F45" s="55"/>
      <c r="G45" s="55"/>
      <c r="H45" s="56"/>
      <c r="I45" s="57">
        <f t="shared" si="1"/>
        <v>0</v>
      </c>
      <c r="J45" s="58"/>
      <c r="K45" s="59">
        <f t="shared" si="2"/>
        <v>5</v>
      </c>
      <c r="L45" s="52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96</v>
      </c>
      <c r="C46" s="53" t="s">
        <v>97</v>
      </c>
      <c r="D46" s="54" t="s">
        <v>98</v>
      </c>
      <c r="E46" s="55"/>
      <c r="F46" s="55"/>
      <c r="G46" s="55"/>
      <c r="H46" s="56"/>
      <c r="I46" s="57">
        <f t="shared" si="1"/>
        <v>0</v>
      </c>
      <c r="J46" s="58"/>
      <c r="K46" s="59">
        <f t="shared" si="2"/>
        <v>5</v>
      </c>
      <c r="L46" s="52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99</v>
      </c>
      <c r="C47" s="53" t="s">
        <v>100</v>
      </c>
      <c r="D47" s="54" t="s">
        <v>101</v>
      </c>
      <c r="E47" s="55"/>
      <c r="F47" s="55"/>
      <c r="G47" s="55"/>
      <c r="H47" s="56"/>
      <c r="I47" s="57">
        <f t="shared" si="1"/>
        <v>0</v>
      </c>
      <c r="J47" s="58"/>
      <c r="K47" s="59">
        <f t="shared" si="2"/>
        <v>5</v>
      </c>
      <c r="L47" s="52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102</v>
      </c>
      <c r="C48" s="53" t="s">
        <v>103</v>
      </c>
      <c r="D48" s="54" t="s">
        <v>104</v>
      </c>
      <c r="E48" s="55"/>
      <c r="F48" s="55"/>
      <c r="G48" s="55"/>
      <c r="H48" s="56"/>
      <c r="I48" s="57">
        <f t="shared" si="1"/>
        <v>0</v>
      </c>
      <c r="J48" s="58"/>
      <c r="K48" s="59">
        <f t="shared" si="2"/>
        <v>5</v>
      </c>
      <c r="L48" s="52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105</v>
      </c>
      <c r="C49" s="53" t="s">
        <v>22</v>
      </c>
      <c r="D49" s="54" t="s">
        <v>106</v>
      </c>
      <c r="E49" s="55"/>
      <c r="F49" s="55"/>
      <c r="G49" s="55"/>
      <c r="H49" s="56"/>
      <c r="I49" s="57">
        <f t="shared" si="1"/>
        <v>0</v>
      </c>
      <c r="J49" s="58"/>
      <c r="K49" s="59">
        <f t="shared" si="2"/>
        <v>5</v>
      </c>
      <c r="L49" s="52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23</v>
      </c>
      <c r="C50" s="53" t="s">
        <v>107</v>
      </c>
      <c r="D50" s="54" t="s">
        <v>108</v>
      </c>
      <c r="E50" s="55"/>
      <c r="F50" s="55"/>
      <c r="G50" s="55"/>
      <c r="H50" s="56"/>
      <c r="I50" s="57">
        <f t="shared" si="1"/>
        <v>0</v>
      </c>
      <c r="J50" s="58"/>
      <c r="K50" s="59">
        <f t="shared" si="2"/>
        <v>5</v>
      </c>
      <c r="L50" s="52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23</v>
      </c>
      <c r="C51" s="53" t="s">
        <v>109</v>
      </c>
      <c r="D51" s="54" t="s">
        <v>110</v>
      </c>
      <c r="E51" s="55"/>
      <c r="F51" s="55"/>
      <c r="G51" s="55"/>
      <c r="H51" s="56"/>
      <c r="I51" s="57">
        <f t="shared" si="1"/>
        <v>0</v>
      </c>
      <c r="J51" s="58"/>
      <c r="K51" s="59">
        <f t="shared" si="2"/>
        <v>5</v>
      </c>
      <c r="L51" s="52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111</v>
      </c>
      <c r="C52" s="53" t="s">
        <v>62</v>
      </c>
      <c r="D52" s="54" t="s">
        <v>112</v>
      </c>
      <c r="E52" s="55"/>
      <c r="F52" s="55"/>
      <c r="G52" s="55"/>
      <c r="H52" s="56"/>
      <c r="I52" s="57">
        <f t="shared" si="1"/>
        <v>0</v>
      </c>
      <c r="J52" s="58"/>
      <c r="K52" s="59">
        <f t="shared" si="2"/>
        <v>5</v>
      </c>
      <c r="L52" s="52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111</v>
      </c>
      <c r="C53" s="53" t="s">
        <v>73</v>
      </c>
      <c r="D53" s="54" t="s">
        <v>113</v>
      </c>
      <c r="E53" s="55"/>
      <c r="F53" s="55"/>
      <c r="G53" s="55"/>
      <c r="H53" s="56"/>
      <c r="I53" s="57">
        <f t="shared" si="1"/>
        <v>0</v>
      </c>
      <c r="J53" s="58"/>
      <c r="K53" s="59">
        <f t="shared" si="2"/>
        <v>5</v>
      </c>
      <c r="L53" s="52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114</v>
      </c>
      <c r="C54" s="53" t="s">
        <v>69</v>
      </c>
      <c r="D54" s="54" t="s">
        <v>115</v>
      </c>
      <c r="E54" s="55"/>
      <c r="F54" s="55"/>
      <c r="G54" s="55"/>
      <c r="H54" s="56"/>
      <c r="I54" s="57">
        <f t="shared" si="1"/>
        <v>0</v>
      </c>
      <c r="J54" s="58"/>
      <c r="K54" s="59">
        <f t="shared" si="2"/>
        <v>5</v>
      </c>
      <c r="L54" s="52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116</v>
      </c>
      <c r="C55" s="53" t="s">
        <v>117</v>
      </c>
      <c r="D55" s="54" t="s">
        <v>118</v>
      </c>
      <c r="E55" s="55"/>
      <c r="F55" s="55"/>
      <c r="G55" s="55"/>
      <c r="H55" s="56"/>
      <c r="I55" s="57">
        <f t="shared" si="1"/>
        <v>0</v>
      </c>
      <c r="J55" s="62"/>
      <c r="K55" s="59">
        <f t="shared" si="2"/>
        <v>5</v>
      </c>
      <c r="L55" s="52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119</v>
      </c>
      <c r="C56" s="53" t="s">
        <v>120</v>
      </c>
      <c r="D56" s="54" t="s">
        <v>121</v>
      </c>
      <c r="E56" s="55"/>
      <c r="F56" s="55"/>
      <c r="G56" s="55"/>
      <c r="H56" s="56"/>
      <c r="I56" s="57">
        <f t="shared" si="1"/>
        <v>0</v>
      </c>
      <c r="J56" s="62"/>
      <c r="K56" s="59">
        <f t="shared" si="2"/>
        <v>5</v>
      </c>
      <c r="L56" s="52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122</v>
      </c>
      <c r="C57" s="53" t="s">
        <v>123</v>
      </c>
      <c r="D57" s="54" t="s">
        <v>124</v>
      </c>
      <c r="E57" s="55"/>
      <c r="F57" s="55"/>
      <c r="G57" s="55"/>
      <c r="H57" s="56"/>
      <c r="I57" s="57">
        <f t="shared" si="1"/>
        <v>0</v>
      </c>
      <c r="J57" s="62"/>
      <c r="K57" s="59">
        <f t="shared" si="2"/>
        <v>5</v>
      </c>
      <c r="L57" s="52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2">
        <v>42.0</v>
      </c>
      <c r="B58" s="53" t="s">
        <v>123</v>
      </c>
      <c r="C58" s="53" t="s">
        <v>90</v>
      </c>
      <c r="D58" s="54" t="s">
        <v>125</v>
      </c>
      <c r="E58" s="55"/>
      <c r="F58" s="55"/>
      <c r="G58" s="55"/>
      <c r="H58" s="56"/>
      <c r="I58" s="57">
        <f t="shared" si="1"/>
        <v>0</v>
      </c>
      <c r="J58" s="62"/>
      <c r="K58" s="59">
        <f t="shared" si="2"/>
        <v>5</v>
      </c>
      <c r="L58" s="52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2">
        <v>43.0</v>
      </c>
      <c r="B59" s="53" t="s">
        <v>97</v>
      </c>
      <c r="C59" s="53" t="s">
        <v>126</v>
      </c>
      <c r="D59" s="54" t="s">
        <v>127</v>
      </c>
      <c r="E59" s="55"/>
      <c r="F59" s="55"/>
      <c r="G59" s="55"/>
      <c r="H59" s="56"/>
      <c r="I59" s="57">
        <f t="shared" si="1"/>
        <v>0</v>
      </c>
      <c r="J59" s="62"/>
      <c r="K59" s="59">
        <f t="shared" si="2"/>
        <v>5</v>
      </c>
      <c r="L59" s="52"/>
      <c r="M59" s="60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2">
        <v>44.0</v>
      </c>
      <c r="B60" s="53" t="s">
        <v>128</v>
      </c>
      <c r="C60" s="53" t="s">
        <v>124</v>
      </c>
      <c r="D60" s="54" t="s">
        <v>129</v>
      </c>
      <c r="E60" s="55"/>
      <c r="F60" s="55"/>
      <c r="G60" s="55"/>
      <c r="H60" s="56"/>
      <c r="I60" s="57">
        <f t="shared" si="1"/>
        <v>0</v>
      </c>
      <c r="J60" s="62"/>
      <c r="K60" s="59">
        <f t="shared" si="2"/>
        <v>5</v>
      </c>
      <c r="L60" s="52"/>
      <c r="M60" s="60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2">
        <v>45.0</v>
      </c>
      <c r="B61" s="53" t="s">
        <v>130</v>
      </c>
      <c r="C61" s="53" t="s">
        <v>131</v>
      </c>
      <c r="D61" s="54" t="s">
        <v>132</v>
      </c>
      <c r="E61" s="55"/>
      <c r="F61" s="55"/>
      <c r="G61" s="55"/>
      <c r="H61" s="56"/>
      <c r="I61" s="57">
        <f t="shared" si="1"/>
        <v>0</v>
      </c>
      <c r="J61" s="62"/>
      <c r="K61" s="59">
        <f t="shared" si="2"/>
        <v>5</v>
      </c>
      <c r="L61" s="52"/>
      <c r="M61" s="60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2">
        <v>46.0</v>
      </c>
      <c r="B62" s="53" t="s">
        <v>133</v>
      </c>
      <c r="C62" s="53" t="s">
        <v>67</v>
      </c>
      <c r="D62" s="54" t="s">
        <v>134</v>
      </c>
      <c r="E62" s="55"/>
      <c r="F62" s="55"/>
      <c r="G62" s="55"/>
      <c r="H62" s="56"/>
      <c r="I62" s="57">
        <f t="shared" si="1"/>
        <v>0</v>
      </c>
      <c r="J62" s="62"/>
      <c r="K62" s="59">
        <f t="shared" si="2"/>
        <v>5</v>
      </c>
      <c r="L62" s="52"/>
      <c r="M62" s="60">
        <f t="shared" si="3"/>
        <v>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2">
        <v>47.0</v>
      </c>
      <c r="B63" s="53" t="s">
        <v>135</v>
      </c>
      <c r="C63" s="53" t="s">
        <v>136</v>
      </c>
      <c r="D63" s="54" t="s">
        <v>137</v>
      </c>
      <c r="E63" s="55"/>
      <c r="F63" s="55"/>
      <c r="G63" s="55"/>
      <c r="H63" s="56"/>
      <c r="I63" s="57">
        <f t="shared" si="1"/>
        <v>0</v>
      </c>
      <c r="J63" s="62"/>
      <c r="K63" s="59">
        <f t="shared" si="2"/>
        <v>5</v>
      </c>
      <c r="L63" s="52"/>
      <c r="M63" s="60">
        <f t="shared" si="3"/>
        <v>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2">
        <v>48.0</v>
      </c>
      <c r="B64" s="53" t="s">
        <v>138</v>
      </c>
      <c r="C64" s="53" t="s">
        <v>67</v>
      </c>
      <c r="D64" s="54" t="s">
        <v>139</v>
      </c>
      <c r="E64" s="55"/>
      <c r="F64" s="55"/>
      <c r="G64" s="55"/>
      <c r="H64" s="56"/>
      <c r="I64" s="57">
        <f t="shared" si="1"/>
        <v>0</v>
      </c>
      <c r="J64" s="62"/>
      <c r="K64" s="59">
        <f t="shared" si="2"/>
        <v>5</v>
      </c>
      <c r="L64" s="52"/>
      <c r="M64" s="60">
        <f t="shared" si="3"/>
        <v>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6"/>
      <c r="B65" s="63"/>
      <c r="C65" s="63"/>
      <c r="D65" s="63"/>
      <c r="E65" s="64"/>
      <c r="F65" s="64"/>
      <c r="G65" s="63"/>
      <c r="H65" s="63"/>
      <c r="I65" s="63"/>
      <c r="J65" s="63"/>
      <c r="K65" s="1"/>
      <c r="L65" s="8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65" t="s">
        <v>140</v>
      </c>
      <c r="C66" s="66"/>
      <c r="D66" s="67">
        <f>COUNT(A17:A64)</f>
        <v>48</v>
      </c>
      <c r="E66" s="63"/>
      <c r="F66" s="63"/>
      <c r="G66" s="68" t="s">
        <v>141</v>
      </c>
      <c r="H66" s="68"/>
      <c r="I66" s="68" t="s">
        <v>142</v>
      </c>
      <c r="K66" s="69" t="s">
        <v>143</v>
      </c>
      <c r="L66" s="70" t="s">
        <v>144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1" t="s">
        <v>145</v>
      </c>
      <c r="C67" s="72"/>
      <c r="D67" s="73">
        <f>COUNTIF(K17:K64,"BAJA")</f>
        <v>0</v>
      </c>
      <c r="E67" s="63"/>
      <c r="F67" s="63"/>
      <c r="H67" s="68"/>
      <c r="L67" s="10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1" t="s">
        <v>146</v>
      </c>
      <c r="C68" s="72"/>
      <c r="D68" s="74">
        <f>D66-D67</f>
        <v>48</v>
      </c>
      <c r="E68" s="63"/>
      <c r="F68" s="63"/>
      <c r="G68" s="75"/>
      <c r="H68" s="76"/>
      <c r="I68" s="75"/>
      <c r="J68" s="75"/>
      <c r="K68" s="77"/>
      <c r="L68" s="7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B69" s="71" t="s">
        <v>147</v>
      </c>
      <c r="C69" s="72"/>
      <c r="D69" s="79">
        <f>COUNTIF(K17:K64,"&gt;=6")</f>
        <v>0</v>
      </c>
      <c r="E69" s="63"/>
      <c r="F69" s="63"/>
      <c r="G69" s="75"/>
      <c r="H69" s="76"/>
      <c r="I69" s="75"/>
      <c r="J69" s="75"/>
      <c r="K69" s="77"/>
      <c r="L69" s="78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B70" s="71" t="s">
        <v>148</v>
      </c>
      <c r="C70" s="72"/>
      <c r="D70" s="79">
        <f>D68-D69</f>
        <v>48</v>
      </c>
      <c r="E70" s="63"/>
      <c r="F70" s="63"/>
      <c r="G70" s="80"/>
      <c r="H70" s="76"/>
      <c r="I70" s="80"/>
      <c r="J70" s="80"/>
      <c r="K70" s="81"/>
      <c r="L70" s="8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B71" s="71" t="s">
        <v>149</v>
      </c>
      <c r="C71" s="72"/>
      <c r="D71" s="83">
        <f>D69*100/D68</f>
        <v>0</v>
      </c>
      <c r="E71" s="63"/>
      <c r="F71" s="63"/>
      <c r="G71" s="84" t="s">
        <v>150</v>
      </c>
      <c r="H71" s="85"/>
      <c r="I71" s="86" t="s">
        <v>151</v>
      </c>
      <c r="K71" s="86" t="s">
        <v>152</v>
      </c>
      <c r="L71" s="87" t="s">
        <v>153</v>
      </c>
      <c r="M71" s="88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B72" s="89" t="s">
        <v>154</v>
      </c>
      <c r="C72" s="90"/>
      <c r="D72" s="91">
        <f>AVERAGE(K17:K64)</f>
        <v>5</v>
      </c>
      <c r="E72" s="63"/>
      <c r="F72" s="63"/>
      <c r="H72" s="85"/>
      <c r="L72" s="1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6"/>
      <c r="B73" s="1"/>
      <c r="C73" s="1"/>
      <c r="D73" s="1"/>
      <c r="E73" s="1"/>
      <c r="F73" s="1"/>
      <c r="G73" s="1"/>
      <c r="H73" s="1"/>
      <c r="I73" s="1"/>
      <c r="J73" s="1"/>
      <c r="K73" s="1"/>
      <c r="L73" s="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2"/>
      <c r="B74" s="93"/>
      <c r="C74" s="94"/>
      <c r="D74" s="94"/>
      <c r="E74" s="63"/>
      <c r="H74" s="7"/>
      <c r="I74" s="7"/>
      <c r="J74" s="7"/>
      <c r="K74" s="7"/>
      <c r="L74" s="95"/>
      <c r="M74" s="9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97"/>
      <c r="B75" s="63"/>
      <c r="C75" s="63"/>
      <c r="D75" s="63"/>
      <c r="E75" s="7"/>
      <c r="F75" s="7"/>
      <c r="G75" s="1"/>
      <c r="H75" s="1"/>
      <c r="I75" s="1"/>
      <c r="J75" s="1"/>
      <c r="K75" s="1"/>
      <c r="L75" s="8"/>
      <c r="M75" s="98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97"/>
      <c r="B76" s="63"/>
      <c r="C76" s="63"/>
      <c r="D76" s="63"/>
      <c r="E76" s="7"/>
      <c r="F76" s="7"/>
      <c r="G76" s="1"/>
      <c r="H76" s="1"/>
      <c r="I76" s="1"/>
      <c r="J76" s="1"/>
      <c r="K76" s="1"/>
      <c r="L76" s="8"/>
      <c r="M76" s="98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99"/>
      <c r="B77" s="100"/>
      <c r="C77" s="100"/>
      <c r="D77" s="100"/>
      <c r="E77" s="101"/>
      <c r="F77" s="101"/>
      <c r="G77" s="102"/>
      <c r="H77" s="102"/>
      <c r="I77" s="102"/>
      <c r="J77" s="102"/>
      <c r="K77" s="102"/>
      <c r="L77" s="103"/>
      <c r="M77" s="98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4"/>
      <c r="C78" s="104"/>
      <c r="D78" s="104"/>
      <c r="E78" s="104"/>
      <c r="F78" s="104"/>
      <c r="G78" s="1"/>
      <c r="H78" s="1"/>
      <c r="I78" s="1"/>
      <c r="J78" s="1"/>
      <c r="K78" s="105"/>
      <c r="L78" s="105"/>
      <c r="M78" s="10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4"/>
      <c r="C79" s="104"/>
      <c r="D79" s="104"/>
      <c r="E79" s="104"/>
      <c r="F79" s="104"/>
      <c r="G79" s="1"/>
      <c r="H79" s="1"/>
      <c r="I79" s="1"/>
      <c r="J79" s="1"/>
      <c r="K79" s="105"/>
      <c r="L79" s="105"/>
      <c r="M79" s="10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4"/>
      <c r="C80" s="104"/>
      <c r="D80" s="104"/>
      <c r="E80" s="104"/>
      <c r="F80" s="104"/>
      <c r="G80" s="1"/>
      <c r="H80" s="1"/>
      <c r="I80" s="1"/>
      <c r="J80" s="1"/>
      <c r="K80" s="105"/>
      <c r="L80" s="105"/>
      <c r="M80" s="10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4"/>
      <c r="C81" s="104"/>
      <c r="D81" s="104"/>
      <c r="E81" s="104"/>
      <c r="F81" s="104"/>
      <c r="G81" s="1"/>
      <c r="H81" s="1"/>
      <c r="I81" s="1"/>
      <c r="J81" s="1"/>
      <c r="K81" s="105"/>
      <c r="L81" s="105"/>
      <c r="M81" s="105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4"/>
      <c r="C82" s="104"/>
      <c r="D82" s="104"/>
      <c r="E82" s="104"/>
      <c r="F82" s="10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4"/>
      <c r="C83" s="104"/>
      <c r="D83" s="104"/>
      <c r="E83" s="104"/>
      <c r="F83" s="104"/>
      <c r="G83" s="1"/>
      <c r="H83" s="1"/>
      <c r="I83" s="1"/>
      <c r="J83" s="1"/>
      <c r="K83" s="1"/>
      <c r="L83" s="106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4"/>
      <c r="C84" s="104"/>
      <c r="D84" s="104"/>
      <c r="E84" s="104"/>
      <c r="F84" s="10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4"/>
      <c r="C85" s="104"/>
      <c r="D85" s="104"/>
      <c r="E85" s="104"/>
      <c r="F85" s="10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4"/>
      <c r="C86" s="104"/>
      <c r="D86" s="104"/>
      <c r="E86" s="104"/>
      <c r="F86" s="10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4"/>
      <c r="C87" s="104"/>
      <c r="D87" s="104"/>
      <c r="E87" s="104"/>
      <c r="F87" s="10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4"/>
      <c r="C88" s="104"/>
      <c r="D88" s="104"/>
      <c r="E88" s="104"/>
      <c r="F88" s="10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04"/>
      <c r="C89" s="104"/>
      <c r="D89" s="104"/>
      <c r="E89" s="104"/>
      <c r="F89" s="10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29">
    <mergeCell ref="F14:F15"/>
    <mergeCell ref="G14:G15"/>
    <mergeCell ref="G66:G67"/>
    <mergeCell ref="I66:J67"/>
    <mergeCell ref="K66:K67"/>
    <mergeCell ref="L66:L67"/>
    <mergeCell ref="A9:L9"/>
    <mergeCell ref="E10:L10"/>
    <mergeCell ref="A13:B13"/>
    <mergeCell ref="C13:D13"/>
    <mergeCell ref="H13:H15"/>
    <mergeCell ref="I13:I14"/>
    <mergeCell ref="J13:L14"/>
    <mergeCell ref="J15:L15"/>
    <mergeCell ref="B70:C70"/>
    <mergeCell ref="B71:C71"/>
    <mergeCell ref="G71:G72"/>
    <mergeCell ref="I71:J72"/>
    <mergeCell ref="K71:K72"/>
    <mergeCell ref="L71:L72"/>
    <mergeCell ref="B72:C72"/>
    <mergeCell ref="E74:G74"/>
    <mergeCell ref="B14:D14"/>
    <mergeCell ref="E14:E15"/>
    <mergeCell ref="B16:D16"/>
    <mergeCell ref="B66:C66"/>
    <mergeCell ref="B67:C67"/>
    <mergeCell ref="B68:C68"/>
    <mergeCell ref="B69:C69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4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27" t="s">
        <v>156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6"/>
      <c r="I17" s="57">
        <f t="shared" ref="I17:I64" si="1">SUM(E17:H17)</f>
        <v>0</v>
      </c>
      <c r="J17" s="58"/>
      <c r="K17" s="59">
        <f t="shared" ref="K17:K64" si="2">IF(M17&lt;6,5,M17)</f>
        <v>5</v>
      </c>
      <c r="L17" s="60"/>
      <c r="M17" s="61">
        <f t="shared" ref="M17:M64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6"/>
      <c r="I18" s="57">
        <f t="shared" si="1"/>
        <v>0</v>
      </c>
      <c r="J18" s="58"/>
      <c r="K18" s="59">
        <f t="shared" si="2"/>
        <v>5</v>
      </c>
      <c r="L18" s="52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6"/>
      <c r="F19" s="56"/>
      <c r="G19" s="55"/>
      <c r="H19" s="56"/>
      <c r="I19" s="57">
        <f t="shared" si="1"/>
        <v>0</v>
      </c>
      <c r="J19" s="58"/>
      <c r="K19" s="59">
        <f t="shared" si="2"/>
        <v>5</v>
      </c>
      <c r="L19" s="52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6"/>
      <c r="I20" s="57">
        <f t="shared" si="1"/>
        <v>0</v>
      </c>
      <c r="J20" s="58"/>
      <c r="K20" s="59">
        <f t="shared" si="2"/>
        <v>5</v>
      </c>
      <c r="L20" s="52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6"/>
      <c r="I21" s="57">
        <f t="shared" si="1"/>
        <v>0</v>
      </c>
      <c r="J21" s="58"/>
      <c r="K21" s="59">
        <f t="shared" si="2"/>
        <v>5</v>
      </c>
      <c r="L21" s="52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6"/>
      <c r="I22" s="57">
        <f t="shared" si="1"/>
        <v>0</v>
      </c>
      <c r="J22" s="58"/>
      <c r="K22" s="59">
        <f t="shared" si="2"/>
        <v>5</v>
      </c>
      <c r="L22" s="52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6"/>
      <c r="I23" s="57">
        <f t="shared" si="1"/>
        <v>0</v>
      </c>
      <c r="J23" s="58"/>
      <c r="K23" s="59">
        <f t="shared" si="2"/>
        <v>5</v>
      </c>
      <c r="L23" s="52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6"/>
      <c r="F24" s="56"/>
      <c r="G24" s="55"/>
      <c r="H24" s="56"/>
      <c r="I24" s="57">
        <f t="shared" si="1"/>
        <v>0</v>
      </c>
      <c r="J24" s="58"/>
      <c r="K24" s="59">
        <f t="shared" si="2"/>
        <v>5</v>
      </c>
      <c r="L24" s="52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6"/>
      <c r="I25" s="57">
        <f t="shared" si="1"/>
        <v>0</v>
      </c>
      <c r="J25" s="58"/>
      <c r="K25" s="59">
        <f t="shared" si="2"/>
        <v>5</v>
      </c>
      <c r="L25" s="52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6"/>
      <c r="F26" s="56"/>
      <c r="G26" s="55"/>
      <c r="H26" s="56"/>
      <c r="I26" s="57">
        <f t="shared" si="1"/>
        <v>0</v>
      </c>
      <c r="J26" s="58"/>
      <c r="K26" s="59">
        <f t="shared" si="2"/>
        <v>5</v>
      </c>
      <c r="L26" s="52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52</v>
      </c>
      <c r="C27" s="53" t="s">
        <v>53</v>
      </c>
      <c r="D27" s="54" t="s">
        <v>54</v>
      </c>
      <c r="E27" s="55"/>
      <c r="F27" s="55"/>
      <c r="G27" s="55"/>
      <c r="H27" s="56"/>
      <c r="I27" s="57">
        <f t="shared" si="1"/>
        <v>0</v>
      </c>
      <c r="J27" s="58"/>
      <c r="K27" s="59">
        <f t="shared" si="2"/>
        <v>5</v>
      </c>
      <c r="L27" s="52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44</v>
      </c>
      <c r="C28" s="53" t="s">
        <v>55</v>
      </c>
      <c r="D28" s="54" t="s">
        <v>56</v>
      </c>
      <c r="E28" s="55"/>
      <c r="F28" s="55"/>
      <c r="G28" s="55"/>
      <c r="H28" s="56"/>
      <c r="I28" s="57">
        <f t="shared" si="1"/>
        <v>0</v>
      </c>
      <c r="J28" s="58"/>
      <c r="K28" s="59">
        <f t="shared" si="2"/>
        <v>5</v>
      </c>
      <c r="L28" s="52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57</v>
      </c>
      <c r="C29" s="53" t="s">
        <v>58</v>
      </c>
      <c r="D29" s="54" t="s">
        <v>59</v>
      </c>
      <c r="E29" s="55"/>
      <c r="F29" s="55"/>
      <c r="G29" s="55"/>
      <c r="H29" s="56"/>
      <c r="I29" s="57">
        <f t="shared" si="1"/>
        <v>0</v>
      </c>
      <c r="J29" s="58"/>
      <c r="K29" s="59">
        <f t="shared" si="2"/>
        <v>5</v>
      </c>
      <c r="L29" s="52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35</v>
      </c>
      <c r="C30" s="53" t="s">
        <v>60</v>
      </c>
      <c r="D30" s="54" t="s">
        <v>61</v>
      </c>
      <c r="E30" s="56"/>
      <c r="F30" s="56"/>
      <c r="G30" s="55"/>
      <c r="H30" s="56"/>
      <c r="I30" s="57">
        <f t="shared" si="1"/>
        <v>0</v>
      </c>
      <c r="J30" s="58"/>
      <c r="K30" s="59">
        <f t="shared" si="2"/>
        <v>5</v>
      </c>
      <c r="L30" s="52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62</v>
      </c>
      <c r="C31" s="53" t="s">
        <v>32</v>
      </c>
      <c r="D31" s="54" t="s">
        <v>63</v>
      </c>
      <c r="E31" s="56"/>
      <c r="F31" s="56"/>
      <c r="G31" s="55"/>
      <c r="H31" s="56"/>
      <c r="I31" s="57">
        <f t="shared" si="1"/>
        <v>0</v>
      </c>
      <c r="J31" s="58"/>
      <c r="K31" s="59">
        <f t="shared" si="2"/>
        <v>5</v>
      </c>
      <c r="L31" s="52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64</v>
      </c>
      <c r="C32" s="53" t="s">
        <v>65</v>
      </c>
      <c r="D32" s="54" t="s">
        <v>66</v>
      </c>
      <c r="E32" s="55"/>
      <c r="F32" s="55"/>
      <c r="G32" s="55"/>
      <c r="H32" s="56"/>
      <c r="I32" s="57">
        <f t="shared" si="1"/>
        <v>0</v>
      </c>
      <c r="J32" s="58"/>
      <c r="K32" s="59">
        <f t="shared" si="2"/>
        <v>5</v>
      </c>
      <c r="L32" s="52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67</v>
      </c>
      <c r="C33" s="53" t="s">
        <v>67</v>
      </c>
      <c r="D33" s="54" t="s">
        <v>68</v>
      </c>
      <c r="E33" s="55"/>
      <c r="F33" s="55"/>
      <c r="G33" s="55"/>
      <c r="H33" s="56"/>
      <c r="I33" s="57">
        <f t="shared" si="1"/>
        <v>0</v>
      </c>
      <c r="J33" s="58"/>
      <c r="K33" s="59">
        <f t="shared" si="2"/>
        <v>5</v>
      </c>
      <c r="L33" s="52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69</v>
      </c>
      <c r="C34" s="53" t="s">
        <v>67</v>
      </c>
      <c r="D34" s="54" t="s">
        <v>70</v>
      </c>
      <c r="E34" s="56"/>
      <c r="F34" s="56"/>
      <c r="G34" s="55"/>
      <c r="H34" s="56"/>
      <c r="I34" s="57">
        <f t="shared" si="1"/>
        <v>0</v>
      </c>
      <c r="J34" s="58"/>
      <c r="K34" s="59">
        <f t="shared" si="2"/>
        <v>5</v>
      </c>
      <c r="L34" s="52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69</v>
      </c>
      <c r="C35" s="53" t="s">
        <v>71</v>
      </c>
      <c r="D35" s="54" t="s">
        <v>72</v>
      </c>
      <c r="E35" s="55"/>
      <c r="F35" s="55"/>
      <c r="G35" s="55"/>
      <c r="H35" s="56"/>
      <c r="I35" s="57">
        <f t="shared" si="1"/>
        <v>0</v>
      </c>
      <c r="J35" s="58"/>
      <c r="K35" s="59">
        <f t="shared" si="2"/>
        <v>5</v>
      </c>
      <c r="L35" s="52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73</v>
      </c>
      <c r="C36" s="53" t="s">
        <v>38</v>
      </c>
      <c r="D36" s="54" t="s">
        <v>74</v>
      </c>
      <c r="E36" s="55"/>
      <c r="F36" s="55"/>
      <c r="G36" s="55"/>
      <c r="H36" s="56"/>
      <c r="I36" s="57">
        <f t="shared" si="1"/>
        <v>0</v>
      </c>
      <c r="J36" s="58"/>
      <c r="K36" s="59">
        <f t="shared" si="2"/>
        <v>5</v>
      </c>
      <c r="L36" s="52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75</v>
      </c>
      <c r="C37" s="53" t="s">
        <v>76</v>
      </c>
      <c r="D37" s="54" t="s">
        <v>77</v>
      </c>
      <c r="E37" s="56"/>
      <c r="F37" s="56"/>
      <c r="G37" s="55"/>
      <c r="H37" s="56"/>
      <c r="I37" s="57">
        <f t="shared" si="1"/>
        <v>0</v>
      </c>
      <c r="J37" s="58"/>
      <c r="K37" s="59">
        <f t="shared" si="2"/>
        <v>5</v>
      </c>
      <c r="L37" s="52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47</v>
      </c>
      <c r="C38" s="53" t="s">
        <v>62</v>
      </c>
      <c r="D38" s="54" t="s">
        <v>78</v>
      </c>
      <c r="E38" s="55"/>
      <c r="F38" s="55"/>
      <c r="G38" s="55"/>
      <c r="H38" s="56"/>
      <c r="I38" s="57">
        <f t="shared" si="1"/>
        <v>0</v>
      </c>
      <c r="J38" s="58"/>
      <c r="K38" s="59">
        <f t="shared" si="2"/>
        <v>5</v>
      </c>
      <c r="L38" s="52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79</v>
      </c>
      <c r="C39" s="53" t="s">
        <v>80</v>
      </c>
      <c r="D39" s="54" t="s">
        <v>81</v>
      </c>
      <c r="E39" s="55"/>
      <c r="F39" s="55"/>
      <c r="G39" s="55"/>
      <c r="H39" s="56"/>
      <c r="I39" s="57">
        <f t="shared" si="1"/>
        <v>0</v>
      </c>
      <c r="J39" s="58"/>
      <c r="K39" s="59">
        <f t="shared" si="2"/>
        <v>5</v>
      </c>
      <c r="L39" s="52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79</v>
      </c>
      <c r="C40" s="53" t="s">
        <v>82</v>
      </c>
      <c r="D40" s="54" t="s">
        <v>83</v>
      </c>
      <c r="E40" s="55"/>
      <c r="F40" s="55"/>
      <c r="G40" s="55"/>
      <c r="H40" s="56"/>
      <c r="I40" s="57">
        <f t="shared" si="1"/>
        <v>0</v>
      </c>
      <c r="J40" s="58"/>
      <c r="K40" s="59">
        <f t="shared" si="2"/>
        <v>5</v>
      </c>
      <c r="L40" s="52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32</v>
      </c>
      <c r="C41" s="53" t="s">
        <v>84</v>
      </c>
      <c r="D41" s="54" t="s">
        <v>85</v>
      </c>
      <c r="E41" s="55"/>
      <c r="F41" s="55"/>
      <c r="G41" s="55"/>
      <c r="H41" s="56"/>
      <c r="I41" s="57">
        <f t="shared" si="1"/>
        <v>0</v>
      </c>
      <c r="J41" s="58"/>
      <c r="K41" s="59">
        <f t="shared" si="2"/>
        <v>5</v>
      </c>
      <c r="L41" s="52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86</v>
      </c>
      <c r="C42" s="53" t="s">
        <v>62</v>
      </c>
      <c r="D42" s="54" t="s">
        <v>87</v>
      </c>
      <c r="E42" s="55"/>
      <c r="F42" s="55"/>
      <c r="G42" s="55"/>
      <c r="H42" s="56"/>
      <c r="I42" s="57">
        <f t="shared" si="1"/>
        <v>0</v>
      </c>
      <c r="J42" s="58"/>
      <c r="K42" s="59">
        <f t="shared" si="2"/>
        <v>5</v>
      </c>
      <c r="L42" s="52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88</v>
      </c>
      <c r="C43" s="53" t="s">
        <v>29</v>
      </c>
      <c r="D43" s="54" t="s">
        <v>89</v>
      </c>
      <c r="E43" s="55"/>
      <c r="F43" s="55"/>
      <c r="G43" s="55"/>
      <c r="H43" s="56"/>
      <c r="I43" s="57">
        <f t="shared" si="1"/>
        <v>0</v>
      </c>
      <c r="J43" s="58"/>
      <c r="K43" s="59">
        <f t="shared" si="2"/>
        <v>5</v>
      </c>
      <c r="L43" s="52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90</v>
      </c>
      <c r="C44" s="53" t="s">
        <v>91</v>
      </c>
      <c r="D44" s="54" t="s">
        <v>92</v>
      </c>
      <c r="E44" s="55"/>
      <c r="F44" s="55"/>
      <c r="G44" s="55"/>
      <c r="H44" s="56"/>
      <c r="I44" s="57">
        <f t="shared" si="1"/>
        <v>0</v>
      </c>
      <c r="J44" s="58"/>
      <c r="K44" s="59">
        <f t="shared" si="2"/>
        <v>5</v>
      </c>
      <c r="L44" s="52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93</v>
      </c>
      <c r="C45" s="53" t="s">
        <v>94</v>
      </c>
      <c r="D45" s="54" t="s">
        <v>95</v>
      </c>
      <c r="E45" s="55"/>
      <c r="F45" s="55"/>
      <c r="G45" s="55"/>
      <c r="H45" s="56"/>
      <c r="I45" s="57">
        <f t="shared" si="1"/>
        <v>0</v>
      </c>
      <c r="J45" s="58"/>
      <c r="K45" s="59">
        <f t="shared" si="2"/>
        <v>5</v>
      </c>
      <c r="L45" s="52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96</v>
      </c>
      <c r="C46" s="53" t="s">
        <v>97</v>
      </c>
      <c r="D46" s="54" t="s">
        <v>98</v>
      </c>
      <c r="E46" s="55"/>
      <c r="F46" s="55"/>
      <c r="G46" s="55"/>
      <c r="H46" s="56"/>
      <c r="I46" s="57">
        <f t="shared" si="1"/>
        <v>0</v>
      </c>
      <c r="J46" s="58"/>
      <c r="K46" s="59">
        <f t="shared" si="2"/>
        <v>5</v>
      </c>
      <c r="L46" s="52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99</v>
      </c>
      <c r="C47" s="53" t="s">
        <v>100</v>
      </c>
      <c r="D47" s="54" t="s">
        <v>101</v>
      </c>
      <c r="E47" s="55"/>
      <c r="F47" s="55"/>
      <c r="G47" s="55"/>
      <c r="H47" s="56"/>
      <c r="I47" s="57">
        <f t="shared" si="1"/>
        <v>0</v>
      </c>
      <c r="J47" s="58"/>
      <c r="K47" s="59">
        <f t="shared" si="2"/>
        <v>5</v>
      </c>
      <c r="L47" s="52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102</v>
      </c>
      <c r="C48" s="53" t="s">
        <v>103</v>
      </c>
      <c r="D48" s="54" t="s">
        <v>104</v>
      </c>
      <c r="E48" s="55"/>
      <c r="F48" s="55"/>
      <c r="G48" s="55"/>
      <c r="H48" s="56"/>
      <c r="I48" s="57">
        <f t="shared" si="1"/>
        <v>0</v>
      </c>
      <c r="J48" s="58"/>
      <c r="K48" s="59">
        <f t="shared" si="2"/>
        <v>5</v>
      </c>
      <c r="L48" s="52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105</v>
      </c>
      <c r="C49" s="53" t="s">
        <v>22</v>
      </c>
      <c r="D49" s="54" t="s">
        <v>106</v>
      </c>
      <c r="E49" s="55"/>
      <c r="F49" s="55"/>
      <c r="G49" s="55"/>
      <c r="H49" s="56"/>
      <c r="I49" s="57">
        <f t="shared" si="1"/>
        <v>0</v>
      </c>
      <c r="J49" s="58"/>
      <c r="K49" s="59">
        <f t="shared" si="2"/>
        <v>5</v>
      </c>
      <c r="L49" s="52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23</v>
      </c>
      <c r="C50" s="53" t="s">
        <v>107</v>
      </c>
      <c r="D50" s="54" t="s">
        <v>108</v>
      </c>
      <c r="E50" s="55"/>
      <c r="F50" s="55"/>
      <c r="G50" s="55"/>
      <c r="H50" s="56"/>
      <c r="I50" s="57">
        <f t="shared" si="1"/>
        <v>0</v>
      </c>
      <c r="J50" s="58"/>
      <c r="K50" s="59">
        <f t="shared" si="2"/>
        <v>5</v>
      </c>
      <c r="L50" s="52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23</v>
      </c>
      <c r="C51" s="53" t="s">
        <v>109</v>
      </c>
      <c r="D51" s="54" t="s">
        <v>110</v>
      </c>
      <c r="E51" s="55"/>
      <c r="F51" s="55"/>
      <c r="G51" s="55"/>
      <c r="H51" s="56"/>
      <c r="I51" s="57">
        <f t="shared" si="1"/>
        <v>0</v>
      </c>
      <c r="J51" s="58"/>
      <c r="K51" s="59">
        <f t="shared" si="2"/>
        <v>5</v>
      </c>
      <c r="L51" s="52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111</v>
      </c>
      <c r="C52" s="53" t="s">
        <v>62</v>
      </c>
      <c r="D52" s="54" t="s">
        <v>112</v>
      </c>
      <c r="E52" s="55"/>
      <c r="F52" s="55"/>
      <c r="G52" s="55"/>
      <c r="H52" s="56"/>
      <c r="I52" s="57">
        <f t="shared" si="1"/>
        <v>0</v>
      </c>
      <c r="J52" s="58"/>
      <c r="K52" s="59">
        <f t="shared" si="2"/>
        <v>5</v>
      </c>
      <c r="L52" s="52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111</v>
      </c>
      <c r="C53" s="53" t="s">
        <v>73</v>
      </c>
      <c r="D53" s="54" t="s">
        <v>113</v>
      </c>
      <c r="E53" s="55"/>
      <c r="F53" s="55"/>
      <c r="G53" s="55"/>
      <c r="H53" s="56"/>
      <c r="I53" s="57">
        <f t="shared" si="1"/>
        <v>0</v>
      </c>
      <c r="J53" s="58"/>
      <c r="K53" s="59">
        <f t="shared" si="2"/>
        <v>5</v>
      </c>
      <c r="L53" s="52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114</v>
      </c>
      <c r="C54" s="53" t="s">
        <v>69</v>
      </c>
      <c r="D54" s="54" t="s">
        <v>115</v>
      </c>
      <c r="E54" s="55"/>
      <c r="F54" s="55"/>
      <c r="G54" s="55"/>
      <c r="H54" s="56"/>
      <c r="I54" s="57">
        <f t="shared" si="1"/>
        <v>0</v>
      </c>
      <c r="J54" s="58"/>
      <c r="K54" s="59">
        <f t="shared" si="2"/>
        <v>5</v>
      </c>
      <c r="L54" s="52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116</v>
      </c>
      <c r="C55" s="53" t="s">
        <v>117</v>
      </c>
      <c r="D55" s="54" t="s">
        <v>118</v>
      </c>
      <c r="E55" s="55"/>
      <c r="F55" s="55"/>
      <c r="G55" s="55"/>
      <c r="H55" s="56"/>
      <c r="I55" s="57">
        <f t="shared" si="1"/>
        <v>0</v>
      </c>
      <c r="J55" s="62"/>
      <c r="K55" s="59">
        <f t="shared" si="2"/>
        <v>5</v>
      </c>
      <c r="L55" s="52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119</v>
      </c>
      <c r="C56" s="53" t="s">
        <v>120</v>
      </c>
      <c r="D56" s="54" t="s">
        <v>121</v>
      </c>
      <c r="E56" s="55"/>
      <c r="F56" s="55"/>
      <c r="G56" s="55"/>
      <c r="H56" s="56"/>
      <c r="I56" s="57">
        <f t="shared" si="1"/>
        <v>0</v>
      </c>
      <c r="J56" s="62"/>
      <c r="K56" s="59">
        <f t="shared" si="2"/>
        <v>5</v>
      </c>
      <c r="L56" s="52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122</v>
      </c>
      <c r="C57" s="53" t="s">
        <v>123</v>
      </c>
      <c r="D57" s="54" t="s">
        <v>124</v>
      </c>
      <c r="E57" s="55"/>
      <c r="F57" s="55"/>
      <c r="G57" s="55"/>
      <c r="H57" s="56"/>
      <c r="I57" s="57">
        <f t="shared" si="1"/>
        <v>0</v>
      </c>
      <c r="J57" s="62"/>
      <c r="K57" s="59">
        <f t="shared" si="2"/>
        <v>5</v>
      </c>
      <c r="L57" s="52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2">
        <v>42.0</v>
      </c>
      <c r="B58" s="53" t="s">
        <v>123</v>
      </c>
      <c r="C58" s="53" t="s">
        <v>90</v>
      </c>
      <c r="D58" s="54" t="s">
        <v>125</v>
      </c>
      <c r="E58" s="55"/>
      <c r="F58" s="55"/>
      <c r="G58" s="55"/>
      <c r="H58" s="56"/>
      <c r="I58" s="57">
        <f t="shared" si="1"/>
        <v>0</v>
      </c>
      <c r="J58" s="62"/>
      <c r="K58" s="59">
        <f t="shared" si="2"/>
        <v>5</v>
      </c>
      <c r="L58" s="52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2">
        <v>43.0</v>
      </c>
      <c r="B59" s="53" t="s">
        <v>97</v>
      </c>
      <c r="C59" s="53" t="s">
        <v>126</v>
      </c>
      <c r="D59" s="54" t="s">
        <v>127</v>
      </c>
      <c r="E59" s="55"/>
      <c r="F59" s="55"/>
      <c r="G59" s="55"/>
      <c r="H59" s="56"/>
      <c r="I59" s="57">
        <f t="shared" si="1"/>
        <v>0</v>
      </c>
      <c r="J59" s="62"/>
      <c r="K59" s="59">
        <f t="shared" si="2"/>
        <v>5</v>
      </c>
      <c r="L59" s="52"/>
      <c r="M59" s="60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2">
        <v>44.0</v>
      </c>
      <c r="B60" s="53" t="s">
        <v>128</v>
      </c>
      <c r="C60" s="53" t="s">
        <v>124</v>
      </c>
      <c r="D60" s="54" t="s">
        <v>129</v>
      </c>
      <c r="E60" s="55"/>
      <c r="F60" s="55"/>
      <c r="G60" s="55"/>
      <c r="H60" s="56"/>
      <c r="I60" s="57">
        <f t="shared" si="1"/>
        <v>0</v>
      </c>
      <c r="J60" s="62"/>
      <c r="K60" s="59">
        <f t="shared" si="2"/>
        <v>5</v>
      </c>
      <c r="L60" s="52"/>
      <c r="M60" s="60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2">
        <v>45.0</v>
      </c>
      <c r="B61" s="53" t="s">
        <v>130</v>
      </c>
      <c r="C61" s="53" t="s">
        <v>131</v>
      </c>
      <c r="D61" s="54" t="s">
        <v>132</v>
      </c>
      <c r="E61" s="55"/>
      <c r="F61" s="55"/>
      <c r="G61" s="55"/>
      <c r="H61" s="56"/>
      <c r="I61" s="57">
        <f t="shared" si="1"/>
        <v>0</v>
      </c>
      <c r="J61" s="62"/>
      <c r="K61" s="59">
        <f t="shared" si="2"/>
        <v>5</v>
      </c>
      <c r="L61" s="52"/>
      <c r="M61" s="60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2">
        <v>46.0</v>
      </c>
      <c r="B62" s="53" t="s">
        <v>133</v>
      </c>
      <c r="C62" s="53" t="s">
        <v>67</v>
      </c>
      <c r="D62" s="54" t="s">
        <v>134</v>
      </c>
      <c r="E62" s="55"/>
      <c r="F62" s="55"/>
      <c r="G62" s="55"/>
      <c r="H62" s="56"/>
      <c r="I62" s="57">
        <f t="shared" si="1"/>
        <v>0</v>
      </c>
      <c r="J62" s="62"/>
      <c r="K62" s="59">
        <f t="shared" si="2"/>
        <v>5</v>
      </c>
      <c r="L62" s="52"/>
      <c r="M62" s="60">
        <f t="shared" si="3"/>
        <v>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2">
        <v>47.0</v>
      </c>
      <c r="B63" s="53" t="s">
        <v>135</v>
      </c>
      <c r="C63" s="53" t="s">
        <v>136</v>
      </c>
      <c r="D63" s="54" t="s">
        <v>137</v>
      </c>
      <c r="E63" s="55"/>
      <c r="F63" s="55"/>
      <c r="G63" s="55"/>
      <c r="H63" s="56"/>
      <c r="I63" s="57">
        <f t="shared" si="1"/>
        <v>0</v>
      </c>
      <c r="J63" s="62"/>
      <c r="K63" s="59">
        <f t="shared" si="2"/>
        <v>5</v>
      </c>
      <c r="L63" s="52"/>
      <c r="M63" s="60">
        <f t="shared" si="3"/>
        <v>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2">
        <v>48.0</v>
      </c>
      <c r="B64" s="53" t="s">
        <v>138</v>
      </c>
      <c r="C64" s="53" t="s">
        <v>67</v>
      </c>
      <c r="D64" s="54" t="s">
        <v>139</v>
      </c>
      <c r="E64" s="55"/>
      <c r="F64" s="55"/>
      <c r="G64" s="55"/>
      <c r="H64" s="56"/>
      <c r="I64" s="57">
        <f t="shared" si="1"/>
        <v>0</v>
      </c>
      <c r="J64" s="62"/>
      <c r="K64" s="59">
        <f t="shared" si="2"/>
        <v>5</v>
      </c>
      <c r="L64" s="52"/>
      <c r="M64" s="60">
        <f t="shared" si="3"/>
        <v>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6"/>
      <c r="B65" s="63"/>
      <c r="C65" s="63"/>
      <c r="D65" s="63"/>
      <c r="E65" s="64"/>
      <c r="F65" s="64"/>
      <c r="G65" s="63"/>
      <c r="H65" s="63"/>
      <c r="I65" s="63"/>
      <c r="J65" s="63"/>
      <c r="K65" s="1"/>
      <c r="L65" s="8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65" t="s">
        <v>140</v>
      </c>
      <c r="C66" s="66"/>
      <c r="D66" s="67">
        <f>COUNT(A17:A64)</f>
        <v>48</v>
      </c>
      <c r="E66" s="63"/>
      <c r="F66" s="63"/>
      <c r="G66" s="68" t="s">
        <v>141</v>
      </c>
      <c r="H66" s="68"/>
      <c r="I66" s="68" t="s">
        <v>142</v>
      </c>
      <c r="K66" s="69" t="s">
        <v>143</v>
      </c>
      <c r="L66" s="70" t="s">
        <v>144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1" t="s">
        <v>145</v>
      </c>
      <c r="C67" s="72"/>
      <c r="D67" s="73">
        <f>COUNTIF(K17:K64,"BAJA")</f>
        <v>0</v>
      </c>
      <c r="E67" s="63"/>
      <c r="F67" s="63"/>
      <c r="H67" s="68"/>
      <c r="L67" s="10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1" t="s">
        <v>146</v>
      </c>
      <c r="C68" s="72"/>
      <c r="D68" s="74">
        <f>D66-D67</f>
        <v>48</v>
      </c>
      <c r="E68" s="63"/>
      <c r="F68" s="63"/>
      <c r="G68" s="75"/>
      <c r="H68" s="76"/>
      <c r="I68" s="75"/>
      <c r="J68" s="75"/>
      <c r="K68" s="77"/>
      <c r="L68" s="7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B69" s="71" t="s">
        <v>147</v>
      </c>
      <c r="C69" s="72"/>
      <c r="D69" s="79">
        <f>COUNTIF(K17:K64,"&gt;=6")</f>
        <v>0</v>
      </c>
      <c r="E69" s="63"/>
      <c r="F69" s="63"/>
      <c r="G69" s="75"/>
      <c r="H69" s="76"/>
      <c r="I69" s="75"/>
      <c r="J69" s="75"/>
      <c r="K69" s="77"/>
      <c r="L69" s="78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B70" s="71" t="s">
        <v>148</v>
      </c>
      <c r="C70" s="72"/>
      <c r="D70" s="79">
        <f>D68-D69</f>
        <v>48</v>
      </c>
      <c r="E70" s="63"/>
      <c r="F70" s="63"/>
      <c r="G70" s="80"/>
      <c r="H70" s="76"/>
      <c r="I70" s="80"/>
      <c r="J70" s="80"/>
      <c r="K70" s="81"/>
      <c r="L70" s="8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B71" s="71" t="s">
        <v>149</v>
      </c>
      <c r="C71" s="72"/>
      <c r="D71" s="83">
        <f>D69*100/D68</f>
        <v>0</v>
      </c>
      <c r="E71" s="63"/>
      <c r="F71" s="63"/>
      <c r="G71" s="84" t="s">
        <v>150</v>
      </c>
      <c r="H71" s="85"/>
      <c r="I71" s="86" t="s">
        <v>151</v>
      </c>
      <c r="K71" s="86" t="s">
        <v>152</v>
      </c>
      <c r="L71" s="87" t="s">
        <v>153</v>
      </c>
      <c r="M71" s="88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B72" s="89" t="s">
        <v>154</v>
      </c>
      <c r="C72" s="90"/>
      <c r="D72" s="91">
        <f>AVERAGE(K17:K64)</f>
        <v>5</v>
      </c>
      <c r="E72" s="63"/>
      <c r="F72" s="63"/>
      <c r="H72" s="85"/>
      <c r="L72" s="1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6"/>
      <c r="B73" s="1"/>
      <c r="C73" s="1"/>
      <c r="D73" s="1"/>
      <c r="E73" s="1"/>
      <c r="F73" s="1"/>
      <c r="G73" s="1"/>
      <c r="H73" s="1"/>
      <c r="I73" s="1"/>
      <c r="J73" s="1"/>
      <c r="K73" s="1"/>
      <c r="L73" s="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2"/>
      <c r="B74" s="93"/>
      <c r="C74" s="94"/>
      <c r="D74" s="94"/>
      <c r="E74" s="63"/>
      <c r="H74" s="7"/>
      <c r="I74" s="7"/>
      <c r="J74" s="7"/>
      <c r="K74" s="7"/>
      <c r="L74" s="95"/>
      <c r="M74" s="9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97"/>
      <c r="B75" s="63"/>
      <c r="C75" s="63"/>
      <c r="D75" s="63"/>
      <c r="E75" s="7"/>
      <c r="F75" s="7"/>
      <c r="G75" s="1"/>
      <c r="H75" s="1"/>
      <c r="I75" s="1"/>
      <c r="J75" s="1"/>
      <c r="K75" s="1"/>
      <c r="L75" s="8"/>
      <c r="M75" s="98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97"/>
      <c r="B76" s="63"/>
      <c r="C76" s="63"/>
      <c r="D76" s="63"/>
      <c r="E76" s="7"/>
      <c r="F76" s="7"/>
      <c r="G76" s="1"/>
      <c r="H76" s="1"/>
      <c r="I76" s="1"/>
      <c r="J76" s="1"/>
      <c r="K76" s="1"/>
      <c r="L76" s="8"/>
      <c r="M76" s="98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99"/>
      <c r="B77" s="100"/>
      <c r="C77" s="100"/>
      <c r="D77" s="100"/>
      <c r="E77" s="101"/>
      <c r="F77" s="101"/>
      <c r="G77" s="102"/>
      <c r="H77" s="102"/>
      <c r="I77" s="102"/>
      <c r="J77" s="102"/>
      <c r="K77" s="102"/>
      <c r="L77" s="103"/>
      <c r="M77" s="98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4"/>
      <c r="C78" s="104"/>
      <c r="D78" s="104"/>
      <c r="E78" s="104"/>
      <c r="F78" s="104"/>
      <c r="G78" s="1"/>
      <c r="H78" s="1"/>
      <c r="I78" s="1"/>
      <c r="J78" s="1"/>
      <c r="K78" s="105"/>
      <c r="L78" s="105"/>
      <c r="M78" s="10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4"/>
      <c r="C79" s="104"/>
      <c r="D79" s="104"/>
      <c r="E79" s="104"/>
      <c r="F79" s="104"/>
      <c r="G79" s="1"/>
      <c r="H79" s="1"/>
      <c r="I79" s="1"/>
      <c r="J79" s="1"/>
      <c r="K79" s="105"/>
      <c r="L79" s="105"/>
      <c r="M79" s="10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4"/>
      <c r="C80" s="104"/>
      <c r="D80" s="104"/>
      <c r="E80" s="104"/>
      <c r="F80" s="104"/>
      <c r="G80" s="1"/>
      <c r="H80" s="1"/>
      <c r="I80" s="1"/>
      <c r="J80" s="1"/>
      <c r="K80" s="105"/>
      <c r="L80" s="105"/>
      <c r="M80" s="10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4"/>
      <c r="C81" s="104"/>
      <c r="D81" s="104"/>
      <c r="E81" s="104"/>
      <c r="F81" s="104"/>
      <c r="G81" s="1"/>
      <c r="H81" s="1"/>
      <c r="I81" s="1"/>
      <c r="J81" s="1"/>
      <c r="K81" s="105"/>
      <c r="L81" s="105"/>
      <c r="M81" s="105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4"/>
      <c r="C82" s="104"/>
      <c r="D82" s="104"/>
      <c r="E82" s="104"/>
      <c r="F82" s="10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4"/>
      <c r="C83" s="104"/>
      <c r="D83" s="104"/>
      <c r="E83" s="104"/>
      <c r="F83" s="104"/>
      <c r="G83" s="1"/>
      <c r="H83" s="1"/>
      <c r="I83" s="1"/>
      <c r="J83" s="1"/>
      <c r="K83" s="1"/>
      <c r="L83" s="106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4"/>
      <c r="C84" s="104"/>
      <c r="D84" s="104"/>
      <c r="E84" s="104"/>
      <c r="F84" s="10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4"/>
      <c r="C85" s="104"/>
      <c r="D85" s="104"/>
      <c r="E85" s="104"/>
      <c r="F85" s="10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4"/>
      <c r="C86" s="104"/>
      <c r="D86" s="104"/>
      <c r="E86" s="104"/>
      <c r="F86" s="10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4"/>
      <c r="C87" s="104"/>
      <c r="D87" s="104"/>
      <c r="E87" s="104"/>
      <c r="F87" s="10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4"/>
      <c r="C88" s="104"/>
      <c r="D88" s="104"/>
      <c r="E88" s="104"/>
      <c r="F88" s="10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04"/>
      <c r="C89" s="104"/>
      <c r="D89" s="104"/>
      <c r="E89" s="104"/>
      <c r="F89" s="10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29">
    <mergeCell ref="F14:F15"/>
    <mergeCell ref="G14:G15"/>
    <mergeCell ref="G66:G67"/>
    <mergeCell ref="I66:J67"/>
    <mergeCell ref="K66:K67"/>
    <mergeCell ref="L66:L67"/>
    <mergeCell ref="A9:L9"/>
    <mergeCell ref="E10:L10"/>
    <mergeCell ref="A13:B13"/>
    <mergeCell ref="C13:D13"/>
    <mergeCell ref="H13:H15"/>
    <mergeCell ref="I13:I14"/>
    <mergeCell ref="J13:L14"/>
    <mergeCell ref="J15:L15"/>
    <mergeCell ref="B70:C70"/>
    <mergeCell ref="B71:C71"/>
    <mergeCell ref="G71:G72"/>
    <mergeCell ref="I71:J72"/>
    <mergeCell ref="K71:K72"/>
    <mergeCell ref="L71:L72"/>
    <mergeCell ref="B72:C72"/>
    <mergeCell ref="E74:G74"/>
    <mergeCell ref="B14:D14"/>
    <mergeCell ref="E14:E15"/>
    <mergeCell ref="B16:D16"/>
    <mergeCell ref="B66:C66"/>
    <mergeCell ref="B67:C67"/>
    <mergeCell ref="B68:C68"/>
    <mergeCell ref="B69:C69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4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27" t="s">
        <v>157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6"/>
      <c r="I17" s="57">
        <f t="shared" ref="I17:I64" si="1">SUM(E17:H17)</f>
        <v>0</v>
      </c>
      <c r="J17" s="58"/>
      <c r="K17" s="59">
        <f t="shared" ref="K17:K64" si="2">IF(M17&lt;6,5,M17)</f>
        <v>5</v>
      </c>
      <c r="L17" s="60"/>
      <c r="M17" s="61">
        <f t="shared" ref="M17:M64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6"/>
      <c r="I18" s="57">
        <f t="shared" si="1"/>
        <v>0</v>
      </c>
      <c r="J18" s="58"/>
      <c r="K18" s="59">
        <f t="shared" si="2"/>
        <v>5</v>
      </c>
      <c r="L18" s="52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6"/>
      <c r="F19" s="56"/>
      <c r="G19" s="55"/>
      <c r="H19" s="56"/>
      <c r="I19" s="57">
        <f t="shared" si="1"/>
        <v>0</v>
      </c>
      <c r="J19" s="58"/>
      <c r="K19" s="59">
        <f t="shared" si="2"/>
        <v>5</v>
      </c>
      <c r="L19" s="52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6"/>
      <c r="I20" s="57">
        <f t="shared" si="1"/>
        <v>0</v>
      </c>
      <c r="J20" s="58"/>
      <c r="K20" s="59">
        <f t="shared" si="2"/>
        <v>5</v>
      </c>
      <c r="L20" s="52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6"/>
      <c r="I21" s="57">
        <f t="shared" si="1"/>
        <v>0</v>
      </c>
      <c r="J21" s="58"/>
      <c r="K21" s="59">
        <f t="shared" si="2"/>
        <v>5</v>
      </c>
      <c r="L21" s="52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6"/>
      <c r="I22" s="57">
        <f t="shared" si="1"/>
        <v>0</v>
      </c>
      <c r="J22" s="58"/>
      <c r="K22" s="59">
        <f t="shared" si="2"/>
        <v>5</v>
      </c>
      <c r="L22" s="52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6"/>
      <c r="I23" s="57">
        <f t="shared" si="1"/>
        <v>0</v>
      </c>
      <c r="J23" s="58"/>
      <c r="K23" s="59">
        <f t="shared" si="2"/>
        <v>5</v>
      </c>
      <c r="L23" s="52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6"/>
      <c r="F24" s="56"/>
      <c r="G24" s="55"/>
      <c r="H24" s="56"/>
      <c r="I24" s="57">
        <f t="shared" si="1"/>
        <v>0</v>
      </c>
      <c r="J24" s="58"/>
      <c r="K24" s="59">
        <f t="shared" si="2"/>
        <v>5</v>
      </c>
      <c r="L24" s="52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6"/>
      <c r="I25" s="57">
        <f t="shared" si="1"/>
        <v>0</v>
      </c>
      <c r="J25" s="58"/>
      <c r="K25" s="59">
        <f t="shared" si="2"/>
        <v>5</v>
      </c>
      <c r="L25" s="52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6"/>
      <c r="F26" s="56"/>
      <c r="G26" s="55"/>
      <c r="H26" s="56"/>
      <c r="I26" s="57">
        <f t="shared" si="1"/>
        <v>0</v>
      </c>
      <c r="J26" s="58"/>
      <c r="K26" s="59">
        <f t="shared" si="2"/>
        <v>5</v>
      </c>
      <c r="L26" s="52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52</v>
      </c>
      <c r="C27" s="53" t="s">
        <v>53</v>
      </c>
      <c r="D27" s="54" t="s">
        <v>54</v>
      </c>
      <c r="E27" s="55"/>
      <c r="F27" s="55"/>
      <c r="G27" s="55"/>
      <c r="H27" s="56"/>
      <c r="I27" s="57">
        <f t="shared" si="1"/>
        <v>0</v>
      </c>
      <c r="J27" s="58"/>
      <c r="K27" s="59">
        <f t="shared" si="2"/>
        <v>5</v>
      </c>
      <c r="L27" s="52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44</v>
      </c>
      <c r="C28" s="53" t="s">
        <v>55</v>
      </c>
      <c r="D28" s="54" t="s">
        <v>56</v>
      </c>
      <c r="E28" s="55"/>
      <c r="F28" s="55"/>
      <c r="G28" s="55"/>
      <c r="H28" s="56"/>
      <c r="I28" s="57">
        <f t="shared" si="1"/>
        <v>0</v>
      </c>
      <c r="J28" s="58"/>
      <c r="K28" s="59">
        <f t="shared" si="2"/>
        <v>5</v>
      </c>
      <c r="L28" s="52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57</v>
      </c>
      <c r="C29" s="53" t="s">
        <v>58</v>
      </c>
      <c r="D29" s="54" t="s">
        <v>59</v>
      </c>
      <c r="E29" s="55"/>
      <c r="F29" s="55"/>
      <c r="G29" s="55"/>
      <c r="H29" s="56"/>
      <c r="I29" s="57">
        <f t="shared" si="1"/>
        <v>0</v>
      </c>
      <c r="J29" s="58"/>
      <c r="K29" s="59">
        <f t="shared" si="2"/>
        <v>5</v>
      </c>
      <c r="L29" s="52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35</v>
      </c>
      <c r="C30" s="53" t="s">
        <v>60</v>
      </c>
      <c r="D30" s="54" t="s">
        <v>61</v>
      </c>
      <c r="E30" s="56"/>
      <c r="F30" s="56"/>
      <c r="G30" s="55"/>
      <c r="H30" s="56"/>
      <c r="I30" s="57">
        <f t="shared" si="1"/>
        <v>0</v>
      </c>
      <c r="J30" s="58"/>
      <c r="K30" s="59">
        <f t="shared" si="2"/>
        <v>5</v>
      </c>
      <c r="L30" s="52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62</v>
      </c>
      <c r="C31" s="53" t="s">
        <v>32</v>
      </c>
      <c r="D31" s="54" t="s">
        <v>63</v>
      </c>
      <c r="E31" s="56"/>
      <c r="F31" s="56"/>
      <c r="G31" s="55"/>
      <c r="H31" s="56"/>
      <c r="I31" s="57">
        <f t="shared" si="1"/>
        <v>0</v>
      </c>
      <c r="J31" s="58"/>
      <c r="K31" s="59">
        <f t="shared" si="2"/>
        <v>5</v>
      </c>
      <c r="L31" s="52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64</v>
      </c>
      <c r="C32" s="53" t="s">
        <v>65</v>
      </c>
      <c r="D32" s="54" t="s">
        <v>66</v>
      </c>
      <c r="E32" s="55"/>
      <c r="F32" s="55"/>
      <c r="G32" s="55"/>
      <c r="H32" s="56"/>
      <c r="I32" s="57">
        <f t="shared" si="1"/>
        <v>0</v>
      </c>
      <c r="J32" s="58"/>
      <c r="K32" s="59">
        <f t="shared" si="2"/>
        <v>5</v>
      </c>
      <c r="L32" s="52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67</v>
      </c>
      <c r="C33" s="53" t="s">
        <v>67</v>
      </c>
      <c r="D33" s="54" t="s">
        <v>68</v>
      </c>
      <c r="E33" s="55"/>
      <c r="F33" s="55"/>
      <c r="G33" s="55"/>
      <c r="H33" s="56"/>
      <c r="I33" s="57">
        <f t="shared" si="1"/>
        <v>0</v>
      </c>
      <c r="J33" s="58"/>
      <c r="K33" s="59">
        <f t="shared" si="2"/>
        <v>5</v>
      </c>
      <c r="L33" s="52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69</v>
      </c>
      <c r="C34" s="53" t="s">
        <v>67</v>
      </c>
      <c r="D34" s="54" t="s">
        <v>70</v>
      </c>
      <c r="E34" s="56"/>
      <c r="F34" s="56"/>
      <c r="G34" s="55"/>
      <c r="H34" s="56"/>
      <c r="I34" s="57">
        <f t="shared" si="1"/>
        <v>0</v>
      </c>
      <c r="J34" s="58"/>
      <c r="K34" s="59">
        <f t="shared" si="2"/>
        <v>5</v>
      </c>
      <c r="L34" s="52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69</v>
      </c>
      <c r="C35" s="53" t="s">
        <v>71</v>
      </c>
      <c r="D35" s="54" t="s">
        <v>72</v>
      </c>
      <c r="E35" s="55"/>
      <c r="F35" s="55"/>
      <c r="G35" s="55"/>
      <c r="H35" s="56"/>
      <c r="I35" s="57">
        <f t="shared" si="1"/>
        <v>0</v>
      </c>
      <c r="J35" s="58"/>
      <c r="K35" s="59">
        <f t="shared" si="2"/>
        <v>5</v>
      </c>
      <c r="L35" s="52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73</v>
      </c>
      <c r="C36" s="53" t="s">
        <v>38</v>
      </c>
      <c r="D36" s="54" t="s">
        <v>74</v>
      </c>
      <c r="E36" s="55"/>
      <c r="F36" s="55"/>
      <c r="G36" s="55"/>
      <c r="H36" s="56"/>
      <c r="I36" s="57">
        <f t="shared" si="1"/>
        <v>0</v>
      </c>
      <c r="J36" s="58"/>
      <c r="K36" s="59">
        <f t="shared" si="2"/>
        <v>5</v>
      </c>
      <c r="L36" s="52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75</v>
      </c>
      <c r="C37" s="53" t="s">
        <v>76</v>
      </c>
      <c r="D37" s="54" t="s">
        <v>77</v>
      </c>
      <c r="E37" s="56"/>
      <c r="F37" s="56"/>
      <c r="G37" s="55"/>
      <c r="H37" s="56"/>
      <c r="I37" s="57">
        <f t="shared" si="1"/>
        <v>0</v>
      </c>
      <c r="J37" s="58"/>
      <c r="K37" s="59">
        <f t="shared" si="2"/>
        <v>5</v>
      </c>
      <c r="L37" s="52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47</v>
      </c>
      <c r="C38" s="53" t="s">
        <v>62</v>
      </c>
      <c r="D38" s="54" t="s">
        <v>78</v>
      </c>
      <c r="E38" s="55"/>
      <c r="F38" s="55"/>
      <c r="G38" s="55"/>
      <c r="H38" s="56"/>
      <c r="I38" s="57">
        <f t="shared" si="1"/>
        <v>0</v>
      </c>
      <c r="J38" s="58"/>
      <c r="K38" s="59">
        <f t="shared" si="2"/>
        <v>5</v>
      </c>
      <c r="L38" s="52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79</v>
      </c>
      <c r="C39" s="53" t="s">
        <v>80</v>
      </c>
      <c r="D39" s="54" t="s">
        <v>81</v>
      </c>
      <c r="E39" s="55"/>
      <c r="F39" s="55"/>
      <c r="G39" s="55"/>
      <c r="H39" s="56"/>
      <c r="I39" s="57">
        <f t="shared" si="1"/>
        <v>0</v>
      </c>
      <c r="J39" s="58"/>
      <c r="K39" s="59">
        <f t="shared" si="2"/>
        <v>5</v>
      </c>
      <c r="L39" s="52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79</v>
      </c>
      <c r="C40" s="53" t="s">
        <v>82</v>
      </c>
      <c r="D40" s="54" t="s">
        <v>83</v>
      </c>
      <c r="E40" s="55"/>
      <c r="F40" s="55"/>
      <c r="G40" s="55"/>
      <c r="H40" s="56"/>
      <c r="I40" s="57">
        <f t="shared" si="1"/>
        <v>0</v>
      </c>
      <c r="J40" s="58"/>
      <c r="K40" s="59">
        <f t="shared" si="2"/>
        <v>5</v>
      </c>
      <c r="L40" s="52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32</v>
      </c>
      <c r="C41" s="53" t="s">
        <v>84</v>
      </c>
      <c r="D41" s="54" t="s">
        <v>85</v>
      </c>
      <c r="E41" s="55"/>
      <c r="F41" s="55"/>
      <c r="G41" s="55"/>
      <c r="H41" s="56"/>
      <c r="I41" s="57">
        <f t="shared" si="1"/>
        <v>0</v>
      </c>
      <c r="J41" s="58"/>
      <c r="K41" s="59">
        <f t="shared" si="2"/>
        <v>5</v>
      </c>
      <c r="L41" s="52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86</v>
      </c>
      <c r="C42" s="53" t="s">
        <v>62</v>
      </c>
      <c r="D42" s="54" t="s">
        <v>87</v>
      </c>
      <c r="E42" s="55"/>
      <c r="F42" s="55"/>
      <c r="G42" s="55"/>
      <c r="H42" s="56"/>
      <c r="I42" s="57">
        <f t="shared" si="1"/>
        <v>0</v>
      </c>
      <c r="J42" s="58"/>
      <c r="K42" s="59">
        <f t="shared" si="2"/>
        <v>5</v>
      </c>
      <c r="L42" s="52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88</v>
      </c>
      <c r="C43" s="53" t="s">
        <v>29</v>
      </c>
      <c r="D43" s="54" t="s">
        <v>89</v>
      </c>
      <c r="E43" s="55"/>
      <c r="F43" s="55"/>
      <c r="G43" s="55"/>
      <c r="H43" s="56"/>
      <c r="I43" s="57">
        <f t="shared" si="1"/>
        <v>0</v>
      </c>
      <c r="J43" s="58"/>
      <c r="K43" s="59">
        <f t="shared" si="2"/>
        <v>5</v>
      </c>
      <c r="L43" s="52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90</v>
      </c>
      <c r="C44" s="53" t="s">
        <v>91</v>
      </c>
      <c r="D44" s="54" t="s">
        <v>92</v>
      </c>
      <c r="E44" s="55"/>
      <c r="F44" s="55"/>
      <c r="G44" s="55"/>
      <c r="H44" s="56"/>
      <c r="I44" s="57">
        <f t="shared" si="1"/>
        <v>0</v>
      </c>
      <c r="J44" s="58"/>
      <c r="K44" s="59">
        <f t="shared" si="2"/>
        <v>5</v>
      </c>
      <c r="L44" s="52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93</v>
      </c>
      <c r="C45" s="53" t="s">
        <v>94</v>
      </c>
      <c r="D45" s="54" t="s">
        <v>95</v>
      </c>
      <c r="E45" s="55"/>
      <c r="F45" s="55"/>
      <c r="G45" s="55"/>
      <c r="H45" s="56"/>
      <c r="I45" s="57">
        <f t="shared" si="1"/>
        <v>0</v>
      </c>
      <c r="J45" s="58"/>
      <c r="K45" s="59">
        <f t="shared" si="2"/>
        <v>5</v>
      </c>
      <c r="L45" s="52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96</v>
      </c>
      <c r="C46" s="53" t="s">
        <v>97</v>
      </c>
      <c r="D46" s="54" t="s">
        <v>98</v>
      </c>
      <c r="E46" s="55"/>
      <c r="F46" s="55"/>
      <c r="G46" s="55"/>
      <c r="H46" s="56"/>
      <c r="I46" s="57">
        <f t="shared" si="1"/>
        <v>0</v>
      </c>
      <c r="J46" s="58"/>
      <c r="K46" s="59">
        <f t="shared" si="2"/>
        <v>5</v>
      </c>
      <c r="L46" s="52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99</v>
      </c>
      <c r="C47" s="53" t="s">
        <v>100</v>
      </c>
      <c r="D47" s="54" t="s">
        <v>101</v>
      </c>
      <c r="E47" s="55"/>
      <c r="F47" s="55"/>
      <c r="G47" s="55"/>
      <c r="H47" s="56"/>
      <c r="I47" s="57">
        <f t="shared" si="1"/>
        <v>0</v>
      </c>
      <c r="J47" s="58"/>
      <c r="K47" s="59">
        <f t="shared" si="2"/>
        <v>5</v>
      </c>
      <c r="L47" s="52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102</v>
      </c>
      <c r="C48" s="53" t="s">
        <v>103</v>
      </c>
      <c r="D48" s="54" t="s">
        <v>104</v>
      </c>
      <c r="E48" s="55"/>
      <c r="F48" s="55"/>
      <c r="G48" s="55"/>
      <c r="H48" s="56"/>
      <c r="I48" s="57">
        <f t="shared" si="1"/>
        <v>0</v>
      </c>
      <c r="J48" s="58"/>
      <c r="K48" s="59">
        <f t="shared" si="2"/>
        <v>5</v>
      </c>
      <c r="L48" s="52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105</v>
      </c>
      <c r="C49" s="53" t="s">
        <v>22</v>
      </c>
      <c r="D49" s="54" t="s">
        <v>106</v>
      </c>
      <c r="E49" s="55"/>
      <c r="F49" s="55"/>
      <c r="G49" s="55"/>
      <c r="H49" s="56"/>
      <c r="I49" s="57">
        <f t="shared" si="1"/>
        <v>0</v>
      </c>
      <c r="J49" s="58"/>
      <c r="K49" s="59">
        <f t="shared" si="2"/>
        <v>5</v>
      </c>
      <c r="L49" s="52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23</v>
      </c>
      <c r="C50" s="53" t="s">
        <v>107</v>
      </c>
      <c r="D50" s="54" t="s">
        <v>108</v>
      </c>
      <c r="E50" s="55"/>
      <c r="F50" s="55"/>
      <c r="G50" s="55"/>
      <c r="H50" s="56"/>
      <c r="I50" s="57">
        <f t="shared" si="1"/>
        <v>0</v>
      </c>
      <c r="J50" s="58"/>
      <c r="K50" s="59">
        <f t="shared" si="2"/>
        <v>5</v>
      </c>
      <c r="L50" s="52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23</v>
      </c>
      <c r="C51" s="53" t="s">
        <v>109</v>
      </c>
      <c r="D51" s="54" t="s">
        <v>110</v>
      </c>
      <c r="E51" s="55"/>
      <c r="F51" s="55"/>
      <c r="G51" s="55"/>
      <c r="H51" s="56"/>
      <c r="I51" s="57">
        <f t="shared" si="1"/>
        <v>0</v>
      </c>
      <c r="J51" s="58"/>
      <c r="K51" s="59">
        <f t="shared" si="2"/>
        <v>5</v>
      </c>
      <c r="L51" s="52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111</v>
      </c>
      <c r="C52" s="53" t="s">
        <v>62</v>
      </c>
      <c r="D52" s="54" t="s">
        <v>112</v>
      </c>
      <c r="E52" s="55"/>
      <c r="F52" s="55"/>
      <c r="G52" s="55"/>
      <c r="H52" s="56"/>
      <c r="I52" s="57">
        <f t="shared" si="1"/>
        <v>0</v>
      </c>
      <c r="J52" s="58"/>
      <c r="K52" s="59">
        <f t="shared" si="2"/>
        <v>5</v>
      </c>
      <c r="L52" s="52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111</v>
      </c>
      <c r="C53" s="53" t="s">
        <v>73</v>
      </c>
      <c r="D53" s="54" t="s">
        <v>113</v>
      </c>
      <c r="E53" s="55"/>
      <c r="F53" s="55"/>
      <c r="G53" s="55"/>
      <c r="H53" s="56"/>
      <c r="I53" s="57">
        <f t="shared" si="1"/>
        <v>0</v>
      </c>
      <c r="J53" s="58"/>
      <c r="K53" s="59">
        <f t="shared" si="2"/>
        <v>5</v>
      </c>
      <c r="L53" s="52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114</v>
      </c>
      <c r="C54" s="53" t="s">
        <v>69</v>
      </c>
      <c r="D54" s="54" t="s">
        <v>115</v>
      </c>
      <c r="E54" s="55"/>
      <c r="F54" s="55"/>
      <c r="G54" s="55"/>
      <c r="H54" s="56"/>
      <c r="I54" s="57">
        <f t="shared" si="1"/>
        <v>0</v>
      </c>
      <c r="J54" s="58"/>
      <c r="K54" s="59">
        <f t="shared" si="2"/>
        <v>5</v>
      </c>
      <c r="L54" s="52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116</v>
      </c>
      <c r="C55" s="53" t="s">
        <v>117</v>
      </c>
      <c r="D55" s="54" t="s">
        <v>118</v>
      </c>
      <c r="E55" s="55"/>
      <c r="F55" s="55"/>
      <c r="G55" s="55"/>
      <c r="H55" s="56"/>
      <c r="I55" s="57">
        <f t="shared" si="1"/>
        <v>0</v>
      </c>
      <c r="J55" s="62"/>
      <c r="K55" s="59">
        <f t="shared" si="2"/>
        <v>5</v>
      </c>
      <c r="L55" s="52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119</v>
      </c>
      <c r="C56" s="53" t="s">
        <v>120</v>
      </c>
      <c r="D56" s="54" t="s">
        <v>121</v>
      </c>
      <c r="E56" s="55"/>
      <c r="F56" s="55"/>
      <c r="G56" s="55"/>
      <c r="H56" s="56"/>
      <c r="I56" s="57">
        <f t="shared" si="1"/>
        <v>0</v>
      </c>
      <c r="J56" s="62"/>
      <c r="K56" s="59">
        <f t="shared" si="2"/>
        <v>5</v>
      </c>
      <c r="L56" s="52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122</v>
      </c>
      <c r="C57" s="53" t="s">
        <v>123</v>
      </c>
      <c r="D57" s="54" t="s">
        <v>124</v>
      </c>
      <c r="E57" s="55"/>
      <c r="F57" s="55"/>
      <c r="G57" s="55"/>
      <c r="H57" s="56"/>
      <c r="I57" s="57">
        <f t="shared" si="1"/>
        <v>0</v>
      </c>
      <c r="J57" s="62"/>
      <c r="K57" s="59">
        <f t="shared" si="2"/>
        <v>5</v>
      </c>
      <c r="L57" s="52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2">
        <v>42.0</v>
      </c>
      <c r="B58" s="53" t="s">
        <v>123</v>
      </c>
      <c r="C58" s="53" t="s">
        <v>90</v>
      </c>
      <c r="D58" s="54" t="s">
        <v>125</v>
      </c>
      <c r="E58" s="55"/>
      <c r="F58" s="55"/>
      <c r="G58" s="55"/>
      <c r="H58" s="56"/>
      <c r="I58" s="57">
        <f t="shared" si="1"/>
        <v>0</v>
      </c>
      <c r="J58" s="62"/>
      <c r="K58" s="59">
        <f t="shared" si="2"/>
        <v>5</v>
      </c>
      <c r="L58" s="52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2">
        <v>43.0</v>
      </c>
      <c r="B59" s="53" t="s">
        <v>97</v>
      </c>
      <c r="C59" s="53" t="s">
        <v>126</v>
      </c>
      <c r="D59" s="54" t="s">
        <v>127</v>
      </c>
      <c r="E59" s="55"/>
      <c r="F59" s="55"/>
      <c r="G59" s="55"/>
      <c r="H59" s="56"/>
      <c r="I59" s="57">
        <f t="shared" si="1"/>
        <v>0</v>
      </c>
      <c r="J59" s="62"/>
      <c r="K59" s="59">
        <f t="shared" si="2"/>
        <v>5</v>
      </c>
      <c r="L59" s="52"/>
      <c r="M59" s="60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2">
        <v>44.0</v>
      </c>
      <c r="B60" s="53" t="s">
        <v>128</v>
      </c>
      <c r="C60" s="53" t="s">
        <v>124</v>
      </c>
      <c r="D60" s="54" t="s">
        <v>129</v>
      </c>
      <c r="E60" s="55"/>
      <c r="F60" s="55"/>
      <c r="G60" s="55"/>
      <c r="H60" s="56"/>
      <c r="I60" s="57">
        <f t="shared" si="1"/>
        <v>0</v>
      </c>
      <c r="J60" s="62"/>
      <c r="K60" s="59">
        <f t="shared" si="2"/>
        <v>5</v>
      </c>
      <c r="L60" s="52"/>
      <c r="M60" s="60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2">
        <v>45.0</v>
      </c>
      <c r="B61" s="53" t="s">
        <v>130</v>
      </c>
      <c r="C61" s="53" t="s">
        <v>131</v>
      </c>
      <c r="D61" s="54" t="s">
        <v>132</v>
      </c>
      <c r="E61" s="55"/>
      <c r="F61" s="55"/>
      <c r="G61" s="55"/>
      <c r="H61" s="56"/>
      <c r="I61" s="57">
        <f t="shared" si="1"/>
        <v>0</v>
      </c>
      <c r="J61" s="62"/>
      <c r="K61" s="59">
        <f t="shared" si="2"/>
        <v>5</v>
      </c>
      <c r="L61" s="52"/>
      <c r="M61" s="60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2">
        <v>46.0</v>
      </c>
      <c r="B62" s="53" t="s">
        <v>133</v>
      </c>
      <c r="C62" s="53" t="s">
        <v>67</v>
      </c>
      <c r="D62" s="54" t="s">
        <v>134</v>
      </c>
      <c r="E62" s="55"/>
      <c r="F62" s="55"/>
      <c r="G62" s="55"/>
      <c r="H62" s="56"/>
      <c r="I62" s="57">
        <f t="shared" si="1"/>
        <v>0</v>
      </c>
      <c r="J62" s="62"/>
      <c r="K62" s="59">
        <f t="shared" si="2"/>
        <v>5</v>
      </c>
      <c r="L62" s="52"/>
      <c r="M62" s="60">
        <f t="shared" si="3"/>
        <v>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2">
        <v>47.0</v>
      </c>
      <c r="B63" s="53" t="s">
        <v>135</v>
      </c>
      <c r="C63" s="53" t="s">
        <v>136</v>
      </c>
      <c r="D63" s="54" t="s">
        <v>137</v>
      </c>
      <c r="E63" s="55"/>
      <c r="F63" s="55"/>
      <c r="G63" s="55"/>
      <c r="H63" s="56"/>
      <c r="I63" s="57">
        <f t="shared" si="1"/>
        <v>0</v>
      </c>
      <c r="J63" s="62"/>
      <c r="K63" s="59">
        <f t="shared" si="2"/>
        <v>5</v>
      </c>
      <c r="L63" s="52"/>
      <c r="M63" s="60">
        <f t="shared" si="3"/>
        <v>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2">
        <v>48.0</v>
      </c>
      <c r="B64" s="53" t="s">
        <v>138</v>
      </c>
      <c r="C64" s="53" t="s">
        <v>67</v>
      </c>
      <c r="D64" s="54" t="s">
        <v>139</v>
      </c>
      <c r="E64" s="55"/>
      <c r="F64" s="55"/>
      <c r="G64" s="55"/>
      <c r="H64" s="56"/>
      <c r="I64" s="57">
        <f t="shared" si="1"/>
        <v>0</v>
      </c>
      <c r="J64" s="62"/>
      <c r="K64" s="59">
        <f t="shared" si="2"/>
        <v>5</v>
      </c>
      <c r="L64" s="52"/>
      <c r="M64" s="60">
        <f t="shared" si="3"/>
        <v>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6"/>
      <c r="B65" s="63"/>
      <c r="C65" s="63"/>
      <c r="D65" s="63"/>
      <c r="E65" s="64"/>
      <c r="F65" s="64"/>
      <c r="G65" s="63"/>
      <c r="H65" s="63"/>
      <c r="I65" s="63"/>
      <c r="J65" s="63"/>
      <c r="K65" s="1"/>
      <c r="L65" s="8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65" t="s">
        <v>140</v>
      </c>
      <c r="C66" s="66"/>
      <c r="D66" s="67">
        <f>COUNT(A17:A64)</f>
        <v>48</v>
      </c>
      <c r="E66" s="63"/>
      <c r="F66" s="63"/>
      <c r="G66" s="68" t="s">
        <v>141</v>
      </c>
      <c r="H66" s="68"/>
      <c r="I66" s="68" t="s">
        <v>142</v>
      </c>
      <c r="K66" s="69" t="s">
        <v>143</v>
      </c>
      <c r="L66" s="70" t="s">
        <v>144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1" t="s">
        <v>145</v>
      </c>
      <c r="C67" s="72"/>
      <c r="D67" s="73">
        <f>COUNTIF(K17:K64,"BAJA")</f>
        <v>0</v>
      </c>
      <c r="E67" s="63"/>
      <c r="F67" s="63"/>
      <c r="H67" s="68"/>
      <c r="L67" s="10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1" t="s">
        <v>146</v>
      </c>
      <c r="C68" s="72"/>
      <c r="D68" s="74">
        <f>D66-D67</f>
        <v>48</v>
      </c>
      <c r="E68" s="63"/>
      <c r="F68" s="63"/>
      <c r="G68" s="75"/>
      <c r="H68" s="76"/>
      <c r="I68" s="75"/>
      <c r="J68" s="75"/>
      <c r="K68" s="77"/>
      <c r="L68" s="7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B69" s="71" t="s">
        <v>147</v>
      </c>
      <c r="C69" s="72"/>
      <c r="D69" s="79">
        <f>COUNTIF(K17:K64,"&gt;=6")</f>
        <v>0</v>
      </c>
      <c r="E69" s="63"/>
      <c r="F69" s="63"/>
      <c r="G69" s="75"/>
      <c r="H69" s="76"/>
      <c r="I69" s="75"/>
      <c r="J69" s="75"/>
      <c r="K69" s="77"/>
      <c r="L69" s="78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B70" s="71" t="s">
        <v>148</v>
      </c>
      <c r="C70" s="72"/>
      <c r="D70" s="79">
        <f>D68-D69</f>
        <v>48</v>
      </c>
      <c r="E70" s="63"/>
      <c r="F70" s="63"/>
      <c r="G70" s="80"/>
      <c r="H70" s="76"/>
      <c r="I70" s="80"/>
      <c r="J70" s="80"/>
      <c r="K70" s="81"/>
      <c r="L70" s="8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B71" s="71" t="s">
        <v>149</v>
      </c>
      <c r="C71" s="72"/>
      <c r="D71" s="83">
        <f>D69*100/D68</f>
        <v>0</v>
      </c>
      <c r="E71" s="63"/>
      <c r="F71" s="63"/>
      <c r="G71" s="84" t="s">
        <v>150</v>
      </c>
      <c r="H71" s="85"/>
      <c r="I71" s="86" t="s">
        <v>151</v>
      </c>
      <c r="K71" s="86" t="s">
        <v>152</v>
      </c>
      <c r="L71" s="87" t="s">
        <v>153</v>
      </c>
      <c r="M71" s="88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B72" s="89" t="s">
        <v>154</v>
      </c>
      <c r="C72" s="90"/>
      <c r="D72" s="91">
        <f>AVERAGE(K17:K64)</f>
        <v>5</v>
      </c>
      <c r="E72" s="63"/>
      <c r="F72" s="63"/>
      <c r="H72" s="85"/>
      <c r="L72" s="1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6"/>
      <c r="B73" s="1"/>
      <c r="C73" s="1"/>
      <c r="D73" s="1"/>
      <c r="E73" s="1"/>
      <c r="F73" s="1"/>
      <c r="G73" s="1"/>
      <c r="H73" s="1"/>
      <c r="I73" s="1"/>
      <c r="J73" s="1"/>
      <c r="K73" s="1"/>
      <c r="L73" s="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2"/>
      <c r="B74" s="93"/>
      <c r="C74" s="94"/>
      <c r="D74" s="94"/>
      <c r="E74" s="63"/>
      <c r="H74" s="7"/>
      <c r="I74" s="7"/>
      <c r="J74" s="7"/>
      <c r="K74" s="7"/>
      <c r="L74" s="95"/>
      <c r="M74" s="9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97"/>
      <c r="B75" s="63"/>
      <c r="C75" s="63"/>
      <c r="D75" s="63"/>
      <c r="E75" s="7"/>
      <c r="F75" s="7"/>
      <c r="G75" s="1"/>
      <c r="H75" s="1"/>
      <c r="I75" s="1"/>
      <c r="J75" s="1"/>
      <c r="K75" s="1"/>
      <c r="L75" s="8"/>
      <c r="M75" s="98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97"/>
      <c r="B76" s="63"/>
      <c r="C76" s="63"/>
      <c r="D76" s="63"/>
      <c r="E76" s="7"/>
      <c r="F76" s="7"/>
      <c r="G76" s="1"/>
      <c r="H76" s="1"/>
      <c r="I76" s="1"/>
      <c r="J76" s="1"/>
      <c r="K76" s="1"/>
      <c r="L76" s="8"/>
      <c r="M76" s="98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99"/>
      <c r="B77" s="100"/>
      <c r="C77" s="100"/>
      <c r="D77" s="100"/>
      <c r="E77" s="101"/>
      <c r="F77" s="101"/>
      <c r="G77" s="102"/>
      <c r="H77" s="102"/>
      <c r="I77" s="102"/>
      <c r="J77" s="102"/>
      <c r="K77" s="102"/>
      <c r="L77" s="103"/>
      <c r="M77" s="98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4"/>
      <c r="C78" s="104"/>
      <c r="D78" s="104"/>
      <c r="E78" s="104"/>
      <c r="F78" s="104"/>
      <c r="G78" s="1"/>
      <c r="H78" s="1"/>
      <c r="I78" s="1"/>
      <c r="J78" s="1"/>
      <c r="K78" s="105"/>
      <c r="L78" s="105"/>
      <c r="M78" s="10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4"/>
      <c r="C79" s="104"/>
      <c r="D79" s="104"/>
      <c r="E79" s="104"/>
      <c r="F79" s="104"/>
      <c r="G79" s="1"/>
      <c r="H79" s="1"/>
      <c r="I79" s="1"/>
      <c r="J79" s="1"/>
      <c r="K79" s="105"/>
      <c r="L79" s="105"/>
      <c r="M79" s="10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4"/>
      <c r="C80" s="104"/>
      <c r="D80" s="104"/>
      <c r="E80" s="104"/>
      <c r="F80" s="104"/>
      <c r="G80" s="1"/>
      <c r="H80" s="1"/>
      <c r="I80" s="1"/>
      <c r="J80" s="1"/>
      <c r="K80" s="105"/>
      <c r="L80" s="105"/>
      <c r="M80" s="10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4"/>
      <c r="C81" s="104"/>
      <c r="D81" s="104"/>
      <c r="E81" s="104"/>
      <c r="F81" s="104"/>
      <c r="G81" s="1"/>
      <c r="H81" s="1"/>
      <c r="I81" s="1"/>
      <c r="J81" s="1"/>
      <c r="K81" s="105"/>
      <c r="L81" s="105"/>
      <c r="M81" s="105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4"/>
      <c r="C82" s="104"/>
      <c r="D82" s="104"/>
      <c r="E82" s="104"/>
      <c r="F82" s="10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4"/>
      <c r="C83" s="104"/>
      <c r="D83" s="104"/>
      <c r="E83" s="104"/>
      <c r="F83" s="104"/>
      <c r="G83" s="1"/>
      <c r="H83" s="1"/>
      <c r="I83" s="1"/>
      <c r="J83" s="1"/>
      <c r="K83" s="1"/>
      <c r="L83" s="106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4"/>
      <c r="C84" s="104"/>
      <c r="D84" s="104"/>
      <c r="E84" s="104"/>
      <c r="F84" s="10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4"/>
      <c r="C85" s="104"/>
      <c r="D85" s="104"/>
      <c r="E85" s="104"/>
      <c r="F85" s="10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4"/>
      <c r="C86" s="104"/>
      <c r="D86" s="104"/>
      <c r="E86" s="104"/>
      <c r="F86" s="10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4"/>
      <c r="C87" s="104"/>
      <c r="D87" s="104"/>
      <c r="E87" s="104"/>
      <c r="F87" s="10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4"/>
      <c r="C88" s="104"/>
      <c r="D88" s="104"/>
      <c r="E88" s="104"/>
      <c r="F88" s="10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04"/>
      <c r="C89" s="104"/>
      <c r="D89" s="104"/>
      <c r="E89" s="104"/>
      <c r="F89" s="10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29">
    <mergeCell ref="F14:F15"/>
    <mergeCell ref="G14:G15"/>
    <mergeCell ref="G66:G67"/>
    <mergeCell ref="I66:J67"/>
    <mergeCell ref="K66:K67"/>
    <mergeCell ref="L66:L67"/>
    <mergeCell ref="A9:L9"/>
    <mergeCell ref="E10:L10"/>
    <mergeCell ref="A13:B13"/>
    <mergeCell ref="C13:D13"/>
    <mergeCell ref="H13:H15"/>
    <mergeCell ref="I13:I14"/>
    <mergeCell ref="J13:L14"/>
    <mergeCell ref="J15:L15"/>
    <mergeCell ref="B70:C70"/>
    <mergeCell ref="B71:C71"/>
    <mergeCell ref="G71:G72"/>
    <mergeCell ref="I71:J72"/>
    <mergeCell ref="K71:K72"/>
    <mergeCell ref="L71:L72"/>
    <mergeCell ref="B72:C72"/>
    <mergeCell ref="E74:G74"/>
    <mergeCell ref="B14:D14"/>
    <mergeCell ref="E14:E15"/>
    <mergeCell ref="B16:D16"/>
    <mergeCell ref="B66:C66"/>
    <mergeCell ref="B67:C67"/>
    <mergeCell ref="B68:C68"/>
    <mergeCell ref="B69:C69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4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27" t="s">
        <v>158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6"/>
      <c r="I17" s="57">
        <f t="shared" ref="I17:I64" si="1">SUM(E17:H17)</f>
        <v>0</v>
      </c>
      <c r="J17" s="58"/>
      <c r="K17" s="59">
        <f t="shared" ref="K17:K64" si="2">IF(M17&lt;6,5,M17)</f>
        <v>5</v>
      </c>
      <c r="L17" s="60"/>
      <c r="M17" s="61">
        <f t="shared" ref="M17:M64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6"/>
      <c r="I18" s="57">
        <f t="shared" si="1"/>
        <v>0</v>
      </c>
      <c r="J18" s="58"/>
      <c r="K18" s="59">
        <f t="shared" si="2"/>
        <v>5</v>
      </c>
      <c r="L18" s="52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6"/>
      <c r="F19" s="56"/>
      <c r="G19" s="55"/>
      <c r="H19" s="56"/>
      <c r="I19" s="57">
        <f t="shared" si="1"/>
        <v>0</v>
      </c>
      <c r="J19" s="58"/>
      <c r="K19" s="59">
        <f t="shared" si="2"/>
        <v>5</v>
      </c>
      <c r="L19" s="52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6"/>
      <c r="I20" s="57">
        <f t="shared" si="1"/>
        <v>0</v>
      </c>
      <c r="J20" s="58"/>
      <c r="K20" s="59">
        <f t="shared" si="2"/>
        <v>5</v>
      </c>
      <c r="L20" s="52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6"/>
      <c r="I21" s="57">
        <f t="shared" si="1"/>
        <v>0</v>
      </c>
      <c r="J21" s="58"/>
      <c r="K21" s="59">
        <f t="shared" si="2"/>
        <v>5</v>
      </c>
      <c r="L21" s="52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6"/>
      <c r="I22" s="57">
        <f t="shared" si="1"/>
        <v>0</v>
      </c>
      <c r="J22" s="58"/>
      <c r="K22" s="59">
        <f t="shared" si="2"/>
        <v>5</v>
      </c>
      <c r="L22" s="52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6"/>
      <c r="I23" s="57">
        <f t="shared" si="1"/>
        <v>0</v>
      </c>
      <c r="J23" s="58"/>
      <c r="K23" s="59">
        <f t="shared" si="2"/>
        <v>5</v>
      </c>
      <c r="L23" s="52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6"/>
      <c r="F24" s="56"/>
      <c r="G24" s="55"/>
      <c r="H24" s="56"/>
      <c r="I24" s="57">
        <f t="shared" si="1"/>
        <v>0</v>
      </c>
      <c r="J24" s="58"/>
      <c r="K24" s="59">
        <f t="shared" si="2"/>
        <v>5</v>
      </c>
      <c r="L24" s="52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6"/>
      <c r="I25" s="57">
        <f t="shared" si="1"/>
        <v>0</v>
      </c>
      <c r="J25" s="58"/>
      <c r="K25" s="59">
        <f t="shared" si="2"/>
        <v>5</v>
      </c>
      <c r="L25" s="52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6"/>
      <c r="F26" s="56"/>
      <c r="G26" s="55"/>
      <c r="H26" s="56"/>
      <c r="I26" s="57">
        <f t="shared" si="1"/>
        <v>0</v>
      </c>
      <c r="J26" s="58"/>
      <c r="K26" s="59">
        <f t="shared" si="2"/>
        <v>5</v>
      </c>
      <c r="L26" s="52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52</v>
      </c>
      <c r="C27" s="53" t="s">
        <v>53</v>
      </c>
      <c r="D27" s="54" t="s">
        <v>54</v>
      </c>
      <c r="E27" s="55"/>
      <c r="F27" s="55"/>
      <c r="G27" s="55"/>
      <c r="H27" s="56"/>
      <c r="I27" s="57">
        <f t="shared" si="1"/>
        <v>0</v>
      </c>
      <c r="J27" s="58"/>
      <c r="K27" s="59">
        <f t="shared" si="2"/>
        <v>5</v>
      </c>
      <c r="L27" s="52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44</v>
      </c>
      <c r="C28" s="53" t="s">
        <v>55</v>
      </c>
      <c r="D28" s="54" t="s">
        <v>56</v>
      </c>
      <c r="E28" s="55"/>
      <c r="F28" s="55"/>
      <c r="G28" s="55"/>
      <c r="H28" s="56"/>
      <c r="I28" s="57">
        <f t="shared" si="1"/>
        <v>0</v>
      </c>
      <c r="J28" s="58"/>
      <c r="K28" s="59">
        <f t="shared" si="2"/>
        <v>5</v>
      </c>
      <c r="L28" s="52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57</v>
      </c>
      <c r="C29" s="53" t="s">
        <v>58</v>
      </c>
      <c r="D29" s="54" t="s">
        <v>59</v>
      </c>
      <c r="E29" s="55"/>
      <c r="F29" s="55"/>
      <c r="G29" s="55"/>
      <c r="H29" s="56"/>
      <c r="I29" s="57">
        <f t="shared" si="1"/>
        <v>0</v>
      </c>
      <c r="J29" s="58"/>
      <c r="K29" s="59">
        <f t="shared" si="2"/>
        <v>5</v>
      </c>
      <c r="L29" s="52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35</v>
      </c>
      <c r="C30" s="53" t="s">
        <v>60</v>
      </c>
      <c r="D30" s="54" t="s">
        <v>61</v>
      </c>
      <c r="E30" s="56"/>
      <c r="F30" s="56"/>
      <c r="G30" s="55"/>
      <c r="H30" s="56"/>
      <c r="I30" s="57">
        <f t="shared" si="1"/>
        <v>0</v>
      </c>
      <c r="J30" s="58"/>
      <c r="K30" s="59">
        <f t="shared" si="2"/>
        <v>5</v>
      </c>
      <c r="L30" s="52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62</v>
      </c>
      <c r="C31" s="53" t="s">
        <v>32</v>
      </c>
      <c r="D31" s="54" t="s">
        <v>63</v>
      </c>
      <c r="E31" s="56"/>
      <c r="F31" s="56"/>
      <c r="G31" s="55"/>
      <c r="H31" s="56"/>
      <c r="I31" s="57">
        <f t="shared" si="1"/>
        <v>0</v>
      </c>
      <c r="J31" s="58"/>
      <c r="K31" s="59">
        <f t="shared" si="2"/>
        <v>5</v>
      </c>
      <c r="L31" s="52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64</v>
      </c>
      <c r="C32" s="53" t="s">
        <v>65</v>
      </c>
      <c r="D32" s="54" t="s">
        <v>66</v>
      </c>
      <c r="E32" s="55"/>
      <c r="F32" s="55"/>
      <c r="G32" s="55"/>
      <c r="H32" s="56"/>
      <c r="I32" s="57">
        <f t="shared" si="1"/>
        <v>0</v>
      </c>
      <c r="J32" s="58"/>
      <c r="K32" s="59">
        <f t="shared" si="2"/>
        <v>5</v>
      </c>
      <c r="L32" s="52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67</v>
      </c>
      <c r="C33" s="53" t="s">
        <v>67</v>
      </c>
      <c r="D33" s="54" t="s">
        <v>68</v>
      </c>
      <c r="E33" s="55"/>
      <c r="F33" s="55"/>
      <c r="G33" s="55"/>
      <c r="H33" s="56"/>
      <c r="I33" s="57">
        <f t="shared" si="1"/>
        <v>0</v>
      </c>
      <c r="J33" s="58"/>
      <c r="K33" s="59">
        <f t="shared" si="2"/>
        <v>5</v>
      </c>
      <c r="L33" s="52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69</v>
      </c>
      <c r="C34" s="53" t="s">
        <v>67</v>
      </c>
      <c r="D34" s="54" t="s">
        <v>70</v>
      </c>
      <c r="E34" s="56"/>
      <c r="F34" s="56"/>
      <c r="G34" s="55"/>
      <c r="H34" s="56"/>
      <c r="I34" s="57">
        <f t="shared" si="1"/>
        <v>0</v>
      </c>
      <c r="J34" s="58"/>
      <c r="K34" s="59">
        <f t="shared" si="2"/>
        <v>5</v>
      </c>
      <c r="L34" s="52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69</v>
      </c>
      <c r="C35" s="53" t="s">
        <v>71</v>
      </c>
      <c r="D35" s="54" t="s">
        <v>72</v>
      </c>
      <c r="E35" s="55"/>
      <c r="F35" s="55"/>
      <c r="G35" s="55"/>
      <c r="H35" s="56"/>
      <c r="I35" s="57">
        <f t="shared" si="1"/>
        <v>0</v>
      </c>
      <c r="J35" s="58"/>
      <c r="K35" s="59">
        <f t="shared" si="2"/>
        <v>5</v>
      </c>
      <c r="L35" s="52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73</v>
      </c>
      <c r="C36" s="53" t="s">
        <v>38</v>
      </c>
      <c r="D36" s="54" t="s">
        <v>74</v>
      </c>
      <c r="E36" s="55"/>
      <c r="F36" s="55"/>
      <c r="G36" s="55"/>
      <c r="H36" s="56"/>
      <c r="I36" s="57">
        <f t="shared" si="1"/>
        <v>0</v>
      </c>
      <c r="J36" s="58"/>
      <c r="K36" s="59">
        <f t="shared" si="2"/>
        <v>5</v>
      </c>
      <c r="L36" s="52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75</v>
      </c>
      <c r="C37" s="53" t="s">
        <v>76</v>
      </c>
      <c r="D37" s="54" t="s">
        <v>77</v>
      </c>
      <c r="E37" s="56"/>
      <c r="F37" s="56"/>
      <c r="G37" s="55"/>
      <c r="H37" s="56"/>
      <c r="I37" s="57">
        <f t="shared" si="1"/>
        <v>0</v>
      </c>
      <c r="J37" s="58"/>
      <c r="K37" s="59">
        <f t="shared" si="2"/>
        <v>5</v>
      </c>
      <c r="L37" s="52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47</v>
      </c>
      <c r="C38" s="53" t="s">
        <v>62</v>
      </c>
      <c r="D38" s="54" t="s">
        <v>78</v>
      </c>
      <c r="E38" s="55"/>
      <c r="F38" s="55"/>
      <c r="G38" s="55"/>
      <c r="H38" s="56"/>
      <c r="I38" s="57">
        <f t="shared" si="1"/>
        <v>0</v>
      </c>
      <c r="J38" s="58"/>
      <c r="K38" s="59">
        <f t="shared" si="2"/>
        <v>5</v>
      </c>
      <c r="L38" s="52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79</v>
      </c>
      <c r="C39" s="53" t="s">
        <v>80</v>
      </c>
      <c r="D39" s="54" t="s">
        <v>81</v>
      </c>
      <c r="E39" s="55"/>
      <c r="F39" s="55"/>
      <c r="G39" s="55"/>
      <c r="H39" s="56"/>
      <c r="I39" s="57">
        <f t="shared" si="1"/>
        <v>0</v>
      </c>
      <c r="J39" s="58"/>
      <c r="K39" s="59">
        <f t="shared" si="2"/>
        <v>5</v>
      </c>
      <c r="L39" s="52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79</v>
      </c>
      <c r="C40" s="53" t="s">
        <v>82</v>
      </c>
      <c r="D40" s="54" t="s">
        <v>83</v>
      </c>
      <c r="E40" s="55"/>
      <c r="F40" s="55"/>
      <c r="G40" s="55"/>
      <c r="H40" s="56"/>
      <c r="I40" s="57">
        <f t="shared" si="1"/>
        <v>0</v>
      </c>
      <c r="J40" s="58"/>
      <c r="K40" s="59">
        <f t="shared" si="2"/>
        <v>5</v>
      </c>
      <c r="L40" s="52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32</v>
      </c>
      <c r="C41" s="53" t="s">
        <v>84</v>
      </c>
      <c r="D41" s="54" t="s">
        <v>85</v>
      </c>
      <c r="E41" s="55"/>
      <c r="F41" s="55"/>
      <c r="G41" s="55"/>
      <c r="H41" s="56"/>
      <c r="I41" s="57">
        <f t="shared" si="1"/>
        <v>0</v>
      </c>
      <c r="J41" s="58"/>
      <c r="K41" s="59">
        <f t="shared" si="2"/>
        <v>5</v>
      </c>
      <c r="L41" s="52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86</v>
      </c>
      <c r="C42" s="53" t="s">
        <v>62</v>
      </c>
      <c r="D42" s="54" t="s">
        <v>87</v>
      </c>
      <c r="E42" s="55"/>
      <c r="F42" s="55"/>
      <c r="G42" s="55"/>
      <c r="H42" s="56"/>
      <c r="I42" s="57">
        <f t="shared" si="1"/>
        <v>0</v>
      </c>
      <c r="J42" s="58"/>
      <c r="K42" s="59">
        <f t="shared" si="2"/>
        <v>5</v>
      </c>
      <c r="L42" s="52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88</v>
      </c>
      <c r="C43" s="53" t="s">
        <v>29</v>
      </c>
      <c r="D43" s="54" t="s">
        <v>89</v>
      </c>
      <c r="E43" s="55"/>
      <c r="F43" s="55"/>
      <c r="G43" s="55"/>
      <c r="H43" s="56"/>
      <c r="I43" s="57">
        <f t="shared" si="1"/>
        <v>0</v>
      </c>
      <c r="J43" s="58"/>
      <c r="K43" s="59">
        <f t="shared" si="2"/>
        <v>5</v>
      </c>
      <c r="L43" s="52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90</v>
      </c>
      <c r="C44" s="53" t="s">
        <v>91</v>
      </c>
      <c r="D44" s="54" t="s">
        <v>92</v>
      </c>
      <c r="E44" s="55"/>
      <c r="F44" s="55"/>
      <c r="G44" s="55"/>
      <c r="H44" s="56"/>
      <c r="I44" s="57">
        <f t="shared" si="1"/>
        <v>0</v>
      </c>
      <c r="J44" s="58"/>
      <c r="K44" s="59">
        <f t="shared" si="2"/>
        <v>5</v>
      </c>
      <c r="L44" s="52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93</v>
      </c>
      <c r="C45" s="53" t="s">
        <v>94</v>
      </c>
      <c r="D45" s="54" t="s">
        <v>95</v>
      </c>
      <c r="E45" s="55"/>
      <c r="F45" s="55"/>
      <c r="G45" s="55"/>
      <c r="H45" s="56"/>
      <c r="I45" s="57">
        <f t="shared" si="1"/>
        <v>0</v>
      </c>
      <c r="J45" s="58"/>
      <c r="K45" s="59">
        <f t="shared" si="2"/>
        <v>5</v>
      </c>
      <c r="L45" s="52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96</v>
      </c>
      <c r="C46" s="53" t="s">
        <v>97</v>
      </c>
      <c r="D46" s="54" t="s">
        <v>98</v>
      </c>
      <c r="E46" s="55"/>
      <c r="F46" s="55"/>
      <c r="G46" s="55"/>
      <c r="H46" s="56"/>
      <c r="I46" s="57">
        <f t="shared" si="1"/>
        <v>0</v>
      </c>
      <c r="J46" s="58"/>
      <c r="K46" s="59">
        <f t="shared" si="2"/>
        <v>5</v>
      </c>
      <c r="L46" s="52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99</v>
      </c>
      <c r="C47" s="53" t="s">
        <v>100</v>
      </c>
      <c r="D47" s="54" t="s">
        <v>101</v>
      </c>
      <c r="E47" s="55"/>
      <c r="F47" s="55"/>
      <c r="G47" s="55"/>
      <c r="H47" s="56"/>
      <c r="I47" s="57">
        <f t="shared" si="1"/>
        <v>0</v>
      </c>
      <c r="J47" s="58"/>
      <c r="K47" s="59">
        <f t="shared" si="2"/>
        <v>5</v>
      </c>
      <c r="L47" s="52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102</v>
      </c>
      <c r="C48" s="53" t="s">
        <v>103</v>
      </c>
      <c r="D48" s="54" t="s">
        <v>104</v>
      </c>
      <c r="E48" s="55"/>
      <c r="F48" s="55"/>
      <c r="G48" s="55"/>
      <c r="H48" s="56"/>
      <c r="I48" s="57">
        <f t="shared" si="1"/>
        <v>0</v>
      </c>
      <c r="J48" s="58"/>
      <c r="K48" s="59">
        <f t="shared" si="2"/>
        <v>5</v>
      </c>
      <c r="L48" s="52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105</v>
      </c>
      <c r="C49" s="53" t="s">
        <v>22</v>
      </c>
      <c r="D49" s="54" t="s">
        <v>106</v>
      </c>
      <c r="E49" s="55"/>
      <c r="F49" s="55"/>
      <c r="G49" s="55"/>
      <c r="H49" s="56"/>
      <c r="I49" s="57">
        <f t="shared" si="1"/>
        <v>0</v>
      </c>
      <c r="J49" s="58"/>
      <c r="K49" s="59">
        <f t="shared" si="2"/>
        <v>5</v>
      </c>
      <c r="L49" s="52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23</v>
      </c>
      <c r="C50" s="53" t="s">
        <v>107</v>
      </c>
      <c r="D50" s="54" t="s">
        <v>108</v>
      </c>
      <c r="E50" s="55"/>
      <c r="F50" s="55"/>
      <c r="G50" s="55"/>
      <c r="H50" s="56"/>
      <c r="I50" s="57">
        <f t="shared" si="1"/>
        <v>0</v>
      </c>
      <c r="J50" s="58"/>
      <c r="K50" s="59">
        <f t="shared" si="2"/>
        <v>5</v>
      </c>
      <c r="L50" s="52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23</v>
      </c>
      <c r="C51" s="53" t="s">
        <v>109</v>
      </c>
      <c r="D51" s="54" t="s">
        <v>110</v>
      </c>
      <c r="E51" s="55"/>
      <c r="F51" s="55"/>
      <c r="G51" s="55"/>
      <c r="H51" s="56"/>
      <c r="I51" s="57">
        <f t="shared" si="1"/>
        <v>0</v>
      </c>
      <c r="J51" s="58"/>
      <c r="K51" s="59">
        <f t="shared" si="2"/>
        <v>5</v>
      </c>
      <c r="L51" s="52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111</v>
      </c>
      <c r="C52" s="53" t="s">
        <v>62</v>
      </c>
      <c r="D52" s="54" t="s">
        <v>112</v>
      </c>
      <c r="E52" s="55"/>
      <c r="F52" s="55"/>
      <c r="G52" s="55"/>
      <c r="H52" s="56"/>
      <c r="I52" s="57">
        <f t="shared" si="1"/>
        <v>0</v>
      </c>
      <c r="J52" s="58"/>
      <c r="K52" s="59">
        <f t="shared" si="2"/>
        <v>5</v>
      </c>
      <c r="L52" s="52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111</v>
      </c>
      <c r="C53" s="53" t="s">
        <v>73</v>
      </c>
      <c r="D53" s="54" t="s">
        <v>113</v>
      </c>
      <c r="E53" s="55"/>
      <c r="F53" s="55"/>
      <c r="G53" s="55"/>
      <c r="H53" s="56"/>
      <c r="I53" s="57">
        <f t="shared" si="1"/>
        <v>0</v>
      </c>
      <c r="J53" s="58"/>
      <c r="K53" s="59">
        <f t="shared" si="2"/>
        <v>5</v>
      </c>
      <c r="L53" s="52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114</v>
      </c>
      <c r="C54" s="53" t="s">
        <v>69</v>
      </c>
      <c r="D54" s="54" t="s">
        <v>115</v>
      </c>
      <c r="E54" s="55"/>
      <c r="F54" s="55"/>
      <c r="G54" s="55"/>
      <c r="H54" s="56"/>
      <c r="I54" s="57">
        <f t="shared" si="1"/>
        <v>0</v>
      </c>
      <c r="J54" s="58"/>
      <c r="K54" s="59">
        <f t="shared" si="2"/>
        <v>5</v>
      </c>
      <c r="L54" s="52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116</v>
      </c>
      <c r="C55" s="53" t="s">
        <v>117</v>
      </c>
      <c r="D55" s="54" t="s">
        <v>118</v>
      </c>
      <c r="E55" s="55"/>
      <c r="F55" s="55"/>
      <c r="G55" s="55"/>
      <c r="H55" s="56"/>
      <c r="I55" s="57">
        <f t="shared" si="1"/>
        <v>0</v>
      </c>
      <c r="J55" s="62"/>
      <c r="K55" s="59">
        <f t="shared" si="2"/>
        <v>5</v>
      </c>
      <c r="L55" s="52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119</v>
      </c>
      <c r="C56" s="53" t="s">
        <v>120</v>
      </c>
      <c r="D56" s="54" t="s">
        <v>121</v>
      </c>
      <c r="E56" s="55"/>
      <c r="F56" s="55"/>
      <c r="G56" s="55"/>
      <c r="H56" s="56"/>
      <c r="I56" s="57">
        <f t="shared" si="1"/>
        <v>0</v>
      </c>
      <c r="J56" s="62"/>
      <c r="K56" s="59">
        <f t="shared" si="2"/>
        <v>5</v>
      </c>
      <c r="L56" s="52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122</v>
      </c>
      <c r="C57" s="53" t="s">
        <v>123</v>
      </c>
      <c r="D57" s="54" t="s">
        <v>124</v>
      </c>
      <c r="E57" s="55"/>
      <c r="F57" s="55"/>
      <c r="G57" s="55"/>
      <c r="H57" s="56"/>
      <c r="I57" s="57">
        <f t="shared" si="1"/>
        <v>0</v>
      </c>
      <c r="J57" s="62"/>
      <c r="K57" s="59">
        <f t="shared" si="2"/>
        <v>5</v>
      </c>
      <c r="L57" s="52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2">
        <v>42.0</v>
      </c>
      <c r="B58" s="53" t="s">
        <v>123</v>
      </c>
      <c r="C58" s="53" t="s">
        <v>90</v>
      </c>
      <c r="D58" s="54" t="s">
        <v>125</v>
      </c>
      <c r="E58" s="55"/>
      <c r="F58" s="55"/>
      <c r="G58" s="55"/>
      <c r="H58" s="56"/>
      <c r="I58" s="57">
        <f t="shared" si="1"/>
        <v>0</v>
      </c>
      <c r="J58" s="62"/>
      <c r="K58" s="59">
        <f t="shared" si="2"/>
        <v>5</v>
      </c>
      <c r="L58" s="52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2">
        <v>43.0</v>
      </c>
      <c r="B59" s="53" t="s">
        <v>97</v>
      </c>
      <c r="C59" s="53" t="s">
        <v>126</v>
      </c>
      <c r="D59" s="54" t="s">
        <v>127</v>
      </c>
      <c r="E59" s="55"/>
      <c r="F59" s="55"/>
      <c r="G59" s="55"/>
      <c r="H59" s="56"/>
      <c r="I59" s="57">
        <f t="shared" si="1"/>
        <v>0</v>
      </c>
      <c r="J59" s="62"/>
      <c r="K59" s="59">
        <f t="shared" si="2"/>
        <v>5</v>
      </c>
      <c r="L59" s="52"/>
      <c r="M59" s="60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2">
        <v>44.0</v>
      </c>
      <c r="B60" s="53" t="s">
        <v>128</v>
      </c>
      <c r="C60" s="53" t="s">
        <v>124</v>
      </c>
      <c r="D60" s="54" t="s">
        <v>129</v>
      </c>
      <c r="E60" s="55"/>
      <c r="F60" s="55"/>
      <c r="G60" s="55"/>
      <c r="H60" s="56"/>
      <c r="I60" s="57">
        <f t="shared" si="1"/>
        <v>0</v>
      </c>
      <c r="J60" s="62"/>
      <c r="K60" s="59">
        <f t="shared" si="2"/>
        <v>5</v>
      </c>
      <c r="L60" s="52"/>
      <c r="M60" s="60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2">
        <v>45.0</v>
      </c>
      <c r="B61" s="53" t="s">
        <v>130</v>
      </c>
      <c r="C61" s="53" t="s">
        <v>131</v>
      </c>
      <c r="D61" s="54" t="s">
        <v>132</v>
      </c>
      <c r="E61" s="55"/>
      <c r="F61" s="55"/>
      <c r="G61" s="55"/>
      <c r="H61" s="56"/>
      <c r="I61" s="57">
        <f t="shared" si="1"/>
        <v>0</v>
      </c>
      <c r="J61" s="62"/>
      <c r="K61" s="59">
        <f t="shared" si="2"/>
        <v>5</v>
      </c>
      <c r="L61" s="52"/>
      <c r="M61" s="60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2">
        <v>46.0</v>
      </c>
      <c r="B62" s="53" t="s">
        <v>133</v>
      </c>
      <c r="C62" s="53" t="s">
        <v>67</v>
      </c>
      <c r="D62" s="54" t="s">
        <v>134</v>
      </c>
      <c r="E62" s="55"/>
      <c r="F62" s="55"/>
      <c r="G62" s="55"/>
      <c r="H62" s="56"/>
      <c r="I62" s="57">
        <f t="shared" si="1"/>
        <v>0</v>
      </c>
      <c r="J62" s="62"/>
      <c r="K62" s="59">
        <f t="shared" si="2"/>
        <v>5</v>
      </c>
      <c r="L62" s="52"/>
      <c r="M62" s="60">
        <f t="shared" si="3"/>
        <v>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2">
        <v>47.0</v>
      </c>
      <c r="B63" s="53" t="s">
        <v>135</v>
      </c>
      <c r="C63" s="53" t="s">
        <v>136</v>
      </c>
      <c r="D63" s="54" t="s">
        <v>137</v>
      </c>
      <c r="E63" s="55"/>
      <c r="F63" s="55"/>
      <c r="G63" s="55"/>
      <c r="H63" s="56"/>
      <c r="I63" s="57">
        <f t="shared" si="1"/>
        <v>0</v>
      </c>
      <c r="J63" s="62"/>
      <c r="K63" s="59">
        <f t="shared" si="2"/>
        <v>5</v>
      </c>
      <c r="L63" s="52"/>
      <c r="M63" s="60">
        <f t="shared" si="3"/>
        <v>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2">
        <v>48.0</v>
      </c>
      <c r="B64" s="53" t="s">
        <v>138</v>
      </c>
      <c r="C64" s="53" t="s">
        <v>67</v>
      </c>
      <c r="D64" s="54" t="s">
        <v>139</v>
      </c>
      <c r="E64" s="55"/>
      <c r="F64" s="55"/>
      <c r="G64" s="55"/>
      <c r="H64" s="56"/>
      <c r="I64" s="57">
        <f t="shared" si="1"/>
        <v>0</v>
      </c>
      <c r="J64" s="62"/>
      <c r="K64" s="59">
        <f t="shared" si="2"/>
        <v>5</v>
      </c>
      <c r="L64" s="52"/>
      <c r="M64" s="60">
        <f t="shared" si="3"/>
        <v>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6"/>
      <c r="B65" s="63"/>
      <c r="C65" s="63"/>
      <c r="D65" s="63"/>
      <c r="E65" s="64"/>
      <c r="F65" s="64"/>
      <c r="G65" s="63"/>
      <c r="H65" s="63"/>
      <c r="I65" s="63"/>
      <c r="J65" s="63"/>
      <c r="K65" s="1"/>
      <c r="L65" s="8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65" t="s">
        <v>140</v>
      </c>
      <c r="C66" s="66"/>
      <c r="D66" s="67">
        <f>COUNT(A17:A64)</f>
        <v>48</v>
      </c>
      <c r="E66" s="63"/>
      <c r="F66" s="63"/>
      <c r="G66" s="68" t="s">
        <v>141</v>
      </c>
      <c r="H66" s="68"/>
      <c r="I66" s="68" t="s">
        <v>142</v>
      </c>
      <c r="K66" s="69" t="s">
        <v>143</v>
      </c>
      <c r="L66" s="70" t="s">
        <v>144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1" t="s">
        <v>145</v>
      </c>
      <c r="C67" s="72"/>
      <c r="D67" s="73">
        <f>COUNTIF(K17:K64,"BAJA")</f>
        <v>0</v>
      </c>
      <c r="E67" s="63"/>
      <c r="F67" s="63"/>
      <c r="H67" s="68"/>
      <c r="L67" s="10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1" t="s">
        <v>146</v>
      </c>
      <c r="C68" s="72"/>
      <c r="D68" s="74">
        <f>D66-D67</f>
        <v>48</v>
      </c>
      <c r="E68" s="63"/>
      <c r="F68" s="63"/>
      <c r="G68" s="75"/>
      <c r="H68" s="76"/>
      <c r="I68" s="75"/>
      <c r="J68" s="75"/>
      <c r="K68" s="77"/>
      <c r="L68" s="7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B69" s="71" t="s">
        <v>147</v>
      </c>
      <c r="C69" s="72"/>
      <c r="D69" s="79">
        <f>COUNTIF(K17:K64,"&gt;=6")</f>
        <v>0</v>
      </c>
      <c r="E69" s="63"/>
      <c r="F69" s="63"/>
      <c r="G69" s="75"/>
      <c r="H69" s="76"/>
      <c r="I69" s="75"/>
      <c r="J69" s="75"/>
      <c r="K69" s="77"/>
      <c r="L69" s="78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B70" s="71" t="s">
        <v>148</v>
      </c>
      <c r="C70" s="72"/>
      <c r="D70" s="79">
        <f>D68-D69</f>
        <v>48</v>
      </c>
      <c r="E70" s="63"/>
      <c r="F70" s="63"/>
      <c r="G70" s="80"/>
      <c r="H70" s="76"/>
      <c r="I70" s="80"/>
      <c r="J70" s="80"/>
      <c r="K70" s="81"/>
      <c r="L70" s="8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B71" s="71" t="s">
        <v>149</v>
      </c>
      <c r="C71" s="72"/>
      <c r="D71" s="83">
        <f>D69*100/D68</f>
        <v>0</v>
      </c>
      <c r="E71" s="63"/>
      <c r="F71" s="63"/>
      <c r="G71" s="84" t="s">
        <v>150</v>
      </c>
      <c r="H71" s="85"/>
      <c r="I71" s="86" t="s">
        <v>151</v>
      </c>
      <c r="K71" s="86" t="s">
        <v>152</v>
      </c>
      <c r="L71" s="87" t="s">
        <v>153</v>
      </c>
      <c r="M71" s="88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B72" s="89" t="s">
        <v>154</v>
      </c>
      <c r="C72" s="90"/>
      <c r="D72" s="91">
        <f>AVERAGE(K17:K64)</f>
        <v>5</v>
      </c>
      <c r="E72" s="63"/>
      <c r="F72" s="63"/>
      <c r="H72" s="85"/>
      <c r="L72" s="1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6"/>
      <c r="B73" s="1"/>
      <c r="C73" s="1"/>
      <c r="D73" s="1"/>
      <c r="E73" s="1"/>
      <c r="F73" s="1"/>
      <c r="G73" s="1"/>
      <c r="H73" s="1"/>
      <c r="I73" s="1"/>
      <c r="J73" s="1"/>
      <c r="K73" s="1"/>
      <c r="L73" s="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2"/>
      <c r="B74" s="93"/>
      <c r="C74" s="94"/>
      <c r="D74" s="94"/>
      <c r="E74" s="63"/>
      <c r="H74" s="7"/>
      <c r="I74" s="7"/>
      <c r="J74" s="7"/>
      <c r="K74" s="7"/>
      <c r="L74" s="95"/>
      <c r="M74" s="9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97"/>
      <c r="B75" s="63"/>
      <c r="C75" s="63"/>
      <c r="D75" s="63"/>
      <c r="E75" s="7"/>
      <c r="F75" s="7"/>
      <c r="G75" s="1"/>
      <c r="H75" s="1"/>
      <c r="I75" s="1"/>
      <c r="J75" s="1"/>
      <c r="K75" s="1"/>
      <c r="L75" s="8"/>
      <c r="M75" s="98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97"/>
      <c r="B76" s="63"/>
      <c r="C76" s="63"/>
      <c r="D76" s="63"/>
      <c r="E76" s="7"/>
      <c r="F76" s="7"/>
      <c r="G76" s="1"/>
      <c r="H76" s="1"/>
      <c r="I76" s="1"/>
      <c r="J76" s="1"/>
      <c r="K76" s="1"/>
      <c r="L76" s="8"/>
      <c r="M76" s="98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99"/>
      <c r="B77" s="100"/>
      <c r="C77" s="100"/>
      <c r="D77" s="100"/>
      <c r="E77" s="101"/>
      <c r="F77" s="101"/>
      <c r="G77" s="102"/>
      <c r="H77" s="102"/>
      <c r="I77" s="102"/>
      <c r="J77" s="102"/>
      <c r="K77" s="102"/>
      <c r="L77" s="103"/>
      <c r="M77" s="98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4"/>
      <c r="C78" s="104"/>
      <c r="D78" s="104"/>
      <c r="E78" s="104"/>
      <c r="F78" s="104"/>
      <c r="G78" s="1"/>
      <c r="H78" s="1"/>
      <c r="I78" s="1"/>
      <c r="J78" s="1"/>
      <c r="K78" s="105"/>
      <c r="L78" s="105"/>
      <c r="M78" s="10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4"/>
      <c r="C79" s="104"/>
      <c r="D79" s="104"/>
      <c r="E79" s="104"/>
      <c r="F79" s="104"/>
      <c r="G79" s="1"/>
      <c r="H79" s="1"/>
      <c r="I79" s="1"/>
      <c r="J79" s="1"/>
      <c r="K79" s="105"/>
      <c r="L79" s="105"/>
      <c r="M79" s="10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4"/>
      <c r="C80" s="104"/>
      <c r="D80" s="104"/>
      <c r="E80" s="104"/>
      <c r="F80" s="104"/>
      <c r="G80" s="1"/>
      <c r="H80" s="1"/>
      <c r="I80" s="1"/>
      <c r="J80" s="1"/>
      <c r="K80" s="105"/>
      <c r="L80" s="105"/>
      <c r="M80" s="10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4"/>
      <c r="C81" s="104"/>
      <c r="D81" s="104"/>
      <c r="E81" s="104"/>
      <c r="F81" s="104"/>
      <c r="G81" s="1"/>
      <c r="H81" s="1"/>
      <c r="I81" s="1"/>
      <c r="J81" s="1"/>
      <c r="K81" s="105"/>
      <c r="L81" s="105"/>
      <c r="M81" s="105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4"/>
      <c r="C82" s="104"/>
      <c r="D82" s="104"/>
      <c r="E82" s="104"/>
      <c r="F82" s="10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4"/>
      <c r="C83" s="104"/>
      <c r="D83" s="104"/>
      <c r="E83" s="104"/>
      <c r="F83" s="104"/>
      <c r="G83" s="1"/>
      <c r="H83" s="1"/>
      <c r="I83" s="1"/>
      <c r="J83" s="1"/>
      <c r="K83" s="1"/>
      <c r="L83" s="106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4"/>
      <c r="C84" s="104"/>
      <c r="D84" s="104"/>
      <c r="E84" s="104"/>
      <c r="F84" s="10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4"/>
      <c r="C85" s="104"/>
      <c r="D85" s="104"/>
      <c r="E85" s="104"/>
      <c r="F85" s="10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4"/>
      <c r="C86" s="104"/>
      <c r="D86" s="104"/>
      <c r="E86" s="104"/>
      <c r="F86" s="10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4"/>
      <c r="C87" s="104"/>
      <c r="D87" s="104"/>
      <c r="E87" s="104"/>
      <c r="F87" s="10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4"/>
      <c r="C88" s="104"/>
      <c r="D88" s="104"/>
      <c r="E88" s="104"/>
      <c r="F88" s="10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04"/>
      <c r="C89" s="104"/>
      <c r="D89" s="104"/>
      <c r="E89" s="104"/>
      <c r="F89" s="10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29">
    <mergeCell ref="F14:F15"/>
    <mergeCell ref="G14:G15"/>
    <mergeCell ref="G66:G67"/>
    <mergeCell ref="I66:J67"/>
    <mergeCell ref="K66:K67"/>
    <mergeCell ref="L66:L67"/>
    <mergeCell ref="A9:L9"/>
    <mergeCell ref="E10:L10"/>
    <mergeCell ref="A13:B13"/>
    <mergeCell ref="C13:D13"/>
    <mergeCell ref="H13:H15"/>
    <mergeCell ref="I13:I14"/>
    <mergeCell ref="J13:L14"/>
    <mergeCell ref="J15:L15"/>
    <mergeCell ref="B70:C70"/>
    <mergeCell ref="B71:C71"/>
    <mergeCell ref="G71:G72"/>
    <mergeCell ref="I71:J72"/>
    <mergeCell ref="K71:K72"/>
    <mergeCell ref="L71:L72"/>
    <mergeCell ref="B72:C72"/>
    <mergeCell ref="E74:G74"/>
    <mergeCell ref="B14:D14"/>
    <mergeCell ref="E14:E15"/>
    <mergeCell ref="B16:D16"/>
    <mergeCell ref="B66:C66"/>
    <mergeCell ref="B67:C67"/>
    <mergeCell ref="B68:C68"/>
    <mergeCell ref="B69:C69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4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27" t="s">
        <v>159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6"/>
      <c r="I17" s="57">
        <f t="shared" ref="I17:I64" si="1">SUM(E17:H17)</f>
        <v>0</v>
      </c>
      <c r="J17" s="58"/>
      <c r="K17" s="59">
        <f t="shared" ref="K17:K64" si="2">IF(M17&lt;6,5,M17)</f>
        <v>5</v>
      </c>
      <c r="L17" s="60"/>
      <c r="M17" s="61">
        <f t="shared" ref="M17:M64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6"/>
      <c r="I18" s="57">
        <f t="shared" si="1"/>
        <v>0</v>
      </c>
      <c r="J18" s="58"/>
      <c r="K18" s="59">
        <f t="shared" si="2"/>
        <v>5</v>
      </c>
      <c r="L18" s="52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6"/>
      <c r="F19" s="56"/>
      <c r="G19" s="55"/>
      <c r="H19" s="56"/>
      <c r="I19" s="57">
        <f t="shared" si="1"/>
        <v>0</v>
      </c>
      <c r="J19" s="58"/>
      <c r="K19" s="59">
        <f t="shared" si="2"/>
        <v>5</v>
      </c>
      <c r="L19" s="52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6"/>
      <c r="I20" s="57">
        <f t="shared" si="1"/>
        <v>0</v>
      </c>
      <c r="J20" s="58"/>
      <c r="K20" s="59">
        <f t="shared" si="2"/>
        <v>5</v>
      </c>
      <c r="L20" s="52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6"/>
      <c r="I21" s="57">
        <f t="shared" si="1"/>
        <v>0</v>
      </c>
      <c r="J21" s="58"/>
      <c r="K21" s="59">
        <f t="shared" si="2"/>
        <v>5</v>
      </c>
      <c r="L21" s="52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6"/>
      <c r="I22" s="57">
        <f t="shared" si="1"/>
        <v>0</v>
      </c>
      <c r="J22" s="58"/>
      <c r="K22" s="59">
        <f t="shared" si="2"/>
        <v>5</v>
      </c>
      <c r="L22" s="52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6"/>
      <c r="I23" s="57">
        <f t="shared" si="1"/>
        <v>0</v>
      </c>
      <c r="J23" s="58"/>
      <c r="K23" s="59">
        <f t="shared" si="2"/>
        <v>5</v>
      </c>
      <c r="L23" s="52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6"/>
      <c r="F24" s="56"/>
      <c r="G24" s="55"/>
      <c r="H24" s="56"/>
      <c r="I24" s="57">
        <f t="shared" si="1"/>
        <v>0</v>
      </c>
      <c r="J24" s="58"/>
      <c r="K24" s="59">
        <f t="shared" si="2"/>
        <v>5</v>
      </c>
      <c r="L24" s="52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6"/>
      <c r="I25" s="57">
        <f t="shared" si="1"/>
        <v>0</v>
      </c>
      <c r="J25" s="58"/>
      <c r="K25" s="59">
        <f t="shared" si="2"/>
        <v>5</v>
      </c>
      <c r="L25" s="52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6"/>
      <c r="F26" s="56"/>
      <c r="G26" s="55"/>
      <c r="H26" s="56"/>
      <c r="I26" s="57">
        <f t="shared" si="1"/>
        <v>0</v>
      </c>
      <c r="J26" s="58"/>
      <c r="K26" s="59">
        <f t="shared" si="2"/>
        <v>5</v>
      </c>
      <c r="L26" s="52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52</v>
      </c>
      <c r="C27" s="53" t="s">
        <v>53</v>
      </c>
      <c r="D27" s="54" t="s">
        <v>54</v>
      </c>
      <c r="E27" s="55"/>
      <c r="F27" s="55"/>
      <c r="G27" s="55"/>
      <c r="H27" s="56"/>
      <c r="I27" s="57">
        <f t="shared" si="1"/>
        <v>0</v>
      </c>
      <c r="J27" s="58"/>
      <c r="K27" s="59">
        <f t="shared" si="2"/>
        <v>5</v>
      </c>
      <c r="L27" s="52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44</v>
      </c>
      <c r="C28" s="53" t="s">
        <v>55</v>
      </c>
      <c r="D28" s="54" t="s">
        <v>56</v>
      </c>
      <c r="E28" s="55"/>
      <c r="F28" s="55"/>
      <c r="G28" s="55"/>
      <c r="H28" s="56"/>
      <c r="I28" s="57">
        <f t="shared" si="1"/>
        <v>0</v>
      </c>
      <c r="J28" s="58"/>
      <c r="K28" s="59">
        <f t="shared" si="2"/>
        <v>5</v>
      </c>
      <c r="L28" s="52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57</v>
      </c>
      <c r="C29" s="53" t="s">
        <v>58</v>
      </c>
      <c r="D29" s="54" t="s">
        <v>59</v>
      </c>
      <c r="E29" s="55"/>
      <c r="F29" s="55"/>
      <c r="G29" s="55"/>
      <c r="H29" s="56"/>
      <c r="I29" s="57">
        <f t="shared" si="1"/>
        <v>0</v>
      </c>
      <c r="J29" s="58"/>
      <c r="K29" s="59">
        <f t="shared" si="2"/>
        <v>5</v>
      </c>
      <c r="L29" s="52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35</v>
      </c>
      <c r="C30" s="53" t="s">
        <v>60</v>
      </c>
      <c r="D30" s="54" t="s">
        <v>61</v>
      </c>
      <c r="E30" s="56"/>
      <c r="F30" s="56"/>
      <c r="G30" s="55"/>
      <c r="H30" s="56"/>
      <c r="I30" s="57">
        <f t="shared" si="1"/>
        <v>0</v>
      </c>
      <c r="J30" s="58"/>
      <c r="K30" s="59">
        <f t="shared" si="2"/>
        <v>5</v>
      </c>
      <c r="L30" s="52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62</v>
      </c>
      <c r="C31" s="53" t="s">
        <v>32</v>
      </c>
      <c r="D31" s="54" t="s">
        <v>63</v>
      </c>
      <c r="E31" s="56"/>
      <c r="F31" s="56"/>
      <c r="G31" s="55"/>
      <c r="H31" s="56"/>
      <c r="I31" s="57">
        <f t="shared" si="1"/>
        <v>0</v>
      </c>
      <c r="J31" s="58"/>
      <c r="K31" s="59">
        <f t="shared" si="2"/>
        <v>5</v>
      </c>
      <c r="L31" s="52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64</v>
      </c>
      <c r="C32" s="53" t="s">
        <v>65</v>
      </c>
      <c r="D32" s="54" t="s">
        <v>66</v>
      </c>
      <c r="E32" s="55"/>
      <c r="F32" s="55"/>
      <c r="G32" s="55"/>
      <c r="H32" s="56"/>
      <c r="I32" s="57">
        <f t="shared" si="1"/>
        <v>0</v>
      </c>
      <c r="J32" s="58"/>
      <c r="K32" s="59">
        <f t="shared" si="2"/>
        <v>5</v>
      </c>
      <c r="L32" s="52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67</v>
      </c>
      <c r="C33" s="53" t="s">
        <v>67</v>
      </c>
      <c r="D33" s="54" t="s">
        <v>68</v>
      </c>
      <c r="E33" s="55"/>
      <c r="F33" s="55"/>
      <c r="G33" s="55"/>
      <c r="H33" s="56"/>
      <c r="I33" s="57">
        <f t="shared" si="1"/>
        <v>0</v>
      </c>
      <c r="J33" s="58"/>
      <c r="K33" s="59">
        <f t="shared" si="2"/>
        <v>5</v>
      </c>
      <c r="L33" s="52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69</v>
      </c>
      <c r="C34" s="53" t="s">
        <v>67</v>
      </c>
      <c r="D34" s="54" t="s">
        <v>70</v>
      </c>
      <c r="E34" s="56"/>
      <c r="F34" s="56"/>
      <c r="G34" s="55"/>
      <c r="H34" s="56"/>
      <c r="I34" s="57">
        <f t="shared" si="1"/>
        <v>0</v>
      </c>
      <c r="J34" s="58"/>
      <c r="K34" s="59">
        <f t="shared" si="2"/>
        <v>5</v>
      </c>
      <c r="L34" s="52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69</v>
      </c>
      <c r="C35" s="53" t="s">
        <v>71</v>
      </c>
      <c r="D35" s="54" t="s">
        <v>72</v>
      </c>
      <c r="E35" s="55"/>
      <c r="F35" s="55"/>
      <c r="G35" s="55"/>
      <c r="H35" s="56"/>
      <c r="I35" s="57">
        <f t="shared" si="1"/>
        <v>0</v>
      </c>
      <c r="J35" s="58"/>
      <c r="K35" s="59">
        <f t="shared" si="2"/>
        <v>5</v>
      </c>
      <c r="L35" s="52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73</v>
      </c>
      <c r="C36" s="53" t="s">
        <v>38</v>
      </c>
      <c r="D36" s="54" t="s">
        <v>74</v>
      </c>
      <c r="E36" s="55"/>
      <c r="F36" s="55"/>
      <c r="G36" s="55"/>
      <c r="H36" s="56"/>
      <c r="I36" s="57">
        <f t="shared" si="1"/>
        <v>0</v>
      </c>
      <c r="J36" s="58"/>
      <c r="K36" s="59">
        <f t="shared" si="2"/>
        <v>5</v>
      </c>
      <c r="L36" s="52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75</v>
      </c>
      <c r="C37" s="53" t="s">
        <v>76</v>
      </c>
      <c r="D37" s="54" t="s">
        <v>77</v>
      </c>
      <c r="E37" s="56"/>
      <c r="F37" s="56"/>
      <c r="G37" s="55"/>
      <c r="H37" s="56"/>
      <c r="I37" s="57">
        <f t="shared" si="1"/>
        <v>0</v>
      </c>
      <c r="J37" s="58"/>
      <c r="K37" s="59">
        <f t="shared" si="2"/>
        <v>5</v>
      </c>
      <c r="L37" s="52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47</v>
      </c>
      <c r="C38" s="53" t="s">
        <v>62</v>
      </c>
      <c r="D38" s="54" t="s">
        <v>78</v>
      </c>
      <c r="E38" s="55"/>
      <c r="F38" s="55"/>
      <c r="G38" s="55"/>
      <c r="H38" s="56"/>
      <c r="I38" s="57">
        <f t="shared" si="1"/>
        <v>0</v>
      </c>
      <c r="J38" s="58"/>
      <c r="K38" s="59">
        <f t="shared" si="2"/>
        <v>5</v>
      </c>
      <c r="L38" s="52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79</v>
      </c>
      <c r="C39" s="53" t="s">
        <v>80</v>
      </c>
      <c r="D39" s="54" t="s">
        <v>81</v>
      </c>
      <c r="E39" s="55"/>
      <c r="F39" s="55"/>
      <c r="G39" s="55"/>
      <c r="H39" s="56"/>
      <c r="I39" s="57">
        <f t="shared" si="1"/>
        <v>0</v>
      </c>
      <c r="J39" s="58"/>
      <c r="K39" s="59">
        <f t="shared" si="2"/>
        <v>5</v>
      </c>
      <c r="L39" s="52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79</v>
      </c>
      <c r="C40" s="53" t="s">
        <v>82</v>
      </c>
      <c r="D40" s="54" t="s">
        <v>83</v>
      </c>
      <c r="E40" s="55"/>
      <c r="F40" s="55"/>
      <c r="G40" s="55"/>
      <c r="H40" s="56"/>
      <c r="I40" s="57">
        <f t="shared" si="1"/>
        <v>0</v>
      </c>
      <c r="J40" s="58"/>
      <c r="K40" s="59">
        <f t="shared" si="2"/>
        <v>5</v>
      </c>
      <c r="L40" s="52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32</v>
      </c>
      <c r="C41" s="53" t="s">
        <v>84</v>
      </c>
      <c r="D41" s="54" t="s">
        <v>85</v>
      </c>
      <c r="E41" s="55"/>
      <c r="F41" s="55"/>
      <c r="G41" s="55"/>
      <c r="H41" s="56"/>
      <c r="I41" s="57">
        <f t="shared" si="1"/>
        <v>0</v>
      </c>
      <c r="J41" s="58"/>
      <c r="K41" s="59">
        <f t="shared" si="2"/>
        <v>5</v>
      </c>
      <c r="L41" s="52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86</v>
      </c>
      <c r="C42" s="53" t="s">
        <v>62</v>
      </c>
      <c r="D42" s="54" t="s">
        <v>87</v>
      </c>
      <c r="E42" s="55"/>
      <c r="F42" s="55"/>
      <c r="G42" s="55"/>
      <c r="H42" s="56"/>
      <c r="I42" s="57">
        <f t="shared" si="1"/>
        <v>0</v>
      </c>
      <c r="J42" s="58"/>
      <c r="K42" s="59">
        <f t="shared" si="2"/>
        <v>5</v>
      </c>
      <c r="L42" s="52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88</v>
      </c>
      <c r="C43" s="53" t="s">
        <v>29</v>
      </c>
      <c r="D43" s="54" t="s">
        <v>89</v>
      </c>
      <c r="E43" s="55"/>
      <c r="F43" s="55"/>
      <c r="G43" s="55"/>
      <c r="H43" s="56"/>
      <c r="I43" s="57">
        <f t="shared" si="1"/>
        <v>0</v>
      </c>
      <c r="J43" s="58"/>
      <c r="K43" s="59">
        <f t="shared" si="2"/>
        <v>5</v>
      </c>
      <c r="L43" s="52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90</v>
      </c>
      <c r="C44" s="53" t="s">
        <v>91</v>
      </c>
      <c r="D44" s="54" t="s">
        <v>92</v>
      </c>
      <c r="E44" s="55"/>
      <c r="F44" s="55"/>
      <c r="G44" s="55"/>
      <c r="H44" s="56"/>
      <c r="I44" s="57">
        <f t="shared" si="1"/>
        <v>0</v>
      </c>
      <c r="J44" s="58"/>
      <c r="K44" s="59">
        <f t="shared" si="2"/>
        <v>5</v>
      </c>
      <c r="L44" s="52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93</v>
      </c>
      <c r="C45" s="53" t="s">
        <v>94</v>
      </c>
      <c r="D45" s="54" t="s">
        <v>95</v>
      </c>
      <c r="E45" s="55"/>
      <c r="F45" s="55"/>
      <c r="G45" s="55"/>
      <c r="H45" s="56"/>
      <c r="I45" s="57">
        <f t="shared" si="1"/>
        <v>0</v>
      </c>
      <c r="J45" s="58"/>
      <c r="K45" s="59">
        <f t="shared" si="2"/>
        <v>5</v>
      </c>
      <c r="L45" s="52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96</v>
      </c>
      <c r="C46" s="53" t="s">
        <v>97</v>
      </c>
      <c r="D46" s="54" t="s">
        <v>98</v>
      </c>
      <c r="E46" s="55"/>
      <c r="F46" s="55"/>
      <c r="G46" s="55"/>
      <c r="H46" s="56"/>
      <c r="I46" s="57">
        <f t="shared" si="1"/>
        <v>0</v>
      </c>
      <c r="J46" s="58"/>
      <c r="K46" s="59">
        <f t="shared" si="2"/>
        <v>5</v>
      </c>
      <c r="L46" s="52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99</v>
      </c>
      <c r="C47" s="53" t="s">
        <v>100</v>
      </c>
      <c r="D47" s="54" t="s">
        <v>101</v>
      </c>
      <c r="E47" s="55"/>
      <c r="F47" s="55"/>
      <c r="G47" s="55"/>
      <c r="H47" s="56"/>
      <c r="I47" s="57">
        <f t="shared" si="1"/>
        <v>0</v>
      </c>
      <c r="J47" s="58"/>
      <c r="K47" s="59">
        <f t="shared" si="2"/>
        <v>5</v>
      </c>
      <c r="L47" s="52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102</v>
      </c>
      <c r="C48" s="53" t="s">
        <v>103</v>
      </c>
      <c r="D48" s="54" t="s">
        <v>104</v>
      </c>
      <c r="E48" s="55"/>
      <c r="F48" s="55"/>
      <c r="G48" s="55"/>
      <c r="H48" s="56"/>
      <c r="I48" s="57">
        <f t="shared" si="1"/>
        <v>0</v>
      </c>
      <c r="J48" s="58"/>
      <c r="K48" s="59">
        <f t="shared" si="2"/>
        <v>5</v>
      </c>
      <c r="L48" s="52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105</v>
      </c>
      <c r="C49" s="53" t="s">
        <v>22</v>
      </c>
      <c r="D49" s="54" t="s">
        <v>106</v>
      </c>
      <c r="E49" s="55"/>
      <c r="F49" s="55"/>
      <c r="G49" s="55"/>
      <c r="H49" s="56"/>
      <c r="I49" s="57">
        <f t="shared" si="1"/>
        <v>0</v>
      </c>
      <c r="J49" s="58"/>
      <c r="K49" s="59">
        <f t="shared" si="2"/>
        <v>5</v>
      </c>
      <c r="L49" s="52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23</v>
      </c>
      <c r="C50" s="53" t="s">
        <v>107</v>
      </c>
      <c r="D50" s="54" t="s">
        <v>108</v>
      </c>
      <c r="E50" s="55"/>
      <c r="F50" s="55"/>
      <c r="G50" s="55"/>
      <c r="H50" s="56"/>
      <c r="I50" s="57">
        <f t="shared" si="1"/>
        <v>0</v>
      </c>
      <c r="J50" s="58"/>
      <c r="K50" s="59">
        <f t="shared" si="2"/>
        <v>5</v>
      </c>
      <c r="L50" s="52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23</v>
      </c>
      <c r="C51" s="53" t="s">
        <v>109</v>
      </c>
      <c r="D51" s="54" t="s">
        <v>110</v>
      </c>
      <c r="E51" s="55"/>
      <c r="F51" s="55"/>
      <c r="G51" s="55"/>
      <c r="H51" s="56"/>
      <c r="I51" s="57">
        <f t="shared" si="1"/>
        <v>0</v>
      </c>
      <c r="J51" s="58"/>
      <c r="K51" s="59">
        <f t="shared" si="2"/>
        <v>5</v>
      </c>
      <c r="L51" s="52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111</v>
      </c>
      <c r="C52" s="53" t="s">
        <v>62</v>
      </c>
      <c r="D52" s="54" t="s">
        <v>112</v>
      </c>
      <c r="E52" s="55"/>
      <c r="F52" s="55"/>
      <c r="G52" s="55"/>
      <c r="H52" s="56"/>
      <c r="I52" s="57">
        <f t="shared" si="1"/>
        <v>0</v>
      </c>
      <c r="J52" s="58"/>
      <c r="K52" s="59">
        <f t="shared" si="2"/>
        <v>5</v>
      </c>
      <c r="L52" s="52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111</v>
      </c>
      <c r="C53" s="53" t="s">
        <v>73</v>
      </c>
      <c r="D53" s="54" t="s">
        <v>113</v>
      </c>
      <c r="E53" s="55"/>
      <c r="F53" s="55"/>
      <c r="G53" s="55"/>
      <c r="H53" s="56"/>
      <c r="I53" s="57">
        <f t="shared" si="1"/>
        <v>0</v>
      </c>
      <c r="J53" s="58"/>
      <c r="K53" s="59">
        <f t="shared" si="2"/>
        <v>5</v>
      </c>
      <c r="L53" s="52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114</v>
      </c>
      <c r="C54" s="53" t="s">
        <v>69</v>
      </c>
      <c r="D54" s="54" t="s">
        <v>115</v>
      </c>
      <c r="E54" s="55"/>
      <c r="F54" s="55"/>
      <c r="G54" s="55"/>
      <c r="H54" s="56"/>
      <c r="I54" s="57">
        <f t="shared" si="1"/>
        <v>0</v>
      </c>
      <c r="J54" s="58"/>
      <c r="K54" s="59">
        <f t="shared" si="2"/>
        <v>5</v>
      </c>
      <c r="L54" s="52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116</v>
      </c>
      <c r="C55" s="53" t="s">
        <v>117</v>
      </c>
      <c r="D55" s="54" t="s">
        <v>118</v>
      </c>
      <c r="E55" s="55"/>
      <c r="F55" s="55"/>
      <c r="G55" s="55"/>
      <c r="H55" s="56"/>
      <c r="I55" s="57">
        <f t="shared" si="1"/>
        <v>0</v>
      </c>
      <c r="J55" s="62"/>
      <c r="K55" s="59">
        <f t="shared" si="2"/>
        <v>5</v>
      </c>
      <c r="L55" s="52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119</v>
      </c>
      <c r="C56" s="53" t="s">
        <v>120</v>
      </c>
      <c r="D56" s="54" t="s">
        <v>121</v>
      </c>
      <c r="E56" s="55"/>
      <c r="F56" s="55"/>
      <c r="G56" s="55"/>
      <c r="H56" s="56"/>
      <c r="I56" s="57">
        <f t="shared" si="1"/>
        <v>0</v>
      </c>
      <c r="J56" s="62"/>
      <c r="K56" s="59">
        <f t="shared" si="2"/>
        <v>5</v>
      </c>
      <c r="L56" s="52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122</v>
      </c>
      <c r="C57" s="53" t="s">
        <v>123</v>
      </c>
      <c r="D57" s="54" t="s">
        <v>124</v>
      </c>
      <c r="E57" s="55"/>
      <c r="F57" s="55"/>
      <c r="G57" s="55"/>
      <c r="H57" s="56"/>
      <c r="I57" s="57">
        <f t="shared" si="1"/>
        <v>0</v>
      </c>
      <c r="J57" s="62"/>
      <c r="K57" s="59">
        <f t="shared" si="2"/>
        <v>5</v>
      </c>
      <c r="L57" s="52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2">
        <v>42.0</v>
      </c>
      <c r="B58" s="53" t="s">
        <v>123</v>
      </c>
      <c r="C58" s="53" t="s">
        <v>90</v>
      </c>
      <c r="D58" s="54" t="s">
        <v>125</v>
      </c>
      <c r="E58" s="55"/>
      <c r="F58" s="55"/>
      <c r="G58" s="55"/>
      <c r="H58" s="56"/>
      <c r="I58" s="57">
        <f t="shared" si="1"/>
        <v>0</v>
      </c>
      <c r="J58" s="62"/>
      <c r="K58" s="59">
        <f t="shared" si="2"/>
        <v>5</v>
      </c>
      <c r="L58" s="52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2">
        <v>43.0</v>
      </c>
      <c r="B59" s="53" t="s">
        <v>97</v>
      </c>
      <c r="C59" s="53" t="s">
        <v>126</v>
      </c>
      <c r="D59" s="54" t="s">
        <v>127</v>
      </c>
      <c r="E59" s="55"/>
      <c r="F59" s="55"/>
      <c r="G59" s="55"/>
      <c r="H59" s="56"/>
      <c r="I59" s="57">
        <f t="shared" si="1"/>
        <v>0</v>
      </c>
      <c r="J59" s="62"/>
      <c r="K59" s="59">
        <f t="shared" si="2"/>
        <v>5</v>
      </c>
      <c r="L59" s="52"/>
      <c r="M59" s="60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2">
        <v>44.0</v>
      </c>
      <c r="B60" s="53" t="s">
        <v>128</v>
      </c>
      <c r="C60" s="53" t="s">
        <v>124</v>
      </c>
      <c r="D60" s="54" t="s">
        <v>129</v>
      </c>
      <c r="E60" s="55"/>
      <c r="F60" s="55"/>
      <c r="G60" s="55"/>
      <c r="H60" s="56"/>
      <c r="I60" s="57">
        <f t="shared" si="1"/>
        <v>0</v>
      </c>
      <c r="J60" s="62"/>
      <c r="K60" s="59">
        <f t="shared" si="2"/>
        <v>5</v>
      </c>
      <c r="L60" s="52"/>
      <c r="M60" s="60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2">
        <v>45.0</v>
      </c>
      <c r="B61" s="53" t="s">
        <v>130</v>
      </c>
      <c r="C61" s="53" t="s">
        <v>131</v>
      </c>
      <c r="D61" s="54" t="s">
        <v>132</v>
      </c>
      <c r="E61" s="55"/>
      <c r="F61" s="55"/>
      <c r="G61" s="55"/>
      <c r="H61" s="56"/>
      <c r="I61" s="57">
        <f t="shared" si="1"/>
        <v>0</v>
      </c>
      <c r="J61" s="62"/>
      <c r="K61" s="59">
        <f t="shared" si="2"/>
        <v>5</v>
      </c>
      <c r="L61" s="52"/>
      <c r="M61" s="60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2">
        <v>46.0</v>
      </c>
      <c r="B62" s="53" t="s">
        <v>133</v>
      </c>
      <c r="C62" s="53" t="s">
        <v>67</v>
      </c>
      <c r="D62" s="54" t="s">
        <v>134</v>
      </c>
      <c r="E62" s="55"/>
      <c r="F62" s="55"/>
      <c r="G62" s="55"/>
      <c r="H62" s="56"/>
      <c r="I62" s="57">
        <f t="shared" si="1"/>
        <v>0</v>
      </c>
      <c r="J62" s="62"/>
      <c r="K62" s="59">
        <f t="shared" si="2"/>
        <v>5</v>
      </c>
      <c r="L62" s="52"/>
      <c r="M62" s="60">
        <f t="shared" si="3"/>
        <v>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2">
        <v>47.0</v>
      </c>
      <c r="B63" s="53" t="s">
        <v>135</v>
      </c>
      <c r="C63" s="53" t="s">
        <v>136</v>
      </c>
      <c r="D63" s="54" t="s">
        <v>137</v>
      </c>
      <c r="E63" s="55"/>
      <c r="F63" s="55"/>
      <c r="G63" s="55"/>
      <c r="H63" s="56"/>
      <c r="I63" s="57">
        <f t="shared" si="1"/>
        <v>0</v>
      </c>
      <c r="J63" s="62"/>
      <c r="K63" s="59">
        <f t="shared" si="2"/>
        <v>5</v>
      </c>
      <c r="L63" s="52"/>
      <c r="M63" s="60">
        <f t="shared" si="3"/>
        <v>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2">
        <v>48.0</v>
      </c>
      <c r="B64" s="53" t="s">
        <v>138</v>
      </c>
      <c r="C64" s="53" t="s">
        <v>67</v>
      </c>
      <c r="D64" s="54" t="s">
        <v>139</v>
      </c>
      <c r="E64" s="55"/>
      <c r="F64" s="55"/>
      <c r="G64" s="55"/>
      <c r="H64" s="56"/>
      <c r="I64" s="57">
        <f t="shared" si="1"/>
        <v>0</v>
      </c>
      <c r="J64" s="62"/>
      <c r="K64" s="59">
        <f t="shared" si="2"/>
        <v>5</v>
      </c>
      <c r="L64" s="52"/>
      <c r="M64" s="60">
        <f t="shared" si="3"/>
        <v>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6"/>
      <c r="B65" s="63"/>
      <c r="C65" s="63"/>
      <c r="D65" s="63"/>
      <c r="E65" s="64"/>
      <c r="F65" s="64"/>
      <c r="G65" s="63"/>
      <c r="H65" s="63"/>
      <c r="I65" s="63"/>
      <c r="J65" s="63"/>
      <c r="K65" s="1"/>
      <c r="L65" s="8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65" t="s">
        <v>140</v>
      </c>
      <c r="C66" s="66"/>
      <c r="D66" s="67">
        <f>COUNT(A17:A64)</f>
        <v>48</v>
      </c>
      <c r="E66" s="63"/>
      <c r="F66" s="63"/>
      <c r="G66" s="68" t="s">
        <v>141</v>
      </c>
      <c r="H66" s="68"/>
      <c r="I66" s="68" t="s">
        <v>142</v>
      </c>
      <c r="K66" s="69" t="s">
        <v>143</v>
      </c>
      <c r="L66" s="70" t="s">
        <v>144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1" t="s">
        <v>145</v>
      </c>
      <c r="C67" s="72"/>
      <c r="D67" s="73">
        <f>COUNTIF(K17:K64,"BAJA")</f>
        <v>0</v>
      </c>
      <c r="E67" s="63"/>
      <c r="F67" s="63"/>
      <c r="H67" s="68"/>
      <c r="L67" s="10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1" t="s">
        <v>146</v>
      </c>
      <c r="C68" s="72"/>
      <c r="D68" s="74">
        <f>D66-D67</f>
        <v>48</v>
      </c>
      <c r="E68" s="63"/>
      <c r="F68" s="63"/>
      <c r="G68" s="75"/>
      <c r="H68" s="76"/>
      <c r="I68" s="75"/>
      <c r="J68" s="75"/>
      <c r="K68" s="77"/>
      <c r="L68" s="7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B69" s="71" t="s">
        <v>147</v>
      </c>
      <c r="C69" s="72"/>
      <c r="D69" s="79">
        <f>COUNTIF(K17:K64,"&gt;=6")</f>
        <v>0</v>
      </c>
      <c r="E69" s="63"/>
      <c r="F69" s="63"/>
      <c r="G69" s="75"/>
      <c r="H69" s="76"/>
      <c r="I69" s="75"/>
      <c r="J69" s="75"/>
      <c r="K69" s="77"/>
      <c r="L69" s="78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B70" s="71" t="s">
        <v>148</v>
      </c>
      <c r="C70" s="72"/>
      <c r="D70" s="79">
        <f>D68-D69</f>
        <v>48</v>
      </c>
      <c r="E70" s="63"/>
      <c r="F70" s="63"/>
      <c r="G70" s="80"/>
      <c r="H70" s="76"/>
      <c r="I70" s="80"/>
      <c r="J70" s="80"/>
      <c r="K70" s="81"/>
      <c r="L70" s="8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B71" s="71" t="s">
        <v>149</v>
      </c>
      <c r="C71" s="72"/>
      <c r="D71" s="83">
        <f>D69*100/D68</f>
        <v>0</v>
      </c>
      <c r="E71" s="63"/>
      <c r="F71" s="63"/>
      <c r="G71" s="84" t="s">
        <v>150</v>
      </c>
      <c r="H71" s="85"/>
      <c r="I71" s="86" t="s">
        <v>151</v>
      </c>
      <c r="K71" s="86" t="s">
        <v>152</v>
      </c>
      <c r="L71" s="87" t="s">
        <v>153</v>
      </c>
      <c r="M71" s="88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B72" s="89" t="s">
        <v>154</v>
      </c>
      <c r="C72" s="90"/>
      <c r="D72" s="91">
        <f>AVERAGE(K17:K64)</f>
        <v>5</v>
      </c>
      <c r="E72" s="63"/>
      <c r="F72" s="63"/>
      <c r="H72" s="85"/>
      <c r="L72" s="1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6"/>
      <c r="B73" s="1"/>
      <c r="C73" s="1"/>
      <c r="D73" s="1"/>
      <c r="E73" s="1"/>
      <c r="F73" s="1"/>
      <c r="G73" s="1"/>
      <c r="H73" s="1"/>
      <c r="I73" s="1"/>
      <c r="J73" s="1"/>
      <c r="K73" s="1"/>
      <c r="L73" s="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2"/>
      <c r="B74" s="93"/>
      <c r="C74" s="94"/>
      <c r="D74" s="94"/>
      <c r="E74" s="63"/>
      <c r="H74" s="7"/>
      <c r="I74" s="7"/>
      <c r="J74" s="7"/>
      <c r="K74" s="7"/>
      <c r="L74" s="95"/>
      <c r="M74" s="9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97"/>
      <c r="B75" s="63"/>
      <c r="C75" s="63"/>
      <c r="D75" s="63"/>
      <c r="E75" s="7"/>
      <c r="F75" s="7"/>
      <c r="G75" s="1"/>
      <c r="H75" s="1"/>
      <c r="I75" s="1"/>
      <c r="J75" s="1"/>
      <c r="K75" s="1"/>
      <c r="L75" s="8"/>
      <c r="M75" s="98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97"/>
      <c r="B76" s="63"/>
      <c r="C76" s="63"/>
      <c r="D76" s="63"/>
      <c r="E76" s="7"/>
      <c r="F76" s="7"/>
      <c r="G76" s="1"/>
      <c r="H76" s="1"/>
      <c r="I76" s="1"/>
      <c r="J76" s="1"/>
      <c r="K76" s="1"/>
      <c r="L76" s="8"/>
      <c r="M76" s="98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99"/>
      <c r="B77" s="100"/>
      <c r="C77" s="100"/>
      <c r="D77" s="100"/>
      <c r="E77" s="101"/>
      <c r="F77" s="101"/>
      <c r="G77" s="102"/>
      <c r="H77" s="102"/>
      <c r="I77" s="102"/>
      <c r="J77" s="102"/>
      <c r="K77" s="102"/>
      <c r="L77" s="103"/>
      <c r="M77" s="98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4"/>
      <c r="C78" s="104"/>
      <c r="D78" s="104"/>
      <c r="E78" s="104"/>
      <c r="F78" s="104"/>
      <c r="G78" s="1"/>
      <c r="H78" s="1"/>
      <c r="I78" s="1"/>
      <c r="J78" s="1"/>
      <c r="K78" s="105"/>
      <c r="L78" s="105"/>
      <c r="M78" s="10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4"/>
      <c r="C79" s="104"/>
      <c r="D79" s="104"/>
      <c r="E79" s="104"/>
      <c r="F79" s="104"/>
      <c r="G79" s="1"/>
      <c r="H79" s="1"/>
      <c r="I79" s="1"/>
      <c r="J79" s="1"/>
      <c r="K79" s="105"/>
      <c r="L79" s="105"/>
      <c r="M79" s="10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4"/>
      <c r="C80" s="104"/>
      <c r="D80" s="104"/>
      <c r="E80" s="104"/>
      <c r="F80" s="104"/>
      <c r="G80" s="1"/>
      <c r="H80" s="1"/>
      <c r="I80" s="1"/>
      <c r="J80" s="1"/>
      <c r="K80" s="105"/>
      <c r="L80" s="105"/>
      <c r="M80" s="10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4"/>
      <c r="C81" s="104"/>
      <c r="D81" s="104"/>
      <c r="E81" s="104"/>
      <c r="F81" s="104"/>
      <c r="G81" s="1"/>
      <c r="H81" s="1"/>
      <c r="I81" s="1"/>
      <c r="J81" s="1"/>
      <c r="K81" s="105"/>
      <c r="L81" s="105"/>
      <c r="M81" s="105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4"/>
      <c r="C82" s="104"/>
      <c r="D82" s="104"/>
      <c r="E82" s="104"/>
      <c r="F82" s="10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4"/>
      <c r="C83" s="104"/>
      <c r="D83" s="104"/>
      <c r="E83" s="104"/>
      <c r="F83" s="104"/>
      <c r="G83" s="1"/>
      <c r="H83" s="1"/>
      <c r="I83" s="1"/>
      <c r="J83" s="1"/>
      <c r="K83" s="1"/>
      <c r="L83" s="106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4"/>
      <c r="C84" s="104"/>
      <c r="D84" s="104"/>
      <c r="E84" s="104"/>
      <c r="F84" s="10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4"/>
      <c r="C85" s="104"/>
      <c r="D85" s="104"/>
      <c r="E85" s="104"/>
      <c r="F85" s="10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4"/>
      <c r="C86" s="104"/>
      <c r="D86" s="104"/>
      <c r="E86" s="104"/>
      <c r="F86" s="10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4"/>
      <c r="C87" s="104"/>
      <c r="D87" s="104"/>
      <c r="E87" s="104"/>
      <c r="F87" s="10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4"/>
      <c r="C88" s="104"/>
      <c r="D88" s="104"/>
      <c r="E88" s="104"/>
      <c r="F88" s="10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04"/>
      <c r="C89" s="104"/>
      <c r="D89" s="104"/>
      <c r="E89" s="104"/>
      <c r="F89" s="10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29">
    <mergeCell ref="F14:F15"/>
    <mergeCell ref="G14:G15"/>
    <mergeCell ref="G66:G67"/>
    <mergeCell ref="I66:J67"/>
    <mergeCell ref="K66:K67"/>
    <mergeCell ref="L66:L67"/>
    <mergeCell ref="A9:L9"/>
    <mergeCell ref="E10:L10"/>
    <mergeCell ref="A13:B13"/>
    <mergeCell ref="C13:D13"/>
    <mergeCell ref="H13:H15"/>
    <mergeCell ref="I13:I14"/>
    <mergeCell ref="J13:L14"/>
    <mergeCell ref="J15:L15"/>
    <mergeCell ref="B70:C70"/>
    <mergeCell ref="B71:C71"/>
    <mergeCell ref="G71:G72"/>
    <mergeCell ref="I71:J72"/>
    <mergeCell ref="K71:K72"/>
    <mergeCell ref="L71:L72"/>
    <mergeCell ref="B72:C72"/>
    <mergeCell ref="E74:G74"/>
    <mergeCell ref="B14:D14"/>
    <mergeCell ref="E14:E15"/>
    <mergeCell ref="B16:D16"/>
    <mergeCell ref="B66:C66"/>
    <mergeCell ref="B67:C67"/>
    <mergeCell ref="B68:C68"/>
    <mergeCell ref="B69:C69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4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27" t="s">
        <v>160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6"/>
      <c r="I17" s="57">
        <f t="shared" ref="I17:I64" si="1">SUM(E17:H17)</f>
        <v>0</v>
      </c>
      <c r="J17" s="58"/>
      <c r="K17" s="59">
        <f t="shared" ref="K17:K64" si="2">IF(M17&lt;6,5,M17)</f>
        <v>5</v>
      </c>
      <c r="L17" s="60"/>
      <c r="M17" s="61">
        <f t="shared" ref="M17:M64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6"/>
      <c r="I18" s="57">
        <f t="shared" si="1"/>
        <v>0</v>
      </c>
      <c r="J18" s="58"/>
      <c r="K18" s="59">
        <f t="shared" si="2"/>
        <v>5</v>
      </c>
      <c r="L18" s="52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6"/>
      <c r="F19" s="56"/>
      <c r="G19" s="55"/>
      <c r="H19" s="56"/>
      <c r="I19" s="57">
        <f t="shared" si="1"/>
        <v>0</v>
      </c>
      <c r="J19" s="58"/>
      <c r="K19" s="59">
        <f t="shared" si="2"/>
        <v>5</v>
      </c>
      <c r="L19" s="52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6"/>
      <c r="I20" s="57">
        <f t="shared" si="1"/>
        <v>0</v>
      </c>
      <c r="J20" s="58"/>
      <c r="K20" s="59">
        <f t="shared" si="2"/>
        <v>5</v>
      </c>
      <c r="L20" s="52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6"/>
      <c r="I21" s="57">
        <f t="shared" si="1"/>
        <v>0</v>
      </c>
      <c r="J21" s="58"/>
      <c r="K21" s="59">
        <f t="shared" si="2"/>
        <v>5</v>
      </c>
      <c r="L21" s="52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6"/>
      <c r="I22" s="57">
        <f t="shared" si="1"/>
        <v>0</v>
      </c>
      <c r="J22" s="58"/>
      <c r="K22" s="59">
        <f t="shared" si="2"/>
        <v>5</v>
      </c>
      <c r="L22" s="52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6"/>
      <c r="I23" s="57">
        <f t="shared" si="1"/>
        <v>0</v>
      </c>
      <c r="J23" s="58"/>
      <c r="K23" s="59">
        <f t="shared" si="2"/>
        <v>5</v>
      </c>
      <c r="L23" s="52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6"/>
      <c r="F24" s="56"/>
      <c r="G24" s="55"/>
      <c r="H24" s="56"/>
      <c r="I24" s="57">
        <f t="shared" si="1"/>
        <v>0</v>
      </c>
      <c r="J24" s="58"/>
      <c r="K24" s="59">
        <f t="shared" si="2"/>
        <v>5</v>
      </c>
      <c r="L24" s="52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6"/>
      <c r="I25" s="57">
        <f t="shared" si="1"/>
        <v>0</v>
      </c>
      <c r="J25" s="58"/>
      <c r="K25" s="59">
        <f t="shared" si="2"/>
        <v>5</v>
      </c>
      <c r="L25" s="52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6"/>
      <c r="F26" s="56"/>
      <c r="G26" s="55"/>
      <c r="H26" s="56"/>
      <c r="I26" s="57">
        <f t="shared" si="1"/>
        <v>0</v>
      </c>
      <c r="J26" s="58"/>
      <c r="K26" s="59">
        <f t="shared" si="2"/>
        <v>5</v>
      </c>
      <c r="L26" s="52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52</v>
      </c>
      <c r="C27" s="53" t="s">
        <v>53</v>
      </c>
      <c r="D27" s="54" t="s">
        <v>54</v>
      </c>
      <c r="E27" s="55"/>
      <c r="F27" s="55"/>
      <c r="G27" s="55"/>
      <c r="H27" s="56"/>
      <c r="I27" s="57">
        <f t="shared" si="1"/>
        <v>0</v>
      </c>
      <c r="J27" s="58"/>
      <c r="K27" s="59">
        <f t="shared" si="2"/>
        <v>5</v>
      </c>
      <c r="L27" s="52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44</v>
      </c>
      <c r="C28" s="53" t="s">
        <v>55</v>
      </c>
      <c r="D28" s="54" t="s">
        <v>56</v>
      </c>
      <c r="E28" s="55"/>
      <c r="F28" s="55"/>
      <c r="G28" s="55"/>
      <c r="H28" s="56"/>
      <c r="I28" s="57">
        <f t="shared" si="1"/>
        <v>0</v>
      </c>
      <c r="J28" s="58"/>
      <c r="K28" s="59">
        <f t="shared" si="2"/>
        <v>5</v>
      </c>
      <c r="L28" s="52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57</v>
      </c>
      <c r="C29" s="53" t="s">
        <v>58</v>
      </c>
      <c r="D29" s="54" t="s">
        <v>59</v>
      </c>
      <c r="E29" s="55"/>
      <c r="F29" s="55"/>
      <c r="G29" s="55"/>
      <c r="H29" s="56"/>
      <c r="I29" s="57">
        <f t="shared" si="1"/>
        <v>0</v>
      </c>
      <c r="J29" s="58"/>
      <c r="K29" s="59">
        <f t="shared" si="2"/>
        <v>5</v>
      </c>
      <c r="L29" s="52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35</v>
      </c>
      <c r="C30" s="53" t="s">
        <v>60</v>
      </c>
      <c r="D30" s="54" t="s">
        <v>61</v>
      </c>
      <c r="E30" s="56"/>
      <c r="F30" s="56"/>
      <c r="G30" s="55"/>
      <c r="H30" s="56"/>
      <c r="I30" s="57">
        <f t="shared" si="1"/>
        <v>0</v>
      </c>
      <c r="J30" s="58"/>
      <c r="K30" s="59">
        <f t="shared" si="2"/>
        <v>5</v>
      </c>
      <c r="L30" s="52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62</v>
      </c>
      <c r="C31" s="53" t="s">
        <v>32</v>
      </c>
      <c r="D31" s="54" t="s">
        <v>63</v>
      </c>
      <c r="E31" s="56"/>
      <c r="F31" s="56"/>
      <c r="G31" s="55"/>
      <c r="H31" s="56"/>
      <c r="I31" s="57">
        <f t="shared" si="1"/>
        <v>0</v>
      </c>
      <c r="J31" s="58"/>
      <c r="K31" s="59">
        <f t="shared" si="2"/>
        <v>5</v>
      </c>
      <c r="L31" s="52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64</v>
      </c>
      <c r="C32" s="53" t="s">
        <v>65</v>
      </c>
      <c r="D32" s="54" t="s">
        <v>66</v>
      </c>
      <c r="E32" s="55"/>
      <c r="F32" s="55"/>
      <c r="G32" s="55"/>
      <c r="H32" s="56"/>
      <c r="I32" s="57">
        <f t="shared" si="1"/>
        <v>0</v>
      </c>
      <c r="J32" s="58"/>
      <c r="K32" s="59">
        <f t="shared" si="2"/>
        <v>5</v>
      </c>
      <c r="L32" s="52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67</v>
      </c>
      <c r="C33" s="53" t="s">
        <v>67</v>
      </c>
      <c r="D33" s="54" t="s">
        <v>68</v>
      </c>
      <c r="E33" s="55"/>
      <c r="F33" s="55"/>
      <c r="G33" s="55"/>
      <c r="H33" s="56"/>
      <c r="I33" s="57">
        <f t="shared" si="1"/>
        <v>0</v>
      </c>
      <c r="J33" s="58"/>
      <c r="K33" s="59">
        <f t="shared" si="2"/>
        <v>5</v>
      </c>
      <c r="L33" s="52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69</v>
      </c>
      <c r="C34" s="53" t="s">
        <v>67</v>
      </c>
      <c r="D34" s="54" t="s">
        <v>70</v>
      </c>
      <c r="E34" s="56"/>
      <c r="F34" s="56"/>
      <c r="G34" s="55"/>
      <c r="H34" s="56"/>
      <c r="I34" s="57">
        <f t="shared" si="1"/>
        <v>0</v>
      </c>
      <c r="J34" s="58"/>
      <c r="K34" s="59">
        <f t="shared" si="2"/>
        <v>5</v>
      </c>
      <c r="L34" s="52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69</v>
      </c>
      <c r="C35" s="53" t="s">
        <v>71</v>
      </c>
      <c r="D35" s="54" t="s">
        <v>72</v>
      </c>
      <c r="E35" s="55"/>
      <c r="F35" s="55"/>
      <c r="G35" s="55"/>
      <c r="H35" s="56"/>
      <c r="I35" s="57">
        <f t="shared" si="1"/>
        <v>0</v>
      </c>
      <c r="J35" s="58"/>
      <c r="K35" s="59">
        <f t="shared" si="2"/>
        <v>5</v>
      </c>
      <c r="L35" s="52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73</v>
      </c>
      <c r="C36" s="53" t="s">
        <v>38</v>
      </c>
      <c r="D36" s="54" t="s">
        <v>74</v>
      </c>
      <c r="E36" s="55"/>
      <c r="F36" s="55"/>
      <c r="G36" s="55"/>
      <c r="H36" s="56"/>
      <c r="I36" s="57">
        <f t="shared" si="1"/>
        <v>0</v>
      </c>
      <c r="J36" s="58"/>
      <c r="K36" s="59">
        <f t="shared" si="2"/>
        <v>5</v>
      </c>
      <c r="L36" s="52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75</v>
      </c>
      <c r="C37" s="53" t="s">
        <v>76</v>
      </c>
      <c r="D37" s="54" t="s">
        <v>77</v>
      </c>
      <c r="E37" s="56"/>
      <c r="F37" s="56"/>
      <c r="G37" s="55"/>
      <c r="H37" s="56"/>
      <c r="I37" s="57">
        <f t="shared" si="1"/>
        <v>0</v>
      </c>
      <c r="J37" s="58"/>
      <c r="K37" s="59">
        <f t="shared" si="2"/>
        <v>5</v>
      </c>
      <c r="L37" s="52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47</v>
      </c>
      <c r="C38" s="53" t="s">
        <v>62</v>
      </c>
      <c r="D38" s="54" t="s">
        <v>78</v>
      </c>
      <c r="E38" s="55"/>
      <c r="F38" s="55"/>
      <c r="G38" s="55"/>
      <c r="H38" s="56"/>
      <c r="I38" s="57">
        <f t="shared" si="1"/>
        <v>0</v>
      </c>
      <c r="J38" s="58"/>
      <c r="K38" s="59">
        <f t="shared" si="2"/>
        <v>5</v>
      </c>
      <c r="L38" s="52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79</v>
      </c>
      <c r="C39" s="53" t="s">
        <v>80</v>
      </c>
      <c r="D39" s="54" t="s">
        <v>81</v>
      </c>
      <c r="E39" s="55"/>
      <c r="F39" s="55"/>
      <c r="G39" s="55"/>
      <c r="H39" s="56"/>
      <c r="I39" s="57">
        <f t="shared" si="1"/>
        <v>0</v>
      </c>
      <c r="J39" s="58"/>
      <c r="K39" s="59">
        <f t="shared" si="2"/>
        <v>5</v>
      </c>
      <c r="L39" s="52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79</v>
      </c>
      <c r="C40" s="53" t="s">
        <v>82</v>
      </c>
      <c r="D40" s="54" t="s">
        <v>83</v>
      </c>
      <c r="E40" s="55"/>
      <c r="F40" s="55"/>
      <c r="G40" s="55"/>
      <c r="H40" s="56"/>
      <c r="I40" s="57">
        <f t="shared" si="1"/>
        <v>0</v>
      </c>
      <c r="J40" s="58"/>
      <c r="K40" s="59">
        <f t="shared" si="2"/>
        <v>5</v>
      </c>
      <c r="L40" s="52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32</v>
      </c>
      <c r="C41" s="53" t="s">
        <v>84</v>
      </c>
      <c r="D41" s="54" t="s">
        <v>85</v>
      </c>
      <c r="E41" s="55"/>
      <c r="F41" s="55"/>
      <c r="G41" s="55"/>
      <c r="H41" s="56"/>
      <c r="I41" s="57">
        <f t="shared" si="1"/>
        <v>0</v>
      </c>
      <c r="J41" s="58"/>
      <c r="K41" s="59">
        <f t="shared" si="2"/>
        <v>5</v>
      </c>
      <c r="L41" s="52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86</v>
      </c>
      <c r="C42" s="53" t="s">
        <v>62</v>
      </c>
      <c r="D42" s="54" t="s">
        <v>87</v>
      </c>
      <c r="E42" s="55"/>
      <c r="F42" s="55"/>
      <c r="G42" s="55"/>
      <c r="H42" s="56"/>
      <c r="I42" s="57">
        <f t="shared" si="1"/>
        <v>0</v>
      </c>
      <c r="J42" s="58"/>
      <c r="K42" s="59">
        <f t="shared" si="2"/>
        <v>5</v>
      </c>
      <c r="L42" s="52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88</v>
      </c>
      <c r="C43" s="53" t="s">
        <v>29</v>
      </c>
      <c r="D43" s="54" t="s">
        <v>89</v>
      </c>
      <c r="E43" s="55"/>
      <c r="F43" s="55"/>
      <c r="G43" s="55"/>
      <c r="H43" s="56"/>
      <c r="I43" s="57">
        <f t="shared" si="1"/>
        <v>0</v>
      </c>
      <c r="J43" s="58"/>
      <c r="K43" s="59">
        <f t="shared" si="2"/>
        <v>5</v>
      </c>
      <c r="L43" s="52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90</v>
      </c>
      <c r="C44" s="53" t="s">
        <v>91</v>
      </c>
      <c r="D44" s="54" t="s">
        <v>92</v>
      </c>
      <c r="E44" s="55"/>
      <c r="F44" s="55"/>
      <c r="G44" s="55"/>
      <c r="H44" s="56"/>
      <c r="I44" s="57">
        <f t="shared" si="1"/>
        <v>0</v>
      </c>
      <c r="J44" s="58"/>
      <c r="K44" s="59">
        <f t="shared" si="2"/>
        <v>5</v>
      </c>
      <c r="L44" s="52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93</v>
      </c>
      <c r="C45" s="53" t="s">
        <v>94</v>
      </c>
      <c r="D45" s="54" t="s">
        <v>95</v>
      </c>
      <c r="E45" s="55"/>
      <c r="F45" s="55"/>
      <c r="G45" s="55"/>
      <c r="H45" s="56"/>
      <c r="I45" s="57">
        <f t="shared" si="1"/>
        <v>0</v>
      </c>
      <c r="J45" s="58"/>
      <c r="K45" s="59">
        <f t="shared" si="2"/>
        <v>5</v>
      </c>
      <c r="L45" s="52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96</v>
      </c>
      <c r="C46" s="53" t="s">
        <v>97</v>
      </c>
      <c r="D46" s="54" t="s">
        <v>98</v>
      </c>
      <c r="E46" s="55"/>
      <c r="F46" s="55"/>
      <c r="G46" s="55"/>
      <c r="H46" s="56"/>
      <c r="I46" s="57">
        <f t="shared" si="1"/>
        <v>0</v>
      </c>
      <c r="J46" s="58"/>
      <c r="K46" s="59">
        <f t="shared" si="2"/>
        <v>5</v>
      </c>
      <c r="L46" s="52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99</v>
      </c>
      <c r="C47" s="53" t="s">
        <v>100</v>
      </c>
      <c r="D47" s="54" t="s">
        <v>101</v>
      </c>
      <c r="E47" s="55"/>
      <c r="F47" s="55"/>
      <c r="G47" s="55"/>
      <c r="H47" s="56"/>
      <c r="I47" s="57">
        <f t="shared" si="1"/>
        <v>0</v>
      </c>
      <c r="J47" s="58"/>
      <c r="K47" s="59">
        <f t="shared" si="2"/>
        <v>5</v>
      </c>
      <c r="L47" s="52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102</v>
      </c>
      <c r="C48" s="53" t="s">
        <v>103</v>
      </c>
      <c r="D48" s="54" t="s">
        <v>104</v>
      </c>
      <c r="E48" s="55"/>
      <c r="F48" s="55"/>
      <c r="G48" s="55"/>
      <c r="H48" s="56"/>
      <c r="I48" s="57">
        <f t="shared" si="1"/>
        <v>0</v>
      </c>
      <c r="J48" s="58"/>
      <c r="K48" s="59">
        <f t="shared" si="2"/>
        <v>5</v>
      </c>
      <c r="L48" s="52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105</v>
      </c>
      <c r="C49" s="53" t="s">
        <v>22</v>
      </c>
      <c r="D49" s="54" t="s">
        <v>106</v>
      </c>
      <c r="E49" s="55"/>
      <c r="F49" s="55"/>
      <c r="G49" s="55"/>
      <c r="H49" s="56"/>
      <c r="I49" s="57">
        <f t="shared" si="1"/>
        <v>0</v>
      </c>
      <c r="J49" s="58"/>
      <c r="K49" s="59">
        <f t="shared" si="2"/>
        <v>5</v>
      </c>
      <c r="L49" s="52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23</v>
      </c>
      <c r="C50" s="53" t="s">
        <v>107</v>
      </c>
      <c r="D50" s="54" t="s">
        <v>108</v>
      </c>
      <c r="E50" s="55"/>
      <c r="F50" s="55"/>
      <c r="G50" s="55"/>
      <c r="H50" s="56"/>
      <c r="I50" s="57">
        <f t="shared" si="1"/>
        <v>0</v>
      </c>
      <c r="J50" s="58"/>
      <c r="K50" s="59">
        <f t="shared" si="2"/>
        <v>5</v>
      </c>
      <c r="L50" s="52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23</v>
      </c>
      <c r="C51" s="53" t="s">
        <v>109</v>
      </c>
      <c r="D51" s="54" t="s">
        <v>110</v>
      </c>
      <c r="E51" s="55"/>
      <c r="F51" s="55"/>
      <c r="G51" s="55"/>
      <c r="H51" s="56"/>
      <c r="I51" s="57">
        <f t="shared" si="1"/>
        <v>0</v>
      </c>
      <c r="J51" s="58"/>
      <c r="K51" s="59">
        <f t="shared" si="2"/>
        <v>5</v>
      </c>
      <c r="L51" s="52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111</v>
      </c>
      <c r="C52" s="53" t="s">
        <v>62</v>
      </c>
      <c r="D52" s="54" t="s">
        <v>112</v>
      </c>
      <c r="E52" s="55"/>
      <c r="F52" s="55"/>
      <c r="G52" s="55"/>
      <c r="H52" s="56"/>
      <c r="I52" s="57">
        <f t="shared" si="1"/>
        <v>0</v>
      </c>
      <c r="J52" s="58"/>
      <c r="K52" s="59">
        <f t="shared" si="2"/>
        <v>5</v>
      </c>
      <c r="L52" s="52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111</v>
      </c>
      <c r="C53" s="53" t="s">
        <v>73</v>
      </c>
      <c r="D53" s="54" t="s">
        <v>113</v>
      </c>
      <c r="E53" s="55"/>
      <c r="F53" s="55"/>
      <c r="G53" s="55"/>
      <c r="H53" s="56"/>
      <c r="I53" s="57">
        <f t="shared" si="1"/>
        <v>0</v>
      </c>
      <c r="J53" s="58"/>
      <c r="K53" s="59">
        <f t="shared" si="2"/>
        <v>5</v>
      </c>
      <c r="L53" s="52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114</v>
      </c>
      <c r="C54" s="53" t="s">
        <v>69</v>
      </c>
      <c r="D54" s="54" t="s">
        <v>115</v>
      </c>
      <c r="E54" s="55"/>
      <c r="F54" s="55"/>
      <c r="G54" s="55"/>
      <c r="H54" s="56"/>
      <c r="I54" s="57">
        <f t="shared" si="1"/>
        <v>0</v>
      </c>
      <c r="J54" s="58"/>
      <c r="K54" s="59">
        <f t="shared" si="2"/>
        <v>5</v>
      </c>
      <c r="L54" s="52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116</v>
      </c>
      <c r="C55" s="53" t="s">
        <v>117</v>
      </c>
      <c r="D55" s="54" t="s">
        <v>118</v>
      </c>
      <c r="E55" s="55"/>
      <c r="F55" s="55"/>
      <c r="G55" s="55"/>
      <c r="H55" s="56"/>
      <c r="I55" s="57">
        <f t="shared" si="1"/>
        <v>0</v>
      </c>
      <c r="J55" s="62"/>
      <c r="K55" s="59">
        <f t="shared" si="2"/>
        <v>5</v>
      </c>
      <c r="L55" s="52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119</v>
      </c>
      <c r="C56" s="53" t="s">
        <v>120</v>
      </c>
      <c r="D56" s="54" t="s">
        <v>121</v>
      </c>
      <c r="E56" s="55"/>
      <c r="F56" s="55"/>
      <c r="G56" s="55"/>
      <c r="H56" s="56"/>
      <c r="I56" s="57">
        <f t="shared" si="1"/>
        <v>0</v>
      </c>
      <c r="J56" s="62"/>
      <c r="K56" s="59">
        <f t="shared" si="2"/>
        <v>5</v>
      </c>
      <c r="L56" s="52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122</v>
      </c>
      <c r="C57" s="53" t="s">
        <v>123</v>
      </c>
      <c r="D57" s="54" t="s">
        <v>124</v>
      </c>
      <c r="E57" s="55"/>
      <c r="F57" s="55"/>
      <c r="G57" s="55"/>
      <c r="H57" s="56"/>
      <c r="I57" s="57">
        <f t="shared" si="1"/>
        <v>0</v>
      </c>
      <c r="J57" s="62"/>
      <c r="K57" s="59">
        <f t="shared" si="2"/>
        <v>5</v>
      </c>
      <c r="L57" s="52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2">
        <v>42.0</v>
      </c>
      <c r="B58" s="53" t="s">
        <v>123</v>
      </c>
      <c r="C58" s="53" t="s">
        <v>90</v>
      </c>
      <c r="D58" s="54" t="s">
        <v>125</v>
      </c>
      <c r="E58" s="55"/>
      <c r="F58" s="55"/>
      <c r="G58" s="55"/>
      <c r="H58" s="56"/>
      <c r="I58" s="57">
        <f t="shared" si="1"/>
        <v>0</v>
      </c>
      <c r="J58" s="62"/>
      <c r="K58" s="59">
        <f t="shared" si="2"/>
        <v>5</v>
      </c>
      <c r="L58" s="52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2">
        <v>43.0</v>
      </c>
      <c r="B59" s="53" t="s">
        <v>97</v>
      </c>
      <c r="C59" s="53" t="s">
        <v>126</v>
      </c>
      <c r="D59" s="54" t="s">
        <v>127</v>
      </c>
      <c r="E59" s="55"/>
      <c r="F59" s="55"/>
      <c r="G59" s="55"/>
      <c r="H59" s="56"/>
      <c r="I59" s="57">
        <f t="shared" si="1"/>
        <v>0</v>
      </c>
      <c r="J59" s="62"/>
      <c r="K59" s="59">
        <f t="shared" si="2"/>
        <v>5</v>
      </c>
      <c r="L59" s="52"/>
      <c r="M59" s="60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2">
        <v>44.0</v>
      </c>
      <c r="B60" s="53" t="s">
        <v>128</v>
      </c>
      <c r="C60" s="53" t="s">
        <v>124</v>
      </c>
      <c r="D60" s="54" t="s">
        <v>129</v>
      </c>
      <c r="E60" s="55"/>
      <c r="F60" s="55"/>
      <c r="G60" s="55"/>
      <c r="H60" s="56"/>
      <c r="I60" s="57">
        <f t="shared" si="1"/>
        <v>0</v>
      </c>
      <c r="J60" s="62"/>
      <c r="K60" s="59">
        <f t="shared" si="2"/>
        <v>5</v>
      </c>
      <c r="L60" s="52"/>
      <c r="M60" s="60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2">
        <v>45.0</v>
      </c>
      <c r="B61" s="53" t="s">
        <v>130</v>
      </c>
      <c r="C61" s="53" t="s">
        <v>131</v>
      </c>
      <c r="D61" s="54" t="s">
        <v>132</v>
      </c>
      <c r="E61" s="55"/>
      <c r="F61" s="55"/>
      <c r="G61" s="55"/>
      <c r="H61" s="56"/>
      <c r="I61" s="57">
        <f t="shared" si="1"/>
        <v>0</v>
      </c>
      <c r="J61" s="62"/>
      <c r="K61" s="59">
        <f t="shared" si="2"/>
        <v>5</v>
      </c>
      <c r="L61" s="52"/>
      <c r="M61" s="60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2">
        <v>46.0</v>
      </c>
      <c r="B62" s="53" t="s">
        <v>133</v>
      </c>
      <c r="C62" s="53" t="s">
        <v>67</v>
      </c>
      <c r="D62" s="54" t="s">
        <v>134</v>
      </c>
      <c r="E62" s="55"/>
      <c r="F62" s="55"/>
      <c r="G62" s="55"/>
      <c r="H62" s="56"/>
      <c r="I62" s="57">
        <f t="shared" si="1"/>
        <v>0</v>
      </c>
      <c r="J62" s="62"/>
      <c r="K62" s="59">
        <f t="shared" si="2"/>
        <v>5</v>
      </c>
      <c r="L62" s="52"/>
      <c r="M62" s="60">
        <f t="shared" si="3"/>
        <v>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2">
        <v>47.0</v>
      </c>
      <c r="B63" s="53" t="s">
        <v>135</v>
      </c>
      <c r="C63" s="53" t="s">
        <v>136</v>
      </c>
      <c r="D63" s="54" t="s">
        <v>137</v>
      </c>
      <c r="E63" s="55"/>
      <c r="F63" s="55"/>
      <c r="G63" s="55"/>
      <c r="H63" s="56"/>
      <c r="I63" s="57">
        <f t="shared" si="1"/>
        <v>0</v>
      </c>
      <c r="J63" s="62"/>
      <c r="K63" s="59">
        <f t="shared" si="2"/>
        <v>5</v>
      </c>
      <c r="L63" s="52"/>
      <c r="M63" s="60">
        <f t="shared" si="3"/>
        <v>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2">
        <v>48.0</v>
      </c>
      <c r="B64" s="53" t="s">
        <v>138</v>
      </c>
      <c r="C64" s="53" t="s">
        <v>67</v>
      </c>
      <c r="D64" s="54" t="s">
        <v>139</v>
      </c>
      <c r="E64" s="55"/>
      <c r="F64" s="55"/>
      <c r="G64" s="55"/>
      <c r="H64" s="56"/>
      <c r="I64" s="57">
        <f t="shared" si="1"/>
        <v>0</v>
      </c>
      <c r="J64" s="62"/>
      <c r="K64" s="59">
        <f t="shared" si="2"/>
        <v>5</v>
      </c>
      <c r="L64" s="52"/>
      <c r="M64" s="60">
        <f t="shared" si="3"/>
        <v>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6"/>
      <c r="B65" s="63"/>
      <c r="C65" s="63"/>
      <c r="D65" s="63"/>
      <c r="E65" s="64"/>
      <c r="F65" s="64"/>
      <c r="G65" s="63"/>
      <c r="H65" s="63"/>
      <c r="I65" s="63"/>
      <c r="J65" s="63"/>
      <c r="K65" s="1"/>
      <c r="L65" s="8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65" t="s">
        <v>140</v>
      </c>
      <c r="C66" s="66"/>
      <c r="D66" s="67">
        <f>COUNT(A17:A64)</f>
        <v>48</v>
      </c>
      <c r="E66" s="63"/>
      <c r="F66" s="63"/>
      <c r="G66" s="68" t="s">
        <v>141</v>
      </c>
      <c r="H66" s="68"/>
      <c r="I66" s="68" t="s">
        <v>142</v>
      </c>
      <c r="K66" s="69" t="s">
        <v>143</v>
      </c>
      <c r="L66" s="70" t="s">
        <v>144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1" t="s">
        <v>145</v>
      </c>
      <c r="C67" s="72"/>
      <c r="D67" s="73">
        <f>COUNTIF(K17:K64,"BAJA")</f>
        <v>0</v>
      </c>
      <c r="E67" s="63"/>
      <c r="F67" s="63"/>
      <c r="H67" s="68"/>
      <c r="L67" s="10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1" t="s">
        <v>146</v>
      </c>
      <c r="C68" s="72"/>
      <c r="D68" s="74">
        <f>D66-D67</f>
        <v>48</v>
      </c>
      <c r="E68" s="63"/>
      <c r="F68" s="63"/>
      <c r="G68" s="75"/>
      <c r="H68" s="76"/>
      <c r="I68" s="75"/>
      <c r="J68" s="75"/>
      <c r="K68" s="77"/>
      <c r="L68" s="7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B69" s="71" t="s">
        <v>147</v>
      </c>
      <c r="C69" s="72"/>
      <c r="D69" s="79">
        <f>COUNTIF(K17:K64,"&gt;=6")</f>
        <v>0</v>
      </c>
      <c r="E69" s="63"/>
      <c r="F69" s="63"/>
      <c r="G69" s="75"/>
      <c r="H69" s="76"/>
      <c r="I69" s="75"/>
      <c r="J69" s="75"/>
      <c r="K69" s="77"/>
      <c r="L69" s="78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B70" s="71" t="s">
        <v>148</v>
      </c>
      <c r="C70" s="72"/>
      <c r="D70" s="79">
        <f>D68-D69</f>
        <v>48</v>
      </c>
      <c r="E70" s="63"/>
      <c r="F70" s="63"/>
      <c r="G70" s="80"/>
      <c r="H70" s="76"/>
      <c r="I70" s="80"/>
      <c r="J70" s="80"/>
      <c r="K70" s="81"/>
      <c r="L70" s="8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B71" s="71" t="s">
        <v>149</v>
      </c>
      <c r="C71" s="72"/>
      <c r="D71" s="83">
        <f>D69*100/D68</f>
        <v>0</v>
      </c>
      <c r="E71" s="63"/>
      <c r="F71" s="63"/>
      <c r="G71" s="84" t="s">
        <v>150</v>
      </c>
      <c r="H71" s="85"/>
      <c r="I71" s="86" t="s">
        <v>151</v>
      </c>
      <c r="K71" s="86" t="s">
        <v>152</v>
      </c>
      <c r="L71" s="87" t="s">
        <v>153</v>
      </c>
      <c r="M71" s="88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B72" s="89" t="s">
        <v>154</v>
      </c>
      <c r="C72" s="90"/>
      <c r="D72" s="91">
        <f>AVERAGE(K17:K64)</f>
        <v>5</v>
      </c>
      <c r="E72" s="63"/>
      <c r="F72" s="63"/>
      <c r="H72" s="85"/>
      <c r="L72" s="1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6"/>
      <c r="B73" s="1"/>
      <c r="C73" s="1"/>
      <c r="D73" s="1"/>
      <c r="E73" s="1"/>
      <c r="F73" s="1"/>
      <c r="G73" s="1"/>
      <c r="H73" s="1"/>
      <c r="I73" s="1"/>
      <c r="J73" s="1"/>
      <c r="K73" s="1"/>
      <c r="L73" s="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2"/>
      <c r="B74" s="93"/>
      <c r="C74" s="94"/>
      <c r="D74" s="94"/>
      <c r="E74" s="63"/>
      <c r="H74" s="7"/>
      <c r="I74" s="7"/>
      <c r="J74" s="7"/>
      <c r="K74" s="7"/>
      <c r="L74" s="95"/>
      <c r="M74" s="9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97"/>
      <c r="B75" s="63"/>
      <c r="C75" s="63"/>
      <c r="D75" s="63"/>
      <c r="E75" s="7"/>
      <c r="F75" s="7"/>
      <c r="G75" s="1"/>
      <c r="H75" s="1"/>
      <c r="I75" s="1"/>
      <c r="J75" s="1"/>
      <c r="K75" s="1"/>
      <c r="L75" s="8"/>
      <c r="M75" s="98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97"/>
      <c r="B76" s="63"/>
      <c r="C76" s="63"/>
      <c r="D76" s="63"/>
      <c r="E76" s="7"/>
      <c r="F76" s="7"/>
      <c r="G76" s="1"/>
      <c r="H76" s="1"/>
      <c r="I76" s="1"/>
      <c r="J76" s="1"/>
      <c r="K76" s="1"/>
      <c r="L76" s="8"/>
      <c r="M76" s="98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99"/>
      <c r="B77" s="100"/>
      <c r="C77" s="100"/>
      <c r="D77" s="100"/>
      <c r="E77" s="101"/>
      <c r="F77" s="101"/>
      <c r="G77" s="102"/>
      <c r="H77" s="102"/>
      <c r="I77" s="102"/>
      <c r="J77" s="102"/>
      <c r="K77" s="102"/>
      <c r="L77" s="103"/>
      <c r="M77" s="98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4"/>
      <c r="C78" s="104"/>
      <c r="D78" s="104"/>
      <c r="E78" s="104"/>
      <c r="F78" s="104"/>
      <c r="G78" s="1"/>
      <c r="H78" s="1"/>
      <c r="I78" s="1"/>
      <c r="J78" s="1"/>
      <c r="K78" s="105"/>
      <c r="L78" s="105"/>
      <c r="M78" s="10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4"/>
      <c r="C79" s="104"/>
      <c r="D79" s="104"/>
      <c r="E79" s="104"/>
      <c r="F79" s="104"/>
      <c r="G79" s="1"/>
      <c r="H79" s="1"/>
      <c r="I79" s="1"/>
      <c r="J79" s="1"/>
      <c r="K79" s="105"/>
      <c r="L79" s="105"/>
      <c r="M79" s="10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4"/>
      <c r="C80" s="104"/>
      <c r="D80" s="104"/>
      <c r="E80" s="104"/>
      <c r="F80" s="104"/>
      <c r="G80" s="1"/>
      <c r="H80" s="1"/>
      <c r="I80" s="1"/>
      <c r="J80" s="1"/>
      <c r="K80" s="105"/>
      <c r="L80" s="105"/>
      <c r="M80" s="10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4"/>
      <c r="C81" s="104"/>
      <c r="D81" s="104"/>
      <c r="E81" s="104"/>
      <c r="F81" s="104"/>
      <c r="G81" s="1"/>
      <c r="H81" s="1"/>
      <c r="I81" s="1"/>
      <c r="J81" s="1"/>
      <c r="K81" s="105"/>
      <c r="L81" s="105"/>
      <c r="M81" s="105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4"/>
      <c r="C82" s="104"/>
      <c r="D82" s="104"/>
      <c r="E82" s="104"/>
      <c r="F82" s="10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4"/>
      <c r="C83" s="104"/>
      <c r="D83" s="104"/>
      <c r="E83" s="104"/>
      <c r="F83" s="104"/>
      <c r="G83" s="1"/>
      <c r="H83" s="1"/>
      <c r="I83" s="1"/>
      <c r="J83" s="1"/>
      <c r="K83" s="1"/>
      <c r="L83" s="106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4"/>
      <c r="C84" s="104"/>
      <c r="D84" s="104"/>
      <c r="E84" s="104"/>
      <c r="F84" s="10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4"/>
      <c r="C85" s="104"/>
      <c r="D85" s="104"/>
      <c r="E85" s="104"/>
      <c r="F85" s="10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4"/>
      <c r="C86" s="104"/>
      <c r="D86" s="104"/>
      <c r="E86" s="104"/>
      <c r="F86" s="10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4"/>
      <c r="C87" s="104"/>
      <c r="D87" s="104"/>
      <c r="E87" s="104"/>
      <c r="F87" s="10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4"/>
      <c r="C88" s="104"/>
      <c r="D88" s="104"/>
      <c r="E88" s="104"/>
      <c r="F88" s="10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04"/>
      <c r="C89" s="104"/>
      <c r="D89" s="104"/>
      <c r="E89" s="104"/>
      <c r="F89" s="10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29">
    <mergeCell ref="F14:F15"/>
    <mergeCell ref="G14:G15"/>
    <mergeCell ref="G66:G67"/>
    <mergeCell ref="I66:J67"/>
    <mergeCell ref="K66:K67"/>
    <mergeCell ref="L66:L67"/>
    <mergeCell ref="A9:L9"/>
    <mergeCell ref="E10:L10"/>
    <mergeCell ref="A13:B13"/>
    <mergeCell ref="C13:D13"/>
    <mergeCell ref="H13:H15"/>
    <mergeCell ref="I13:I14"/>
    <mergeCell ref="J13:L14"/>
    <mergeCell ref="J15:L15"/>
    <mergeCell ref="B70:C70"/>
    <mergeCell ref="B71:C71"/>
    <mergeCell ref="G71:G72"/>
    <mergeCell ref="I71:J72"/>
    <mergeCell ref="K71:K72"/>
    <mergeCell ref="L71:L72"/>
    <mergeCell ref="B72:C72"/>
    <mergeCell ref="E74:G74"/>
    <mergeCell ref="B14:D14"/>
    <mergeCell ref="E14:E15"/>
    <mergeCell ref="B16:D16"/>
    <mergeCell ref="B66:C66"/>
    <mergeCell ref="B67:C67"/>
    <mergeCell ref="B68:C68"/>
    <mergeCell ref="B69:C69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4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27" t="s">
        <v>161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6"/>
      <c r="I17" s="57">
        <f t="shared" ref="I17:I64" si="1">SUM(E17:H17)</f>
        <v>0</v>
      </c>
      <c r="J17" s="58"/>
      <c r="K17" s="59">
        <f t="shared" ref="K17:K64" si="2">IF(M17&lt;6,5,M17)</f>
        <v>5</v>
      </c>
      <c r="L17" s="60"/>
      <c r="M17" s="61">
        <f t="shared" ref="M17:M64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6"/>
      <c r="I18" s="57">
        <f t="shared" si="1"/>
        <v>0</v>
      </c>
      <c r="J18" s="58"/>
      <c r="K18" s="59">
        <f t="shared" si="2"/>
        <v>5</v>
      </c>
      <c r="L18" s="52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6"/>
      <c r="F19" s="56"/>
      <c r="G19" s="55"/>
      <c r="H19" s="56"/>
      <c r="I19" s="57">
        <f t="shared" si="1"/>
        <v>0</v>
      </c>
      <c r="J19" s="58"/>
      <c r="K19" s="59">
        <f t="shared" si="2"/>
        <v>5</v>
      </c>
      <c r="L19" s="52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6"/>
      <c r="I20" s="57">
        <f t="shared" si="1"/>
        <v>0</v>
      </c>
      <c r="J20" s="58"/>
      <c r="K20" s="59">
        <f t="shared" si="2"/>
        <v>5</v>
      </c>
      <c r="L20" s="52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6"/>
      <c r="I21" s="57">
        <f t="shared" si="1"/>
        <v>0</v>
      </c>
      <c r="J21" s="58"/>
      <c r="K21" s="59">
        <f t="shared" si="2"/>
        <v>5</v>
      </c>
      <c r="L21" s="52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6"/>
      <c r="I22" s="57">
        <f t="shared" si="1"/>
        <v>0</v>
      </c>
      <c r="J22" s="58"/>
      <c r="K22" s="59">
        <f t="shared" si="2"/>
        <v>5</v>
      </c>
      <c r="L22" s="52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6"/>
      <c r="I23" s="57">
        <f t="shared" si="1"/>
        <v>0</v>
      </c>
      <c r="J23" s="58"/>
      <c r="K23" s="59">
        <f t="shared" si="2"/>
        <v>5</v>
      </c>
      <c r="L23" s="52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6"/>
      <c r="F24" s="56"/>
      <c r="G24" s="55"/>
      <c r="H24" s="56"/>
      <c r="I24" s="57">
        <f t="shared" si="1"/>
        <v>0</v>
      </c>
      <c r="J24" s="58"/>
      <c r="K24" s="59">
        <f t="shared" si="2"/>
        <v>5</v>
      </c>
      <c r="L24" s="52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6"/>
      <c r="I25" s="57">
        <f t="shared" si="1"/>
        <v>0</v>
      </c>
      <c r="J25" s="58"/>
      <c r="K25" s="59">
        <f t="shared" si="2"/>
        <v>5</v>
      </c>
      <c r="L25" s="52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6"/>
      <c r="F26" s="56"/>
      <c r="G26" s="55"/>
      <c r="H26" s="56"/>
      <c r="I26" s="57">
        <f t="shared" si="1"/>
        <v>0</v>
      </c>
      <c r="J26" s="58"/>
      <c r="K26" s="59">
        <f t="shared" si="2"/>
        <v>5</v>
      </c>
      <c r="L26" s="52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52</v>
      </c>
      <c r="C27" s="53" t="s">
        <v>53</v>
      </c>
      <c r="D27" s="54" t="s">
        <v>54</v>
      </c>
      <c r="E27" s="55"/>
      <c r="F27" s="55"/>
      <c r="G27" s="55"/>
      <c r="H27" s="56"/>
      <c r="I27" s="57">
        <f t="shared" si="1"/>
        <v>0</v>
      </c>
      <c r="J27" s="58"/>
      <c r="K27" s="59">
        <f t="shared" si="2"/>
        <v>5</v>
      </c>
      <c r="L27" s="52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44</v>
      </c>
      <c r="C28" s="53" t="s">
        <v>55</v>
      </c>
      <c r="D28" s="54" t="s">
        <v>56</v>
      </c>
      <c r="E28" s="55"/>
      <c r="F28" s="55"/>
      <c r="G28" s="55"/>
      <c r="H28" s="56"/>
      <c r="I28" s="57">
        <f t="shared" si="1"/>
        <v>0</v>
      </c>
      <c r="J28" s="58"/>
      <c r="K28" s="59">
        <f t="shared" si="2"/>
        <v>5</v>
      </c>
      <c r="L28" s="52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57</v>
      </c>
      <c r="C29" s="53" t="s">
        <v>58</v>
      </c>
      <c r="D29" s="54" t="s">
        <v>59</v>
      </c>
      <c r="E29" s="55"/>
      <c r="F29" s="55"/>
      <c r="G29" s="55"/>
      <c r="H29" s="56"/>
      <c r="I29" s="57">
        <f t="shared" si="1"/>
        <v>0</v>
      </c>
      <c r="J29" s="58"/>
      <c r="K29" s="59">
        <f t="shared" si="2"/>
        <v>5</v>
      </c>
      <c r="L29" s="52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35</v>
      </c>
      <c r="C30" s="53" t="s">
        <v>60</v>
      </c>
      <c r="D30" s="54" t="s">
        <v>61</v>
      </c>
      <c r="E30" s="56"/>
      <c r="F30" s="56"/>
      <c r="G30" s="55"/>
      <c r="H30" s="56"/>
      <c r="I30" s="57">
        <f t="shared" si="1"/>
        <v>0</v>
      </c>
      <c r="J30" s="58"/>
      <c r="K30" s="59">
        <f t="shared" si="2"/>
        <v>5</v>
      </c>
      <c r="L30" s="52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62</v>
      </c>
      <c r="C31" s="53" t="s">
        <v>32</v>
      </c>
      <c r="D31" s="54" t="s">
        <v>63</v>
      </c>
      <c r="E31" s="56"/>
      <c r="F31" s="56"/>
      <c r="G31" s="55"/>
      <c r="H31" s="56"/>
      <c r="I31" s="57">
        <f t="shared" si="1"/>
        <v>0</v>
      </c>
      <c r="J31" s="58"/>
      <c r="K31" s="59">
        <f t="shared" si="2"/>
        <v>5</v>
      </c>
      <c r="L31" s="52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64</v>
      </c>
      <c r="C32" s="53" t="s">
        <v>65</v>
      </c>
      <c r="D32" s="54" t="s">
        <v>66</v>
      </c>
      <c r="E32" s="55"/>
      <c r="F32" s="55"/>
      <c r="G32" s="55"/>
      <c r="H32" s="56"/>
      <c r="I32" s="57">
        <f t="shared" si="1"/>
        <v>0</v>
      </c>
      <c r="J32" s="58"/>
      <c r="K32" s="59">
        <f t="shared" si="2"/>
        <v>5</v>
      </c>
      <c r="L32" s="52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67</v>
      </c>
      <c r="C33" s="53" t="s">
        <v>67</v>
      </c>
      <c r="D33" s="54" t="s">
        <v>68</v>
      </c>
      <c r="E33" s="55"/>
      <c r="F33" s="55"/>
      <c r="G33" s="55"/>
      <c r="H33" s="56"/>
      <c r="I33" s="57">
        <f t="shared" si="1"/>
        <v>0</v>
      </c>
      <c r="J33" s="58"/>
      <c r="K33" s="59">
        <f t="shared" si="2"/>
        <v>5</v>
      </c>
      <c r="L33" s="52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69</v>
      </c>
      <c r="C34" s="53" t="s">
        <v>67</v>
      </c>
      <c r="D34" s="54" t="s">
        <v>70</v>
      </c>
      <c r="E34" s="56"/>
      <c r="F34" s="56"/>
      <c r="G34" s="55"/>
      <c r="H34" s="56"/>
      <c r="I34" s="57">
        <f t="shared" si="1"/>
        <v>0</v>
      </c>
      <c r="J34" s="58"/>
      <c r="K34" s="59">
        <f t="shared" si="2"/>
        <v>5</v>
      </c>
      <c r="L34" s="52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69</v>
      </c>
      <c r="C35" s="53" t="s">
        <v>71</v>
      </c>
      <c r="D35" s="54" t="s">
        <v>72</v>
      </c>
      <c r="E35" s="55"/>
      <c r="F35" s="55"/>
      <c r="G35" s="55"/>
      <c r="H35" s="56"/>
      <c r="I35" s="57">
        <f t="shared" si="1"/>
        <v>0</v>
      </c>
      <c r="J35" s="58"/>
      <c r="K35" s="59">
        <f t="shared" si="2"/>
        <v>5</v>
      </c>
      <c r="L35" s="52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73</v>
      </c>
      <c r="C36" s="53" t="s">
        <v>38</v>
      </c>
      <c r="D36" s="54" t="s">
        <v>74</v>
      </c>
      <c r="E36" s="55"/>
      <c r="F36" s="55"/>
      <c r="G36" s="55"/>
      <c r="H36" s="56"/>
      <c r="I36" s="57">
        <f t="shared" si="1"/>
        <v>0</v>
      </c>
      <c r="J36" s="58"/>
      <c r="K36" s="59">
        <f t="shared" si="2"/>
        <v>5</v>
      </c>
      <c r="L36" s="52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75</v>
      </c>
      <c r="C37" s="53" t="s">
        <v>76</v>
      </c>
      <c r="D37" s="54" t="s">
        <v>77</v>
      </c>
      <c r="E37" s="56"/>
      <c r="F37" s="56"/>
      <c r="G37" s="55"/>
      <c r="H37" s="56"/>
      <c r="I37" s="57">
        <f t="shared" si="1"/>
        <v>0</v>
      </c>
      <c r="J37" s="58"/>
      <c r="K37" s="59">
        <f t="shared" si="2"/>
        <v>5</v>
      </c>
      <c r="L37" s="52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47</v>
      </c>
      <c r="C38" s="53" t="s">
        <v>62</v>
      </c>
      <c r="D38" s="54" t="s">
        <v>78</v>
      </c>
      <c r="E38" s="55"/>
      <c r="F38" s="55"/>
      <c r="G38" s="55"/>
      <c r="H38" s="56"/>
      <c r="I38" s="57">
        <f t="shared" si="1"/>
        <v>0</v>
      </c>
      <c r="J38" s="58"/>
      <c r="K38" s="59">
        <f t="shared" si="2"/>
        <v>5</v>
      </c>
      <c r="L38" s="52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79</v>
      </c>
      <c r="C39" s="53" t="s">
        <v>80</v>
      </c>
      <c r="D39" s="54" t="s">
        <v>81</v>
      </c>
      <c r="E39" s="55"/>
      <c r="F39" s="55"/>
      <c r="G39" s="55"/>
      <c r="H39" s="56"/>
      <c r="I39" s="57">
        <f t="shared" si="1"/>
        <v>0</v>
      </c>
      <c r="J39" s="58"/>
      <c r="K39" s="59">
        <f t="shared" si="2"/>
        <v>5</v>
      </c>
      <c r="L39" s="52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79</v>
      </c>
      <c r="C40" s="53" t="s">
        <v>82</v>
      </c>
      <c r="D40" s="54" t="s">
        <v>83</v>
      </c>
      <c r="E40" s="55"/>
      <c r="F40" s="55"/>
      <c r="G40" s="55"/>
      <c r="H40" s="56"/>
      <c r="I40" s="57">
        <f t="shared" si="1"/>
        <v>0</v>
      </c>
      <c r="J40" s="58"/>
      <c r="K40" s="59">
        <f t="shared" si="2"/>
        <v>5</v>
      </c>
      <c r="L40" s="52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32</v>
      </c>
      <c r="C41" s="53" t="s">
        <v>84</v>
      </c>
      <c r="D41" s="54" t="s">
        <v>85</v>
      </c>
      <c r="E41" s="55"/>
      <c r="F41" s="55"/>
      <c r="G41" s="55"/>
      <c r="H41" s="56"/>
      <c r="I41" s="57">
        <f t="shared" si="1"/>
        <v>0</v>
      </c>
      <c r="J41" s="58"/>
      <c r="K41" s="59">
        <f t="shared" si="2"/>
        <v>5</v>
      </c>
      <c r="L41" s="52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86</v>
      </c>
      <c r="C42" s="53" t="s">
        <v>62</v>
      </c>
      <c r="D42" s="54" t="s">
        <v>87</v>
      </c>
      <c r="E42" s="55"/>
      <c r="F42" s="55"/>
      <c r="G42" s="55"/>
      <c r="H42" s="56"/>
      <c r="I42" s="57">
        <f t="shared" si="1"/>
        <v>0</v>
      </c>
      <c r="J42" s="58"/>
      <c r="K42" s="59">
        <f t="shared" si="2"/>
        <v>5</v>
      </c>
      <c r="L42" s="52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88</v>
      </c>
      <c r="C43" s="53" t="s">
        <v>29</v>
      </c>
      <c r="D43" s="54" t="s">
        <v>89</v>
      </c>
      <c r="E43" s="55"/>
      <c r="F43" s="55"/>
      <c r="G43" s="55"/>
      <c r="H43" s="56"/>
      <c r="I43" s="57">
        <f t="shared" si="1"/>
        <v>0</v>
      </c>
      <c r="J43" s="58"/>
      <c r="K43" s="59">
        <f t="shared" si="2"/>
        <v>5</v>
      </c>
      <c r="L43" s="52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90</v>
      </c>
      <c r="C44" s="53" t="s">
        <v>91</v>
      </c>
      <c r="D44" s="54" t="s">
        <v>92</v>
      </c>
      <c r="E44" s="55"/>
      <c r="F44" s="55"/>
      <c r="G44" s="55"/>
      <c r="H44" s="56"/>
      <c r="I44" s="57">
        <f t="shared" si="1"/>
        <v>0</v>
      </c>
      <c r="J44" s="58"/>
      <c r="K44" s="59">
        <f t="shared" si="2"/>
        <v>5</v>
      </c>
      <c r="L44" s="52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93</v>
      </c>
      <c r="C45" s="53" t="s">
        <v>94</v>
      </c>
      <c r="D45" s="54" t="s">
        <v>95</v>
      </c>
      <c r="E45" s="55"/>
      <c r="F45" s="55"/>
      <c r="G45" s="55"/>
      <c r="H45" s="56"/>
      <c r="I45" s="57">
        <f t="shared" si="1"/>
        <v>0</v>
      </c>
      <c r="J45" s="58"/>
      <c r="K45" s="59">
        <f t="shared" si="2"/>
        <v>5</v>
      </c>
      <c r="L45" s="52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96</v>
      </c>
      <c r="C46" s="53" t="s">
        <v>97</v>
      </c>
      <c r="D46" s="54" t="s">
        <v>98</v>
      </c>
      <c r="E46" s="55"/>
      <c r="F46" s="55"/>
      <c r="G46" s="55"/>
      <c r="H46" s="56"/>
      <c r="I46" s="57">
        <f t="shared" si="1"/>
        <v>0</v>
      </c>
      <c r="J46" s="58"/>
      <c r="K46" s="59">
        <f t="shared" si="2"/>
        <v>5</v>
      </c>
      <c r="L46" s="52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99</v>
      </c>
      <c r="C47" s="53" t="s">
        <v>100</v>
      </c>
      <c r="D47" s="54" t="s">
        <v>101</v>
      </c>
      <c r="E47" s="55"/>
      <c r="F47" s="55"/>
      <c r="G47" s="55"/>
      <c r="H47" s="56"/>
      <c r="I47" s="57">
        <f t="shared" si="1"/>
        <v>0</v>
      </c>
      <c r="J47" s="58"/>
      <c r="K47" s="59">
        <f t="shared" si="2"/>
        <v>5</v>
      </c>
      <c r="L47" s="52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102</v>
      </c>
      <c r="C48" s="53" t="s">
        <v>103</v>
      </c>
      <c r="D48" s="54" t="s">
        <v>104</v>
      </c>
      <c r="E48" s="55"/>
      <c r="F48" s="55"/>
      <c r="G48" s="55"/>
      <c r="H48" s="56"/>
      <c r="I48" s="57">
        <f t="shared" si="1"/>
        <v>0</v>
      </c>
      <c r="J48" s="58"/>
      <c r="K48" s="59">
        <f t="shared" si="2"/>
        <v>5</v>
      </c>
      <c r="L48" s="52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105</v>
      </c>
      <c r="C49" s="53" t="s">
        <v>22</v>
      </c>
      <c r="D49" s="54" t="s">
        <v>106</v>
      </c>
      <c r="E49" s="55"/>
      <c r="F49" s="55"/>
      <c r="G49" s="55"/>
      <c r="H49" s="56"/>
      <c r="I49" s="57">
        <f t="shared" si="1"/>
        <v>0</v>
      </c>
      <c r="J49" s="58"/>
      <c r="K49" s="59">
        <f t="shared" si="2"/>
        <v>5</v>
      </c>
      <c r="L49" s="52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23</v>
      </c>
      <c r="C50" s="53" t="s">
        <v>107</v>
      </c>
      <c r="D50" s="54" t="s">
        <v>108</v>
      </c>
      <c r="E50" s="55"/>
      <c r="F50" s="55"/>
      <c r="G50" s="55"/>
      <c r="H50" s="56"/>
      <c r="I50" s="57">
        <f t="shared" si="1"/>
        <v>0</v>
      </c>
      <c r="J50" s="58"/>
      <c r="K50" s="59">
        <f t="shared" si="2"/>
        <v>5</v>
      </c>
      <c r="L50" s="52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23</v>
      </c>
      <c r="C51" s="53" t="s">
        <v>109</v>
      </c>
      <c r="D51" s="54" t="s">
        <v>110</v>
      </c>
      <c r="E51" s="55"/>
      <c r="F51" s="55"/>
      <c r="G51" s="55"/>
      <c r="H51" s="56"/>
      <c r="I51" s="57">
        <f t="shared" si="1"/>
        <v>0</v>
      </c>
      <c r="J51" s="58"/>
      <c r="K51" s="59">
        <f t="shared" si="2"/>
        <v>5</v>
      </c>
      <c r="L51" s="52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111</v>
      </c>
      <c r="C52" s="53" t="s">
        <v>62</v>
      </c>
      <c r="D52" s="54" t="s">
        <v>112</v>
      </c>
      <c r="E52" s="55"/>
      <c r="F52" s="55"/>
      <c r="G52" s="55"/>
      <c r="H52" s="56"/>
      <c r="I52" s="57">
        <f t="shared" si="1"/>
        <v>0</v>
      </c>
      <c r="J52" s="58"/>
      <c r="K52" s="59">
        <f t="shared" si="2"/>
        <v>5</v>
      </c>
      <c r="L52" s="52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111</v>
      </c>
      <c r="C53" s="53" t="s">
        <v>73</v>
      </c>
      <c r="D53" s="54" t="s">
        <v>113</v>
      </c>
      <c r="E53" s="55"/>
      <c r="F53" s="55"/>
      <c r="G53" s="55"/>
      <c r="H53" s="56"/>
      <c r="I53" s="57">
        <f t="shared" si="1"/>
        <v>0</v>
      </c>
      <c r="J53" s="58"/>
      <c r="K53" s="59">
        <f t="shared" si="2"/>
        <v>5</v>
      </c>
      <c r="L53" s="52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114</v>
      </c>
      <c r="C54" s="53" t="s">
        <v>69</v>
      </c>
      <c r="D54" s="54" t="s">
        <v>115</v>
      </c>
      <c r="E54" s="55"/>
      <c r="F54" s="55"/>
      <c r="G54" s="55"/>
      <c r="H54" s="56"/>
      <c r="I54" s="57">
        <f t="shared" si="1"/>
        <v>0</v>
      </c>
      <c r="J54" s="58"/>
      <c r="K54" s="59">
        <f t="shared" si="2"/>
        <v>5</v>
      </c>
      <c r="L54" s="52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116</v>
      </c>
      <c r="C55" s="53" t="s">
        <v>117</v>
      </c>
      <c r="D55" s="54" t="s">
        <v>118</v>
      </c>
      <c r="E55" s="55"/>
      <c r="F55" s="55"/>
      <c r="G55" s="55"/>
      <c r="H55" s="56"/>
      <c r="I55" s="57">
        <f t="shared" si="1"/>
        <v>0</v>
      </c>
      <c r="J55" s="62"/>
      <c r="K55" s="59">
        <f t="shared" si="2"/>
        <v>5</v>
      </c>
      <c r="L55" s="52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119</v>
      </c>
      <c r="C56" s="53" t="s">
        <v>120</v>
      </c>
      <c r="D56" s="54" t="s">
        <v>121</v>
      </c>
      <c r="E56" s="55"/>
      <c r="F56" s="55"/>
      <c r="G56" s="55"/>
      <c r="H56" s="56"/>
      <c r="I56" s="57">
        <f t="shared" si="1"/>
        <v>0</v>
      </c>
      <c r="J56" s="62"/>
      <c r="K56" s="59">
        <f t="shared" si="2"/>
        <v>5</v>
      </c>
      <c r="L56" s="52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122</v>
      </c>
      <c r="C57" s="53" t="s">
        <v>123</v>
      </c>
      <c r="D57" s="54" t="s">
        <v>124</v>
      </c>
      <c r="E57" s="55"/>
      <c r="F57" s="55"/>
      <c r="G57" s="55"/>
      <c r="H57" s="56"/>
      <c r="I57" s="57">
        <f t="shared" si="1"/>
        <v>0</v>
      </c>
      <c r="J57" s="62"/>
      <c r="K57" s="59">
        <f t="shared" si="2"/>
        <v>5</v>
      </c>
      <c r="L57" s="52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2">
        <v>42.0</v>
      </c>
      <c r="B58" s="53" t="s">
        <v>123</v>
      </c>
      <c r="C58" s="53" t="s">
        <v>90</v>
      </c>
      <c r="D58" s="54" t="s">
        <v>125</v>
      </c>
      <c r="E58" s="55"/>
      <c r="F58" s="55"/>
      <c r="G58" s="55"/>
      <c r="H58" s="56"/>
      <c r="I58" s="57">
        <f t="shared" si="1"/>
        <v>0</v>
      </c>
      <c r="J58" s="62"/>
      <c r="K58" s="59">
        <f t="shared" si="2"/>
        <v>5</v>
      </c>
      <c r="L58" s="52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2">
        <v>43.0</v>
      </c>
      <c r="B59" s="53" t="s">
        <v>97</v>
      </c>
      <c r="C59" s="53" t="s">
        <v>126</v>
      </c>
      <c r="D59" s="54" t="s">
        <v>127</v>
      </c>
      <c r="E59" s="55"/>
      <c r="F59" s="55"/>
      <c r="G59" s="55"/>
      <c r="H59" s="56"/>
      <c r="I59" s="57">
        <f t="shared" si="1"/>
        <v>0</v>
      </c>
      <c r="J59" s="62"/>
      <c r="K59" s="59">
        <f t="shared" si="2"/>
        <v>5</v>
      </c>
      <c r="L59" s="52"/>
      <c r="M59" s="60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2">
        <v>44.0</v>
      </c>
      <c r="B60" s="53" t="s">
        <v>128</v>
      </c>
      <c r="C60" s="53" t="s">
        <v>124</v>
      </c>
      <c r="D60" s="54" t="s">
        <v>129</v>
      </c>
      <c r="E60" s="55"/>
      <c r="F60" s="55"/>
      <c r="G60" s="55"/>
      <c r="H60" s="56"/>
      <c r="I60" s="57">
        <f t="shared" si="1"/>
        <v>0</v>
      </c>
      <c r="J60" s="62"/>
      <c r="K60" s="59">
        <f t="shared" si="2"/>
        <v>5</v>
      </c>
      <c r="L60" s="52"/>
      <c r="M60" s="60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2">
        <v>45.0</v>
      </c>
      <c r="B61" s="53" t="s">
        <v>130</v>
      </c>
      <c r="C61" s="53" t="s">
        <v>131</v>
      </c>
      <c r="D61" s="54" t="s">
        <v>132</v>
      </c>
      <c r="E61" s="55"/>
      <c r="F61" s="55"/>
      <c r="G61" s="55"/>
      <c r="H61" s="56"/>
      <c r="I61" s="57">
        <f t="shared" si="1"/>
        <v>0</v>
      </c>
      <c r="J61" s="62"/>
      <c r="K61" s="59">
        <f t="shared" si="2"/>
        <v>5</v>
      </c>
      <c r="L61" s="52"/>
      <c r="M61" s="60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2">
        <v>46.0</v>
      </c>
      <c r="B62" s="53" t="s">
        <v>133</v>
      </c>
      <c r="C62" s="53" t="s">
        <v>67</v>
      </c>
      <c r="D62" s="54" t="s">
        <v>134</v>
      </c>
      <c r="E62" s="55"/>
      <c r="F62" s="55"/>
      <c r="G62" s="55"/>
      <c r="H62" s="56"/>
      <c r="I62" s="57">
        <f t="shared" si="1"/>
        <v>0</v>
      </c>
      <c r="J62" s="62"/>
      <c r="K62" s="59">
        <f t="shared" si="2"/>
        <v>5</v>
      </c>
      <c r="L62" s="52"/>
      <c r="M62" s="60">
        <f t="shared" si="3"/>
        <v>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2">
        <v>47.0</v>
      </c>
      <c r="B63" s="53" t="s">
        <v>135</v>
      </c>
      <c r="C63" s="53" t="s">
        <v>136</v>
      </c>
      <c r="D63" s="54" t="s">
        <v>137</v>
      </c>
      <c r="E63" s="55"/>
      <c r="F63" s="55"/>
      <c r="G63" s="55"/>
      <c r="H63" s="56"/>
      <c r="I63" s="57">
        <f t="shared" si="1"/>
        <v>0</v>
      </c>
      <c r="J63" s="62"/>
      <c r="K63" s="59">
        <f t="shared" si="2"/>
        <v>5</v>
      </c>
      <c r="L63" s="52"/>
      <c r="M63" s="60">
        <f t="shared" si="3"/>
        <v>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2">
        <v>48.0</v>
      </c>
      <c r="B64" s="53" t="s">
        <v>138</v>
      </c>
      <c r="C64" s="53" t="s">
        <v>67</v>
      </c>
      <c r="D64" s="54" t="s">
        <v>139</v>
      </c>
      <c r="E64" s="55"/>
      <c r="F64" s="55"/>
      <c r="G64" s="55"/>
      <c r="H64" s="56"/>
      <c r="I64" s="57">
        <f t="shared" si="1"/>
        <v>0</v>
      </c>
      <c r="J64" s="62"/>
      <c r="K64" s="59">
        <f t="shared" si="2"/>
        <v>5</v>
      </c>
      <c r="L64" s="52"/>
      <c r="M64" s="60">
        <f t="shared" si="3"/>
        <v>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6"/>
      <c r="B65" s="63"/>
      <c r="C65" s="63"/>
      <c r="D65" s="63"/>
      <c r="E65" s="64"/>
      <c r="F65" s="64"/>
      <c r="G65" s="63"/>
      <c r="H65" s="63"/>
      <c r="I65" s="63"/>
      <c r="J65" s="63"/>
      <c r="K65" s="1"/>
      <c r="L65" s="8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65" t="s">
        <v>140</v>
      </c>
      <c r="C66" s="66"/>
      <c r="D66" s="67">
        <f>COUNT(A17:A64)</f>
        <v>48</v>
      </c>
      <c r="E66" s="63"/>
      <c r="F66" s="63"/>
      <c r="G66" s="68" t="s">
        <v>141</v>
      </c>
      <c r="H66" s="68"/>
      <c r="I66" s="68" t="s">
        <v>142</v>
      </c>
      <c r="K66" s="69" t="s">
        <v>143</v>
      </c>
      <c r="L66" s="70" t="s">
        <v>144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1" t="s">
        <v>145</v>
      </c>
      <c r="C67" s="72"/>
      <c r="D67" s="73">
        <f>COUNTIF(K17:K64,"BAJA")</f>
        <v>0</v>
      </c>
      <c r="E67" s="63"/>
      <c r="F67" s="63"/>
      <c r="H67" s="68"/>
      <c r="L67" s="10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1" t="s">
        <v>146</v>
      </c>
      <c r="C68" s="72"/>
      <c r="D68" s="74">
        <f>D66-D67</f>
        <v>48</v>
      </c>
      <c r="E68" s="63"/>
      <c r="F68" s="63"/>
      <c r="G68" s="75"/>
      <c r="H68" s="76"/>
      <c r="I68" s="75"/>
      <c r="J68" s="75"/>
      <c r="K68" s="77"/>
      <c r="L68" s="7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B69" s="71" t="s">
        <v>147</v>
      </c>
      <c r="C69" s="72"/>
      <c r="D69" s="79">
        <f>COUNTIF(K17:K64,"&gt;=6")</f>
        <v>0</v>
      </c>
      <c r="E69" s="63"/>
      <c r="F69" s="63"/>
      <c r="G69" s="75"/>
      <c r="H69" s="76"/>
      <c r="I69" s="75"/>
      <c r="J69" s="75"/>
      <c r="K69" s="77"/>
      <c r="L69" s="78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B70" s="71" t="s">
        <v>148</v>
      </c>
      <c r="C70" s="72"/>
      <c r="D70" s="79">
        <f>D68-D69</f>
        <v>48</v>
      </c>
      <c r="E70" s="63"/>
      <c r="F70" s="63"/>
      <c r="G70" s="80"/>
      <c r="H70" s="76"/>
      <c r="I70" s="80"/>
      <c r="J70" s="80"/>
      <c r="K70" s="81"/>
      <c r="L70" s="8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B71" s="71" t="s">
        <v>149</v>
      </c>
      <c r="C71" s="72"/>
      <c r="D71" s="83">
        <f>D69*100/D68</f>
        <v>0</v>
      </c>
      <c r="E71" s="63"/>
      <c r="F71" s="63"/>
      <c r="G71" s="84" t="s">
        <v>150</v>
      </c>
      <c r="H71" s="85"/>
      <c r="I71" s="86" t="s">
        <v>151</v>
      </c>
      <c r="K71" s="86" t="s">
        <v>152</v>
      </c>
      <c r="L71" s="87" t="s">
        <v>153</v>
      </c>
      <c r="M71" s="88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B72" s="89" t="s">
        <v>154</v>
      </c>
      <c r="C72" s="90"/>
      <c r="D72" s="91">
        <f>AVERAGE(K17:K64)</f>
        <v>5</v>
      </c>
      <c r="E72" s="63"/>
      <c r="F72" s="63"/>
      <c r="H72" s="85"/>
      <c r="L72" s="1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6"/>
      <c r="B73" s="1"/>
      <c r="C73" s="1"/>
      <c r="D73" s="1"/>
      <c r="E73" s="1"/>
      <c r="F73" s="1"/>
      <c r="G73" s="1"/>
      <c r="H73" s="1"/>
      <c r="I73" s="1"/>
      <c r="J73" s="1"/>
      <c r="K73" s="1"/>
      <c r="L73" s="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2"/>
      <c r="B74" s="93"/>
      <c r="C74" s="94"/>
      <c r="D74" s="94"/>
      <c r="E74" s="63"/>
      <c r="H74" s="7"/>
      <c r="I74" s="7"/>
      <c r="J74" s="7"/>
      <c r="K74" s="7"/>
      <c r="L74" s="95"/>
      <c r="M74" s="9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97"/>
      <c r="B75" s="63"/>
      <c r="C75" s="63"/>
      <c r="D75" s="63"/>
      <c r="E75" s="7"/>
      <c r="F75" s="7"/>
      <c r="G75" s="1"/>
      <c r="H75" s="1"/>
      <c r="I75" s="1"/>
      <c r="J75" s="1"/>
      <c r="K75" s="1"/>
      <c r="L75" s="8"/>
      <c r="M75" s="98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97"/>
      <c r="B76" s="63"/>
      <c r="C76" s="63"/>
      <c r="D76" s="63"/>
      <c r="E76" s="7"/>
      <c r="F76" s="7"/>
      <c r="G76" s="1"/>
      <c r="H76" s="1"/>
      <c r="I76" s="1"/>
      <c r="J76" s="1"/>
      <c r="K76" s="1"/>
      <c r="L76" s="8"/>
      <c r="M76" s="98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99"/>
      <c r="B77" s="100"/>
      <c r="C77" s="100"/>
      <c r="D77" s="100"/>
      <c r="E77" s="101"/>
      <c r="F77" s="101"/>
      <c r="G77" s="102"/>
      <c r="H77" s="102"/>
      <c r="I77" s="102"/>
      <c r="J77" s="102"/>
      <c r="K77" s="102"/>
      <c r="L77" s="103"/>
      <c r="M77" s="98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4"/>
      <c r="C78" s="104"/>
      <c r="D78" s="104"/>
      <c r="E78" s="104"/>
      <c r="F78" s="104"/>
      <c r="G78" s="1"/>
      <c r="H78" s="1"/>
      <c r="I78" s="1"/>
      <c r="J78" s="1"/>
      <c r="K78" s="105"/>
      <c r="L78" s="105"/>
      <c r="M78" s="10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4"/>
      <c r="C79" s="104"/>
      <c r="D79" s="104"/>
      <c r="E79" s="104"/>
      <c r="F79" s="104"/>
      <c r="G79" s="1"/>
      <c r="H79" s="1"/>
      <c r="I79" s="1"/>
      <c r="J79" s="1"/>
      <c r="K79" s="105"/>
      <c r="L79" s="105"/>
      <c r="M79" s="10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4"/>
      <c r="C80" s="104"/>
      <c r="D80" s="104"/>
      <c r="E80" s="104"/>
      <c r="F80" s="104"/>
      <c r="G80" s="1"/>
      <c r="H80" s="1"/>
      <c r="I80" s="1"/>
      <c r="J80" s="1"/>
      <c r="K80" s="105"/>
      <c r="L80" s="105"/>
      <c r="M80" s="10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4"/>
      <c r="C81" s="104"/>
      <c r="D81" s="104"/>
      <c r="E81" s="104"/>
      <c r="F81" s="104"/>
      <c r="G81" s="1"/>
      <c r="H81" s="1"/>
      <c r="I81" s="1"/>
      <c r="J81" s="1"/>
      <c r="K81" s="105"/>
      <c r="L81" s="105"/>
      <c r="M81" s="105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4"/>
      <c r="C82" s="104"/>
      <c r="D82" s="104"/>
      <c r="E82" s="104"/>
      <c r="F82" s="10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4"/>
      <c r="C83" s="104"/>
      <c r="D83" s="104"/>
      <c r="E83" s="104"/>
      <c r="F83" s="104"/>
      <c r="G83" s="1"/>
      <c r="H83" s="1"/>
      <c r="I83" s="1"/>
      <c r="J83" s="1"/>
      <c r="K83" s="1"/>
      <c r="L83" s="106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4"/>
      <c r="C84" s="104"/>
      <c r="D84" s="104"/>
      <c r="E84" s="104"/>
      <c r="F84" s="10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4"/>
      <c r="C85" s="104"/>
      <c r="D85" s="104"/>
      <c r="E85" s="104"/>
      <c r="F85" s="10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4"/>
      <c r="C86" s="104"/>
      <c r="D86" s="104"/>
      <c r="E86" s="104"/>
      <c r="F86" s="10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4"/>
      <c r="C87" s="104"/>
      <c r="D87" s="104"/>
      <c r="E87" s="104"/>
      <c r="F87" s="10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4"/>
      <c r="C88" s="104"/>
      <c r="D88" s="104"/>
      <c r="E88" s="104"/>
      <c r="F88" s="10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04"/>
      <c r="C89" s="104"/>
      <c r="D89" s="104"/>
      <c r="E89" s="104"/>
      <c r="F89" s="10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29">
    <mergeCell ref="F14:F15"/>
    <mergeCell ref="G14:G15"/>
    <mergeCell ref="G66:G67"/>
    <mergeCell ref="I66:J67"/>
    <mergeCell ref="K66:K67"/>
    <mergeCell ref="L66:L67"/>
    <mergeCell ref="A9:L9"/>
    <mergeCell ref="E10:L10"/>
    <mergeCell ref="A13:B13"/>
    <mergeCell ref="C13:D13"/>
    <mergeCell ref="H13:H15"/>
    <mergeCell ref="I13:I14"/>
    <mergeCell ref="J13:L14"/>
    <mergeCell ref="J15:L15"/>
    <mergeCell ref="B70:C70"/>
    <mergeCell ref="B71:C71"/>
    <mergeCell ref="G71:G72"/>
    <mergeCell ref="I71:J72"/>
    <mergeCell ref="K71:K72"/>
    <mergeCell ref="L71:L72"/>
    <mergeCell ref="B72:C72"/>
    <mergeCell ref="E74:G74"/>
    <mergeCell ref="B14:D14"/>
    <mergeCell ref="E14:E15"/>
    <mergeCell ref="B16:D16"/>
    <mergeCell ref="B66:C66"/>
    <mergeCell ref="B67:C67"/>
    <mergeCell ref="B68:C68"/>
    <mergeCell ref="B69:C69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4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27" t="s">
        <v>162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6"/>
      <c r="I17" s="57">
        <f t="shared" ref="I17:I64" si="1">SUM(E17:H17)</f>
        <v>0</v>
      </c>
      <c r="J17" s="58"/>
      <c r="K17" s="59">
        <f t="shared" ref="K17:K64" si="2">IF(M17&lt;6,5,M17)</f>
        <v>5</v>
      </c>
      <c r="L17" s="60"/>
      <c r="M17" s="61">
        <f t="shared" ref="M17:M64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6"/>
      <c r="I18" s="57">
        <f t="shared" si="1"/>
        <v>0</v>
      </c>
      <c r="J18" s="58"/>
      <c r="K18" s="59">
        <f t="shared" si="2"/>
        <v>5</v>
      </c>
      <c r="L18" s="52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6"/>
      <c r="F19" s="56"/>
      <c r="G19" s="55"/>
      <c r="H19" s="56"/>
      <c r="I19" s="57">
        <f t="shared" si="1"/>
        <v>0</v>
      </c>
      <c r="J19" s="58"/>
      <c r="K19" s="59">
        <f t="shared" si="2"/>
        <v>5</v>
      </c>
      <c r="L19" s="52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6"/>
      <c r="I20" s="57">
        <f t="shared" si="1"/>
        <v>0</v>
      </c>
      <c r="J20" s="58"/>
      <c r="K20" s="59">
        <f t="shared" si="2"/>
        <v>5</v>
      </c>
      <c r="L20" s="52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6"/>
      <c r="I21" s="57">
        <f t="shared" si="1"/>
        <v>0</v>
      </c>
      <c r="J21" s="58"/>
      <c r="K21" s="59">
        <f t="shared" si="2"/>
        <v>5</v>
      </c>
      <c r="L21" s="52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6"/>
      <c r="I22" s="57">
        <f t="shared" si="1"/>
        <v>0</v>
      </c>
      <c r="J22" s="58"/>
      <c r="K22" s="59">
        <f t="shared" si="2"/>
        <v>5</v>
      </c>
      <c r="L22" s="52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6"/>
      <c r="I23" s="57">
        <f t="shared" si="1"/>
        <v>0</v>
      </c>
      <c r="J23" s="58"/>
      <c r="K23" s="59">
        <f t="shared" si="2"/>
        <v>5</v>
      </c>
      <c r="L23" s="52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6"/>
      <c r="F24" s="56"/>
      <c r="G24" s="55"/>
      <c r="H24" s="56"/>
      <c r="I24" s="57">
        <f t="shared" si="1"/>
        <v>0</v>
      </c>
      <c r="J24" s="58"/>
      <c r="K24" s="59">
        <f t="shared" si="2"/>
        <v>5</v>
      </c>
      <c r="L24" s="52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6"/>
      <c r="I25" s="57">
        <f t="shared" si="1"/>
        <v>0</v>
      </c>
      <c r="J25" s="58"/>
      <c r="K25" s="59">
        <f t="shared" si="2"/>
        <v>5</v>
      </c>
      <c r="L25" s="52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6"/>
      <c r="F26" s="56"/>
      <c r="G26" s="55"/>
      <c r="H26" s="56"/>
      <c r="I26" s="57">
        <f t="shared" si="1"/>
        <v>0</v>
      </c>
      <c r="J26" s="58"/>
      <c r="K26" s="59">
        <f t="shared" si="2"/>
        <v>5</v>
      </c>
      <c r="L26" s="52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52</v>
      </c>
      <c r="C27" s="53" t="s">
        <v>53</v>
      </c>
      <c r="D27" s="54" t="s">
        <v>54</v>
      </c>
      <c r="E27" s="55"/>
      <c r="F27" s="55"/>
      <c r="G27" s="55"/>
      <c r="H27" s="56"/>
      <c r="I27" s="57">
        <f t="shared" si="1"/>
        <v>0</v>
      </c>
      <c r="J27" s="58"/>
      <c r="K27" s="59">
        <f t="shared" si="2"/>
        <v>5</v>
      </c>
      <c r="L27" s="52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44</v>
      </c>
      <c r="C28" s="53" t="s">
        <v>55</v>
      </c>
      <c r="D28" s="54" t="s">
        <v>56</v>
      </c>
      <c r="E28" s="55"/>
      <c r="F28" s="55"/>
      <c r="G28" s="55"/>
      <c r="H28" s="56"/>
      <c r="I28" s="57">
        <f t="shared" si="1"/>
        <v>0</v>
      </c>
      <c r="J28" s="58"/>
      <c r="K28" s="59">
        <f t="shared" si="2"/>
        <v>5</v>
      </c>
      <c r="L28" s="52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57</v>
      </c>
      <c r="C29" s="53" t="s">
        <v>58</v>
      </c>
      <c r="D29" s="54" t="s">
        <v>59</v>
      </c>
      <c r="E29" s="55"/>
      <c r="F29" s="55"/>
      <c r="G29" s="55"/>
      <c r="H29" s="56"/>
      <c r="I29" s="57">
        <f t="shared" si="1"/>
        <v>0</v>
      </c>
      <c r="J29" s="58"/>
      <c r="K29" s="59">
        <f t="shared" si="2"/>
        <v>5</v>
      </c>
      <c r="L29" s="52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35</v>
      </c>
      <c r="C30" s="53" t="s">
        <v>60</v>
      </c>
      <c r="D30" s="54" t="s">
        <v>61</v>
      </c>
      <c r="E30" s="56"/>
      <c r="F30" s="56"/>
      <c r="G30" s="55"/>
      <c r="H30" s="56"/>
      <c r="I30" s="57">
        <f t="shared" si="1"/>
        <v>0</v>
      </c>
      <c r="J30" s="58"/>
      <c r="K30" s="59">
        <f t="shared" si="2"/>
        <v>5</v>
      </c>
      <c r="L30" s="52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62</v>
      </c>
      <c r="C31" s="53" t="s">
        <v>32</v>
      </c>
      <c r="D31" s="54" t="s">
        <v>63</v>
      </c>
      <c r="E31" s="56"/>
      <c r="F31" s="56"/>
      <c r="G31" s="55"/>
      <c r="H31" s="56"/>
      <c r="I31" s="57">
        <f t="shared" si="1"/>
        <v>0</v>
      </c>
      <c r="J31" s="58"/>
      <c r="K31" s="59">
        <f t="shared" si="2"/>
        <v>5</v>
      </c>
      <c r="L31" s="52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64</v>
      </c>
      <c r="C32" s="53" t="s">
        <v>65</v>
      </c>
      <c r="D32" s="54" t="s">
        <v>66</v>
      </c>
      <c r="E32" s="55"/>
      <c r="F32" s="55"/>
      <c r="G32" s="55"/>
      <c r="H32" s="56"/>
      <c r="I32" s="57">
        <f t="shared" si="1"/>
        <v>0</v>
      </c>
      <c r="J32" s="58"/>
      <c r="K32" s="59">
        <f t="shared" si="2"/>
        <v>5</v>
      </c>
      <c r="L32" s="52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67</v>
      </c>
      <c r="C33" s="53" t="s">
        <v>67</v>
      </c>
      <c r="D33" s="54" t="s">
        <v>68</v>
      </c>
      <c r="E33" s="55"/>
      <c r="F33" s="55"/>
      <c r="G33" s="55"/>
      <c r="H33" s="56"/>
      <c r="I33" s="57">
        <f t="shared" si="1"/>
        <v>0</v>
      </c>
      <c r="J33" s="58"/>
      <c r="K33" s="59">
        <f t="shared" si="2"/>
        <v>5</v>
      </c>
      <c r="L33" s="52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69</v>
      </c>
      <c r="C34" s="53" t="s">
        <v>67</v>
      </c>
      <c r="D34" s="54" t="s">
        <v>70</v>
      </c>
      <c r="E34" s="56"/>
      <c r="F34" s="56"/>
      <c r="G34" s="55"/>
      <c r="H34" s="56"/>
      <c r="I34" s="57">
        <f t="shared" si="1"/>
        <v>0</v>
      </c>
      <c r="J34" s="58"/>
      <c r="K34" s="59">
        <f t="shared" si="2"/>
        <v>5</v>
      </c>
      <c r="L34" s="52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69</v>
      </c>
      <c r="C35" s="53" t="s">
        <v>71</v>
      </c>
      <c r="D35" s="54" t="s">
        <v>72</v>
      </c>
      <c r="E35" s="55"/>
      <c r="F35" s="55"/>
      <c r="G35" s="55"/>
      <c r="H35" s="56"/>
      <c r="I35" s="57">
        <f t="shared" si="1"/>
        <v>0</v>
      </c>
      <c r="J35" s="58"/>
      <c r="K35" s="59">
        <f t="shared" si="2"/>
        <v>5</v>
      </c>
      <c r="L35" s="52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73</v>
      </c>
      <c r="C36" s="53" t="s">
        <v>38</v>
      </c>
      <c r="D36" s="54" t="s">
        <v>74</v>
      </c>
      <c r="E36" s="55"/>
      <c r="F36" s="55"/>
      <c r="G36" s="55"/>
      <c r="H36" s="56"/>
      <c r="I36" s="57">
        <f t="shared" si="1"/>
        <v>0</v>
      </c>
      <c r="J36" s="58"/>
      <c r="K36" s="59">
        <f t="shared" si="2"/>
        <v>5</v>
      </c>
      <c r="L36" s="52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75</v>
      </c>
      <c r="C37" s="53" t="s">
        <v>76</v>
      </c>
      <c r="D37" s="54" t="s">
        <v>77</v>
      </c>
      <c r="E37" s="56"/>
      <c r="F37" s="56"/>
      <c r="G37" s="55"/>
      <c r="H37" s="56"/>
      <c r="I37" s="57">
        <f t="shared" si="1"/>
        <v>0</v>
      </c>
      <c r="J37" s="58"/>
      <c r="K37" s="59">
        <f t="shared" si="2"/>
        <v>5</v>
      </c>
      <c r="L37" s="52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47</v>
      </c>
      <c r="C38" s="53" t="s">
        <v>62</v>
      </c>
      <c r="D38" s="54" t="s">
        <v>78</v>
      </c>
      <c r="E38" s="55"/>
      <c r="F38" s="55"/>
      <c r="G38" s="55"/>
      <c r="H38" s="56"/>
      <c r="I38" s="57">
        <f t="shared" si="1"/>
        <v>0</v>
      </c>
      <c r="J38" s="58"/>
      <c r="K38" s="59">
        <f t="shared" si="2"/>
        <v>5</v>
      </c>
      <c r="L38" s="52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79</v>
      </c>
      <c r="C39" s="53" t="s">
        <v>80</v>
      </c>
      <c r="D39" s="54" t="s">
        <v>81</v>
      </c>
      <c r="E39" s="55"/>
      <c r="F39" s="55"/>
      <c r="G39" s="55"/>
      <c r="H39" s="56"/>
      <c r="I39" s="57">
        <f t="shared" si="1"/>
        <v>0</v>
      </c>
      <c r="J39" s="58"/>
      <c r="K39" s="59">
        <f t="shared" si="2"/>
        <v>5</v>
      </c>
      <c r="L39" s="52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79</v>
      </c>
      <c r="C40" s="53" t="s">
        <v>82</v>
      </c>
      <c r="D40" s="54" t="s">
        <v>83</v>
      </c>
      <c r="E40" s="55"/>
      <c r="F40" s="55"/>
      <c r="G40" s="55"/>
      <c r="H40" s="56"/>
      <c r="I40" s="57">
        <f t="shared" si="1"/>
        <v>0</v>
      </c>
      <c r="J40" s="58"/>
      <c r="K40" s="59">
        <f t="shared" si="2"/>
        <v>5</v>
      </c>
      <c r="L40" s="52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32</v>
      </c>
      <c r="C41" s="53" t="s">
        <v>84</v>
      </c>
      <c r="D41" s="54" t="s">
        <v>85</v>
      </c>
      <c r="E41" s="55"/>
      <c r="F41" s="55"/>
      <c r="G41" s="55"/>
      <c r="H41" s="56"/>
      <c r="I41" s="57">
        <f t="shared" si="1"/>
        <v>0</v>
      </c>
      <c r="J41" s="58"/>
      <c r="K41" s="59">
        <f t="shared" si="2"/>
        <v>5</v>
      </c>
      <c r="L41" s="52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86</v>
      </c>
      <c r="C42" s="53" t="s">
        <v>62</v>
      </c>
      <c r="D42" s="54" t="s">
        <v>87</v>
      </c>
      <c r="E42" s="55"/>
      <c r="F42" s="55"/>
      <c r="G42" s="55"/>
      <c r="H42" s="56"/>
      <c r="I42" s="57">
        <f t="shared" si="1"/>
        <v>0</v>
      </c>
      <c r="J42" s="58"/>
      <c r="K42" s="59">
        <f t="shared" si="2"/>
        <v>5</v>
      </c>
      <c r="L42" s="52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88</v>
      </c>
      <c r="C43" s="53" t="s">
        <v>29</v>
      </c>
      <c r="D43" s="54" t="s">
        <v>89</v>
      </c>
      <c r="E43" s="55"/>
      <c r="F43" s="55"/>
      <c r="G43" s="55"/>
      <c r="H43" s="56"/>
      <c r="I43" s="57">
        <f t="shared" si="1"/>
        <v>0</v>
      </c>
      <c r="J43" s="58"/>
      <c r="K43" s="59">
        <f t="shared" si="2"/>
        <v>5</v>
      </c>
      <c r="L43" s="52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90</v>
      </c>
      <c r="C44" s="53" t="s">
        <v>91</v>
      </c>
      <c r="D44" s="54" t="s">
        <v>92</v>
      </c>
      <c r="E44" s="55"/>
      <c r="F44" s="55"/>
      <c r="G44" s="55"/>
      <c r="H44" s="56"/>
      <c r="I44" s="57">
        <f t="shared" si="1"/>
        <v>0</v>
      </c>
      <c r="J44" s="58"/>
      <c r="K44" s="59">
        <f t="shared" si="2"/>
        <v>5</v>
      </c>
      <c r="L44" s="52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93</v>
      </c>
      <c r="C45" s="53" t="s">
        <v>94</v>
      </c>
      <c r="D45" s="54" t="s">
        <v>95</v>
      </c>
      <c r="E45" s="55"/>
      <c r="F45" s="55"/>
      <c r="G45" s="55"/>
      <c r="H45" s="56"/>
      <c r="I45" s="57">
        <f t="shared" si="1"/>
        <v>0</v>
      </c>
      <c r="J45" s="58"/>
      <c r="K45" s="59">
        <f t="shared" si="2"/>
        <v>5</v>
      </c>
      <c r="L45" s="52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96</v>
      </c>
      <c r="C46" s="53" t="s">
        <v>97</v>
      </c>
      <c r="D46" s="54" t="s">
        <v>98</v>
      </c>
      <c r="E46" s="55"/>
      <c r="F46" s="55"/>
      <c r="G46" s="55"/>
      <c r="H46" s="56"/>
      <c r="I46" s="57">
        <f t="shared" si="1"/>
        <v>0</v>
      </c>
      <c r="J46" s="58"/>
      <c r="K46" s="59">
        <f t="shared" si="2"/>
        <v>5</v>
      </c>
      <c r="L46" s="52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99</v>
      </c>
      <c r="C47" s="53" t="s">
        <v>100</v>
      </c>
      <c r="D47" s="54" t="s">
        <v>101</v>
      </c>
      <c r="E47" s="55"/>
      <c r="F47" s="55"/>
      <c r="G47" s="55"/>
      <c r="H47" s="56"/>
      <c r="I47" s="57">
        <f t="shared" si="1"/>
        <v>0</v>
      </c>
      <c r="J47" s="58"/>
      <c r="K47" s="59">
        <f t="shared" si="2"/>
        <v>5</v>
      </c>
      <c r="L47" s="52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102</v>
      </c>
      <c r="C48" s="53" t="s">
        <v>103</v>
      </c>
      <c r="D48" s="54" t="s">
        <v>104</v>
      </c>
      <c r="E48" s="55"/>
      <c r="F48" s="55"/>
      <c r="G48" s="55"/>
      <c r="H48" s="56"/>
      <c r="I48" s="57">
        <f t="shared" si="1"/>
        <v>0</v>
      </c>
      <c r="J48" s="58"/>
      <c r="K48" s="59">
        <f t="shared" si="2"/>
        <v>5</v>
      </c>
      <c r="L48" s="52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105</v>
      </c>
      <c r="C49" s="53" t="s">
        <v>22</v>
      </c>
      <c r="D49" s="54" t="s">
        <v>106</v>
      </c>
      <c r="E49" s="55"/>
      <c r="F49" s="55"/>
      <c r="G49" s="55"/>
      <c r="H49" s="56"/>
      <c r="I49" s="57">
        <f t="shared" si="1"/>
        <v>0</v>
      </c>
      <c r="J49" s="58"/>
      <c r="K49" s="59">
        <f t="shared" si="2"/>
        <v>5</v>
      </c>
      <c r="L49" s="52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23</v>
      </c>
      <c r="C50" s="53" t="s">
        <v>107</v>
      </c>
      <c r="D50" s="54" t="s">
        <v>108</v>
      </c>
      <c r="E50" s="55"/>
      <c r="F50" s="55"/>
      <c r="G50" s="55"/>
      <c r="H50" s="56"/>
      <c r="I50" s="57">
        <f t="shared" si="1"/>
        <v>0</v>
      </c>
      <c r="J50" s="58"/>
      <c r="K50" s="59">
        <f t="shared" si="2"/>
        <v>5</v>
      </c>
      <c r="L50" s="52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23</v>
      </c>
      <c r="C51" s="53" t="s">
        <v>109</v>
      </c>
      <c r="D51" s="54" t="s">
        <v>110</v>
      </c>
      <c r="E51" s="55"/>
      <c r="F51" s="55"/>
      <c r="G51" s="55"/>
      <c r="H51" s="56"/>
      <c r="I51" s="57">
        <f t="shared" si="1"/>
        <v>0</v>
      </c>
      <c r="J51" s="58"/>
      <c r="K51" s="59">
        <f t="shared" si="2"/>
        <v>5</v>
      </c>
      <c r="L51" s="52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111</v>
      </c>
      <c r="C52" s="53" t="s">
        <v>62</v>
      </c>
      <c r="D52" s="54" t="s">
        <v>112</v>
      </c>
      <c r="E52" s="55"/>
      <c r="F52" s="55"/>
      <c r="G52" s="55"/>
      <c r="H52" s="56"/>
      <c r="I52" s="57">
        <f t="shared" si="1"/>
        <v>0</v>
      </c>
      <c r="J52" s="58"/>
      <c r="K52" s="59">
        <f t="shared" si="2"/>
        <v>5</v>
      </c>
      <c r="L52" s="52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111</v>
      </c>
      <c r="C53" s="53" t="s">
        <v>73</v>
      </c>
      <c r="D53" s="54" t="s">
        <v>113</v>
      </c>
      <c r="E53" s="55"/>
      <c r="F53" s="55"/>
      <c r="G53" s="55"/>
      <c r="H53" s="56"/>
      <c r="I53" s="57">
        <f t="shared" si="1"/>
        <v>0</v>
      </c>
      <c r="J53" s="58"/>
      <c r="K53" s="59">
        <f t="shared" si="2"/>
        <v>5</v>
      </c>
      <c r="L53" s="52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114</v>
      </c>
      <c r="C54" s="53" t="s">
        <v>69</v>
      </c>
      <c r="D54" s="54" t="s">
        <v>115</v>
      </c>
      <c r="E54" s="55"/>
      <c r="F54" s="55"/>
      <c r="G54" s="55"/>
      <c r="H54" s="56"/>
      <c r="I54" s="57">
        <f t="shared" si="1"/>
        <v>0</v>
      </c>
      <c r="J54" s="58"/>
      <c r="K54" s="59">
        <f t="shared" si="2"/>
        <v>5</v>
      </c>
      <c r="L54" s="52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116</v>
      </c>
      <c r="C55" s="53" t="s">
        <v>117</v>
      </c>
      <c r="D55" s="54" t="s">
        <v>118</v>
      </c>
      <c r="E55" s="55"/>
      <c r="F55" s="55"/>
      <c r="G55" s="55"/>
      <c r="H55" s="56"/>
      <c r="I55" s="57">
        <f t="shared" si="1"/>
        <v>0</v>
      </c>
      <c r="J55" s="62"/>
      <c r="K55" s="59">
        <f t="shared" si="2"/>
        <v>5</v>
      </c>
      <c r="L55" s="52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119</v>
      </c>
      <c r="C56" s="53" t="s">
        <v>120</v>
      </c>
      <c r="D56" s="54" t="s">
        <v>121</v>
      </c>
      <c r="E56" s="55"/>
      <c r="F56" s="55"/>
      <c r="G56" s="55"/>
      <c r="H56" s="56"/>
      <c r="I56" s="57">
        <f t="shared" si="1"/>
        <v>0</v>
      </c>
      <c r="J56" s="62"/>
      <c r="K56" s="59">
        <f t="shared" si="2"/>
        <v>5</v>
      </c>
      <c r="L56" s="52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122</v>
      </c>
      <c r="C57" s="53" t="s">
        <v>123</v>
      </c>
      <c r="D57" s="54" t="s">
        <v>124</v>
      </c>
      <c r="E57" s="55"/>
      <c r="F57" s="55"/>
      <c r="G57" s="55"/>
      <c r="H57" s="56"/>
      <c r="I57" s="57">
        <f t="shared" si="1"/>
        <v>0</v>
      </c>
      <c r="J57" s="62"/>
      <c r="K57" s="59">
        <f t="shared" si="2"/>
        <v>5</v>
      </c>
      <c r="L57" s="52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2">
        <v>42.0</v>
      </c>
      <c r="B58" s="53" t="s">
        <v>123</v>
      </c>
      <c r="C58" s="53" t="s">
        <v>90</v>
      </c>
      <c r="D58" s="54" t="s">
        <v>125</v>
      </c>
      <c r="E58" s="55"/>
      <c r="F58" s="55"/>
      <c r="G58" s="55"/>
      <c r="H58" s="56"/>
      <c r="I58" s="57">
        <f t="shared" si="1"/>
        <v>0</v>
      </c>
      <c r="J58" s="62"/>
      <c r="K58" s="59">
        <f t="shared" si="2"/>
        <v>5</v>
      </c>
      <c r="L58" s="52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2">
        <v>43.0</v>
      </c>
      <c r="B59" s="53" t="s">
        <v>97</v>
      </c>
      <c r="C59" s="53" t="s">
        <v>126</v>
      </c>
      <c r="D59" s="54" t="s">
        <v>127</v>
      </c>
      <c r="E59" s="55"/>
      <c r="F59" s="55"/>
      <c r="G59" s="55"/>
      <c r="H59" s="56"/>
      <c r="I59" s="57">
        <f t="shared" si="1"/>
        <v>0</v>
      </c>
      <c r="J59" s="62"/>
      <c r="K59" s="59">
        <f t="shared" si="2"/>
        <v>5</v>
      </c>
      <c r="L59" s="52"/>
      <c r="M59" s="60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2">
        <v>44.0</v>
      </c>
      <c r="B60" s="53" t="s">
        <v>128</v>
      </c>
      <c r="C60" s="53" t="s">
        <v>124</v>
      </c>
      <c r="D60" s="54" t="s">
        <v>129</v>
      </c>
      <c r="E60" s="55"/>
      <c r="F60" s="55"/>
      <c r="G60" s="55"/>
      <c r="H60" s="56"/>
      <c r="I60" s="57">
        <f t="shared" si="1"/>
        <v>0</v>
      </c>
      <c r="J60" s="62"/>
      <c r="K60" s="59">
        <f t="shared" si="2"/>
        <v>5</v>
      </c>
      <c r="L60" s="52"/>
      <c r="M60" s="60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2">
        <v>45.0</v>
      </c>
      <c r="B61" s="53" t="s">
        <v>130</v>
      </c>
      <c r="C61" s="53" t="s">
        <v>131</v>
      </c>
      <c r="D61" s="54" t="s">
        <v>132</v>
      </c>
      <c r="E61" s="55"/>
      <c r="F61" s="55"/>
      <c r="G61" s="55"/>
      <c r="H61" s="56"/>
      <c r="I61" s="57">
        <f t="shared" si="1"/>
        <v>0</v>
      </c>
      <c r="J61" s="62"/>
      <c r="K61" s="59">
        <f t="shared" si="2"/>
        <v>5</v>
      </c>
      <c r="L61" s="52"/>
      <c r="M61" s="60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2">
        <v>46.0</v>
      </c>
      <c r="B62" s="53" t="s">
        <v>133</v>
      </c>
      <c r="C62" s="53" t="s">
        <v>67</v>
      </c>
      <c r="D62" s="54" t="s">
        <v>134</v>
      </c>
      <c r="E62" s="55"/>
      <c r="F62" s="55"/>
      <c r="G62" s="55"/>
      <c r="H62" s="56"/>
      <c r="I62" s="57">
        <f t="shared" si="1"/>
        <v>0</v>
      </c>
      <c r="J62" s="62"/>
      <c r="K62" s="59">
        <f t="shared" si="2"/>
        <v>5</v>
      </c>
      <c r="L62" s="52"/>
      <c r="M62" s="60">
        <f t="shared" si="3"/>
        <v>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2">
        <v>47.0</v>
      </c>
      <c r="B63" s="53" t="s">
        <v>135</v>
      </c>
      <c r="C63" s="53" t="s">
        <v>136</v>
      </c>
      <c r="D63" s="54" t="s">
        <v>137</v>
      </c>
      <c r="E63" s="55"/>
      <c r="F63" s="55"/>
      <c r="G63" s="55"/>
      <c r="H63" s="56"/>
      <c r="I63" s="57">
        <f t="shared" si="1"/>
        <v>0</v>
      </c>
      <c r="J63" s="62"/>
      <c r="K63" s="59">
        <f t="shared" si="2"/>
        <v>5</v>
      </c>
      <c r="L63" s="52"/>
      <c r="M63" s="60">
        <f t="shared" si="3"/>
        <v>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2">
        <v>48.0</v>
      </c>
      <c r="B64" s="53" t="s">
        <v>138</v>
      </c>
      <c r="C64" s="53" t="s">
        <v>67</v>
      </c>
      <c r="D64" s="54" t="s">
        <v>139</v>
      </c>
      <c r="E64" s="55"/>
      <c r="F64" s="55"/>
      <c r="G64" s="55"/>
      <c r="H64" s="56"/>
      <c r="I64" s="57">
        <f t="shared" si="1"/>
        <v>0</v>
      </c>
      <c r="J64" s="62"/>
      <c r="K64" s="59">
        <f t="shared" si="2"/>
        <v>5</v>
      </c>
      <c r="L64" s="52"/>
      <c r="M64" s="60">
        <f t="shared" si="3"/>
        <v>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6"/>
      <c r="B65" s="63"/>
      <c r="C65" s="63"/>
      <c r="D65" s="63"/>
      <c r="E65" s="64"/>
      <c r="F65" s="64"/>
      <c r="G65" s="63"/>
      <c r="H65" s="63"/>
      <c r="I65" s="63"/>
      <c r="J65" s="63"/>
      <c r="K65" s="1"/>
      <c r="L65" s="8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65" t="s">
        <v>140</v>
      </c>
      <c r="C66" s="66"/>
      <c r="D66" s="67">
        <f>COUNT(A17:A64)</f>
        <v>48</v>
      </c>
      <c r="E66" s="63"/>
      <c r="F66" s="63"/>
      <c r="G66" s="68" t="s">
        <v>141</v>
      </c>
      <c r="H66" s="68"/>
      <c r="I66" s="68" t="s">
        <v>142</v>
      </c>
      <c r="K66" s="69" t="s">
        <v>143</v>
      </c>
      <c r="L66" s="70" t="s">
        <v>144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1" t="s">
        <v>145</v>
      </c>
      <c r="C67" s="72"/>
      <c r="D67" s="73">
        <f>COUNTIF(K17:K64,"BAJA")</f>
        <v>0</v>
      </c>
      <c r="E67" s="63"/>
      <c r="F67" s="63"/>
      <c r="H67" s="68"/>
      <c r="L67" s="10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1" t="s">
        <v>146</v>
      </c>
      <c r="C68" s="72"/>
      <c r="D68" s="74">
        <f>D66-D67</f>
        <v>48</v>
      </c>
      <c r="E68" s="63"/>
      <c r="F68" s="63"/>
      <c r="G68" s="75"/>
      <c r="H68" s="76"/>
      <c r="I68" s="75"/>
      <c r="J68" s="75"/>
      <c r="K68" s="77"/>
      <c r="L68" s="7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B69" s="71" t="s">
        <v>147</v>
      </c>
      <c r="C69" s="72"/>
      <c r="D69" s="79">
        <f>COUNTIF(K17:K64,"&gt;=6")</f>
        <v>0</v>
      </c>
      <c r="E69" s="63"/>
      <c r="F69" s="63"/>
      <c r="G69" s="75"/>
      <c r="H69" s="76"/>
      <c r="I69" s="75"/>
      <c r="J69" s="75"/>
      <c r="K69" s="77"/>
      <c r="L69" s="78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B70" s="71" t="s">
        <v>148</v>
      </c>
      <c r="C70" s="72"/>
      <c r="D70" s="79">
        <f>D68-D69</f>
        <v>48</v>
      </c>
      <c r="E70" s="63"/>
      <c r="F70" s="63"/>
      <c r="G70" s="80"/>
      <c r="H70" s="76"/>
      <c r="I70" s="80"/>
      <c r="J70" s="80"/>
      <c r="K70" s="81"/>
      <c r="L70" s="8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B71" s="71" t="s">
        <v>149</v>
      </c>
      <c r="C71" s="72"/>
      <c r="D71" s="83">
        <f>D69*100/D68</f>
        <v>0</v>
      </c>
      <c r="E71" s="63"/>
      <c r="F71" s="63"/>
      <c r="G71" s="84" t="s">
        <v>150</v>
      </c>
      <c r="H71" s="85"/>
      <c r="I71" s="86" t="s">
        <v>151</v>
      </c>
      <c r="K71" s="86" t="s">
        <v>152</v>
      </c>
      <c r="L71" s="87" t="s">
        <v>153</v>
      </c>
      <c r="M71" s="88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B72" s="89" t="s">
        <v>154</v>
      </c>
      <c r="C72" s="90"/>
      <c r="D72" s="91">
        <f>AVERAGE(K17:K64)</f>
        <v>5</v>
      </c>
      <c r="E72" s="63"/>
      <c r="F72" s="63"/>
      <c r="H72" s="85"/>
      <c r="L72" s="1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6"/>
      <c r="B73" s="1"/>
      <c r="C73" s="1"/>
      <c r="D73" s="1"/>
      <c r="E73" s="1"/>
      <c r="F73" s="1"/>
      <c r="G73" s="1"/>
      <c r="H73" s="1"/>
      <c r="I73" s="1"/>
      <c r="J73" s="1"/>
      <c r="K73" s="1"/>
      <c r="L73" s="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2"/>
      <c r="B74" s="93"/>
      <c r="C74" s="94"/>
      <c r="D74" s="94"/>
      <c r="E74" s="63"/>
      <c r="H74" s="7"/>
      <c r="I74" s="7"/>
      <c r="J74" s="7"/>
      <c r="K74" s="7"/>
      <c r="L74" s="95"/>
      <c r="M74" s="9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97"/>
      <c r="B75" s="63"/>
      <c r="C75" s="63"/>
      <c r="D75" s="63"/>
      <c r="E75" s="7"/>
      <c r="F75" s="7"/>
      <c r="G75" s="1"/>
      <c r="H75" s="1"/>
      <c r="I75" s="1"/>
      <c r="J75" s="1"/>
      <c r="K75" s="1"/>
      <c r="L75" s="8"/>
      <c r="M75" s="98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97"/>
      <c r="B76" s="63"/>
      <c r="C76" s="63"/>
      <c r="D76" s="63"/>
      <c r="E76" s="7"/>
      <c r="F76" s="7"/>
      <c r="G76" s="1"/>
      <c r="H76" s="1"/>
      <c r="I76" s="1"/>
      <c r="J76" s="1"/>
      <c r="K76" s="1"/>
      <c r="L76" s="8"/>
      <c r="M76" s="98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99"/>
      <c r="B77" s="100"/>
      <c r="C77" s="100"/>
      <c r="D77" s="100"/>
      <c r="E77" s="101"/>
      <c r="F77" s="101"/>
      <c r="G77" s="102"/>
      <c r="H77" s="102"/>
      <c r="I77" s="102"/>
      <c r="J77" s="102"/>
      <c r="K77" s="102"/>
      <c r="L77" s="103"/>
      <c r="M77" s="98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4"/>
      <c r="C78" s="104"/>
      <c r="D78" s="104"/>
      <c r="E78" s="104"/>
      <c r="F78" s="104"/>
      <c r="G78" s="1"/>
      <c r="H78" s="1"/>
      <c r="I78" s="1"/>
      <c r="J78" s="1"/>
      <c r="K78" s="105"/>
      <c r="L78" s="105"/>
      <c r="M78" s="10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4"/>
      <c r="C79" s="104"/>
      <c r="D79" s="104"/>
      <c r="E79" s="104"/>
      <c r="F79" s="104"/>
      <c r="G79" s="1"/>
      <c r="H79" s="1"/>
      <c r="I79" s="1"/>
      <c r="J79" s="1"/>
      <c r="K79" s="105"/>
      <c r="L79" s="105"/>
      <c r="M79" s="10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4"/>
      <c r="C80" s="104"/>
      <c r="D80" s="104"/>
      <c r="E80" s="104"/>
      <c r="F80" s="104"/>
      <c r="G80" s="1"/>
      <c r="H80" s="1"/>
      <c r="I80" s="1"/>
      <c r="J80" s="1"/>
      <c r="K80" s="105"/>
      <c r="L80" s="105"/>
      <c r="M80" s="10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4"/>
      <c r="C81" s="104"/>
      <c r="D81" s="104"/>
      <c r="E81" s="104"/>
      <c r="F81" s="104"/>
      <c r="G81" s="1"/>
      <c r="H81" s="1"/>
      <c r="I81" s="1"/>
      <c r="J81" s="1"/>
      <c r="K81" s="105"/>
      <c r="L81" s="105"/>
      <c r="M81" s="105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4"/>
      <c r="C82" s="104"/>
      <c r="D82" s="104"/>
      <c r="E82" s="104"/>
      <c r="F82" s="10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4"/>
      <c r="C83" s="104"/>
      <c r="D83" s="104"/>
      <c r="E83" s="104"/>
      <c r="F83" s="104"/>
      <c r="G83" s="1"/>
      <c r="H83" s="1"/>
      <c r="I83" s="1"/>
      <c r="J83" s="1"/>
      <c r="K83" s="1"/>
      <c r="L83" s="106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4"/>
      <c r="C84" s="104"/>
      <c r="D84" s="104"/>
      <c r="E84" s="104"/>
      <c r="F84" s="10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4"/>
      <c r="C85" s="104"/>
      <c r="D85" s="104"/>
      <c r="E85" s="104"/>
      <c r="F85" s="10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4"/>
      <c r="C86" s="104"/>
      <c r="D86" s="104"/>
      <c r="E86" s="104"/>
      <c r="F86" s="10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4"/>
      <c r="C87" s="104"/>
      <c r="D87" s="104"/>
      <c r="E87" s="104"/>
      <c r="F87" s="10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4"/>
      <c r="C88" s="104"/>
      <c r="D88" s="104"/>
      <c r="E88" s="104"/>
      <c r="F88" s="10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04"/>
      <c r="C89" s="104"/>
      <c r="D89" s="104"/>
      <c r="E89" s="104"/>
      <c r="F89" s="10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29">
    <mergeCell ref="F14:F15"/>
    <mergeCell ref="G14:G15"/>
    <mergeCell ref="G66:G67"/>
    <mergeCell ref="I66:J67"/>
    <mergeCell ref="K66:K67"/>
    <mergeCell ref="L66:L67"/>
    <mergeCell ref="A9:L9"/>
    <mergeCell ref="E10:L10"/>
    <mergeCell ref="A13:B13"/>
    <mergeCell ref="C13:D13"/>
    <mergeCell ref="H13:H15"/>
    <mergeCell ref="I13:I14"/>
    <mergeCell ref="J13:L14"/>
    <mergeCell ref="J15:L15"/>
    <mergeCell ref="B70:C70"/>
    <mergeCell ref="B71:C71"/>
    <mergeCell ref="G71:G72"/>
    <mergeCell ref="I71:J72"/>
    <mergeCell ref="K71:K72"/>
    <mergeCell ref="L71:L72"/>
    <mergeCell ref="B72:C72"/>
    <mergeCell ref="E74:G74"/>
    <mergeCell ref="B14:D14"/>
    <mergeCell ref="E14:E15"/>
    <mergeCell ref="B16:D16"/>
    <mergeCell ref="B66:C66"/>
    <mergeCell ref="B67:C67"/>
    <mergeCell ref="B68:C68"/>
    <mergeCell ref="B69:C69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4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27" t="s">
        <v>163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6"/>
      <c r="I17" s="57">
        <f t="shared" ref="I17:I64" si="1">SUM(E17:H17)</f>
        <v>0</v>
      </c>
      <c r="J17" s="58"/>
      <c r="K17" s="59">
        <f t="shared" ref="K17:K64" si="2">IF(M17&lt;6,5,M17)</f>
        <v>5</v>
      </c>
      <c r="L17" s="60"/>
      <c r="M17" s="61">
        <f t="shared" ref="M17:M64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6"/>
      <c r="I18" s="57">
        <f t="shared" si="1"/>
        <v>0</v>
      </c>
      <c r="J18" s="58"/>
      <c r="K18" s="59">
        <f t="shared" si="2"/>
        <v>5</v>
      </c>
      <c r="L18" s="52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6"/>
      <c r="F19" s="56"/>
      <c r="G19" s="55"/>
      <c r="H19" s="56"/>
      <c r="I19" s="57">
        <f t="shared" si="1"/>
        <v>0</v>
      </c>
      <c r="J19" s="58"/>
      <c r="K19" s="59">
        <f t="shared" si="2"/>
        <v>5</v>
      </c>
      <c r="L19" s="52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6"/>
      <c r="I20" s="57">
        <f t="shared" si="1"/>
        <v>0</v>
      </c>
      <c r="J20" s="58"/>
      <c r="K20" s="59">
        <f t="shared" si="2"/>
        <v>5</v>
      </c>
      <c r="L20" s="52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6"/>
      <c r="I21" s="57">
        <f t="shared" si="1"/>
        <v>0</v>
      </c>
      <c r="J21" s="58"/>
      <c r="K21" s="59">
        <f t="shared" si="2"/>
        <v>5</v>
      </c>
      <c r="L21" s="52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6"/>
      <c r="I22" s="57">
        <f t="shared" si="1"/>
        <v>0</v>
      </c>
      <c r="J22" s="58"/>
      <c r="K22" s="59">
        <f t="shared" si="2"/>
        <v>5</v>
      </c>
      <c r="L22" s="52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6"/>
      <c r="I23" s="57">
        <f t="shared" si="1"/>
        <v>0</v>
      </c>
      <c r="J23" s="58"/>
      <c r="K23" s="59">
        <f t="shared" si="2"/>
        <v>5</v>
      </c>
      <c r="L23" s="52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6"/>
      <c r="F24" s="56"/>
      <c r="G24" s="55"/>
      <c r="H24" s="56"/>
      <c r="I24" s="57">
        <f t="shared" si="1"/>
        <v>0</v>
      </c>
      <c r="J24" s="58"/>
      <c r="K24" s="59">
        <f t="shared" si="2"/>
        <v>5</v>
      </c>
      <c r="L24" s="52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6"/>
      <c r="I25" s="57">
        <f t="shared" si="1"/>
        <v>0</v>
      </c>
      <c r="J25" s="58"/>
      <c r="K25" s="59">
        <f t="shared" si="2"/>
        <v>5</v>
      </c>
      <c r="L25" s="52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6"/>
      <c r="F26" s="56"/>
      <c r="G26" s="55"/>
      <c r="H26" s="56"/>
      <c r="I26" s="57">
        <f t="shared" si="1"/>
        <v>0</v>
      </c>
      <c r="J26" s="58"/>
      <c r="K26" s="59">
        <f t="shared" si="2"/>
        <v>5</v>
      </c>
      <c r="L26" s="52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52</v>
      </c>
      <c r="C27" s="53" t="s">
        <v>53</v>
      </c>
      <c r="D27" s="54" t="s">
        <v>54</v>
      </c>
      <c r="E27" s="55"/>
      <c r="F27" s="55"/>
      <c r="G27" s="55"/>
      <c r="H27" s="56"/>
      <c r="I27" s="57">
        <f t="shared" si="1"/>
        <v>0</v>
      </c>
      <c r="J27" s="58"/>
      <c r="K27" s="59">
        <f t="shared" si="2"/>
        <v>5</v>
      </c>
      <c r="L27" s="52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44</v>
      </c>
      <c r="C28" s="53" t="s">
        <v>55</v>
      </c>
      <c r="D28" s="54" t="s">
        <v>56</v>
      </c>
      <c r="E28" s="55"/>
      <c r="F28" s="55"/>
      <c r="G28" s="55"/>
      <c r="H28" s="56"/>
      <c r="I28" s="57">
        <f t="shared" si="1"/>
        <v>0</v>
      </c>
      <c r="J28" s="58"/>
      <c r="K28" s="59">
        <f t="shared" si="2"/>
        <v>5</v>
      </c>
      <c r="L28" s="52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57</v>
      </c>
      <c r="C29" s="53" t="s">
        <v>58</v>
      </c>
      <c r="D29" s="54" t="s">
        <v>59</v>
      </c>
      <c r="E29" s="55"/>
      <c r="F29" s="55"/>
      <c r="G29" s="55"/>
      <c r="H29" s="56"/>
      <c r="I29" s="57">
        <f t="shared" si="1"/>
        <v>0</v>
      </c>
      <c r="J29" s="58"/>
      <c r="K29" s="59">
        <f t="shared" si="2"/>
        <v>5</v>
      </c>
      <c r="L29" s="52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35</v>
      </c>
      <c r="C30" s="53" t="s">
        <v>60</v>
      </c>
      <c r="D30" s="54" t="s">
        <v>61</v>
      </c>
      <c r="E30" s="56"/>
      <c r="F30" s="56"/>
      <c r="G30" s="55"/>
      <c r="H30" s="56"/>
      <c r="I30" s="57">
        <f t="shared" si="1"/>
        <v>0</v>
      </c>
      <c r="J30" s="58"/>
      <c r="K30" s="59">
        <f t="shared" si="2"/>
        <v>5</v>
      </c>
      <c r="L30" s="52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62</v>
      </c>
      <c r="C31" s="53" t="s">
        <v>32</v>
      </c>
      <c r="D31" s="54" t="s">
        <v>63</v>
      </c>
      <c r="E31" s="56"/>
      <c r="F31" s="56"/>
      <c r="G31" s="55"/>
      <c r="H31" s="56"/>
      <c r="I31" s="57">
        <f t="shared" si="1"/>
        <v>0</v>
      </c>
      <c r="J31" s="58"/>
      <c r="K31" s="59">
        <f t="shared" si="2"/>
        <v>5</v>
      </c>
      <c r="L31" s="52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64</v>
      </c>
      <c r="C32" s="53" t="s">
        <v>65</v>
      </c>
      <c r="D32" s="54" t="s">
        <v>66</v>
      </c>
      <c r="E32" s="55"/>
      <c r="F32" s="55"/>
      <c r="G32" s="55"/>
      <c r="H32" s="56"/>
      <c r="I32" s="57">
        <f t="shared" si="1"/>
        <v>0</v>
      </c>
      <c r="J32" s="58"/>
      <c r="K32" s="59">
        <f t="shared" si="2"/>
        <v>5</v>
      </c>
      <c r="L32" s="52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67</v>
      </c>
      <c r="C33" s="53" t="s">
        <v>67</v>
      </c>
      <c r="D33" s="54" t="s">
        <v>68</v>
      </c>
      <c r="E33" s="55"/>
      <c r="F33" s="55"/>
      <c r="G33" s="55"/>
      <c r="H33" s="56"/>
      <c r="I33" s="57">
        <f t="shared" si="1"/>
        <v>0</v>
      </c>
      <c r="J33" s="58"/>
      <c r="K33" s="59">
        <f t="shared" si="2"/>
        <v>5</v>
      </c>
      <c r="L33" s="52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69</v>
      </c>
      <c r="C34" s="53" t="s">
        <v>67</v>
      </c>
      <c r="D34" s="54" t="s">
        <v>70</v>
      </c>
      <c r="E34" s="56"/>
      <c r="F34" s="56"/>
      <c r="G34" s="55"/>
      <c r="H34" s="56"/>
      <c r="I34" s="57">
        <f t="shared" si="1"/>
        <v>0</v>
      </c>
      <c r="J34" s="58"/>
      <c r="K34" s="59">
        <f t="shared" si="2"/>
        <v>5</v>
      </c>
      <c r="L34" s="52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69</v>
      </c>
      <c r="C35" s="53" t="s">
        <v>71</v>
      </c>
      <c r="D35" s="54" t="s">
        <v>72</v>
      </c>
      <c r="E35" s="55"/>
      <c r="F35" s="55"/>
      <c r="G35" s="55"/>
      <c r="H35" s="56"/>
      <c r="I35" s="57">
        <f t="shared" si="1"/>
        <v>0</v>
      </c>
      <c r="J35" s="58"/>
      <c r="K35" s="59">
        <f t="shared" si="2"/>
        <v>5</v>
      </c>
      <c r="L35" s="52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73</v>
      </c>
      <c r="C36" s="53" t="s">
        <v>38</v>
      </c>
      <c r="D36" s="54" t="s">
        <v>74</v>
      </c>
      <c r="E36" s="55"/>
      <c r="F36" s="55"/>
      <c r="G36" s="55"/>
      <c r="H36" s="56"/>
      <c r="I36" s="57">
        <f t="shared" si="1"/>
        <v>0</v>
      </c>
      <c r="J36" s="58"/>
      <c r="K36" s="59">
        <f t="shared" si="2"/>
        <v>5</v>
      </c>
      <c r="L36" s="52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75</v>
      </c>
      <c r="C37" s="53" t="s">
        <v>76</v>
      </c>
      <c r="D37" s="54" t="s">
        <v>77</v>
      </c>
      <c r="E37" s="56"/>
      <c r="F37" s="56"/>
      <c r="G37" s="55"/>
      <c r="H37" s="56"/>
      <c r="I37" s="57">
        <f t="shared" si="1"/>
        <v>0</v>
      </c>
      <c r="J37" s="58"/>
      <c r="K37" s="59">
        <f t="shared" si="2"/>
        <v>5</v>
      </c>
      <c r="L37" s="52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47</v>
      </c>
      <c r="C38" s="53" t="s">
        <v>62</v>
      </c>
      <c r="D38" s="54" t="s">
        <v>78</v>
      </c>
      <c r="E38" s="55"/>
      <c r="F38" s="55"/>
      <c r="G38" s="55"/>
      <c r="H38" s="56"/>
      <c r="I38" s="57">
        <f t="shared" si="1"/>
        <v>0</v>
      </c>
      <c r="J38" s="58"/>
      <c r="K38" s="59">
        <f t="shared" si="2"/>
        <v>5</v>
      </c>
      <c r="L38" s="52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79</v>
      </c>
      <c r="C39" s="53" t="s">
        <v>80</v>
      </c>
      <c r="D39" s="54" t="s">
        <v>81</v>
      </c>
      <c r="E39" s="55"/>
      <c r="F39" s="55"/>
      <c r="G39" s="55"/>
      <c r="H39" s="56"/>
      <c r="I39" s="57">
        <f t="shared" si="1"/>
        <v>0</v>
      </c>
      <c r="J39" s="58"/>
      <c r="K39" s="59">
        <f t="shared" si="2"/>
        <v>5</v>
      </c>
      <c r="L39" s="52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79</v>
      </c>
      <c r="C40" s="53" t="s">
        <v>82</v>
      </c>
      <c r="D40" s="54" t="s">
        <v>83</v>
      </c>
      <c r="E40" s="55"/>
      <c r="F40" s="55"/>
      <c r="G40" s="55"/>
      <c r="H40" s="56"/>
      <c r="I40" s="57">
        <f t="shared" si="1"/>
        <v>0</v>
      </c>
      <c r="J40" s="58"/>
      <c r="K40" s="59">
        <f t="shared" si="2"/>
        <v>5</v>
      </c>
      <c r="L40" s="52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32</v>
      </c>
      <c r="C41" s="53" t="s">
        <v>84</v>
      </c>
      <c r="D41" s="54" t="s">
        <v>85</v>
      </c>
      <c r="E41" s="55"/>
      <c r="F41" s="55"/>
      <c r="G41" s="55"/>
      <c r="H41" s="56"/>
      <c r="I41" s="57">
        <f t="shared" si="1"/>
        <v>0</v>
      </c>
      <c r="J41" s="58"/>
      <c r="K41" s="59">
        <f t="shared" si="2"/>
        <v>5</v>
      </c>
      <c r="L41" s="52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86</v>
      </c>
      <c r="C42" s="53" t="s">
        <v>62</v>
      </c>
      <c r="D42" s="54" t="s">
        <v>87</v>
      </c>
      <c r="E42" s="55"/>
      <c r="F42" s="55"/>
      <c r="G42" s="55"/>
      <c r="H42" s="56"/>
      <c r="I42" s="57">
        <f t="shared" si="1"/>
        <v>0</v>
      </c>
      <c r="J42" s="58"/>
      <c r="K42" s="59">
        <f t="shared" si="2"/>
        <v>5</v>
      </c>
      <c r="L42" s="52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88</v>
      </c>
      <c r="C43" s="53" t="s">
        <v>29</v>
      </c>
      <c r="D43" s="54" t="s">
        <v>89</v>
      </c>
      <c r="E43" s="55"/>
      <c r="F43" s="55"/>
      <c r="G43" s="55"/>
      <c r="H43" s="56"/>
      <c r="I43" s="57">
        <f t="shared" si="1"/>
        <v>0</v>
      </c>
      <c r="J43" s="58"/>
      <c r="K43" s="59">
        <f t="shared" si="2"/>
        <v>5</v>
      </c>
      <c r="L43" s="52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90</v>
      </c>
      <c r="C44" s="53" t="s">
        <v>91</v>
      </c>
      <c r="D44" s="54" t="s">
        <v>92</v>
      </c>
      <c r="E44" s="55"/>
      <c r="F44" s="55"/>
      <c r="G44" s="55"/>
      <c r="H44" s="56"/>
      <c r="I44" s="57">
        <f t="shared" si="1"/>
        <v>0</v>
      </c>
      <c r="J44" s="58"/>
      <c r="K44" s="59">
        <f t="shared" si="2"/>
        <v>5</v>
      </c>
      <c r="L44" s="52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93</v>
      </c>
      <c r="C45" s="53" t="s">
        <v>94</v>
      </c>
      <c r="D45" s="54" t="s">
        <v>95</v>
      </c>
      <c r="E45" s="55"/>
      <c r="F45" s="55"/>
      <c r="G45" s="55"/>
      <c r="H45" s="56"/>
      <c r="I45" s="57">
        <f t="shared" si="1"/>
        <v>0</v>
      </c>
      <c r="J45" s="58"/>
      <c r="K45" s="59">
        <f t="shared" si="2"/>
        <v>5</v>
      </c>
      <c r="L45" s="52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96</v>
      </c>
      <c r="C46" s="53" t="s">
        <v>97</v>
      </c>
      <c r="D46" s="54" t="s">
        <v>98</v>
      </c>
      <c r="E46" s="55"/>
      <c r="F46" s="55"/>
      <c r="G46" s="55"/>
      <c r="H46" s="56"/>
      <c r="I46" s="57">
        <f t="shared" si="1"/>
        <v>0</v>
      </c>
      <c r="J46" s="58"/>
      <c r="K46" s="59">
        <f t="shared" si="2"/>
        <v>5</v>
      </c>
      <c r="L46" s="52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99</v>
      </c>
      <c r="C47" s="53" t="s">
        <v>100</v>
      </c>
      <c r="D47" s="54" t="s">
        <v>101</v>
      </c>
      <c r="E47" s="55"/>
      <c r="F47" s="55"/>
      <c r="G47" s="55"/>
      <c r="H47" s="56"/>
      <c r="I47" s="57">
        <f t="shared" si="1"/>
        <v>0</v>
      </c>
      <c r="J47" s="58"/>
      <c r="K47" s="59">
        <f t="shared" si="2"/>
        <v>5</v>
      </c>
      <c r="L47" s="52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102</v>
      </c>
      <c r="C48" s="53" t="s">
        <v>103</v>
      </c>
      <c r="D48" s="54" t="s">
        <v>104</v>
      </c>
      <c r="E48" s="55"/>
      <c r="F48" s="55"/>
      <c r="G48" s="55"/>
      <c r="H48" s="56"/>
      <c r="I48" s="57">
        <f t="shared" si="1"/>
        <v>0</v>
      </c>
      <c r="J48" s="58"/>
      <c r="K48" s="59">
        <f t="shared" si="2"/>
        <v>5</v>
      </c>
      <c r="L48" s="52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105</v>
      </c>
      <c r="C49" s="53" t="s">
        <v>22</v>
      </c>
      <c r="D49" s="54" t="s">
        <v>106</v>
      </c>
      <c r="E49" s="55"/>
      <c r="F49" s="55"/>
      <c r="G49" s="55"/>
      <c r="H49" s="56"/>
      <c r="I49" s="57">
        <f t="shared" si="1"/>
        <v>0</v>
      </c>
      <c r="J49" s="58"/>
      <c r="K49" s="59">
        <f t="shared" si="2"/>
        <v>5</v>
      </c>
      <c r="L49" s="52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23</v>
      </c>
      <c r="C50" s="53" t="s">
        <v>107</v>
      </c>
      <c r="D50" s="54" t="s">
        <v>108</v>
      </c>
      <c r="E50" s="55"/>
      <c r="F50" s="55"/>
      <c r="G50" s="55"/>
      <c r="H50" s="56"/>
      <c r="I50" s="57">
        <f t="shared" si="1"/>
        <v>0</v>
      </c>
      <c r="J50" s="58"/>
      <c r="K50" s="59">
        <f t="shared" si="2"/>
        <v>5</v>
      </c>
      <c r="L50" s="52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23</v>
      </c>
      <c r="C51" s="53" t="s">
        <v>109</v>
      </c>
      <c r="D51" s="54" t="s">
        <v>110</v>
      </c>
      <c r="E51" s="55"/>
      <c r="F51" s="55"/>
      <c r="G51" s="55"/>
      <c r="H51" s="56"/>
      <c r="I51" s="57">
        <f t="shared" si="1"/>
        <v>0</v>
      </c>
      <c r="J51" s="58"/>
      <c r="K51" s="59">
        <f t="shared" si="2"/>
        <v>5</v>
      </c>
      <c r="L51" s="52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111</v>
      </c>
      <c r="C52" s="53" t="s">
        <v>62</v>
      </c>
      <c r="D52" s="54" t="s">
        <v>112</v>
      </c>
      <c r="E52" s="55"/>
      <c r="F52" s="55"/>
      <c r="G52" s="55"/>
      <c r="H52" s="56"/>
      <c r="I52" s="57">
        <f t="shared" si="1"/>
        <v>0</v>
      </c>
      <c r="J52" s="58"/>
      <c r="K52" s="59">
        <f t="shared" si="2"/>
        <v>5</v>
      </c>
      <c r="L52" s="52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111</v>
      </c>
      <c r="C53" s="53" t="s">
        <v>73</v>
      </c>
      <c r="D53" s="54" t="s">
        <v>113</v>
      </c>
      <c r="E53" s="55"/>
      <c r="F53" s="55"/>
      <c r="G53" s="55"/>
      <c r="H53" s="56"/>
      <c r="I53" s="57">
        <f t="shared" si="1"/>
        <v>0</v>
      </c>
      <c r="J53" s="58"/>
      <c r="K53" s="59">
        <f t="shared" si="2"/>
        <v>5</v>
      </c>
      <c r="L53" s="52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114</v>
      </c>
      <c r="C54" s="53" t="s">
        <v>69</v>
      </c>
      <c r="D54" s="54" t="s">
        <v>115</v>
      </c>
      <c r="E54" s="55"/>
      <c r="F54" s="55"/>
      <c r="G54" s="55"/>
      <c r="H54" s="56"/>
      <c r="I54" s="57">
        <f t="shared" si="1"/>
        <v>0</v>
      </c>
      <c r="J54" s="58"/>
      <c r="K54" s="59">
        <f t="shared" si="2"/>
        <v>5</v>
      </c>
      <c r="L54" s="52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116</v>
      </c>
      <c r="C55" s="53" t="s">
        <v>117</v>
      </c>
      <c r="D55" s="54" t="s">
        <v>118</v>
      </c>
      <c r="E55" s="55"/>
      <c r="F55" s="55"/>
      <c r="G55" s="55"/>
      <c r="H55" s="56"/>
      <c r="I55" s="57">
        <f t="shared" si="1"/>
        <v>0</v>
      </c>
      <c r="J55" s="62"/>
      <c r="K55" s="59">
        <f t="shared" si="2"/>
        <v>5</v>
      </c>
      <c r="L55" s="52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119</v>
      </c>
      <c r="C56" s="53" t="s">
        <v>120</v>
      </c>
      <c r="D56" s="54" t="s">
        <v>121</v>
      </c>
      <c r="E56" s="55"/>
      <c r="F56" s="55"/>
      <c r="G56" s="55"/>
      <c r="H56" s="56"/>
      <c r="I56" s="57">
        <f t="shared" si="1"/>
        <v>0</v>
      </c>
      <c r="J56" s="62"/>
      <c r="K56" s="59">
        <f t="shared" si="2"/>
        <v>5</v>
      </c>
      <c r="L56" s="52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122</v>
      </c>
      <c r="C57" s="53" t="s">
        <v>123</v>
      </c>
      <c r="D57" s="54" t="s">
        <v>124</v>
      </c>
      <c r="E57" s="55"/>
      <c r="F57" s="55"/>
      <c r="G57" s="55"/>
      <c r="H57" s="56"/>
      <c r="I57" s="57">
        <f t="shared" si="1"/>
        <v>0</v>
      </c>
      <c r="J57" s="62"/>
      <c r="K57" s="59">
        <f t="shared" si="2"/>
        <v>5</v>
      </c>
      <c r="L57" s="52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2">
        <v>42.0</v>
      </c>
      <c r="B58" s="53" t="s">
        <v>123</v>
      </c>
      <c r="C58" s="53" t="s">
        <v>90</v>
      </c>
      <c r="D58" s="54" t="s">
        <v>125</v>
      </c>
      <c r="E58" s="55"/>
      <c r="F58" s="55"/>
      <c r="G58" s="55"/>
      <c r="H58" s="56"/>
      <c r="I58" s="57">
        <f t="shared" si="1"/>
        <v>0</v>
      </c>
      <c r="J58" s="62"/>
      <c r="K58" s="59">
        <f t="shared" si="2"/>
        <v>5</v>
      </c>
      <c r="L58" s="52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2">
        <v>43.0</v>
      </c>
      <c r="B59" s="53" t="s">
        <v>97</v>
      </c>
      <c r="C59" s="53" t="s">
        <v>126</v>
      </c>
      <c r="D59" s="54" t="s">
        <v>127</v>
      </c>
      <c r="E59" s="55"/>
      <c r="F59" s="55"/>
      <c r="G59" s="55"/>
      <c r="H59" s="56"/>
      <c r="I59" s="57">
        <f t="shared" si="1"/>
        <v>0</v>
      </c>
      <c r="J59" s="62"/>
      <c r="K59" s="59">
        <f t="shared" si="2"/>
        <v>5</v>
      </c>
      <c r="L59" s="52"/>
      <c r="M59" s="60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2">
        <v>44.0</v>
      </c>
      <c r="B60" s="53" t="s">
        <v>128</v>
      </c>
      <c r="C60" s="53" t="s">
        <v>124</v>
      </c>
      <c r="D60" s="54" t="s">
        <v>129</v>
      </c>
      <c r="E60" s="55"/>
      <c r="F60" s="55"/>
      <c r="G60" s="55"/>
      <c r="H60" s="56"/>
      <c r="I60" s="57">
        <f t="shared" si="1"/>
        <v>0</v>
      </c>
      <c r="J60" s="62"/>
      <c r="K60" s="59">
        <f t="shared" si="2"/>
        <v>5</v>
      </c>
      <c r="L60" s="52"/>
      <c r="M60" s="60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2">
        <v>45.0</v>
      </c>
      <c r="B61" s="53" t="s">
        <v>130</v>
      </c>
      <c r="C61" s="53" t="s">
        <v>131</v>
      </c>
      <c r="D61" s="54" t="s">
        <v>132</v>
      </c>
      <c r="E61" s="55"/>
      <c r="F61" s="55"/>
      <c r="G61" s="55"/>
      <c r="H61" s="56"/>
      <c r="I61" s="57">
        <f t="shared" si="1"/>
        <v>0</v>
      </c>
      <c r="J61" s="62"/>
      <c r="K61" s="59">
        <f t="shared" si="2"/>
        <v>5</v>
      </c>
      <c r="L61" s="52"/>
      <c r="M61" s="60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2">
        <v>46.0</v>
      </c>
      <c r="B62" s="53" t="s">
        <v>133</v>
      </c>
      <c r="C62" s="53" t="s">
        <v>67</v>
      </c>
      <c r="D62" s="54" t="s">
        <v>134</v>
      </c>
      <c r="E62" s="55"/>
      <c r="F62" s="55"/>
      <c r="G62" s="55"/>
      <c r="H62" s="56"/>
      <c r="I62" s="57">
        <f t="shared" si="1"/>
        <v>0</v>
      </c>
      <c r="J62" s="62"/>
      <c r="K62" s="59">
        <f t="shared" si="2"/>
        <v>5</v>
      </c>
      <c r="L62" s="52"/>
      <c r="M62" s="60">
        <f t="shared" si="3"/>
        <v>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2">
        <v>47.0</v>
      </c>
      <c r="B63" s="53" t="s">
        <v>135</v>
      </c>
      <c r="C63" s="53" t="s">
        <v>136</v>
      </c>
      <c r="D63" s="54" t="s">
        <v>137</v>
      </c>
      <c r="E63" s="55"/>
      <c r="F63" s="55"/>
      <c r="G63" s="55"/>
      <c r="H63" s="56"/>
      <c r="I63" s="57">
        <f t="shared" si="1"/>
        <v>0</v>
      </c>
      <c r="J63" s="62"/>
      <c r="K63" s="59">
        <f t="shared" si="2"/>
        <v>5</v>
      </c>
      <c r="L63" s="52"/>
      <c r="M63" s="60">
        <f t="shared" si="3"/>
        <v>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2">
        <v>48.0</v>
      </c>
      <c r="B64" s="53" t="s">
        <v>138</v>
      </c>
      <c r="C64" s="53" t="s">
        <v>67</v>
      </c>
      <c r="D64" s="54" t="s">
        <v>139</v>
      </c>
      <c r="E64" s="55"/>
      <c r="F64" s="55"/>
      <c r="G64" s="55"/>
      <c r="H64" s="56"/>
      <c r="I64" s="57">
        <f t="shared" si="1"/>
        <v>0</v>
      </c>
      <c r="J64" s="62"/>
      <c r="K64" s="59">
        <f t="shared" si="2"/>
        <v>5</v>
      </c>
      <c r="L64" s="52"/>
      <c r="M64" s="60">
        <f t="shared" si="3"/>
        <v>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6"/>
      <c r="B65" s="63"/>
      <c r="C65" s="63"/>
      <c r="D65" s="63"/>
      <c r="E65" s="64"/>
      <c r="F65" s="64"/>
      <c r="G65" s="63"/>
      <c r="H65" s="63"/>
      <c r="I65" s="63"/>
      <c r="J65" s="63"/>
      <c r="K65" s="1"/>
      <c r="L65" s="8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65" t="s">
        <v>140</v>
      </c>
      <c r="C66" s="66"/>
      <c r="D66" s="67">
        <f>COUNT(A17:A64)</f>
        <v>48</v>
      </c>
      <c r="E66" s="63"/>
      <c r="F66" s="63"/>
      <c r="G66" s="68" t="s">
        <v>141</v>
      </c>
      <c r="H66" s="68"/>
      <c r="I66" s="68" t="s">
        <v>142</v>
      </c>
      <c r="K66" s="69" t="s">
        <v>143</v>
      </c>
      <c r="L66" s="70" t="s">
        <v>144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1" t="s">
        <v>145</v>
      </c>
      <c r="C67" s="72"/>
      <c r="D67" s="73">
        <f>COUNTIF(K17:K64,"BAJA")</f>
        <v>0</v>
      </c>
      <c r="E67" s="63"/>
      <c r="F67" s="63"/>
      <c r="H67" s="68"/>
      <c r="L67" s="10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1" t="s">
        <v>146</v>
      </c>
      <c r="C68" s="72"/>
      <c r="D68" s="74">
        <f>D66-D67</f>
        <v>48</v>
      </c>
      <c r="E68" s="63"/>
      <c r="F68" s="63"/>
      <c r="G68" s="75"/>
      <c r="H68" s="76"/>
      <c r="I68" s="75"/>
      <c r="J68" s="75"/>
      <c r="K68" s="77"/>
      <c r="L68" s="7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B69" s="71" t="s">
        <v>147</v>
      </c>
      <c r="C69" s="72"/>
      <c r="D69" s="79">
        <f>COUNTIF(K17:K64,"&gt;=6")</f>
        <v>0</v>
      </c>
      <c r="E69" s="63"/>
      <c r="F69" s="63"/>
      <c r="G69" s="75"/>
      <c r="H69" s="76"/>
      <c r="I69" s="75"/>
      <c r="J69" s="75"/>
      <c r="K69" s="77"/>
      <c r="L69" s="78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B70" s="71" t="s">
        <v>148</v>
      </c>
      <c r="C70" s="72"/>
      <c r="D70" s="79">
        <f>D68-D69</f>
        <v>48</v>
      </c>
      <c r="E70" s="63"/>
      <c r="F70" s="63"/>
      <c r="G70" s="80"/>
      <c r="H70" s="76"/>
      <c r="I70" s="80"/>
      <c r="J70" s="80"/>
      <c r="K70" s="81"/>
      <c r="L70" s="8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B71" s="71" t="s">
        <v>149</v>
      </c>
      <c r="C71" s="72"/>
      <c r="D71" s="83">
        <f>D69*100/D68</f>
        <v>0</v>
      </c>
      <c r="E71" s="63"/>
      <c r="F71" s="63"/>
      <c r="G71" s="84" t="s">
        <v>150</v>
      </c>
      <c r="H71" s="85"/>
      <c r="I71" s="86" t="s">
        <v>151</v>
      </c>
      <c r="K71" s="86" t="s">
        <v>152</v>
      </c>
      <c r="L71" s="87" t="s">
        <v>153</v>
      </c>
      <c r="M71" s="88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B72" s="89" t="s">
        <v>154</v>
      </c>
      <c r="C72" s="90"/>
      <c r="D72" s="91">
        <f>AVERAGE(K17:K64)</f>
        <v>5</v>
      </c>
      <c r="E72" s="63"/>
      <c r="F72" s="63"/>
      <c r="H72" s="85"/>
      <c r="L72" s="1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6"/>
      <c r="B73" s="1"/>
      <c r="C73" s="1"/>
      <c r="D73" s="1"/>
      <c r="E73" s="1"/>
      <c r="F73" s="1"/>
      <c r="G73" s="1"/>
      <c r="H73" s="1"/>
      <c r="I73" s="1"/>
      <c r="J73" s="1"/>
      <c r="K73" s="1"/>
      <c r="L73" s="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2"/>
      <c r="B74" s="93"/>
      <c r="C74" s="94"/>
      <c r="D74" s="94"/>
      <c r="E74" s="63"/>
      <c r="H74" s="7"/>
      <c r="I74" s="7"/>
      <c r="J74" s="7"/>
      <c r="K74" s="7"/>
      <c r="L74" s="95"/>
      <c r="M74" s="9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97"/>
      <c r="B75" s="63"/>
      <c r="C75" s="63"/>
      <c r="D75" s="63"/>
      <c r="E75" s="7"/>
      <c r="F75" s="7"/>
      <c r="G75" s="1"/>
      <c r="H75" s="1"/>
      <c r="I75" s="1"/>
      <c r="J75" s="1"/>
      <c r="K75" s="1"/>
      <c r="L75" s="8"/>
      <c r="M75" s="98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97"/>
      <c r="B76" s="63"/>
      <c r="C76" s="63"/>
      <c r="D76" s="63"/>
      <c r="E76" s="7"/>
      <c r="F76" s="7"/>
      <c r="G76" s="1"/>
      <c r="H76" s="1"/>
      <c r="I76" s="1"/>
      <c r="J76" s="1"/>
      <c r="K76" s="1"/>
      <c r="L76" s="8"/>
      <c r="M76" s="98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99"/>
      <c r="B77" s="100"/>
      <c r="C77" s="100"/>
      <c r="D77" s="100"/>
      <c r="E77" s="101"/>
      <c r="F77" s="101"/>
      <c r="G77" s="102"/>
      <c r="H77" s="102"/>
      <c r="I77" s="102"/>
      <c r="J77" s="102"/>
      <c r="K77" s="102"/>
      <c r="L77" s="103"/>
      <c r="M77" s="98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4"/>
      <c r="C78" s="104"/>
      <c r="D78" s="104"/>
      <c r="E78" s="104"/>
      <c r="F78" s="104"/>
      <c r="G78" s="1"/>
      <c r="H78" s="1"/>
      <c r="I78" s="1"/>
      <c r="J78" s="1"/>
      <c r="K78" s="105"/>
      <c r="L78" s="105"/>
      <c r="M78" s="10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4"/>
      <c r="C79" s="104"/>
      <c r="D79" s="104"/>
      <c r="E79" s="104"/>
      <c r="F79" s="104"/>
      <c r="G79" s="1"/>
      <c r="H79" s="1"/>
      <c r="I79" s="1"/>
      <c r="J79" s="1"/>
      <c r="K79" s="105"/>
      <c r="L79" s="105"/>
      <c r="M79" s="10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4"/>
      <c r="C80" s="104"/>
      <c r="D80" s="104"/>
      <c r="E80" s="104"/>
      <c r="F80" s="104"/>
      <c r="G80" s="1"/>
      <c r="H80" s="1"/>
      <c r="I80" s="1"/>
      <c r="J80" s="1"/>
      <c r="K80" s="105"/>
      <c r="L80" s="105"/>
      <c r="M80" s="10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4"/>
      <c r="C81" s="104"/>
      <c r="D81" s="104"/>
      <c r="E81" s="104"/>
      <c r="F81" s="104"/>
      <c r="G81" s="1"/>
      <c r="H81" s="1"/>
      <c r="I81" s="1"/>
      <c r="J81" s="1"/>
      <c r="K81" s="105"/>
      <c r="L81" s="105"/>
      <c r="M81" s="105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4"/>
      <c r="C82" s="104"/>
      <c r="D82" s="104"/>
      <c r="E82" s="104"/>
      <c r="F82" s="10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4"/>
      <c r="C83" s="104"/>
      <c r="D83" s="104"/>
      <c r="E83" s="104"/>
      <c r="F83" s="104"/>
      <c r="G83" s="1"/>
      <c r="H83" s="1"/>
      <c r="I83" s="1"/>
      <c r="J83" s="1"/>
      <c r="K83" s="1"/>
      <c r="L83" s="106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4"/>
      <c r="C84" s="104"/>
      <c r="D84" s="104"/>
      <c r="E84" s="104"/>
      <c r="F84" s="10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4"/>
      <c r="C85" s="104"/>
      <c r="D85" s="104"/>
      <c r="E85" s="104"/>
      <c r="F85" s="10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4"/>
      <c r="C86" s="104"/>
      <c r="D86" s="104"/>
      <c r="E86" s="104"/>
      <c r="F86" s="10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4"/>
      <c r="C87" s="104"/>
      <c r="D87" s="104"/>
      <c r="E87" s="104"/>
      <c r="F87" s="10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4"/>
      <c r="C88" s="104"/>
      <c r="D88" s="104"/>
      <c r="E88" s="104"/>
      <c r="F88" s="10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04"/>
      <c r="C89" s="104"/>
      <c r="D89" s="104"/>
      <c r="E89" s="104"/>
      <c r="F89" s="10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29">
    <mergeCell ref="F14:F15"/>
    <mergeCell ref="G14:G15"/>
    <mergeCell ref="G66:G67"/>
    <mergeCell ref="I66:J67"/>
    <mergeCell ref="K66:K67"/>
    <mergeCell ref="L66:L67"/>
    <mergeCell ref="A9:L9"/>
    <mergeCell ref="E10:L10"/>
    <mergeCell ref="A13:B13"/>
    <mergeCell ref="C13:D13"/>
    <mergeCell ref="H13:H15"/>
    <mergeCell ref="I13:I14"/>
    <mergeCell ref="J13:L14"/>
    <mergeCell ref="J15:L15"/>
    <mergeCell ref="B70:C70"/>
    <mergeCell ref="B71:C71"/>
    <mergeCell ref="G71:G72"/>
    <mergeCell ref="I71:J72"/>
    <mergeCell ref="K71:K72"/>
    <mergeCell ref="L71:L72"/>
    <mergeCell ref="B72:C72"/>
    <mergeCell ref="E74:G74"/>
    <mergeCell ref="B14:D14"/>
    <mergeCell ref="E14:E15"/>
    <mergeCell ref="B16:D16"/>
    <mergeCell ref="B66:C66"/>
    <mergeCell ref="B67:C67"/>
    <mergeCell ref="B68:C68"/>
    <mergeCell ref="B69:C69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4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27" t="s">
        <v>164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6"/>
      <c r="I17" s="57">
        <f t="shared" ref="I17:I64" si="1">SUM(E17:H17)</f>
        <v>0</v>
      </c>
      <c r="J17" s="58"/>
      <c r="K17" s="59">
        <f t="shared" ref="K17:K64" si="2">IF(M17&lt;6,5,M17)</f>
        <v>5</v>
      </c>
      <c r="L17" s="60"/>
      <c r="M17" s="61">
        <f t="shared" ref="M17:M64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6"/>
      <c r="I18" s="57">
        <f t="shared" si="1"/>
        <v>0</v>
      </c>
      <c r="J18" s="58"/>
      <c r="K18" s="59">
        <f t="shared" si="2"/>
        <v>5</v>
      </c>
      <c r="L18" s="52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6"/>
      <c r="F19" s="56"/>
      <c r="G19" s="55"/>
      <c r="H19" s="56"/>
      <c r="I19" s="57">
        <f t="shared" si="1"/>
        <v>0</v>
      </c>
      <c r="J19" s="58"/>
      <c r="K19" s="59">
        <f t="shared" si="2"/>
        <v>5</v>
      </c>
      <c r="L19" s="52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6"/>
      <c r="I20" s="57">
        <f t="shared" si="1"/>
        <v>0</v>
      </c>
      <c r="J20" s="58"/>
      <c r="K20" s="59">
        <f t="shared" si="2"/>
        <v>5</v>
      </c>
      <c r="L20" s="52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6"/>
      <c r="I21" s="57">
        <f t="shared" si="1"/>
        <v>0</v>
      </c>
      <c r="J21" s="58"/>
      <c r="K21" s="59">
        <f t="shared" si="2"/>
        <v>5</v>
      </c>
      <c r="L21" s="52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6"/>
      <c r="I22" s="57">
        <f t="shared" si="1"/>
        <v>0</v>
      </c>
      <c r="J22" s="58"/>
      <c r="K22" s="59">
        <f t="shared" si="2"/>
        <v>5</v>
      </c>
      <c r="L22" s="52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6"/>
      <c r="I23" s="57">
        <f t="shared" si="1"/>
        <v>0</v>
      </c>
      <c r="J23" s="58"/>
      <c r="K23" s="59">
        <f t="shared" si="2"/>
        <v>5</v>
      </c>
      <c r="L23" s="52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6"/>
      <c r="F24" s="56"/>
      <c r="G24" s="55"/>
      <c r="H24" s="56"/>
      <c r="I24" s="57">
        <f t="shared" si="1"/>
        <v>0</v>
      </c>
      <c r="J24" s="58"/>
      <c r="K24" s="59">
        <f t="shared" si="2"/>
        <v>5</v>
      </c>
      <c r="L24" s="52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6"/>
      <c r="I25" s="57">
        <f t="shared" si="1"/>
        <v>0</v>
      </c>
      <c r="J25" s="58"/>
      <c r="K25" s="59">
        <f t="shared" si="2"/>
        <v>5</v>
      </c>
      <c r="L25" s="52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6"/>
      <c r="F26" s="56"/>
      <c r="G26" s="55"/>
      <c r="H26" s="56"/>
      <c r="I26" s="57">
        <f t="shared" si="1"/>
        <v>0</v>
      </c>
      <c r="J26" s="58"/>
      <c r="K26" s="59">
        <f t="shared" si="2"/>
        <v>5</v>
      </c>
      <c r="L26" s="52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52</v>
      </c>
      <c r="C27" s="53" t="s">
        <v>53</v>
      </c>
      <c r="D27" s="54" t="s">
        <v>54</v>
      </c>
      <c r="E27" s="55"/>
      <c r="F27" s="55"/>
      <c r="G27" s="55"/>
      <c r="H27" s="56"/>
      <c r="I27" s="57">
        <f t="shared" si="1"/>
        <v>0</v>
      </c>
      <c r="J27" s="58"/>
      <c r="K27" s="59">
        <f t="shared" si="2"/>
        <v>5</v>
      </c>
      <c r="L27" s="52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44</v>
      </c>
      <c r="C28" s="53" t="s">
        <v>55</v>
      </c>
      <c r="D28" s="54" t="s">
        <v>56</v>
      </c>
      <c r="E28" s="55"/>
      <c r="F28" s="55"/>
      <c r="G28" s="55"/>
      <c r="H28" s="56"/>
      <c r="I28" s="57">
        <f t="shared" si="1"/>
        <v>0</v>
      </c>
      <c r="J28" s="58"/>
      <c r="K28" s="59">
        <f t="shared" si="2"/>
        <v>5</v>
      </c>
      <c r="L28" s="52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57</v>
      </c>
      <c r="C29" s="53" t="s">
        <v>58</v>
      </c>
      <c r="D29" s="54" t="s">
        <v>59</v>
      </c>
      <c r="E29" s="55"/>
      <c r="F29" s="55"/>
      <c r="G29" s="55"/>
      <c r="H29" s="56"/>
      <c r="I29" s="57">
        <f t="shared" si="1"/>
        <v>0</v>
      </c>
      <c r="J29" s="58"/>
      <c r="K29" s="59">
        <f t="shared" si="2"/>
        <v>5</v>
      </c>
      <c r="L29" s="52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35</v>
      </c>
      <c r="C30" s="53" t="s">
        <v>60</v>
      </c>
      <c r="D30" s="54" t="s">
        <v>61</v>
      </c>
      <c r="E30" s="56"/>
      <c r="F30" s="56"/>
      <c r="G30" s="55"/>
      <c r="H30" s="56"/>
      <c r="I30" s="57">
        <f t="shared" si="1"/>
        <v>0</v>
      </c>
      <c r="J30" s="58"/>
      <c r="K30" s="59">
        <f t="shared" si="2"/>
        <v>5</v>
      </c>
      <c r="L30" s="52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62</v>
      </c>
      <c r="C31" s="53" t="s">
        <v>32</v>
      </c>
      <c r="D31" s="54" t="s">
        <v>63</v>
      </c>
      <c r="E31" s="56"/>
      <c r="F31" s="56"/>
      <c r="G31" s="55"/>
      <c r="H31" s="56"/>
      <c r="I31" s="57">
        <f t="shared" si="1"/>
        <v>0</v>
      </c>
      <c r="J31" s="58"/>
      <c r="K31" s="59">
        <f t="shared" si="2"/>
        <v>5</v>
      </c>
      <c r="L31" s="52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64</v>
      </c>
      <c r="C32" s="53" t="s">
        <v>65</v>
      </c>
      <c r="D32" s="54" t="s">
        <v>66</v>
      </c>
      <c r="E32" s="55"/>
      <c r="F32" s="55"/>
      <c r="G32" s="55"/>
      <c r="H32" s="56"/>
      <c r="I32" s="57">
        <f t="shared" si="1"/>
        <v>0</v>
      </c>
      <c r="J32" s="58"/>
      <c r="K32" s="59">
        <f t="shared" si="2"/>
        <v>5</v>
      </c>
      <c r="L32" s="52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67</v>
      </c>
      <c r="C33" s="53" t="s">
        <v>67</v>
      </c>
      <c r="D33" s="54" t="s">
        <v>68</v>
      </c>
      <c r="E33" s="55"/>
      <c r="F33" s="55"/>
      <c r="G33" s="55"/>
      <c r="H33" s="56"/>
      <c r="I33" s="57">
        <f t="shared" si="1"/>
        <v>0</v>
      </c>
      <c r="J33" s="58"/>
      <c r="K33" s="59">
        <f t="shared" si="2"/>
        <v>5</v>
      </c>
      <c r="L33" s="52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69</v>
      </c>
      <c r="C34" s="53" t="s">
        <v>67</v>
      </c>
      <c r="D34" s="54" t="s">
        <v>70</v>
      </c>
      <c r="E34" s="56"/>
      <c r="F34" s="56"/>
      <c r="G34" s="55"/>
      <c r="H34" s="56"/>
      <c r="I34" s="57">
        <f t="shared" si="1"/>
        <v>0</v>
      </c>
      <c r="J34" s="58"/>
      <c r="K34" s="59">
        <f t="shared" si="2"/>
        <v>5</v>
      </c>
      <c r="L34" s="52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69</v>
      </c>
      <c r="C35" s="53" t="s">
        <v>71</v>
      </c>
      <c r="D35" s="54" t="s">
        <v>72</v>
      </c>
      <c r="E35" s="55"/>
      <c r="F35" s="55"/>
      <c r="G35" s="55"/>
      <c r="H35" s="56"/>
      <c r="I35" s="57">
        <f t="shared" si="1"/>
        <v>0</v>
      </c>
      <c r="J35" s="58"/>
      <c r="K35" s="59">
        <f t="shared" si="2"/>
        <v>5</v>
      </c>
      <c r="L35" s="52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73</v>
      </c>
      <c r="C36" s="53" t="s">
        <v>38</v>
      </c>
      <c r="D36" s="54" t="s">
        <v>74</v>
      </c>
      <c r="E36" s="55"/>
      <c r="F36" s="55"/>
      <c r="G36" s="55"/>
      <c r="H36" s="56"/>
      <c r="I36" s="57">
        <f t="shared" si="1"/>
        <v>0</v>
      </c>
      <c r="J36" s="58"/>
      <c r="K36" s="59">
        <f t="shared" si="2"/>
        <v>5</v>
      </c>
      <c r="L36" s="52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75</v>
      </c>
      <c r="C37" s="53" t="s">
        <v>76</v>
      </c>
      <c r="D37" s="54" t="s">
        <v>77</v>
      </c>
      <c r="E37" s="56"/>
      <c r="F37" s="56"/>
      <c r="G37" s="55"/>
      <c r="H37" s="56"/>
      <c r="I37" s="57">
        <f t="shared" si="1"/>
        <v>0</v>
      </c>
      <c r="J37" s="58"/>
      <c r="K37" s="59">
        <f t="shared" si="2"/>
        <v>5</v>
      </c>
      <c r="L37" s="52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47</v>
      </c>
      <c r="C38" s="53" t="s">
        <v>62</v>
      </c>
      <c r="D38" s="54" t="s">
        <v>78</v>
      </c>
      <c r="E38" s="55"/>
      <c r="F38" s="55"/>
      <c r="G38" s="55"/>
      <c r="H38" s="56"/>
      <c r="I38" s="57">
        <f t="shared" si="1"/>
        <v>0</v>
      </c>
      <c r="J38" s="58"/>
      <c r="K38" s="59">
        <f t="shared" si="2"/>
        <v>5</v>
      </c>
      <c r="L38" s="52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79</v>
      </c>
      <c r="C39" s="53" t="s">
        <v>80</v>
      </c>
      <c r="D39" s="54" t="s">
        <v>81</v>
      </c>
      <c r="E39" s="55"/>
      <c r="F39" s="55"/>
      <c r="G39" s="55"/>
      <c r="H39" s="56"/>
      <c r="I39" s="57">
        <f t="shared" si="1"/>
        <v>0</v>
      </c>
      <c r="J39" s="58"/>
      <c r="K39" s="59">
        <f t="shared" si="2"/>
        <v>5</v>
      </c>
      <c r="L39" s="52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79</v>
      </c>
      <c r="C40" s="53" t="s">
        <v>82</v>
      </c>
      <c r="D40" s="54" t="s">
        <v>83</v>
      </c>
      <c r="E40" s="55"/>
      <c r="F40" s="55"/>
      <c r="G40" s="55"/>
      <c r="H40" s="56"/>
      <c r="I40" s="57">
        <f t="shared" si="1"/>
        <v>0</v>
      </c>
      <c r="J40" s="58"/>
      <c r="K40" s="59">
        <f t="shared" si="2"/>
        <v>5</v>
      </c>
      <c r="L40" s="52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32</v>
      </c>
      <c r="C41" s="53" t="s">
        <v>84</v>
      </c>
      <c r="D41" s="54" t="s">
        <v>85</v>
      </c>
      <c r="E41" s="55"/>
      <c r="F41" s="55"/>
      <c r="G41" s="55"/>
      <c r="H41" s="56"/>
      <c r="I41" s="57">
        <f t="shared" si="1"/>
        <v>0</v>
      </c>
      <c r="J41" s="58"/>
      <c r="K41" s="59">
        <f t="shared" si="2"/>
        <v>5</v>
      </c>
      <c r="L41" s="52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86</v>
      </c>
      <c r="C42" s="53" t="s">
        <v>62</v>
      </c>
      <c r="D42" s="54" t="s">
        <v>87</v>
      </c>
      <c r="E42" s="55"/>
      <c r="F42" s="55"/>
      <c r="G42" s="55"/>
      <c r="H42" s="56"/>
      <c r="I42" s="57">
        <f t="shared" si="1"/>
        <v>0</v>
      </c>
      <c r="J42" s="58"/>
      <c r="K42" s="59">
        <f t="shared" si="2"/>
        <v>5</v>
      </c>
      <c r="L42" s="52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88</v>
      </c>
      <c r="C43" s="53" t="s">
        <v>29</v>
      </c>
      <c r="D43" s="54" t="s">
        <v>89</v>
      </c>
      <c r="E43" s="55"/>
      <c r="F43" s="55"/>
      <c r="G43" s="55"/>
      <c r="H43" s="56"/>
      <c r="I43" s="57">
        <f t="shared" si="1"/>
        <v>0</v>
      </c>
      <c r="J43" s="58"/>
      <c r="K43" s="59">
        <f t="shared" si="2"/>
        <v>5</v>
      </c>
      <c r="L43" s="52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90</v>
      </c>
      <c r="C44" s="53" t="s">
        <v>91</v>
      </c>
      <c r="D44" s="54" t="s">
        <v>92</v>
      </c>
      <c r="E44" s="55"/>
      <c r="F44" s="55"/>
      <c r="G44" s="55"/>
      <c r="H44" s="56"/>
      <c r="I44" s="57">
        <f t="shared" si="1"/>
        <v>0</v>
      </c>
      <c r="J44" s="58"/>
      <c r="K44" s="59">
        <f t="shared" si="2"/>
        <v>5</v>
      </c>
      <c r="L44" s="52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93</v>
      </c>
      <c r="C45" s="53" t="s">
        <v>94</v>
      </c>
      <c r="D45" s="54" t="s">
        <v>95</v>
      </c>
      <c r="E45" s="55"/>
      <c r="F45" s="55"/>
      <c r="G45" s="55"/>
      <c r="H45" s="56"/>
      <c r="I45" s="57">
        <f t="shared" si="1"/>
        <v>0</v>
      </c>
      <c r="J45" s="58"/>
      <c r="K45" s="59">
        <f t="shared" si="2"/>
        <v>5</v>
      </c>
      <c r="L45" s="52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96</v>
      </c>
      <c r="C46" s="53" t="s">
        <v>97</v>
      </c>
      <c r="D46" s="54" t="s">
        <v>98</v>
      </c>
      <c r="E46" s="55"/>
      <c r="F46" s="55"/>
      <c r="G46" s="55"/>
      <c r="H46" s="56"/>
      <c r="I46" s="57">
        <f t="shared" si="1"/>
        <v>0</v>
      </c>
      <c r="J46" s="58"/>
      <c r="K46" s="59">
        <f t="shared" si="2"/>
        <v>5</v>
      </c>
      <c r="L46" s="52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99</v>
      </c>
      <c r="C47" s="53" t="s">
        <v>100</v>
      </c>
      <c r="D47" s="54" t="s">
        <v>101</v>
      </c>
      <c r="E47" s="55"/>
      <c r="F47" s="55"/>
      <c r="G47" s="55"/>
      <c r="H47" s="56"/>
      <c r="I47" s="57">
        <f t="shared" si="1"/>
        <v>0</v>
      </c>
      <c r="J47" s="58"/>
      <c r="K47" s="59">
        <f t="shared" si="2"/>
        <v>5</v>
      </c>
      <c r="L47" s="52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102</v>
      </c>
      <c r="C48" s="53" t="s">
        <v>103</v>
      </c>
      <c r="D48" s="54" t="s">
        <v>104</v>
      </c>
      <c r="E48" s="55"/>
      <c r="F48" s="55"/>
      <c r="G48" s="55"/>
      <c r="H48" s="56"/>
      <c r="I48" s="57">
        <f t="shared" si="1"/>
        <v>0</v>
      </c>
      <c r="J48" s="58"/>
      <c r="K48" s="59">
        <f t="shared" si="2"/>
        <v>5</v>
      </c>
      <c r="L48" s="52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105</v>
      </c>
      <c r="C49" s="53" t="s">
        <v>22</v>
      </c>
      <c r="D49" s="54" t="s">
        <v>106</v>
      </c>
      <c r="E49" s="55"/>
      <c r="F49" s="55"/>
      <c r="G49" s="55"/>
      <c r="H49" s="56"/>
      <c r="I49" s="57">
        <f t="shared" si="1"/>
        <v>0</v>
      </c>
      <c r="J49" s="58"/>
      <c r="K49" s="59">
        <f t="shared" si="2"/>
        <v>5</v>
      </c>
      <c r="L49" s="52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23</v>
      </c>
      <c r="C50" s="53" t="s">
        <v>107</v>
      </c>
      <c r="D50" s="54" t="s">
        <v>108</v>
      </c>
      <c r="E50" s="55"/>
      <c r="F50" s="55"/>
      <c r="G50" s="55"/>
      <c r="H50" s="56"/>
      <c r="I50" s="57">
        <f t="shared" si="1"/>
        <v>0</v>
      </c>
      <c r="J50" s="58"/>
      <c r="K50" s="59">
        <f t="shared" si="2"/>
        <v>5</v>
      </c>
      <c r="L50" s="52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23</v>
      </c>
      <c r="C51" s="53" t="s">
        <v>109</v>
      </c>
      <c r="D51" s="54" t="s">
        <v>110</v>
      </c>
      <c r="E51" s="55"/>
      <c r="F51" s="55"/>
      <c r="G51" s="55"/>
      <c r="H51" s="56"/>
      <c r="I51" s="57">
        <f t="shared" si="1"/>
        <v>0</v>
      </c>
      <c r="J51" s="58"/>
      <c r="K51" s="59">
        <f t="shared" si="2"/>
        <v>5</v>
      </c>
      <c r="L51" s="52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111</v>
      </c>
      <c r="C52" s="53" t="s">
        <v>62</v>
      </c>
      <c r="D52" s="54" t="s">
        <v>112</v>
      </c>
      <c r="E52" s="55"/>
      <c r="F52" s="55"/>
      <c r="G52" s="55"/>
      <c r="H52" s="56"/>
      <c r="I52" s="57">
        <f t="shared" si="1"/>
        <v>0</v>
      </c>
      <c r="J52" s="58"/>
      <c r="K52" s="59">
        <f t="shared" si="2"/>
        <v>5</v>
      </c>
      <c r="L52" s="52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111</v>
      </c>
      <c r="C53" s="53" t="s">
        <v>73</v>
      </c>
      <c r="D53" s="54" t="s">
        <v>113</v>
      </c>
      <c r="E53" s="55"/>
      <c r="F53" s="55"/>
      <c r="G53" s="55"/>
      <c r="H53" s="56"/>
      <c r="I53" s="57">
        <f t="shared" si="1"/>
        <v>0</v>
      </c>
      <c r="J53" s="58"/>
      <c r="K53" s="59">
        <f t="shared" si="2"/>
        <v>5</v>
      </c>
      <c r="L53" s="52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114</v>
      </c>
      <c r="C54" s="53" t="s">
        <v>69</v>
      </c>
      <c r="D54" s="54" t="s">
        <v>115</v>
      </c>
      <c r="E54" s="55"/>
      <c r="F54" s="55"/>
      <c r="G54" s="55"/>
      <c r="H54" s="56"/>
      <c r="I54" s="57">
        <f t="shared" si="1"/>
        <v>0</v>
      </c>
      <c r="J54" s="58"/>
      <c r="K54" s="59">
        <f t="shared" si="2"/>
        <v>5</v>
      </c>
      <c r="L54" s="52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116</v>
      </c>
      <c r="C55" s="53" t="s">
        <v>117</v>
      </c>
      <c r="D55" s="54" t="s">
        <v>118</v>
      </c>
      <c r="E55" s="55"/>
      <c r="F55" s="55"/>
      <c r="G55" s="55"/>
      <c r="H55" s="56"/>
      <c r="I55" s="57">
        <f t="shared" si="1"/>
        <v>0</v>
      </c>
      <c r="J55" s="62"/>
      <c r="K55" s="59">
        <f t="shared" si="2"/>
        <v>5</v>
      </c>
      <c r="L55" s="52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119</v>
      </c>
      <c r="C56" s="53" t="s">
        <v>120</v>
      </c>
      <c r="D56" s="54" t="s">
        <v>121</v>
      </c>
      <c r="E56" s="55"/>
      <c r="F56" s="55"/>
      <c r="G56" s="55"/>
      <c r="H56" s="56"/>
      <c r="I56" s="57">
        <f t="shared" si="1"/>
        <v>0</v>
      </c>
      <c r="J56" s="62"/>
      <c r="K56" s="59">
        <f t="shared" si="2"/>
        <v>5</v>
      </c>
      <c r="L56" s="52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122</v>
      </c>
      <c r="C57" s="53" t="s">
        <v>123</v>
      </c>
      <c r="D57" s="54" t="s">
        <v>124</v>
      </c>
      <c r="E57" s="55"/>
      <c r="F57" s="55"/>
      <c r="G57" s="55"/>
      <c r="H57" s="56"/>
      <c r="I57" s="57">
        <f t="shared" si="1"/>
        <v>0</v>
      </c>
      <c r="J57" s="62"/>
      <c r="K57" s="59">
        <f t="shared" si="2"/>
        <v>5</v>
      </c>
      <c r="L57" s="52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2">
        <v>42.0</v>
      </c>
      <c r="B58" s="53" t="s">
        <v>123</v>
      </c>
      <c r="C58" s="53" t="s">
        <v>90</v>
      </c>
      <c r="D58" s="54" t="s">
        <v>125</v>
      </c>
      <c r="E58" s="55"/>
      <c r="F58" s="55"/>
      <c r="G58" s="55"/>
      <c r="H58" s="56"/>
      <c r="I58" s="57">
        <f t="shared" si="1"/>
        <v>0</v>
      </c>
      <c r="J58" s="62"/>
      <c r="K58" s="59">
        <f t="shared" si="2"/>
        <v>5</v>
      </c>
      <c r="L58" s="52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2">
        <v>43.0</v>
      </c>
      <c r="B59" s="53" t="s">
        <v>97</v>
      </c>
      <c r="C59" s="53" t="s">
        <v>126</v>
      </c>
      <c r="D59" s="54" t="s">
        <v>127</v>
      </c>
      <c r="E59" s="55"/>
      <c r="F59" s="55"/>
      <c r="G59" s="55"/>
      <c r="H59" s="56"/>
      <c r="I59" s="57">
        <f t="shared" si="1"/>
        <v>0</v>
      </c>
      <c r="J59" s="62"/>
      <c r="K59" s="59">
        <f t="shared" si="2"/>
        <v>5</v>
      </c>
      <c r="L59" s="52"/>
      <c r="M59" s="60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2">
        <v>44.0</v>
      </c>
      <c r="B60" s="53" t="s">
        <v>128</v>
      </c>
      <c r="C60" s="53" t="s">
        <v>124</v>
      </c>
      <c r="D60" s="54" t="s">
        <v>129</v>
      </c>
      <c r="E60" s="55"/>
      <c r="F60" s="55"/>
      <c r="G60" s="55"/>
      <c r="H60" s="56"/>
      <c r="I60" s="57">
        <f t="shared" si="1"/>
        <v>0</v>
      </c>
      <c r="J60" s="62"/>
      <c r="K60" s="59">
        <f t="shared" si="2"/>
        <v>5</v>
      </c>
      <c r="L60" s="52"/>
      <c r="M60" s="60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2">
        <v>45.0</v>
      </c>
      <c r="B61" s="53" t="s">
        <v>130</v>
      </c>
      <c r="C61" s="53" t="s">
        <v>131</v>
      </c>
      <c r="D61" s="54" t="s">
        <v>132</v>
      </c>
      <c r="E61" s="55"/>
      <c r="F61" s="55"/>
      <c r="G61" s="55"/>
      <c r="H61" s="56"/>
      <c r="I61" s="57">
        <f t="shared" si="1"/>
        <v>0</v>
      </c>
      <c r="J61" s="62"/>
      <c r="K61" s="59">
        <f t="shared" si="2"/>
        <v>5</v>
      </c>
      <c r="L61" s="52"/>
      <c r="M61" s="60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2">
        <v>46.0</v>
      </c>
      <c r="B62" s="53" t="s">
        <v>133</v>
      </c>
      <c r="C62" s="53" t="s">
        <v>67</v>
      </c>
      <c r="D62" s="54" t="s">
        <v>134</v>
      </c>
      <c r="E62" s="55"/>
      <c r="F62" s="55"/>
      <c r="G62" s="55"/>
      <c r="H62" s="56"/>
      <c r="I62" s="57">
        <f t="shared" si="1"/>
        <v>0</v>
      </c>
      <c r="J62" s="62"/>
      <c r="K62" s="59">
        <f t="shared" si="2"/>
        <v>5</v>
      </c>
      <c r="L62" s="52"/>
      <c r="M62" s="60">
        <f t="shared" si="3"/>
        <v>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2">
        <v>47.0</v>
      </c>
      <c r="B63" s="53" t="s">
        <v>135</v>
      </c>
      <c r="C63" s="53" t="s">
        <v>136</v>
      </c>
      <c r="D63" s="54" t="s">
        <v>137</v>
      </c>
      <c r="E63" s="55"/>
      <c r="F63" s="55"/>
      <c r="G63" s="55"/>
      <c r="H63" s="56"/>
      <c r="I63" s="57">
        <f t="shared" si="1"/>
        <v>0</v>
      </c>
      <c r="J63" s="62"/>
      <c r="K63" s="59">
        <f t="shared" si="2"/>
        <v>5</v>
      </c>
      <c r="L63" s="52"/>
      <c r="M63" s="60">
        <f t="shared" si="3"/>
        <v>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2">
        <v>48.0</v>
      </c>
      <c r="B64" s="53" t="s">
        <v>138</v>
      </c>
      <c r="C64" s="53" t="s">
        <v>67</v>
      </c>
      <c r="D64" s="54" t="s">
        <v>139</v>
      </c>
      <c r="E64" s="55"/>
      <c r="F64" s="55"/>
      <c r="G64" s="55"/>
      <c r="H64" s="56"/>
      <c r="I64" s="57">
        <f t="shared" si="1"/>
        <v>0</v>
      </c>
      <c r="J64" s="62"/>
      <c r="K64" s="59">
        <f t="shared" si="2"/>
        <v>5</v>
      </c>
      <c r="L64" s="52"/>
      <c r="M64" s="60">
        <f t="shared" si="3"/>
        <v>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6"/>
      <c r="B65" s="63"/>
      <c r="C65" s="63"/>
      <c r="D65" s="63"/>
      <c r="E65" s="64"/>
      <c r="F65" s="64"/>
      <c r="G65" s="63"/>
      <c r="H65" s="63"/>
      <c r="I65" s="63"/>
      <c r="J65" s="63"/>
      <c r="K65" s="1"/>
      <c r="L65" s="8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65" t="s">
        <v>140</v>
      </c>
      <c r="C66" s="66"/>
      <c r="D66" s="67">
        <f>COUNT(A17:A64)</f>
        <v>48</v>
      </c>
      <c r="E66" s="63"/>
      <c r="F66" s="63"/>
      <c r="G66" s="68" t="s">
        <v>141</v>
      </c>
      <c r="H66" s="68"/>
      <c r="I66" s="68" t="s">
        <v>142</v>
      </c>
      <c r="K66" s="69" t="s">
        <v>143</v>
      </c>
      <c r="L66" s="70" t="s">
        <v>144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1" t="s">
        <v>145</v>
      </c>
      <c r="C67" s="72"/>
      <c r="D67" s="73">
        <f>COUNTIF(K17:K64,"BAJA")</f>
        <v>0</v>
      </c>
      <c r="E67" s="63"/>
      <c r="F67" s="63"/>
      <c r="H67" s="68"/>
      <c r="L67" s="10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1" t="s">
        <v>146</v>
      </c>
      <c r="C68" s="72"/>
      <c r="D68" s="74">
        <f>D66-D67</f>
        <v>48</v>
      </c>
      <c r="E68" s="63"/>
      <c r="F68" s="63"/>
      <c r="G68" s="75"/>
      <c r="H68" s="76"/>
      <c r="I68" s="75"/>
      <c r="J68" s="75"/>
      <c r="K68" s="77"/>
      <c r="L68" s="7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B69" s="71" t="s">
        <v>147</v>
      </c>
      <c r="C69" s="72"/>
      <c r="D69" s="79">
        <f>COUNTIF(K17:K64,"&gt;=6")</f>
        <v>0</v>
      </c>
      <c r="E69" s="63"/>
      <c r="F69" s="63"/>
      <c r="G69" s="75"/>
      <c r="H69" s="76"/>
      <c r="I69" s="75"/>
      <c r="J69" s="75"/>
      <c r="K69" s="77"/>
      <c r="L69" s="78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B70" s="71" t="s">
        <v>148</v>
      </c>
      <c r="C70" s="72"/>
      <c r="D70" s="79">
        <f>D68-D69</f>
        <v>48</v>
      </c>
      <c r="E70" s="63"/>
      <c r="F70" s="63"/>
      <c r="G70" s="80"/>
      <c r="H70" s="76"/>
      <c r="I70" s="80"/>
      <c r="J70" s="80"/>
      <c r="K70" s="81"/>
      <c r="L70" s="8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B71" s="71" t="s">
        <v>149</v>
      </c>
      <c r="C71" s="72"/>
      <c r="D71" s="83">
        <f>D69*100/D68</f>
        <v>0</v>
      </c>
      <c r="E71" s="63"/>
      <c r="F71" s="63"/>
      <c r="G71" s="84" t="s">
        <v>150</v>
      </c>
      <c r="H71" s="85"/>
      <c r="I71" s="86" t="s">
        <v>151</v>
      </c>
      <c r="K71" s="86" t="s">
        <v>152</v>
      </c>
      <c r="L71" s="87" t="s">
        <v>153</v>
      </c>
      <c r="M71" s="88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B72" s="89" t="s">
        <v>154</v>
      </c>
      <c r="C72" s="90"/>
      <c r="D72" s="91">
        <f>AVERAGE(K17:K64)</f>
        <v>5</v>
      </c>
      <c r="E72" s="63"/>
      <c r="F72" s="63"/>
      <c r="H72" s="85"/>
      <c r="L72" s="1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6"/>
      <c r="B73" s="1"/>
      <c r="C73" s="1"/>
      <c r="D73" s="1"/>
      <c r="E73" s="1"/>
      <c r="F73" s="1"/>
      <c r="G73" s="1"/>
      <c r="H73" s="1"/>
      <c r="I73" s="1"/>
      <c r="J73" s="1"/>
      <c r="K73" s="1"/>
      <c r="L73" s="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2"/>
      <c r="B74" s="93"/>
      <c r="C74" s="94"/>
      <c r="D74" s="94"/>
      <c r="E74" s="63"/>
      <c r="H74" s="7"/>
      <c r="I74" s="7"/>
      <c r="J74" s="7"/>
      <c r="K74" s="7"/>
      <c r="L74" s="95"/>
      <c r="M74" s="9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97"/>
      <c r="B75" s="63"/>
      <c r="C75" s="63"/>
      <c r="D75" s="63"/>
      <c r="E75" s="7"/>
      <c r="F75" s="7"/>
      <c r="G75" s="1"/>
      <c r="H75" s="1"/>
      <c r="I75" s="1"/>
      <c r="J75" s="1"/>
      <c r="K75" s="1"/>
      <c r="L75" s="8"/>
      <c r="M75" s="98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97"/>
      <c r="B76" s="63"/>
      <c r="C76" s="63"/>
      <c r="D76" s="63"/>
      <c r="E76" s="7"/>
      <c r="F76" s="7"/>
      <c r="G76" s="1"/>
      <c r="H76" s="1"/>
      <c r="I76" s="1"/>
      <c r="J76" s="1"/>
      <c r="K76" s="1"/>
      <c r="L76" s="8"/>
      <c r="M76" s="98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99"/>
      <c r="B77" s="100"/>
      <c r="C77" s="100"/>
      <c r="D77" s="100"/>
      <c r="E77" s="101"/>
      <c r="F77" s="101"/>
      <c r="G77" s="102"/>
      <c r="H77" s="102"/>
      <c r="I77" s="102"/>
      <c r="J77" s="102"/>
      <c r="K77" s="102"/>
      <c r="L77" s="103"/>
      <c r="M77" s="98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4"/>
      <c r="C78" s="104"/>
      <c r="D78" s="104"/>
      <c r="E78" s="104"/>
      <c r="F78" s="104"/>
      <c r="G78" s="1"/>
      <c r="H78" s="1"/>
      <c r="I78" s="1"/>
      <c r="J78" s="1"/>
      <c r="K78" s="105"/>
      <c r="L78" s="105"/>
      <c r="M78" s="10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4"/>
      <c r="C79" s="104"/>
      <c r="D79" s="104"/>
      <c r="E79" s="104"/>
      <c r="F79" s="104"/>
      <c r="G79" s="1"/>
      <c r="H79" s="1"/>
      <c r="I79" s="1"/>
      <c r="J79" s="1"/>
      <c r="K79" s="105"/>
      <c r="L79" s="105"/>
      <c r="M79" s="10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4"/>
      <c r="C80" s="104"/>
      <c r="D80" s="104"/>
      <c r="E80" s="104"/>
      <c r="F80" s="104"/>
      <c r="G80" s="1"/>
      <c r="H80" s="1"/>
      <c r="I80" s="1"/>
      <c r="J80" s="1"/>
      <c r="K80" s="105"/>
      <c r="L80" s="105"/>
      <c r="M80" s="10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4"/>
      <c r="C81" s="104"/>
      <c r="D81" s="104"/>
      <c r="E81" s="104"/>
      <c r="F81" s="104"/>
      <c r="G81" s="1"/>
      <c r="H81" s="1"/>
      <c r="I81" s="1"/>
      <c r="J81" s="1"/>
      <c r="K81" s="105"/>
      <c r="L81" s="105"/>
      <c r="M81" s="105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4"/>
      <c r="C82" s="104"/>
      <c r="D82" s="104"/>
      <c r="E82" s="104"/>
      <c r="F82" s="10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4"/>
      <c r="C83" s="104"/>
      <c r="D83" s="104"/>
      <c r="E83" s="104"/>
      <c r="F83" s="104"/>
      <c r="G83" s="1"/>
      <c r="H83" s="1"/>
      <c r="I83" s="1"/>
      <c r="J83" s="1"/>
      <c r="K83" s="1"/>
      <c r="L83" s="106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4"/>
      <c r="C84" s="104"/>
      <c r="D84" s="104"/>
      <c r="E84" s="104"/>
      <c r="F84" s="10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4"/>
      <c r="C85" s="104"/>
      <c r="D85" s="104"/>
      <c r="E85" s="104"/>
      <c r="F85" s="10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4"/>
      <c r="C86" s="104"/>
      <c r="D86" s="104"/>
      <c r="E86" s="104"/>
      <c r="F86" s="10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4"/>
      <c r="C87" s="104"/>
      <c r="D87" s="104"/>
      <c r="E87" s="104"/>
      <c r="F87" s="10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4"/>
      <c r="C88" s="104"/>
      <c r="D88" s="104"/>
      <c r="E88" s="104"/>
      <c r="F88" s="10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04"/>
      <c r="C89" s="104"/>
      <c r="D89" s="104"/>
      <c r="E89" s="104"/>
      <c r="F89" s="10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29">
    <mergeCell ref="F14:F15"/>
    <mergeCell ref="G14:G15"/>
    <mergeCell ref="G66:G67"/>
    <mergeCell ref="I66:J67"/>
    <mergeCell ref="K66:K67"/>
    <mergeCell ref="L66:L67"/>
    <mergeCell ref="A9:L9"/>
    <mergeCell ref="E10:L10"/>
    <mergeCell ref="A13:B13"/>
    <mergeCell ref="C13:D13"/>
    <mergeCell ref="H13:H15"/>
    <mergeCell ref="I13:I14"/>
    <mergeCell ref="J13:L14"/>
    <mergeCell ref="J15:L15"/>
    <mergeCell ref="B70:C70"/>
    <mergeCell ref="B71:C71"/>
    <mergeCell ref="G71:G72"/>
    <mergeCell ref="I71:J72"/>
    <mergeCell ref="K71:K72"/>
    <mergeCell ref="L71:L72"/>
    <mergeCell ref="B72:C72"/>
    <mergeCell ref="E74:G74"/>
    <mergeCell ref="B14:D14"/>
    <mergeCell ref="E14:E15"/>
    <mergeCell ref="B16:D16"/>
    <mergeCell ref="B66:C66"/>
    <mergeCell ref="B67:C67"/>
    <mergeCell ref="B68:C68"/>
    <mergeCell ref="B69:C69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4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27" t="s">
        <v>165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6"/>
      <c r="I17" s="57">
        <f t="shared" ref="I17:I64" si="1">SUM(E17:H17)</f>
        <v>0</v>
      </c>
      <c r="J17" s="58"/>
      <c r="K17" s="59">
        <f t="shared" ref="K17:K64" si="2">IF(M17&lt;6,5,M17)</f>
        <v>5</v>
      </c>
      <c r="L17" s="60"/>
      <c r="M17" s="61">
        <f t="shared" ref="M17:M64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6"/>
      <c r="I18" s="57">
        <f t="shared" si="1"/>
        <v>0</v>
      </c>
      <c r="J18" s="58"/>
      <c r="K18" s="59">
        <f t="shared" si="2"/>
        <v>5</v>
      </c>
      <c r="L18" s="52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6"/>
      <c r="F19" s="56"/>
      <c r="G19" s="55"/>
      <c r="H19" s="56"/>
      <c r="I19" s="57">
        <f t="shared" si="1"/>
        <v>0</v>
      </c>
      <c r="J19" s="58"/>
      <c r="K19" s="59">
        <f t="shared" si="2"/>
        <v>5</v>
      </c>
      <c r="L19" s="52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6"/>
      <c r="I20" s="57">
        <f t="shared" si="1"/>
        <v>0</v>
      </c>
      <c r="J20" s="58"/>
      <c r="K20" s="59">
        <f t="shared" si="2"/>
        <v>5</v>
      </c>
      <c r="L20" s="52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6"/>
      <c r="I21" s="57">
        <f t="shared" si="1"/>
        <v>0</v>
      </c>
      <c r="J21" s="58"/>
      <c r="K21" s="59">
        <f t="shared" si="2"/>
        <v>5</v>
      </c>
      <c r="L21" s="52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6"/>
      <c r="I22" s="57">
        <f t="shared" si="1"/>
        <v>0</v>
      </c>
      <c r="J22" s="58"/>
      <c r="K22" s="59">
        <f t="shared" si="2"/>
        <v>5</v>
      </c>
      <c r="L22" s="52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6"/>
      <c r="I23" s="57">
        <f t="shared" si="1"/>
        <v>0</v>
      </c>
      <c r="J23" s="58"/>
      <c r="K23" s="59">
        <f t="shared" si="2"/>
        <v>5</v>
      </c>
      <c r="L23" s="52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6"/>
      <c r="F24" s="56"/>
      <c r="G24" s="55"/>
      <c r="H24" s="56"/>
      <c r="I24" s="57">
        <f t="shared" si="1"/>
        <v>0</v>
      </c>
      <c r="J24" s="58"/>
      <c r="K24" s="59">
        <f t="shared" si="2"/>
        <v>5</v>
      </c>
      <c r="L24" s="52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6"/>
      <c r="I25" s="57">
        <f t="shared" si="1"/>
        <v>0</v>
      </c>
      <c r="J25" s="58"/>
      <c r="K25" s="59">
        <f t="shared" si="2"/>
        <v>5</v>
      </c>
      <c r="L25" s="52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6"/>
      <c r="F26" s="56"/>
      <c r="G26" s="55"/>
      <c r="H26" s="56"/>
      <c r="I26" s="57">
        <f t="shared" si="1"/>
        <v>0</v>
      </c>
      <c r="J26" s="58"/>
      <c r="K26" s="59">
        <f t="shared" si="2"/>
        <v>5</v>
      </c>
      <c r="L26" s="52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52</v>
      </c>
      <c r="C27" s="53" t="s">
        <v>53</v>
      </c>
      <c r="D27" s="54" t="s">
        <v>54</v>
      </c>
      <c r="E27" s="55"/>
      <c r="F27" s="55"/>
      <c r="G27" s="55"/>
      <c r="H27" s="56"/>
      <c r="I27" s="57">
        <f t="shared" si="1"/>
        <v>0</v>
      </c>
      <c r="J27" s="58"/>
      <c r="K27" s="59">
        <f t="shared" si="2"/>
        <v>5</v>
      </c>
      <c r="L27" s="52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44</v>
      </c>
      <c r="C28" s="53" t="s">
        <v>55</v>
      </c>
      <c r="D28" s="54" t="s">
        <v>56</v>
      </c>
      <c r="E28" s="55"/>
      <c r="F28" s="55"/>
      <c r="G28" s="55"/>
      <c r="H28" s="56"/>
      <c r="I28" s="57">
        <f t="shared" si="1"/>
        <v>0</v>
      </c>
      <c r="J28" s="58"/>
      <c r="K28" s="59">
        <f t="shared" si="2"/>
        <v>5</v>
      </c>
      <c r="L28" s="52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57</v>
      </c>
      <c r="C29" s="53" t="s">
        <v>58</v>
      </c>
      <c r="D29" s="54" t="s">
        <v>59</v>
      </c>
      <c r="E29" s="55"/>
      <c r="F29" s="55"/>
      <c r="G29" s="55"/>
      <c r="H29" s="56"/>
      <c r="I29" s="57">
        <f t="shared" si="1"/>
        <v>0</v>
      </c>
      <c r="J29" s="58"/>
      <c r="K29" s="59">
        <f t="shared" si="2"/>
        <v>5</v>
      </c>
      <c r="L29" s="52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35</v>
      </c>
      <c r="C30" s="53" t="s">
        <v>60</v>
      </c>
      <c r="D30" s="54" t="s">
        <v>61</v>
      </c>
      <c r="E30" s="56"/>
      <c r="F30" s="56"/>
      <c r="G30" s="55"/>
      <c r="H30" s="56"/>
      <c r="I30" s="57">
        <f t="shared" si="1"/>
        <v>0</v>
      </c>
      <c r="J30" s="58"/>
      <c r="K30" s="59">
        <f t="shared" si="2"/>
        <v>5</v>
      </c>
      <c r="L30" s="52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62</v>
      </c>
      <c r="C31" s="53" t="s">
        <v>32</v>
      </c>
      <c r="D31" s="54" t="s">
        <v>63</v>
      </c>
      <c r="E31" s="56"/>
      <c r="F31" s="56"/>
      <c r="G31" s="55"/>
      <c r="H31" s="56"/>
      <c r="I31" s="57">
        <f t="shared" si="1"/>
        <v>0</v>
      </c>
      <c r="J31" s="58"/>
      <c r="K31" s="59">
        <f t="shared" si="2"/>
        <v>5</v>
      </c>
      <c r="L31" s="52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64</v>
      </c>
      <c r="C32" s="53" t="s">
        <v>65</v>
      </c>
      <c r="D32" s="54" t="s">
        <v>66</v>
      </c>
      <c r="E32" s="55"/>
      <c r="F32" s="55"/>
      <c r="G32" s="55"/>
      <c r="H32" s="56"/>
      <c r="I32" s="57">
        <f t="shared" si="1"/>
        <v>0</v>
      </c>
      <c r="J32" s="58"/>
      <c r="K32" s="59">
        <f t="shared" si="2"/>
        <v>5</v>
      </c>
      <c r="L32" s="52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67</v>
      </c>
      <c r="C33" s="53" t="s">
        <v>67</v>
      </c>
      <c r="D33" s="54" t="s">
        <v>68</v>
      </c>
      <c r="E33" s="55"/>
      <c r="F33" s="55"/>
      <c r="G33" s="55"/>
      <c r="H33" s="56"/>
      <c r="I33" s="57">
        <f t="shared" si="1"/>
        <v>0</v>
      </c>
      <c r="J33" s="58"/>
      <c r="K33" s="59">
        <f t="shared" si="2"/>
        <v>5</v>
      </c>
      <c r="L33" s="52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69</v>
      </c>
      <c r="C34" s="53" t="s">
        <v>67</v>
      </c>
      <c r="D34" s="54" t="s">
        <v>70</v>
      </c>
      <c r="E34" s="56"/>
      <c r="F34" s="56"/>
      <c r="G34" s="55"/>
      <c r="H34" s="56"/>
      <c r="I34" s="57">
        <f t="shared" si="1"/>
        <v>0</v>
      </c>
      <c r="J34" s="58"/>
      <c r="K34" s="59">
        <f t="shared" si="2"/>
        <v>5</v>
      </c>
      <c r="L34" s="52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69</v>
      </c>
      <c r="C35" s="53" t="s">
        <v>71</v>
      </c>
      <c r="D35" s="54" t="s">
        <v>72</v>
      </c>
      <c r="E35" s="55"/>
      <c r="F35" s="55"/>
      <c r="G35" s="55"/>
      <c r="H35" s="56"/>
      <c r="I35" s="57">
        <f t="shared" si="1"/>
        <v>0</v>
      </c>
      <c r="J35" s="58"/>
      <c r="K35" s="59">
        <f t="shared" si="2"/>
        <v>5</v>
      </c>
      <c r="L35" s="52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73</v>
      </c>
      <c r="C36" s="53" t="s">
        <v>38</v>
      </c>
      <c r="D36" s="54" t="s">
        <v>74</v>
      </c>
      <c r="E36" s="55"/>
      <c r="F36" s="55"/>
      <c r="G36" s="55"/>
      <c r="H36" s="56"/>
      <c r="I36" s="57">
        <f t="shared" si="1"/>
        <v>0</v>
      </c>
      <c r="J36" s="58"/>
      <c r="K36" s="59">
        <f t="shared" si="2"/>
        <v>5</v>
      </c>
      <c r="L36" s="52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75</v>
      </c>
      <c r="C37" s="53" t="s">
        <v>76</v>
      </c>
      <c r="D37" s="54" t="s">
        <v>77</v>
      </c>
      <c r="E37" s="56"/>
      <c r="F37" s="56"/>
      <c r="G37" s="55"/>
      <c r="H37" s="56"/>
      <c r="I37" s="57">
        <f t="shared" si="1"/>
        <v>0</v>
      </c>
      <c r="J37" s="58"/>
      <c r="K37" s="59">
        <f t="shared" si="2"/>
        <v>5</v>
      </c>
      <c r="L37" s="52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47</v>
      </c>
      <c r="C38" s="53" t="s">
        <v>62</v>
      </c>
      <c r="D38" s="54" t="s">
        <v>78</v>
      </c>
      <c r="E38" s="55"/>
      <c r="F38" s="55"/>
      <c r="G38" s="55"/>
      <c r="H38" s="56"/>
      <c r="I38" s="57">
        <f t="shared" si="1"/>
        <v>0</v>
      </c>
      <c r="J38" s="58"/>
      <c r="K38" s="59">
        <f t="shared" si="2"/>
        <v>5</v>
      </c>
      <c r="L38" s="52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79</v>
      </c>
      <c r="C39" s="53" t="s">
        <v>80</v>
      </c>
      <c r="D39" s="54" t="s">
        <v>81</v>
      </c>
      <c r="E39" s="55"/>
      <c r="F39" s="55"/>
      <c r="G39" s="55"/>
      <c r="H39" s="56"/>
      <c r="I39" s="57">
        <f t="shared" si="1"/>
        <v>0</v>
      </c>
      <c r="J39" s="58"/>
      <c r="K39" s="59">
        <f t="shared" si="2"/>
        <v>5</v>
      </c>
      <c r="L39" s="52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79</v>
      </c>
      <c r="C40" s="53" t="s">
        <v>82</v>
      </c>
      <c r="D40" s="54" t="s">
        <v>83</v>
      </c>
      <c r="E40" s="55"/>
      <c r="F40" s="55"/>
      <c r="G40" s="55"/>
      <c r="H40" s="56"/>
      <c r="I40" s="57">
        <f t="shared" si="1"/>
        <v>0</v>
      </c>
      <c r="J40" s="58"/>
      <c r="K40" s="59">
        <f t="shared" si="2"/>
        <v>5</v>
      </c>
      <c r="L40" s="52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32</v>
      </c>
      <c r="C41" s="53" t="s">
        <v>84</v>
      </c>
      <c r="D41" s="54" t="s">
        <v>85</v>
      </c>
      <c r="E41" s="55"/>
      <c r="F41" s="55"/>
      <c r="G41" s="55"/>
      <c r="H41" s="56"/>
      <c r="I41" s="57">
        <f t="shared" si="1"/>
        <v>0</v>
      </c>
      <c r="J41" s="58"/>
      <c r="K41" s="59">
        <f t="shared" si="2"/>
        <v>5</v>
      </c>
      <c r="L41" s="52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86</v>
      </c>
      <c r="C42" s="53" t="s">
        <v>62</v>
      </c>
      <c r="D42" s="54" t="s">
        <v>87</v>
      </c>
      <c r="E42" s="55"/>
      <c r="F42" s="55"/>
      <c r="G42" s="55"/>
      <c r="H42" s="56"/>
      <c r="I42" s="57">
        <f t="shared" si="1"/>
        <v>0</v>
      </c>
      <c r="J42" s="58"/>
      <c r="K42" s="59">
        <f t="shared" si="2"/>
        <v>5</v>
      </c>
      <c r="L42" s="52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88</v>
      </c>
      <c r="C43" s="53" t="s">
        <v>29</v>
      </c>
      <c r="D43" s="54" t="s">
        <v>89</v>
      </c>
      <c r="E43" s="55"/>
      <c r="F43" s="55"/>
      <c r="G43" s="55"/>
      <c r="H43" s="56"/>
      <c r="I43" s="57">
        <f t="shared" si="1"/>
        <v>0</v>
      </c>
      <c r="J43" s="58"/>
      <c r="K43" s="59">
        <f t="shared" si="2"/>
        <v>5</v>
      </c>
      <c r="L43" s="52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90</v>
      </c>
      <c r="C44" s="53" t="s">
        <v>91</v>
      </c>
      <c r="D44" s="54" t="s">
        <v>92</v>
      </c>
      <c r="E44" s="55"/>
      <c r="F44" s="55"/>
      <c r="G44" s="55"/>
      <c r="H44" s="56"/>
      <c r="I44" s="57">
        <f t="shared" si="1"/>
        <v>0</v>
      </c>
      <c r="J44" s="58"/>
      <c r="K44" s="59">
        <f t="shared" si="2"/>
        <v>5</v>
      </c>
      <c r="L44" s="52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93</v>
      </c>
      <c r="C45" s="53" t="s">
        <v>94</v>
      </c>
      <c r="D45" s="54" t="s">
        <v>95</v>
      </c>
      <c r="E45" s="55"/>
      <c r="F45" s="55"/>
      <c r="G45" s="55"/>
      <c r="H45" s="56"/>
      <c r="I45" s="57">
        <f t="shared" si="1"/>
        <v>0</v>
      </c>
      <c r="J45" s="58"/>
      <c r="K45" s="59">
        <f t="shared" si="2"/>
        <v>5</v>
      </c>
      <c r="L45" s="52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96</v>
      </c>
      <c r="C46" s="53" t="s">
        <v>97</v>
      </c>
      <c r="D46" s="54" t="s">
        <v>98</v>
      </c>
      <c r="E46" s="55"/>
      <c r="F46" s="55"/>
      <c r="G46" s="55"/>
      <c r="H46" s="56"/>
      <c r="I46" s="57">
        <f t="shared" si="1"/>
        <v>0</v>
      </c>
      <c r="J46" s="58"/>
      <c r="K46" s="59">
        <f t="shared" si="2"/>
        <v>5</v>
      </c>
      <c r="L46" s="52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99</v>
      </c>
      <c r="C47" s="53" t="s">
        <v>100</v>
      </c>
      <c r="D47" s="54" t="s">
        <v>101</v>
      </c>
      <c r="E47" s="55"/>
      <c r="F47" s="55"/>
      <c r="G47" s="55"/>
      <c r="H47" s="56"/>
      <c r="I47" s="57">
        <f t="shared" si="1"/>
        <v>0</v>
      </c>
      <c r="J47" s="58"/>
      <c r="K47" s="59">
        <f t="shared" si="2"/>
        <v>5</v>
      </c>
      <c r="L47" s="52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102</v>
      </c>
      <c r="C48" s="53" t="s">
        <v>103</v>
      </c>
      <c r="D48" s="54" t="s">
        <v>104</v>
      </c>
      <c r="E48" s="55"/>
      <c r="F48" s="55"/>
      <c r="G48" s="55"/>
      <c r="H48" s="56"/>
      <c r="I48" s="57">
        <f t="shared" si="1"/>
        <v>0</v>
      </c>
      <c r="J48" s="58"/>
      <c r="K48" s="59">
        <f t="shared" si="2"/>
        <v>5</v>
      </c>
      <c r="L48" s="52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105</v>
      </c>
      <c r="C49" s="53" t="s">
        <v>22</v>
      </c>
      <c r="D49" s="54" t="s">
        <v>106</v>
      </c>
      <c r="E49" s="55"/>
      <c r="F49" s="55"/>
      <c r="G49" s="55"/>
      <c r="H49" s="56"/>
      <c r="I49" s="57">
        <f t="shared" si="1"/>
        <v>0</v>
      </c>
      <c r="J49" s="58"/>
      <c r="K49" s="59">
        <f t="shared" si="2"/>
        <v>5</v>
      </c>
      <c r="L49" s="52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23</v>
      </c>
      <c r="C50" s="53" t="s">
        <v>107</v>
      </c>
      <c r="D50" s="54" t="s">
        <v>108</v>
      </c>
      <c r="E50" s="55"/>
      <c r="F50" s="55"/>
      <c r="G50" s="55"/>
      <c r="H50" s="56"/>
      <c r="I50" s="57">
        <f t="shared" si="1"/>
        <v>0</v>
      </c>
      <c r="J50" s="58"/>
      <c r="K50" s="59">
        <f t="shared" si="2"/>
        <v>5</v>
      </c>
      <c r="L50" s="52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23</v>
      </c>
      <c r="C51" s="53" t="s">
        <v>109</v>
      </c>
      <c r="D51" s="54" t="s">
        <v>110</v>
      </c>
      <c r="E51" s="55"/>
      <c r="F51" s="55"/>
      <c r="G51" s="55"/>
      <c r="H51" s="56"/>
      <c r="I51" s="57">
        <f t="shared" si="1"/>
        <v>0</v>
      </c>
      <c r="J51" s="58"/>
      <c r="K51" s="59">
        <f t="shared" si="2"/>
        <v>5</v>
      </c>
      <c r="L51" s="52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111</v>
      </c>
      <c r="C52" s="53" t="s">
        <v>62</v>
      </c>
      <c r="D52" s="54" t="s">
        <v>112</v>
      </c>
      <c r="E52" s="55"/>
      <c r="F52" s="55"/>
      <c r="G52" s="55"/>
      <c r="H52" s="56"/>
      <c r="I52" s="57">
        <f t="shared" si="1"/>
        <v>0</v>
      </c>
      <c r="J52" s="58"/>
      <c r="K52" s="59">
        <f t="shared" si="2"/>
        <v>5</v>
      </c>
      <c r="L52" s="52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111</v>
      </c>
      <c r="C53" s="53" t="s">
        <v>73</v>
      </c>
      <c r="D53" s="54" t="s">
        <v>113</v>
      </c>
      <c r="E53" s="55"/>
      <c r="F53" s="55"/>
      <c r="G53" s="55"/>
      <c r="H53" s="56"/>
      <c r="I53" s="57">
        <f t="shared" si="1"/>
        <v>0</v>
      </c>
      <c r="J53" s="58"/>
      <c r="K53" s="59">
        <f t="shared" si="2"/>
        <v>5</v>
      </c>
      <c r="L53" s="52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114</v>
      </c>
      <c r="C54" s="53" t="s">
        <v>69</v>
      </c>
      <c r="D54" s="54" t="s">
        <v>115</v>
      </c>
      <c r="E54" s="55"/>
      <c r="F54" s="55"/>
      <c r="G54" s="55"/>
      <c r="H54" s="56"/>
      <c r="I54" s="57">
        <f t="shared" si="1"/>
        <v>0</v>
      </c>
      <c r="J54" s="58"/>
      <c r="K54" s="59">
        <f t="shared" si="2"/>
        <v>5</v>
      </c>
      <c r="L54" s="52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116</v>
      </c>
      <c r="C55" s="53" t="s">
        <v>117</v>
      </c>
      <c r="D55" s="54" t="s">
        <v>118</v>
      </c>
      <c r="E55" s="55"/>
      <c r="F55" s="55"/>
      <c r="G55" s="55"/>
      <c r="H55" s="56"/>
      <c r="I55" s="57">
        <f t="shared" si="1"/>
        <v>0</v>
      </c>
      <c r="J55" s="62"/>
      <c r="K55" s="59">
        <f t="shared" si="2"/>
        <v>5</v>
      </c>
      <c r="L55" s="52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119</v>
      </c>
      <c r="C56" s="53" t="s">
        <v>120</v>
      </c>
      <c r="D56" s="54" t="s">
        <v>121</v>
      </c>
      <c r="E56" s="55"/>
      <c r="F56" s="55"/>
      <c r="G56" s="55"/>
      <c r="H56" s="56"/>
      <c r="I56" s="57">
        <f t="shared" si="1"/>
        <v>0</v>
      </c>
      <c r="J56" s="62"/>
      <c r="K56" s="59">
        <f t="shared" si="2"/>
        <v>5</v>
      </c>
      <c r="L56" s="52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122</v>
      </c>
      <c r="C57" s="53" t="s">
        <v>123</v>
      </c>
      <c r="D57" s="54" t="s">
        <v>124</v>
      </c>
      <c r="E57" s="55"/>
      <c r="F57" s="55"/>
      <c r="G57" s="55"/>
      <c r="H57" s="56"/>
      <c r="I57" s="57">
        <f t="shared" si="1"/>
        <v>0</v>
      </c>
      <c r="J57" s="62"/>
      <c r="K57" s="59">
        <f t="shared" si="2"/>
        <v>5</v>
      </c>
      <c r="L57" s="52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2">
        <v>42.0</v>
      </c>
      <c r="B58" s="53" t="s">
        <v>123</v>
      </c>
      <c r="C58" s="53" t="s">
        <v>90</v>
      </c>
      <c r="D58" s="54" t="s">
        <v>125</v>
      </c>
      <c r="E58" s="55"/>
      <c r="F58" s="55"/>
      <c r="G58" s="55"/>
      <c r="H58" s="56"/>
      <c r="I58" s="57">
        <f t="shared" si="1"/>
        <v>0</v>
      </c>
      <c r="J58" s="62"/>
      <c r="K58" s="59">
        <f t="shared" si="2"/>
        <v>5</v>
      </c>
      <c r="L58" s="52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2">
        <v>43.0</v>
      </c>
      <c r="B59" s="53" t="s">
        <v>97</v>
      </c>
      <c r="C59" s="53" t="s">
        <v>126</v>
      </c>
      <c r="D59" s="54" t="s">
        <v>127</v>
      </c>
      <c r="E59" s="55"/>
      <c r="F59" s="55"/>
      <c r="G59" s="55"/>
      <c r="H59" s="56"/>
      <c r="I59" s="57">
        <f t="shared" si="1"/>
        <v>0</v>
      </c>
      <c r="J59" s="62"/>
      <c r="K59" s="59">
        <f t="shared" si="2"/>
        <v>5</v>
      </c>
      <c r="L59" s="52"/>
      <c r="M59" s="60">
        <f t="shared" si="3"/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2">
        <v>44.0</v>
      </c>
      <c r="B60" s="53" t="s">
        <v>128</v>
      </c>
      <c r="C60" s="53" t="s">
        <v>124</v>
      </c>
      <c r="D60" s="54" t="s">
        <v>129</v>
      </c>
      <c r="E60" s="55"/>
      <c r="F60" s="55"/>
      <c r="G60" s="55"/>
      <c r="H60" s="56"/>
      <c r="I60" s="57">
        <f t="shared" si="1"/>
        <v>0</v>
      </c>
      <c r="J60" s="62"/>
      <c r="K60" s="59">
        <f t="shared" si="2"/>
        <v>5</v>
      </c>
      <c r="L60" s="52"/>
      <c r="M60" s="60">
        <f t="shared" si="3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2">
        <v>45.0</v>
      </c>
      <c r="B61" s="53" t="s">
        <v>130</v>
      </c>
      <c r="C61" s="53" t="s">
        <v>131</v>
      </c>
      <c r="D61" s="54" t="s">
        <v>132</v>
      </c>
      <c r="E61" s="55"/>
      <c r="F61" s="55"/>
      <c r="G61" s="55"/>
      <c r="H61" s="56"/>
      <c r="I61" s="57">
        <f t="shared" si="1"/>
        <v>0</v>
      </c>
      <c r="J61" s="62"/>
      <c r="K61" s="59">
        <f t="shared" si="2"/>
        <v>5</v>
      </c>
      <c r="L61" s="52"/>
      <c r="M61" s="60">
        <f t="shared" si="3"/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75" customHeight="1">
      <c r="A62" s="52">
        <v>46.0</v>
      </c>
      <c r="B62" s="53" t="s">
        <v>133</v>
      </c>
      <c r="C62" s="53" t="s">
        <v>67</v>
      </c>
      <c r="D62" s="54" t="s">
        <v>134</v>
      </c>
      <c r="E62" s="55"/>
      <c r="F62" s="55"/>
      <c r="G62" s="55"/>
      <c r="H62" s="56"/>
      <c r="I62" s="57">
        <f t="shared" si="1"/>
        <v>0</v>
      </c>
      <c r="J62" s="62"/>
      <c r="K62" s="59">
        <f t="shared" si="2"/>
        <v>5</v>
      </c>
      <c r="L62" s="52"/>
      <c r="M62" s="60">
        <f t="shared" si="3"/>
        <v>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75" customHeight="1">
      <c r="A63" s="52">
        <v>47.0</v>
      </c>
      <c r="B63" s="53" t="s">
        <v>135</v>
      </c>
      <c r="C63" s="53" t="s">
        <v>136</v>
      </c>
      <c r="D63" s="54" t="s">
        <v>137</v>
      </c>
      <c r="E63" s="55"/>
      <c r="F63" s="55"/>
      <c r="G63" s="55"/>
      <c r="H63" s="56"/>
      <c r="I63" s="57">
        <f t="shared" si="1"/>
        <v>0</v>
      </c>
      <c r="J63" s="62"/>
      <c r="K63" s="59">
        <f t="shared" si="2"/>
        <v>5</v>
      </c>
      <c r="L63" s="52"/>
      <c r="M63" s="60">
        <f t="shared" si="3"/>
        <v>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75" customHeight="1">
      <c r="A64" s="52">
        <v>48.0</v>
      </c>
      <c r="B64" s="53" t="s">
        <v>138</v>
      </c>
      <c r="C64" s="53" t="s">
        <v>67</v>
      </c>
      <c r="D64" s="54" t="s">
        <v>139</v>
      </c>
      <c r="E64" s="55"/>
      <c r="F64" s="55"/>
      <c r="G64" s="55"/>
      <c r="H64" s="56"/>
      <c r="I64" s="57">
        <f t="shared" si="1"/>
        <v>0</v>
      </c>
      <c r="J64" s="62"/>
      <c r="K64" s="59">
        <f t="shared" si="2"/>
        <v>5</v>
      </c>
      <c r="L64" s="52"/>
      <c r="M64" s="60">
        <f t="shared" si="3"/>
        <v>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6"/>
      <c r="B65" s="63"/>
      <c r="C65" s="63"/>
      <c r="D65" s="63"/>
      <c r="E65" s="64"/>
      <c r="F65" s="64"/>
      <c r="G65" s="63"/>
      <c r="H65" s="63"/>
      <c r="I65" s="63"/>
      <c r="J65" s="63"/>
      <c r="K65" s="1"/>
      <c r="L65" s="8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65" t="s">
        <v>140</v>
      </c>
      <c r="C66" s="66"/>
      <c r="D66" s="67">
        <f>COUNT(A17:A64)</f>
        <v>48</v>
      </c>
      <c r="E66" s="63"/>
      <c r="F66" s="63"/>
      <c r="G66" s="68" t="s">
        <v>141</v>
      </c>
      <c r="H66" s="68"/>
      <c r="I66" s="68" t="s">
        <v>142</v>
      </c>
      <c r="K66" s="69" t="s">
        <v>143</v>
      </c>
      <c r="L66" s="70" t="s">
        <v>144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B67" s="71" t="s">
        <v>145</v>
      </c>
      <c r="C67" s="72"/>
      <c r="D67" s="73">
        <f>COUNTIF(K17:K64,"BAJA")</f>
        <v>0</v>
      </c>
      <c r="E67" s="63"/>
      <c r="F67" s="63"/>
      <c r="H67" s="68"/>
      <c r="L67" s="10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B68" s="71" t="s">
        <v>146</v>
      </c>
      <c r="C68" s="72"/>
      <c r="D68" s="74">
        <f>D66-D67</f>
        <v>48</v>
      </c>
      <c r="E68" s="63"/>
      <c r="F68" s="63"/>
      <c r="G68" s="75"/>
      <c r="H68" s="76"/>
      <c r="I68" s="75"/>
      <c r="J68" s="75"/>
      <c r="K68" s="77"/>
      <c r="L68" s="7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B69" s="71" t="s">
        <v>147</v>
      </c>
      <c r="C69" s="72"/>
      <c r="D69" s="79">
        <f>COUNTIF(K17:K64,"&gt;=6")</f>
        <v>0</v>
      </c>
      <c r="E69" s="63"/>
      <c r="F69" s="63"/>
      <c r="G69" s="75"/>
      <c r="H69" s="76"/>
      <c r="I69" s="75"/>
      <c r="J69" s="75"/>
      <c r="K69" s="77"/>
      <c r="L69" s="78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B70" s="71" t="s">
        <v>148</v>
      </c>
      <c r="C70" s="72"/>
      <c r="D70" s="79">
        <f>D68-D69</f>
        <v>48</v>
      </c>
      <c r="E70" s="63"/>
      <c r="F70" s="63"/>
      <c r="G70" s="80"/>
      <c r="H70" s="76"/>
      <c r="I70" s="80"/>
      <c r="J70" s="80"/>
      <c r="K70" s="81"/>
      <c r="L70" s="8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B71" s="71" t="s">
        <v>149</v>
      </c>
      <c r="C71" s="72"/>
      <c r="D71" s="83">
        <f>D69*100/D68</f>
        <v>0</v>
      </c>
      <c r="E71" s="63"/>
      <c r="F71" s="63"/>
      <c r="G71" s="84" t="s">
        <v>150</v>
      </c>
      <c r="H71" s="85"/>
      <c r="I71" s="86" t="s">
        <v>151</v>
      </c>
      <c r="K71" s="86" t="s">
        <v>152</v>
      </c>
      <c r="L71" s="87" t="s">
        <v>153</v>
      </c>
      <c r="M71" s="88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B72" s="89" t="s">
        <v>154</v>
      </c>
      <c r="C72" s="90"/>
      <c r="D72" s="91">
        <f>AVERAGE(K17:K64)</f>
        <v>5</v>
      </c>
      <c r="E72" s="63"/>
      <c r="F72" s="63"/>
      <c r="H72" s="85"/>
      <c r="L72" s="1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6"/>
      <c r="B73" s="1"/>
      <c r="C73" s="1"/>
      <c r="D73" s="1"/>
      <c r="E73" s="1"/>
      <c r="F73" s="1"/>
      <c r="G73" s="1"/>
      <c r="H73" s="1"/>
      <c r="I73" s="1"/>
      <c r="J73" s="1"/>
      <c r="K73" s="1"/>
      <c r="L73" s="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92"/>
      <c r="B74" s="93"/>
      <c r="C74" s="94"/>
      <c r="D74" s="94"/>
      <c r="E74" s="63"/>
      <c r="H74" s="7"/>
      <c r="I74" s="7"/>
      <c r="J74" s="7"/>
      <c r="K74" s="7"/>
      <c r="L74" s="95"/>
      <c r="M74" s="9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97"/>
      <c r="B75" s="63"/>
      <c r="C75" s="63"/>
      <c r="D75" s="63"/>
      <c r="E75" s="7"/>
      <c r="F75" s="7"/>
      <c r="G75" s="1"/>
      <c r="H75" s="1"/>
      <c r="I75" s="1"/>
      <c r="J75" s="1"/>
      <c r="K75" s="1"/>
      <c r="L75" s="8"/>
      <c r="M75" s="98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97"/>
      <c r="B76" s="63"/>
      <c r="C76" s="63"/>
      <c r="D76" s="63"/>
      <c r="E76" s="7"/>
      <c r="F76" s="7"/>
      <c r="G76" s="1"/>
      <c r="H76" s="1"/>
      <c r="I76" s="1"/>
      <c r="J76" s="1"/>
      <c r="K76" s="1"/>
      <c r="L76" s="8"/>
      <c r="M76" s="98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99"/>
      <c r="B77" s="100"/>
      <c r="C77" s="100"/>
      <c r="D77" s="100"/>
      <c r="E77" s="101"/>
      <c r="F77" s="101"/>
      <c r="G77" s="102"/>
      <c r="H77" s="102"/>
      <c r="I77" s="102"/>
      <c r="J77" s="102"/>
      <c r="K77" s="102"/>
      <c r="L77" s="103"/>
      <c r="M77" s="98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4"/>
      <c r="C78" s="104"/>
      <c r="D78" s="104"/>
      <c r="E78" s="104"/>
      <c r="F78" s="104"/>
      <c r="G78" s="1"/>
      <c r="H78" s="1"/>
      <c r="I78" s="1"/>
      <c r="J78" s="1"/>
      <c r="K78" s="105"/>
      <c r="L78" s="105"/>
      <c r="M78" s="10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4"/>
      <c r="C79" s="104"/>
      <c r="D79" s="104"/>
      <c r="E79" s="104"/>
      <c r="F79" s="104"/>
      <c r="G79" s="1"/>
      <c r="H79" s="1"/>
      <c r="I79" s="1"/>
      <c r="J79" s="1"/>
      <c r="K79" s="105"/>
      <c r="L79" s="105"/>
      <c r="M79" s="10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4"/>
      <c r="C80" s="104"/>
      <c r="D80" s="104"/>
      <c r="E80" s="104"/>
      <c r="F80" s="104"/>
      <c r="G80" s="1"/>
      <c r="H80" s="1"/>
      <c r="I80" s="1"/>
      <c r="J80" s="1"/>
      <c r="K80" s="105"/>
      <c r="L80" s="105"/>
      <c r="M80" s="10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4"/>
      <c r="C81" s="104"/>
      <c r="D81" s="104"/>
      <c r="E81" s="104"/>
      <c r="F81" s="104"/>
      <c r="G81" s="1"/>
      <c r="H81" s="1"/>
      <c r="I81" s="1"/>
      <c r="J81" s="1"/>
      <c r="K81" s="105"/>
      <c r="L81" s="105"/>
      <c r="M81" s="105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4"/>
      <c r="C82" s="104"/>
      <c r="D82" s="104"/>
      <c r="E82" s="104"/>
      <c r="F82" s="10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4"/>
      <c r="C83" s="104"/>
      <c r="D83" s="104"/>
      <c r="E83" s="104"/>
      <c r="F83" s="104"/>
      <c r="G83" s="1"/>
      <c r="H83" s="1"/>
      <c r="I83" s="1"/>
      <c r="J83" s="1"/>
      <c r="K83" s="1"/>
      <c r="L83" s="106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04"/>
      <c r="C84" s="104"/>
      <c r="D84" s="104"/>
      <c r="E84" s="104"/>
      <c r="F84" s="10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04"/>
      <c r="C85" s="104"/>
      <c r="D85" s="104"/>
      <c r="E85" s="104"/>
      <c r="F85" s="10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04"/>
      <c r="C86" s="104"/>
      <c r="D86" s="104"/>
      <c r="E86" s="104"/>
      <c r="F86" s="10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04"/>
      <c r="C87" s="104"/>
      <c r="D87" s="104"/>
      <c r="E87" s="104"/>
      <c r="F87" s="10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04"/>
      <c r="C88" s="104"/>
      <c r="D88" s="104"/>
      <c r="E88" s="104"/>
      <c r="F88" s="10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04"/>
      <c r="C89" s="104"/>
      <c r="D89" s="104"/>
      <c r="E89" s="104"/>
      <c r="F89" s="10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29">
    <mergeCell ref="F14:F15"/>
    <mergeCell ref="G14:G15"/>
    <mergeCell ref="G66:G67"/>
    <mergeCell ref="I66:J67"/>
    <mergeCell ref="K66:K67"/>
    <mergeCell ref="L66:L67"/>
    <mergeCell ref="A9:L9"/>
    <mergeCell ref="E10:L10"/>
    <mergeCell ref="A13:B13"/>
    <mergeCell ref="C13:D13"/>
    <mergeCell ref="H13:H15"/>
    <mergeCell ref="I13:I14"/>
    <mergeCell ref="J13:L14"/>
    <mergeCell ref="J15:L15"/>
    <mergeCell ref="B70:C70"/>
    <mergeCell ref="B71:C71"/>
    <mergeCell ref="G71:G72"/>
    <mergeCell ref="I71:J72"/>
    <mergeCell ref="K71:K72"/>
    <mergeCell ref="L71:L72"/>
    <mergeCell ref="B72:C72"/>
    <mergeCell ref="E74:G74"/>
    <mergeCell ref="B14:D14"/>
    <mergeCell ref="E14:E15"/>
    <mergeCell ref="B16:D16"/>
    <mergeCell ref="B66:C66"/>
    <mergeCell ref="B67:C67"/>
    <mergeCell ref="B68:C68"/>
    <mergeCell ref="B69:C69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4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