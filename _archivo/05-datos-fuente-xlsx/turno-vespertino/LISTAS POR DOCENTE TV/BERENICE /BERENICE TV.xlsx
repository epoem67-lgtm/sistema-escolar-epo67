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pensamiento filosofico y hu" sheetId="1" r:id="rId5"/>
  </sheets>
  <definedNames/>
  <calcPr/>
</workbook>
</file>

<file path=xl/sharedStrings.xml><?xml version="1.0" encoding="utf-8"?>
<sst xmlns="http://schemas.openxmlformats.org/spreadsheetml/2006/main" count="172" uniqueCount="150">
  <si>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</si>
  <si>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</si>
  <si>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</si>
  <si>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</si>
  <si>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</si>
  <si>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</si>
  <si>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</si>
  <si>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</si>
  <si>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</si>
  <si>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PENSAMIENTO FILOSÓFICO Y HUMANIDADES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</si>
  <si>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</si>
  <si>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</si>
  <si>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</si>
  <si>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</si>
  <si>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</si>
  <si>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</si>
  <si>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</si>
  <si>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</si>
  <si>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</si>
  <si>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</si>
  <si>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</si>
  <si>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</si>
  <si>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AMBROSIO</t>
  </si>
  <si>
    <t>RAMIREZ</t>
  </si>
  <si>
    <t>LUIS ENRIQUE</t>
  </si>
  <si>
    <t>HORAS IMPARTIDAS</t>
  </si>
  <si>
    <t>CARRANZA</t>
  </si>
  <si>
    <t>SOTO</t>
  </si>
  <si>
    <t>MELANY GERALDINE</t>
  </si>
  <si>
    <t>Febrero</t>
  </si>
  <si>
    <t>CASTILLO</t>
  </si>
  <si>
    <t>TINAJERO</t>
  </si>
  <si>
    <t>IAN JAEL</t>
  </si>
  <si>
    <t>Marzo</t>
  </si>
  <si>
    <t>CHAVEZ</t>
  </si>
  <si>
    <t>CARDENAS</t>
  </si>
  <si>
    <t>MARIO YAEL</t>
  </si>
  <si>
    <t>Abril</t>
  </si>
  <si>
    <t>TENORIO</t>
  </si>
  <si>
    <t>LIA REGINA</t>
  </si>
  <si>
    <t>Mayo</t>
  </si>
  <si>
    <t xml:space="preserve">ESCOBAR </t>
  </si>
  <si>
    <t>CORTES</t>
  </si>
  <si>
    <t>CRISTIAN</t>
  </si>
  <si>
    <t>Junio</t>
  </si>
  <si>
    <t>ESPINOSA</t>
  </si>
  <si>
    <t>ALBA</t>
  </si>
  <si>
    <t>SEBASTIAN</t>
  </si>
  <si>
    <t>Julio</t>
  </si>
  <si>
    <t>ESQUIVEL</t>
  </si>
  <si>
    <t>VAZQUEZ</t>
  </si>
  <si>
    <t>EDER OMAR</t>
  </si>
  <si>
    <t>TOTAL</t>
  </si>
  <si>
    <t xml:space="preserve">FRANCO </t>
  </si>
  <si>
    <t>SANTILLAN</t>
  </si>
  <si>
    <t>MELANI VANESSA</t>
  </si>
  <si>
    <t>GARCIA</t>
  </si>
  <si>
    <t>SARAHI</t>
  </si>
  <si>
    <t>HERNANDEZ</t>
  </si>
  <si>
    <t>JOSE DAMIAN</t>
  </si>
  <si>
    <t>LOZANO</t>
  </si>
  <si>
    <t>SHARON ALEXA</t>
  </si>
  <si>
    <t>GONZALEZ</t>
  </si>
  <si>
    <t>LARA</t>
  </si>
  <si>
    <t>ARELY SAMANTHA</t>
  </si>
  <si>
    <t>REYNA</t>
  </si>
  <si>
    <t>MEGAN ALEXA</t>
  </si>
  <si>
    <t>MIRANDA</t>
  </si>
  <si>
    <t>EMILIANO</t>
  </si>
  <si>
    <t>HORTA</t>
  </si>
  <si>
    <t>PEREZ</t>
  </si>
  <si>
    <t>EINAR HAZEL</t>
  </si>
  <si>
    <t>JASSO</t>
  </si>
  <si>
    <t>CARDOSO</t>
  </si>
  <si>
    <t>WENDY FRIDA</t>
  </si>
  <si>
    <t>LEAL</t>
  </si>
  <si>
    <t>MORA</t>
  </si>
  <si>
    <t>EMILIANO KALEB</t>
  </si>
  <si>
    <t>LOPEZ</t>
  </si>
  <si>
    <t>LOMELI</t>
  </si>
  <si>
    <t>SAYURI NAYELI</t>
  </si>
  <si>
    <t>LOYOLA</t>
  </si>
  <si>
    <t>ELSA ELOISA</t>
  </si>
  <si>
    <t>MARTINEZ</t>
  </si>
  <si>
    <t>SANCHEZ</t>
  </si>
  <si>
    <t>JOSS ANTONIO</t>
  </si>
  <si>
    <t>MAYA</t>
  </si>
  <si>
    <t>YARAZET</t>
  </si>
  <si>
    <t>MEJIA</t>
  </si>
  <si>
    <t>CRUZ</t>
  </si>
  <si>
    <t>ZOE XANAT</t>
  </si>
  <si>
    <t>MIRON</t>
  </si>
  <si>
    <t>JIMENEZ</t>
  </si>
  <si>
    <t>IAN ALEXANDRE</t>
  </si>
  <si>
    <t>NAVARRO</t>
  </si>
  <si>
    <t>ALCALA</t>
  </si>
  <si>
    <t>DALI MARIDSHI</t>
  </si>
  <si>
    <t>ORIZABA</t>
  </si>
  <si>
    <t>ESPINOZA</t>
  </si>
  <si>
    <t>IRIS LUCIA</t>
  </si>
  <si>
    <t>OSNAYA</t>
  </si>
  <si>
    <t>GUERRERO</t>
  </si>
  <si>
    <t>BRITANY SAMIRA</t>
  </si>
  <si>
    <t>ALONSO</t>
  </si>
  <si>
    <t>GOMEZ</t>
  </si>
  <si>
    <t>FATIMA JUDIT</t>
  </si>
  <si>
    <t>VALLEJO</t>
  </si>
  <si>
    <t>XIMENA</t>
  </si>
  <si>
    <t>PRADO</t>
  </si>
  <si>
    <t>YOLTZIN XQUENDA</t>
  </si>
  <si>
    <t>RABADAN</t>
  </si>
  <si>
    <t>PONCE</t>
  </si>
  <si>
    <t>AXEL SAID</t>
  </si>
  <si>
    <t>RIOS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</si>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</sst>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209550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285750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4.0</v>
      </c>
      <c r="F17" s="47">
        <v>2.4</v>
      </c>
      <c r="G17" s="47">
        <v>1.6</v>
      </c>
      <c r="H17" s="48"/>
      <c r="I17" s="48">
        <f t="shared" ref="I17:I58" si="1">SUM(E17:H17)</f>
        <v>8</v>
      </c>
      <c r="J17" s="49">
        <v>0.0</v>
      </c>
      <c r="K17" s="50">
        <f t="shared" ref="K17:K58" si="2">IF(I17&lt;6, 5, MIN(10, ROUND(I17, 0)))</f>
        <v>8</v>
      </c>
      <c r="L17" s="45"/>
      <c r="M17" s="51">
        <f t="shared" ref="M17:M58" si="3">IF(I17&gt;=6,ROUND(I17,0),TRUNC(I17,0))</f>
        <v>8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3.0</v>
      </c>
      <c r="F18" s="47">
        <v>2.7</v>
      </c>
      <c r="G18" s="47">
        <v>2.0</v>
      </c>
      <c r="H18" s="48"/>
      <c r="I18" s="48">
        <f t="shared" si="1"/>
        <v>7.7</v>
      </c>
      <c r="J18" s="49">
        <v>0.0</v>
      </c>
      <c r="K18" s="50">
        <f t="shared" si="2"/>
        <v>8</v>
      </c>
      <c r="L18" s="44"/>
      <c r="M18" s="51">
        <f t="shared" si="3"/>
        <v>8</v>
      </c>
      <c r="N18" s="53" t="s">
        <v>29</v>
      </c>
      <c r="O18" s="49">
        <v>9.0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5.0</v>
      </c>
      <c r="F19" s="47">
        <v>1.0</v>
      </c>
      <c r="G19" s="47">
        <v>1.6</v>
      </c>
      <c r="H19" s="48"/>
      <c r="I19" s="48">
        <f t="shared" si="1"/>
        <v>7.6</v>
      </c>
      <c r="J19" s="49">
        <v>2.0</v>
      </c>
      <c r="K19" s="50">
        <f t="shared" si="2"/>
        <v>8</v>
      </c>
      <c r="L19" s="44"/>
      <c r="M19" s="51">
        <f t="shared" si="3"/>
        <v>8</v>
      </c>
      <c r="N19" s="53" t="s">
        <v>33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36</v>
      </c>
      <c r="E20" s="47">
        <v>3.0</v>
      </c>
      <c r="F20" s="47">
        <v>2.4</v>
      </c>
      <c r="G20" s="47">
        <v>1.6</v>
      </c>
      <c r="H20" s="48"/>
      <c r="I20" s="48">
        <f t="shared" si="1"/>
        <v>7</v>
      </c>
      <c r="J20" s="49">
        <v>3.0</v>
      </c>
      <c r="K20" s="50">
        <f t="shared" si="2"/>
        <v>7</v>
      </c>
      <c r="L20" s="44"/>
      <c r="M20" s="51">
        <f t="shared" si="3"/>
        <v>7</v>
      </c>
      <c r="N20" s="53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34</v>
      </c>
      <c r="C21" s="45" t="s">
        <v>38</v>
      </c>
      <c r="D21" s="46" t="s">
        <v>39</v>
      </c>
      <c r="E21" s="47">
        <v>5.0</v>
      </c>
      <c r="F21" s="47">
        <v>2.5</v>
      </c>
      <c r="G21" s="47">
        <v>2.0</v>
      </c>
      <c r="H21" s="48"/>
      <c r="I21" s="48">
        <f t="shared" si="1"/>
        <v>9.5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41</v>
      </c>
      <c r="C22" s="45" t="s">
        <v>42</v>
      </c>
      <c r="D22" s="46" t="s">
        <v>43</v>
      </c>
      <c r="E22" s="47">
        <v>5.0</v>
      </c>
      <c r="F22" s="47">
        <v>1.8</v>
      </c>
      <c r="G22" s="47">
        <v>1.8</v>
      </c>
      <c r="H22" s="48"/>
      <c r="I22" s="48">
        <f t="shared" si="1"/>
        <v>8.6</v>
      </c>
      <c r="J22" s="49">
        <v>0.0</v>
      </c>
      <c r="K22" s="50">
        <f t="shared" si="2"/>
        <v>9</v>
      </c>
      <c r="L22" s="44"/>
      <c r="M22" s="51">
        <f t="shared" si="3"/>
        <v>9</v>
      </c>
      <c r="N22" s="53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2.0</v>
      </c>
      <c r="F23" s="48"/>
      <c r="G23" s="48"/>
      <c r="H23" s="48"/>
      <c r="I23" s="48">
        <f t="shared" si="1"/>
        <v>2</v>
      </c>
      <c r="J23" s="49">
        <v>1.0</v>
      </c>
      <c r="K23" s="50">
        <f t="shared" si="2"/>
        <v>5</v>
      </c>
      <c r="L23" s="44"/>
      <c r="M23" s="51">
        <f t="shared" si="3"/>
        <v>2</v>
      </c>
      <c r="N23" s="53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2.0</v>
      </c>
      <c r="F24" s="47">
        <v>1.2</v>
      </c>
      <c r="G24" s="48"/>
      <c r="H24" s="48"/>
      <c r="I24" s="48">
        <f t="shared" si="1"/>
        <v>3.2</v>
      </c>
      <c r="J24" s="49">
        <v>2.0</v>
      </c>
      <c r="K24" s="50">
        <f t="shared" si="2"/>
        <v>5</v>
      </c>
      <c r="L24" s="44"/>
      <c r="M24" s="51">
        <f t="shared" si="3"/>
        <v>3</v>
      </c>
      <c r="N24" s="53" t="s">
        <v>52</v>
      </c>
      <c r="O24" s="53">
        <f>SUM(O18:O23)</f>
        <v>21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47">
        <v>4.0</v>
      </c>
      <c r="F25" s="47">
        <v>2.7</v>
      </c>
      <c r="G25" s="47">
        <v>2.0</v>
      </c>
      <c r="H25" s="48"/>
      <c r="I25" s="48">
        <f t="shared" si="1"/>
        <v>8.7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47">
        <v>4.0</v>
      </c>
      <c r="F26" s="47">
        <v>2.1</v>
      </c>
      <c r="G26" s="47">
        <v>2.0</v>
      </c>
      <c r="H26" s="48"/>
      <c r="I26" s="48">
        <f t="shared" si="1"/>
        <v>8.1</v>
      </c>
      <c r="J26" s="49">
        <v>1.0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56</v>
      </c>
      <c r="C27" s="45" t="s">
        <v>58</v>
      </c>
      <c r="D27" s="45" t="s">
        <v>59</v>
      </c>
      <c r="E27" s="47">
        <v>3.0</v>
      </c>
      <c r="F27" s="47">
        <v>1.8</v>
      </c>
      <c r="G27" s="47">
        <v>2.0</v>
      </c>
      <c r="H27" s="47">
        <v>1.0</v>
      </c>
      <c r="I27" s="48">
        <f t="shared" si="1"/>
        <v>7.8</v>
      </c>
      <c r="J27" s="49">
        <v>0.0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56</v>
      </c>
      <c r="C28" s="45" t="s">
        <v>60</v>
      </c>
      <c r="D28" s="46" t="s">
        <v>61</v>
      </c>
      <c r="E28" s="47">
        <v>4.0</v>
      </c>
      <c r="F28" s="47">
        <v>2.7</v>
      </c>
      <c r="G28" s="47">
        <v>2.0</v>
      </c>
      <c r="H28" s="48"/>
      <c r="I28" s="48">
        <f t="shared" si="1"/>
        <v>8.7</v>
      </c>
      <c r="J28" s="49">
        <v>0.0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63</v>
      </c>
      <c r="D29" s="46" t="s">
        <v>64</v>
      </c>
      <c r="E29" s="47">
        <v>4.0</v>
      </c>
      <c r="F29" s="47">
        <v>2.4</v>
      </c>
      <c r="G29" s="47">
        <v>1.8</v>
      </c>
      <c r="H29" s="48"/>
      <c r="I29" s="48">
        <f t="shared" si="1"/>
        <v>8.2</v>
      </c>
      <c r="J29" s="49">
        <v>0.0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62</v>
      </c>
      <c r="C30" s="45" t="s">
        <v>65</v>
      </c>
      <c r="D30" s="46" t="s">
        <v>66</v>
      </c>
      <c r="E30" s="47">
        <v>3.0</v>
      </c>
      <c r="F30" s="47">
        <v>2.1</v>
      </c>
      <c r="G30" s="47">
        <v>1.8</v>
      </c>
      <c r="H30" s="48"/>
      <c r="I30" s="48">
        <f t="shared" si="1"/>
        <v>6.9</v>
      </c>
      <c r="J30" s="49">
        <v>2.0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58</v>
      </c>
      <c r="C31" s="45" t="s">
        <v>67</v>
      </c>
      <c r="D31" s="46" t="s">
        <v>68</v>
      </c>
      <c r="E31" s="47">
        <v>4.0</v>
      </c>
      <c r="F31" s="47">
        <v>2.7</v>
      </c>
      <c r="G31" s="47">
        <v>2.0</v>
      </c>
      <c r="H31" s="48"/>
      <c r="I31" s="48">
        <f t="shared" si="1"/>
        <v>8.7</v>
      </c>
      <c r="J31" s="49">
        <v>0.0</v>
      </c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69</v>
      </c>
      <c r="C32" s="45" t="s">
        <v>70</v>
      </c>
      <c r="D32" s="46" t="s">
        <v>71</v>
      </c>
      <c r="E32" s="47">
        <v>5.0</v>
      </c>
      <c r="F32" s="47">
        <v>2.5</v>
      </c>
      <c r="G32" s="47">
        <v>2.0</v>
      </c>
      <c r="H32" s="48"/>
      <c r="I32" s="48">
        <f t="shared" si="1"/>
        <v>9.5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73</v>
      </c>
      <c r="D33" s="46" t="s">
        <v>74</v>
      </c>
      <c r="E33" s="47">
        <v>5.0</v>
      </c>
      <c r="F33" s="47">
        <v>1.8</v>
      </c>
      <c r="G33" s="47">
        <v>2.0</v>
      </c>
      <c r="H33" s="48"/>
      <c r="I33" s="48">
        <f t="shared" si="1"/>
        <v>8.8</v>
      </c>
      <c r="J33" s="49">
        <v>1.0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75</v>
      </c>
      <c r="C34" s="45" t="s">
        <v>76</v>
      </c>
      <c r="D34" s="46" t="s">
        <v>77</v>
      </c>
      <c r="E34" s="47">
        <v>1.0</v>
      </c>
      <c r="F34" s="47">
        <v>1.8</v>
      </c>
      <c r="G34" s="48"/>
      <c r="H34" s="48"/>
      <c r="I34" s="48">
        <f t="shared" si="1"/>
        <v>2.8</v>
      </c>
      <c r="J34" s="49">
        <v>4.0</v>
      </c>
      <c r="K34" s="50">
        <f t="shared" si="2"/>
        <v>5</v>
      </c>
      <c r="L34" s="44"/>
      <c r="M34" s="51">
        <f t="shared" si="3"/>
        <v>2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78</v>
      </c>
      <c r="C35" s="45" t="s">
        <v>79</v>
      </c>
      <c r="D35" s="46" t="s">
        <v>80</v>
      </c>
      <c r="E35" s="47">
        <v>4.0</v>
      </c>
      <c r="F35" s="47">
        <v>1.2</v>
      </c>
      <c r="G35" s="47">
        <v>2.0</v>
      </c>
      <c r="H35" s="48"/>
      <c r="I35" s="48">
        <f t="shared" si="1"/>
        <v>7.2</v>
      </c>
      <c r="J35" s="49">
        <v>0.0</v>
      </c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78</v>
      </c>
      <c r="D36" s="46" t="s">
        <v>82</v>
      </c>
      <c r="E36" s="47">
        <v>4.0</v>
      </c>
      <c r="F36" s="47">
        <v>2.1</v>
      </c>
      <c r="G36" s="47">
        <v>2.0</v>
      </c>
      <c r="H36" s="47">
        <v>1.0</v>
      </c>
      <c r="I36" s="48">
        <f t="shared" si="1"/>
        <v>9.1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47">
        <v>4.0</v>
      </c>
      <c r="F37" s="47">
        <v>1.2</v>
      </c>
      <c r="G37" s="47">
        <v>1.6</v>
      </c>
      <c r="H37" s="48"/>
      <c r="I37" s="48">
        <f t="shared" si="1"/>
        <v>6.8</v>
      </c>
      <c r="J37" s="49">
        <v>1.0</v>
      </c>
      <c r="K37" s="50">
        <f t="shared" si="2"/>
        <v>7</v>
      </c>
      <c r="L37" s="44"/>
      <c r="M37" s="51">
        <f t="shared" si="3"/>
        <v>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58</v>
      </c>
      <c r="D38" s="46" t="s">
        <v>87</v>
      </c>
      <c r="E38" s="47">
        <v>5.0</v>
      </c>
      <c r="F38" s="47">
        <v>2.4</v>
      </c>
      <c r="G38" s="47">
        <v>1.6</v>
      </c>
      <c r="H38" s="48"/>
      <c r="I38" s="48">
        <f t="shared" si="1"/>
        <v>9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89</v>
      </c>
      <c r="D39" s="46" t="s">
        <v>90</v>
      </c>
      <c r="E39" s="47">
        <v>4.0</v>
      </c>
      <c r="F39" s="47">
        <v>3.0</v>
      </c>
      <c r="G39" s="47">
        <v>2.0</v>
      </c>
      <c r="H39" s="48"/>
      <c r="I39" s="48">
        <f t="shared" si="1"/>
        <v>9</v>
      </c>
      <c r="J39" s="49">
        <v>0.0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91</v>
      </c>
      <c r="C40" s="45" t="s">
        <v>92</v>
      </c>
      <c r="D40" s="46" t="s">
        <v>93</v>
      </c>
      <c r="E40" s="47">
        <v>5.0</v>
      </c>
      <c r="F40" s="47">
        <v>1.8</v>
      </c>
      <c r="G40" s="47">
        <v>1.4</v>
      </c>
      <c r="H40" s="48"/>
      <c r="I40" s="48">
        <f t="shared" si="1"/>
        <v>8.2</v>
      </c>
      <c r="J40" s="49">
        <v>1.0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94</v>
      </c>
      <c r="C41" s="45" t="s">
        <v>95</v>
      </c>
      <c r="D41" s="46" t="s">
        <v>96</v>
      </c>
      <c r="E41" s="47">
        <v>5.0</v>
      </c>
      <c r="F41" s="47">
        <v>1.8</v>
      </c>
      <c r="G41" s="48"/>
      <c r="H41" s="48"/>
      <c r="I41" s="48">
        <f t="shared" si="1"/>
        <v>6.8</v>
      </c>
      <c r="J41" s="49">
        <v>0.0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97</v>
      </c>
      <c r="C42" s="45" t="s">
        <v>98</v>
      </c>
      <c r="D42" s="46" t="s">
        <v>99</v>
      </c>
      <c r="E42" s="47">
        <v>4.0</v>
      </c>
      <c r="F42" s="48"/>
      <c r="G42" s="47">
        <v>2.0</v>
      </c>
      <c r="H42" s="48"/>
      <c r="I42" s="48">
        <f t="shared" si="1"/>
        <v>6</v>
      </c>
      <c r="J42" s="49">
        <v>2.0</v>
      </c>
      <c r="K42" s="50">
        <f t="shared" si="2"/>
        <v>6</v>
      </c>
      <c r="L42" s="44"/>
      <c r="M42" s="51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100</v>
      </c>
      <c r="C43" s="45" t="s">
        <v>101</v>
      </c>
      <c r="D43" s="46" t="s">
        <v>102</v>
      </c>
      <c r="E43" s="47">
        <v>4.0</v>
      </c>
      <c r="F43" s="47">
        <v>0.9</v>
      </c>
      <c r="G43" s="47">
        <v>2.0</v>
      </c>
      <c r="H43" s="48"/>
      <c r="I43" s="48">
        <f t="shared" si="1"/>
        <v>6.9</v>
      </c>
      <c r="J43" s="49">
        <v>0.0</v>
      </c>
      <c r="K43" s="50">
        <f t="shared" si="2"/>
        <v>7</v>
      </c>
      <c r="L43" s="44"/>
      <c r="M43" s="51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70</v>
      </c>
      <c r="C44" s="45" t="s">
        <v>103</v>
      </c>
      <c r="D44" s="46" t="s">
        <v>47</v>
      </c>
      <c r="E44" s="47">
        <v>4.0</v>
      </c>
      <c r="F44" s="47">
        <v>1.8</v>
      </c>
      <c r="G44" s="47">
        <v>1.6</v>
      </c>
      <c r="H44" s="48"/>
      <c r="I44" s="48">
        <f t="shared" si="1"/>
        <v>7.4</v>
      </c>
      <c r="J44" s="49">
        <v>3.0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70</v>
      </c>
      <c r="C45" s="45" t="s">
        <v>104</v>
      </c>
      <c r="D45" s="46" t="s">
        <v>105</v>
      </c>
      <c r="E45" s="47">
        <v>4.0</v>
      </c>
      <c r="F45" s="47">
        <v>2.7</v>
      </c>
      <c r="G45" s="47">
        <v>1.4</v>
      </c>
      <c r="H45" s="47">
        <v>1.0</v>
      </c>
      <c r="I45" s="48">
        <f t="shared" si="1"/>
        <v>9.1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70</v>
      </c>
      <c r="C46" s="45" t="s">
        <v>106</v>
      </c>
      <c r="D46" s="46" t="s">
        <v>107</v>
      </c>
      <c r="E46" s="47">
        <v>5.0</v>
      </c>
      <c r="F46" s="47">
        <v>2.4</v>
      </c>
      <c r="G46" s="47">
        <v>2.0</v>
      </c>
      <c r="H46" s="48"/>
      <c r="I46" s="48">
        <f t="shared" si="1"/>
        <v>9.4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62</v>
      </c>
      <c r="D47" s="46" t="s">
        <v>109</v>
      </c>
      <c r="E47" s="47">
        <v>4.0</v>
      </c>
      <c r="F47" s="47">
        <v>2.4</v>
      </c>
      <c r="G47" s="47">
        <v>2.0</v>
      </c>
      <c r="H47" s="48"/>
      <c r="I47" s="48">
        <f t="shared" si="1"/>
        <v>8.4</v>
      </c>
      <c r="J47" s="49">
        <v>1.0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>
        <v>4.0</v>
      </c>
      <c r="F48" s="47">
        <v>2.1</v>
      </c>
      <c r="G48" s="47">
        <v>1.6</v>
      </c>
      <c r="H48" s="48"/>
      <c r="I48" s="48">
        <f t="shared" si="1"/>
        <v>7.7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113</v>
      </c>
      <c r="C49" s="45" t="s">
        <v>114</v>
      </c>
      <c r="D49" s="46" t="s">
        <v>115</v>
      </c>
      <c r="E49" s="47">
        <v>3.0</v>
      </c>
      <c r="F49" s="47">
        <v>0.6</v>
      </c>
      <c r="G49" s="48"/>
      <c r="H49" s="48"/>
      <c r="I49" s="48">
        <f t="shared" si="1"/>
        <v>3.6</v>
      </c>
      <c r="J49" s="49">
        <v>2.0</v>
      </c>
      <c r="K49" s="50">
        <f t="shared" si="2"/>
        <v>5</v>
      </c>
      <c r="L49" s="44"/>
      <c r="M49" s="51">
        <f t="shared" si="3"/>
        <v>3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116</v>
      </c>
      <c r="C50" s="45" t="s">
        <v>56</v>
      </c>
      <c r="D50" s="46" t="s">
        <v>117</v>
      </c>
      <c r="E50" s="47">
        <v>4.0</v>
      </c>
      <c r="F50" s="47">
        <v>3.0</v>
      </c>
      <c r="G50" s="47">
        <v>2.0</v>
      </c>
      <c r="H50" s="48"/>
      <c r="I50" s="48">
        <f t="shared" si="1"/>
        <v>9</v>
      </c>
      <c r="J50" s="49">
        <v>1.0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84</v>
      </c>
      <c r="C51" s="45" t="s">
        <v>34</v>
      </c>
      <c r="D51" s="46" t="s">
        <v>118</v>
      </c>
      <c r="E51" s="47">
        <v>2.0</v>
      </c>
      <c r="F51" s="48"/>
      <c r="G51" s="47">
        <v>2.4</v>
      </c>
      <c r="H51" s="48"/>
      <c r="I51" s="48">
        <f t="shared" si="1"/>
        <v>4.4</v>
      </c>
      <c r="J51" s="49">
        <v>0.0</v>
      </c>
      <c r="K51" s="50">
        <f t="shared" si="2"/>
        <v>5</v>
      </c>
      <c r="L51" s="44"/>
      <c r="M51" s="51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119</v>
      </c>
      <c r="C52" s="45" t="s">
        <v>78</v>
      </c>
      <c r="D52" s="46" t="s">
        <v>120</v>
      </c>
      <c r="E52" s="47">
        <v>5.0</v>
      </c>
      <c r="F52" s="47">
        <v>2.4</v>
      </c>
      <c r="G52" s="47">
        <v>1.6</v>
      </c>
      <c r="H52" s="48"/>
      <c r="I52" s="48">
        <f t="shared" si="1"/>
        <v>9</v>
      </c>
      <c r="J52" s="49">
        <v>1.0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121</v>
      </c>
      <c r="C53" s="45" t="s">
        <v>122</v>
      </c>
      <c r="D53" s="46" t="s">
        <v>123</v>
      </c>
      <c r="E53" s="47">
        <v>5.0</v>
      </c>
      <c r="F53" s="47">
        <v>0.9</v>
      </c>
      <c r="G53" s="47">
        <v>2.0</v>
      </c>
      <c r="H53" s="48"/>
      <c r="I53" s="48">
        <f t="shared" si="1"/>
        <v>7.9</v>
      </c>
      <c r="J53" s="49">
        <v>0.0</v>
      </c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58</v>
      </c>
      <c r="D54" s="46" t="s">
        <v>125</v>
      </c>
      <c r="E54" s="47">
        <v>3.0</v>
      </c>
      <c r="F54" s="47">
        <v>1.5</v>
      </c>
      <c r="G54" s="47">
        <v>2.4</v>
      </c>
      <c r="H54" s="48"/>
      <c r="I54" s="48">
        <f t="shared" si="1"/>
        <v>6.9</v>
      </c>
      <c r="J54" s="49">
        <v>1.0</v>
      </c>
      <c r="K54" s="50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126</v>
      </c>
      <c r="C55" s="45" t="s">
        <v>92</v>
      </c>
      <c r="D55" s="46" t="s">
        <v>127</v>
      </c>
      <c r="E55" s="47">
        <v>4.0</v>
      </c>
      <c r="F55" s="47">
        <v>2.1</v>
      </c>
      <c r="G55" s="47">
        <v>2.0</v>
      </c>
      <c r="H55" s="48"/>
      <c r="I55" s="48">
        <f t="shared" si="1"/>
        <v>8.1</v>
      </c>
      <c r="J55" s="49">
        <v>0.0</v>
      </c>
      <c r="K55" s="50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89</v>
      </c>
      <c r="D56" s="46" t="s">
        <v>129</v>
      </c>
      <c r="E56" s="47">
        <v>5.0</v>
      </c>
      <c r="F56" s="47">
        <v>2.5</v>
      </c>
      <c r="G56" s="47">
        <v>2.0</v>
      </c>
      <c r="H56" s="48"/>
      <c r="I56" s="48">
        <f t="shared" si="1"/>
        <v>9.5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130</v>
      </c>
      <c r="C57" s="45" t="s">
        <v>58</v>
      </c>
      <c r="D57" s="46" t="s">
        <v>131</v>
      </c>
      <c r="E57" s="47">
        <v>5.0</v>
      </c>
      <c r="F57" s="47">
        <v>2.7</v>
      </c>
      <c r="G57" s="47">
        <v>2.0</v>
      </c>
      <c r="H57" s="47">
        <v>1.0</v>
      </c>
      <c r="I57" s="48">
        <f t="shared" si="1"/>
        <v>10.7</v>
      </c>
      <c r="J57" s="49">
        <v>0.0</v>
      </c>
      <c r="K57" s="50">
        <f t="shared" si="2"/>
        <v>10</v>
      </c>
      <c r="L57" s="44"/>
      <c r="M57" s="45">
        <f t="shared" si="3"/>
        <v>11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46" t="s">
        <v>134</v>
      </c>
      <c r="E58" s="47">
        <v>2.0</v>
      </c>
      <c r="F58" s="47">
        <v>2.4</v>
      </c>
      <c r="G58" s="48"/>
      <c r="H58" s="48"/>
      <c r="I58" s="48">
        <f t="shared" si="1"/>
        <v>4.4</v>
      </c>
      <c r="J58" s="49">
        <v>0.0</v>
      </c>
      <c r="K58" s="50">
        <f t="shared" si="2"/>
        <v>5</v>
      </c>
      <c r="L58" s="44"/>
      <c r="M58" s="45">
        <f t="shared" si="3"/>
        <v>4</v>
      </c>
      <c r="N58" s="1"/>
      <c r="O58" s="1"/>
      <c r="P58" s="2"/>
      <c r="Q58" s="2"/>
      <c r="R58" s="2"/>
    </row>
    <row r="59" ht="24.75" customHeight="1">
      <c r="A59" s="6"/>
      <c r="B59" s="54"/>
      <c r="C59" s="54"/>
      <c r="D59" s="11"/>
      <c r="E59" s="55"/>
      <c r="F59" s="55"/>
      <c r="G59" s="55"/>
      <c r="H59" s="55"/>
      <c r="I59" s="55"/>
      <c r="J59" s="55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56" t="s">
        <v>135</v>
      </c>
      <c r="C60" s="57"/>
      <c r="D60" s="58">
        <f>COUNT(A17:A58)</f>
        <v>42</v>
      </c>
      <c r="E60" s="55"/>
      <c r="F60" s="55"/>
      <c r="G60" s="59" t="s">
        <v>136</v>
      </c>
      <c r="H60" s="55"/>
      <c r="I60" s="59" t="s">
        <v>137</v>
      </c>
      <c r="K60" s="60" t="s">
        <v>138</v>
      </c>
      <c r="L60" s="61" t="s">
        <v>139</v>
      </c>
      <c r="M60" s="54"/>
      <c r="N60" s="1"/>
      <c r="O60" s="1"/>
      <c r="P60" s="2"/>
      <c r="Q60" s="2"/>
      <c r="R60" s="2"/>
    </row>
    <row r="61" ht="24.75" customHeight="1">
      <c r="A61" s="1"/>
      <c r="B61" s="62" t="s">
        <v>140</v>
      </c>
      <c r="C61" s="63"/>
      <c r="D61" s="64">
        <f>COUNTIF(K17:K58,"BAJA")</f>
        <v>0</v>
      </c>
      <c r="E61" s="55"/>
      <c r="F61" s="55"/>
      <c r="H61" s="55"/>
      <c r="L61" s="9"/>
      <c r="M61" s="54"/>
      <c r="N61" s="1"/>
      <c r="O61" s="1"/>
      <c r="P61" s="2"/>
      <c r="Q61" s="2"/>
      <c r="R61" s="2"/>
    </row>
    <row r="62" ht="24.75" customHeight="1">
      <c r="A62" s="1"/>
      <c r="B62" s="62" t="s">
        <v>141</v>
      </c>
      <c r="C62" s="63"/>
      <c r="D62" s="65">
        <f>D60-D61</f>
        <v>42</v>
      </c>
      <c r="E62" s="55"/>
      <c r="F62" s="55"/>
      <c r="G62" s="55"/>
      <c r="H62" s="55"/>
      <c r="I62" s="55"/>
      <c r="J62" s="55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142</v>
      </c>
      <c r="C63" s="63"/>
      <c r="D63" s="65">
        <f>COUNTIF(K17:K58,"&gt;=6")</f>
        <v>36</v>
      </c>
      <c r="E63" s="55"/>
      <c r="F63" s="55"/>
      <c r="G63" s="55"/>
      <c r="H63" s="55"/>
      <c r="I63" s="55"/>
      <c r="J63" s="55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62" t="s">
        <v>143</v>
      </c>
      <c r="C64" s="63"/>
      <c r="D64" s="65">
        <f>D62-D63</f>
        <v>6</v>
      </c>
      <c r="E64" s="55"/>
      <c r="F64" s="55"/>
      <c r="G64" s="66"/>
      <c r="H64" s="55"/>
      <c r="I64" s="66"/>
      <c r="J64" s="66"/>
      <c r="K64" s="67"/>
      <c r="L64" s="68"/>
      <c r="M64" s="54"/>
      <c r="N64" s="1"/>
      <c r="O64" s="1"/>
      <c r="P64" s="2"/>
      <c r="Q64" s="2"/>
      <c r="R64" s="2"/>
    </row>
    <row r="65" ht="36.0" customHeight="1">
      <c r="A65" s="1"/>
      <c r="B65" s="62" t="s">
        <v>144</v>
      </c>
      <c r="C65" s="63"/>
      <c r="D65" s="69">
        <f>D63*100/D62</f>
        <v>85.71428571</v>
      </c>
      <c r="E65" s="55"/>
      <c r="F65" s="55"/>
      <c r="G65" s="70" t="s">
        <v>145</v>
      </c>
      <c r="H65" s="55"/>
      <c r="I65" s="71" t="s">
        <v>146</v>
      </c>
      <c r="K65" s="72" t="s">
        <v>147</v>
      </c>
      <c r="L65" s="73" t="s">
        <v>148</v>
      </c>
      <c r="M65" s="54"/>
      <c r="N65" s="1"/>
      <c r="O65" s="1"/>
      <c r="P65" s="2"/>
      <c r="Q65" s="2"/>
      <c r="R65" s="2"/>
    </row>
    <row r="66" ht="24.75" customHeight="1">
      <c r="A66" s="1"/>
      <c r="B66" s="74" t="s">
        <v>149</v>
      </c>
      <c r="C66" s="75"/>
      <c r="D66" s="76">
        <f>AVERAGE(K17:K58)</f>
        <v>7.80952381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77"/>
      <c r="B67" s="78"/>
      <c r="C67" s="78"/>
      <c r="D67" s="79"/>
      <c r="E67" s="80"/>
      <c r="F67" s="80"/>
      <c r="G67" s="80"/>
      <c r="H67" s="80"/>
      <c r="I67" s="80"/>
      <c r="J67" s="81"/>
      <c r="K67" s="78"/>
      <c r="L67" s="82"/>
      <c r="M67" s="78"/>
      <c r="N67" s="2"/>
      <c r="O67" s="2"/>
      <c r="P67" s="2"/>
      <c r="Q67" s="2"/>
      <c r="R67" s="2"/>
    </row>
    <row r="68" ht="24.75" customHeight="1">
      <c r="A68" s="83"/>
      <c r="B68" s="84"/>
      <c r="C68" s="85"/>
      <c r="D68" s="86"/>
      <c r="E68" s="87"/>
      <c r="H68" s="87"/>
      <c r="I68" s="87"/>
      <c r="J68" s="88"/>
      <c r="K68" s="89"/>
      <c r="L68" s="90"/>
      <c r="M68" s="89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92"/>
      <c r="E69" s="87"/>
      <c r="F69" s="87"/>
      <c r="G69" s="80"/>
      <c r="H69" s="80"/>
      <c r="I69" s="80"/>
      <c r="J69" s="80"/>
      <c r="K69" s="78"/>
      <c r="L69" s="82"/>
      <c r="M69" s="78"/>
      <c r="N69" s="2"/>
      <c r="O69" s="2"/>
      <c r="P69" s="2"/>
      <c r="Q69" s="2"/>
      <c r="R69" s="2"/>
    </row>
    <row r="70" ht="24.75" customHeight="1">
      <c r="A70" s="91"/>
      <c r="B70" s="89"/>
      <c r="C70" s="89"/>
      <c r="D70" s="92"/>
      <c r="E70" s="87"/>
      <c r="F70" s="87"/>
      <c r="G70" s="80"/>
      <c r="H70" s="80"/>
      <c r="I70" s="80"/>
      <c r="J70" s="80"/>
      <c r="K70" s="78"/>
      <c r="L70" s="82"/>
      <c r="M70" s="78"/>
      <c r="N70" s="2"/>
      <c r="O70" s="2"/>
      <c r="P70" s="2"/>
      <c r="Q70" s="2"/>
      <c r="R70" s="2"/>
    </row>
    <row r="71" ht="24.75" customHeight="1">
      <c r="A71" s="93"/>
      <c r="B71" s="94"/>
      <c r="C71" s="94"/>
      <c r="D71" s="95"/>
      <c r="E71" s="96"/>
      <c r="F71" s="96"/>
      <c r="G71" s="97"/>
      <c r="H71" s="97"/>
      <c r="I71" s="97"/>
      <c r="J71" s="98"/>
      <c r="K71" s="99"/>
      <c r="L71" s="100"/>
      <c r="M71" s="78"/>
      <c r="N71" s="2"/>
      <c r="O71" s="2"/>
      <c r="P71" s="2"/>
      <c r="Q71" s="2"/>
      <c r="R71" s="2"/>
    </row>
    <row r="72" ht="21.75" customHeight="1">
      <c r="A72" s="101"/>
      <c r="B72" s="88"/>
      <c r="C72" s="88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