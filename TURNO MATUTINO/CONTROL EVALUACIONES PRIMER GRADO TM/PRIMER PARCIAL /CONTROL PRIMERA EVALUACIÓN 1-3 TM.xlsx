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3 lengua y comunicacion ii" sheetId="1" r:id="rId5"/>
    <sheet state="visible" name="1-3 ingles ii" sheetId="2" r:id="rId6"/>
    <sheet state="visible" name="1-3 pensamiento matematico ii" sheetId="3" r:id="rId7"/>
    <sheet state="visible" name="1-3 cultura digital ii" sheetId="4" r:id="rId8"/>
    <sheet state="visible" name="1-3 ciencias naturales experime" sheetId="5" r:id="rId9"/>
    <sheet state="visible" name="1-3 pensamiento filosofico y hu" sheetId="6" r:id="rId10"/>
    <sheet state="visible" name="1-3 ciencias sociales ii" sheetId="7" r:id="rId11"/>
    <sheet state="visible" name="1-3 taller de ciencias i" sheetId="8" r:id="rId12"/>
    <sheet state="visible" name="1-3 actividades fisicas y depor" sheetId="9" r:id="rId13"/>
    <sheet state="visible" name="1-3 educacion para la salud ii" sheetId="10" r:id="rId14"/>
    <sheet state="visible" name="1-3 temas selectos de igualdad " sheetId="11" r:id="rId1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9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color theme="1"/>
      <name val="&quot;Century Gothic&quot;"/>
    </font>
    <font>
      <sz val="11.0"/>
      <color theme="1"/>
      <name val="Arial"/>
    </font>
    <font>
      <b/>
      <sz val="12.0"/>
      <color theme="1"/>
      <name val="Gotham Book"/>
    </font>
    <font>
      <sz val="9.0"/>
      <color theme="1"/>
      <name val="&quot;Century Gothic&quot;"/>
    </font>
    <font>
      <color theme="1"/>
      <name val="Calibri"/>
      <scheme val="minor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  <font>
      <b/>
      <color theme="1"/>
      <name val="Arial"/>
    </font>
    <font>
      <b/>
      <color theme="1"/>
      <name val="Gotham Book"/>
    </font>
    <font>
      <color theme="1"/>
      <name val="Arial"/>
    </font>
    <font>
      <color theme="1"/>
      <name val="Gotham Book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readingOrder="0" shrinkToFit="0" vertical="center" wrapText="1"/>
    </xf>
    <xf borderId="14" fillId="2" fontId="5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readingOrder="0" shrinkToFit="0" vertical="center" wrapText="1"/>
    </xf>
    <xf borderId="16" fillId="2" fontId="7" numFmtId="0" xfId="0" applyAlignment="1" applyBorder="1" applyFont="1">
      <alignment readingOrder="0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readingOrder="0" vertical="center"/>
    </xf>
    <xf borderId="23" fillId="2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2" numFmtId="1" xfId="0" applyAlignment="1" applyBorder="1" applyFont="1" applyNumberFormat="1">
      <alignment horizontal="left" readingOrder="0" shrinkToFit="0" vertical="bottom" wrapText="0"/>
    </xf>
    <xf borderId="23" fillId="0" fontId="12" numFmtId="1" xfId="0" applyAlignment="1" applyBorder="1" applyFont="1" applyNumberFormat="1">
      <alignment horizontal="left" readingOrder="0" shrinkToFit="0" wrapText="0"/>
    </xf>
    <xf borderId="23" fillId="3" fontId="12" numFmtId="0" xfId="0" applyAlignment="1" applyBorder="1" applyFill="1" applyFont="1">
      <alignment horizontal="left" readingOrder="0" shrinkToFit="0" vertical="bottom" wrapText="0"/>
    </xf>
    <xf borderId="23" fillId="0" fontId="13" numFmtId="164" xfId="0" applyAlignment="1" applyBorder="1" applyFont="1" applyNumberFormat="1">
      <alignment horizontal="center" readingOrder="0" vertical="center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2" numFmtId="1" xfId="0" applyAlignment="1" applyBorder="1" applyFont="1" applyNumberFormat="1">
      <alignment horizontal="left" shrinkToFit="0" wrapText="0"/>
    </xf>
    <xf borderId="23" fillId="0" fontId="15" numFmtId="1" xfId="0" applyAlignment="1" applyBorder="1" applyFont="1" applyNumberFormat="1">
      <alignment horizontal="left" readingOrder="0" shrinkToFit="0" vertical="bottom" wrapText="0"/>
    </xf>
    <xf borderId="23" fillId="0" fontId="15" numFmtId="1" xfId="0" applyAlignment="1" applyBorder="1" applyFont="1" applyNumberFormat="1">
      <alignment horizontal="left" readingOrder="0" shrinkToFit="0" wrapText="0"/>
    </xf>
    <xf borderId="23" fillId="3" fontId="15" numFmtId="0" xfId="0" applyAlignment="1" applyBorder="1" applyFont="1">
      <alignment horizontal="left" readingOrder="0" shrinkToFit="0" vertical="bottom" wrapText="0"/>
    </xf>
    <xf borderId="23" fillId="3" fontId="12" numFmtId="1" xfId="0" applyAlignment="1" applyBorder="1" applyFont="1" applyNumberFormat="1">
      <alignment horizontal="left" readingOrder="0" shrinkToFit="0" vertical="bottom" wrapText="0"/>
    </xf>
    <xf borderId="23" fillId="3" fontId="12" numFmtId="1" xfId="0" applyAlignment="1" applyBorder="1" applyFont="1" applyNumberFormat="1">
      <alignment horizontal="left" readingOrder="0" shrinkToFit="0" wrapText="0"/>
    </xf>
    <xf borderId="23" fillId="0" fontId="12" numFmtId="0" xfId="0" applyAlignment="1" applyBorder="1" applyFont="1">
      <alignment horizontal="left" readingOrder="0" shrinkToFit="0" vertical="bottom" wrapText="0"/>
    </xf>
    <xf borderId="23" fillId="0" fontId="13" numFmtId="0" xfId="0" applyAlignment="1" applyBorder="1" applyFont="1">
      <alignment horizontal="center" readingOrder="0" vertical="center"/>
    </xf>
    <xf borderId="23" fillId="0" fontId="12" numFmtId="1" xfId="0" applyAlignment="1" applyBorder="1" applyFont="1" applyNumberFormat="1">
      <alignment readingOrder="0" shrinkToFit="0" vertical="bottom" wrapText="0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6" numFmtId="0" xfId="0" applyFont="1"/>
    <xf borderId="29" fillId="0" fontId="17" numFmtId="0" xfId="0" applyAlignment="1" applyBorder="1" applyFont="1">
      <alignment horizontal="right" readingOrder="0" shrinkToFit="1" vertical="center" wrapText="0"/>
    </xf>
    <xf borderId="30" fillId="0" fontId="3" numFmtId="0" xfId="0" applyBorder="1" applyFont="1"/>
    <xf borderId="31" fillId="0" fontId="18" numFmtId="2" xfId="0" applyAlignment="1" applyBorder="1" applyFont="1" applyNumberFormat="1">
      <alignment shrinkToFit="1" vertical="center" wrapText="0"/>
    </xf>
    <xf borderId="0" fillId="0" fontId="19" numFmtId="164" xfId="0" applyAlignment="1" applyFont="1" applyNumberForma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0" numFmtId="1" xfId="0" applyAlignment="1" applyFont="1" applyNumberFormat="1">
      <alignment horizontal="center"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32" fillId="0" fontId="21" numFmtId="0" xfId="0" applyAlignment="1" applyBorder="1" applyFont="1">
      <alignment horizontal="right" shrinkToFit="1" vertical="center" wrapText="0"/>
    </xf>
    <xf borderId="33" fillId="0" fontId="3" numFmtId="0" xfId="0" applyBorder="1" applyFont="1"/>
    <xf borderId="34" fillId="0" fontId="18" numFmtId="0" xfId="0" applyAlignment="1" applyBorder="1" applyFont="1">
      <alignment shrinkToFit="1" vertical="center" wrapText="0"/>
    </xf>
    <xf borderId="35" fillId="0" fontId="18" numFmtId="1" xfId="0" applyAlignment="1" applyBorder="1" applyFont="1" applyNumberFormat="1">
      <alignment shrinkToFit="1" vertical="center" wrapText="0"/>
    </xf>
    <xf borderId="0" fillId="0" fontId="21" numFmtId="0" xfId="0" applyAlignment="1" applyFont="1">
      <alignment shrinkToFit="1" vertical="center" wrapText="0"/>
    </xf>
    <xf borderId="0" fillId="0" fontId="21" numFmtId="0" xfId="0" applyAlignment="1" applyFont="1">
      <alignment horizontal="center" vertical="center"/>
    </xf>
    <xf borderId="0" fillId="0" fontId="21" numFmtId="0" xfId="0" applyFont="1"/>
    <xf borderId="5" fillId="0" fontId="21" numFmtId="0" xfId="0" applyBorder="1" applyFont="1"/>
    <xf borderId="20" fillId="0" fontId="21" numFmtId="0" xfId="0" applyAlignment="1" applyBorder="1" applyFont="1">
      <alignment shrinkToFit="1" vertical="center" wrapText="0"/>
    </xf>
    <xf borderId="20" fillId="0" fontId="21" numFmtId="0" xfId="0" applyBorder="1" applyFont="1"/>
    <xf borderId="21" fillId="0" fontId="21" numFmtId="0" xfId="0" applyBorder="1" applyFont="1"/>
    <xf borderId="35" fillId="0" fontId="18" numFmtId="2" xfId="0" applyAlignment="1" applyBorder="1" applyFont="1" applyNumberFormat="1">
      <alignment shrinkToFit="1" vertical="center" wrapText="0"/>
    </xf>
    <xf borderId="36" fillId="0" fontId="5" numFmtId="0" xfId="0" applyAlignment="1" applyBorder="1" applyFont="1">
      <alignment horizontal="center" readingOrder="0" shrinkToFit="0" vertical="top" wrapText="1"/>
    </xf>
    <xf borderId="0" fillId="0" fontId="21" numFmtId="0" xfId="0" applyAlignment="1" applyFont="1">
      <alignment horizontal="center" vertical="top"/>
    </xf>
    <xf borderId="0" fillId="0" fontId="7" numFmtId="0" xfId="0" applyAlignment="1" applyFon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vertical="top" wrapText="1"/>
    </xf>
    <xf borderId="0" fillId="0" fontId="19" numFmtId="0" xfId="0" applyFont="1"/>
    <xf borderId="37" fillId="0" fontId="17" numFmtId="0" xfId="0" applyAlignment="1" applyBorder="1" applyFont="1">
      <alignment horizontal="right" readingOrder="0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4" fontId="1" numFmtId="0" xfId="0" applyAlignment="1" applyBorder="1" applyFill="1" applyFont="1">
      <alignment vertical="center"/>
    </xf>
    <xf borderId="41" fillId="4" fontId="1" numFmtId="0" xfId="0" applyAlignment="1" applyBorder="1" applyFont="1">
      <alignment vertical="center"/>
    </xf>
    <xf borderId="0" fillId="4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3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4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23" fillId="3" fontId="12" numFmtId="2" xfId="0" applyAlignment="1" applyBorder="1" applyFont="1" applyNumberFormat="1">
      <alignment horizontal="left" readingOrder="0" shrinkToFit="0" vertical="bottom" wrapText="0"/>
    </xf>
    <xf borderId="31" fillId="0" fontId="18" numFmtId="0" xfId="0" applyAlignment="1" applyBorder="1" applyFont="1">
      <alignment shrinkToFit="1" vertical="center" wrapText="0"/>
    </xf>
    <xf borderId="0" fillId="0" fontId="20" numFmtId="0" xfId="0" applyAlignment="1" applyFont="1">
      <alignment horizontal="center" shrinkToFit="0" vertical="center" wrapText="1"/>
    </xf>
    <xf borderId="34" fillId="0" fontId="18" numFmtId="1" xfId="0" applyAlignment="1" applyBorder="1" applyFont="1" applyNumberFormat="1">
      <alignment shrinkToFit="1" vertical="center" wrapText="0"/>
    </xf>
    <xf borderId="0" fillId="0" fontId="11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2" fillId="0" fontId="11" numFmtId="0" xfId="0" applyBorder="1" applyFont="1"/>
    <xf borderId="2" fillId="0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0" fillId="0" fontId="11" numFmtId="0" xfId="0" applyFont="1"/>
    <xf borderId="5" fillId="0" fontId="11" numFmtId="0" xfId="0" applyAlignment="1" applyBorder="1" applyFont="1">
      <alignment vertical="bottom"/>
    </xf>
    <xf borderId="4" fillId="0" fontId="2" numFmtId="0" xfId="0" applyAlignment="1" applyBorder="1" applyFont="1">
      <alignment horizontal="center" shrinkToFit="0" wrapText="1"/>
    </xf>
    <xf borderId="0" fillId="0" fontId="11" numFmtId="0" xfId="0" applyAlignment="1" applyFont="1">
      <alignment vertical="top"/>
    </xf>
    <xf borderId="0" fillId="0" fontId="2" numFmtId="0" xfId="0" applyFont="1"/>
    <xf borderId="0" fillId="0" fontId="11" numFmtId="0" xfId="0" applyFont="1"/>
    <xf borderId="6" fillId="2" fontId="25" numFmtId="0" xfId="0" applyAlignment="1" applyBorder="1" applyFont="1">
      <alignment horizontal="center"/>
    </xf>
    <xf borderId="8" fillId="2" fontId="11" numFmtId="0" xfId="0" applyBorder="1" applyFont="1"/>
    <xf borderId="9" fillId="2" fontId="4" numFmtId="0" xfId="0" applyAlignment="1" applyBorder="1" applyFont="1">
      <alignment horizontal="center"/>
    </xf>
    <xf borderId="10" fillId="2" fontId="4" numFmtId="0" xfId="0" applyAlignment="1" applyBorder="1" applyFont="1">
      <alignment horizontal="center" shrinkToFit="0" wrapText="1"/>
    </xf>
    <xf borderId="11" fillId="2" fontId="4" numFmtId="9" xfId="0" applyAlignment="1" applyBorder="1" applyFont="1" applyNumberFormat="1">
      <alignment horizontal="center"/>
    </xf>
    <xf borderId="13" fillId="2" fontId="25" numFmtId="0" xfId="0" applyAlignment="1" applyBorder="1" applyFont="1">
      <alignment horizontal="center" shrinkToFit="0" wrapText="1"/>
    </xf>
    <xf borderId="14" fillId="2" fontId="25" numFmtId="0" xfId="0" applyAlignment="1" applyBorder="1" applyFont="1">
      <alignment horizontal="center" readingOrder="0" shrinkToFit="0" wrapText="1"/>
    </xf>
    <xf borderId="16" fillId="2" fontId="7" numFmtId="0" xfId="0" applyAlignment="1" applyBorder="1" applyFont="1">
      <alignment horizontal="center" shrinkToFit="0" wrapText="1"/>
    </xf>
    <xf borderId="16" fillId="2" fontId="7" numFmtId="0" xfId="0" applyBorder="1" applyFont="1"/>
    <xf borderId="22" fillId="2" fontId="25" numFmtId="0" xfId="0" applyAlignment="1" applyBorder="1" applyFont="1">
      <alignment horizontal="center"/>
    </xf>
    <xf borderId="23" fillId="2" fontId="25" numFmtId="0" xfId="0" applyAlignment="1" applyBorder="1" applyFont="1">
      <alignment horizontal="center"/>
    </xf>
    <xf borderId="15" fillId="2" fontId="25" numFmtId="0" xfId="0" applyAlignment="1" applyBorder="1" applyFont="1">
      <alignment horizontal="center"/>
    </xf>
    <xf borderId="18" fillId="2" fontId="11" numFmtId="0" xfId="0" applyBorder="1" applyFont="1"/>
    <xf borderId="25" fillId="2" fontId="11" numFmtId="0" xfId="0" applyBorder="1" applyFont="1"/>
    <xf borderId="22" fillId="2" fontId="26" numFmtId="0" xfId="0" applyAlignment="1" applyBorder="1" applyFont="1">
      <alignment horizontal="center"/>
    </xf>
    <xf borderId="27" fillId="2" fontId="26" numFmtId="0" xfId="0" applyAlignment="1" applyBorder="1" applyFont="1">
      <alignment horizontal="center"/>
    </xf>
    <xf borderId="23" fillId="2" fontId="11" numFmtId="0" xfId="0" applyBorder="1" applyFont="1"/>
    <xf borderId="23" fillId="2" fontId="6" numFmtId="0" xfId="0" applyAlignment="1" applyBorder="1" applyFont="1">
      <alignment horizontal="center" shrinkToFit="0" wrapText="1"/>
    </xf>
    <xf borderId="23" fillId="2" fontId="4" numFmtId="0" xfId="0" applyAlignment="1" applyBorder="1" applyFont="1">
      <alignment horizontal="center" shrinkToFit="0" wrapText="1"/>
    </xf>
    <xf borderId="28" fillId="2" fontId="4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3" fillId="0" fontId="11" numFmtId="164" xfId="0" applyBorder="1" applyFont="1" applyNumberFormat="1"/>
    <xf borderId="23" fillId="0" fontId="1" numFmtId="164" xfId="0" applyAlignment="1" applyBorder="1" applyFont="1" applyNumberFormat="1">
      <alignment horizontal="center"/>
    </xf>
    <xf borderId="23" fillId="0" fontId="11" numFmtId="0" xfId="0" applyBorder="1" applyFont="1"/>
    <xf borderId="23" fillId="2" fontId="14" numFmtId="1" xfId="0" applyAlignment="1" applyBorder="1" applyFont="1" applyNumberFormat="1">
      <alignment horizontal="center"/>
    </xf>
    <xf borderId="23" fillId="0" fontId="11" numFmtId="1" xfId="0" applyBorder="1" applyFont="1" applyNumberFormat="1"/>
    <xf borderId="18" fillId="0" fontId="1" numFmtId="1" xfId="0" applyAlignment="1" applyBorder="1" applyFont="1" applyNumberFormat="1">
      <alignment horizontal="center"/>
    </xf>
    <xf borderId="23" fillId="0" fontId="1" numFmtId="1" xfId="0" applyAlignment="1" applyBorder="1" applyFont="1" applyNumberFormat="1">
      <alignment horizontal="center"/>
    </xf>
    <xf borderId="23" fillId="0" fontId="11" numFmtId="0" xfId="0" applyBorder="1" applyFont="1"/>
    <xf borderId="0" fillId="0" fontId="11" numFmtId="1" xfId="0" applyFont="1" applyNumberFormat="1"/>
    <xf borderId="4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29" fillId="0" fontId="27" numFmtId="0" xfId="0" applyAlignment="1" applyBorder="1" applyFont="1">
      <alignment horizontal="right"/>
    </xf>
    <xf borderId="31" fillId="0" fontId="18" numFmtId="2" xfId="0" applyAlignment="1" applyBorder="1" applyFont="1" applyNumberFormat="1">
      <alignment horizontal="right"/>
    </xf>
    <xf borderId="0" fillId="0" fontId="19" numFmtId="164" xfId="0" applyAlignment="1" applyFont="1" applyNumberFormat="1">
      <alignment horizontal="center" shrinkToFit="0" wrapText="1"/>
    </xf>
    <xf borderId="0" fillId="0" fontId="20" numFmtId="1" xfId="0" applyAlignment="1" applyFont="1" applyNumberFormat="1">
      <alignment horizontal="center" shrinkToFit="0" wrapText="1"/>
    </xf>
    <xf borderId="5" fillId="0" fontId="19" numFmtId="0" xfId="0" applyAlignment="1" applyBorder="1" applyFont="1">
      <alignment horizontal="center" shrinkToFit="0" wrapText="1"/>
    </xf>
    <xf borderId="32" fillId="0" fontId="28" numFmtId="0" xfId="0" applyAlignment="1" applyBorder="1" applyFont="1">
      <alignment horizontal="right"/>
    </xf>
    <xf borderId="34" fillId="0" fontId="18" numFmtId="1" xfId="0" applyAlignment="1" applyBorder="1" applyFont="1" applyNumberFormat="1">
      <alignment horizontal="right"/>
    </xf>
    <xf borderId="35" fillId="0" fontId="18" numFmtId="1" xfId="0" applyAlignment="1" applyBorder="1" applyFont="1" applyNumberFormat="1">
      <alignment horizontal="right"/>
    </xf>
    <xf borderId="20" fillId="0" fontId="11" numFmtId="0" xfId="0" applyBorder="1" applyFont="1"/>
    <xf borderId="20" fillId="0" fontId="11" numFmtId="0" xfId="0" applyAlignment="1" applyBorder="1" applyFont="1">
      <alignment vertical="bottom"/>
    </xf>
    <xf borderId="21" fillId="0" fontId="11" numFmtId="0" xfId="0" applyAlignment="1" applyBorder="1" applyFont="1">
      <alignment vertical="bottom"/>
    </xf>
    <xf borderId="32" fillId="0" fontId="28" numFmtId="0" xfId="0" applyAlignment="1" applyBorder="1" applyFont="1">
      <alignment horizontal="right"/>
    </xf>
    <xf borderId="35" fillId="0" fontId="18" numFmtId="2" xfId="0" applyAlignment="1" applyBorder="1" applyFont="1" applyNumberFormat="1">
      <alignment horizontal="right"/>
    </xf>
    <xf borderId="36" fillId="0" fontId="25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37" fillId="0" fontId="27" numFmtId="0" xfId="0" applyAlignment="1" applyBorder="1" applyFont="1">
      <alignment horizontal="right"/>
    </xf>
    <xf borderId="39" fillId="0" fontId="14" numFmtId="2" xfId="0" applyAlignment="1" applyBorder="1" applyFont="1" applyNumberFormat="1">
      <alignment horizontal="right"/>
    </xf>
    <xf borderId="40" fillId="3" fontId="11" numFmtId="0" xfId="0" applyBorder="1" applyFont="1"/>
    <xf borderId="41" fillId="3" fontId="11" numFmtId="0" xfId="0" applyBorder="1" applyFont="1"/>
    <xf borderId="0" fillId="3" fontId="11" numFmtId="0" xfId="0" applyFont="1"/>
    <xf borderId="5" fillId="0" fontId="11" numFmtId="0" xfId="0" applyBorder="1" applyFont="1"/>
    <xf borderId="4" fillId="0" fontId="11" numFmtId="0" xfId="0" applyBorder="1" applyFont="1"/>
    <xf borderId="42" fillId="0" fontId="11" numFmtId="0" xfId="0" applyBorder="1" applyFont="1"/>
    <xf borderId="43" fillId="0" fontId="11" numFmtId="0" xfId="0" applyBorder="1" applyFont="1"/>
    <xf borderId="43" fillId="0" fontId="11" numFmtId="0" xfId="0" applyAlignment="1" applyBorder="1" applyFont="1">
      <alignment vertical="bottom"/>
    </xf>
    <xf borderId="44" fillId="0" fontId="11" numFmtId="0" xfId="0" applyAlignment="1" applyBorder="1" applyFont="1">
      <alignment vertical="bottom"/>
    </xf>
    <xf borderId="0" fillId="0" fontId="11" numFmtId="1" xfId="0" applyAlignment="1" applyFont="1" applyNumberFormat="1">
      <alignment vertical="bottom"/>
    </xf>
    <xf borderId="31" fillId="0" fontId="18" numFmtId="0" xfId="0" applyAlignment="1" applyBorder="1" applyFont="1">
      <alignment horizontal="right"/>
    </xf>
    <xf borderId="0" fillId="0" fontId="19" numFmtId="0" xfId="0" applyAlignment="1" applyFont="1">
      <alignment horizontal="center" shrinkToFit="0" wrapText="1"/>
    </xf>
    <xf borderId="0" fillId="0" fontId="20" numFmtId="0" xfId="0" applyAlignment="1" applyFont="1">
      <alignment horizontal="center" shrinkToFit="0" wrapText="1"/>
    </xf>
    <xf borderId="34" fillId="0" fontId="18" numFmtId="0" xfId="0" applyAlignment="1" applyBorder="1" applyFont="1">
      <alignment horizontal="right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80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-419100</xdr:colOff>
      <xdr:row>1</xdr:row>
      <xdr:rowOff>142875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438150</xdr:colOff>
      <xdr:row>79</xdr:row>
      <xdr:rowOff>161925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78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504825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438150</xdr:colOff>
      <xdr:row>79</xdr:row>
      <xdr:rowOff>161925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78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504825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447675</xdr:colOff>
      <xdr:row>79</xdr:row>
      <xdr:rowOff>171450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1</xdr:row>
      <xdr:rowOff>180975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79</xdr:row>
      <xdr:rowOff>152400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78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514350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80</xdr:row>
      <xdr:rowOff>47625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78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438150</xdr:colOff>
      <xdr:row>80</xdr:row>
      <xdr:rowOff>47625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78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514350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80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79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495300</xdr:colOff>
      <xdr:row>1</xdr:row>
      <xdr:rowOff>180975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447675</xdr:colOff>
      <xdr:row>80</xdr:row>
      <xdr:rowOff>38100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142875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457200</xdr:colOff>
      <xdr:row>80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80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78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5" width="10.71"/>
  </cols>
  <sheetData>
    <row r="1" ht="13.5" customHeight="1">
      <c r="A1" s="1" t="str">
        <f>IFERROR(__xludf.DUMMYFUNCTION("IMPORTRANGE(""https://docs.google.com/spreadsheets/d/15bT4tGt_SY5EX9TmAFufOHHJJzVU7wpgSlESt_nFSzQ/edit?gid=1435907698#gid=1435907698"",""1-3 lengua y comunicacion ii!A1:Q86"")"),"")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IFERROR(__xludf.DUMMYFUNCTION("""COMPUTED_VALUE"""),"BERENICE PALACIOS ")</f>
        <v>BERENICE PALACIOS 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IFERROR(__xludf.DUMMYFUNCTION("""COMPUTED_VALUE"""),"LENGUA Y COMUNICACIÓN II")</f>
        <v>LENGUA Y COMUNICACIÓN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IFERROR(__xludf.DUMMYFUNCTION("""COMPUTED_VALUE"""),"VARELA")</f>
        <v>VARELA</v>
      </c>
      <c r="D17" s="54" t="str">
        <f>IFERROR(__xludf.DUMMYFUNCTION("""COMPUTED_VALUE"""),"ISAIAS HAZAEL")</f>
        <v>ISAIAS HAZAEL</v>
      </c>
      <c r="E17" s="55">
        <f>IFERROR(__xludf.DUMMYFUNCTION("""COMPUTED_VALUE"""),8.0)</f>
        <v>8</v>
      </c>
      <c r="F17" s="55">
        <f>IFERROR(__xludf.DUMMYFUNCTION("""COMPUTED_VALUE"""),2.0)</f>
        <v>2</v>
      </c>
      <c r="G17" s="56"/>
      <c r="H17" s="57">
        <f>IFERROR(__xludf.DUMMYFUNCTION("""COMPUTED_VALUE"""),10.0)</f>
        <v>10</v>
      </c>
      <c r="I17" s="58">
        <f>IFERROR(__xludf.DUMMYFUNCTION("""COMPUTED_VALUE"""),0.0)</f>
        <v>0</v>
      </c>
      <c r="J17" s="59">
        <f>IFERROR(__xludf.DUMMYFUNCTION("""COMPUTED_VALUE"""),10.0)</f>
        <v>10</v>
      </c>
      <c r="K17" s="60"/>
      <c r="L17" s="61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IFERROR(__xludf.DUMMYFUNCTION("""COMPUTED_VALUE"""),"ANDRADE")</f>
        <v>ANDRADE</v>
      </c>
      <c r="C18" s="53" t="str">
        <f>IFERROR(__xludf.DUMMYFUNCTION("""COMPUTED_VALUE"""),"LOPEZ")</f>
        <v>LOPEZ</v>
      </c>
      <c r="D18" s="54" t="str">
        <f>IFERROR(__xludf.DUMMYFUNCTION("""COMPUTED_VALUE"""),"DAVID EMILIANO")</f>
        <v>DAVID EMILIANO</v>
      </c>
      <c r="E18" s="55">
        <f>IFERROR(__xludf.DUMMYFUNCTION("""COMPUTED_VALUE"""),6.5)</f>
        <v>6.5</v>
      </c>
      <c r="F18" s="55">
        <f>IFERROR(__xludf.DUMMYFUNCTION("""COMPUTED_VALUE"""),2.0)</f>
        <v>2</v>
      </c>
      <c r="G18" s="56"/>
      <c r="H18" s="57">
        <f>IFERROR(__xludf.DUMMYFUNCTION("""COMPUTED_VALUE"""),8.5)</f>
        <v>8.5</v>
      </c>
      <c r="I18" s="58">
        <f>IFERROR(__xludf.DUMMYFUNCTION("""COMPUTED_VALUE"""),0.0)</f>
        <v>0</v>
      </c>
      <c r="J18" s="59">
        <f>IFERROR(__xludf.DUMMYFUNCTION("""COMPUTED_VALUE"""),9.0)</f>
        <v>9</v>
      </c>
      <c r="K18" s="51"/>
      <c r="L18" s="61">
        <f>IFERROR(__xludf.DUMMYFUNCTION("""COMPUTED_VALUE"""),9.0)</f>
        <v>9</v>
      </c>
      <c r="M18" s="1" t="str">
        <f>IFERROR(__xludf.DUMMYFUNCTION("""COMPUTED_VALUE"""),"Febrero")</f>
        <v>Febrero</v>
      </c>
      <c r="N18" s="1">
        <f>IFERROR(__xludf.DUMMYFUNCTION("""COMPUTED_VALUE"""),8.0)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IFERROR(__xludf.DUMMYFUNCTION("""COMPUTED_VALUE"""),"ARELLANO")</f>
        <v>ARELLANO</v>
      </c>
      <c r="C19" s="53" t="str">
        <f>IFERROR(__xludf.DUMMYFUNCTION("""COMPUTED_VALUE"""),"RAMIREZ")</f>
        <v>RAMIREZ</v>
      </c>
      <c r="D19" s="54" t="str">
        <f>IFERROR(__xludf.DUMMYFUNCTION("""COMPUTED_VALUE"""),"ALEJANDRO")</f>
        <v>ALEJANDRO</v>
      </c>
      <c r="E19" s="56">
        <f>IFERROR(__xludf.DUMMYFUNCTION("""COMPUTED_VALUE"""),6.8)</f>
        <v>6.8</v>
      </c>
      <c r="F19" s="55">
        <f>IFERROR(__xludf.DUMMYFUNCTION("""COMPUTED_VALUE"""),2.0)</f>
        <v>2</v>
      </c>
      <c r="G19" s="56"/>
      <c r="H19" s="57">
        <f>IFERROR(__xludf.DUMMYFUNCTION("""COMPUTED_VALUE"""),8.8)</f>
        <v>8.8</v>
      </c>
      <c r="I19" s="58">
        <f>IFERROR(__xludf.DUMMYFUNCTION("""COMPUTED_VALUE"""),0.0)</f>
        <v>0</v>
      </c>
      <c r="J19" s="59">
        <f>IFERROR(__xludf.DUMMYFUNCTION("""COMPUTED_VALUE"""),9.0)</f>
        <v>9</v>
      </c>
      <c r="K19" s="51"/>
      <c r="L19" s="61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IFERROR(__xludf.DUMMYFUNCTION("""COMPUTED_VALUE"""),15.0)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IFERROR(__xludf.DUMMYFUNCTION("""COMPUTED_VALUE"""),"AVILA")</f>
        <v>AVILA</v>
      </c>
      <c r="C20" s="53" t="str">
        <f>IFERROR(__xludf.DUMMYFUNCTION("""COMPUTED_VALUE"""),"GARCIA")</f>
        <v>GARCIA</v>
      </c>
      <c r="D20" s="54" t="str">
        <f>IFERROR(__xludf.DUMMYFUNCTION("""COMPUTED_VALUE"""),"PARIS PAOLETTE")</f>
        <v>PARIS PAOLETTE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/>
      <c r="H20" s="57">
        <f>IFERROR(__xludf.DUMMYFUNCTION("""COMPUTED_VALUE"""),10.0)</f>
        <v>10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IFERROR(__xludf.DUMMYFUNCTION("""COMPUTED_VALUE"""),"BARRERA")</f>
        <v>BARRERA</v>
      </c>
      <c r="C21" s="62"/>
      <c r="D21" s="54" t="str">
        <f>IFERROR(__xludf.DUMMYFUNCTION("""COMPUTED_VALUE"""),"NAEEM")</f>
        <v>NAEEM</v>
      </c>
      <c r="E21" s="55">
        <f>IFERROR(__xludf.DUMMYFUNCTION("""COMPUTED_VALUE"""),8.0)</f>
        <v>8</v>
      </c>
      <c r="F21" s="55">
        <f>IFERROR(__xludf.DUMMYFUNCTION("""COMPUTED_VALUE"""),2.0)</f>
        <v>2</v>
      </c>
      <c r="G21" s="56"/>
      <c r="H21" s="57">
        <f>IFERROR(__xludf.DUMMYFUNCTION("""COMPUTED_VALUE"""),10.0)</f>
        <v>10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4.75" customHeight="1">
      <c r="A22" s="51">
        <f>IFERROR(__xludf.DUMMYFUNCTION("""COMPUTED_VALUE"""),6.0)</f>
        <v>6</v>
      </c>
      <c r="B22" s="63" t="str">
        <f>IFERROR(__xludf.DUMMYFUNCTION("""COMPUTED_VALUE"""),"BLANCO")</f>
        <v>BLANCO</v>
      </c>
      <c r="C22" s="53" t="str">
        <f>IFERROR(__xludf.DUMMYFUNCTION("""COMPUTED_VALUE"""),"JARAMILLO")</f>
        <v>JARAMILLO</v>
      </c>
      <c r="D22" s="54" t="str">
        <f>IFERROR(__xludf.DUMMYFUNCTION("""COMPUTED_VALUE"""),"INGRID NATALIA")</f>
        <v>INGRID NATALIA</v>
      </c>
      <c r="E22" s="55">
        <f>IFERROR(__xludf.DUMMYFUNCTION("""COMPUTED_VALUE"""),8.0)</f>
        <v>8</v>
      </c>
      <c r="F22" s="55">
        <f>IFERROR(__xludf.DUMMYFUNCTION("""COMPUTED_VALUE"""),2.0)</f>
        <v>2</v>
      </c>
      <c r="G22" s="56">
        <f>IFERROR(__xludf.DUMMYFUNCTION("""COMPUTED_VALUE"""),1.0)</f>
        <v>1</v>
      </c>
      <c r="H22" s="57">
        <f>IFERROR(__xludf.DUMMYFUNCTION("""COMPUTED_VALUE"""),11.0)</f>
        <v>11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IFERROR(__xludf.DUMMYFUNCTION("""COMPUTED_VALUE"""),11.0)</f>
        <v>11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IFERROR(__xludf.DUMMYFUNCTION("""COMPUTED_VALUE"""),"CARLOS")</f>
        <v>CARLOS</v>
      </c>
      <c r="C23" s="53" t="str">
        <f>IFERROR(__xludf.DUMMYFUNCTION("""COMPUTED_VALUE"""),"DE LA CRUZ")</f>
        <v>DE LA CRUZ</v>
      </c>
      <c r="D23" s="54" t="str">
        <f>IFERROR(__xludf.DUMMYFUNCTION("""COMPUTED_VALUE"""),"JAVIER")</f>
        <v>JAVIER</v>
      </c>
      <c r="E23" s="55">
        <f>IFERROR(__xludf.DUMMYFUNCTION("""COMPUTED_VALUE"""),6.5)</f>
        <v>6.5</v>
      </c>
      <c r="F23" s="55">
        <f>IFERROR(__xludf.DUMMYFUNCTION("""COMPUTED_VALUE"""),2.0)</f>
        <v>2</v>
      </c>
      <c r="G23" s="56">
        <f>IFERROR(__xludf.DUMMYFUNCTION("""COMPUTED_VALUE"""),1.0)</f>
        <v>1</v>
      </c>
      <c r="H23" s="57">
        <f>IFERROR(__xludf.DUMMYFUNCTION("""COMPUTED_VALUE"""),9.5)</f>
        <v>9.5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IFERROR(__xludf.DUMMYFUNCTION("""COMPUTED_VALUE"""),10.0)</f>
        <v>10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IFERROR(__xludf.DUMMYFUNCTION("""COMPUTED_VALUE"""),"CARRICHE")</f>
        <v>CARRICHE</v>
      </c>
      <c r="C24" s="53" t="str">
        <f>IFERROR(__xludf.DUMMYFUNCTION("""COMPUTED_VALUE"""),"HERNANDEZ")</f>
        <v>HERNANDEZ</v>
      </c>
      <c r="D24" s="54" t="str">
        <f>IFERROR(__xludf.DUMMYFUNCTION("""COMPUTED_VALUE"""),"DIEGO IVAN")</f>
        <v>DIEGO IVAN</v>
      </c>
      <c r="E24" s="56">
        <f>IFERROR(__xludf.DUMMYFUNCTION("""COMPUTED_VALUE"""),5.0)</f>
        <v>5</v>
      </c>
      <c r="F24" s="55">
        <f>IFERROR(__xludf.DUMMYFUNCTION("""COMPUTED_VALUE"""),2.0)</f>
        <v>2</v>
      </c>
      <c r="G24" s="56">
        <f>IFERROR(__xludf.DUMMYFUNCTION("""COMPUTED_VALUE"""),1.0)</f>
        <v>1</v>
      </c>
      <c r="H24" s="57">
        <f>IFERROR(__xludf.DUMMYFUNCTION("""COMPUTED_VALUE"""),8.0)</f>
        <v>8</v>
      </c>
      <c r="I24" s="58">
        <f>IFERROR(__xludf.DUMMYFUNCTION("""COMPUTED_VALUE"""),0.0)</f>
        <v>0</v>
      </c>
      <c r="J24" s="59">
        <f>IFERROR(__xludf.DUMMYFUNCTION("""COMPUTED_VALUE"""),8.0)</f>
        <v>8</v>
      </c>
      <c r="K24" s="51"/>
      <c r="L24" s="61">
        <f>IFERROR(__xludf.DUMMYFUNCTION("""COMPUTED_VALUE"""),8.0)</f>
        <v>8</v>
      </c>
      <c r="M24" s="1" t="str">
        <f>IFERROR(__xludf.DUMMYFUNCTION("""COMPUTED_VALUE"""),"TOTAL")</f>
        <v>TOTAL</v>
      </c>
      <c r="N24" s="1">
        <f>IFERROR(__xludf.DUMMYFUNCTION("""COMPUTED_VALUE"""),23.0)</f>
        <v>23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IFERROR(__xludf.DUMMYFUNCTION("""COMPUTED_VALUE"""),"CASTILLO")</f>
        <v>CASTILLO</v>
      </c>
      <c r="C25" s="53" t="str">
        <f>IFERROR(__xludf.DUMMYFUNCTION("""COMPUTED_VALUE"""),"DOMINGUEZ")</f>
        <v>DOMINGUEZ</v>
      </c>
      <c r="D25" s="54" t="str">
        <f>IFERROR(__xludf.DUMMYFUNCTION("""COMPUTED_VALUE"""),"EMANUEL")</f>
        <v>EMANUEL</v>
      </c>
      <c r="E25" s="55">
        <f>IFERROR(__xludf.DUMMYFUNCTION("""COMPUTED_VALUE"""),6.5)</f>
        <v>6.5</v>
      </c>
      <c r="F25" s="55">
        <f>IFERROR(__xludf.DUMMYFUNCTION("""COMPUTED_VALUE"""),2.0)</f>
        <v>2</v>
      </c>
      <c r="G25" s="56">
        <f>IFERROR(__xludf.DUMMYFUNCTION("""COMPUTED_VALUE"""),1.0)</f>
        <v>1</v>
      </c>
      <c r="H25" s="57">
        <f>IFERROR(__xludf.DUMMYFUNCTION("""COMPUTED_VALUE"""),9.5)</f>
        <v>9.5</v>
      </c>
      <c r="I25" s="58">
        <f>IFERROR(__xludf.DUMMYFUNCTION("""COMPUTED_VALUE"""),0.0)</f>
        <v>0</v>
      </c>
      <c r="J25" s="59">
        <f>IFERROR(__xludf.DUMMYFUNCTION("""COMPUTED_VALUE"""),10.0)</f>
        <v>10</v>
      </c>
      <c r="K25" s="51"/>
      <c r="L25" s="61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IFERROR(__xludf.DUMMYFUNCTION("""COMPUTED_VALUE"""),"COMO")</f>
        <v>COMO</v>
      </c>
      <c r="C26" s="53" t="str">
        <f>IFERROR(__xludf.DUMMYFUNCTION("""COMPUTED_VALUE"""),"MONTOYA")</f>
        <v>MONTOYA</v>
      </c>
      <c r="D26" s="54" t="str">
        <f>IFERROR(__xludf.DUMMYFUNCTION("""COMPUTED_VALUE"""),"ANGEL GIOVANNY")</f>
        <v>ANGEL GIOVANNY</v>
      </c>
      <c r="E26" s="56">
        <f>IFERROR(__xludf.DUMMYFUNCTION("""COMPUTED_VALUE"""),6.5)</f>
        <v>6.5</v>
      </c>
      <c r="F26" s="55">
        <f>IFERROR(__xludf.DUMMYFUNCTION("""COMPUTED_VALUE"""),2.0)</f>
        <v>2</v>
      </c>
      <c r="G26" s="56">
        <f>IFERROR(__xludf.DUMMYFUNCTION("""COMPUTED_VALUE"""),1.0)</f>
        <v>1</v>
      </c>
      <c r="H26" s="57">
        <f>IFERROR(__xludf.DUMMYFUNCTION("""COMPUTED_VALUE"""),9.5)</f>
        <v>9.5</v>
      </c>
      <c r="I26" s="58">
        <f>IFERROR(__xludf.DUMMYFUNCTION("""COMPUTED_VALUE"""),0.0)</f>
        <v>0</v>
      </c>
      <c r="J26" s="59">
        <f>IFERROR(__xludf.DUMMYFUNCTION("""COMPUTED_VALUE"""),10.0)</f>
        <v>10</v>
      </c>
      <c r="K26" s="51"/>
      <c r="L26" s="61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IFERROR(__xludf.DUMMYFUNCTION("""COMPUTED_VALUE"""),"CORTES")</f>
        <v>CORTES</v>
      </c>
      <c r="C27" s="53" t="str">
        <f>IFERROR(__xludf.DUMMYFUNCTION("""COMPUTED_VALUE"""),"VAZQUEZ")</f>
        <v>VAZQUEZ</v>
      </c>
      <c r="D27" s="53" t="str">
        <f>IFERROR(__xludf.DUMMYFUNCTION("""COMPUTED_VALUE"""),"ZULEIMA")</f>
        <v>ZULEIMA</v>
      </c>
      <c r="E27" s="55">
        <f>IFERROR(__xludf.DUMMYFUNCTION("""COMPUTED_VALUE"""),6.5)</f>
        <v>6.5</v>
      </c>
      <c r="F27" s="55">
        <f>IFERROR(__xludf.DUMMYFUNCTION("""COMPUTED_VALUE"""),2.0)</f>
        <v>2</v>
      </c>
      <c r="G27" s="56"/>
      <c r="H27" s="57">
        <f>IFERROR(__xludf.DUMMYFUNCTION("""COMPUTED_VALUE"""),8.5)</f>
        <v>8.5</v>
      </c>
      <c r="I27" s="58">
        <f>IFERROR(__xludf.DUMMYFUNCTION("""COMPUTED_VALUE"""),0.0)</f>
        <v>0</v>
      </c>
      <c r="J27" s="59">
        <f>IFERROR(__xludf.DUMMYFUNCTION("""COMPUTED_VALUE"""),9.0)</f>
        <v>9</v>
      </c>
      <c r="K27" s="51"/>
      <c r="L27" s="61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IFERROR(__xludf.DUMMYFUNCTION("""COMPUTED_VALUE"""),"CRUZ")</f>
        <v>CRUZ</v>
      </c>
      <c r="C28" s="53" t="str">
        <f>IFERROR(__xludf.DUMMYFUNCTION("""COMPUTED_VALUE"""),"BAUTISTA")</f>
        <v>BAUTISTA</v>
      </c>
      <c r="D28" s="54" t="str">
        <f>IFERROR(__xludf.DUMMYFUNCTION("""COMPUTED_VALUE"""),"YAEL ABDIEL")</f>
        <v>YAEL ABDIEL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/>
      <c r="H28" s="57">
        <f>IFERROR(__xludf.DUMMYFUNCTION("""COMPUTED_VALUE"""),10.0)</f>
        <v>10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3" t="str">
        <f>IFERROR(__xludf.DUMMYFUNCTION("""COMPUTED_VALUE"""),"NUÑEZ")</f>
        <v>NUÑEZ</v>
      </c>
      <c r="D29" s="54" t="str">
        <f>IFERROR(__xludf.DUMMYFUNCTION("""COMPUTED_VALUE"""),"XIMENA LIZVET")</f>
        <v>XIMENA LIZVET</v>
      </c>
      <c r="E29" s="55">
        <f>IFERROR(__xludf.DUMMYFUNCTION("""COMPUTED_VALUE"""),8.0)</f>
        <v>8</v>
      </c>
      <c r="F29" s="55">
        <f>IFERROR(__xludf.DUMMYFUNCTION("""COMPUTED_VALUE"""),2.0)</f>
        <v>2</v>
      </c>
      <c r="G29" s="56">
        <f>IFERROR(__xludf.DUMMYFUNCTION("""COMPUTED_VALUE"""),1.0)</f>
        <v>1</v>
      </c>
      <c r="H29" s="57">
        <f>IFERROR(__xludf.DUMMYFUNCTION("""COMPUTED_VALUE"""),11.0)</f>
        <v>11</v>
      </c>
      <c r="I29" s="58">
        <f>IFERROR(__xludf.DUMMYFUNCTION("""COMPUTED_VALUE"""),0.0)</f>
        <v>0</v>
      </c>
      <c r="J29" s="59">
        <f>IFERROR(__xludf.DUMMYFUNCTION("""COMPUTED_VALUE"""),10.0)</f>
        <v>10</v>
      </c>
      <c r="K29" s="51"/>
      <c r="L29" s="61">
        <f>IFERROR(__xludf.DUMMYFUNCTION("""COMPUTED_VALUE"""),11.0)</f>
        <v>11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IFERROR(__xludf.DUMMYFUNCTION("""COMPUTED_VALUE"""),"DE JESUS")</f>
        <v>DE JESUS</v>
      </c>
      <c r="C30" s="53" t="str">
        <f>IFERROR(__xludf.DUMMYFUNCTION("""COMPUTED_VALUE"""),"GONZALEZ")</f>
        <v>GONZALEZ</v>
      </c>
      <c r="D30" s="54" t="str">
        <f>IFERROR(__xludf.DUMMYFUNCTION("""COMPUTED_VALUE"""),"SHARON NOEMI")</f>
        <v>SHARON NOEMI</v>
      </c>
      <c r="E30" s="56">
        <f>IFERROR(__xludf.DUMMYFUNCTION("""COMPUTED_VALUE"""),6.8)</f>
        <v>6.8</v>
      </c>
      <c r="F30" s="55">
        <f>IFERROR(__xludf.DUMMYFUNCTION("""COMPUTED_VALUE"""),2.0)</f>
        <v>2</v>
      </c>
      <c r="G30" s="56">
        <f>IFERROR(__xludf.DUMMYFUNCTION("""COMPUTED_VALUE"""),1.0)</f>
        <v>1</v>
      </c>
      <c r="H30" s="57">
        <f>IFERROR(__xludf.DUMMYFUNCTION("""COMPUTED_VALUE"""),9.8)</f>
        <v>9.8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IFERROR(__xludf.DUMMYFUNCTION("""COMPUTED_VALUE"""),"DE SANTIAGO")</f>
        <v>DE SANTIAGO</v>
      </c>
      <c r="C31" s="64" t="str">
        <f>IFERROR(__xludf.DUMMYFUNCTION("""COMPUTED_VALUE"""),"SANCHEZ")</f>
        <v>SANCHEZ</v>
      </c>
      <c r="D31" s="54" t="str">
        <f>IFERROR(__xludf.DUMMYFUNCTION("""COMPUTED_VALUE"""),"OSCAR")</f>
        <v>OSCAR</v>
      </c>
      <c r="E31" s="56">
        <f>IFERROR(__xludf.DUMMYFUNCTION("""COMPUTED_VALUE"""),6.5)</f>
        <v>6.5</v>
      </c>
      <c r="F31" s="55">
        <f>IFERROR(__xludf.DUMMYFUNCTION("""COMPUTED_VALUE"""),2.0)</f>
        <v>2</v>
      </c>
      <c r="G31" s="56">
        <f>IFERROR(__xludf.DUMMYFUNCTION("""COMPUTED_VALUE"""),1.0)</f>
        <v>1</v>
      </c>
      <c r="H31" s="57">
        <f>IFERROR(__xludf.DUMMYFUNCTION("""COMPUTED_VALUE"""),9.5)</f>
        <v>9.5</v>
      </c>
      <c r="I31" s="58">
        <f>IFERROR(__xludf.DUMMYFUNCTION("""COMPUTED_VALUE"""),1.0)</f>
        <v>1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IFERROR(__xludf.DUMMYFUNCTION("""COMPUTED_VALUE"""),"DOMINGUEZ")</f>
        <v>DOMINGUEZ</v>
      </c>
      <c r="C32" s="53" t="str">
        <f>IFERROR(__xludf.DUMMYFUNCTION("""COMPUTED_VALUE"""),"RODRIGUEZ")</f>
        <v>RODRIGUEZ</v>
      </c>
      <c r="D32" s="54" t="str">
        <f>IFERROR(__xludf.DUMMYFUNCTION("""COMPUTED_VALUE"""),"ISABELLA VICTORIA")</f>
        <v>ISABELLA VICTORIA</v>
      </c>
      <c r="E32" s="55">
        <f>IFERROR(__xludf.DUMMYFUNCTION("""COMPUTED_VALUE"""),5.5)</f>
        <v>5.5</v>
      </c>
      <c r="F32" s="55">
        <f>IFERROR(__xludf.DUMMYFUNCTION("""COMPUTED_VALUE"""),2.0)</f>
        <v>2</v>
      </c>
      <c r="G32" s="56">
        <f>IFERROR(__xludf.DUMMYFUNCTION("""COMPUTED_VALUE"""),1.0)</f>
        <v>1</v>
      </c>
      <c r="H32" s="57">
        <f>IFERROR(__xludf.DUMMYFUNCTION("""COMPUTED_VALUE"""),8.5)</f>
        <v>8.5</v>
      </c>
      <c r="I32" s="58">
        <f>IFERROR(__xludf.DUMMYFUNCTION("""COMPUTED_VALUE"""),0.0)</f>
        <v>0</v>
      </c>
      <c r="J32" s="59">
        <f>IFERROR(__xludf.DUMMYFUNCTION("""COMPUTED_VALUE"""),9.0)</f>
        <v>9</v>
      </c>
      <c r="K32" s="51"/>
      <c r="L32" s="61">
        <f>IFERROR(__xludf.DUMMYFUNCTION("""COMPUTED_VALUE"""),9.0)</f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IFERROR(__xludf.DUMMYFUNCTION("""COMPUTED_VALUE"""),"ESLAVA")</f>
        <v>ESLAVA</v>
      </c>
      <c r="C33" s="53" t="str">
        <f>IFERROR(__xludf.DUMMYFUNCTION("""COMPUTED_VALUE"""),"CEDILLO")</f>
        <v>CEDILLO</v>
      </c>
      <c r="D33" s="54" t="str">
        <f>IFERROR(__xludf.DUMMYFUNCTION("""COMPUTED_VALUE"""),"DIEGO EVERARDO")</f>
        <v>DIEGO EVERARDO</v>
      </c>
      <c r="E33" s="55">
        <f>IFERROR(__xludf.DUMMYFUNCTION("""COMPUTED_VALUE"""),5.8)</f>
        <v>5.8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IFERROR(__xludf.DUMMYFUNCTION("""COMPUTED_VALUE"""),8.8)</f>
        <v>8.8</v>
      </c>
      <c r="I33" s="58">
        <f>IFERROR(__xludf.DUMMYFUNCTION("""COMPUTED_VALUE"""),0.0)</f>
        <v>0</v>
      </c>
      <c r="J33" s="59">
        <f>IFERROR(__xludf.DUMMYFUNCTION("""COMPUTED_VALUE"""),9.0)</f>
        <v>9</v>
      </c>
      <c r="K33" s="51"/>
      <c r="L33" s="61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IFERROR(__xludf.DUMMYFUNCTION("""COMPUTED_VALUE"""),"FLORES")</f>
        <v>FLORES</v>
      </c>
      <c r="C34" s="53" t="str">
        <f>IFERROR(__xludf.DUMMYFUNCTION("""COMPUTED_VALUE"""),"GARCIA")</f>
        <v>GARCIA</v>
      </c>
      <c r="D34" s="54" t="str">
        <f>IFERROR(__xludf.DUMMYFUNCTION("""COMPUTED_VALUE"""),"BYRON ALBERTO")</f>
        <v>BYRON ALBERTO</v>
      </c>
      <c r="E34" s="56">
        <f>IFERROR(__xludf.DUMMYFUNCTION("""COMPUTED_VALUE"""),8.0)</f>
        <v>8</v>
      </c>
      <c r="F34" s="55">
        <f>IFERROR(__xludf.DUMMYFUNCTION("""COMPUTED_VALUE"""),2.0)</f>
        <v>2</v>
      </c>
      <c r="G34" s="56">
        <f>IFERROR(__xludf.DUMMYFUNCTION("""COMPUTED_VALUE"""),1.0)</f>
        <v>1</v>
      </c>
      <c r="H34" s="57">
        <f>IFERROR(__xludf.DUMMYFUNCTION("""COMPUTED_VALUE"""),11.0)</f>
        <v>11</v>
      </c>
      <c r="I34" s="58">
        <f>IFERROR(__xludf.DUMMYFUNCTION("""COMPUTED_VALUE"""),0.0)</f>
        <v>0</v>
      </c>
      <c r="J34" s="59">
        <f>IFERROR(__xludf.DUMMYFUNCTION("""COMPUTED_VALUE"""),10.0)</f>
        <v>10</v>
      </c>
      <c r="K34" s="51"/>
      <c r="L34" s="61">
        <f>IFERROR(__xludf.DUMMYFUNCTION("""COMPUTED_VALUE"""),11.0)</f>
        <v>11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IFERROR(__xludf.DUMMYFUNCTION("""COMPUTED_VALUE"""),"GARCIA")</f>
        <v>GARCIA</v>
      </c>
      <c r="C35" s="53" t="str">
        <f>IFERROR(__xludf.DUMMYFUNCTION("""COMPUTED_VALUE"""),"ESCOBAR")</f>
        <v>ESCOBAR</v>
      </c>
      <c r="D35" s="54" t="str">
        <f>IFERROR(__xludf.DUMMYFUNCTION("""COMPUTED_VALUE"""),"DALIA ANGELINA")</f>
        <v>DALIA ANGELINA</v>
      </c>
      <c r="E35" s="55">
        <f>IFERROR(__xludf.DUMMYFUNCTION("""COMPUTED_VALUE"""),7.5)</f>
        <v>7.5</v>
      </c>
      <c r="F35" s="55">
        <f>IFERROR(__xludf.DUMMYFUNCTION("""COMPUTED_VALUE"""),2.0)</f>
        <v>2</v>
      </c>
      <c r="G35" s="56">
        <f>IFERROR(__xludf.DUMMYFUNCTION("""COMPUTED_VALUE"""),1.0)</f>
        <v>1</v>
      </c>
      <c r="H35" s="57">
        <f>IFERROR(__xludf.DUMMYFUNCTION("""COMPUTED_VALUE"""),10.5)</f>
        <v>10.5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IFERROR(__xludf.DUMMYFUNCTION("""COMPUTED_VALUE"""),11.0)</f>
        <v>11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IFERROR(__xludf.DUMMYFUNCTION("""COMPUTED_VALUE"""),"GONZALEZ")</f>
        <v>GONZALEZ</v>
      </c>
      <c r="C36" s="53" t="str">
        <f>IFERROR(__xludf.DUMMYFUNCTION("""COMPUTED_VALUE"""),"BAÑOS")</f>
        <v>BAÑOS</v>
      </c>
      <c r="D36" s="54" t="str">
        <f>IFERROR(__xludf.DUMMYFUNCTION("""COMPUTED_VALUE"""),"DAVID EDUARDO")</f>
        <v>DAVID EDUARDO</v>
      </c>
      <c r="E36" s="55">
        <f>IFERROR(__xludf.DUMMYFUNCTION("""COMPUTED_VALUE"""),5.0)</f>
        <v>5</v>
      </c>
      <c r="F36" s="55">
        <f>IFERROR(__xludf.DUMMYFUNCTION("""COMPUTED_VALUE"""),2.0)</f>
        <v>2</v>
      </c>
      <c r="G36" s="56"/>
      <c r="H36" s="57">
        <f>IFERROR(__xludf.DUMMYFUNCTION("""COMPUTED_VALUE"""),7.0)</f>
        <v>7</v>
      </c>
      <c r="I36" s="58">
        <f>IFERROR(__xludf.DUMMYFUNCTION("""COMPUTED_VALUE"""),0.0)</f>
        <v>0</v>
      </c>
      <c r="J36" s="59">
        <f>IFERROR(__xludf.DUMMYFUNCTION("""COMPUTED_VALUE"""),7.0)</f>
        <v>7</v>
      </c>
      <c r="K36" s="51"/>
      <c r="L36" s="61">
        <f>IFERROR(__xludf.DUMMYFUNCTION("""COMPUTED_VALUE"""),7.0)</f>
        <v>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IFERROR(__xludf.DUMMYFUNCTION("""COMPUTED_VALUE"""),"GONZALEZ")</f>
        <v>GONZALEZ</v>
      </c>
      <c r="C37" s="53" t="str">
        <f>IFERROR(__xludf.DUMMYFUNCTION("""COMPUTED_VALUE"""),"CAZARES")</f>
        <v>CAZARES</v>
      </c>
      <c r="D37" s="65" t="str">
        <f>IFERROR(__xludf.DUMMYFUNCTION("""COMPUTED_VALUE"""),"CRISTHIAN")</f>
        <v>CRISTHIAN</v>
      </c>
      <c r="E37" s="56">
        <f>IFERROR(__xludf.DUMMYFUNCTION("""COMPUTED_VALUE"""),4.8)</f>
        <v>4.8</v>
      </c>
      <c r="F37" s="55">
        <f>IFERROR(__xludf.DUMMYFUNCTION("""COMPUTED_VALUE"""),2.0)</f>
        <v>2</v>
      </c>
      <c r="G37" s="56">
        <f>IFERROR(__xludf.DUMMYFUNCTION("""COMPUTED_VALUE"""),1.0)</f>
        <v>1</v>
      </c>
      <c r="H37" s="57">
        <f>IFERROR(__xludf.DUMMYFUNCTION("""COMPUTED_VALUE"""),7.8)</f>
        <v>7.8</v>
      </c>
      <c r="I37" s="58">
        <f>IFERROR(__xludf.DUMMYFUNCTION("""COMPUTED_VALUE"""),1.0)</f>
        <v>1</v>
      </c>
      <c r="J37" s="59">
        <f>IFERROR(__xludf.DUMMYFUNCTION("""COMPUTED_VALUE"""),8.0)</f>
        <v>8</v>
      </c>
      <c r="K37" s="51"/>
      <c r="L37" s="61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IFERROR(__xludf.DUMMYFUNCTION("""COMPUTED_VALUE"""),"GRANADOS")</f>
        <v>GRANADOS</v>
      </c>
      <c r="C38" s="53" t="str">
        <f>IFERROR(__xludf.DUMMYFUNCTION("""COMPUTED_VALUE"""),"GUERRERO")</f>
        <v>GUERRERO</v>
      </c>
      <c r="D38" s="54" t="str">
        <f>IFERROR(__xludf.DUMMYFUNCTION("""COMPUTED_VALUE"""),"ZARA")</f>
        <v>ZARA</v>
      </c>
      <c r="E38" s="55">
        <f>IFERROR(__xludf.DUMMYFUNCTION("""COMPUTED_VALUE"""),6.0)</f>
        <v>6</v>
      </c>
      <c r="F38" s="55">
        <f>IFERROR(__xludf.DUMMYFUNCTION("""COMPUTED_VALUE"""),2.0)</f>
        <v>2</v>
      </c>
      <c r="G38" s="56"/>
      <c r="H38" s="57">
        <f>IFERROR(__xludf.DUMMYFUNCTION("""COMPUTED_VALUE"""),8.0)</f>
        <v>8</v>
      </c>
      <c r="I38" s="58">
        <f>IFERROR(__xludf.DUMMYFUNCTION("""COMPUTED_VALUE"""),0.0)</f>
        <v>0</v>
      </c>
      <c r="J38" s="59">
        <f>IFERROR(__xludf.DUMMYFUNCTION("""COMPUTED_VALUE"""),8.0)</f>
        <v>8</v>
      </c>
      <c r="K38" s="51"/>
      <c r="L38" s="61">
        <f>IFERROR(__xludf.DUMMYFUNCTION("""COMPUTED_VALUE"""),8.0)</f>
        <v>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IFERROR(__xludf.DUMMYFUNCTION("""COMPUTED_VALUE"""),"HERNANDEZ")</f>
        <v>HERNANDEZ</v>
      </c>
      <c r="C39" s="53" t="str">
        <f>IFERROR(__xludf.DUMMYFUNCTION("""COMPUTED_VALUE"""),"CANCHOLA")</f>
        <v>CANCHOLA</v>
      </c>
      <c r="D39" s="65" t="str">
        <f>IFERROR(__xludf.DUMMYFUNCTION("""COMPUTED_VALUE"""),"MELANIE")</f>
        <v>MELANIE</v>
      </c>
      <c r="E39" s="55">
        <f>IFERROR(__xludf.DUMMYFUNCTION("""COMPUTED_VALUE"""),7.5)</f>
        <v>7.5</v>
      </c>
      <c r="F39" s="55">
        <f>IFERROR(__xludf.DUMMYFUNCTION("""COMPUTED_VALUE"""),2.0)</f>
        <v>2</v>
      </c>
      <c r="G39" s="56">
        <f>IFERROR(__xludf.DUMMYFUNCTION("""COMPUTED_VALUE"""),1.0)</f>
        <v>1</v>
      </c>
      <c r="H39" s="57">
        <f>IFERROR(__xludf.DUMMYFUNCTION("""COMPUTED_VALUE"""),10.5)</f>
        <v>10.5</v>
      </c>
      <c r="I39" s="58">
        <f>IFERROR(__xludf.DUMMYFUNCTION("""COMPUTED_VALUE"""),0.0)</f>
        <v>0</v>
      </c>
      <c r="J39" s="59">
        <f>IFERROR(__xludf.DUMMYFUNCTION("""COMPUTED_VALUE"""),10.0)</f>
        <v>10</v>
      </c>
      <c r="K39" s="51"/>
      <c r="L39" s="61">
        <f>IFERROR(__xludf.DUMMYFUNCTION("""COMPUTED_VALUE"""),11.0)</f>
        <v>11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24.75" customHeight="1">
      <c r="A40" s="51">
        <f>IFERROR(__xludf.DUMMYFUNCTION("""COMPUTED_VALUE"""),24.0)</f>
        <v>24</v>
      </c>
      <c r="B40" s="66" t="str">
        <f>IFERROR(__xludf.DUMMYFUNCTION("""COMPUTED_VALUE"""),"HERNANDEZ")</f>
        <v>HERNANDEZ</v>
      </c>
      <c r="C40" s="67" t="str">
        <f>IFERROR(__xludf.DUMMYFUNCTION("""COMPUTED_VALUE"""),"ESPARRAGOZA")</f>
        <v>ESPARRAGOZA</v>
      </c>
      <c r="D40" s="54" t="str">
        <f>IFERROR(__xludf.DUMMYFUNCTION("""COMPUTED_VALUE"""),"DANTE ALEXANDER")</f>
        <v>DANTE ALEXANDER</v>
      </c>
      <c r="E40" s="55">
        <f>IFERROR(__xludf.DUMMYFUNCTION("""COMPUTED_VALUE"""),4.5)</f>
        <v>4.5</v>
      </c>
      <c r="F40" s="55">
        <f>IFERROR(__xludf.DUMMYFUNCTION("""COMPUTED_VALUE"""),2.0)</f>
        <v>2</v>
      </c>
      <c r="G40" s="56"/>
      <c r="H40" s="57">
        <f>IFERROR(__xludf.DUMMYFUNCTION("""COMPUTED_VALUE"""),6.5)</f>
        <v>6.5</v>
      </c>
      <c r="I40" s="58">
        <f>IFERROR(__xludf.DUMMYFUNCTION("""COMPUTED_VALUE"""),0.0)</f>
        <v>0</v>
      </c>
      <c r="J40" s="59">
        <f>IFERROR(__xludf.DUMMYFUNCTION("""COMPUTED_VALUE"""),7.0)</f>
        <v>7</v>
      </c>
      <c r="K40" s="51"/>
      <c r="L40" s="61">
        <f>IFERROR(__xludf.DUMMYFUNCTION("""COMPUTED_VALUE"""),7.0)</f>
        <v>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IFERROR(__xludf.DUMMYFUNCTION("""COMPUTED_VALUE"""),"HERNANDEZ")</f>
        <v>HERNANDEZ</v>
      </c>
      <c r="C41" s="53" t="str">
        <f>IFERROR(__xludf.DUMMYFUNCTION("""COMPUTED_VALUE"""),"MUÑOZ")</f>
        <v>MUÑOZ</v>
      </c>
      <c r="D41" s="54" t="str">
        <f>IFERROR(__xludf.DUMMYFUNCTION("""COMPUTED_VALUE"""),"MARIA JOSE")</f>
        <v>MARIA JOSE</v>
      </c>
      <c r="E41" s="55">
        <f>IFERROR(__xludf.DUMMYFUNCTION("""COMPUTED_VALUE"""),6.5)</f>
        <v>6.5</v>
      </c>
      <c r="F41" s="55">
        <f>IFERROR(__xludf.DUMMYFUNCTION("""COMPUTED_VALUE"""),2.0)</f>
        <v>2</v>
      </c>
      <c r="G41" s="56">
        <f>IFERROR(__xludf.DUMMYFUNCTION("""COMPUTED_VALUE"""),1.0)</f>
        <v>1</v>
      </c>
      <c r="H41" s="57">
        <f>IFERROR(__xludf.DUMMYFUNCTION("""COMPUTED_VALUE"""),9.5)</f>
        <v>9.5</v>
      </c>
      <c r="I41" s="58">
        <f>IFERROR(__xludf.DUMMYFUNCTION("""COMPUTED_VALUE"""),0.0)</f>
        <v>0</v>
      </c>
      <c r="J41" s="59">
        <f>IFERROR(__xludf.DUMMYFUNCTION("""COMPUTED_VALUE"""),10.0)</f>
        <v>10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IFERROR(__xludf.DUMMYFUNCTION("""COMPUTED_VALUE"""),"JARAMILLO")</f>
        <v>JARAMILLO</v>
      </c>
      <c r="C42" s="53" t="str">
        <f>IFERROR(__xludf.DUMMYFUNCTION("""COMPUTED_VALUE"""),"SANDOVAL")</f>
        <v>SANDOVAL</v>
      </c>
      <c r="D42" s="54" t="str">
        <f>IFERROR(__xludf.DUMMYFUNCTION("""COMPUTED_VALUE"""),"MELANI JEREDIT")</f>
        <v>MELANI JEREDIT</v>
      </c>
      <c r="E42" s="55">
        <f>IFERROR(__xludf.DUMMYFUNCTION("""COMPUTED_VALUE"""),5.5)</f>
        <v>5.5</v>
      </c>
      <c r="F42" s="55">
        <f>IFERROR(__xludf.DUMMYFUNCTION("""COMPUTED_VALUE"""),2.0)</f>
        <v>2</v>
      </c>
      <c r="G42" s="56">
        <f>IFERROR(__xludf.DUMMYFUNCTION("""COMPUTED_VALUE"""),1.0)</f>
        <v>1</v>
      </c>
      <c r="H42" s="57">
        <f>IFERROR(__xludf.DUMMYFUNCTION("""COMPUTED_VALUE"""),8.5)</f>
        <v>8.5</v>
      </c>
      <c r="I42" s="58">
        <f>IFERROR(__xludf.DUMMYFUNCTION("""COMPUTED_VALUE"""),0.0)</f>
        <v>0</v>
      </c>
      <c r="J42" s="59">
        <f>IFERROR(__xludf.DUMMYFUNCTION("""COMPUTED_VALUE"""),9.0)</f>
        <v>9</v>
      </c>
      <c r="K42" s="51"/>
      <c r="L42" s="61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IFERROR(__xludf.DUMMYFUNCTION("""COMPUTED_VALUE"""),"LEMUS")</f>
        <v>LEMUS</v>
      </c>
      <c r="C43" s="53" t="str">
        <f>IFERROR(__xludf.DUMMYFUNCTION("""COMPUTED_VALUE"""),"AVILA")</f>
        <v>AVILA</v>
      </c>
      <c r="D43" s="54" t="str">
        <f>IFERROR(__xludf.DUMMYFUNCTION("""COMPUTED_VALUE"""),"ANA GABRIELA")</f>
        <v>ANA GABRIELA</v>
      </c>
      <c r="E43" s="55">
        <f>IFERROR(__xludf.DUMMYFUNCTION("""COMPUTED_VALUE"""),8.0)</f>
        <v>8</v>
      </c>
      <c r="F43" s="55">
        <f>IFERROR(__xludf.DUMMYFUNCTION("""COMPUTED_VALUE"""),2.0)</f>
        <v>2</v>
      </c>
      <c r="G43" s="56"/>
      <c r="H43" s="57">
        <f>IFERROR(__xludf.DUMMYFUNCTION("""COMPUTED_VALUE"""),10.0)</f>
        <v>10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IFERROR(__xludf.DUMMYFUNCTION("""COMPUTED_VALUE"""),"LOPEZ")</f>
        <v>LOPEZ</v>
      </c>
      <c r="C44" s="53" t="str">
        <f>IFERROR(__xludf.DUMMYFUNCTION("""COMPUTED_VALUE"""),"OLVERA")</f>
        <v>OLVERA</v>
      </c>
      <c r="D44" s="54" t="str">
        <f>IFERROR(__xludf.DUMMYFUNCTION("""COMPUTED_VALUE"""),"GABRIELA LIZETH")</f>
        <v>GABRIELA LIZETH</v>
      </c>
      <c r="E44" s="55">
        <f>IFERROR(__xludf.DUMMYFUNCTION("""COMPUTED_VALUE"""),8.0)</f>
        <v>8</v>
      </c>
      <c r="F44" s="55">
        <f>IFERROR(__xludf.DUMMYFUNCTION("""COMPUTED_VALUE"""),2.0)</f>
        <v>2</v>
      </c>
      <c r="G44" s="56">
        <f>IFERROR(__xludf.DUMMYFUNCTION("""COMPUTED_VALUE"""),1.0)</f>
        <v>1</v>
      </c>
      <c r="H44" s="57">
        <f>IFERROR(__xludf.DUMMYFUNCTION("""COMPUTED_VALUE"""),11.0)</f>
        <v>11</v>
      </c>
      <c r="I44" s="58">
        <f>IFERROR(__xludf.DUMMYFUNCTION("""COMPUTED_VALUE"""),0.0)</f>
        <v>0</v>
      </c>
      <c r="J44" s="59">
        <f>IFERROR(__xludf.DUMMYFUNCTION("""COMPUTED_VALUE"""),10.0)</f>
        <v>10</v>
      </c>
      <c r="K44" s="51"/>
      <c r="L44" s="61">
        <f>IFERROR(__xludf.DUMMYFUNCTION("""COMPUTED_VALUE"""),11.0)</f>
        <v>11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IFERROR(__xludf.DUMMYFUNCTION("""COMPUTED_VALUE"""),"LOPEZ")</f>
        <v>LOPEZ</v>
      </c>
      <c r="C45" s="53" t="str">
        <f>IFERROR(__xludf.DUMMYFUNCTION("""COMPUTED_VALUE"""),"PANIAGÚA")</f>
        <v>PANIAGÚA</v>
      </c>
      <c r="D45" s="54" t="str">
        <f>IFERROR(__xludf.DUMMYFUNCTION("""COMPUTED_VALUE"""),"ANGEL GIOVANNI")</f>
        <v>ANGEL GIOVANNI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>
        <f>IFERROR(__xludf.DUMMYFUNCTION("""COMPUTED_VALUE"""),1.0)</f>
        <v>1</v>
      </c>
      <c r="H45" s="57">
        <f>IFERROR(__xludf.DUMMYFUNCTION("""COMPUTED_VALUE"""),11.0)</f>
        <v>11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IFERROR(__xludf.DUMMYFUNCTION("""COMPUTED_VALUE"""),11.0)</f>
        <v>11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IFERROR(__xludf.DUMMYFUNCTION("""COMPUTED_VALUE"""),"LUNA")</f>
        <v>LUNA</v>
      </c>
      <c r="C46" s="53" t="str">
        <f>IFERROR(__xludf.DUMMYFUNCTION("""COMPUTED_VALUE"""),"HERNANDEZ")</f>
        <v>HERNANDEZ</v>
      </c>
      <c r="D46" s="54" t="str">
        <f>IFERROR(__xludf.DUMMYFUNCTION("""COMPUTED_VALUE"""),"DEA ISABELLA")</f>
        <v>DEA ISABELLA</v>
      </c>
      <c r="E46" s="55">
        <f>IFERROR(__xludf.DUMMYFUNCTION("""COMPUTED_VALUE"""),8.0)</f>
        <v>8</v>
      </c>
      <c r="F46" s="55">
        <f>IFERROR(__xludf.DUMMYFUNCTION("""COMPUTED_VALUE"""),2.0)</f>
        <v>2</v>
      </c>
      <c r="G46" s="56">
        <f>IFERROR(__xludf.DUMMYFUNCTION("""COMPUTED_VALUE"""),1.0)</f>
        <v>1</v>
      </c>
      <c r="H46" s="57">
        <f>IFERROR(__xludf.DUMMYFUNCTION("""COMPUTED_VALUE"""),11.0)</f>
        <v>11</v>
      </c>
      <c r="I46" s="58">
        <f>IFERROR(__xludf.DUMMYFUNCTION("""COMPUTED_VALUE"""),0.0)</f>
        <v>0</v>
      </c>
      <c r="J46" s="59">
        <f>IFERROR(__xludf.DUMMYFUNCTION("""COMPUTED_VALUE"""),10.0)</f>
        <v>10</v>
      </c>
      <c r="K46" s="51"/>
      <c r="L46" s="61">
        <f>IFERROR(__xludf.DUMMYFUNCTION("""COMPUTED_VALUE"""),11.0)</f>
        <v>11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IFERROR(__xludf.DUMMYFUNCTION("""COMPUTED_VALUE"""),"MARES")</f>
        <v>MARES</v>
      </c>
      <c r="C47" s="53" t="str">
        <f>IFERROR(__xludf.DUMMYFUNCTION("""COMPUTED_VALUE"""),"GONZALEZ")</f>
        <v>GONZALEZ</v>
      </c>
      <c r="D47" s="54" t="str">
        <f>IFERROR(__xludf.DUMMYFUNCTION("""COMPUTED_VALUE"""),"JOSE CARLOS")</f>
        <v>JOSE CARLOS</v>
      </c>
      <c r="E47" s="55">
        <f>IFERROR(__xludf.DUMMYFUNCTION("""COMPUTED_VALUE"""),3.0)</f>
        <v>3</v>
      </c>
      <c r="F47" s="55">
        <f>IFERROR(__xludf.DUMMYFUNCTION("""COMPUTED_VALUE"""),2.0)</f>
        <v>2</v>
      </c>
      <c r="G47" s="56">
        <f>IFERROR(__xludf.DUMMYFUNCTION("""COMPUTED_VALUE"""),1.0)</f>
        <v>1</v>
      </c>
      <c r="H47" s="57">
        <f>IFERROR(__xludf.DUMMYFUNCTION("""COMPUTED_VALUE"""),6.0)</f>
        <v>6</v>
      </c>
      <c r="I47" s="58">
        <f>IFERROR(__xludf.DUMMYFUNCTION("""COMPUTED_VALUE"""),0.0)</f>
        <v>0</v>
      </c>
      <c r="J47" s="59">
        <f>IFERROR(__xludf.DUMMYFUNCTION("""COMPUTED_VALUE"""),6.0)</f>
        <v>6</v>
      </c>
      <c r="K47" s="51"/>
      <c r="L47" s="61">
        <f>IFERROR(__xludf.DUMMYFUNCTION("""COMPUTED_VALUE"""),6.0)</f>
        <v>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IFERROR(__xludf.DUMMYFUNCTION("""COMPUTED_VALUE"""),"MARTINEZ")</f>
        <v>MARTINEZ</v>
      </c>
      <c r="C48" s="53" t="str">
        <f>IFERROR(__xludf.DUMMYFUNCTION("""COMPUTED_VALUE"""),"REYES")</f>
        <v>REYES</v>
      </c>
      <c r="D48" s="54" t="str">
        <f>IFERROR(__xludf.DUMMYFUNCTION("""COMPUTED_VALUE"""),"JACQUELINE ANDREA")</f>
        <v>JACQUELINE ANDREA</v>
      </c>
      <c r="E48" s="55">
        <f>IFERROR(__xludf.DUMMYFUNCTION("""COMPUTED_VALUE"""),6.0)</f>
        <v>6</v>
      </c>
      <c r="F48" s="55">
        <f>IFERROR(__xludf.DUMMYFUNCTION("""COMPUTED_VALUE"""),2.0)</f>
        <v>2</v>
      </c>
      <c r="G48" s="56">
        <f>IFERROR(__xludf.DUMMYFUNCTION("""COMPUTED_VALUE"""),1.0)</f>
        <v>1</v>
      </c>
      <c r="H48" s="57">
        <f>IFERROR(__xludf.DUMMYFUNCTION("""COMPUTED_VALUE"""),9.0)</f>
        <v>9</v>
      </c>
      <c r="I48" s="58">
        <f>IFERROR(__xludf.DUMMYFUNCTION("""COMPUTED_VALUE"""),0.0)</f>
        <v>0</v>
      </c>
      <c r="J48" s="59">
        <f>IFERROR(__xludf.DUMMYFUNCTION("""COMPUTED_VALUE"""),9.0)</f>
        <v>9</v>
      </c>
      <c r="K48" s="51"/>
      <c r="L48" s="61">
        <f>IFERROR(__xludf.DUMMYFUNCTION("""COMPUTED_VALUE"""),9.0)</f>
        <v>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IFERROR(__xludf.DUMMYFUNCTION("""COMPUTED_VALUE"""),"MARTINEZ")</f>
        <v>MARTINEZ</v>
      </c>
      <c r="C49" s="53" t="str">
        <f>IFERROR(__xludf.DUMMYFUNCTION("""COMPUTED_VALUE"""),"VELAZQUEZ")</f>
        <v>VELAZQUEZ</v>
      </c>
      <c r="D49" s="65" t="str">
        <f>IFERROR(__xludf.DUMMYFUNCTION("""COMPUTED_VALUE"""),"OSCAR ZADKIEL")</f>
        <v>OSCAR ZADKIEL</v>
      </c>
      <c r="E49" s="55">
        <f>IFERROR(__xludf.DUMMYFUNCTION("""COMPUTED_VALUE"""),5.0)</f>
        <v>5</v>
      </c>
      <c r="F49" s="55">
        <f>IFERROR(__xludf.DUMMYFUNCTION("""COMPUTED_VALUE"""),2.0)</f>
        <v>2</v>
      </c>
      <c r="G49" s="56"/>
      <c r="H49" s="57">
        <f>IFERROR(__xludf.DUMMYFUNCTION("""COMPUTED_VALUE"""),7.0)</f>
        <v>7</v>
      </c>
      <c r="I49" s="58">
        <f>IFERROR(__xludf.DUMMYFUNCTION("""COMPUTED_VALUE"""),0.0)</f>
        <v>0</v>
      </c>
      <c r="J49" s="59">
        <f>IFERROR(__xludf.DUMMYFUNCTION("""COMPUTED_VALUE"""),7.0)</f>
        <v>7</v>
      </c>
      <c r="K49" s="51"/>
      <c r="L49" s="61">
        <f>IFERROR(__xludf.DUMMYFUNCTION("""COMPUTED_VALUE"""),7.0)</f>
        <v>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IFERROR(__xludf.DUMMYFUNCTION("""COMPUTED_VALUE"""),"MORAN")</f>
        <v>MORAN</v>
      </c>
      <c r="C50" s="53" t="str">
        <f>IFERROR(__xludf.DUMMYFUNCTION("""COMPUTED_VALUE"""),"ALMAGUER")</f>
        <v>ALMAGUER</v>
      </c>
      <c r="D50" s="54" t="str">
        <f>IFERROR(__xludf.DUMMYFUNCTION("""COMPUTED_VALUE"""),"LEYLANI")</f>
        <v>LEYLANI</v>
      </c>
      <c r="E50" s="55">
        <f>IFERROR(__xludf.DUMMYFUNCTION("""COMPUTED_VALUE"""),5.5)</f>
        <v>5.5</v>
      </c>
      <c r="F50" s="55">
        <f>IFERROR(__xludf.DUMMYFUNCTION("""COMPUTED_VALUE"""),2.0)</f>
        <v>2</v>
      </c>
      <c r="G50" s="56"/>
      <c r="H50" s="57">
        <f>IFERROR(__xludf.DUMMYFUNCTION("""COMPUTED_VALUE"""),7.5)</f>
        <v>7.5</v>
      </c>
      <c r="I50" s="58">
        <f>IFERROR(__xludf.DUMMYFUNCTION("""COMPUTED_VALUE"""),0.0)</f>
        <v>0</v>
      </c>
      <c r="J50" s="59">
        <f>IFERROR(__xludf.DUMMYFUNCTION("""COMPUTED_VALUE"""),8.0)</f>
        <v>8</v>
      </c>
      <c r="K50" s="51"/>
      <c r="L50" s="61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IFERROR(__xludf.DUMMYFUNCTION("""COMPUTED_VALUE"""),"MORENO")</f>
        <v>MORENO</v>
      </c>
      <c r="C51" s="53" t="str">
        <f>IFERROR(__xludf.DUMMYFUNCTION("""COMPUTED_VALUE"""),"VALENZUELA")</f>
        <v>VALENZUELA</v>
      </c>
      <c r="D51" s="54" t="str">
        <f>IFERROR(__xludf.DUMMYFUNCTION("""COMPUTED_VALUE"""),"SANTIAGO ISMAEL")</f>
        <v>SANTIAGO ISMAEL</v>
      </c>
      <c r="E51" s="55">
        <f>IFERROR(__xludf.DUMMYFUNCTION("""COMPUTED_VALUE"""),4.0)</f>
        <v>4</v>
      </c>
      <c r="F51" s="55">
        <f>IFERROR(__xludf.DUMMYFUNCTION("""COMPUTED_VALUE"""),2.0)</f>
        <v>2</v>
      </c>
      <c r="G51" s="56"/>
      <c r="H51" s="57">
        <f>IFERROR(__xludf.DUMMYFUNCTION("""COMPUTED_VALUE"""),6.0)</f>
        <v>6</v>
      </c>
      <c r="I51" s="58">
        <f>IFERROR(__xludf.DUMMYFUNCTION("""COMPUTED_VALUE"""),0.0)</f>
        <v>0</v>
      </c>
      <c r="J51" s="59">
        <f>IFERROR(__xludf.DUMMYFUNCTION("""COMPUTED_VALUE"""),6.0)</f>
        <v>6</v>
      </c>
      <c r="K51" s="51"/>
      <c r="L51" s="61">
        <f>IFERROR(__xludf.DUMMYFUNCTION("""COMPUTED_VALUE"""),6.0)</f>
        <v>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IFERROR(__xludf.DUMMYFUNCTION("""COMPUTED_VALUE"""),"NUÑEZ")</f>
        <v>NUÑEZ</v>
      </c>
      <c r="C52" s="53" t="str">
        <f>IFERROR(__xludf.DUMMYFUNCTION("""COMPUTED_VALUE"""),"FLORES")</f>
        <v>FLORES</v>
      </c>
      <c r="D52" s="54" t="str">
        <f>IFERROR(__xludf.DUMMYFUNCTION("""COMPUTED_VALUE"""),"ANDREA MAYARI")</f>
        <v>ANDREA MAYARI</v>
      </c>
      <c r="E52" s="55">
        <f>IFERROR(__xludf.DUMMYFUNCTION("""COMPUTED_VALUE"""),6.5)</f>
        <v>6.5</v>
      </c>
      <c r="F52" s="55">
        <f>IFERROR(__xludf.DUMMYFUNCTION("""COMPUTED_VALUE"""),2.0)</f>
        <v>2</v>
      </c>
      <c r="G52" s="56"/>
      <c r="H52" s="57">
        <f>IFERROR(__xludf.DUMMYFUNCTION("""COMPUTED_VALUE"""),8.5)</f>
        <v>8.5</v>
      </c>
      <c r="I52" s="58">
        <f>IFERROR(__xludf.DUMMYFUNCTION("""COMPUTED_VALUE"""),0.0)</f>
        <v>0</v>
      </c>
      <c r="J52" s="59">
        <f>IFERROR(__xludf.DUMMYFUNCTION("""COMPUTED_VALUE"""),9.0)</f>
        <v>9</v>
      </c>
      <c r="K52" s="51"/>
      <c r="L52" s="60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IFERROR(__xludf.DUMMYFUNCTION("""COMPUTED_VALUE"""),"ORNELAS")</f>
        <v>ORNELAS</v>
      </c>
      <c r="C53" s="53" t="str">
        <f>IFERROR(__xludf.DUMMYFUNCTION("""COMPUTED_VALUE"""),"LOPEZ")</f>
        <v>LOPEZ</v>
      </c>
      <c r="D53" s="54" t="str">
        <f>IFERROR(__xludf.DUMMYFUNCTION("""COMPUTED_VALUE"""),"LENA VIKTORIA")</f>
        <v>LENA VIKTORIA</v>
      </c>
      <c r="E53" s="55">
        <f>IFERROR(__xludf.DUMMYFUNCTION("""COMPUTED_VALUE"""),6.8)</f>
        <v>6.8</v>
      </c>
      <c r="F53" s="55">
        <f>IFERROR(__xludf.DUMMYFUNCTION("""COMPUTED_VALUE"""),2.0)</f>
        <v>2</v>
      </c>
      <c r="G53" s="56">
        <f>IFERROR(__xludf.DUMMYFUNCTION("""COMPUTED_VALUE"""),1.0)</f>
        <v>1</v>
      </c>
      <c r="H53" s="57">
        <f>IFERROR(__xludf.DUMMYFUNCTION("""COMPUTED_VALUE"""),9.8)</f>
        <v>9.8</v>
      </c>
      <c r="I53" s="58">
        <f>IFERROR(__xludf.DUMMYFUNCTION("""COMPUTED_VALUE"""),0.0)</f>
        <v>0</v>
      </c>
      <c r="J53" s="59">
        <f>IFERROR(__xludf.DUMMYFUNCTION("""COMPUTED_VALUE"""),10.0)</f>
        <v>10</v>
      </c>
      <c r="K53" s="51"/>
      <c r="L53" s="60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IFERROR(__xludf.DUMMYFUNCTION("""COMPUTED_VALUE"""),"ORTIZ")</f>
        <v>ORTIZ</v>
      </c>
      <c r="C54" s="53" t="str">
        <f>IFERROR(__xludf.DUMMYFUNCTION("""COMPUTED_VALUE"""),"RODRIGUEZ")</f>
        <v>RODRIGUEZ</v>
      </c>
      <c r="D54" s="68" t="str">
        <f>IFERROR(__xludf.DUMMYFUNCTION("""COMPUTED_VALUE"""),"GUILLERMO")</f>
        <v>GUILLERMO</v>
      </c>
      <c r="E54" s="55">
        <f>IFERROR(__xludf.DUMMYFUNCTION("""COMPUTED_VALUE"""),5.5)</f>
        <v>5.5</v>
      </c>
      <c r="F54" s="55">
        <f>IFERROR(__xludf.DUMMYFUNCTION("""COMPUTED_VALUE"""),2.0)</f>
        <v>2</v>
      </c>
      <c r="G54" s="56"/>
      <c r="H54" s="57">
        <f>IFERROR(__xludf.DUMMYFUNCTION("""COMPUTED_VALUE"""),7.5)</f>
        <v>7.5</v>
      </c>
      <c r="I54" s="58">
        <f>IFERROR(__xludf.DUMMYFUNCTION("""COMPUTED_VALUE"""),0.0)</f>
        <v>0</v>
      </c>
      <c r="J54" s="59">
        <f>IFERROR(__xludf.DUMMYFUNCTION("""COMPUTED_VALUE"""),8.0)</f>
        <v>8</v>
      </c>
      <c r="K54" s="51"/>
      <c r="L54" s="60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IFERROR(__xludf.DUMMYFUNCTION("""COMPUTED_VALUE"""),"PACHECO")</f>
        <v>PACHECO</v>
      </c>
      <c r="C55" s="53" t="str">
        <f>IFERROR(__xludf.DUMMYFUNCTION("""COMPUTED_VALUE"""),"OLIVARES")</f>
        <v>OLIVARES</v>
      </c>
      <c r="D55" s="54" t="str">
        <f>IFERROR(__xludf.DUMMYFUNCTION("""COMPUTED_VALUE"""),"ANDRES")</f>
        <v>ANDRES</v>
      </c>
      <c r="E55" s="55">
        <f>IFERROR(__xludf.DUMMYFUNCTION("""COMPUTED_VALUE"""),5.0)</f>
        <v>5</v>
      </c>
      <c r="F55" s="55">
        <f>IFERROR(__xludf.DUMMYFUNCTION("""COMPUTED_VALUE"""),2.0)</f>
        <v>2</v>
      </c>
      <c r="G55" s="56"/>
      <c r="H55" s="57">
        <f>IFERROR(__xludf.DUMMYFUNCTION("""COMPUTED_VALUE"""),7.0)</f>
        <v>7</v>
      </c>
      <c r="I55" s="69">
        <f>IFERROR(__xludf.DUMMYFUNCTION("""COMPUTED_VALUE"""),0.0)</f>
        <v>0</v>
      </c>
      <c r="J55" s="59">
        <f>IFERROR(__xludf.DUMMYFUNCTION("""COMPUTED_VALUE"""),7.0)</f>
        <v>7</v>
      </c>
      <c r="K55" s="51"/>
      <c r="L55" s="60">
        <f>IFERROR(__xludf.DUMMYFUNCTION("""COMPUTED_VALUE"""),7.0)</f>
        <v>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IFERROR(__xludf.DUMMYFUNCTION("""COMPUTED_VALUE"""),"PEREZ")</f>
        <v>PEREZ</v>
      </c>
      <c r="C56" s="53" t="str">
        <f>IFERROR(__xludf.DUMMYFUNCTION("""COMPUTED_VALUE"""),"SUAREZ")</f>
        <v>SUAREZ</v>
      </c>
      <c r="D56" s="54" t="str">
        <f>IFERROR(__xludf.DUMMYFUNCTION("""COMPUTED_VALUE"""),"DAVETH OSIEL")</f>
        <v>DAVETH OSIEL</v>
      </c>
      <c r="E56" s="55">
        <f>IFERROR(__xludf.DUMMYFUNCTION("""COMPUTED_VALUE"""),7.5)</f>
        <v>7.5</v>
      </c>
      <c r="F56" s="55">
        <f>IFERROR(__xludf.DUMMYFUNCTION("""COMPUTED_VALUE"""),2.0)</f>
        <v>2</v>
      </c>
      <c r="G56" s="56">
        <f>IFERROR(__xludf.DUMMYFUNCTION("""COMPUTED_VALUE"""),1.0)</f>
        <v>1</v>
      </c>
      <c r="H56" s="57">
        <f>IFERROR(__xludf.DUMMYFUNCTION("""COMPUTED_VALUE"""),10.5)</f>
        <v>10.5</v>
      </c>
      <c r="I56" s="69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IFERROR(__xludf.DUMMYFUNCTION("""COMPUTED_VALUE"""),11.0)</f>
        <v>11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IFERROR(__xludf.DUMMYFUNCTION("""COMPUTED_VALUE"""),"PUC")</f>
        <v>PUC</v>
      </c>
      <c r="C57" s="53" t="str">
        <f>IFERROR(__xludf.DUMMYFUNCTION("""COMPUTED_VALUE"""),"JIMENEZ")</f>
        <v>JIMENEZ</v>
      </c>
      <c r="D57" s="54" t="str">
        <f>IFERROR(__xludf.DUMMYFUNCTION("""COMPUTED_VALUE"""),"XIMENA DANIELA")</f>
        <v>XIMENA DANIELA</v>
      </c>
      <c r="E57" s="55">
        <f>IFERROR(__xludf.DUMMYFUNCTION("""COMPUTED_VALUE"""),8.0)</f>
        <v>8</v>
      </c>
      <c r="F57" s="55">
        <f>IFERROR(__xludf.DUMMYFUNCTION("""COMPUTED_VALUE"""),2.0)</f>
        <v>2</v>
      </c>
      <c r="G57" s="56"/>
      <c r="H57" s="57">
        <f>IFERROR(__xludf.DUMMYFUNCTION("""COMPUTED_VALUE"""),10.0)</f>
        <v>10</v>
      </c>
      <c r="I57" s="69">
        <f>IFERROR(__xludf.DUMMYFUNCTION("""COMPUTED_VALUE"""),1.0)</f>
        <v>1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IFERROR(__xludf.DUMMYFUNCTION("""COMPUTED_VALUE"""),"RAMIREZ")</f>
        <v>RAMIREZ</v>
      </c>
      <c r="C58" s="53" t="str">
        <f>IFERROR(__xludf.DUMMYFUNCTION("""COMPUTED_VALUE"""),"ROMAN")</f>
        <v>ROMAN</v>
      </c>
      <c r="D58" s="54" t="str">
        <f>IFERROR(__xludf.DUMMYFUNCTION("""COMPUTED_VALUE"""),"XIMENA")</f>
        <v>XIMENA</v>
      </c>
      <c r="E58" s="55">
        <f>IFERROR(__xludf.DUMMYFUNCTION("""COMPUTED_VALUE"""),6.8)</f>
        <v>6.8</v>
      </c>
      <c r="F58" s="55">
        <f>IFERROR(__xludf.DUMMYFUNCTION("""COMPUTED_VALUE"""),2.0)</f>
        <v>2</v>
      </c>
      <c r="G58" s="56">
        <f>IFERROR(__xludf.DUMMYFUNCTION("""COMPUTED_VALUE"""),1.0)</f>
        <v>1</v>
      </c>
      <c r="H58" s="57">
        <f>IFERROR(__xludf.DUMMYFUNCTION("""COMPUTED_VALUE"""),9.8)</f>
        <v>9.8</v>
      </c>
      <c r="I58" s="69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4.75" customHeight="1">
      <c r="A59" s="51">
        <f>IFERROR(__xludf.DUMMYFUNCTION("""COMPUTED_VALUE"""),43.0)</f>
        <v>43</v>
      </c>
      <c r="B59" s="66" t="str">
        <f>IFERROR(__xludf.DUMMYFUNCTION("""COMPUTED_VALUE"""),"REYES")</f>
        <v>REYES</v>
      </c>
      <c r="C59" s="67" t="str">
        <f>IFERROR(__xludf.DUMMYFUNCTION("""COMPUTED_VALUE"""),"TREJO")</f>
        <v>TREJO</v>
      </c>
      <c r="D59" s="54" t="str">
        <f>IFERROR(__xludf.DUMMYFUNCTION("""COMPUTED_VALUE"""),"HUGO DASTAN")</f>
        <v>HUGO DASTAN</v>
      </c>
      <c r="E59" s="55">
        <f>IFERROR(__xludf.DUMMYFUNCTION("""COMPUTED_VALUE"""),5.5)</f>
        <v>5.5</v>
      </c>
      <c r="F59" s="55">
        <f>IFERROR(__xludf.DUMMYFUNCTION("""COMPUTED_VALUE"""),2.0)</f>
        <v>2</v>
      </c>
      <c r="G59" s="56">
        <f>IFERROR(__xludf.DUMMYFUNCTION("""COMPUTED_VALUE"""),1.0)</f>
        <v>1</v>
      </c>
      <c r="H59" s="57">
        <f>IFERROR(__xludf.DUMMYFUNCTION("""COMPUTED_VALUE"""),8.5)</f>
        <v>8.5</v>
      </c>
      <c r="I59" s="69">
        <f>IFERROR(__xludf.DUMMYFUNCTION("""COMPUTED_VALUE"""),0.0)</f>
        <v>0</v>
      </c>
      <c r="J59" s="59">
        <f>IFERROR(__xludf.DUMMYFUNCTION("""COMPUTED_VALUE"""),9.0)</f>
        <v>9</v>
      </c>
      <c r="K59" s="51"/>
      <c r="L59" s="60">
        <f>IFERROR(__xludf.DUMMYFUNCTION("""COMPUTED_VALUE"""),9.0)</f>
        <v>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4.75" customHeight="1">
      <c r="A60" s="51">
        <f>IFERROR(__xludf.DUMMYFUNCTION("""COMPUTED_VALUE"""),44.0)</f>
        <v>44</v>
      </c>
      <c r="B60" s="70" t="str">
        <f>IFERROR(__xludf.DUMMYFUNCTION("""COMPUTED_VALUE"""),"RODRIGUEZ")</f>
        <v>RODRIGUEZ</v>
      </c>
      <c r="C60" s="53" t="str">
        <f>IFERROR(__xludf.DUMMYFUNCTION("""COMPUTED_VALUE"""),"ROSAS")</f>
        <v>ROSAS</v>
      </c>
      <c r="D60" s="54" t="str">
        <f>IFERROR(__xludf.DUMMYFUNCTION("""COMPUTED_VALUE"""),"XOCHITL")</f>
        <v>XOCHITL</v>
      </c>
      <c r="E60" s="55">
        <f>IFERROR(__xludf.DUMMYFUNCTION("""COMPUTED_VALUE"""),8.0)</f>
        <v>8</v>
      </c>
      <c r="F60" s="55">
        <f>IFERROR(__xludf.DUMMYFUNCTION("""COMPUTED_VALUE"""),2.0)</f>
        <v>2</v>
      </c>
      <c r="G60" s="56">
        <f>IFERROR(__xludf.DUMMYFUNCTION("""COMPUTED_VALUE"""),1.0)</f>
        <v>1</v>
      </c>
      <c r="H60" s="57">
        <f>IFERROR(__xludf.DUMMYFUNCTION("""COMPUTED_VALUE"""),11.0)</f>
        <v>11</v>
      </c>
      <c r="I60" s="69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IFERROR(__xludf.DUMMYFUNCTION("""COMPUTED_VALUE"""),11.0)</f>
        <v>11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IFERROR(__xludf.DUMMYFUNCTION("""COMPUTED_VALUE"""),"RUBIO")</f>
        <v>RUBIO</v>
      </c>
      <c r="C61" s="53" t="str">
        <f>IFERROR(__xludf.DUMMYFUNCTION("""COMPUTED_VALUE"""),"HERNANDEZ")</f>
        <v>HERNANDEZ</v>
      </c>
      <c r="D61" s="54" t="str">
        <f>IFERROR(__xludf.DUMMYFUNCTION("""COMPUTED_VALUE"""),"MACIEL ALEJANDRA")</f>
        <v>MACIEL ALEJANDRA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>
        <f>IFERROR(__xludf.DUMMYFUNCTION("""COMPUTED_VALUE"""),1.0)</f>
        <v>1</v>
      </c>
      <c r="H61" s="57">
        <f>IFERROR(__xludf.DUMMYFUNCTION("""COMPUTED_VALUE"""),11.0)</f>
        <v>11</v>
      </c>
      <c r="I61" s="69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IFERROR(__xludf.DUMMYFUNCTION("""COMPUTED_VALUE"""),11.0)</f>
        <v>11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24.75" customHeight="1">
      <c r="A62" s="51">
        <f>IFERROR(__xludf.DUMMYFUNCTION("""COMPUTED_VALUE"""),46.0)</f>
        <v>46</v>
      </c>
      <c r="B62" s="70" t="str">
        <f>IFERROR(__xludf.DUMMYFUNCTION("""COMPUTED_VALUE"""),"SANTANA")</f>
        <v>SANTANA</v>
      </c>
      <c r="C62" s="53" t="str">
        <f>IFERROR(__xludf.DUMMYFUNCTION("""COMPUTED_VALUE"""),"LARA")</f>
        <v>LARA</v>
      </c>
      <c r="D62" s="54" t="str">
        <f>IFERROR(__xludf.DUMMYFUNCTION("""COMPUTED_VALUE"""),"IRVING WILLIAM")</f>
        <v>IRVING WILLIAM</v>
      </c>
      <c r="E62" s="55">
        <f>IFERROR(__xludf.DUMMYFUNCTION("""COMPUTED_VALUE"""),7.0)</f>
        <v>7</v>
      </c>
      <c r="F62" s="55">
        <f>IFERROR(__xludf.DUMMYFUNCTION("""COMPUTED_VALUE"""),2.0)</f>
        <v>2</v>
      </c>
      <c r="G62" s="56"/>
      <c r="H62" s="57">
        <f>IFERROR(__xludf.DUMMYFUNCTION("""COMPUTED_VALUE"""),9.0)</f>
        <v>9</v>
      </c>
      <c r="I62" s="69">
        <f>IFERROR(__xludf.DUMMYFUNCTION("""COMPUTED_VALUE"""),1.0)</f>
        <v>1</v>
      </c>
      <c r="J62" s="59">
        <f>IFERROR(__xludf.DUMMYFUNCTION("""COMPUTED_VALUE"""),9.0)</f>
        <v>9</v>
      </c>
      <c r="K62" s="51"/>
      <c r="L62" s="60">
        <f>IFERROR(__xludf.DUMMYFUNCTION("""COMPUTED_VALUE"""),9.0)</f>
        <v>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4.75" customHeight="1">
      <c r="A63" s="51">
        <f>IFERROR(__xludf.DUMMYFUNCTION("""COMPUTED_VALUE"""),47.0)</f>
        <v>47</v>
      </c>
      <c r="B63" s="70" t="str">
        <f>IFERROR(__xludf.DUMMYFUNCTION("""COMPUTED_VALUE"""),"SANTILLAN")</f>
        <v>SANTILLAN</v>
      </c>
      <c r="C63" s="53" t="str">
        <f>IFERROR(__xludf.DUMMYFUNCTION("""COMPUTED_VALUE"""),"GONZALEZ")</f>
        <v>GONZALEZ</v>
      </c>
      <c r="D63" s="54" t="str">
        <f>IFERROR(__xludf.DUMMYFUNCTION("""COMPUTED_VALUE"""),"JAZMIN")</f>
        <v>JAZMIN</v>
      </c>
      <c r="E63" s="55">
        <f>IFERROR(__xludf.DUMMYFUNCTION("""COMPUTED_VALUE"""),7.0)</f>
        <v>7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IFERROR(__xludf.DUMMYFUNCTION("""COMPUTED_VALUE"""),10.0)</f>
        <v>10</v>
      </c>
      <c r="I63" s="69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IFERROR(__xludf.DUMMYFUNCTION("""COMPUTED_VALUE"""),10.0)</f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4.75" customHeight="1">
      <c r="A64" s="51">
        <f>IFERROR(__xludf.DUMMYFUNCTION("""COMPUTED_VALUE"""),48.0)</f>
        <v>48</v>
      </c>
      <c r="B64" s="70" t="str">
        <f>IFERROR(__xludf.DUMMYFUNCTION("""COMPUTED_VALUE"""),"SUAREZ")</f>
        <v>SUAREZ</v>
      </c>
      <c r="C64" s="53" t="str">
        <f>IFERROR(__xludf.DUMMYFUNCTION("""COMPUTED_VALUE"""),"MUÑOZ")</f>
        <v>MUÑOZ</v>
      </c>
      <c r="D64" s="54" t="str">
        <f>IFERROR(__xludf.DUMMYFUNCTION("""COMPUTED_VALUE"""),"ALDO YAEL")</f>
        <v>ALDO YAEL</v>
      </c>
      <c r="E64" s="55">
        <f>IFERROR(__xludf.DUMMYFUNCTION("""COMPUTED_VALUE"""),4.8)</f>
        <v>4.8</v>
      </c>
      <c r="F64" s="55">
        <f>IFERROR(__xludf.DUMMYFUNCTION("""COMPUTED_VALUE"""),2.0)</f>
        <v>2</v>
      </c>
      <c r="G64" s="56">
        <f>IFERROR(__xludf.DUMMYFUNCTION("""COMPUTED_VALUE"""),1.0)</f>
        <v>1</v>
      </c>
      <c r="H64" s="57">
        <f>IFERROR(__xludf.DUMMYFUNCTION("""COMPUTED_VALUE"""),7.8)</f>
        <v>7.8</v>
      </c>
      <c r="I64" s="69">
        <f>IFERROR(__xludf.DUMMYFUNCTION("""COMPUTED_VALUE"""),1.0)</f>
        <v>1</v>
      </c>
      <c r="J64" s="59">
        <f>IFERROR(__xludf.DUMMYFUNCTION("""COMPUTED_VALUE"""),8.0)</f>
        <v>8</v>
      </c>
      <c r="K64" s="51"/>
      <c r="L64" s="60">
        <f>IFERROR(__xludf.DUMMYFUNCTION("""COMPUTED_VALUE"""),8.0)</f>
        <v>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4.75" customHeight="1">
      <c r="A65" s="51">
        <f>IFERROR(__xludf.DUMMYFUNCTION("""COMPUTED_VALUE"""),49.0)</f>
        <v>49</v>
      </c>
      <c r="B65" s="70" t="str">
        <f>IFERROR(__xludf.DUMMYFUNCTION("""COMPUTED_VALUE"""),"TORRES")</f>
        <v>TORRES</v>
      </c>
      <c r="C65" s="53" t="str">
        <f>IFERROR(__xludf.DUMMYFUNCTION("""COMPUTED_VALUE"""),"DE LEON")</f>
        <v>DE LEON</v>
      </c>
      <c r="D65" s="54" t="str">
        <f>IFERROR(__xludf.DUMMYFUNCTION("""COMPUTED_VALUE"""),"AMAIRANI")</f>
        <v>AMAIRANI</v>
      </c>
      <c r="E65" s="55">
        <f>IFERROR(__xludf.DUMMYFUNCTION("""COMPUTED_VALUE"""),8.0)</f>
        <v>8</v>
      </c>
      <c r="F65" s="55">
        <f>IFERROR(__xludf.DUMMYFUNCTION("""COMPUTED_VALUE"""),2.0)</f>
        <v>2</v>
      </c>
      <c r="G65" s="56">
        <f>IFERROR(__xludf.DUMMYFUNCTION("""COMPUTED_VALUE"""),1.0)</f>
        <v>1</v>
      </c>
      <c r="H65" s="57">
        <f>IFERROR(__xludf.DUMMYFUNCTION("""COMPUTED_VALUE"""),11.0)</f>
        <v>11</v>
      </c>
      <c r="I65" s="55">
        <f>IFERROR(__xludf.DUMMYFUNCTION("""COMPUTED_VALUE"""),0.0)</f>
        <v>0</v>
      </c>
      <c r="J65" s="59">
        <f>IFERROR(__xludf.DUMMYFUNCTION("""COMPUTED_VALUE"""),10.0)</f>
        <v>10</v>
      </c>
      <c r="K65" s="51"/>
      <c r="L65" s="60">
        <f>IFERROR(__xludf.DUMMYFUNCTION("""COMPUTED_VALUE"""),11.0)</f>
        <v>11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4.75" customHeight="1">
      <c r="A66" s="51">
        <f>IFERROR(__xludf.DUMMYFUNCTION("""COMPUTED_VALUE"""),50.0)</f>
        <v>50</v>
      </c>
      <c r="B66" s="70" t="str">
        <f>IFERROR(__xludf.DUMMYFUNCTION("""COMPUTED_VALUE"""),"VALDEZ")</f>
        <v>VALDEZ</v>
      </c>
      <c r="C66" s="53" t="str">
        <f>IFERROR(__xludf.DUMMYFUNCTION("""COMPUTED_VALUE"""),"ROBLES")</f>
        <v>ROBLES</v>
      </c>
      <c r="D66" s="54" t="str">
        <f>IFERROR(__xludf.DUMMYFUNCTION("""COMPUTED_VALUE"""),"OSCAR YAEL")</f>
        <v>OSCAR YAEL</v>
      </c>
      <c r="E66" s="55">
        <f>IFERROR(__xludf.DUMMYFUNCTION("""COMPUTED_VALUE"""),7.0)</f>
        <v>7</v>
      </c>
      <c r="F66" s="55">
        <f>IFERROR(__xludf.DUMMYFUNCTION("""COMPUTED_VALUE"""),2.0)</f>
        <v>2</v>
      </c>
      <c r="G66" s="56">
        <f>IFERROR(__xludf.DUMMYFUNCTION("""COMPUTED_VALUE"""),1.0)</f>
        <v>1</v>
      </c>
      <c r="H66" s="57">
        <f>IFERROR(__xludf.DUMMYFUNCTION("""COMPUTED_VALUE"""),10.0)</f>
        <v>10</v>
      </c>
      <c r="I66" s="55">
        <f>IFERROR(__xludf.DUMMYFUNCTION("""COMPUTED_VALUE"""),0.0)</f>
        <v>0</v>
      </c>
      <c r="J66" s="59">
        <f>IFERROR(__xludf.DUMMYFUNCTION("""COMPUTED_VALUE"""),10.0)</f>
        <v>10</v>
      </c>
      <c r="K66" s="51"/>
      <c r="L66" s="60">
        <f>IFERROR(__xludf.DUMMYFUNCTION("""COMPUTED_VALUE"""),10.0)</f>
        <v>10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4.75" customHeight="1">
      <c r="A67" s="51">
        <f>IFERROR(__xludf.DUMMYFUNCTION("""COMPUTED_VALUE"""),51.0)</f>
        <v>51</v>
      </c>
      <c r="B67" s="70" t="str">
        <f>IFERROR(__xludf.DUMMYFUNCTION("""COMPUTED_VALUE"""),"VARGAS")</f>
        <v>VARGAS</v>
      </c>
      <c r="C67" s="53" t="str">
        <f>IFERROR(__xludf.DUMMYFUNCTION("""COMPUTED_VALUE"""),"SANTOS")</f>
        <v>SANTOS</v>
      </c>
      <c r="D67" s="54" t="str">
        <f>IFERROR(__xludf.DUMMYFUNCTION("""COMPUTED_VALUE"""),"JATZIRI VANESSA")</f>
        <v>JATZIRI VANESSA</v>
      </c>
      <c r="E67" s="55">
        <f>IFERROR(__xludf.DUMMYFUNCTION("""COMPUTED_VALUE"""),7.5)</f>
        <v>7.5</v>
      </c>
      <c r="F67" s="55">
        <f>IFERROR(__xludf.DUMMYFUNCTION("""COMPUTED_VALUE"""),2.0)</f>
        <v>2</v>
      </c>
      <c r="G67" s="56">
        <f>IFERROR(__xludf.DUMMYFUNCTION("""COMPUTED_VALUE"""),1.0)</f>
        <v>1</v>
      </c>
      <c r="H67" s="57">
        <f>IFERROR(__xludf.DUMMYFUNCTION("""COMPUTED_VALUE"""),10.5)</f>
        <v>10.5</v>
      </c>
      <c r="I67" s="55">
        <f>IFERROR(__xludf.DUMMYFUNCTION("""COMPUTED_VALUE"""),0.0)</f>
        <v>0</v>
      </c>
      <c r="J67" s="59">
        <f>IFERROR(__xludf.DUMMYFUNCTION("""COMPUTED_VALUE"""),10.0)</f>
        <v>10</v>
      </c>
      <c r="K67" s="51"/>
      <c r="L67" s="60">
        <f>IFERROR(__xludf.DUMMYFUNCTION("""COMPUTED_VALUE"""),11.0)</f>
        <v>11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4.75" customHeight="1">
      <c r="A68" s="51">
        <f>IFERROR(__xludf.DUMMYFUNCTION("""COMPUTED_VALUE"""),52.0)</f>
        <v>52</v>
      </c>
      <c r="B68" s="70" t="str">
        <f>IFERROR(__xludf.DUMMYFUNCTION("""COMPUTED_VALUE"""),"VELAZQUEZ")</f>
        <v>VELAZQUEZ</v>
      </c>
      <c r="C68" s="53" t="str">
        <f>IFERROR(__xludf.DUMMYFUNCTION("""COMPUTED_VALUE"""),"FIGUEROA")</f>
        <v>FIGUEROA</v>
      </c>
      <c r="D68" s="66" t="str">
        <f>IFERROR(__xludf.DUMMYFUNCTION("""COMPUTED_VALUE"""),"DANAE PAOLA")</f>
        <v>DANAE PAOLA</v>
      </c>
      <c r="E68" s="55">
        <f>IFERROR(__xludf.DUMMYFUNCTION("""COMPUTED_VALUE"""),6.8)</f>
        <v>6.8</v>
      </c>
      <c r="F68" s="55">
        <f>IFERROR(__xludf.DUMMYFUNCTION("""COMPUTED_VALUE"""),2.0)</f>
        <v>2</v>
      </c>
      <c r="G68" s="56"/>
      <c r="H68" s="57">
        <f>IFERROR(__xludf.DUMMYFUNCTION("""COMPUTED_VALUE"""),8.8)</f>
        <v>8.8</v>
      </c>
      <c r="I68" s="69">
        <f>IFERROR(__xludf.DUMMYFUNCTION("""COMPUTED_VALUE"""),0.0)</f>
        <v>0</v>
      </c>
      <c r="J68" s="59">
        <f>IFERROR(__xludf.DUMMYFUNCTION("""COMPUTED_VALUE"""),9.0)</f>
        <v>9</v>
      </c>
      <c r="K68" s="51"/>
      <c r="L68" s="60">
        <f>IFERROR(__xludf.DUMMYFUNCTION("""COMPUTED_VALUE"""),9.0)</f>
        <v>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4.75" customHeight="1">
      <c r="A69" s="51">
        <f>IFERROR(__xludf.DUMMYFUNCTION("""COMPUTED_VALUE"""),53.0)</f>
        <v>53</v>
      </c>
      <c r="B69" s="70" t="str">
        <f>IFERROR(__xludf.DUMMYFUNCTION("""COMPUTED_VALUE"""),"VENEGAS")</f>
        <v>VENEGAS</v>
      </c>
      <c r="C69" s="53" t="str">
        <f>IFERROR(__xludf.DUMMYFUNCTION("""COMPUTED_VALUE"""),"GONZALEZ")</f>
        <v>GONZALEZ</v>
      </c>
      <c r="D69" s="66" t="str">
        <f>IFERROR(__xludf.DUMMYFUNCTION("""COMPUTED_VALUE"""),"SANTIAGO")</f>
        <v>SANTIAGO</v>
      </c>
      <c r="E69" s="55">
        <f>IFERROR(__xludf.DUMMYFUNCTION("""COMPUTED_VALUE"""),8.0)</f>
        <v>8</v>
      </c>
      <c r="F69" s="55">
        <f>IFERROR(__xludf.DUMMYFUNCTION("""COMPUTED_VALUE"""),2.0)</f>
        <v>2</v>
      </c>
      <c r="G69" s="56">
        <f>IFERROR(__xludf.DUMMYFUNCTION("""COMPUTED_VALUE"""),1.0)</f>
        <v>1</v>
      </c>
      <c r="H69" s="57">
        <f>IFERROR(__xludf.DUMMYFUNCTION("""COMPUTED_VALUE"""),11.0)</f>
        <v>11</v>
      </c>
      <c r="I69" s="69">
        <f>IFERROR(__xludf.DUMMYFUNCTION("""COMPUTED_VALUE"""),0.0)</f>
        <v>0</v>
      </c>
      <c r="J69" s="59">
        <f>IFERROR(__xludf.DUMMYFUNCTION("""COMPUTED_VALUE"""),10.0)</f>
        <v>10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24.75" customHeight="1">
      <c r="A70" s="51">
        <f>IFERROR(__xludf.DUMMYFUNCTION("""COMPUTED_VALUE"""),54.0)</f>
        <v>54</v>
      </c>
      <c r="B70" s="70" t="str">
        <f>IFERROR(__xludf.DUMMYFUNCTION("""COMPUTED_VALUE"""),"ZAMORA")</f>
        <v>ZAMORA</v>
      </c>
      <c r="C70" s="53" t="str">
        <f>IFERROR(__xludf.DUMMYFUNCTION("""COMPUTED_VALUE"""),"SEPULVEDA")</f>
        <v>SEPULVEDA</v>
      </c>
      <c r="D70" s="66" t="str">
        <f>IFERROR(__xludf.DUMMYFUNCTION("""COMPUTED_VALUE"""),"SEBASTIAN")</f>
        <v>SEBASTIAN</v>
      </c>
      <c r="E70" s="55">
        <f>IFERROR(__xludf.DUMMYFUNCTION("""COMPUTED_VALUE"""),5.5)</f>
        <v>5.5</v>
      </c>
      <c r="F70" s="55">
        <f>IFERROR(__xludf.DUMMYFUNCTION("""COMPUTED_VALUE"""),2.0)</f>
        <v>2</v>
      </c>
      <c r="G70" s="56"/>
      <c r="H70" s="57">
        <f>IFERROR(__xludf.DUMMYFUNCTION("""COMPUTED_VALUE"""),7.5)</f>
        <v>7.5</v>
      </c>
      <c r="I70" s="55">
        <f>IFERROR(__xludf.DUMMYFUNCTION("""COMPUTED_VALUE"""),0.0)</f>
        <v>0</v>
      </c>
      <c r="J70" s="59">
        <f>IFERROR(__xludf.DUMMYFUNCTION("""COMPUTED_VALUE"""),8.0)</f>
        <v>8</v>
      </c>
      <c r="K70" s="51"/>
      <c r="L70" s="7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3.5" customHeight="1">
      <c r="A71" s="6"/>
      <c r="B71" s="72"/>
      <c r="C71" s="72"/>
      <c r="D71" s="72"/>
      <c r="E71" s="73"/>
      <c r="F71" s="72"/>
      <c r="G71" s="72"/>
      <c r="H71" s="72"/>
      <c r="I71" s="72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1.75" customHeight="1">
      <c r="A72" s="74"/>
      <c r="B72" s="75" t="str">
        <f>IFERROR(__xludf.DUMMYFUNCTION("""COMPUTED_VALUE"""),"No. DE ALUMNOS INSCRITOS")</f>
        <v>No. DE ALUMNOS INSCRITOS</v>
      </c>
      <c r="C72" s="76"/>
      <c r="D72" s="77">
        <f>IFERROR(__xludf.DUMMYFUNCTION("""COMPUTED_VALUE"""),54.0)</f>
        <v>54</v>
      </c>
      <c r="E72" s="72"/>
      <c r="F72" s="78" t="str">
        <f>IFERROR(__xludf.DUMMYFUNCTION("""COMPUTED_VALUE"""),"FIRMA DEL PROFESOR")</f>
        <v>FIRMA DEL PROFESOR</v>
      </c>
      <c r="G72" s="79"/>
      <c r="H72" s="78" t="str">
        <f>IFERROR(__xludf.DUMMYFUNCTION("""COMPUTED_VALUE"""),"FIRMA DEL ORIENTADOR")</f>
        <v>FIRMA DEL ORIENTADOR</v>
      </c>
      <c r="J72" s="80" t="str">
        <f>IFERROR(__xludf.DUMMYFUNCTION("""COMPUTED_VALUE"""),"Vo. Bo. SUBDIRECCIÓN ESCOLAR")</f>
        <v>Vo. Bo. SUBDIRECCIÓN ESCOLAR</v>
      </c>
      <c r="K72" s="81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21.75" customHeight="1">
      <c r="A73" s="74"/>
      <c r="B73" s="82" t="str">
        <f>IFERROR(__xludf.DUMMYFUNCTION("""COMPUTED_VALUE"""),"BAJAS DURANTE EL SEMESTRE")</f>
        <v>BAJAS DURANTE EL SEMESTRE</v>
      </c>
      <c r="C73" s="83"/>
      <c r="D73" s="84">
        <f>IFERROR(__xludf.DUMMYFUNCTION("""COMPUTED_VALUE"""),0.0)</f>
        <v>0</v>
      </c>
      <c r="E73" s="72"/>
      <c r="G73" s="79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21.75" customHeight="1">
      <c r="A74" s="74"/>
      <c r="B74" s="82" t="str">
        <f>IFERROR(__xludf.DUMMYFUNCTION("""COMPUTED_VALUE"""),"EXISTENCIA")</f>
        <v>EXISTENCIA</v>
      </c>
      <c r="C74" s="83"/>
      <c r="D74" s="85">
        <f>IFERROR(__xludf.DUMMYFUNCTION("""COMPUTED_VALUE"""),54.0)</f>
        <v>54</v>
      </c>
      <c r="E74" s="72"/>
      <c r="F74" s="86"/>
      <c r="G74" s="87"/>
      <c r="H74" s="86"/>
      <c r="I74" s="86"/>
      <c r="J74" s="88"/>
      <c r="K74" s="8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21.75" customHeight="1">
      <c r="A75" s="74"/>
      <c r="B75" s="82" t="str">
        <f>IFERROR(__xludf.DUMMYFUNCTION("""COMPUTED_VALUE"""),"No. DE ALUMNOS APROBADOS")</f>
        <v>No. DE ALUMNOS APROBADOS</v>
      </c>
      <c r="C75" s="83"/>
      <c r="D75" s="85">
        <f>IFERROR(__xludf.DUMMYFUNCTION("""COMPUTED_VALUE"""),54.0)</f>
        <v>54</v>
      </c>
      <c r="E75" s="72"/>
      <c r="F75" s="86"/>
      <c r="G75" s="87"/>
      <c r="H75" s="86"/>
      <c r="I75" s="86"/>
      <c r="J75" s="88"/>
      <c r="K75" s="8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21.75" customHeight="1">
      <c r="A76" s="74"/>
      <c r="B76" s="82" t="str">
        <f>IFERROR(__xludf.DUMMYFUNCTION("""COMPUTED_VALUE"""),"No. DE ALUMNOS REPROBADOS")</f>
        <v>No. DE ALUMNOS REPROBADOS</v>
      </c>
      <c r="C76" s="83"/>
      <c r="D76" s="85">
        <f>IFERROR(__xludf.DUMMYFUNCTION("""COMPUTED_VALUE"""),0.0)</f>
        <v>0</v>
      </c>
      <c r="E76" s="72"/>
      <c r="F76" s="90"/>
      <c r="G76" s="87"/>
      <c r="H76" s="90"/>
      <c r="I76" s="90"/>
      <c r="J76" s="91"/>
      <c r="K76" s="9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27.75" customHeight="1">
      <c r="A77" s="74"/>
      <c r="B77" s="82" t="str">
        <f>IFERROR(__xludf.DUMMYFUNCTION("""COMPUTED_VALUE"""),"% DE APROBADOS")</f>
        <v>% DE APROBADOS</v>
      </c>
      <c r="C77" s="83"/>
      <c r="D77" s="93">
        <f>IFERROR(__xludf.DUMMYFUNCTION("""COMPUTED_VALUE"""),100.0)</f>
        <v>100</v>
      </c>
      <c r="E77" s="72"/>
      <c r="F77" s="94" t="str">
        <f>IFERROR(__xludf.DUMMYFUNCTION("""COMPUTED_VALUE"""),"PROFR. ")</f>
        <v>PROFR. </v>
      </c>
      <c r="G77" s="95"/>
      <c r="H77" s="96" t="str">
        <f>IFERROR(__xludf.DUMMYFUNCTION("""COMPUTED_VALUE"""),"PROFRA. SANDRA DIAZ CAMARENA")</f>
        <v>PROFRA. SANDRA DIAZ CAMARENA</v>
      </c>
      <c r="J77" s="96" t="str">
        <f>IFERROR(__xludf.DUMMYFUNCTION("""COMPUTED_VALUE"""),"PROFR. OCTAVIO VÁZQUEZ BARRETO")</f>
        <v>PROFR. OCTAVIO VÁZQUEZ BARRETO</v>
      </c>
      <c r="K77" s="97" t="str">
        <f>IFERROR(__xludf.DUMMYFUNCTION("""COMPUTED_VALUE"""),"PROFR. ROBERTO PALOMARES MEJÍA ")</f>
        <v>PROFR. ROBERTO PALOMARES MEJÍA </v>
      </c>
      <c r="L77" s="9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21.75" customHeight="1">
      <c r="A78" s="74"/>
      <c r="B78" s="99" t="str">
        <f>IFERROR(__xludf.DUMMYFUNCTION("""COMPUTED_VALUE"""),"PROMEDIO")</f>
        <v>PROMEDIO</v>
      </c>
      <c r="C78" s="100"/>
      <c r="D78" s="101">
        <f>IFERROR(__xludf.DUMMYFUNCTION("""COMPUTED_VALUE"""),9.166666666666666)</f>
        <v>9.166666667</v>
      </c>
      <c r="E78" s="72"/>
      <c r="G78" s="95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>
      <c r="A80" s="102"/>
      <c r="B80" s="103"/>
      <c r="C80" s="104"/>
      <c r="D80" s="104"/>
      <c r="E80" s="72"/>
      <c r="G80" s="7"/>
      <c r="H80" s="7"/>
      <c r="I80" s="7"/>
      <c r="J80" s="7"/>
      <c r="K80" s="105"/>
      <c r="L80" s="10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>
      <c r="A81" s="107"/>
      <c r="B81" s="72"/>
      <c r="C81" s="72"/>
      <c r="D81" s="72"/>
      <c r="E81" s="7"/>
      <c r="F81" s="1"/>
      <c r="G81" s="1"/>
      <c r="H81" s="1"/>
      <c r="I81" s="1"/>
      <c r="J81" s="1"/>
      <c r="K81" s="8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>
      <c r="A82" s="107"/>
      <c r="B82" s="72"/>
      <c r="C82" s="72"/>
      <c r="D82" s="72"/>
      <c r="E82" s="7"/>
      <c r="F82" s="1"/>
      <c r="G82" s="1"/>
      <c r="H82" s="1"/>
      <c r="I82" s="1"/>
      <c r="J82" s="1"/>
      <c r="K82" s="8"/>
      <c r="L82" s="10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>
      <c r="A83" s="109"/>
      <c r="B83" s="110"/>
      <c r="C83" s="110"/>
      <c r="D83" s="110"/>
      <c r="E83" s="111"/>
      <c r="F83" s="112"/>
      <c r="G83" s="112"/>
      <c r="H83" s="112"/>
      <c r="I83" s="112"/>
      <c r="J83" s="112"/>
      <c r="K83" s="113"/>
      <c r="L83" s="10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14"/>
      <c r="C84" s="114"/>
      <c r="D84" s="114"/>
      <c r="E84" s="114"/>
      <c r="F84" s="1"/>
      <c r="G84" s="1"/>
      <c r="H84" s="1"/>
      <c r="I84" s="1"/>
      <c r="J84" s="115"/>
      <c r="K84" s="115"/>
      <c r="L84" s="11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14"/>
      <c r="C85" s="114"/>
      <c r="D85" s="114"/>
      <c r="E85" s="114"/>
      <c r="F85" s="1"/>
      <c r="G85" s="1"/>
      <c r="H85" s="1"/>
      <c r="I85" s="1"/>
      <c r="J85" s="115"/>
      <c r="K85" s="115"/>
      <c r="L85" s="11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14"/>
      <c r="C86" s="114"/>
      <c r="D86" s="114"/>
      <c r="E86" s="114"/>
      <c r="F86" s="1"/>
      <c r="G86" s="1"/>
      <c r="H86" s="1"/>
      <c r="I86" s="1"/>
      <c r="J86" s="115"/>
      <c r="K86" s="115"/>
      <c r="L86" s="11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4.25" customHeight="1">
      <c r="A87" s="1"/>
      <c r="B87" s="114"/>
      <c r="C87" s="114"/>
      <c r="D87" s="114"/>
      <c r="E87" s="114"/>
      <c r="F87" s="1"/>
      <c r="G87" s="1"/>
      <c r="H87" s="1"/>
      <c r="I87" s="1"/>
      <c r="J87" s="115"/>
      <c r="K87" s="115"/>
      <c r="L87" s="11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4.25" customHeight="1">
      <c r="A88" s="1"/>
      <c r="B88" s="114"/>
      <c r="C88" s="114"/>
      <c r="D88" s="114"/>
      <c r="E88" s="1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4.25" customHeight="1">
      <c r="A89" s="1"/>
      <c r="B89" s="114"/>
      <c r="C89" s="114"/>
      <c r="D89" s="114"/>
      <c r="E89" s="114"/>
      <c r="F89" s="1"/>
      <c r="G89" s="1"/>
      <c r="H89" s="1"/>
      <c r="I89" s="1"/>
      <c r="J89" s="1"/>
      <c r="K89" s="11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>
      <c r="A90" s="1"/>
      <c r="B90" s="114"/>
      <c r="C90" s="114"/>
      <c r="D90" s="114"/>
      <c r="E90" s="11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4.25" customHeight="1">
      <c r="A91" s="1"/>
      <c r="B91" s="114"/>
      <c r="C91" s="114"/>
      <c r="D91" s="114"/>
      <c r="E91" s="11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>
      <c r="A92" s="1"/>
      <c r="B92" s="114"/>
      <c r="C92" s="114"/>
      <c r="D92" s="114"/>
      <c r="E92" s="11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4.25" customHeight="1">
      <c r="A93" s="1"/>
      <c r="B93" s="114"/>
      <c r="C93" s="114"/>
      <c r="D93" s="114"/>
      <c r="E93" s="11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4.25" customHeight="1">
      <c r="A94" s="1"/>
      <c r="B94" s="114"/>
      <c r="C94" s="114"/>
      <c r="D94" s="114"/>
      <c r="E94" s="11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4.25" customHeight="1">
      <c r="A95" s="1"/>
      <c r="B95" s="114"/>
      <c r="C95" s="114"/>
      <c r="D95" s="114"/>
      <c r="E95" s="11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IFERROR(__xludf.DUMMYFUNCTION("IMPORTRANGE(""https://docs.google.com/spreadsheets/d/1R_LufODGbikLoD-Jd0WTt-eYlX8m1ngqZM93CoT4u5M/edit?gid=893303065#gid=893303065"",""1-3 ingles ii!A1:Q86"")"),"")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IFERROR(__xludf.DUMMYFUNCTION("""COMPUTED_VALUE"""),"Christian Medrano Valdez")</f>
        <v>Christian Medrano Valdez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IFERROR(__xludf.DUMMYFUNCTION("""COMPUTED_VALUE"""),"INGLÉS II")</f>
        <v>INGLÉS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IFERROR(__xludf.DUMMYFUNCTION("""COMPUTED_VALUE"""),"VARELA")</f>
        <v>VARELA</v>
      </c>
      <c r="D17" s="54" t="str">
        <f>IFERROR(__xludf.DUMMYFUNCTION("""COMPUTED_VALUE"""),"ISAIAS HAZAEL")</f>
        <v>ISAIAS HAZAEL</v>
      </c>
      <c r="E17" s="55">
        <f>IFERROR(__xludf.DUMMYFUNCTION("""COMPUTED_VALUE"""),8.0)</f>
        <v>8</v>
      </c>
      <c r="F17" s="55">
        <f>IFERROR(__xludf.DUMMYFUNCTION("""COMPUTED_VALUE"""),2.0)</f>
        <v>2</v>
      </c>
      <c r="G17" s="56">
        <f>IFERROR(__xludf.DUMMYFUNCTION("""COMPUTED_VALUE"""),0.0)</f>
        <v>0</v>
      </c>
      <c r="H17" s="57">
        <f>IFERROR(__xludf.DUMMYFUNCTION("""COMPUTED_VALUE"""),10.0)</f>
        <v>10</v>
      </c>
      <c r="I17" s="58">
        <f>IFERROR(__xludf.DUMMYFUNCTION("""COMPUTED_VALUE"""),0.0)</f>
        <v>0</v>
      </c>
      <c r="J17" s="59">
        <f>IFERROR(__xludf.DUMMYFUNCTION("""COMPUTED_VALUE"""),10.0)</f>
        <v>10</v>
      </c>
      <c r="K17" s="60"/>
      <c r="L17" s="61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IFERROR(__xludf.DUMMYFUNCTION("""COMPUTED_VALUE"""),"ANDRADE")</f>
        <v>ANDRADE</v>
      </c>
      <c r="C18" s="53" t="str">
        <f>IFERROR(__xludf.DUMMYFUNCTION("""COMPUTED_VALUE"""),"LOPEZ")</f>
        <v>LOPEZ</v>
      </c>
      <c r="D18" s="54" t="str">
        <f>IFERROR(__xludf.DUMMYFUNCTION("""COMPUTED_VALUE"""),"DAVID EMILIANO")</f>
        <v>DAVID EMILIANO</v>
      </c>
      <c r="E18" s="55">
        <f>IFERROR(__xludf.DUMMYFUNCTION("""COMPUTED_VALUE"""),8.0)</f>
        <v>8</v>
      </c>
      <c r="F18" s="55">
        <f>IFERROR(__xludf.DUMMYFUNCTION("""COMPUTED_VALUE"""),2.0)</f>
        <v>2</v>
      </c>
      <c r="G18" s="56">
        <f>IFERROR(__xludf.DUMMYFUNCTION("""COMPUTED_VALUE"""),0.0)</f>
        <v>0</v>
      </c>
      <c r="H18" s="57">
        <f>IFERROR(__xludf.DUMMYFUNCTION("""COMPUTED_VALUE"""),10.0)</f>
        <v>10</v>
      </c>
      <c r="I18" s="58">
        <f>IFERROR(__xludf.DUMMYFUNCTION("""COMPUTED_VALUE"""),0.0)</f>
        <v>0</v>
      </c>
      <c r="J18" s="59">
        <f>IFERROR(__xludf.DUMMYFUNCTION("""COMPUTED_VALUE"""),10.0)</f>
        <v>10</v>
      </c>
      <c r="K18" s="51"/>
      <c r="L18" s="61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IFERROR(__xludf.DUMMYFUNCTION("""COMPUTED_VALUE"""),9.0)</f>
        <v>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IFERROR(__xludf.DUMMYFUNCTION("""COMPUTED_VALUE"""),"ARELLANO")</f>
        <v>ARELLANO</v>
      </c>
      <c r="C19" s="53" t="str">
        <f>IFERROR(__xludf.DUMMYFUNCTION("""COMPUTED_VALUE"""),"RAMIREZ")</f>
        <v>RAMIREZ</v>
      </c>
      <c r="D19" s="54" t="str">
        <f>IFERROR(__xludf.DUMMYFUNCTION("""COMPUTED_VALUE"""),"ALEJANDRO")</f>
        <v>ALEJANDRO</v>
      </c>
      <c r="E19" s="56">
        <f>IFERROR(__xludf.DUMMYFUNCTION("""COMPUTED_VALUE"""),8.0)</f>
        <v>8</v>
      </c>
      <c r="F19" s="55">
        <f>IFERROR(__xludf.DUMMYFUNCTION("""COMPUTED_VALUE"""),2.0)</f>
        <v>2</v>
      </c>
      <c r="G19" s="56">
        <f>IFERROR(__xludf.DUMMYFUNCTION("""COMPUTED_VALUE"""),0.0)</f>
        <v>0</v>
      </c>
      <c r="H19" s="57">
        <f>IFERROR(__xludf.DUMMYFUNCTION("""COMPUTED_VALUE"""),10.0)</f>
        <v>10</v>
      </c>
      <c r="I19" s="58">
        <f>IFERROR(__xludf.DUMMYFUNCTION("""COMPUTED_VALUE"""),0.0)</f>
        <v>0</v>
      </c>
      <c r="J19" s="59">
        <f>IFERROR(__xludf.DUMMYFUNCTION("""COMPUTED_VALUE"""),10.0)</f>
        <v>10</v>
      </c>
      <c r="K19" s="51"/>
      <c r="L19" s="61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IFERROR(__xludf.DUMMYFUNCTION("""COMPUTED_VALUE"""),11.0)</f>
        <v>11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IFERROR(__xludf.DUMMYFUNCTION("""COMPUTED_VALUE"""),"AVILA")</f>
        <v>AVILA</v>
      </c>
      <c r="C20" s="53" t="str">
        <f>IFERROR(__xludf.DUMMYFUNCTION("""COMPUTED_VALUE"""),"GARCIA")</f>
        <v>GARCIA</v>
      </c>
      <c r="D20" s="54" t="str">
        <f>IFERROR(__xludf.DUMMYFUNCTION("""COMPUTED_VALUE"""),"PARIS PAOLETTE")</f>
        <v>PARIS PAOLETTE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>
        <f>IFERROR(__xludf.DUMMYFUNCTION("""COMPUTED_VALUE"""),0.0)</f>
        <v>0</v>
      </c>
      <c r="H20" s="57">
        <f>IFERROR(__xludf.DUMMYFUNCTION("""COMPUTED_VALUE"""),10.0)</f>
        <v>10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IFERROR(__xludf.DUMMYFUNCTION("""COMPUTED_VALUE"""),"BARRERA")</f>
        <v>BARRERA</v>
      </c>
      <c r="C21" s="62"/>
      <c r="D21" s="54" t="str">
        <f>IFERROR(__xludf.DUMMYFUNCTION("""COMPUTED_VALUE"""),"NAEEM")</f>
        <v>NAEEM</v>
      </c>
      <c r="E21" s="55">
        <f>IFERROR(__xludf.DUMMYFUNCTION("""COMPUTED_VALUE"""),8.0)</f>
        <v>8</v>
      </c>
      <c r="F21" s="55">
        <f>IFERROR(__xludf.DUMMYFUNCTION("""COMPUTED_VALUE"""),2.0)</f>
        <v>2</v>
      </c>
      <c r="G21" s="56">
        <f>IFERROR(__xludf.DUMMYFUNCTION("""COMPUTED_VALUE"""),0.0)</f>
        <v>0</v>
      </c>
      <c r="H21" s="57">
        <f>IFERROR(__xludf.DUMMYFUNCTION("""COMPUTED_VALUE"""),10.0)</f>
        <v>10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IFERROR(__xludf.DUMMYFUNCTION("""COMPUTED_VALUE"""),12.0)</f>
        <v>12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3" t="str">
        <f>IFERROR(__xludf.DUMMYFUNCTION("""COMPUTED_VALUE"""),"BLANCO")</f>
        <v>BLANCO</v>
      </c>
      <c r="C22" s="53" t="str">
        <f>IFERROR(__xludf.DUMMYFUNCTION("""COMPUTED_VALUE"""),"JARAMILLO")</f>
        <v>JARAMILLO</v>
      </c>
      <c r="D22" s="54" t="str">
        <f>IFERROR(__xludf.DUMMYFUNCTION("""COMPUTED_VALUE"""),"INGRID NATALIA")</f>
        <v>INGRID NATALIA</v>
      </c>
      <c r="E22" s="55">
        <f>IFERROR(__xludf.DUMMYFUNCTION("""COMPUTED_VALUE"""),8.0)</f>
        <v>8</v>
      </c>
      <c r="F22" s="55">
        <f>IFERROR(__xludf.DUMMYFUNCTION("""COMPUTED_VALUE"""),2.0)</f>
        <v>2</v>
      </c>
      <c r="G22" s="56">
        <f>IFERROR(__xludf.DUMMYFUNCTION("""COMPUTED_VALUE"""),1.0)</f>
        <v>1</v>
      </c>
      <c r="H22" s="57">
        <f>IFERROR(__xludf.DUMMYFUNCTION("""COMPUTED_VALUE"""),11.0)</f>
        <v>11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IFERROR(__xludf.DUMMYFUNCTION("""COMPUTED_VALUE"""),11.0)</f>
        <v>11</v>
      </c>
      <c r="M22" s="1" t="str">
        <f>IFERROR(__xludf.DUMMYFUNCTION("""COMPUTED_VALUE"""),"Junio")</f>
        <v>Junio</v>
      </c>
      <c r="N22" s="1">
        <f>IFERROR(__xludf.DUMMYFUNCTION("""COMPUTED_VALUE"""),12.0)</f>
        <v>12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IFERROR(__xludf.DUMMYFUNCTION("""COMPUTED_VALUE"""),"CARLOS")</f>
        <v>CARLOS</v>
      </c>
      <c r="C23" s="53" t="str">
        <f>IFERROR(__xludf.DUMMYFUNCTION("""COMPUTED_VALUE"""),"DE LA CRUZ")</f>
        <v>DE LA CRUZ</v>
      </c>
      <c r="D23" s="54" t="str">
        <f>IFERROR(__xludf.DUMMYFUNCTION("""COMPUTED_VALUE"""),"JAVIER")</f>
        <v>JAVIER</v>
      </c>
      <c r="E23" s="55">
        <f>IFERROR(__xludf.DUMMYFUNCTION("""COMPUTED_VALUE"""),8.0)</f>
        <v>8</v>
      </c>
      <c r="F23" s="55">
        <f>IFERROR(__xludf.DUMMYFUNCTION("""COMPUTED_VALUE"""),2.0)</f>
        <v>2</v>
      </c>
      <c r="G23" s="56">
        <f>IFERROR(__xludf.DUMMYFUNCTION("""COMPUTED_VALUE"""),1.0)</f>
        <v>1</v>
      </c>
      <c r="H23" s="57">
        <f>IFERROR(__xludf.DUMMYFUNCTION("""COMPUTED_VALUE"""),11.0)</f>
        <v>11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IFERROR(__xludf.DUMMYFUNCTION("""COMPUTED_VALUE"""),11.0)</f>
        <v>11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IFERROR(__xludf.DUMMYFUNCTION("""COMPUTED_VALUE"""),"CARRICHE")</f>
        <v>CARRICHE</v>
      </c>
      <c r="C24" s="53" t="str">
        <f>IFERROR(__xludf.DUMMYFUNCTION("""COMPUTED_VALUE"""),"HERNANDEZ")</f>
        <v>HERNANDEZ</v>
      </c>
      <c r="D24" s="54" t="str">
        <f>IFERROR(__xludf.DUMMYFUNCTION("""COMPUTED_VALUE"""),"DIEGO IVAN")</f>
        <v>DIEGO IVAN</v>
      </c>
      <c r="E24" s="56">
        <f>IFERROR(__xludf.DUMMYFUNCTION("""COMPUTED_VALUE"""),8.0)</f>
        <v>8</v>
      </c>
      <c r="F24" s="55">
        <f>IFERROR(__xludf.DUMMYFUNCTION("""COMPUTED_VALUE"""),2.0)</f>
        <v>2</v>
      </c>
      <c r="G24" s="56">
        <f>IFERROR(__xludf.DUMMYFUNCTION("""COMPUTED_VALUE"""),1.0)</f>
        <v>1</v>
      </c>
      <c r="H24" s="57">
        <f>IFERROR(__xludf.DUMMYFUNCTION("""COMPUTED_VALUE"""),11.0)</f>
        <v>11</v>
      </c>
      <c r="I24" s="58">
        <f>IFERROR(__xludf.DUMMYFUNCTION("""COMPUTED_VALUE"""),0.0)</f>
        <v>0</v>
      </c>
      <c r="J24" s="59">
        <f>IFERROR(__xludf.DUMMYFUNCTION("""COMPUTED_VALUE"""),10.0)</f>
        <v>10</v>
      </c>
      <c r="K24" s="51"/>
      <c r="L24" s="61">
        <f>IFERROR(__xludf.DUMMYFUNCTION("""COMPUTED_VALUE"""),11.0)</f>
        <v>11</v>
      </c>
      <c r="M24" s="1" t="str">
        <f>IFERROR(__xludf.DUMMYFUNCTION("""COMPUTED_VALUE"""),"TOTAL")</f>
        <v>TOTAL</v>
      </c>
      <c r="N24" s="1">
        <f>IFERROR(__xludf.DUMMYFUNCTION("""COMPUTED_VALUE"""),59.0)</f>
        <v>59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IFERROR(__xludf.DUMMYFUNCTION("""COMPUTED_VALUE"""),"CASTILLO")</f>
        <v>CASTILLO</v>
      </c>
      <c r="C25" s="53" t="str">
        <f>IFERROR(__xludf.DUMMYFUNCTION("""COMPUTED_VALUE"""),"DOMINGUEZ")</f>
        <v>DOMINGUEZ</v>
      </c>
      <c r="D25" s="54" t="str">
        <f>IFERROR(__xludf.DUMMYFUNCTION("""COMPUTED_VALUE"""),"EMANUEL")</f>
        <v>EMANUEL</v>
      </c>
      <c r="E25" s="55">
        <f>IFERROR(__xludf.DUMMYFUNCTION("""COMPUTED_VALUE"""),6.0)</f>
        <v>6</v>
      </c>
      <c r="F25" s="55">
        <f>IFERROR(__xludf.DUMMYFUNCTION("""COMPUTED_VALUE"""),2.0)</f>
        <v>2</v>
      </c>
      <c r="G25" s="56">
        <f>IFERROR(__xludf.DUMMYFUNCTION("""COMPUTED_VALUE"""),1.0)</f>
        <v>1</v>
      </c>
      <c r="H25" s="57">
        <f>IFERROR(__xludf.DUMMYFUNCTION("""COMPUTED_VALUE"""),9.0)</f>
        <v>9</v>
      </c>
      <c r="I25" s="58">
        <f>IFERROR(__xludf.DUMMYFUNCTION("""COMPUTED_VALUE"""),0.0)</f>
        <v>0</v>
      </c>
      <c r="J25" s="59">
        <f>IFERROR(__xludf.DUMMYFUNCTION("""COMPUTED_VALUE"""),9.0)</f>
        <v>9</v>
      </c>
      <c r="K25" s="51"/>
      <c r="L25" s="61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IFERROR(__xludf.DUMMYFUNCTION("""COMPUTED_VALUE"""),"COMO")</f>
        <v>COMO</v>
      </c>
      <c r="C26" s="53" t="str">
        <f>IFERROR(__xludf.DUMMYFUNCTION("""COMPUTED_VALUE"""),"MONTOYA")</f>
        <v>MONTOYA</v>
      </c>
      <c r="D26" s="54" t="str">
        <f>IFERROR(__xludf.DUMMYFUNCTION("""COMPUTED_VALUE"""),"ANGEL GIOVANNY")</f>
        <v>ANGEL GIOVANNY</v>
      </c>
      <c r="E26" s="56">
        <f>IFERROR(__xludf.DUMMYFUNCTION("""COMPUTED_VALUE"""),8.0)</f>
        <v>8</v>
      </c>
      <c r="F26" s="55">
        <f>IFERROR(__xludf.DUMMYFUNCTION("""COMPUTED_VALUE"""),2.0)</f>
        <v>2</v>
      </c>
      <c r="G26" s="56">
        <f>IFERROR(__xludf.DUMMYFUNCTION("""COMPUTED_VALUE"""),1.0)</f>
        <v>1</v>
      </c>
      <c r="H26" s="57">
        <f>IFERROR(__xludf.DUMMYFUNCTION("""COMPUTED_VALUE"""),11.0)</f>
        <v>11</v>
      </c>
      <c r="I26" s="58">
        <f>IFERROR(__xludf.DUMMYFUNCTION("""COMPUTED_VALUE"""),0.0)</f>
        <v>0</v>
      </c>
      <c r="J26" s="59">
        <f>IFERROR(__xludf.DUMMYFUNCTION("""COMPUTED_VALUE"""),10.0)</f>
        <v>10</v>
      </c>
      <c r="K26" s="51"/>
      <c r="L26" s="61">
        <f>IFERROR(__xludf.DUMMYFUNCTION("""COMPUTED_VALUE"""),11.0)</f>
        <v>11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IFERROR(__xludf.DUMMYFUNCTION("""COMPUTED_VALUE"""),"CORTES")</f>
        <v>CORTES</v>
      </c>
      <c r="C27" s="53" t="str">
        <f>IFERROR(__xludf.DUMMYFUNCTION("""COMPUTED_VALUE"""),"VAZQUEZ")</f>
        <v>VAZQUEZ</v>
      </c>
      <c r="D27" s="53" t="str">
        <f>IFERROR(__xludf.DUMMYFUNCTION("""COMPUTED_VALUE"""),"ZULEIMA")</f>
        <v>ZULEIMA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>
        <f>IFERROR(__xludf.DUMMYFUNCTION("""COMPUTED_VALUE"""),0.0)</f>
        <v>0</v>
      </c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IFERROR(__xludf.DUMMYFUNCTION("""COMPUTED_VALUE"""),"CRUZ")</f>
        <v>CRUZ</v>
      </c>
      <c r="C28" s="53" t="str">
        <f>IFERROR(__xludf.DUMMYFUNCTION("""COMPUTED_VALUE"""),"BAUTISTA")</f>
        <v>BAUTISTA</v>
      </c>
      <c r="D28" s="54" t="str">
        <f>IFERROR(__xludf.DUMMYFUNCTION("""COMPUTED_VALUE"""),"YAEL ABDIEL")</f>
        <v>YAEL ABDIEL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>
        <f>IFERROR(__xludf.DUMMYFUNCTION("""COMPUTED_VALUE"""),0.0)</f>
        <v>0</v>
      </c>
      <c r="H28" s="57">
        <f>IFERROR(__xludf.DUMMYFUNCTION("""COMPUTED_VALUE"""),10.0)</f>
        <v>10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3" t="str">
        <f>IFERROR(__xludf.DUMMYFUNCTION("""COMPUTED_VALUE"""),"NUÑEZ")</f>
        <v>NUÑEZ</v>
      </c>
      <c r="D29" s="54" t="str">
        <f>IFERROR(__xludf.DUMMYFUNCTION("""COMPUTED_VALUE"""),"XIMENA LIZVET")</f>
        <v>XIMENA LIZVET</v>
      </c>
      <c r="E29" s="55">
        <f>IFERROR(__xludf.DUMMYFUNCTION("""COMPUTED_VALUE"""),8.0)</f>
        <v>8</v>
      </c>
      <c r="F29" s="55">
        <f>IFERROR(__xludf.DUMMYFUNCTION("""COMPUTED_VALUE"""),2.0)</f>
        <v>2</v>
      </c>
      <c r="G29" s="56">
        <f>IFERROR(__xludf.DUMMYFUNCTION("""COMPUTED_VALUE"""),1.0)</f>
        <v>1</v>
      </c>
      <c r="H29" s="57">
        <f>IFERROR(__xludf.DUMMYFUNCTION("""COMPUTED_VALUE"""),11.0)</f>
        <v>11</v>
      </c>
      <c r="I29" s="58">
        <f>IFERROR(__xludf.DUMMYFUNCTION("""COMPUTED_VALUE"""),0.0)</f>
        <v>0</v>
      </c>
      <c r="J29" s="59">
        <f>IFERROR(__xludf.DUMMYFUNCTION("""COMPUTED_VALUE"""),10.0)</f>
        <v>10</v>
      </c>
      <c r="K29" s="51"/>
      <c r="L29" s="61">
        <f>IFERROR(__xludf.DUMMYFUNCTION("""COMPUTED_VALUE"""),11.0)</f>
        <v>11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IFERROR(__xludf.DUMMYFUNCTION("""COMPUTED_VALUE"""),"DE JESUS")</f>
        <v>DE JESUS</v>
      </c>
      <c r="C30" s="53" t="str">
        <f>IFERROR(__xludf.DUMMYFUNCTION("""COMPUTED_VALUE"""),"GONZALEZ")</f>
        <v>GONZALEZ</v>
      </c>
      <c r="D30" s="54" t="str">
        <f>IFERROR(__xludf.DUMMYFUNCTION("""COMPUTED_VALUE"""),"SHARON NOEMI")</f>
        <v>SHARON NOEMI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>
        <f>IFERROR(__xludf.DUMMYFUNCTION("""COMPUTED_VALUE"""),1.0)</f>
        <v>1</v>
      </c>
      <c r="H30" s="57">
        <f>IFERROR(__xludf.DUMMYFUNCTION("""COMPUTED_VALUE"""),11.0)</f>
        <v>11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IFERROR(__xludf.DUMMYFUNCTION("""COMPUTED_VALUE"""),11.0)</f>
        <v>11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IFERROR(__xludf.DUMMYFUNCTION("""COMPUTED_VALUE"""),"DE SANTIAGO")</f>
        <v>DE SANTIAGO</v>
      </c>
      <c r="C31" s="64" t="str">
        <f>IFERROR(__xludf.DUMMYFUNCTION("""COMPUTED_VALUE"""),"SANCHEZ")</f>
        <v>SANCHEZ</v>
      </c>
      <c r="D31" s="54" t="str">
        <f>IFERROR(__xludf.DUMMYFUNCTION("""COMPUTED_VALUE"""),"OSCAR")</f>
        <v>OSCAR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>
        <f>IFERROR(__xludf.DUMMYFUNCTION("""COMPUTED_VALUE"""),1.0)</f>
        <v>1</v>
      </c>
      <c r="H31" s="57">
        <f>IFERROR(__xludf.DUMMYFUNCTION("""COMPUTED_VALUE"""),11.0)</f>
        <v>11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IFERROR(__xludf.DUMMYFUNCTION("""COMPUTED_VALUE"""),11.0)</f>
        <v>11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IFERROR(__xludf.DUMMYFUNCTION("""COMPUTED_VALUE"""),"DOMINGUEZ")</f>
        <v>DOMINGUEZ</v>
      </c>
      <c r="C32" s="53" t="str">
        <f>IFERROR(__xludf.DUMMYFUNCTION("""COMPUTED_VALUE"""),"RODRIGUEZ")</f>
        <v>RODRIGUEZ</v>
      </c>
      <c r="D32" s="54" t="str">
        <f>IFERROR(__xludf.DUMMYFUNCTION("""COMPUTED_VALUE"""),"ISABELLA VICTORIA")</f>
        <v>ISABELLA VICTORIA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>
        <f>IFERROR(__xludf.DUMMYFUNCTION("""COMPUTED_VALUE"""),1.0)</f>
        <v>1</v>
      </c>
      <c r="H32" s="57">
        <f>IFERROR(__xludf.DUMMYFUNCTION("""COMPUTED_VALUE"""),11.0)</f>
        <v>11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IFERROR(__xludf.DUMMYFUNCTION("""COMPUTED_VALUE"""),11.0)</f>
        <v>11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IFERROR(__xludf.DUMMYFUNCTION("""COMPUTED_VALUE"""),"ESLAVA")</f>
        <v>ESLAVA</v>
      </c>
      <c r="C33" s="53" t="str">
        <f>IFERROR(__xludf.DUMMYFUNCTION("""COMPUTED_VALUE"""),"CEDILLO")</f>
        <v>CEDILLO</v>
      </c>
      <c r="D33" s="54" t="str">
        <f>IFERROR(__xludf.DUMMYFUNCTION("""COMPUTED_VALUE"""),"DIEGO EVERARDO")</f>
        <v>DIEGO EVERARDO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IFERROR(__xludf.DUMMYFUNCTION("""COMPUTED_VALUE"""),11.0)</f>
        <v>11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IFERROR(__xludf.DUMMYFUNCTION("""COMPUTED_VALUE"""),11.0)</f>
        <v>11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IFERROR(__xludf.DUMMYFUNCTION("""COMPUTED_VALUE"""),"FLORES")</f>
        <v>FLORES</v>
      </c>
      <c r="C34" s="53" t="str">
        <f>IFERROR(__xludf.DUMMYFUNCTION("""COMPUTED_VALUE"""),"GARCIA")</f>
        <v>GARCIA</v>
      </c>
      <c r="D34" s="54" t="str">
        <f>IFERROR(__xludf.DUMMYFUNCTION("""COMPUTED_VALUE"""),"BYRON ALBERTO")</f>
        <v>BYRON ALBERTO</v>
      </c>
      <c r="E34" s="56">
        <f>IFERROR(__xludf.DUMMYFUNCTION("""COMPUTED_VALUE"""),8.0)</f>
        <v>8</v>
      </c>
      <c r="F34" s="55">
        <f>IFERROR(__xludf.DUMMYFUNCTION("""COMPUTED_VALUE"""),2.0)</f>
        <v>2</v>
      </c>
      <c r="G34" s="56">
        <f>IFERROR(__xludf.DUMMYFUNCTION("""COMPUTED_VALUE"""),1.0)</f>
        <v>1</v>
      </c>
      <c r="H34" s="57">
        <f>IFERROR(__xludf.DUMMYFUNCTION("""COMPUTED_VALUE"""),11.0)</f>
        <v>11</v>
      </c>
      <c r="I34" s="58">
        <f>IFERROR(__xludf.DUMMYFUNCTION("""COMPUTED_VALUE"""),0.0)</f>
        <v>0</v>
      </c>
      <c r="J34" s="59">
        <f>IFERROR(__xludf.DUMMYFUNCTION("""COMPUTED_VALUE"""),10.0)</f>
        <v>10</v>
      </c>
      <c r="K34" s="51"/>
      <c r="L34" s="61">
        <f>IFERROR(__xludf.DUMMYFUNCTION("""COMPUTED_VALUE"""),11.0)</f>
        <v>11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IFERROR(__xludf.DUMMYFUNCTION("""COMPUTED_VALUE"""),"GARCIA")</f>
        <v>GARCIA</v>
      </c>
      <c r="C35" s="53" t="str">
        <f>IFERROR(__xludf.DUMMYFUNCTION("""COMPUTED_VALUE"""),"ESCOBAR")</f>
        <v>ESCOBAR</v>
      </c>
      <c r="D35" s="54" t="str">
        <f>IFERROR(__xludf.DUMMYFUNCTION("""COMPUTED_VALUE"""),"DALIA ANGELINA")</f>
        <v>DALIA ANGELINA</v>
      </c>
      <c r="E35" s="55">
        <f>IFERROR(__xludf.DUMMYFUNCTION("""COMPUTED_VALUE"""),8.0)</f>
        <v>8</v>
      </c>
      <c r="F35" s="55">
        <f>IFERROR(__xludf.DUMMYFUNCTION("""COMPUTED_VALUE"""),2.0)</f>
        <v>2</v>
      </c>
      <c r="G35" s="56">
        <f>IFERROR(__xludf.DUMMYFUNCTION("""COMPUTED_VALUE"""),1.0)</f>
        <v>1</v>
      </c>
      <c r="H35" s="57">
        <f>IFERROR(__xludf.DUMMYFUNCTION("""COMPUTED_VALUE"""),11.0)</f>
        <v>11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IFERROR(__xludf.DUMMYFUNCTION("""COMPUTED_VALUE"""),11.0)</f>
        <v>11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IFERROR(__xludf.DUMMYFUNCTION("""COMPUTED_VALUE"""),"GONZALEZ")</f>
        <v>GONZALEZ</v>
      </c>
      <c r="C36" s="53" t="str">
        <f>IFERROR(__xludf.DUMMYFUNCTION("""COMPUTED_VALUE"""),"BAÑOS")</f>
        <v>BAÑOS</v>
      </c>
      <c r="D36" s="54" t="str">
        <f>IFERROR(__xludf.DUMMYFUNCTION("""COMPUTED_VALUE"""),"DAVID EDUARDO")</f>
        <v>DAVID EDUARDO</v>
      </c>
      <c r="E36" s="55">
        <f>IFERROR(__xludf.DUMMYFUNCTION("""COMPUTED_VALUE"""),8.0)</f>
        <v>8</v>
      </c>
      <c r="F36" s="55">
        <f>IFERROR(__xludf.DUMMYFUNCTION("""COMPUTED_VALUE"""),2.0)</f>
        <v>2</v>
      </c>
      <c r="G36" s="56">
        <f>IFERROR(__xludf.DUMMYFUNCTION("""COMPUTED_VALUE"""),0.0)</f>
        <v>0</v>
      </c>
      <c r="H36" s="57">
        <f>IFERROR(__xludf.DUMMYFUNCTION("""COMPUTED_VALUE"""),10.0)</f>
        <v>10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IFERROR(__xludf.DUMMYFUNCTION("""COMPUTED_VALUE"""),"GONZALEZ")</f>
        <v>GONZALEZ</v>
      </c>
      <c r="C37" s="53" t="str">
        <f>IFERROR(__xludf.DUMMYFUNCTION("""COMPUTED_VALUE"""),"CAZARES")</f>
        <v>CAZARES</v>
      </c>
      <c r="D37" s="65" t="str">
        <f>IFERROR(__xludf.DUMMYFUNCTION("""COMPUTED_VALUE"""),"CRISTHIAN")</f>
        <v>CRISTHIAN</v>
      </c>
      <c r="E37" s="56">
        <f>IFERROR(__xludf.DUMMYFUNCTION("""COMPUTED_VALUE"""),8.0)</f>
        <v>8</v>
      </c>
      <c r="F37" s="55">
        <f>IFERROR(__xludf.DUMMYFUNCTION("""COMPUTED_VALUE"""),2.0)</f>
        <v>2</v>
      </c>
      <c r="G37" s="56">
        <f>IFERROR(__xludf.DUMMYFUNCTION("""COMPUTED_VALUE"""),1.0)</f>
        <v>1</v>
      </c>
      <c r="H37" s="57">
        <f>IFERROR(__xludf.DUMMYFUNCTION("""COMPUTED_VALUE"""),11.0)</f>
        <v>11</v>
      </c>
      <c r="I37" s="58">
        <f>IFERROR(__xludf.DUMMYFUNCTION("""COMPUTED_VALUE"""),0.0)</f>
        <v>0</v>
      </c>
      <c r="J37" s="59">
        <f>IFERROR(__xludf.DUMMYFUNCTION("""COMPUTED_VALUE"""),10.0)</f>
        <v>10</v>
      </c>
      <c r="K37" s="51"/>
      <c r="L37" s="61">
        <f>IFERROR(__xludf.DUMMYFUNCTION("""COMPUTED_VALUE"""),11.0)</f>
        <v>11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IFERROR(__xludf.DUMMYFUNCTION("""COMPUTED_VALUE"""),"GRANADOS")</f>
        <v>GRANADOS</v>
      </c>
      <c r="C38" s="53" t="str">
        <f>IFERROR(__xludf.DUMMYFUNCTION("""COMPUTED_VALUE"""),"GUERRERO")</f>
        <v>GUERRERO</v>
      </c>
      <c r="D38" s="54" t="str">
        <f>IFERROR(__xludf.DUMMYFUNCTION("""COMPUTED_VALUE"""),"ZARA")</f>
        <v>ZARA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>
        <f>IFERROR(__xludf.DUMMYFUNCTION("""COMPUTED_VALUE"""),0.0)</f>
        <v>0</v>
      </c>
      <c r="H38" s="57">
        <f>IFERROR(__xludf.DUMMYFUNCTION("""COMPUTED_VALUE"""),10.0)</f>
        <v>10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IFERROR(__xludf.DUMMYFUNCTION("""COMPUTED_VALUE"""),"HERNANDEZ")</f>
        <v>HERNANDEZ</v>
      </c>
      <c r="C39" s="53" t="str">
        <f>IFERROR(__xludf.DUMMYFUNCTION("""COMPUTED_VALUE"""),"CANCHOLA")</f>
        <v>CANCHOLA</v>
      </c>
      <c r="D39" s="65" t="str">
        <f>IFERROR(__xludf.DUMMYFUNCTION("""COMPUTED_VALUE"""),"MELANIE")</f>
        <v>MELANIE</v>
      </c>
      <c r="E39" s="55">
        <f>IFERROR(__xludf.DUMMYFUNCTION("""COMPUTED_VALUE"""),8.0)</f>
        <v>8</v>
      </c>
      <c r="F39" s="55">
        <f>IFERROR(__xludf.DUMMYFUNCTION("""COMPUTED_VALUE"""),2.0)</f>
        <v>2</v>
      </c>
      <c r="G39" s="56">
        <f>IFERROR(__xludf.DUMMYFUNCTION("""COMPUTED_VALUE"""),1.0)</f>
        <v>1</v>
      </c>
      <c r="H39" s="57">
        <f>IFERROR(__xludf.DUMMYFUNCTION("""COMPUTED_VALUE"""),11.0)</f>
        <v>11</v>
      </c>
      <c r="I39" s="58">
        <f>IFERROR(__xludf.DUMMYFUNCTION("""COMPUTED_VALUE"""),0.0)</f>
        <v>0</v>
      </c>
      <c r="J39" s="59">
        <f>IFERROR(__xludf.DUMMYFUNCTION("""COMPUTED_VALUE"""),10.0)</f>
        <v>10</v>
      </c>
      <c r="K39" s="51"/>
      <c r="L39" s="61">
        <f>IFERROR(__xludf.DUMMYFUNCTION("""COMPUTED_VALUE"""),11.0)</f>
        <v>11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6" t="str">
        <f>IFERROR(__xludf.DUMMYFUNCTION("""COMPUTED_VALUE"""),"HERNANDEZ")</f>
        <v>HERNANDEZ</v>
      </c>
      <c r="C40" s="67" t="str">
        <f>IFERROR(__xludf.DUMMYFUNCTION("""COMPUTED_VALUE"""),"ESPARRAGOZA")</f>
        <v>ESPARRAGOZA</v>
      </c>
      <c r="D40" s="54" t="str">
        <f>IFERROR(__xludf.DUMMYFUNCTION("""COMPUTED_VALUE"""),"DANTE ALEXANDER")</f>
        <v>DANTE ALEXANDER</v>
      </c>
      <c r="E40" s="55">
        <f>IFERROR(__xludf.DUMMYFUNCTION("""COMPUTED_VALUE"""),8.0)</f>
        <v>8</v>
      </c>
      <c r="F40" s="55">
        <f>IFERROR(__xludf.DUMMYFUNCTION("""COMPUTED_VALUE"""),2.0)</f>
        <v>2</v>
      </c>
      <c r="G40" s="56">
        <f>IFERROR(__xludf.DUMMYFUNCTION("""COMPUTED_VALUE"""),0.0)</f>
        <v>0</v>
      </c>
      <c r="H40" s="57">
        <f>IFERROR(__xludf.DUMMYFUNCTION("""COMPUTED_VALUE"""),10.0)</f>
        <v>10</v>
      </c>
      <c r="I40" s="58">
        <f>IFERROR(__xludf.DUMMYFUNCTION("""COMPUTED_VALUE"""),0.0)</f>
        <v>0</v>
      </c>
      <c r="J40" s="59">
        <f>IFERROR(__xludf.DUMMYFUNCTION("""COMPUTED_VALUE"""),10.0)</f>
        <v>10</v>
      </c>
      <c r="K40" s="51"/>
      <c r="L40" s="61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IFERROR(__xludf.DUMMYFUNCTION("""COMPUTED_VALUE"""),"HERNANDEZ")</f>
        <v>HERNANDEZ</v>
      </c>
      <c r="C41" s="53" t="str">
        <f>IFERROR(__xludf.DUMMYFUNCTION("""COMPUTED_VALUE"""),"MUÑOZ")</f>
        <v>MUÑOZ</v>
      </c>
      <c r="D41" s="54" t="str">
        <f>IFERROR(__xludf.DUMMYFUNCTION("""COMPUTED_VALUE"""),"MARIA JOSE")</f>
        <v>MARIA JOSE</v>
      </c>
      <c r="E41" s="55">
        <f>IFERROR(__xludf.DUMMYFUNCTION("""COMPUTED_VALUE"""),8.0)</f>
        <v>8</v>
      </c>
      <c r="F41" s="55">
        <f>IFERROR(__xludf.DUMMYFUNCTION("""COMPUTED_VALUE"""),2.0)</f>
        <v>2</v>
      </c>
      <c r="G41" s="56">
        <f>IFERROR(__xludf.DUMMYFUNCTION("""COMPUTED_VALUE"""),1.0)</f>
        <v>1</v>
      </c>
      <c r="H41" s="57">
        <f>IFERROR(__xludf.DUMMYFUNCTION("""COMPUTED_VALUE"""),11.0)</f>
        <v>11</v>
      </c>
      <c r="I41" s="58">
        <f>IFERROR(__xludf.DUMMYFUNCTION("""COMPUTED_VALUE"""),0.0)</f>
        <v>0</v>
      </c>
      <c r="J41" s="59">
        <f>IFERROR(__xludf.DUMMYFUNCTION("""COMPUTED_VALUE"""),10.0)</f>
        <v>10</v>
      </c>
      <c r="K41" s="51"/>
      <c r="L41" s="61">
        <f>IFERROR(__xludf.DUMMYFUNCTION("""COMPUTED_VALUE"""),11.0)</f>
        <v>11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IFERROR(__xludf.DUMMYFUNCTION("""COMPUTED_VALUE"""),"JARAMILLO")</f>
        <v>JARAMILLO</v>
      </c>
      <c r="C42" s="53" t="str">
        <f>IFERROR(__xludf.DUMMYFUNCTION("""COMPUTED_VALUE"""),"SANDOVAL")</f>
        <v>SANDOVAL</v>
      </c>
      <c r="D42" s="54" t="str">
        <f>IFERROR(__xludf.DUMMYFUNCTION("""COMPUTED_VALUE"""),"MELANI JEREDIT")</f>
        <v>MELANI JEREDIT</v>
      </c>
      <c r="E42" s="55">
        <f>IFERROR(__xludf.DUMMYFUNCTION("""COMPUTED_VALUE"""),8.0)</f>
        <v>8</v>
      </c>
      <c r="F42" s="55">
        <f>IFERROR(__xludf.DUMMYFUNCTION("""COMPUTED_VALUE"""),2.0)</f>
        <v>2</v>
      </c>
      <c r="G42" s="56">
        <f>IFERROR(__xludf.DUMMYFUNCTION("""COMPUTED_VALUE"""),1.0)</f>
        <v>1</v>
      </c>
      <c r="H42" s="57">
        <f>IFERROR(__xludf.DUMMYFUNCTION("""COMPUTED_VALUE"""),11.0)</f>
        <v>11</v>
      </c>
      <c r="I42" s="58">
        <f>IFERROR(__xludf.DUMMYFUNCTION("""COMPUTED_VALUE"""),0.0)</f>
        <v>0</v>
      </c>
      <c r="J42" s="59">
        <f>IFERROR(__xludf.DUMMYFUNCTION("""COMPUTED_VALUE"""),10.0)</f>
        <v>10</v>
      </c>
      <c r="K42" s="51"/>
      <c r="L42" s="61">
        <f>IFERROR(__xludf.DUMMYFUNCTION("""COMPUTED_VALUE"""),11.0)</f>
        <v>11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IFERROR(__xludf.DUMMYFUNCTION("""COMPUTED_VALUE"""),"LEMUS")</f>
        <v>LEMUS</v>
      </c>
      <c r="C43" s="53" t="str">
        <f>IFERROR(__xludf.DUMMYFUNCTION("""COMPUTED_VALUE"""),"AVILA")</f>
        <v>AVILA</v>
      </c>
      <c r="D43" s="54" t="str">
        <f>IFERROR(__xludf.DUMMYFUNCTION("""COMPUTED_VALUE"""),"ANA GABRIELA")</f>
        <v>ANA GABRIELA</v>
      </c>
      <c r="E43" s="55">
        <f>IFERROR(__xludf.DUMMYFUNCTION("""COMPUTED_VALUE"""),8.0)</f>
        <v>8</v>
      </c>
      <c r="F43" s="55">
        <f>IFERROR(__xludf.DUMMYFUNCTION("""COMPUTED_VALUE"""),2.0)</f>
        <v>2</v>
      </c>
      <c r="G43" s="56">
        <f>IFERROR(__xludf.DUMMYFUNCTION("""COMPUTED_VALUE"""),0.0)</f>
        <v>0</v>
      </c>
      <c r="H43" s="57">
        <f>IFERROR(__xludf.DUMMYFUNCTION("""COMPUTED_VALUE"""),10.0)</f>
        <v>10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IFERROR(__xludf.DUMMYFUNCTION("""COMPUTED_VALUE"""),"LOPEZ")</f>
        <v>LOPEZ</v>
      </c>
      <c r="C44" s="53" t="str">
        <f>IFERROR(__xludf.DUMMYFUNCTION("""COMPUTED_VALUE"""),"OLVERA")</f>
        <v>OLVERA</v>
      </c>
      <c r="D44" s="54" t="str">
        <f>IFERROR(__xludf.DUMMYFUNCTION("""COMPUTED_VALUE"""),"GABRIELA LIZETH")</f>
        <v>GABRIELA LIZETH</v>
      </c>
      <c r="E44" s="55">
        <f>IFERROR(__xludf.DUMMYFUNCTION("""COMPUTED_VALUE"""),8.0)</f>
        <v>8</v>
      </c>
      <c r="F44" s="55">
        <f>IFERROR(__xludf.DUMMYFUNCTION("""COMPUTED_VALUE"""),2.0)</f>
        <v>2</v>
      </c>
      <c r="G44" s="56">
        <f>IFERROR(__xludf.DUMMYFUNCTION("""COMPUTED_VALUE"""),1.0)</f>
        <v>1</v>
      </c>
      <c r="H44" s="57">
        <f>IFERROR(__xludf.DUMMYFUNCTION("""COMPUTED_VALUE"""),11.0)</f>
        <v>11</v>
      </c>
      <c r="I44" s="58">
        <f>IFERROR(__xludf.DUMMYFUNCTION("""COMPUTED_VALUE"""),0.0)</f>
        <v>0</v>
      </c>
      <c r="J44" s="59">
        <f>IFERROR(__xludf.DUMMYFUNCTION("""COMPUTED_VALUE"""),10.0)</f>
        <v>10</v>
      </c>
      <c r="K44" s="51"/>
      <c r="L44" s="61">
        <f>IFERROR(__xludf.DUMMYFUNCTION("""COMPUTED_VALUE"""),11.0)</f>
        <v>11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IFERROR(__xludf.DUMMYFUNCTION("""COMPUTED_VALUE"""),"LOPEZ")</f>
        <v>LOPEZ</v>
      </c>
      <c r="C45" s="53" t="str">
        <f>IFERROR(__xludf.DUMMYFUNCTION("""COMPUTED_VALUE"""),"PANIAGÚA")</f>
        <v>PANIAGÚA</v>
      </c>
      <c r="D45" s="54" t="str">
        <f>IFERROR(__xludf.DUMMYFUNCTION("""COMPUTED_VALUE"""),"ANGEL GIOVANNI")</f>
        <v>ANGEL GIOVANNI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>
        <f>IFERROR(__xludf.DUMMYFUNCTION("""COMPUTED_VALUE"""),1.0)</f>
        <v>1</v>
      </c>
      <c r="H45" s="57">
        <f>IFERROR(__xludf.DUMMYFUNCTION("""COMPUTED_VALUE"""),11.0)</f>
        <v>11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IFERROR(__xludf.DUMMYFUNCTION("""COMPUTED_VALUE"""),11.0)</f>
        <v>11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IFERROR(__xludf.DUMMYFUNCTION("""COMPUTED_VALUE"""),"LUNA")</f>
        <v>LUNA</v>
      </c>
      <c r="C46" s="53" t="str">
        <f>IFERROR(__xludf.DUMMYFUNCTION("""COMPUTED_VALUE"""),"HERNANDEZ")</f>
        <v>HERNANDEZ</v>
      </c>
      <c r="D46" s="54" t="str">
        <f>IFERROR(__xludf.DUMMYFUNCTION("""COMPUTED_VALUE"""),"DEA ISABELLA")</f>
        <v>DEA ISABELLA</v>
      </c>
      <c r="E46" s="55">
        <f>IFERROR(__xludf.DUMMYFUNCTION("""COMPUTED_VALUE"""),8.0)</f>
        <v>8</v>
      </c>
      <c r="F46" s="55">
        <f>IFERROR(__xludf.DUMMYFUNCTION("""COMPUTED_VALUE"""),2.0)</f>
        <v>2</v>
      </c>
      <c r="G46" s="56">
        <f>IFERROR(__xludf.DUMMYFUNCTION("""COMPUTED_VALUE"""),1.0)</f>
        <v>1</v>
      </c>
      <c r="H46" s="57">
        <f>IFERROR(__xludf.DUMMYFUNCTION("""COMPUTED_VALUE"""),11.0)</f>
        <v>11</v>
      </c>
      <c r="I46" s="58">
        <f>IFERROR(__xludf.DUMMYFUNCTION("""COMPUTED_VALUE"""),0.0)</f>
        <v>0</v>
      </c>
      <c r="J46" s="59">
        <f>IFERROR(__xludf.DUMMYFUNCTION("""COMPUTED_VALUE"""),10.0)</f>
        <v>10</v>
      </c>
      <c r="K46" s="51"/>
      <c r="L46" s="61">
        <f>IFERROR(__xludf.DUMMYFUNCTION("""COMPUTED_VALUE"""),11.0)</f>
        <v>11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IFERROR(__xludf.DUMMYFUNCTION("""COMPUTED_VALUE"""),"MARES")</f>
        <v>MARES</v>
      </c>
      <c r="C47" s="53" t="str">
        <f>IFERROR(__xludf.DUMMYFUNCTION("""COMPUTED_VALUE"""),"GONZALEZ")</f>
        <v>GONZALEZ</v>
      </c>
      <c r="D47" s="54" t="str">
        <f>IFERROR(__xludf.DUMMYFUNCTION("""COMPUTED_VALUE"""),"JOSE CARLOS")</f>
        <v>JOSE CARLOS</v>
      </c>
      <c r="E47" s="55">
        <f>IFERROR(__xludf.DUMMYFUNCTION("""COMPUTED_VALUE"""),8.0)</f>
        <v>8</v>
      </c>
      <c r="F47" s="55">
        <f>IFERROR(__xludf.DUMMYFUNCTION("""COMPUTED_VALUE"""),2.0)</f>
        <v>2</v>
      </c>
      <c r="G47" s="56">
        <f>IFERROR(__xludf.DUMMYFUNCTION("""COMPUTED_VALUE"""),1.0)</f>
        <v>1</v>
      </c>
      <c r="H47" s="57">
        <f>IFERROR(__xludf.DUMMYFUNCTION("""COMPUTED_VALUE"""),11.0)</f>
        <v>11</v>
      </c>
      <c r="I47" s="58">
        <f>IFERROR(__xludf.DUMMYFUNCTION("""COMPUTED_VALUE"""),0.0)</f>
        <v>0</v>
      </c>
      <c r="J47" s="59">
        <f>IFERROR(__xludf.DUMMYFUNCTION("""COMPUTED_VALUE"""),10.0)</f>
        <v>10</v>
      </c>
      <c r="K47" s="51"/>
      <c r="L47" s="61">
        <f>IFERROR(__xludf.DUMMYFUNCTION("""COMPUTED_VALUE"""),11.0)</f>
        <v>11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IFERROR(__xludf.DUMMYFUNCTION("""COMPUTED_VALUE"""),"MARTINEZ")</f>
        <v>MARTINEZ</v>
      </c>
      <c r="C48" s="53" t="str">
        <f>IFERROR(__xludf.DUMMYFUNCTION("""COMPUTED_VALUE"""),"REYES")</f>
        <v>REYES</v>
      </c>
      <c r="D48" s="54" t="str">
        <f>IFERROR(__xludf.DUMMYFUNCTION("""COMPUTED_VALUE"""),"JACQUELINE ANDREA")</f>
        <v>JACQUELINE ANDREA</v>
      </c>
      <c r="E48" s="55">
        <f>IFERROR(__xludf.DUMMYFUNCTION("""COMPUTED_VALUE"""),8.0)</f>
        <v>8</v>
      </c>
      <c r="F48" s="55">
        <f>IFERROR(__xludf.DUMMYFUNCTION("""COMPUTED_VALUE"""),2.0)</f>
        <v>2</v>
      </c>
      <c r="G48" s="56">
        <f>IFERROR(__xludf.DUMMYFUNCTION("""COMPUTED_VALUE"""),1.0)</f>
        <v>1</v>
      </c>
      <c r="H48" s="57">
        <f>IFERROR(__xludf.DUMMYFUNCTION("""COMPUTED_VALUE"""),11.0)</f>
        <v>11</v>
      </c>
      <c r="I48" s="58">
        <f>IFERROR(__xludf.DUMMYFUNCTION("""COMPUTED_VALUE"""),0.0)</f>
        <v>0</v>
      </c>
      <c r="J48" s="59">
        <f>IFERROR(__xludf.DUMMYFUNCTION("""COMPUTED_VALUE"""),10.0)</f>
        <v>10</v>
      </c>
      <c r="K48" s="51"/>
      <c r="L48" s="61">
        <f>IFERROR(__xludf.DUMMYFUNCTION("""COMPUTED_VALUE"""),11.0)</f>
        <v>11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IFERROR(__xludf.DUMMYFUNCTION("""COMPUTED_VALUE"""),"MARTINEZ")</f>
        <v>MARTINEZ</v>
      </c>
      <c r="C49" s="53" t="str">
        <f>IFERROR(__xludf.DUMMYFUNCTION("""COMPUTED_VALUE"""),"VELAZQUEZ")</f>
        <v>VELAZQUEZ</v>
      </c>
      <c r="D49" s="65" t="str">
        <f>IFERROR(__xludf.DUMMYFUNCTION("""COMPUTED_VALUE"""),"OSCAR ZADKIEL")</f>
        <v>OSCAR ZADKIEL</v>
      </c>
      <c r="E49" s="55">
        <f>IFERROR(__xludf.DUMMYFUNCTION("""COMPUTED_VALUE"""),8.0)</f>
        <v>8</v>
      </c>
      <c r="F49" s="55">
        <f>IFERROR(__xludf.DUMMYFUNCTION("""COMPUTED_VALUE"""),2.0)</f>
        <v>2</v>
      </c>
      <c r="G49" s="56">
        <f>IFERROR(__xludf.DUMMYFUNCTION("""COMPUTED_VALUE"""),0.0)</f>
        <v>0</v>
      </c>
      <c r="H49" s="57">
        <f>IFERROR(__xludf.DUMMYFUNCTION("""COMPUTED_VALUE"""),10.0)</f>
        <v>10</v>
      </c>
      <c r="I49" s="58">
        <f>IFERROR(__xludf.DUMMYFUNCTION("""COMPUTED_VALUE"""),0.0)</f>
        <v>0</v>
      </c>
      <c r="J49" s="59">
        <f>IFERROR(__xludf.DUMMYFUNCTION("""COMPUTED_VALUE"""),10.0)</f>
        <v>10</v>
      </c>
      <c r="K49" s="51"/>
      <c r="L49" s="61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IFERROR(__xludf.DUMMYFUNCTION("""COMPUTED_VALUE"""),"MORAN")</f>
        <v>MORAN</v>
      </c>
      <c r="C50" s="53" t="str">
        <f>IFERROR(__xludf.DUMMYFUNCTION("""COMPUTED_VALUE"""),"ALMAGUER")</f>
        <v>ALMAGUER</v>
      </c>
      <c r="D50" s="54" t="str">
        <f>IFERROR(__xludf.DUMMYFUNCTION("""COMPUTED_VALUE"""),"LEYLANI")</f>
        <v>LEYLANI</v>
      </c>
      <c r="E50" s="55">
        <f>IFERROR(__xludf.DUMMYFUNCTION("""COMPUTED_VALUE"""),8.0)</f>
        <v>8</v>
      </c>
      <c r="F50" s="55">
        <f>IFERROR(__xludf.DUMMYFUNCTION("""COMPUTED_VALUE"""),2.0)</f>
        <v>2</v>
      </c>
      <c r="G50" s="56">
        <f>IFERROR(__xludf.DUMMYFUNCTION("""COMPUTED_VALUE"""),0.0)</f>
        <v>0</v>
      </c>
      <c r="H50" s="57">
        <f>IFERROR(__xludf.DUMMYFUNCTION("""COMPUTED_VALUE"""),10.0)</f>
        <v>10</v>
      </c>
      <c r="I50" s="58">
        <f>IFERROR(__xludf.DUMMYFUNCTION("""COMPUTED_VALUE"""),0.0)</f>
        <v>0</v>
      </c>
      <c r="J50" s="59">
        <f>IFERROR(__xludf.DUMMYFUNCTION("""COMPUTED_VALUE"""),10.0)</f>
        <v>10</v>
      </c>
      <c r="K50" s="51"/>
      <c r="L50" s="61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IFERROR(__xludf.DUMMYFUNCTION("""COMPUTED_VALUE"""),"MORENO")</f>
        <v>MORENO</v>
      </c>
      <c r="C51" s="53" t="str">
        <f>IFERROR(__xludf.DUMMYFUNCTION("""COMPUTED_VALUE"""),"VALENZUELA")</f>
        <v>VALENZUELA</v>
      </c>
      <c r="D51" s="54" t="str">
        <f>IFERROR(__xludf.DUMMYFUNCTION("""COMPUTED_VALUE"""),"SANTIAGO ISMAEL")</f>
        <v>SANTIAGO ISMAEL</v>
      </c>
      <c r="E51" s="55">
        <f>IFERROR(__xludf.DUMMYFUNCTION("""COMPUTED_VALUE"""),8.0)</f>
        <v>8</v>
      </c>
      <c r="F51" s="55">
        <f>IFERROR(__xludf.DUMMYFUNCTION("""COMPUTED_VALUE"""),2.0)</f>
        <v>2</v>
      </c>
      <c r="G51" s="56">
        <f>IFERROR(__xludf.DUMMYFUNCTION("""COMPUTED_VALUE"""),0.0)</f>
        <v>0</v>
      </c>
      <c r="H51" s="57">
        <f>IFERROR(__xludf.DUMMYFUNCTION("""COMPUTED_VALUE"""),10.0)</f>
        <v>10</v>
      </c>
      <c r="I51" s="58">
        <f>IFERROR(__xludf.DUMMYFUNCTION("""COMPUTED_VALUE"""),0.0)</f>
        <v>0</v>
      </c>
      <c r="J51" s="59">
        <f>IFERROR(__xludf.DUMMYFUNCTION("""COMPUTED_VALUE"""),10.0)</f>
        <v>10</v>
      </c>
      <c r="K51" s="51"/>
      <c r="L51" s="61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IFERROR(__xludf.DUMMYFUNCTION("""COMPUTED_VALUE"""),"NUÑEZ")</f>
        <v>NUÑEZ</v>
      </c>
      <c r="C52" s="53" t="str">
        <f>IFERROR(__xludf.DUMMYFUNCTION("""COMPUTED_VALUE"""),"FLORES")</f>
        <v>FLORES</v>
      </c>
      <c r="D52" s="54" t="str">
        <f>IFERROR(__xludf.DUMMYFUNCTION("""COMPUTED_VALUE"""),"ANDREA MAYARI")</f>
        <v>ANDREA MAYARI</v>
      </c>
      <c r="E52" s="55">
        <f>IFERROR(__xludf.DUMMYFUNCTION("""COMPUTED_VALUE"""),8.0)</f>
        <v>8</v>
      </c>
      <c r="F52" s="55">
        <f>IFERROR(__xludf.DUMMYFUNCTION("""COMPUTED_VALUE"""),2.0)</f>
        <v>2</v>
      </c>
      <c r="G52" s="56">
        <f>IFERROR(__xludf.DUMMYFUNCTION("""COMPUTED_VALUE"""),0.0)</f>
        <v>0</v>
      </c>
      <c r="H52" s="57">
        <f>IFERROR(__xludf.DUMMYFUNCTION("""COMPUTED_VALUE"""),10.0)</f>
        <v>10</v>
      </c>
      <c r="I52" s="58">
        <f>IFERROR(__xludf.DUMMYFUNCTION("""COMPUTED_VALUE"""),0.0)</f>
        <v>0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IFERROR(__xludf.DUMMYFUNCTION("""COMPUTED_VALUE"""),"ORNELAS")</f>
        <v>ORNELAS</v>
      </c>
      <c r="C53" s="53" t="str">
        <f>IFERROR(__xludf.DUMMYFUNCTION("""COMPUTED_VALUE"""),"LOPEZ")</f>
        <v>LOPEZ</v>
      </c>
      <c r="D53" s="54" t="str">
        <f>IFERROR(__xludf.DUMMYFUNCTION("""COMPUTED_VALUE"""),"LENA VIKTORIA")</f>
        <v>LENA VIKTORIA</v>
      </c>
      <c r="E53" s="55">
        <f>IFERROR(__xludf.DUMMYFUNCTION("""COMPUTED_VALUE"""),8.0)</f>
        <v>8</v>
      </c>
      <c r="F53" s="55">
        <f>IFERROR(__xludf.DUMMYFUNCTION("""COMPUTED_VALUE"""),2.0)</f>
        <v>2</v>
      </c>
      <c r="G53" s="56">
        <f>IFERROR(__xludf.DUMMYFUNCTION("""COMPUTED_VALUE"""),1.0)</f>
        <v>1</v>
      </c>
      <c r="H53" s="57">
        <f>IFERROR(__xludf.DUMMYFUNCTION("""COMPUTED_VALUE"""),11.0)</f>
        <v>11</v>
      </c>
      <c r="I53" s="58">
        <f>IFERROR(__xludf.DUMMYFUNCTION("""COMPUTED_VALUE"""),0.0)</f>
        <v>0</v>
      </c>
      <c r="J53" s="59">
        <f>IFERROR(__xludf.DUMMYFUNCTION("""COMPUTED_VALUE"""),10.0)</f>
        <v>10</v>
      </c>
      <c r="K53" s="51"/>
      <c r="L53" s="60">
        <f>IFERROR(__xludf.DUMMYFUNCTION("""COMPUTED_VALUE"""),11.0)</f>
        <v>11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IFERROR(__xludf.DUMMYFUNCTION("""COMPUTED_VALUE"""),"ORTIZ")</f>
        <v>ORTIZ</v>
      </c>
      <c r="C54" s="53" t="str">
        <f>IFERROR(__xludf.DUMMYFUNCTION("""COMPUTED_VALUE"""),"RODRIGUEZ")</f>
        <v>RODRIGUEZ</v>
      </c>
      <c r="D54" s="68" t="str">
        <f>IFERROR(__xludf.DUMMYFUNCTION("""COMPUTED_VALUE"""),"GUILLERMO")</f>
        <v>GUILLERMO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>
        <f>IFERROR(__xludf.DUMMYFUNCTION("""COMPUTED_VALUE"""),0.0)</f>
        <v>0</v>
      </c>
      <c r="H54" s="57">
        <f>IFERROR(__xludf.DUMMYFUNCTION("""COMPUTED_VALUE"""),10.0)</f>
        <v>10</v>
      </c>
      <c r="I54" s="58">
        <f>IFERROR(__xludf.DUMMYFUNCTION("""COMPUTED_VALUE"""),1.0)</f>
        <v>1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IFERROR(__xludf.DUMMYFUNCTION("""COMPUTED_VALUE"""),"PACHECO")</f>
        <v>PACHECO</v>
      </c>
      <c r="C55" s="53" t="str">
        <f>IFERROR(__xludf.DUMMYFUNCTION("""COMPUTED_VALUE"""),"OLIVARES")</f>
        <v>OLIVARES</v>
      </c>
      <c r="D55" s="54" t="str">
        <f>IFERROR(__xludf.DUMMYFUNCTION("""COMPUTED_VALUE"""),"ANDRES")</f>
        <v>ANDRES</v>
      </c>
      <c r="E55" s="55">
        <f>IFERROR(__xludf.DUMMYFUNCTION("""COMPUTED_VALUE"""),8.0)</f>
        <v>8</v>
      </c>
      <c r="F55" s="55">
        <f>IFERROR(__xludf.DUMMYFUNCTION("""COMPUTED_VALUE"""),2.0)</f>
        <v>2</v>
      </c>
      <c r="G55" s="56">
        <f>IFERROR(__xludf.DUMMYFUNCTION("""COMPUTED_VALUE"""),0.0)</f>
        <v>0</v>
      </c>
      <c r="H55" s="57">
        <f>IFERROR(__xludf.DUMMYFUNCTION("""COMPUTED_VALUE"""),10.0)</f>
        <v>10</v>
      </c>
      <c r="I55" s="69">
        <f>IFERROR(__xludf.DUMMYFUNCTION("""COMPUTED_VALUE"""),0.0)</f>
        <v>0</v>
      </c>
      <c r="J55" s="59">
        <f>IFERROR(__xludf.DUMMYFUNCTION("""COMPUTED_VALUE"""),10.0)</f>
        <v>10</v>
      </c>
      <c r="K55" s="51"/>
      <c r="L55" s="60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IFERROR(__xludf.DUMMYFUNCTION("""COMPUTED_VALUE"""),"PEREZ")</f>
        <v>PEREZ</v>
      </c>
      <c r="C56" s="53" t="str">
        <f>IFERROR(__xludf.DUMMYFUNCTION("""COMPUTED_VALUE"""),"SUAREZ")</f>
        <v>SUAREZ</v>
      </c>
      <c r="D56" s="54" t="str">
        <f>IFERROR(__xludf.DUMMYFUNCTION("""COMPUTED_VALUE"""),"DAVETH OSIEL")</f>
        <v>DAVETH OSIEL</v>
      </c>
      <c r="E56" s="55">
        <f>IFERROR(__xludf.DUMMYFUNCTION("""COMPUTED_VALUE"""),8.0)</f>
        <v>8</v>
      </c>
      <c r="F56" s="55">
        <f>IFERROR(__xludf.DUMMYFUNCTION("""COMPUTED_VALUE"""),2.0)</f>
        <v>2</v>
      </c>
      <c r="G56" s="56">
        <f>IFERROR(__xludf.DUMMYFUNCTION("""COMPUTED_VALUE"""),1.0)</f>
        <v>1</v>
      </c>
      <c r="H56" s="57">
        <f>IFERROR(__xludf.DUMMYFUNCTION("""COMPUTED_VALUE"""),11.0)</f>
        <v>11</v>
      </c>
      <c r="I56" s="69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IFERROR(__xludf.DUMMYFUNCTION("""COMPUTED_VALUE"""),11.0)</f>
        <v>11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IFERROR(__xludf.DUMMYFUNCTION("""COMPUTED_VALUE"""),"PUC")</f>
        <v>PUC</v>
      </c>
      <c r="C57" s="53" t="str">
        <f>IFERROR(__xludf.DUMMYFUNCTION("""COMPUTED_VALUE"""),"JIMENEZ")</f>
        <v>JIMENEZ</v>
      </c>
      <c r="D57" s="54" t="str">
        <f>IFERROR(__xludf.DUMMYFUNCTION("""COMPUTED_VALUE"""),"XIMENA DANIELA")</f>
        <v>XIMENA DANIELA</v>
      </c>
      <c r="E57" s="55">
        <f>IFERROR(__xludf.DUMMYFUNCTION("""COMPUTED_VALUE"""),8.0)</f>
        <v>8</v>
      </c>
      <c r="F57" s="55">
        <f>IFERROR(__xludf.DUMMYFUNCTION("""COMPUTED_VALUE"""),2.0)</f>
        <v>2</v>
      </c>
      <c r="G57" s="56">
        <f>IFERROR(__xludf.DUMMYFUNCTION("""COMPUTED_VALUE"""),0.0)</f>
        <v>0</v>
      </c>
      <c r="H57" s="57">
        <f>IFERROR(__xludf.DUMMYFUNCTION("""COMPUTED_VALUE"""),10.0)</f>
        <v>10</v>
      </c>
      <c r="I57" s="69">
        <f>IFERROR(__xludf.DUMMYFUNCTION("""COMPUTED_VALUE"""),1.0)</f>
        <v>1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IFERROR(__xludf.DUMMYFUNCTION("""COMPUTED_VALUE"""),"RAMIREZ")</f>
        <v>RAMIREZ</v>
      </c>
      <c r="C58" s="53" t="str">
        <f>IFERROR(__xludf.DUMMYFUNCTION("""COMPUTED_VALUE"""),"ROMAN")</f>
        <v>ROMAN</v>
      </c>
      <c r="D58" s="54" t="str">
        <f>IFERROR(__xludf.DUMMYFUNCTION("""COMPUTED_VALUE"""),"XIMENA")</f>
        <v>XIMENA</v>
      </c>
      <c r="E58" s="55">
        <f>IFERROR(__xludf.DUMMYFUNCTION("""COMPUTED_VALUE"""),8.0)</f>
        <v>8</v>
      </c>
      <c r="F58" s="55">
        <f>IFERROR(__xludf.DUMMYFUNCTION("""COMPUTED_VALUE"""),2.0)</f>
        <v>2</v>
      </c>
      <c r="G58" s="56">
        <f>IFERROR(__xludf.DUMMYFUNCTION("""COMPUTED_VALUE"""),1.0)</f>
        <v>1</v>
      </c>
      <c r="H58" s="57">
        <f>IFERROR(__xludf.DUMMYFUNCTION("""COMPUTED_VALUE"""),11.0)</f>
        <v>11</v>
      </c>
      <c r="I58" s="69">
        <f>IFERROR(__xludf.DUMMYFUNCTION("""COMPUTED_VALUE"""),1.0)</f>
        <v>1</v>
      </c>
      <c r="J58" s="59">
        <f>IFERROR(__xludf.DUMMYFUNCTION("""COMPUTED_VALUE"""),10.0)</f>
        <v>10</v>
      </c>
      <c r="K58" s="51"/>
      <c r="L58" s="60">
        <f>IFERROR(__xludf.DUMMYFUNCTION("""COMPUTED_VALUE"""),11.0)</f>
        <v>11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6" t="str">
        <f>IFERROR(__xludf.DUMMYFUNCTION("""COMPUTED_VALUE"""),"REYES")</f>
        <v>REYES</v>
      </c>
      <c r="C59" s="67" t="str">
        <f>IFERROR(__xludf.DUMMYFUNCTION("""COMPUTED_VALUE"""),"TREJO")</f>
        <v>TREJO</v>
      </c>
      <c r="D59" s="54" t="str">
        <f>IFERROR(__xludf.DUMMYFUNCTION("""COMPUTED_VALUE"""),"HUGO DASTAN")</f>
        <v>HUGO DASTAN</v>
      </c>
      <c r="E59" s="55">
        <f>IFERROR(__xludf.DUMMYFUNCTION("""COMPUTED_VALUE"""),8.0)</f>
        <v>8</v>
      </c>
      <c r="F59" s="55">
        <f>IFERROR(__xludf.DUMMYFUNCTION("""COMPUTED_VALUE"""),2.0)</f>
        <v>2</v>
      </c>
      <c r="G59" s="56">
        <f>IFERROR(__xludf.DUMMYFUNCTION("""COMPUTED_VALUE"""),1.0)</f>
        <v>1</v>
      </c>
      <c r="H59" s="57">
        <f>IFERROR(__xludf.DUMMYFUNCTION("""COMPUTED_VALUE"""),11.0)</f>
        <v>11</v>
      </c>
      <c r="I59" s="69">
        <f>IFERROR(__xludf.DUMMYFUNCTION("""COMPUTED_VALUE"""),0.0)</f>
        <v>0</v>
      </c>
      <c r="J59" s="59">
        <f>IFERROR(__xludf.DUMMYFUNCTION("""COMPUTED_VALUE"""),10.0)</f>
        <v>10</v>
      </c>
      <c r="K59" s="51"/>
      <c r="L59" s="60">
        <f>IFERROR(__xludf.DUMMYFUNCTION("""COMPUTED_VALUE"""),11.0)</f>
        <v>11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70" t="str">
        <f>IFERROR(__xludf.DUMMYFUNCTION("""COMPUTED_VALUE"""),"RODRIGUEZ")</f>
        <v>RODRIGUEZ</v>
      </c>
      <c r="C60" s="53" t="str">
        <f>IFERROR(__xludf.DUMMYFUNCTION("""COMPUTED_VALUE"""),"ROSAS")</f>
        <v>ROSAS</v>
      </c>
      <c r="D60" s="54" t="str">
        <f>IFERROR(__xludf.DUMMYFUNCTION("""COMPUTED_VALUE"""),"XOCHITL")</f>
        <v>XOCHITL</v>
      </c>
      <c r="E60" s="55">
        <f>IFERROR(__xludf.DUMMYFUNCTION("""COMPUTED_VALUE"""),8.0)</f>
        <v>8</v>
      </c>
      <c r="F60" s="55">
        <f>IFERROR(__xludf.DUMMYFUNCTION("""COMPUTED_VALUE"""),2.0)</f>
        <v>2</v>
      </c>
      <c r="G60" s="56">
        <f>IFERROR(__xludf.DUMMYFUNCTION("""COMPUTED_VALUE"""),1.0)</f>
        <v>1</v>
      </c>
      <c r="H60" s="57">
        <f>IFERROR(__xludf.DUMMYFUNCTION("""COMPUTED_VALUE"""),11.0)</f>
        <v>11</v>
      </c>
      <c r="I60" s="69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IFERROR(__xludf.DUMMYFUNCTION("""COMPUTED_VALUE"""),11.0)</f>
        <v>11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IFERROR(__xludf.DUMMYFUNCTION("""COMPUTED_VALUE"""),"RUBIO")</f>
        <v>RUBIO</v>
      </c>
      <c r="C61" s="53" t="str">
        <f>IFERROR(__xludf.DUMMYFUNCTION("""COMPUTED_VALUE"""),"HERNANDEZ")</f>
        <v>HERNANDEZ</v>
      </c>
      <c r="D61" s="54" t="str">
        <f>IFERROR(__xludf.DUMMYFUNCTION("""COMPUTED_VALUE"""),"MACIEL ALEJANDRA")</f>
        <v>MACIEL ALEJANDRA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>
        <f>IFERROR(__xludf.DUMMYFUNCTION("""COMPUTED_VALUE"""),1.0)</f>
        <v>1</v>
      </c>
      <c r="H61" s="57">
        <f>IFERROR(__xludf.DUMMYFUNCTION("""COMPUTED_VALUE"""),11.0)</f>
        <v>11</v>
      </c>
      <c r="I61" s="69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IFERROR(__xludf.DUMMYFUNCTION("""COMPUTED_VALUE"""),11.0)</f>
        <v>11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70" t="str">
        <f>IFERROR(__xludf.DUMMYFUNCTION("""COMPUTED_VALUE"""),"SANTANA")</f>
        <v>SANTANA</v>
      </c>
      <c r="C62" s="53" t="str">
        <f>IFERROR(__xludf.DUMMYFUNCTION("""COMPUTED_VALUE"""),"LARA")</f>
        <v>LARA</v>
      </c>
      <c r="D62" s="54" t="str">
        <f>IFERROR(__xludf.DUMMYFUNCTION("""COMPUTED_VALUE"""),"IRVING WILLIAM")</f>
        <v>IRVING WILLIAM</v>
      </c>
      <c r="E62" s="55">
        <f>IFERROR(__xludf.DUMMYFUNCTION("""COMPUTED_VALUE"""),8.0)</f>
        <v>8</v>
      </c>
      <c r="F62" s="55">
        <f>IFERROR(__xludf.DUMMYFUNCTION("""COMPUTED_VALUE"""),2.0)</f>
        <v>2</v>
      </c>
      <c r="G62" s="56">
        <f>IFERROR(__xludf.DUMMYFUNCTION("""COMPUTED_VALUE"""),0.0)</f>
        <v>0</v>
      </c>
      <c r="H62" s="57">
        <f>IFERROR(__xludf.DUMMYFUNCTION("""COMPUTED_VALUE"""),10.0)</f>
        <v>10</v>
      </c>
      <c r="I62" s="69">
        <f>IFERROR(__xludf.DUMMYFUNCTION("""COMPUTED_VALUE"""),2.0)</f>
        <v>2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70" t="str">
        <f>IFERROR(__xludf.DUMMYFUNCTION("""COMPUTED_VALUE"""),"SANTILLAN")</f>
        <v>SANTILLAN</v>
      </c>
      <c r="C63" s="53" t="str">
        <f>IFERROR(__xludf.DUMMYFUNCTION("""COMPUTED_VALUE"""),"GONZALEZ")</f>
        <v>GONZALEZ</v>
      </c>
      <c r="D63" s="54" t="str">
        <f>IFERROR(__xludf.DUMMYFUNCTION("""COMPUTED_VALUE"""),"JAZMIN")</f>
        <v>JAZMIN</v>
      </c>
      <c r="E63" s="55">
        <f>IFERROR(__xludf.DUMMYFUNCTION("""COMPUTED_VALUE"""),8.0)</f>
        <v>8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IFERROR(__xludf.DUMMYFUNCTION("""COMPUTED_VALUE"""),11.0)</f>
        <v>11</v>
      </c>
      <c r="I63" s="69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IFERROR(__xludf.DUMMYFUNCTION("""COMPUTED_VALUE"""),11.0)</f>
        <v>11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70" t="str">
        <f>IFERROR(__xludf.DUMMYFUNCTION("""COMPUTED_VALUE"""),"SUAREZ")</f>
        <v>SUAREZ</v>
      </c>
      <c r="C64" s="53" t="str">
        <f>IFERROR(__xludf.DUMMYFUNCTION("""COMPUTED_VALUE"""),"MUÑOZ")</f>
        <v>MUÑOZ</v>
      </c>
      <c r="D64" s="54" t="str">
        <f>IFERROR(__xludf.DUMMYFUNCTION("""COMPUTED_VALUE"""),"ALDO YAEL")</f>
        <v>ALDO YAEL</v>
      </c>
      <c r="E64" s="55">
        <f>IFERROR(__xludf.DUMMYFUNCTION("""COMPUTED_VALUE"""),8.0)</f>
        <v>8</v>
      </c>
      <c r="F64" s="55">
        <f>IFERROR(__xludf.DUMMYFUNCTION("""COMPUTED_VALUE"""),2.0)</f>
        <v>2</v>
      </c>
      <c r="G64" s="56">
        <f>IFERROR(__xludf.DUMMYFUNCTION("""COMPUTED_VALUE"""),1.0)</f>
        <v>1</v>
      </c>
      <c r="H64" s="57">
        <f>IFERROR(__xludf.DUMMYFUNCTION("""COMPUTED_VALUE"""),11.0)</f>
        <v>11</v>
      </c>
      <c r="I64" s="69">
        <f>IFERROR(__xludf.DUMMYFUNCTION("""COMPUTED_VALUE"""),0.0)</f>
        <v>0</v>
      </c>
      <c r="J64" s="59">
        <f>IFERROR(__xludf.DUMMYFUNCTION("""COMPUTED_VALUE"""),10.0)</f>
        <v>10</v>
      </c>
      <c r="K64" s="51"/>
      <c r="L64" s="60">
        <f>IFERROR(__xludf.DUMMYFUNCTION("""COMPUTED_VALUE"""),11.0)</f>
        <v>11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70" t="str">
        <f>IFERROR(__xludf.DUMMYFUNCTION("""COMPUTED_VALUE"""),"TORRES")</f>
        <v>TORRES</v>
      </c>
      <c r="C65" s="53" t="str">
        <f>IFERROR(__xludf.DUMMYFUNCTION("""COMPUTED_VALUE"""),"DE LEON")</f>
        <v>DE LEON</v>
      </c>
      <c r="D65" s="54" t="str">
        <f>IFERROR(__xludf.DUMMYFUNCTION("""COMPUTED_VALUE"""),"AMAIRANI")</f>
        <v>AMAIRANI</v>
      </c>
      <c r="E65" s="55">
        <f>IFERROR(__xludf.DUMMYFUNCTION("""COMPUTED_VALUE"""),8.0)</f>
        <v>8</v>
      </c>
      <c r="F65" s="55">
        <f>IFERROR(__xludf.DUMMYFUNCTION("""COMPUTED_VALUE"""),2.0)</f>
        <v>2</v>
      </c>
      <c r="G65" s="56">
        <f>IFERROR(__xludf.DUMMYFUNCTION("""COMPUTED_VALUE"""),1.0)</f>
        <v>1</v>
      </c>
      <c r="H65" s="57">
        <f>IFERROR(__xludf.DUMMYFUNCTION("""COMPUTED_VALUE"""),11.0)</f>
        <v>11</v>
      </c>
      <c r="I65" s="69">
        <f>IFERROR(__xludf.DUMMYFUNCTION("""COMPUTED_VALUE"""),0.0)</f>
        <v>0</v>
      </c>
      <c r="J65" s="59">
        <f>IFERROR(__xludf.DUMMYFUNCTION("""COMPUTED_VALUE"""),10.0)</f>
        <v>10</v>
      </c>
      <c r="K65" s="51"/>
      <c r="L65" s="60">
        <f>IFERROR(__xludf.DUMMYFUNCTION("""COMPUTED_VALUE"""),11.0)</f>
        <v>11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70" t="str">
        <f>IFERROR(__xludf.DUMMYFUNCTION("""COMPUTED_VALUE"""),"VALDEZ")</f>
        <v>VALDEZ</v>
      </c>
      <c r="C66" s="53" t="str">
        <f>IFERROR(__xludf.DUMMYFUNCTION("""COMPUTED_VALUE"""),"ROBLES")</f>
        <v>ROBLES</v>
      </c>
      <c r="D66" s="54" t="str">
        <f>IFERROR(__xludf.DUMMYFUNCTION("""COMPUTED_VALUE"""),"OSCAR YAEL")</f>
        <v>OSCAR YAEL</v>
      </c>
      <c r="E66" s="55">
        <f>IFERROR(__xludf.DUMMYFUNCTION("""COMPUTED_VALUE"""),8.0)</f>
        <v>8</v>
      </c>
      <c r="F66" s="55">
        <f>IFERROR(__xludf.DUMMYFUNCTION("""COMPUTED_VALUE"""),2.0)</f>
        <v>2</v>
      </c>
      <c r="G66" s="56">
        <f>IFERROR(__xludf.DUMMYFUNCTION("""COMPUTED_VALUE"""),1.0)</f>
        <v>1</v>
      </c>
      <c r="H66" s="57">
        <f>IFERROR(__xludf.DUMMYFUNCTION("""COMPUTED_VALUE"""),11.0)</f>
        <v>11</v>
      </c>
      <c r="I66" s="69">
        <f>IFERROR(__xludf.DUMMYFUNCTION("""COMPUTED_VALUE"""),0.0)</f>
        <v>0</v>
      </c>
      <c r="J66" s="59">
        <f>IFERROR(__xludf.DUMMYFUNCTION("""COMPUTED_VALUE"""),10.0)</f>
        <v>10</v>
      </c>
      <c r="K66" s="51"/>
      <c r="L66" s="60">
        <f>IFERROR(__xludf.DUMMYFUNCTION("""COMPUTED_VALUE"""),11.0)</f>
        <v>11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70" t="str">
        <f>IFERROR(__xludf.DUMMYFUNCTION("""COMPUTED_VALUE"""),"VARGAS")</f>
        <v>VARGAS</v>
      </c>
      <c r="C67" s="53" t="str">
        <f>IFERROR(__xludf.DUMMYFUNCTION("""COMPUTED_VALUE"""),"SANTOS")</f>
        <v>SANTOS</v>
      </c>
      <c r="D67" s="54" t="str">
        <f>IFERROR(__xludf.DUMMYFUNCTION("""COMPUTED_VALUE"""),"JATZIRI VANESSA")</f>
        <v>JATZIRI VANESSA</v>
      </c>
      <c r="E67" s="55">
        <f>IFERROR(__xludf.DUMMYFUNCTION("""COMPUTED_VALUE"""),8.0)</f>
        <v>8</v>
      </c>
      <c r="F67" s="55">
        <f>IFERROR(__xludf.DUMMYFUNCTION("""COMPUTED_VALUE"""),2.0)</f>
        <v>2</v>
      </c>
      <c r="G67" s="56">
        <f>IFERROR(__xludf.DUMMYFUNCTION("""COMPUTED_VALUE"""),1.0)</f>
        <v>1</v>
      </c>
      <c r="H67" s="57">
        <f>IFERROR(__xludf.DUMMYFUNCTION("""COMPUTED_VALUE"""),11.0)</f>
        <v>11</v>
      </c>
      <c r="I67" s="69">
        <f>IFERROR(__xludf.DUMMYFUNCTION("""COMPUTED_VALUE"""),0.0)</f>
        <v>0</v>
      </c>
      <c r="J67" s="59">
        <f>IFERROR(__xludf.DUMMYFUNCTION("""COMPUTED_VALUE"""),10.0)</f>
        <v>10</v>
      </c>
      <c r="K67" s="51"/>
      <c r="L67" s="60">
        <f>IFERROR(__xludf.DUMMYFUNCTION("""COMPUTED_VALUE"""),11.0)</f>
        <v>11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70" t="str">
        <f>IFERROR(__xludf.DUMMYFUNCTION("""COMPUTED_VALUE"""),"VELAZQUEZ")</f>
        <v>VELAZQUEZ</v>
      </c>
      <c r="C68" s="53" t="str">
        <f>IFERROR(__xludf.DUMMYFUNCTION("""COMPUTED_VALUE"""),"FIGUEROA")</f>
        <v>FIGUEROA</v>
      </c>
      <c r="D68" s="66" t="str">
        <f>IFERROR(__xludf.DUMMYFUNCTION("""COMPUTED_VALUE"""),"DANAE PAOLA")</f>
        <v>DANAE PAOLA</v>
      </c>
      <c r="E68" s="55">
        <f>IFERROR(__xludf.DUMMYFUNCTION("""COMPUTED_VALUE"""),8.0)</f>
        <v>8</v>
      </c>
      <c r="F68" s="55">
        <f>IFERROR(__xludf.DUMMYFUNCTION("""COMPUTED_VALUE"""),2.0)</f>
        <v>2</v>
      </c>
      <c r="G68" s="56">
        <f>IFERROR(__xludf.DUMMYFUNCTION("""COMPUTED_VALUE"""),0.0)</f>
        <v>0</v>
      </c>
      <c r="H68" s="57">
        <f>IFERROR(__xludf.DUMMYFUNCTION("""COMPUTED_VALUE"""),10.0)</f>
        <v>10</v>
      </c>
      <c r="I68" s="69">
        <f>IFERROR(__xludf.DUMMYFUNCTION("""COMPUTED_VALUE"""),1.0)</f>
        <v>1</v>
      </c>
      <c r="J68" s="59">
        <f>IFERROR(__xludf.DUMMYFUNCTION("""COMPUTED_VALUE"""),10.0)</f>
        <v>10</v>
      </c>
      <c r="K68" s="51"/>
      <c r="L68" s="60">
        <f>IFERROR(__xludf.DUMMYFUNCTION("""COMPUTED_VALUE"""),10.0)</f>
        <v>10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70" t="str">
        <f>IFERROR(__xludf.DUMMYFUNCTION("""COMPUTED_VALUE"""),"VENEGAS")</f>
        <v>VENEGAS</v>
      </c>
      <c r="C69" s="53" t="str">
        <f>IFERROR(__xludf.DUMMYFUNCTION("""COMPUTED_VALUE"""),"GONZALEZ")</f>
        <v>GONZALEZ</v>
      </c>
      <c r="D69" s="66" t="str">
        <f>IFERROR(__xludf.DUMMYFUNCTION("""COMPUTED_VALUE"""),"SANTIAGO")</f>
        <v>SANTIAGO</v>
      </c>
      <c r="E69" s="55">
        <f>IFERROR(__xludf.DUMMYFUNCTION("""COMPUTED_VALUE"""),8.0)</f>
        <v>8</v>
      </c>
      <c r="F69" s="55">
        <f>IFERROR(__xludf.DUMMYFUNCTION("""COMPUTED_VALUE"""),2.0)</f>
        <v>2</v>
      </c>
      <c r="G69" s="56">
        <f>IFERROR(__xludf.DUMMYFUNCTION("""COMPUTED_VALUE"""),1.0)</f>
        <v>1</v>
      </c>
      <c r="H69" s="57">
        <f>IFERROR(__xludf.DUMMYFUNCTION("""COMPUTED_VALUE"""),11.0)</f>
        <v>11</v>
      </c>
      <c r="I69" s="69">
        <f>IFERROR(__xludf.DUMMYFUNCTION("""COMPUTED_VALUE"""),0.0)</f>
        <v>0</v>
      </c>
      <c r="J69" s="59">
        <f>IFERROR(__xludf.DUMMYFUNCTION("""COMPUTED_VALUE"""),10.0)</f>
        <v>10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70" t="str">
        <f>IFERROR(__xludf.DUMMYFUNCTION("""COMPUTED_VALUE"""),"ZAMORA")</f>
        <v>ZAMORA</v>
      </c>
      <c r="C70" s="53" t="str">
        <f>IFERROR(__xludf.DUMMYFUNCTION("""COMPUTED_VALUE"""),"SEPULVEDA")</f>
        <v>SEPULVEDA</v>
      </c>
      <c r="D70" s="117" t="str">
        <f>IFERROR(__xludf.DUMMYFUNCTION("""COMPUTED_VALUE"""),"SEBASTIAN")</f>
        <v>SEBASTIAN</v>
      </c>
      <c r="E70" s="55">
        <f>IFERROR(__xludf.DUMMYFUNCTION("""COMPUTED_VALUE"""),8.0)</f>
        <v>8</v>
      </c>
      <c r="F70" s="55">
        <f>IFERROR(__xludf.DUMMYFUNCTION("""COMPUTED_VALUE"""),2.0)</f>
        <v>2</v>
      </c>
      <c r="G70" s="56">
        <f>IFERROR(__xludf.DUMMYFUNCTION("""COMPUTED_VALUE"""),0.0)</f>
        <v>0</v>
      </c>
      <c r="H70" s="57">
        <f>IFERROR(__xludf.DUMMYFUNCTION("""COMPUTED_VALUE"""),10.0)</f>
        <v>10</v>
      </c>
      <c r="I70" s="69">
        <f>IFERROR(__xludf.DUMMYFUNCTION("""COMPUTED_VALUE"""),0.0)</f>
        <v>0</v>
      </c>
      <c r="J70" s="59">
        <f>IFERROR(__xludf.DUMMYFUNCTION("""COMPUTED_VALUE"""),10.0)</f>
        <v>10</v>
      </c>
      <c r="K70" s="51"/>
      <c r="L70" s="7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72"/>
      <c r="C71" s="72"/>
      <c r="D71" s="72"/>
      <c r="E71" s="73"/>
      <c r="F71" s="72"/>
      <c r="G71" s="72"/>
      <c r="H71" s="72"/>
      <c r="I71" s="72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4"/>
      <c r="B72" s="75" t="str">
        <f>IFERROR(__xludf.DUMMYFUNCTION("""COMPUTED_VALUE"""),"No. DE ALUMNOS INSCRITOS")</f>
        <v>No. DE ALUMNOS INSCRITOS</v>
      </c>
      <c r="C72" s="76"/>
      <c r="D72" s="118">
        <f>IFERROR(__xludf.DUMMYFUNCTION("""COMPUTED_VALUE"""),54.0)</f>
        <v>54</v>
      </c>
      <c r="E72" s="72"/>
      <c r="F72" s="79" t="str">
        <f>IFERROR(__xludf.DUMMYFUNCTION("""COMPUTED_VALUE"""),"FIRMA DEL PROFESOR")</f>
        <v>FIRMA DEL PROFESOR</v>
      </c>
      <c r="G72" s="79"/>
      <c r="H72" s="79" t="str">
        <f>IFERROR(__xludf.DUMMYFUNCTION("""COMPUTED_VALUE"""),"FIRMA DEL ORIENTADOR")</f>
        <v>FIRMA DEL ORIENTADOR</v>
      </c>
      <c r="J72" s="119" t="str">
        <f>IFERROR(__xludf.DUMMYFUNCTION("""COMPUTED_VALUE"""),"Vo. Bo. SUBDIRECCIÓN ESCOLAR")</f>
        <v>Vo. Bo. SUBDIRECCIÓN ESCOLAR</v>
      </c>
      <c r="K72" s="81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4"/>
      <c r="B73" s="82" t="str">
        <f>IFERROR(__xludf.DUMMYFUNCTION("""COMPUTED_VALUE"""),"BAJAS DURANTE EL SEMESTRE")</f>
        <v>BAJAS DURANTE EL SEMESTRE</v>
      </c>
      <c r="C73" s="83"/>
      <c r="D73" s="84">
        <f>IFERROR(__xludf.DUMMYFUNCTION("""COMPUTED_VALUE"""),0.0)</f>
        <v>0</v>
      </c>
      <c r="E73" s="72"/>
      <c r="G73" s="79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4"/>
      <c r="B74" s="82" t="str">
        <f>IFERROR(__xludf.DUMMYFUNCTION("""COMPUTED_VALUE"""),"EXISTENCIA")</f>
        <v>EXISTENCIA</v>
      </c>
      <c r="C74" s="83"/>
      <c r="D74" s="85">
        <f>IFERROR(__xludf.DUMMYFUNCTION("""COMPUTED_VALUE"""),54.0)</f>
        <v>54</v>
      </c>
      <c r="E74" s="72"/>
      <c r="F74" s="86"/>
      <c r="G74" s="87"/>
      <c r="H74" s="86"/>
      <c r="I74" s="86"/>
      <c r="J74" s="88"/>
      <c r="K74" s="8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4"/>
      <c r="B75" s="82" t="str">
        <f>IFERROR(__xludf.DUMMYFUNCTION("""COMPUTED_VALUE"""),"No. DE ALUMNOS APROBADOS")</f>
        <v>No. DE ALUMNOS APROBADOS</v>
      </c>
      <c r="C75" s="83"/>
      <c r="D75" s="85">
        <f>IFERROR(__xludf.DUMMYFUNCTION("""COMPUTED_VALUE"""),54.0)</f>
        <v>54</v>
      </c>
      <c r="E75" s="72"/>
      <c r="F75" s="86"/>
      <c r="G75" s="87"/>
      <c r="H75" s="86"/>
      <c r="I75" s="86"/>
      <c r="J75" s="88"/>
      <c r="K75" s="8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4"/>
      <c r="B76" s="82" t="str">
        <f>IFERROR(__xludf.DUMMYFUNCTION("""COMPUTED_VALUE"""),"No. DE ALUMNOS REPROBADOS")</f>
        <v>No. DE ALUMNOS REPROBADOS</v>
      </c>
      <c r="C76" s="83"/>
      <c r="D76" s="85">
        <f>IFERROR(__xludf.DUMMYFUNCTION("""COMPUTED_VALUE"""),0.0)</f>
        <v>0</v>
      </c>
      <c r="E76" s="72"/>
      <c r="F76" s="90"/>
      <c r="G76" s="87"/>
      <c r="H76" s="90"/>
      <c r="I76" s="90"/>
      <c r="J76" s="91"/>
      <c r="K76" s="9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4"/>
      <c r="B77" s="82" t="str">
        <f>IFERROR(__xludf.DUMMYFUNCTION("""COMPUTED_VALUE"""),"% DE APROBADOS")</f>
        <v>% DE APROBADOS</v>
      </c>
      <c r="C77" s="83"/>
      <c r="D77" s="93">
        <f>IFERROR(__xludf.DUMMYFUNCTION("""COMPUTED_VALUE"""),100.0)</f>
        <v>100</v>
      </c>
      <c r="E77" s="72"/>
      <c r="F77" s="94" t="str">
        <f>IFERROR(__xludf.DUMMYFUNCTION("""COMPUTED_VALUE"""),"PROFR. ")</f>
        <v>PROFR. </v>
      </c>
      <c r="G77" s="95"/>
      <c r="H77" s="96" t="str">
        <f>IFERROR(__xludf.DUMMYFUNCTION("""COMPUTED_VALUE"""),"PROFRA. SANDRA DIAZ CAMARENA")</f>
        <v>PROFRA. SANDRA DIAZ CAMARENA</v>
      </c>
      <c r="J77" s="96" t="str">
        <f>IFERROR(__xludf.DUMMYFUNCTION("""COMPUTED_VALUE"""),"PROFR. OCTAVIO VÁZQUEZ BARRETO")</f>
        <v>PROFR. OCTAVIO VÁZQUEZ BARRETO</v>
      </c>
      <c r="K77" s="97" t="str">
        <f>IFERROR(__xludf.DUMMYFUNCTION("""COMPUTED_VALUE"""),"PROFR. ROBERTO PALOMARES MEJÍA ")</f>
        <v>PROFR. ROBERTO PALOMARES MEJÍA </v>
      </c>
      <c r="L77" s="9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4"/>
      <c r="B78" s="99" t="str">
        <f>IFERROR(__xludf.DUMMYFUNCTION("""COMPUTED_VALUE"""),"PROMEDIO")</f>
        <v>PROMEDIO</v>
      </c>
      <c r="C78" s="100"/>
      <c r="D78" s="101">
        <f>IFERROR(__xludf.DUMMYFUNCTION("""COMPUTED_VALUE"""),9.981481481481481)</f>
        <v>9.981481481</v>
      </c>
      <c r="E78" s="72"/>
      <c r="G78" s="95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02"/>
      <c r="B80" s="103"/>
      <c r="C80" s="104"/>
      <c r="D80" s="104"/>
      <c r="E80" s="72"/>
      <c r="G80" s="7"/>
      <c r="H80" s="7"/>
      <c r="I80" s="7"/>
      <c r="J80" s="7"/>
      <c r="K80" s="105"/>
      <c r="L80" s="10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7"/>
      <c r="B81" s="72"/>
      <c r="C81" s="72"/>
      <c r="D81" s="72"/>
      <c r="E81" s="7"/>
      <c r="F81" s="1"/>
      <c r="G81" s="1"/>
      <c r="H81" s="1"/>
      <c r="I81" s="1"/>
      <c r="J81" s="1"/>
      <c r="K81" s="8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7"/>
      <c r="B82" s="72"/>
      <c r="C82" s="72"/>
      <c r="D82" s="72"/>
      <c r="E82" s="7"/>
      <c r="F82" s="1"/>
      <c r="G82" s="1"/>
      <c r="H82" s="1"/>
      <c r="I82" s="1"/>
      <c r="J82" s="1"/>
      <c r="K82" s="8"/>
      <c r="L82" s="10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9"/>
      <c r="B83" s="110"/>
      <c r="C83" s="110"/>
      <c r="D83" s="110"/>
      <c r="E83" s="111"/>
      <c r="F83" s="112"/>
      <c r="G83" s="112"/>
      <c r="H83" s="112"/>
      <c r="I83" s="112"/>
      <c r="J83" s="112"/>
      <c r="K83" s="113"/>
      <c r="L83" s="10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4"/>
      <c r="C84" s="114"/>
      <c r="D84" s="114"/>
      <c r="E84" s="114"/>
      <c r="F84" s="1"/>
      <c r="G84" s="1"/>
      <c r="H84" s="1"/>
      <c r="I84" s="1"/>
      <c r="J84" s="115"/>
      <c r="K84" s="115"/>
      <c r="L84" s="11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4"/>
      <c r="C85" s="114"/>
      <c r="D85" s="114"/>
      <c r="E85" s="114"/>
      <c r="F85" s="1"/>
      <c r="G85" s="1"/>
      <c r="H85" s="1"/>
      <c r="I85" s="1"/>
      <c r="J85" s="115"/>
      <c r="K85" s="115"/>
      <c r="L85" s="11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4"/>
      <c r="C86" s="114"/>
      <c r="D86" s="114"/>
      <c r="E86" s="114"/>
      <c r="F86" s="1"/>
      <c r="G86" s="1"/>
      <c r="H86" s="1"/>
      <c r="I86" s="1"/>
      <c r="J86" s="115"/>
      <c r="K86" s="115"/>
      <c r="L86" s="11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4"/>
      <c r="C87" s="114"/>
      <c r="D87" s="114"/>
      <c r="E87" s="114"/>
      <c r="F87" s="1"/>
      <c r="G87" s="1"/>
      <c r="H87" s="1"/>
      <c r="I87" s="1"/>
      <c r="J87" s="115"/>
      <c r="K87" s="115"/>
      <c r="L87" s="11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4"/>
      <c r="C88" s="114"/>
      <c r="D88" s="114"/>
      <c r="E88" s="1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4"/>
      <c r="C89" s="114"/>
      <c r="D89" s="114"/>
      <c r="E89" s="114"/>
      <c r="F89" s="1"/>
      <c r="G89" s="1"/>
      <c r="H89" s="1"/>
      <c r="I89" s="1"/>
      <c r="J89" s="1"/>
      <c r="K89" s="11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4"/>
      <c r="C90" s="114"/>
      <c r="D90" s="114"/>
      <c r="E90" s="11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4"/>
      <c r="C91" s="114"/>
      <c r="D91" s="114"/>
      <c r="E91" s="11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4"/>
      <c r="C92" s="114"/>
      <c r="D92" s="114"/>
      <c r="E92" s="11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4"/>
      <c r="C93" s="114"/>
      <c r="D93" s="114"/>
      <c r="E93" s="11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4"/>
      <c r="C94" s="114"/>
      <c r="D94" s="114"/>
      <c r="E94" s="11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4"/>
      <c r="C95" s="114"/>
      <c r="D95" s="114"/>
      <c r="E95" s="11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9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IFERROR(__xludf.DUMMYFUNCTION("IMPORTRANGE(""https://docs.google.com/spreadsheets/d/1XXpLVmvERIkOwfwjUI8iua9nnOnyLO6P4Lg4qznMCsI/edit?gid=278395671#gid=278395671"","" 1-3 pensamiento matematico ii!A1:Q86"")"),"")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IFERROR(__xludf.DUMMYFUNCTION("""COMPUTED_VALUE"""),"Ernesto Brena Colin")</f>
        <v>Ernesto Brena Colin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IFERROR(__xludf.DUMMYFUNCTION("""COMPUTED_VALUE"""),"PENSAMIENTO MATEMÁTICO II")</f>
        <v>PENSAMIENTO MATEMÁTICO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IFERROR(__xludf.DUMMYFUNCTION("""COMPUTED_VALUE"""),"VARELA")</f>
        <v>VARELA</v>
      </c>
      <c r="D17" s="54" t="str">
        <f>IFERROR(__xludf.DUMMYFUNCTION("""COMPUTED_VALUE"""),"ISAIAS HAZAEL")</f>
        <v>ISAIAS HAZAEL</v>
      </c>
      <c r="E17" s="55">
        <f>IFERROR(__xludf.DUMMYFUNCTION("""COMPUTED_VALUE"""),5.95)</f>
        <v>5.95</v>
      </c>
      <c r="F17" s="55">
        <f>IFERROR(__xludf.DUMMYFUNCTION("""COMPUTED_VALUE"""),2.0)</f>
        <v>2</v>
      </c>
      <c r="G17" s="56"/>
      <c r="H17" s="57">
        <f>IFERROR(__xludf.DUMMYFUNCTION("""COMPUTED_VALUE"""),7.95)</f>
        <v>7.95</v>
      </c>
      <c r="I17" s="58">
        <f>IFERROR(__xludf.DUMMYFUNCTION("""COMPUTED_VALUE"""),0.0)</f>
        <v>0</v>
      </c>
      <c r="J17" s="59">
        <f>IFERROR(__xludf.DUMMYFUNCTION("""COMPUTED_VALUE"""),8.0)</f>
        <v>8</v>
      </c>
      <c r="K17" s="60"/>
      <c r="L17" s="61">
        <f>IFERROR(__xludf.DUMMYFUNCTION("""COMPUTED_VALUE"""),8.0)</f>
        <v>8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IFERROR(__xludf.DUMMYFUNCTION("""COMPUTED_VALUE"""),"ANDRADE")</f>
        <v>ANDRADE</v>
      </c>
      <c r="C18" s="53" t="str">
        <f>IFERROR(__xludf.DUMMYFUNCTION("""COMPUTED_VALUE"""),"LOPEZ")</f>
        <v>LOPEZ</v>
      </c>
      <c r="D18" s="54" t="str">
        <f>IFERROR(__xludf.DUMMYFUNCTION("""COMPUTED_VALUE"""),"DAVID EMILIANO")</f>
        <v>DAVID EMILIANO</v>
      </c>
      <c r="E18" s="55">
        <f>IFERROR(__xludf.DUMMYFUNCTION("""COMPUTED_VALUE"""),5.1625)</f>
        <v>5.1625</v>
      </c>
      <c r="F18" s="55">
        <f>IFERROR(__xludf.DUMMYFUNCTION("""COMPUTED_VALUE"""),2.0)</f>
        <v>2</v>
      </c>
      <c r="G18" s="56"/>
      <c r="H18" s="57">
        <f>IFERROR(__xludf.DUMMYFUNCTION("""COMPUTED_VALUE"""),7.1625)</f>
        <v>7.1625</v>
      </c>
      <c r="I18" s="58">
        <f>IFERROR(__xludf.DUMMYFUNCTION("""COMPUTED_VALUE"""),1.0)</f>
        <v>1</v>
      </c>
      <c r="J18" s="59">
        <f>IFERROR(__xludf.DUMMYFUNCTION("""COMPUTED_VALUE"""),7.0)</f>
        <v>7</v>
      </c>
      <c r="K18" s="51"/>
      <c r="L18" s="61">
        <f>IFERROR(__xludf.DUMMYFUNCTION("""COMPUTED_VALUE"""),7.0)</f>
        <v>7</v>
      </c>
      <c r="M18" s="1" t="str">
        <f>IFERROR(__xludf.DUMMYFUNCTION("""COMPUTED_VALUE"""),"Febrero")</f>
        <v>Febrero</v>
      </c>
      <c r="N18" s="1">
        <f>IFERROR(__xludf.DUMMYFUNCTION("""COMPUTED_VALUE"""),10.0)</f>
        <v>10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IFERROR(__xludf.DUMMYFUNCTION("""COMPUTED_VALUE"""),"ARELLANO")</f>
        <v>ARELLANO</v>
      </c>
      <c r="C19" s="53" t="str">
        <f>IFERROR(__xludf.DUMMYFUNCTION("""COMPUTED_VALUE"""),"RAMIREZ")</f>
        <v>RAMIREZ</v>
      </c>
      <c r="D19" s="54" t="str">
        <f>IFERROR(__xludf.DUMMYFUNCTION("""COMPUTED_VALUE"""),"ALEJANDRO")</f>
        <v>ALEJANDRO</v>
      </c>
      <c r="E19" s="56">
        <f>IFERROR(__xludf.DUMMYFUNCTION("""COMPUTED_VALUE"""),5.775)</f>
        <v>5.775</v>
      </c>
      <c r="F19" s="55">
        <f>IFERROR(__xludf.DUMMYFUNCTION("""COMPUTED_VALUE"""),2.0)</f>
        <v>2</v>
      </c>
      <c r="G19" s="56"/>
      <c r="H19" s="57">
        <f>IFERROR(__xludf.DUMMYFUNCTION("""COMPUTED_VALUE"""),7.775)</f>
        <v>7.775</v>
      </c>
      <c r="I19" s="58">
        <f>IFERROR(__xludf.DUMMYFUNCTION("""COMPUTED_VALUE"""),1.0)</f>
        <v>1</v>
      </c>
      <c r="J19" s="59">
        <f>IFERROR(__xludf.DUMMYFUNCTION("""COMPUTED_VALUE"""),8.0)</f>
        <v>8</v>
      </c>
      <c r="K19" s="51"/>
      <c r="L19" s="61">
        <f>IFERROR(__xludf.DUMMYFUNCTION("""COMPUTED_VALUE"""),8.0)</f>
        <v>8</v>
      </c>
      <c r="M19" s="1" t="str">
        <f>IFERROR(__xludf.DUMMYFUNCTION("""COMPUTED_VALUE"""),"Marzo")</f>
        <v>Marzo</v>
      </c>
      <c r="N19" s="1">
        <f>IFERROR(__xludf.DUMMYFUNCTION("""COMPUTED_VALUE"""),14.0)</f>
        <v>14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IFERROR(__xludf.DUMMYFUNCTION("""COMPUTED_VALUE"""),"AVILA")</f>
        <v>AVILA</v>
      </c>
      <c r="C20" s="53" t="str">
        <f>IFERROR(__xludf.DUMMYFUNCTION("""COMPUTED_VALUE"""),"GARCIA")</f>
        <v>GARCIA</v>
      </c>
      <c r="D20" s="54" t="str">
        <f>IFERROR(__xludf.DUMMYFUNCTION("""COMPUTED_VALUE"""),"PARIS PAOLETTE")</f>
        <v>PARIS PAOLETTE</v>
      </c>
      <c r="E20" s="55">
        <f>IFERROR(__xludf.DUMMYFUNCTION("""COMPUTED_VALUE"""),7.4)</f>
        <v>7.4</v>
      </c>
      <c r="F20" s="55">
        <f>IFERROR(__xludf.DUMMYFUNCTION("""COMPUTED_VALUE"""),2.0)</f>
        <v>2</v>
      </c>
      <c r="G20" s="56"/>
      <c r="H20" s="57">
        <f>IFERROR(__xludf.DUMMYFUNCTION("""COMPUTED_VALUE"""),9.4)</f>
        <v>9.4</v>
      </c>
      <c r="I20" s="58">
        <f>IFERROR(__xludf.DUMMYFUNCTION("""COMPUTED_VALUE"""),0.0)</f>
        <v>0</v>
      </c>
      <c r="J20" s="59">
        <f>IFERROR(__xludf.DUMMYFUNCTION("""COMPUTED_VALUE"""),9.0)</f>
        <v>9</v>
      </c>
      <c r="K20" s="51"/>
      <c r="L20" s="61">
        <f>IFERROR(__xludf.DUMMYFUNCTION("""COMPUTED_VALUE"""),9.0)</f>
        <v>9</v>
      </c>
      <c r="M20" s="1" t="str">
        <f>IFERROR(__xludf.DUMMYFUNCTION("""COMPUTED_VALUE"""),"Abril")</f>
        <v>Abril</v>
      </c>
      <c r="N20" s="1">
        <f>IFERROR(__xludf.DUMMYFUNCTION("""COMPUTED_VALUE"""),12.0)</f>
        <v>12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IFERROR(__xludf.DUMMYFUNCTION("""COMPUTED_VALUE"""),"BARRERA")</f>
        <v>BARRERA</v>
      </c>
      <c r="C21" s="62"/>
      <c r="D21" s="54" t="str">
        <f>IFERROR(__xludf.DUMMYFUNCTION("""COMPUTED_VALUE"""),"NAEEM")</f>
        <v>NAEEM</v>
      </c>
      <c r="E21" s="55">
        <f>IFERROR(__xludf.DUMMYFUNCTION("""COMPUTED_VALUE"""),7.6)</f>
        <v>7.6</v>
      </c>
      <c r="F21" s="55">
        <f>IFERROR(__xludf.DUMMYFUNCTION("""COMPUTED_VALUE"""),2.0)</f>
        <v>2</v>
      </c>
      <c r="G21" s="56"/>
      <c r="H21" s="57">
        <f>IFERROR(__xludf.DUMMYFUNCTION("""COMPUTED_VALUE"""),9.6)</f>
        <v>9.6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IFERROR(__xludf.DUMMYFUNCTION("""COMPUTED_VALUE"""),14.0)</f>
        <v>14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3" t="str">
        <f>IFERROR(__xludf.DUMMYFUNCTION("""COMPUTED_VALUE"""),"BLANCO")</f>
        <v>BLANCO</v>
      </c>
      <c r="C22" s="53" t="str">
        <f>IFERROR(__xludf.DUMMYFUNCTION("""COMPUTED_VALUE"""),"JARAMILLO")</f>
        <v>JARAMILLO</v>
      </c>
      <c r="D22" s="54" t="str">
        <f>IFERROR(__xludf.DUMMYFUNCTION("""COMPUTED_VALUE"""),"INGRID NATALIA")</f>
        <v>INGRID NATALIA</v>
      </c>
      <c r="E22" s="55">
        <f>IFERROR(__xludf.DUMMYFUNCTION("""COMPUTED_VALUE"""),7.3)</f>
        <v>7.3</v>
      </c>
      <c r="F22" s="55">
        <f>IFERROR(__xludf.DUMMYFUNCTION("""COMPUTED_VALUE"""),2.0)</f>
        <v>2</v>
      </c>
      <c r="G22" s="56">
        <f>IFERROR(__xludf.DUMMYFUNCTION("""COMPUTED_VALUE"""),1.0)</f>
        <v>1</v>
      </c>
      <c r="H22" s="57">
        <f>IFERROR(__xludf.DUMMYFUNCTION("""COMPUTED_VALUE"""),10.3)</f>
        <v>10.3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IFERROR(__xludf.DUMMYFUNCTION("""COMPUTED_VALUE"""),10.0)</f>
        <v>10</v>
      </c>
      <c r="M22" s="1" t="str">
        <f>IFERROR(__xludf.DUMMYFUNCTION("""COMPUTED_VALUE"""),"Junio")</f>
        <v>Junio</v>
      </c>
      <c r="N22" s="1">
        <f>IFERROR(__xludf.DUMMYFUNCTION("""COMPUTED_VALUE"""),16.0)</f>
        <v>16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IFERROR(__xludf.DUMMYFUNCTION("""COMPUTED_VALUE"""),"CARLOS")</f>
        <v>CARLOS</v>
      </c>
      <c r="C23" s="53" t="str">
        <f>IFERROR(__xludf.DUMMYFUNCTION("""COMPUTED_VALUE"""),"DE LA CRUZ")</f>
        <v>DE LA CRUZ</v>
      </c>
      <c r="D23" s="54" t="str">
        <f>IFERROR(__xludf.DUMMYFUNCTION("""COMPUTED_VALUE"""),"JAVIER")</f>
        <v>JAVIER</v>
      </c>
      <c r="E23" s="55">
        <f>IFERROR(__xludf.DUMMYFUNCTION("""COMPUTED_VALUE"""),6.3875)</f>
        <v>6.3875</v>
      </c>
      <c r="F23" s="55">
        <f>IFERROR(__xludf.DUMMYFUNCTION("""COMPUTED_VALUE"""),2.0)</f>
        <v>2</v>
      </c>
      <c r="G23" s="56">
        <f>IFERROR(__xludf.DUMMYFUNCTION("""COMPUTED_VALUE"""),1.0)</f>
        <v>1</v>
      </c>
      <c r="H23" s="57">
        <f>IFERROR(__xludf.DUMMYFUNCTION("""COMPUTED_VALUE"""),9.3875)</f>
        <v>9.3875</v>
      </c>
      <c r="I23" s="58">
        <f>IFERROR(__xludf.DUMMYFUNCTION("""COMPUTED_VALUE"""),1.0)</f>
        <v>1</v>
      </c>
      <c r="J23" s="59">
        <f>IFERROR(__xludf.DUMMYFUNCTION("""COMPUTED_VALUE"""),9.0)</f>
        <v>9</v>
      </c>
      <c r="K23" s="51"/>
      <c r="L23" s="61">
        <f>IFERROR(__xludf.DUMMYFUNCTION("""COMPUTED_VALUE"""),9.0)</f>
        <v>9</v>
      </c>
      <c r="M23" s="1" t="str">
        <f>IFERROR(__xludf.DUMMYFUNCTION("""COMPUTED_VALUE"""),"Julio")</f>
        <v>Julio</v>
      </c>
      <c r="N23" s="1">
        <f>IFERROR(__xludf.DUMMYFUNCTION("""COMPUTED_VALUE"""),8.0)</f>
        <v>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IFERROR(__xludf.DUMMYFUNCTION("""COMPUTED_VALUE"""),"CARRICHE")</f>
        <v>CARRICHE</v>
      </c>
      <c r="C24" s="53" t="str">
        <f>IFERROR(__xludf.DUMMYFUNCTION("""COMPUTED_VALUE"""),"HERNANDEZ")</f>
        <v>HERNANDEZ</v>
      </c>
      <c r="D24" s="54" t="str">
        <f>IFERROR(__xludf.DUMMYFUNCTION("""COMPUTED_VALUE"""),"DIEGO IVAN")</f>
        <v>DIEGO IVAN</v>
      </c>
      <c r="E24" s="56">
        <f>IFERROR(__xludf.DUMMYFUNCTION("""COMPUTED_VALUE"""),6.6875)</f>
        <v>6.6875</v>
      </c>
      <c r="F24" s="55">
        <f>IFERROR(__xludf.DUMMYFUNCTION("""COMPUTED_VALUE"""),2.0)</f>
        <v>2</v>
      </c>
      <c r="G24" s="56">
        <f>IFERROR(__xludf.DUMMYFUNCTION("""COMPUTED_VALUE"""),1.0)</f>
        <v>1</v>
      </c>
      <c r="H24" s="57">
        <f>IFERROR(__xludf.DUMMYFUNCTION("""COMPUTED_VALUE"""),9.6875)</f>
        <v>9.6875</v>
      </c>
      <c r="I24" s="58">
        <f>IFERROR(__xludf.DUMMYFUNCTION("""COMPUTED_VALUE"""),2.0)</f>
        <v>2</v>
      </c>
      <c r="J24" s="59">
        <f>IFERROR(__xludf.DUMMYFUNCTION("""COMPUTED_VALUE"""),10.0)</f>
        <v>10</v>
      </c>
      <c r="K24" s="51"/>
      <c r="L24" s="61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IFERROR(__xludf.DUMMYFUNCTION("""COMPUTED_VALUE"""),74.0)</f>
        <v>74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IFERROR(__xludf.DUMMYFUNCTION("""COMPUTED_VALUE"""),"CASTILLO")</f>
        <v>CASTILLO</v>
      </c>
      <c r="C25" s="53" t="str">
        <f>IFERROR(__xludf.DUMMYFUNCTION("""COMPUTED_VALUE"""),"DOMINGUEZ")</f>
        <v>DOMINGUEZ</v>
      </c>
      <c r="D25" s="54" t="str">
        <f>IFERROR(__xludf.DUMMYFUNCTION("""COMPUTED_VALUE"""),"EMANUEL")</f>
        <v>EMANUEL</v>
      </c>
      <c r="E25" s="55">
        <f>IFERROR(__xludf.DUMMYFUNCTION("""COMPUTED_VALUE"""),5.15)</f>
        <v>5.15</v>
      </c>
      <c r="F25" s="55">
        <f>IFERROR(__xludf.DUMMYFUNCTION("""COMPUTED_VALUE"""),2.0)</f>
        <v>2</v>
      </c>
      <c r="G25" s="56">
        <f>IFERROR(__xludf.DUMMYFUNCTION("""COMPUTED_VALUE"""),1.0)</f>
        <v>1</v>
      </c>
      <c r="H25" s="57">
        <f>IFERROR(__xludf.DUMMYFUNCTION("""COMPUTED_VALUE"""),8.15)</f>
        <v>8.15</v>
      </c>
      <c r="I25" s="58">
        <f>IFERROR(__xludf.DUMMYFUNCTION("""COMPUTED_VALUE"""),2.0)</f>
        <v>2</v>
      </c>
      <c r="J25" s="59">
        <f>IFERROR(__xludf.DUMMYFUNCTION("""COMPUTED_VALUE"""),8.0)</f>
        <v>8</v>
      </c>
      <c r="K25" s="51"/>
      <c r="L25" s="61">
        <f>IFERROR(__xludf.DUMMYFUNCTION("""COMPUTED_VALUE"""),8.0)</f>
        <v>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IFERROR(__xludf.DUMMYFUNCTION("""COMPUTED_VALUE"""),"COMO")</f>
        <v>COMO</v>
      </c>
      <c r="C26" s="53" t="str">
        <f>IFERROR(__xludf.DUMMYFUNCTION("""COMPUTED_VALUE"""),"MONTOYA")</f>
        <v>MONTOYA</v>
      </c>
      <c r="D26" s="54" t="str">
        <f>IFERROR(__xludf.DUMMYFUNCTION("""COMPUTED_VALUE"""),"ANGEL GIOVANNY")</f>
        <v>ANGEL GIOVANNY</v>
      </c>
      <c r="E26" s="56">
        <f>IFERROR(__xludf.DUMMYFUNCTION("""COMPUTED_VALUE"""),5.4375)</f>
        <v>5.4375</v>
      </c>
      <c r="F26" s="55">
        <f>IFERROR(__xludf.DUMMYFUNCTION("""COMPUTED_VALUE"""),2.0)</f>
        <v>2</v>
      </c>
      <c r="G26" s="56">
        <f>IFERROR(__xludf.DUMMYFUNCTION("""COMPUTED_VALUE"""),1.0)</f>
        <v>1</v>
      </c>
      <c r="H26" s="57">
        <f>IFERROR(__xludf.DUMMYFUNCTION("""COMPUTED_VALUE"""),8.4375)</f>
        <v>8.4375</v>
      </c>
      <c r="I26" s="58">
        <f>IFERROR(__xludf.DUMMYFUNCTION("""COMPUTED_VALUE"""),1.0)</f>
        <v>1</v>
      </c>
      <c r="J26" s="59">
        <f>IFERROR(__xludf.DUMMYFUNCTION("""COMPUTED_VALUE"""),8.0)</f>
        <v>8</v>
      </c>
      <c r="K26" s="51"/>
      <c r="L26" s="61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IFERROR(__xludf.DUMMYFUNCTION("""COMPUTED_VALUE"""),"CORTES")</f>
        <v>CORTES</v>
      </c>
      <c r="C27" s="53" t="str">
        <f>IFERROR(__xludf.DUMMYFUNCTION("""COMPUTED_VALUE"""),"VAZQUEZ")</f>
        <v>VAZQUEZ</v>
      </c>
      <c r="D27" s="53" t="str">
        <f>IFERROR(__xludf.DUMMYFUNCTION("""COMPUTED_VALUE"""),"ZULEIMA")</f>
        <v>ZULEIMA</v>
      </c>
      <c r="E27" s="55">
        <f>IFERROR(__xludf.DUMMYFUNCTION("""COMPUTED_VALUE"""),7.6)</f>
        <v>7.6</v>
      </c>
      <c r="F27" s="55">
        <f>IFERROR(__xludf.DUMMYFUNCTION("""COMPUTED_VALUE"""),2.0)</f>
        <v>2</v>
      </c>
      <c r="G27" s="56"/>
      <c r="H27" s="57">
        <f>IFERROR(__xludf.DUMMYFUNCTION("""COMPUTED_VALUE"""),9.6)</f>
        <v>9.6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IFERROR(__xludf.DUMMYFUNCTION("""COMPUTED_VALUE"""),"CRUZ")</f>
        <v>CRUZ</v>
      </c>
      <c r="C28" s="53" t="str">
        <f>IFERROR(__xludf.DUMMYFUNCTION("""COMPUTED_VALUE"""),"BAUTISTA")</f>
        <v>BAUTISTA</v>
      </c>
      <c r="D28" s="54" t="str">
        <f>IFERROR(__xludf.DUMMYFUNCTION("""COMPUTED_VALUE"""),"YAEL ABDIEL")</f>
        <v>YAEL ABDIEL</v>
      </c>
      <c r="E28" s="55">
        <f>IFERROR(__xludf.DUMMYFUNCTION("""COMPUTED_VALUE"""),6.775)</f>
        <v>6.775</v>
      </c>
      <c r="F28" s="55">
        <f>IFERROR(__xludf.DUMMYFUNCTION("""COMPUTED_VALUE"""),2.0)</f>
        <v>2</v>
      </c>
      <c r="G28" s="56"/>
      <c r="H28" s="57">
        <f>IFERROR(__xludf.DUMMYFUNCTION("""COMPUTED_VALUE"""),8.775)</f>
        <v>8.775</v>
      </c>
      <c r="I28" s="58">
        <f>IFERROR(__xludf.DUMMYFUNCTION("""COMPUTED_VALUE"""),0.0)</f>
        <v>0</v>
      </c>
      <c r="J28" s="59">
        <f>IFERROR(__xludf.DUMMYFUNCTION("""COMPUTED_VALUE"""),9.0)</f>
        <v>9</v>
      </c>
      <c r="K28" s="51"/>
      <c r="L28" s="61">
        <f>IFERROR(__xludf.DUMMYFUNCTION("""COMPUTED_VALUE"""),9.0)</f>
        <v>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3" t="str">
        <f>IFERROR(__xludf.DUMMYFUNCTION("""COMPUTED_VALUE"""),"NUÑEZ")</f>
        <v>NUÑEZ</v>
      </c>
      <c r="D29" s="54" t="str">
        <f>IFERROR(__xludf.DUMMYFUNCTION("""COMPUTED_VALUE"""),"XIMENA LIZVET")</f>
        <v>XIMENA LIZVET</v>
      </c>
      <c r="E29" s="55">
        <f>IFERROR(__xludf.DUMMYFUNCTION("""COMPUTED_VALUE"""),7.0)</f>
        <v>7</v>
      </c>
      <c r="F29" s="55">
        <f>IFERROR(__xludf.DUMMYFUNCTION("""COMPUTED_VALUE"""),2.0)</f>
        <v>2</v>
      </c>
      <c r="G29" s="56">
        <f>IFERROR(__xludf.DUMMYFUNCTION("""COMPUTED_VALUE"""),1.0)</f>
        <v>1</v>
      </c>
      <c r="H29" s="57">
        <f>IFERROR(__xludf.DUMMYFUNCTION("""COMPUTED_VALUE"""),10.0)</f>
        <v>10</v>
      </c>
      <c r="I29" s="58">
        <f>IFERROR(__xludf.DUMMYFUNCTION("""COMPUTED_VALUE"""),1.0)</f>
        <v>1</v>
      </c>
      <c r="J29" s="59">
        <f>IFERROR(__xludf.DUMMYFUNCTION("""COMPUTED_VALUE"""),10.0)</f>
        <v>10</v>
      </c>
      <c r="K29" s="51"/>
      <c r="L29" s="61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IFERROR(__xludf.DUMMYFUNCTION("""COMPUTED_VALUE"""),"DE JESUS")</f>
        <v>DE JESUS</v>
      </c>
      <c r="C30" s="53" t="str">
        <f>IFERROR(__xludf.DUMMYFUNCTION("""COMPUTED_VALUE"""),"GONZALEZ")</f>
        <v>GONZALEZ</v>
      </c>
      <c r="D30" s="54" t="str">
        <f>IFERROR(__xludf.DUMMYFUNCTION("""COMPUTED_VALUE"""),"SHARON NOEMI")</f>
        <v>SHARON NOEMI</v>
      </c>
      <c r="E30" s="56">
        <f>IFERROR(__xludf.DUMMYFUNCTION("""COMPUTED_VALUE"""),6.4)</f>
        <v>6.4</v>
      </c>
      <c r="F30" s="55">
        <f>IFERROR(__xludf.DUMMYFUNCTION("""COMPUTED_VALUE"""),2.0)</f>
        <v>2</v>
      </c>
      <c r="G30" s="56">
        <f>IFERROR(__xludf.DUMMYFUNCTION("""COMPUTED_VALUE"""),1.0)</f>
        <v>1</v>
      </c>
      <c r="H30" s="57">
        <f>IFERROR(__xludf.DUMMYFUNCTION("""COMPUTED_VALUE"""),9.4)</f>
        <v>9.4</v>
      </c>
      <c r="I30" s="58">
        <f>IFERROR(__xludf.DUMMYFUNCTION("""COMPUTED_VALUE"""),0.0)</f>
        <v>0</v>
      </c>
      <c r="J30" s="59">
        <f>IFERROR(__xludf.DUMMYFUNCTION("""COMPUTED_VALUE"""),9.0)</f>
        <v>9</v>
      </c>
      <c r="K30" s="51"/>
      <c r="L30" s="61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IFERROR(__xludf.DUMMYFUNCTION("""COMPUTED_VALUE"""),"DE SANTIAGO")</f>
        <v>DE SANTIAGO</v>
      </c>
      <c r="C31" s="64" t="str">
        <f>IFERROR(__xludf.DUMMYFUNCTION("""COMPUTED_VALUE"""),"SANCHEZ")</f>
        <v>SANCHEZ</v>
      </c>
      <c r="D31" s="54" t="str">
        <f>IFERROR(__xludf.DUMMYFUNCTION("""COMPUTED_VALUE"""),"OSCAR")</f>
        <v>OSCAR</v>
      </c>
      <c r="E31" s="56">
        <f>IFERROR(__xludf.DUMMYFUNCTION("""COMPUTED_VALUE"""),6.0875)</f>
        <v>6.0875</v>
      </c>
      <c r="F31" s="55">
        <f>IFERROR(__xludf.DUMMYFUNCTION("""COMPUTED_VALUE"""),2.0)</f>
        <v>2</v>
      </c>
      <c r="G31" s="56">
        <f>IFERROR(__xludf.DUMMYFUNCTION("""COMPUTED_VALUE"""),1.0)</f>
        <v>1</v>
      </c>
      <c r="H31" s="57">
        <f>IFERROR(__xludf.DUMMYFUNCTION("""COMPUTED_VALUE"""),9.0875)</f>
        <v>9.0875</v>
      </c>
      <c r="I31" s="58">
        <f>IFERROR(__xludf.DUMMYFUNCTION("""COMPUTED_VALUE"""),0.0)</f>
        <v>0</v>
      </c>
      <c r="J31" s="59">
        <f>IFERROR(__xludf.DUMMYFUNCTION("""COMPUTED_VALUE"""),9.0)</f>
        <v>9</v>
      </c>
      <c r="K31" s="51"/>
      <c r="L31" s="61">
        <f>IFERROR(__xludf.DUMMYFUNCTION("""COMPUTED_VALUE"""),9.0)</f>
        <v>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IFERROR(__xludf.DUMMYFUNCTION("""COMPUTED_VALUE"""),"DOMINGUEZ")</f>
        <v>DOMINGUEZ</v>
      </c>
      <c r="C32" s="53" t="str">
        <f>IFERROR(__xludf.DUMMYFUNCTION("""COMPUTED_VALUE"""),"RODRIGUEZ")</f>
        <v>RODRIGUEZ</v>
      </c>
      <c r="D32" s="54" t="str">
        <f>IFERROR(__xludf.DUMMYFUNCTION("""COMPUTED_VALUE"""),"ISABELLA VICTORIA")</f>
        <v>ISABELLA VICTORIA</v>
      </c>
      <c r="E32" s="55">
        <f>IFERROR(__xludf.DUMMYFUNCTION("""COMPUTED_VALUE"""),4.8375)</f>
        <v>4.8375</v>
      </c>
      <c r="F32" s="55">
        <f>IFERROR(__xludf.DUMMYFUNCTION("""COMPUTED_VALUE"""),2.0)</f>
        <v>2</v>
      </c>
      <c r="G32" s="56">
        <f>IFERROR(__xludf.DUMMYFUNCTION("""COMPUTED_VALUE"""),1.0)</f>
        <v>1</v>
      </c>
      <c r="H32" s="57">
        <f>IFERROR(__xludf.DUMMYFUNCTION("""COMPUTED_VALUE"""),7.8375)</f>
        <v>7.8375</v>
      </c>
      <c r="I32" s="58">
        <f>IFERROR(__xludf.DUMMYFUNCTION("""COMPUTED_VALUE"""),1.0)</f>
        <v>1</v>
      </c>
      <c r="J32" s="59">
        <f>IFERROR(__xludf.DUMMYFUNCTION("""COMPUTED_VALUE"""),8.0)</f>
        <v>8</v>
      </c>
      <c r="K32" s="51"/>
      <c r="L32" s="61">
        <f>IFERROR(__xludf.DUMMYFUNCTION("""COMPUTED_VALUE"""),8.0)</f>
        <v>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IFERROR(__xludf.DUMMYFUNCTION("""COMPUTED_VALUE"""),"ESLAVA")</f>
        <v>ESLAVA</v>
      </c>
      <c r="C33" s="53" t="str">
        <f>IFERROR(__xludf.DUMMYFUNCTION("""COMPUTED_VALUE"""),"CEDILLO")</f>
        <v>CEDILLO</v>
      </c>
      <c r="D33" s="54" t="str">
        <f>IFERROR(__xludf.DUMMYFUNCTION("""COMPUTED_VALUE"""),"DIEGO EVERARDO")</f>
        <v>DIEGO EVERARDO</v>
      </c>
      <c r="E33" s="55">
        <f>IFERROR(__xludf.DUMMYFUNCTION("""COMPUTED_VALUE"""),3.3875)</f>
        <v>3.3875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IFERROR(__xludf.DUMMYFUNCTION("""COMPUTED_VALUE"""),6.3875)</f>
        <v>6.3875</v>
      </c>
      <c r="I33" s="58">
        <f>IFERROR(__xludf.DUMMYFUNCTION("""COMPUTED_VALUE"""),4.0)</f>
        <v>4</v>
      </c>
      <c r="J33" s="59">
        <f>IFERROR(__xludf.DUMMYFUNCTION("""COMPUTED_VALUE"""),6.0)</f>
        <v>6</v>
      </c>
      <c r="K33" s="51"/>
      <c r="L33" s="61">
        <f>IFERROR(__xludf.DUMMYFUNCTION("""COMPUTED_VALUE"""),6.0)</f>
        <v>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IFERROR(__xludf.DUMMYFUNCTION("""COMPUTED_VALUE"""),"FLORES")</f>
        <v>FLORES</v>
      </c>
      <c r="C34" s="53" t="str">
        <f>IFERROR(__xludf.DUMMYFUNCTION("""COMPUTED_VALUE"""),"GARCIA")</f>
        <v>GARCIA</v>
      </c>
      <c r="D34" s="54" t="str">
        <f>IFERROR(__xludf.DUMMYFUNCTION("""COMPUTED_VALUE"""),"BYRON ALBERTO")</f>
        <v>BYRON ALBERTO</v>
      </c>
      <c r="E34" s="56">
        <f>IFERROR(__xludf.DUMMYFUNCTION("""COMPUTED_VALUE"""),5.175)</f>
        <v>5.175</v>
      </c>
      <c r="F34" s="55">
        <f>IFERROR(__xludf.DUMMYFUNCTION("""COMPUTED_VALUE"""),2.0)</f>
        <v>2</v>
      </c>
      <c r="G34" s="56">
        <f>IFERROR(__xludf.DUMMYFUNCTION("""COMPUTED_VALUE"""),1.0)</f>
        <v>1</v>
      </c>
      <c r="H34" s="57">
        <f>IFERROR(__xludf.DUMMYFUNCTION("""COMPUTED_VALUE"""),8.175)</f>
        <v>8.175</v>
      </c>
      <c r="I34" s="58">
        <f>IFERROR(__xludf.DUMMYFUNCTION("""COMPUTED_VALUE"""),0.0)</f>
        <v>0</v>
      </c>
      <c r="J34" s="59">
        <f>IFERROR(__xludf.DUMMYFUNCTION("""COMPUTED_VALUE"""),8.0)</f>
        <v>8</v>
      </c>
      <c r="K34" s="51"/>
      <c r="L34" s="61">
        <f>IFERROR(__xludf.DUMMYFUNCTION("""COMPUTED_VALUE"""),8.0)</f>
        <v>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IFERROR(__xludf.DUMMYFUNCTION("""COMPUTED_VALUE"""),"GARCIA")</f>
        <v>GARCIA</v>
      </c>
      <c r="C35" s="53" t="str">
        <f>IFERROR(__xludf.DUMMYFUNCTION("""COMPUTED_VALUE"""),"ESCOBAR")</f>
        <v>ESCOBAR</v>
      </c>
      <c r="D35" s="54" t="str">
        <f>IFERROR(__xludf.DUMMYFUNCTION("""COMPUTED_VALUE"""),"DALIA ANGELINA")</f>
        <v>DALIA ANGELINA</v>
      </c>
      <c r="E35" s="55">
        <f>IFERROR(__xludf.DUMMYFUNCTION("""COMPUTED_VALUE"""),4.0125)</f>
        <v>4.0125</v>
      </c>
      <c r="F35" s="55">
        <f>IFERROR(__xludf.DUMMYFUNCTION("""COMPUTED_VALUE"""),2.0)</f>
        <v>2</v>
      </c>
      <c r="G35" s="56">
        <f>IFERROR(__xludf.DUMMYFUNCTION("""COMPUTED_VALUE"""),1.0)</f>
        <v>1</v>
      </c>
      <c r="H35" s="57">
        <f>IFERROR(__xludf.DUMMYFUNCTION("""COMPUTED_VALUE"""),7.0125)</f>
        <v>7.0125</v>
      </c>
      <c r="I35" s="58">
        <f>IFERROR(__xludf.DUMMYFUNCTION("""COMPUTED_VALUE"""),1.0)</f>
        <v>1</v>
      </c>
      <c r="J35" s="59">
        <f>IFERROR(__xludf.DUMMYFUNCTION("""COMPUTED_VALUE"""),7.0)</f>
        <v>7</v>
      </c>
      <c r="K35" s="51"/>
      <c r="L35" s="61">
        <f>IFERROR(__xludf.DUMMYFUNCTION("""COMPUTED_VALUE"""),7.0)</f>
        <v>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IFERROR(__xludf.DUMMYFUNCTION("""COMPUTED_VALUE"""),"GONZALEZ")</f>
        <v>GONZALEZ</v>
      </c>
      <c r="C36" s="53" t="str">
        <f>IFERROR(__xludf.DUMMYFUNCTION("""COMPUTED_VALUE"""),"BAÑOS")</f>
        <v>BAÑOS</v>
      </c>
      <c r="D36" s="54" t="str">
        <f>IFERROR(__xludf.DUMMYFUNCTION("""COMPUTED_VALUE"""),"DAVID EDUARDO")</f>
        <v>DAVID EDUARDO</v>
      </c>
      <c r="E36" s="55">
        <f>IFERROR(__xludf.DUMMYFUNCTION("""COMPUTED_VALUE"""),6.375)</f>
        <v>6.375</v>
      </c>
      <c r="F36" s="55">
        <f>IFERROR(__xludf.DUMMYFUNCTION("""COMPUTED_VALUE"""),2.0)</f>
        <v>2</v>
      </c>
      <c r="G36" s="56"/>
      <c r="H36" s="57">
        <f>IFERROR(__xludf.DUMMYFUNCTION("""COMPUTED_VALUE"""),8.375)</f>
        <v>8.375</v>
      </c>
      <c r="I36" s="58">
        <f>IFERROR(__xludf.DUMMYFUNCTION("""COMPUTED_VALUE"""),1.0)</f>
        <v>1</v>
      </c>
      <c r="J36" s="59">
        <f>IFERROR(__xludf.DUMMYFUNCTION("""COMPUTED_VALUE"""),8.0)</f>
        <v>8</v>
      </c>
      <c r="K36" s="51"/>
      <c r="L36" s="61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IFERROR(__xludf.DUMMYFUNCTION("""COMPUTED_VALUE"""),"GONZALEZ")</f>
        <v>GONZALEZ</v>
      </c>
      <c r="C37" s="53" t="str">
        <f>IFERROR(__xludf.DUMMYFUNCTION("""COMPUTED_VALUE"""),"CAZARES")</f>
        <v>CAZARES</v>
      </c>
      <c r="D37" s="65" t="str">
        <f>IFERROR(__xludf.DUMMYFUNCTION("""COMPUTED_VALUE"""),"CRISTHIAN")</f>
        <v>CRISTHIAN</v>
      </c>
      <c r="E37" s="56">
        <f>IFERROR(__xludf.DUMMYFUNCTION("""COMPUTED_VALUE"""),5.775)</f>
        <v>5.775</v>
      </c>
      <c r="F37" s="55">
        <f>IFERROR(__xludf.DUMMYFUNCTION("""COMPUTED_VALUE"""),2.0)</f>
        <v>2</v>
      </c>
      <c r="G37" s="56">
        <f>IFERROR(__xludf.DUMMYFUNCTION("""COMPUTED_VALUE"""),1.0)</f>
        <v>1</v>
      </c>
      <c r="H37" s="57">
        <f>IFERROR(__xludf.DUMMYFUNCTION("""COMPUTED_VALUE"""),8.775)</f>
        <v>8.775</v>
      </c>
      <c r="I37" s="58">
        <f>IFERROR(__xludf.DUMMYFUNCTION("""COMPUTED_VALUE"""),0.0)</f>
        <v>0</v>
      </c>
      <c r="J37" s="59">
        <f>IFERROR(__xludf.DUMMYFUNCTION("""COMPUTED_VALUE"""),9.0)</f>
        <v>9</v>
      </c>
      <c r="K37" s="51"/>
      <c r="L37" s="61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IFERROR(__xludf.DUMMYFUNCTION("""COMPUTED_VALUE"""),"GRANADOS")</f>
        <v>GRANADOS</v>
      </c>
      <c r="C38" s="53" t="str">
        <f>IFERROR(__xludf.DUMMYFUNCTION("""COMPUTED_VALUE"""),"GUERRERO")</f>
        <v>GUERRERO</v>
      </c>
      <c r="D38" s="54" t="str">
        <f>IFERROR(__xludf.DUMMYFUNCTION("""COMPUTED_VALUE"""),"ZARA")</f>
        <v>ZARA</v>
      </c>
      <c r="E38" s="55">
        <f>IFERROR(__xludf.DUMMYFUNCTION("""COMPUTED_VALUE"""),5.85)</f>
        <v>5.85</v>
      </c>
      <c r="F38" s="55">
        <f>IFERROR(__xludf.DUMMYFUNCTION("""COMPUTED_VALUE"""),2.0)</f>
        <v>2</v>
      </c>
      <c r="G38" s="56"/>
      <c r="H38" s="57">
        <f>IFERROR(__xludf.DUMMYFUNCTION("""COMPUTED_VALUE"""),7.85)</f>
        <v>7.85</v>
      </c>
      <c r="I38" s="58">
        <f>IFERROR(__xludf.DUMMYFUNCTION("""COMPUTED_VALUE"""),3.0)</f>
        <v>3</v>
      </c>
      <c r="J38" s="59">
        <f>IFERROR(__xludf.DUMMYFUNCTION("""COMPUTED_VALUE"""),8.0)</f>
        <v>8</v>
      </c>
      <c r="K38" s="51"/>
      <c r="L38" s="61">
        <f>IFERROR(__xludf.DUMMYFUNCTION("""COMPUTED_VALUE"""),8.0)</f>
        <v>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IFERROR(__xludf.DUMMYFUNCTION("""COMPUTED_VALUE"""),"HERNANDEZ")</f>
        <v>HERNANDEZ</v>
      </c>
      <c r="C39" s="53" t="str">
        <f>IFERROR(__xludf.DUMMYFUNCTION("""COMPUTED_VALUE"""),"CANCHOLA")</f>
        <v>CANCHOLA</v>
      </c>
      <c r="D39" s="65" t="str">
        <f>IFERROR(__xludf.DUMMYFUNCTION("""COMPUTED_VALUE"""),"MELANIE")</f>
        <v>MELANIE</v>
      </c>
      <c r="E39" s="55">
        <f>IFERROR(__xludf.DUMMYFUNCTION("""COMPUTED_VALUE"""),5.5625)</f>
        <v>5.5625</v>
      </c>
      <c r="F39" s="55">
        <f>IFERROR(__xludf.DUMMYFUNCTION("""COMPUTED_VALUE"""),2.0)</f>
        <v>2</v>
      </c>
      <c r="G39" s="56">
        <f>IFERROR(__xludf.DUMMYFUNCTION("""COMPUTED_VALUE"""),1.0)</f>
        <v>1</v>
      </c>
      <c r="H39" s="57">
        <f>IFERROR(__xludf.DUMMYFUNCTION("""COMPUTED_VALUE"""),8.5625)</f>
        <v>8.5625</v>
      </c>
      <c r="I39" s="58">
        <f>IFERROR(__xludf.DUMMYFUNCTION("""COMPUTED_VALUE"""),0.0)</f>
        <v>0</v>
      </c>
      <c r="J39" s="59">
        <f>IFERROR(__xludf.DUMMYFUNCTION("""COMPUTED_VALUE"""),9.0)</f>
        <v>9</v>
      </c>
      <c r="K39" s="51"/>
      <c r="L39" s="61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6" t="str">
        <f>IFERROR(__xludf.DUMMYFUNCTION("""COMPUTED_VALUE"""),"HERNANDEZ")</f>
        <v>HERNANDEZ</v>
      </c>
      <c r="C40" s="67" t="str">
        <f>IFERROR(__xludf.DUMMYFUNCTION("""COMPUTED_VALUE"""),"ESPARRAGOZA")</f>
        <v>ESPARRAGOZA</v>
      </c>
      <c r="D40" s="54" t="str">
        <f>IFERROR(__xludf.DUMMYFUNCTION("""COMPUTED_VALUE"""),"DANTE ALEXANDER")</f>
        <v>DANTE ALEXANDER</v>
      </c>
      <c r="E40" s="55">
        <f>IFERROR(__xludf.DUMMYFUNCTION("""COMPUTED_VALUE"""),5.0375)</f>
        <v>5.0375</v>
      </c>
      <c r="F40" s="55">
        <f>IFERROR(__xludf.DUMMYFUNCTION("""COMPUTED_VALUE"""),2.0)</f>
        <v>2</v>
      </c>
      <c r="G40" s="56"/>
      <c r="H40" s="57">
        <f>IFERROR(__xludf.DUMMYFUNCTION("""COMPUTED_VALUE"""),7.0375)</f>
        <v>7.0375</v>
      </c>
      <c r="I40" s="58">
        <f>IFERROR(__xludf.DUMMYFUNCTION("""COMPUTED_VALUE"""),1.0)</f>
        <v>1</v>
      </c>
      <c r="J40" s="59">
        <f>IFERROR(__xludf.DUMMYFUNCTION("""COMPUTED_VALUE"""),7.0)</f>
        <v>7</v>
      </c>
      <c r="K40" s="51"/>
      <c r="L40" s="61">
        <f>IFERROR(__xludf.DUMMYFUNCTION("""COMPUTED_VALUE"""),7.0)</f>
        <v>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IFERROR(__xludf.DUMMYFUNCTION("""COMPUTED_VALUE"""),"HERNANDEZ")</f>
        <v>HERNANDEZ</v>
      </c>
      <c r="C41" s="53" t="str">
        <f>IFERROR(__xludf.DUMMYFUNCTION("""COMPUTED_VALUE"""),"MUÑOZ")</f>
        <v>MUÑOZ</v>
      </c>
      <c r="D41" s="54" t="str">
        <f>IFERROR(__xludf.DUMMYFUNCTION("""COMPUTED_VALUE"""),"MARIA JOSE")</f>
        <v>MARIA JOSE</v>
      </c>
      <c r="E41" s="55">
        <f>IFERROR(__xludf.DUMMYFUNCTION("""COMPUTED_VALUE"""),6.1875)</f>
        <v>6.1875</v>
      </c>
      <c r="F41" s="55">
        <f>IFERROR(__xludf.DUMMYFUNCTION("""COMPUTED_VALUE"""),2.0)</f>
        <v>2</v>
      </c>
      <c r="G41" s="56">
        <f>IFERROR(__xludf.DUMMYFUNCTION("""COMPUTED_VALUE"""),1.0)</f>
        <v>1</v>
      </c>
      <c r="H41" s="57">
        <f>IFERROR(__xludf.DUMMYFUNCTION("""COMPUTED_VALUE"""),9.1875)</f>
        <v>9.1875</v>
      </c>
      <c r="I41" s="58">
        <f>IFERROR(__xludf.DUMMYFUNCTION("""COMPUTED_VALUE"""),0.0)</f>
        <v>0</v>
      </c>
      <c r="J41" s="59">
        <f>IFERROR(__xludf.DUMMYFUNCTION("""COMPUTED_VALUE"""),9.0)</f>
        <v>9</v>
      </c>
      <c r="K41" s="51"/>
      <c r="L41" s="61">
        <f>IFERROR(__xludf.DUMMYFUNCTION("""COMPUTED_VALUE"""),9.0)</f>
        <v>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IFERROR(__xludf.DUMMYFUNCTION("""COMPUTED_VALUE"""),"JARAMILLO")</f>
        <v>JARAMILLO</v>
      </c>
      <c r="C42" s="53" t="str">
        <f>IFERROR(__xludf.DUMMYFUNCTION("""COMPUTED_VALUE"""),"SANDOVAL")</f>
        <v>SANDOVAL</v>
      </c>
      <c r="D42" s="54" t="str">
        <f>IFERROR(__xludf.DUMMYFUNCTION("""COMPUTED_VALUE"""),"MELANI JEREDIT")</f>
        <v>MELANI JEREDIT</v>
      </c>
      <c r="E42" s="55">
        <f>IFERROR(__xludf.DUMMYFUNCTION("""COMPUTED_VALUE"""),4.1875)</f>
        <v>4.1875</v>
      </c>
      <c r="F42" s="55">
        <f>IFERROR(__xludf.DUMMYFUNCTION("""COMPUTED_VALUE"""),2.0)</f>
        <v>2</v>
      </c>
      <c r="G42" s="56">
        <f>IFERROR(__xludf.DUMMYFUNCTION("""COMPUTED_VALUE"""),1.0)</f>
        <v>1</v>
      </c>
      <c r="H42" s="57">
        <f>IFERROR(__xludf.DUMMYFUNCTION("""COMPUTED_VALUE"""),7.1875)</f>
        <v>7.1875</v>
      </c>
      <c r="I42" s="58">
        <f>IFERROR(__xludf.DUMMYFUNCTION("""COMPUTED_VALUE"""),1.0)</f>
        <v>1</v>
      </c>
      <c r="J42" s="59">
        <f>IFERROR(__xludf.DUMMYFUNCTION("""COMPUTED_VALUE"""),7.0)</f>
        <v>7</v>
      </c>
      <c r="K42" s="51"/>
      <c r="L42" s="61">
        <f>IFERROR(__xludf.DUMMYFUNCTION("""COMPUTED_VALUE"""),7.0)</f>
        <v>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IFERROR(__xludf.DUMMYFUNCTION("""COMPUTED_VALUE"""),"LEMUS")</f>
        <v>LEMUS</v>
      </c>
      <c r="C43" s="53" t="str">
        <f>IFERROR(__xludf.DUMMYFUNCTION("""COMPUTED_VALUE"""),"AVILA")</f>
        <v>AVILA</v>
      </c>
      <c r="D43" s="54" t="str">
        <f>IFERROR(__xludf.DUMMYFUNCTION("""COMPUTED_VALUE"""),"ANA GABRIELA")</f>
        <v>ANA GABRIELA</v>
      </c>
      <c r="E43" s="55">
        <f>IFERROR(__xludf.DUMMYFUNCTION("""COMPUTED_VALUE"""),6.275)</f>
        <v>6.275</v>
      </c>
      <c r="F43" s="55">
        <f>IFERROR(__xludf.DUMMYFUNCTION("""COMPUTED_VALUE"""),2.0)</f>
        <v>2</v>
      </c>
      <c r="G43" s="56"/>
      <c r="H43" s="57">
        <f>IFERROR(__xludf.DUMMYFUNCTION("""COMPUTED_VALUE"""),8.275)</f>
        <v>8.275</v>
      </c>
      <c r="I43" s="58">
        <f>IFERROR(__xludf.DUMMYFUNCTION("""COMPUTED_VALUE"""),0.0)</f>
        <v>0</v>
      </c>
      <c r="J43" s="59">
        <f>IFERROR(__xludf.DUMMYFUNCTION("""COMPUTED_VALUE"""),8.0)</f>
        <v>8</v>
      </c>
      <c r="K43" s="51"/>
      <c r="L43" s="61">
        <f>IFERROR(__xludf.DUMMYFUNCTION("""COMPUTED_VALUE"""),8.0)</f>
        <v>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IFERROR(__xludf.DUMMYFUNCTION("""COMPUTED_VALUE"""),"LOPEZ")</f>
        <v>LOPEZ</v>
      </c>
      <c r="C44" s="53" t="str">
        <f>IFERROR(__xludf.DUMMYFUNCTION("""COMPUTED_VALUE"""),"OLVERA")</f>
        <v>OLVERA</v>
      </c>
      <c r="D44" s="54" t="str">
        <f>IFERROR(__xludf.DUMMYFUNCTION("""COMPUTED_VALUE"""),"GABRIELA LIZETH")</f>
        <v>GABRIELA LIZETH</v>
      </c>
      <c r="E44" s="55">
        <f>IFERROR(__xludf.DUMMYFUNCTION("""COMPUTED_VALUE"""),4.2375)</f>
        <v>4.2375</v>
      </c>
      <c r="F44" s="55">
        <f>IFERROR(__xludf.DUMMYFUNCTION("""COMPUTED_VALUE"""),2.0)</f>
        <v>2</v>
      </c>
      <c r="G44" s="56">
        <f>IFERROR(__xludf.DUMMYFUNCTION("""COMPUTED_VALUE"""),1.0)</f>
        <v>1</v>
      </c>
      <c r="H44" s="57">
        <f>IFERROR(__xludf.DUMMYFUNCTION("""COMPUTED_VALUE"""),7.2375)</f>
        <v>7.2375</v>
      </c>
      <c r="I44" s="58">
        <f>IFERROR(__xludf.DUMMYFUNCTION("""COMPUTED_VALUE"""),0.0)</f>
        <v>0</v>
      </c>
      <c r="J44" s="59">
        <f>IFERROR(__xludf.DUMMYFUNCTION("""COMPUTED_VALUE"""),7.0)</f>
        <v>7</v>
      </c>
      <c r="K44" s="51"/>
      <c r="L44" s="61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IFERROR(__xludf.DUMMYFUNCTION("""COMPUTED_VALUE"""),"LOPEZ")</f>
        <v>LOPEZ</v>
      </c>
      <c r="C45" s="53" t="str">
        <f>IFERROR(__xludf.DUMMYFUNCTION("""COMPUTED_VALUE"""),"PANIAGÚA")</f>
        <v>PANIAGÚA</v>
      </c>
      <c r="D45" s="54" t="str">
        <f>IFERROR(__xludf.DUMMYFUNCTION("""COMPUTED_VALUE"""),"ANGEL GIOVANNI")</f>
        <v>ANGEL GIOVANNI</v>
      </c>
      <c r="E45" s="55">
        <f>IFERROR(__xludf.DUMMYFUNCTION("""COMPUTED_VALUE"""),7.0875)</f>
        <v>7.0875</v>
      </c>
      <c r="F45" s="55">
        <f>IFERROR(__xludf.DUMMYFUNCTION("""COMPUTED_VALUE"""),2.0)</f>
        <v>2</v>
      </c>
      <c r="G45" s="56">
        <f>IFERROR(__xludf.DUMMYFUNCTION("""COMPUTED_VALUE"""),1.0)</f>
        <v>1</v>
      </c>
      <c r="H45" s="57">
        <f>IFERROR(__xludf.DUMMYFUNCTION("""COMPUTED_VALUE"""),10.0875)</f>
        <v>10.0875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IFERROR(__xludf.DUMMYFUNCTION("""COMPUTED_VALUE"""),"LUNA")</f>
        <v>LUNA</v>
      </c>
      <c r="C46" s="53" t="str">
        <f>IFERROR(__xludf.DUMMYFUNCTION("""COMPUTED_VALUE"""),"HERNANDEZ")</f>
        <v>HERNANDEZ</v>
      </c>
      <c r="D46" s="54" t="str">
        <f>IFERROR(__xludf.DUMMYFUNCTION("""COMPUTED_VALUE"""),"DEA ISABELLA")</f>
        <v>DEA ISABELLA</v>
      </c>
      <c r="E46" s="55">
        <f>IFERROR(__xludf.DUMMYFUNCTION("""COMPUTED_VALUE"""),7.1875)</f>
        <v>7.1875</v>
      </c>
      <c r="F46" s="55">
        <f>IFERROR(__xludf.DUMMYFUNCTION("""COMPUTED_VALUE"""),2.0)</f>
        <v>2</v>
      </c>
      <c r="G46" s="56">
        <f>IFERROR(__xludf.DUMMYFUNCTION("""COMPUTED_VALUE"""),1.0)</f>
        <v>1</v>
      </c>
      <c r="H46" s="57">
        <f>IFERROR(__xludf.DUMMYFUNCTION("""COMPUTED_VALUE"""),10.1875)</f>
        <v>10.1875</v>
      </c>
      <c r="I46" s="58">
        <f>IFERROR(__xludf.DUMMYFUNCTION("""COMPUTED_VALUE"""),0.0)</f>
        <v>0</v>
      </c>
      <c r="J46" s="59">
        <f>IFERROR(__xludf.DUMMYFUNCTION("""COMPUTED_VALUE"""),10.0)</f>
        <v>10</v>
      </c>
      <c r="K46" s="51"/>
      <c r="L46" s="61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IFERROR(__xludf.DUMMYFUNCTION("""COMPUTED_VALUE"""),"MARES")</f>
        <v>MARES</v>
      </c>
      <c r="C47" s="53" t="str">
        <f>IFERROR(__xludf.DUMMYFUNCTION("""COMPUTED_VALUE"""),"GONZALEZ")</f>
        <v>GONZALEZ</v>
      </c>
      <c r="D47" s="54" t="str">
        <f>IFERROR(__xludf.DUMMYFUNCTION("""COMPUTED_VALUE"""),"JOSE CARLOS")</f>
        <v>JOSE CARLOS</v>
      </c>
      <c r="E47" s="55">
        <f>IFERROR(__xludf.DUMMYFUNCTION("""COMPUTED_VALUE"""),4.9375)</f>
        <v>4.9375</v>
      </c>
      <c r="F47" s="55">
        <f>IFERROR(__xludf.DUMMYFUNCTION("""COMPUTED_VALUE"""),2.0)</f>
        <v>2</v>
      </c>
      <c r="G47" s="56">
        <f>IFERROR(__xludf.DUMMYFUNCTION("""COMPUTED_VALUE"""),1.0)</f>
        <v>1</v>
      </c>
      <c r="H47" s="57">
        <f>IFERROR(__xludf.DUMMYFUNCTION("""COMPUTED_VALUE"""),7.9375)</f>
        <v>7.9375</v>
      </c>
      <c r="I47" s="58">
        <f>IFERROR(__xludf.DUMMYFUNCTION("""COMPUTED_VALUE"""),1.0)</f>
        <v>1</v>
      </c>
      <c r="J47" s="59">
        <f>IFERROR(__xludf.DUMMYFUNCTION("""COMPUTED_VALUE"""),8.0)</f>
        <v>8</v>
      </c>
      <c r="K47" s="51"/>
      <c r="L47" s="61">
        <f>IFERROR(__xludf.DUMMYFUNCTION("""COMPUTED_VALUE"""),8.0)</f>
        <v>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IFERROR(__xludf.DUMMYFUNCTION("""COMPUTED_VALUE"""),"MARTINEZ")</f>
        <v>MARTINEZ</v>
      </c>
      <c r="C48" s="53" t="str">
        <f>IFERROR(__xludf.DUMMYFUNCTION("""COMPUTED_VALUE"""),"REYES")</f>
        <v>REYES</v>
      </c>
      <c r="D48" s="54" t="str">
        <f>IFERROR(__xludf.DUMMYFUNCTION("""COMPUTED_VALUE"""),"JACQUELINE ANDREA")</f>
        <v>JACQUELINE ANDREA</v>
      </c>
      <c r="E48" s="55">
        <f>IFERROR(__xludf.DUMMYFUNCTION("""COMPUTED_VALUE"""),7.1875)</f>
        <v>7.1875</v>
      </c>
      <c r="F48" s="55">
        <f>IFERROR(__xludf.DUMMYFUNCTION("""COMPUTED_VALUE"""),2.0)</f>
        <v>2</v>
      </c>
      <c r="G48" s="56">
        <f>IFERROR(__xludf.DUMMYFUNCTION("""COMPUTED_VALUE"""),1.0)</f>
        <v>1</v>
      </c>
      <c r="H48" s="57">
        <f>IFERROR(__xludf.DUMMYFUNCTION("""COMPUTED_VALUE"""),10.1875)</f>
        <v>10.1875</v>
      </c>
      <c r="I48" s="58">
        <f>IFERROR(__xludf.DUMMYFUNCTION("""COMPUTED_VALUE"""),1.0)</f>
        <v>1</v>
      </c>
      <c r="J48" s="59">
        <f>IFERROR(__xludf.DUMMYFUNCTION("""COMPUTED_VALUE"""),10.0)</f>
        <v>10</v>
      </c>
      <c r="K48" s="51"/>
      <c r="L48" s="61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IFERROR(__xludf.DUMMYFUNCTION("""COMPUTED_VALUE"""),"MARTINEZ")</f>
        <v>MARTINEZ</v>
      </c>
      <c r="C49" s="53" t="str">
        <f>IFERROR(__xludf.DUMMYFUNCTION("""COMPUTED_VALUE"""),"VELAZQUEZ")</f>
        <v>VELAZQUEZ</v>
      </c>
      <c r="D49" s="65" t="str">
        <f>IFERROR(__xludf.DUMMYFUNCTION("""COMPUTED_VALUE"""),"OSCAR ZADKIEL")</f>
        <v>OSCAR ZADKIEL</v>
      </c>
      <c r="E49" s="55">
        <f>IFERROR(__xludf.DUMMYFUNCTION("""COMPUTED_VALUE"""),4.8375)</f>
        <v>4.8375</v>
      </c>
      <c r="F49" s="55">
        <f>IFERROR(__xludf.DUMMYFUNCTION("""COMPUTED_VALUE"""),2.0)</f>
        <v>2</v>
      </c>
      <c r="G49" s="56"/>
      <c r="H49" s="57">
        <f>IFERROR(__xludf.DUMMYFUNCTION("""COMPUTED_VALUE"""),6.8375)</f>
        <v>6.8375</v>
      </c>
      <c r="I49" s="58">
        <f>IFERROR(__xludf.DUMMYFUNCTION("""COMPUTED_VALUE"""),0.0)</f>
        <v>0</v>
      </c>
      <c r="J49" s="59">
        <f>IFERROR(__xludf.DUMMYFUNCTION("""COMPUTED_VALUE"""),7.0)</f>
        <v>7</v>
      </c>
      <c r="K49" s="51"/>
      <c r="L49" s="61">
        <f>IFERROR(__xludf.DUMMYFUNCTION("""COMPUTED_VALUE"""),7.0)</f>
        <v>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IFERROR(__xludf.DUMMYFUNCTION("""COMPUTED_VALUE"""),"MORAN")</f>
        <v>MORAN</v>
      </c>
      <c r="C50" s="53" t="str">
        <f>IFERROR(__xludf.DUMMYFUNCTION("""COMPUTED_VALUE"""),"ALMAGUER")</f>
        <v>ALMAGUER</v>
      </c>
      <c r="D50" s="54" t="str">
        <f>IFERROR(__xludf.DUMMYFUNCTION("""COMPUTED_VALUE"""),"LEYLANI")</f>
        <v>LEYLANI</v>
      </c>
      <c r="E50" s="55">
        <f>IFERROR(__xludf.DUMMYFUNCTION("""COMPUTED_VALUE"""),6.0625)</f>
        <v>6.0625</v>
      </c>
      <c r="F50" s="55">
        <f>IFERROR(__xludf.DUMMYFUNCTION("""COMPUTED_VALUE"""),2.0)</f>
        <v>2</v>
      </c>
      <c r="G50" s="56"/>
      <c r="H50" s="57">
        <f>IFERROR(__xludf.DUMMYFUNCTION("""COMPUTED_VALUE"""),8.0625)</f>
        <v>8.0625</v>
      </c>
      <c r="I50" s="58">
        <f>IFERROR(__xludf.DUMMYFUNCTION("""COMPUTED_VALUE"""),0.0)</f>
        <v>0</v>
      </c>
      <c r="J50" s="59">
        <f>IFERROR(__xludf.DUMMYFUNCTION("""COMPUTED_VALUE"""),8.0)</f>
        <v>8</v>
      </c>
      <c r="K50" s="51"/>
      <c r="L50" s="61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IFERROR(__xludf.DUMMYFUNCTION("""COMPUTED_VALUE"""),"MORENO")</f>
        <v>MORENO</v>
      </c>
      <c r="C51" s="53" t="str">
        <f>IFERROR(__xludf.DUMMYFUNCTION("""COMPUTED_VALUE"""),"VALENZUELA")</f>
        <v>VALENZUELA</v>
      </c>
      <c r="D51" s="54" t="str">
        <f>IFERROR(__xludf.DUMMYFUNCTION("""COMPUTED_VALUE"""),"SANTIAGO ISMAEL")</f>
        <v>SANTIAGO ISMAEL</v>
      </c>
      <c r="E51" s="55">
        <f>IFERROR(__xludf.DUMMYFUNCTION("""COMPUTED_VALUE"""),4.5375)</f>
        <v>4.5375</v>
      </c>
      <c r="F51" s="55">
        <f>IFERROR(__xludf.DUMMYFUNCTION("""COMPUTED_VALUE"""),2.0)</f>
        <v>2</v>
      </c>
      <c r="G51" s="56"/>
      <c r="H51" s="57">
        <f>IFERROR(__xludf.DUMMYFUNCTION("""COMPUTED_VALUE"""),6.5375)</f>
        <v>6.5375</v>
      </c>
      <c r="I51" s="58">
        <f>IFERROR(__xludf.DUMMYFUNCTION("""COMPUTED_VALUE"""),0.0)</f>
        <v>0</v>
      </c>
      <c r="J51" s="59">
        <f>IFERROR(__xludf.DUMMYFUNCTION("""COMPUTED_VALUE"""),7.0)</f>
        <v>7</v>
      </c>
      <c r="K51" s="51"/>
      <c r="L51" s="61">
        <f>IFERROR(__xludf.DUMMYFUNCTION("""COMPUTED_VALUE"""),7.0)</f>
        <v>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IFERROR(__xludf.DUMMYFUNCTION("""COMPUTED_VALUE"""),"NUÑEZ")</f>
        <v>NUÑEZ</v>
      </c>
      <c r="C52" s="53" t="str">
        <f>IFERROR(__xludf.DUMMYFUNCTION("""COMPUTED_VALUE"""),"FLORES")</f>
        <v>FLORES</v>
      </c>
      <c r="D52" s="54" t="str">
        <f>IFERROR(__xludf.DUMMYFUNCTION("""COMPUTED_VALUE"""),"ANDREA MAYARI")</f>
        <v>ANDREA MAYARI</v>
      </c>
      <c r="E52" s="55">
        <f>IFERROR(__xludf.DUMMYFUNCTION("""COMPUTED_VALUE"""),4.5375)</f>
        <v>4.5375</v>
      </c>
      <c r="F52" s="55">
        <f>IFERROR(__xludf.DUMMYFUNCTION("""COMPUTED_VALUE"""),2.0)</f>
        <v>2</v>
      </c>
      <c r="G52" s="56"/>
      <c r="H52" s="57">
        <f>IFERROR(__xludf.DUMMYFUNCTION("""COMPUTED_VALUE"""),6.5375)</f>
        <v>6.5375</v>
      </c>
      <c r="I52" s="58">
        <f>IFERROR(__xludf.DUMMYFUNCTION("""COMPUTED_VALUE"""),0.0)</f>
        <v>0</v>
      </c>
      <c r="J52" s="59">
        <f>IFERROR(__xludf.DUMMYFUNCTION("""COMPUTED_VALUE"""),7.0)</f>
        <v>7</v>
      </c>
      <c r="K52" s="51"/>
      <c r="L52" s="60">
        <f>IFERROR(__xludf.DUMMYFUNCTION("""COMPUTED_VALUE"""),7.0)</f>
        <v>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IFERROR(__xludf.DUMMYFUNCTION("""COMPUTED_VALUE"""),"ORNELAS")</f>
        <v>ORNELAS</v>
      </c>
      <c r="C53" s="53" t="str">
        <f>IFERROR(__xludf.DUMMYFUNCTION("""COMPUTED_VALUE"""),"LOPEZ")</f>
        <v>LOPEZ</v>
      </c>
      <c r="D53" s="54" t="str">
        <f>IFERROR(__xludf.DUMMYFUNCTION("""COMPUTED_VALUE"""),"LENA VIKTORIA")</f>
        <v>LENA VIKTORIA</v>
      </c>
      <c r="E53" s="55">
        <f>IFERROR(__xludf.DUMMYFUNCTION("""COMPUTED_VALUE"""),5.075)</f>
        <v>5.075</v>
      </c>
      <c r="F53" s="55">
        <f>IFERROR(__xludf.DUMMYFUNCTION("""COMPUTED_VALUE"""),2.0)</f>
        <v>2</v>
      </c>
      <c r="G53" s="56">
        <f>IFERROR(__xludf.DUMMYFUNCTION("""COMPUTED_VALUE"""),1.0)</f>
        <v>1</v>
      </c>
      <c r="H53" s="57">
        <f>IFERROR(__xludf.DUMMYFUNCTION("""COMPUTED_VALUE"""),8.075)</f>
        <v>8.075</v>
      </c>
      <c r="I53" s="58">
        <f>IFERROR(__xludf.DUMMYFUNCTION("""COMPUTED_VALUE"""),0.0)</f>
        <v>0</v>
      </c>
      <c r="J53" s="59">
        <f>IFERROR(__xludf.DUMMYFUNCTION("""COMPUTED_VALUE"""),8.0)</f>
        <v>8</v>
      </c>
      <c r="K53" s="51"/>
      <c r="L53" s="60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IFERROR(__xludf.DUMMYFUNCTION("""COMPUTED_VALUE"""),"ORTIZ")</f>
        <v>ORTIZ</v>
      </c>
      <c r="C54" s="53" t="str">
        <f>IFERROR(__xludf.DUMMYFUNCTION("""COMPUTED_VALUE"""),"RODRIGUEZ")</f>
        <v>RODRIGUEZ</v>
      </c>
      <c r="D54" s="68" t="str">
        <f>IFERROR(__xludf.DUMMYFUNCTION("""COMPUTED_VALUE"""),"GUILLERMO")</f>
        <v>GUILLERMO</v>
      </c>
      <c r="E54" s="55">
        <f>IFERROR(__xludf.DUMMYFUNCTION("""COMPUTED_VALUE"""),7.0)</f>
        <v>7</v>
      </c>
      <c r="F54" s="55">
        <f>IFERROR(__xludf.DUMMYFUNCTION("""COMPUTED_VALUE"""),2.0)</f>
        <v>2</v>
      </c>
      <c r="G54" s="56"/>
      <c r="H54" s="57">
        <f>IFERROR(__xludf.DUMMYFUNCTION("""COMPUTED_VALUE"""),9.0)</f>
        <v>9</v>
      </c>
      <c r="I54" s="58">
        <f>IFERROR(__xludf.DUMMYFUNCTION("""COMPUTED_VALUE"""),3.0)</f>
        <v>3</v>
      </c>
      <c r="J54" s="59">
        <f>IFERROR(__xludf.DUMMYFUNCTION("""COMPUTED_VALUE"""),9.0)</f>
        <v>9</v>
      </c>
      <c r="K54" s="51"/>
      <c r="L54" s="60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IFERROR(__xludf.DUMMYFUNCTION("""COMPUTED_VALUE"""),"PACHECO")</f>
        <v>PACHECO</v>
      </c>
      <c r="C55" s="53" t="str">
        <f>IFERROR(__xludf.DUMMYFUNCTION("""COMPUTED_VALUE"""),"OLIVARES")</f>
        <v>OLIVARES</v>
      </c>
      <c r="D55" s="54" t="str">
        <f>IFERROR(__xludf.DUMMYFUNCTION("""COMPUTED_VALUE"""),"ANDRES")</f>
        <v>ANDRES</v>
      </c>
      <c r="E55" s="55">
        <f>IFERROR(__xludf.DUMMYFUNCTION("""COMPUTED_VALUE"""),5.575)</f>
        <v>5.575</v>
      </c>
      <c r="F55" s="55">
        <f>IFERROR(__xludf.DUMMYFUNCTION("""COMPUTED_VALUE"""),2.0)</f>
        <v>2</v>
      </c>
      <c r="G55" s="56"/>
      <c r="H55" s="57">
        <f>IFERROR(__xludf.DUMMYFUNCTION("""COMPUTED_VALUE"""),7.575)</f>
        <v>7.575</v>
      </c>
      <c r="I55" s="69">
        <f>IFERROR(__xludf.DUMMYFUNCTION("""COMPUTED_VALUE"""),0.0)</f>
        <v>0</v>
      </c>
      <c r="J55" s="59">
        <f>IFERROR(__xludf.DUMMYFUNCTION("""COMPUTED_VALUE"""),8.0)</f>
        <v>8</v>
      </c>
      <c r="K55" s="51"/>
      <c r="L55" s="60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IFERROR(__xludf.DUMMYFUNCTION("""COMPUTED_VALUE"""),"PEREZ")</f>
        <v>PEREZ</v>
      </c>
      <c r="C56" s="53" t="str">
        <f>IFERROR(__xludf.DUMMYFUNCTION("""COMPUTED_VALUE"""),"SUAREZ")</f>
        <v>SUAREZ</v>
      </c>
      <c r="D56" s="54" t="str">
        <f>IFERROR(__xludf.DUMMYFUNCTION("""COMPUTED_VALUE"""),"DAVETH OSIEL")</f>
        <v>DAVETH OSIEL</v>
      </c>
      <c r="E56" s="55">
        <f>IFERROR(__xludf.DUMMYFUNCTION("""COMPUTED_VALUE"""),6.8)</f>
        <v>6.8</v>
      </c>
      <c r="F56" s="55">
        <f>IFERROR(__xludf.DUMMYFUNCTION("""COMPUTED_VALUE"""),2.0)</f>
        <v>2</v>
      </c>
      <c r="G56" s="56">
        <f>IFERROR(__xludf.DUMMYFUNCTION("""COMPUTED_VALUE"""),1.0)</f>
        <v>1</v>
      </c>
      <c r="H56" s="57">
        <f>IFERROR(__xludf.DUMMYFUNCTION("""COMPUTED_VALUE"""),9.8)</f>
        <v>9.8</v>
      </c>
      <c r="I56" s="69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IFERROR(__xludf.DUMMYFUNCTION("""COMPUTED_VALUE"""),"PUC")</f>
        <v>PUC</v>
      </c>
      <c r="C57" s="53" t="str">
        <f>IFERROR(__xludf.DUMMYFUNCTION("""COMPUTED_VALUE"""),"JIMENEZ")</f>
        <v>JIMENEZ</v>
      </c>
      <c r="D57" s="54" t="str">
        <f>IFERROR(__xludf.DUMMYFUNCTION("""COMPUTED_VALUE"""),"XIMENA DANIELA")</f>
        <v>XIMENA DANIELA</v>
      </c>
      <c r="E57" s="55">
        <f>IFERROR(__xludf.DUMMYFUNCTION("""COMPUTED_VALUE"""),7.3875)</f>
        <v>7.3875</v>
      </c>
      <c r="F57" s="55">
        <f>IFERROR(__xludf.DUMMYFUNCTION("""COMPUTED_VALUE"""),2.0)</f>
        <v>2</v>
      </c>
      <c r="G57" s="56"/>
      <c r="H57" s="57">
        <f>IFERROR(__xludf.DUMMYFUNCTION("""COMPUTED_VALUE"""),9.3875)</f>
        <v>9.3875</v>
      </c>
      <c r="I57" s="69">
        <f>IFERROR(__xludf.DUMMYFUNCTION("""COMPUTED_VALUE"""),3.0)</f>
        <v>3</v>
      </c>
      <c r="J57" s="59">
        <f>IFERROR(__xludf.DUMMYFUNCTION("""COMPUTED_VALUE"""),9.0)</f>
        <v>9</v>
      </c>
      <c r="K57" s="51"/>
      <c r="L57" s="60">
        <f>IFERROR(__xludf.DUMMYFUNCTION("""COMPUTED_VALUE"""),9.0)</f>
        <v>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IFERROR(__xludf.DUMMYFUNCTION("""COMPUTED_VALUE"""),"RAMIREZ")</f>
        <v>RAMIREZ</v>
      </c>
      <c r="C58" s="53" t="str">
        <f>IFERROR(__xludf.DUMMYFUNCTION("""COMPUTED_VALUE"""),"ROMAN")</f>
        <v>ROMAN</v>
      </c>
      <c r="D58" s="54" t="str">
        <f>IFERROR(__xludf.DUMMYFUNCTION("""COMPUTED_VALUE"""),"XIMENA")</f>
        <v>XIMENA</v>
      </c>
      <c r="E58" s="55">
        <f>IFERROR(__xludf.DUMMYFUNCTION("""COMPUTED_VALUE"""),4.1375)</f>
        <v>4.1375</v>
      </c>
      <c r="F58" s="55">
        <f>IFERROR(__xludf.DUMMYFUNCTION("""COMPUTED_VALUE"""),2.0)</f>
        <v>2</v>
      </c>
      <c r="G58" s="56">
        <f>IFERROR(__xludf.DUMMYFUNCTION("""COMPUTED_VALUE"""),1.0)</f>
        <v>1</v>
      </c>
      <c r="H58" s="57">
        <f>IFERROR(__xludf.DUMMYFUNCTION("""COMPUTED_VALUE"""),7.1375)</f>
        <v>7.1375</v>
      </c>
      <c r="I58" s="69">
        <f>IFERROR(__xludf.DUMMYFUNCTION("""COMPUTED_VALUE"""),0.0)</f>
        <v>0</v>
      </c>
      <c r="J58" s="59">
        <f>IFERROR(__xludf.DUMMYFUNCTION("""COMPUTED_VALUE"""),7.0)</f>
        <v>7</v>
      </c>
      <c r="K58" s="51"/>
      <c r="L58" s="60">
        <f>IFERROR(__xludf.DUMMYFUNCTION("""COMPUTED_VALUE"""),7.0)</f>
        <v>7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6" t="str">
        <f>IFERROR(__xludf.DUMMYFUNCTION("""COMPUTED_VALUE"""),"REYES")</f>
        <v>REYES</v>
      </c>
      <c r="C59" s="67" t="str">
        <f>IFERROR(__xludf.DUMMYFUNCTION("""COMPUTED_VALUE"""),"TREJO")</f>
        <v>TREJO</v>
      </c>
      <c r="D59" s="54" t="str">
        <f>IFERROR(__xludf.DUMMYFUNCTION("""COMPUTED_VALUE"""),"HUGO DASTAN")</f>
        <v>HUGO DASTAN</v>
      </c>
      <c r="E59" s="55">
        <f>IFERROR(__xludf.DUMMYFUNCTION("""COMPUTED_VALUE"""),4.625)</f>
        <v>4.625</v>
      </c>
      <c r="F59" s="55">
        <f>IFERROR(__xludf.DUMMYFUNCTION("""COMPUTED_VALUE"""),2.0)</f>
        <v>2</v>
      </c>
      <c r="G59" s="56">
        <f>IFERROR(__xludf.DUMMYFUNCTION("""COMPUTED_VALUE"""),1.0)</f>
        <v>1</v>
      </c>
      <c r="H59" s="57">
        <f>IFERROR(__xludf.DUMMYFUNCTION("""COMPUTED_VALUE"""),7.625)</f>
        <v>7.625</v>
      </c>
      <c r="I59" s="69">
        <f>IFERROR(__xludf.DUMMYFUNCTION("""COMPUTED_VALUE"""),1.0)</f>
        <v>1</v>
      </c>
      <c r="J59" s="59">
        <f>IFERROR(__xludf.DUMMYFUNCTION("""COMPUTED_VALUE"""),8.0)</f>
        <v>8</v>
      </c>
      <c r="K59" s="51"/>
      <c r="L59" s="60">
        <f>IFERROR(__xludf.DUMMYFUNCTION("""COMPUTED_VALUE"""),8.0)</f>
        <v>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70" t="str">
        <f>IFERROR(__xludf.DUMMYFUNCTION("""COMPUTED_VALUE"""),"RODRIGUEZ")</f>
        <v>RODRIGUEZ</v>
      </c>
      <c r="C60" s="53" t="str">
        <f>IFERROR(__xludf.DUMMYFUNCTION("""COMPUTED_VALUE"""),"ROSAS")</f>
        <v>ROSAS</v>
      </c>
      <c r="D60" s="54" t="str">
        <f>IFERROR(__xludf.DUMMYFUNCTION("""COMPUTED_VALUE"""),"XOCHITL")</f>
        <v>XOCHITL</v>
      </c>
      <c r="E60" s="55">
        <f>IFERROR(__xludf.DUMMYFUNCTION("""COMPUTED_VALUE"""),6.9875)</f>
        <v>6.9875</v>
      </c>
      <c r="F60" s="55">
        <f>IFERROR(__xludf.DUMMYFUNCTION("""COMPUTED_VALUE"""),2.0)</f>
        <v>2</v>
      </c>
      <c r="G60" s="56">
        <f>IFERROR(__xludf.DUMMYFUNCTION("""COMPUTED_VALUE"""),1.0)</f>
        <v>1</v>
      </c>
      <c r="H60" s="57">
        <f>IFERROR(__xludf.DUMMYFUNCTION("""COMPUTED_VALUE"""),9.9875)</f>
        <v>9.9875</v>
      </c>
      <c r="I60" s="69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IFERROR(__xludf.DUMMYFUNCTION("""COMPUTED_VALUE"""),"RUBIO")</f>
        <v>RUBIO</v>
      </c>
      <c r="C61" s="53" t="str">
        <f>IFERROR(__xludf.DUMMYFUNCTION("""COMPUTED_VALUE"""),"HERNANDEZ")</f>
        <v>HERNANDEZ</v>
      </c>
      <c r="D61" s="54" t="str">
        <f>IFERROR(__xludf.DUMMYFUNCTION("""COMPUTED_VALUE"""),"MACIEL ALEJANDRA")</f>
        <v>MACIEL ALEJANDRA</v>
      </c>
      <c r="E61" s="55">
        <f>IFERROR(__xludf.DUMMYFUNCTION("""COMPUTED_VALUE"""),6.3)</f>
        <v>6.3</v>
      </c>
      <c r="F61" s="55">
        <f>IFERROR(__xludf.DUMMYFUNCTION("""COMPUTED_VALUE"""),2.0)</f>
        <v>2</v>
      </c>
      <c r="G61" s="56">
        <f>IFERROR(__xludf.DUMMYFUNCTION("""COMPUTED_VALUE"""),1.0)</f>
        <v>1</v>
      </c>
      <c r="H61" s="57">
        <f>IFERROR(__xludf.DUMMYFUNCTION("""COMPUTED_VALUE"""),9.3)</f>
        <v>9.3</v>
      </c>
      <c r="I61" s="69">
        <f>IFERROR(__xludf.DUMMYFUNCTION("""COMPUTED_VALUE"""),0.0)</f>
        <v>0</v>
      </c>
      <c r="J61" s="59">
        <f>IFERROR(__xludf.DUMMYFUNCTION("""COMPUTED_VALUE"""),9.0)</f>
        <v>9</v>
      </c>
      <c r="K61" s="51"/>
      <c r="L61" s="60">
        <f>IFERROR(__xludf.DUMMYFUNCTION("""COMPUTED_VALUE"""),9.0)</f>
        <v>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70" t="str">
        <f>IFERROR(__xludf.DUMMYFUNCTION("""COMPUTED_VALUE"""),"SANTANA")</f>
        <v>SANTANA</v>
      </c>
      <c r="C62" s="53" t="str">
        <f>IFERROR(__xludf.DUMMYFUNCTION("""COMPUTED_VALUE"""),"LARA")</f>
        <v>LARA</v>
      </c>
      <c r="D62" s="54" t="str">
        <f>IFERROR(__xludf.DUMMYFUNCTION("""COMPUTED_VALUE"""),"IRVING WILLIAM")</f>
        <v>IRVING WILLIAM</v>
      </c>
      <c r="E62" s="55">
        <f>IFERROR(__xludf.DUMMYFUNCTION("""COMPUTED_VALUE"""),7.2875)</f>
        <v>7.2875</v>
      </c>
      <c r="F62" s="55">
        <f>IFERROR(__xludf.DUMMYFUNCTION("""COMPUTED_VALUE"""),2.0)</f>
        <v>2</v>
      </c>
      <c r="G62" s="56"/>
      <c r="H62" s="57">
        <f>IFERROR(__xludf.DUMMYFUNCTION("""COMPUTED_VALUE"""),9.2875)</f>
        <v>9.2875</v>
      </c>
      <c r="I62" s="69">
        <f>IFERROR(__xludf.DUMMYFUNCTION("""COMPUTED_VALUE"""),2.0)</f>
        <v>2</v>
      </c>
      <c r="J62" s="59">
        <f>IFERROR(__xludf.DUMMYFUNCTION("""COMPUTED_VALUE"""),9.0)</f>
        <v>9</v>
      </c>
      <c r="K62" s="51"/>
      <c r="L62" s="60">
        <f>IFERROR(__xludf.DUMMYFUNCTION("""COMPUTED_VALUE"""),9.0)</f>
        <v>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70" t="str">
        <f>IFERROR(__xludf.DUMMYFUNCTION("""COMPUTED_VALUE"""),"SANTILLAN")</f>
        <v>SANTILLAN</v>
      </c>
      <c r="C63" s="53" t="str">
        <f>IFERROR(__xludf.DUMMYFUNCTION("""COMPUTED_VALUE"""),"GONZALEZ")</f>
        <v>GONZALEZ</v>
      </c>
      <c r="D63" s="54" t="str">
        <f>IFERROR(__xludf.DUMMYFUNCTION("""COMPUTED_VALUE"""),"JAZMIN")</f>
        <v>JAZMIN</v>
      </c>
      <c r="E63" s="55">
        <f>IFERROR(__xludf.DUMMYFUNCTION("""COMPUTED_VALUE"""),5.3375)</f>
        <v>5.3375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IFERROR(__xludf.DUMMYFUNCTION("""COMPUTED_VALUE"""),8.3375)</f>
        <v>8.3375</v>
      </c>
      <c r="I63" s="69">
        <f>IFERROR(__xludf.DUMMYFUNCTION("""COMPUTED_VALUE"""),0.0)</f>
        <v>0</v>
      </c>
      <c r="J63" s="59">
        <f>IFERROR(__xludf.DUMMYFUNCTION("""COMPUTED_VALUE"""),8.0)</f>
        <v>8</v>
      </c>
      <c r="K63" s="51"/>
      <c r="L63" s="60">
        <f>IFERROR(__xludf.DUMMYFUNCTION("""COMPUTED_VALUE"""),8.0)</f>
        <v>8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70" t="str">
        <f>IFERROR(__xludf.DUMMYFUNCTION("""COMPUTED_VALUE"""),"SUAREZ")</f>
        <v>SUAREZ</v>
      </c>
      <c r="C64" s="53" t="str">
        <f>IFERROR(__xludf.DUMMYFUNCTION("""COMPUTED_VALUE"""),"MUÑOZ")</f>
        <v>MUÑOZ</v>
      </c>
      <c r="D64" s="54" t="str">
        <f>IFERROR(__xludf.DUMMYFUNCTION("""COMPUTED_VALUE"""),"ALDO YAEL")</f>
        <v>ALDO YAEL</v>
      </c>
      <c r="E64" s="55">
        <f>IFERROR(__xludf.DUMMYFUNCTION("""COMPUTED_VALUE"""),5.55)</f>
        <v>5.55</v>
      </c>
      <c r="F64" s="55">
        <f>IFERROR(__xludf.DUMMYFUNCTION("""COMPUTED_VALUE"""),2.0)</f>
        <v>2</v>
      </c>
      <c r="G64" s="56">
        <f>IFERROR(__xludf.DUMMYFUNCTION("""COMPUTED_VALUE"""),1.0)</f>
        <v>1</v>
      </c>
      <c r="H64" s="57">
        <f>IFERROR(__xludf.DUMMYFUNCTION("""COMPUTED_VALUE"""),8.55)</f>
        <v>8.55</v>
      </c>
      <c r="I64" s="69">
        <f>IFERROR(__xludf.DUMMYFUNCTION("""COMPUTED_VALUE"""),0.0)</f>
        <v>0</v>
      </c>
      <c r="J64" s="59">
        <f>IFERROR(__xludf.DUMMYFUNCTION("""COMPUTED_VALUE"""),9.0)</f>
        <v>9</v>
      </c>
      <c r="K64" s="51"/>
      <c r="L64" s="60">
        <f>IFERROR(__xludf.DUMMYFUNCTION("""COMPUTED_VALUE"""),9.0)</f>
        <v>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70" t="str">
        <f>IFERROR(__xludf.DUMMYFUNCTION("""COMPUTED_VALUE"""),"TORRES")</f>
        <v>TORRES</v>
      </c>
      <c r="C65" s="53" t="str">
        <f>IFERROR(__xludf.DUMMYFUNCTION("""COMPUTED_VALUE"""),"DE LEON")</f>
        <v>DE LEON</v>
      </c>
      <c r="D65" s="54" t="str">
        <f>IFERROR(__xludf.DUMMYFUNCTION("""COMPUTED_VALUE"""),"AMAIRANI")</f>
        <v>AMAIRANI</v>
      </c>
      <c r="E65" s="55">
        <f>IFERROR(__xludf.DUMMYFUNCTION("""COMPUTED_VALUE"""),6.1875)</f>
        <v>6.1875</v>
      </c>
      <c r="F65" s="55">
        <f>IFERROR(__xludf.DUMMYFUNCTION("""COMPUTED_VALUE"""),2.0)</f>
        <v>2</v>
      </c>
      <c r="G65" s="56">
        <f>IFERROR(__xludf.DUMMYFUNCTION("""COMPUTED_VALUE"""),1.0)</f>
        <v>1</v>
      </c>
      <c r="H65" s="57">
        <f>IFERROR(__xludf.DUMMYFUNCTION("""COMPUTED_VALUE"""),9.1875)</f>
        <v>9.1875</v>
      </c>
      <c r="I65" s="55">
        <f>IFERROR(__xludf.DUMMYFUNCTION("""COMPUTED_VALUE"""),1.0)</f>
        <v>1</v>
      </c>
      <c r="J65" s="59">
        <f>IFERROR(__xludf.DUMMYFUNCTION("""COMPUTED_VALUE"""),9.0)</f>
        <v>9</v>
      </c>
      <c r="K65" s="51"/>
      <c r="L65" s="60">
        <f>IFERROR(__xludf.DUMMYFUNCTION("""COMPUTED_VALUE"""),9.0)</f>
        <v>9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70" t="str">
        <f>IFERROR(__xludf.DUMMYFUNCTION("""COMPUTED_VALUE"""),"VALDEZ")</f>
        <v>VALDEZ</v>
      </c>
      <c r="C66" s="53" t="str">
        <f>IFERROR(__xludf.DUMMYFUNCTION("""COMPUTED_VALUE"""),"ROBLES")</f>
        <v>ROBLES</v>
      </c>
      <c r="D66" s="54" t="str">
        <f>IFERROR(__xludf.DUMMYFUNCTION("""COMPUTED_VALUE"""),"OSCAR YAEL")</f>
        <v>OSCAR YAEL</v>
      </c>
      <c r="E66" s="55">
        <f>IFERROR(__xludf.DUMMYFUNCTION("""COMPUTED_VALUE"""),4.975)</f>
        <v>4.975</v>
      </c>
      <c r="F66" s="55">
        <f>IFERROR(__xludf.DUMMYFUNCTION("""COMPUTED_VALUE"""),2.0)</f>
        <v>2</v>
      </c>
      <c r="G66" s="56">
        <f>IFERROR(__xludf.DUMMYFUNCTION("""COMPUTED_VALUE"""),1.0)</f>
        <v>1</v>
      </c>
      <c r="H66" s="57">
        <f>IFERROR(__xludf.DUMMYFUNCTION("""COMPUTED_VALUE"""),7.975)</f>
        <v>7.975</v>
      </c>
      <c r="I66" s="55">
        <f>IFERROR(__xludf.DUMMYFUNCTION("""COMPUTED_VALUE"""),3.0)</f>
        <v>3</v>
      </c>
      <c r="J66" s="59">
        <f>IFERROR(__xludf.DUMMYFUNCTION("""COMPUTED_VALUE"""),8.0)</f>
        <v>8</v>
      </c>
      <c r="K66" s="51"/>
      <c r="L66" s="60">
        <f>IFERROR(__xludf.DUMMYFUNCTION("""COMPUTED_VALUE"""),8.0)</f>
        <v>8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70" t="str">
        <f>IFERROR(__xludf.DUMMYFUNCTION("""COMPUTED_VALUE"""),"VARGAS")</f>
        <v>VARGAS</v>
      </c>
      <c r="C67" s="53" t="str">
        <f>IFERROR(__xludf.DUMMYFUNCTION("""COMPUTED_VALUE"""),"SANTOS")</f>
        <v>SANTOS</v>
      </c>
      <c r="D67" s="54" t="str">
        <f>IFERROR(__xludf.DUMMYFUNCTION("""COMPUTED_VALUE"""),"JATZIRI VANESSA")</f>
        <v>JATZIRI VANESSA</v>
      </c>
      <c r="E67" s="55">
        <f>IFERROR(__xludf.DUMMYFUNCTION("""COMPUTED_VALUE"""),6.0375)</f>
        <v>6.0375</v>
      </c>
      <c r="F67" s="55">
        <f>IFERROR(__xludf.DUMMYFUNCTION("""COMPUTED_VALUE"""),2.0)</f>
        <v>2</v>
      </c>
      <c r="G67" s="56">
        <f>IFERROR(__xludf.DUMMYFUNCTION("""COMPUTED_VALUE"""),1.0)</f>
        <v>1</v>
      </c>
      <c r="H67" s="57">
        <f>IFERROR(__xludf.DUMMYFUNCTION("""COMPUTED_VALUE"""),9.0375)</f>
        <v>9.0375</v>
      </c>
      <c r="I67" s="69">
        <f>IFERROR(__xludf.DUMMYFUNCTION("""COMPUTED_VALUE"""),1.0)</f>
        <v>1</v>
      </c>
      <c r="J67" s="59">
        <f>IFERROR(__xludf.DUMMYFUNCTION("""COMPUTED_VALUE"""),9.0)</f>
        <v>9</v>
      </c>
      <c r="K67" s="51"/>
      <c r="L67" s="60">
        <f>IFERROR(__xludf.DUMMYFUNCTION("""COMPUTED_VALUE"""),9.0)</f>
        <v>9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70" t="str">
        <f>IFERROR(__xludf.DUMMYFUNCTION("""COMPUTED_VALUE"""),"VELAZQUEZ")</f>
        <v>VELAZQUEZ</v>
      </c>
      <c r="C68" s="53" t="str">
        <f>IFERROR(__xludf.DUMMYFUNCTION("""COMPUTED_VALUE"""),"FIGUEROA")</f>
        <v>FIGUEROA</v>
      </c>
      <c r="D68" s="66" t="str">
        <f>IFERROR(__xludf.DUMMYFUNCTION("""COMPUTED_VALUE"""),"DANAE PAOLA")</f>
        <v>DANAE PAOLA</v>
      </c>
      <c r="E68" s="55">
        <f>IFERROR(__xludf.DUMMYFUNCTION("""COMPUTED_VALUE"""),6.05)</f>
        <v>6.05</v>
      </c>
      <c r="F68" s="55">
        <f>IFERROR(__xludf.DUMMYFUNCTION("""COMPUTED_VALUE"""),2.0)</f>
        <v>2</v>
      </c>
      <c r="G68" s="56"/>
      <c r="H68" s="57">
        <f>IFERROR(__xludf.DUMMYFUNCTION("""COMPUTED_VALUE"""),8.05)</f>
        <v>8.05</v>
      </c>
      <c r="I68" s="69">
        <f>IFERROR(__xludf.DUMMYFUNCTION("""COMPUTED_VALUE"""),2.0)</f>
        <v>2</v>
      </c>
      <c r="J68" s="59">
        <f>IFERROR(__xludf.DUMMYFUNCTION("""COMPUTED_VALUE"""),8.0)</f>
        <v>8</v>
      </c>
      <c r="K68" s="51"/>
      <c r="L68" s="60">
        <f>IFERROR(__xludf.DUMMYFUNCTION("""COMPUTED_VALUE"""),8.0)</f>
        <v>8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70" t="str">
        <f>IFERROR(__xludf.DUMMYFUNCTION("""COMPUTED_VALUE"""),"VENEGAS")</f>
        <v>VENEGAS</v>
      </c>
      <c r="C69" s="53" t="str">
        <f>IFERROR(__xludf.DUMMYFUNCTION("""COMPUTED_VALUE"""),"GONZALEZ")</f>
        <v>GONZALEZ</v>
      </c>
      <c r="D69" s="66" t="str">
        <f>IFERROR(__xludf.DUMMYFUNCTION("""COMPUTED_VALUE"""),"SANTIAGO")</f>
        <v>SANTIAGO</v>
      </c>
      <c r="E69" s="55">
        <f>IFERROR(__xludf.DUMMYFUNCTION("""COMPUTED_VALUE"""),6.3625)</f>
        <v>6.3625</v>
      </c>
      <c r="F69" s="55">
        <f>IFERROR(__xludf.DUMMYFUNCTION("""COMPUTED_VALUE"""),2.0)</f>
        <v>2</v>
      </c>
      <c r="G69" s="56">
        <f>IFERROR(__xludf.DUMMYFUNCTION("""COMPUTED_VALUE"""),1.0)</f>
        <v>1</v>
      </c>
      <c r="H69" s="57">
        <f>IFERROR(__xludf.DUMMYFUNCTION("""COMPUTED_VALUE"""),9.3625)</f>
        <v>9.3625</v>
      </c>
      <c r="I69" s="69">
        <f>IFERROR(__xludf.DUMMYFUNCTION("""COMPUTED_VALUE"""),0.0)</f>
        <v>0</v>
      </c>
      <c r="J69" s="59">
        <f>IFERROR(__xludf.DUMMYFUNCTION("""COMPUTED_VALUE"""),9.0)</f>
        <v>9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70" t="str">
        <f>IFERROR(__xludf.DUMMYFUNCTION("""COMPUTED_VALUE"""),"ZAMORA")</f>
        <v>ZAMORA</v>
      </c>
      <c r="C70" s="53" t="str">
        <f>IFERROR(__xludf.DUMMYFUNCTION("""COMPUTED_VALUE"""),"SEPULVEDA")</f>
        <v>SEPULVEDA</v>
      </c>
      <c r="D70" s="117" t="str">
        <f>IFERROR(__xludf.DUMMYFUNCTION("""COMPUTED_VALUE"""),"SEBASTIAN")</f>
        <v>SEBASTIAN</v>
      </c>
      <c r="E70" s="55">
        <f>IFERROR(__xludf.DUMMYFUNCTION("""COMPUTED_VALUE"""),5.55)</f>
        <v>5.55</v>
      </c>
      <c r="F70" s="55">
        <f>IFERROR(__xludf.DUMMYFUNCTION("""COMPUTED_VALUE"""),2.0)</f>
        <v>2</v>
      </c>
      <c r="G70" s="56"/>
      <c r="H70" s="57">
        <f>IFERROR(__xludf.DUMMYFUNCTION("""COMPUTED_VALUE"""),7.55)</f>
        <v>7.55</v>
      </c>
      <c r="I70" s="55">
        <f>IFERROR(__xludf.DUMMYFUNCTION("""COMPUTED_VALUE"""),1.0)</f>
        <v>1</v>
      </c>
      <c r="J70" s="59">
        <f>IFERROR(__xludf.DUMMYFUNCTION("""COMPUTED_VALUE"""),8.0)</f>
        <v>8</v>
      </c>
      <c r="K70" s="51"/>
      <c r="L70" s="7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72"/>
      <c r="C71" s="72"/>
      <c r="D71" s="72"/>
      <c r="E71" s="73"/>
      <c r="F71" s="72"/>
      <c r="G71" s="72"/>
      <c r="H71" s="72"/>
      <c r="I71" s="72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4"/>
      <c r="B72" s="75" t="str">
        <f>IFERROR(__xludf.DUMMYFUNCTION("""COMPUTED_VALUE"""),"No. DE ALUMNOS INSCRITOS")</f>
        <v>No. DE ALUMNOS INSCRITOS</v>
      </c>
      <c r="C72" s="76"/>
      <c r="D72" s="118">
        <f>IFERROR(__xludf.DUMMYFUNCTION("""COMPUTED_VALUE"""),54.0)</f>
        <v>54</v>
      </c>
      <c r="E72" s="72"/>
      <c r="F72" s="79" t="str">
        <f>IFERROR(__xludf.DUMMYFUNCTION("""COMPUTED_VALUE"""),"FIRMA DEL PROFESOR")</f>
        <v>FIRMA DEL PROFESOR</v>
      </c>
      <c r="G72" s="79"/>
      <c r="H72" s="79" t="str">
        <f>IFERROR(__xludf.DUMMYFUNCTION("""COMPUTED_VALUE"""),"FIRMA DEL ORIENTADOR")</f>
        <v>FIRMA DEL ORIENTADOR</v>
      </c>
      <c r="J72" s="119" t="str">
        <f>IFERROR(__xludf.DUMMYFUNCTION("""COMPUTED_VALUE"""),"Vo. Bo. SUBDIRECCIÓN ESCOLAR")</f>
        <v>Vo. Bo. SUBDIRECCIÓN ESCOLAR</v>
      </c>
      <c r="K72" s="81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4"/>
      <c r="B73" s="82" t="str">
        <f>IFERROR(__xludf.DUMMYFUNCTION("""COMPUTED_VALUE"""),"BAJAS DURANTE EL SEMESTRE")</f>
        <v>BAJAS DURANTE EL SEMESTRE</v>
      </c>
      <c r="C73" s="83"/>
      <c r="D73" s="120">
        <f>IFERROR(__xludf.DUMMYFUNCTION("""COMPUTED_VALUE"""),0.0)</f>
        <v>0</v>
      </c>
      <c r="E73" s="72"/>
      <c r="G73" s="79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4"/>
      <c r="B74" s="82" t="str">
        <f>IFERROR(__xludf.DUMMYFUNCTION("""COMPUTED_VALUE"""),"EXISTENCIA")</f>
        <v>EXISTENCIA</v>
      </c>
      <c r="C74" s="83"/>
      <c r="D74" s="85">
        <f>IFERROR(__xludf.DUMMYFUNCTION("""COMPUTED_VALUE"""),54.0)</f>
        <v>54</v>
      </c>
      <c r="E74" s="72"/>
      <c r="F74" s="86"/>
      <c r="G74" s="87"/>
      <c r="H74" s="86"/>
      <c r="I74" s="86"/>
      <c r="J74" s="88"/>
      <c r="K74" s="8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4"/>
      <c r="B75" s="82" t="str">
        <f>IFERROR(__xludf.DUMMYFUNCTION("""COMPUTED_VALUE"""),"No. DE ALUMNOS APROBADOS")</f>
        <v>No. DE ALUMNOS APROBADOS</v>
      </c>
      <c r="C75" s="83"/>
      <c r="D75" s="85">
        <f>IFERROR(__xludf.DUMMYFUNCTION("""COMPUTED_VALUE"""),54.0)</f>
        <v>54</v>
      </c>
      <c r="E75" s="72"/>
      <c r="F75" s="86"/>
      <c r="G75" s="87"/>
      <c r="H75" s="86"/>
      <c r="I75" s="86"/>
      <c r="J75" s="88"/>
      <c r="K75" s="8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4"/>
      <c r="B76" s="82" t="str">
        <f>IFERROR(__xludf.DUMMYFUNCTION("""COMPUTED_VALUE"""),"No. DE ALUMNOS REPROBADOS")</f>
        <v>No. DE ALUMNOS REPROBADOS</v>
      </c>
      <c r="C76" s="83"/>
      <c r="D76" s="85">
        <f>IFERROR(__xludf.DUMMYFUNCTION("""COMPUTED_VALUE"""),0.0)</f>
        <v>0</v>
      </c>
      <c r="E76" s="72"/>
      <c r="F76" s="90"/>
      <c r="G76" s="87"/>
      <c r="H76" s="90"/>
      <c r="I76" s="90"/>
      <c r="J76" s="91"/>
      <c r="K76" s="9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4"/>
      <c r="B77" s="82" t="str">
        <f>IFERROR(__xludf.DUMMYFUNCTION("""COMPUTED_VALUE"""),"% DE APROBADOS")</f>
        <v>% DE APROBADOS</v>
      </c>
      <c r="C77" s="83"/>
      <c r="D77" s="93">
        <f>IFERROR(__xludf.DUMMYFUNCTION("""COMPUTED_VALUE"""),100.0)</f>
        <v>100</v>
      </c>
      <c r="E77" s="72"/>
      <c r="F77" s="94" t="str">
        <f>IFERROR(__xludf.DUMMYFUNCTION("""COMPUTED_VALUE"""),"PROFR. ")</f>
        <v>PROFR. </v>
      </c>
      <c r="G77" s="95"/>
      <c r="H77" s="96" t="str">
        <f>IFERROR(__xludf.DUMMYFUNCTION("""COMPUTED_VALUE"""),"PROFRA. SANDRA DIAZ CAMARENA")</f>
        <v>PROFRA. SANDRA DIAZ CAMARENA</v>
      </c>
      <c r="J77" s="96" t="str">
        <f>IFERROR(__xludf.DUMMYFUNCTION("""COMPUTED_VALUE"""),"PROFR. OCTAVIO VÁZQUEZ BARRETO")</f>
        <v>PROFR. OCTAVIO VÁZQUEZ BARRETO</v>
      </c>
      <c r="K77" s="97" t="str">
        <f>IFERROR(__xludf.DUMMYFUNCTION("""COMPUTED_VALUE"""),"PROFR. ROBERTO PALOMARES MEJÍA ")</f>
        <v>PROFR. ROBERTO PALOMARES MEJÍA </v>
      </c>
      <c r="L77" s="9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4"/>
      <c r="B78" s="99" t="str">
        <f>IFERROR(__xludf.DUMMYFUNCTION("""COMPUTED_VALUE"""),"PROMEDIO")</f>
        <v>PROMEDIO</v>
      </c>
      <c r="C78" s="100"/>
      <c r="D78" s="101">
        <f>IFERROR(__xludf.DUMMYFUNCTION("""COMPUTED_VALUE"""),8.462962962962964)</f>
        <v>8.462962963</v>
      </c>
      <c r="E78" s="72"/>
      <c r="G78" s="95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02"/>
      <c r="B80" s="103"/>
      <c r="C80" s="104"/>
      <c r="D80" s="104"/>
      <c r="E80" s="72"/>
      <c r="G80" s="7"/>
      <c r="H80" s="7"/>
      <c r="I80" s="7"/>
      <c r="J80" s="7"/>
      <c r="K80" s="105"/>
      <c r="L80" s="10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7"/>
      <c r="B81" s="72"/>
      <c r="C81" s="72"/>
      <c r="D81" s="72"/>
      <c r="E81" s="7"/>
      <c r="F81" s="1"/>
      <c r="G81" s="1"/>
      <c r="H81" s="1"/>
      <c r="I81" s="1"/>
      <c r="J81" s="1"/>
      <c r="K81" s="8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7"/>
      <c r="B82" s="72"/>
      <c r="C82" s="72"/>
      <c r="D82" s="72"/>
      <c r="E82" s="7"/>
      <c r="F82" s="1"/>
      <c r="G82" s="1"/>
      <c r="H82" s="1"/>
      <c r="I82" s="1"/>
      <c r="J82" s="1"/>
      <c r="K82" s="8"/>
      <c r="L82" s="10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9"/>
      <c r="B83" s="110"/>
      <c r="C83" s="110"/>
      <c r="D83" s="110"/>
      <c r="E83" s="111"/>
      <c r="F83" s="112"/>
      <c r="G83" s="112"/>
      <c r="H83" s="112"/>
      <c r="I83" s="112"/>
      <c r="J83" s="112"/>
      <c r="K83" s="113"/>
      <c r="L83" s="10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4"/>
      <c r="C84" s="114"/>
      <c r="D84" s="114"/>
      <c r="E84" s="114"/>
      <c r="F84" s="1"/>
      <c r="G84" s="1"/>
      <c r="H84" s="1"/>
      <c r="I84" s="1"/>
      <c r="J84" s="115"/>
      <c r="K84" s="115"/>
      <c r="L84" s="11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4"/>
      <c r="C85" s="114"/>
      <c r="D85" s="114"/>
      <c r="E85" s="114"/>
      <c r="F85" s="1"/>
      <c r="G85" s="1"/>
      <c r="H85" s="1"/>
      <c r="I85" s="1"/>
      <c r="J85" s="115"/>
      <c r="K85" s="115"/>
      <c r="L85" s="11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4"/>
      <c r="C86" s="114"/>
      <c r="D86" s="114"/>
      <c r="E86" s="114"/>
      <c r="F86" s="1"/>
      <c r="G86" s="1"/>
      <c r="H86" s="1"/>
      <c r="I86" s="1"/>
      <c r="J86" s="115"/>
      <c r="K86" s="115"/>
      <c r="L86" s="11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4"/>
      <c r="C87" s="114"/>
      <c r="D87" s="114"/>
      <c r="E87" s="114"/>
      <c r="F87" s="1"/>
      <c r="G87" s="1"/>
      <c r="H87" s="1"/>
      <c r="I87" s="1"/>
      <c r="J87" s="115"/>
      <c r="K87" s="115"/>
      <c r="L87" s="11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4"/>
      <c r="C88" s="114"/>
      <c r="D88" s="114"/>
      <c r="E88" s="1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4"/>
      <c r="C89" s="114"/>
      <c r="D89" s="114"/>
      <c r="E89" s="114"/>
      <c r="F89" s="1"/>
      <c r="G89" s="1"/>
      <c r="H89" s="1"/>
      <c r="I89" s="1"/>
      <c r="J89" s="1"/>
      <c r="K89" s="11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4"/>
      <c r="C90" s="114"/>
      <c r="D90" s="114"/>
      <c r="E90" s="11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4"/>
      <c r="C91" s="114"/>
      <c r="D91" s="114"/>
      <c r="E91" s="11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4"/>
      <c r="C92" s="114"/>
      <c r="D92" s="114"/>
      <c r="E92" s="11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4"/>
      <c r="C93" s="114"/>
      <c r="D93" s="114"/>
      <c r="E93" s="11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4"/>
      <c r="C94" s="114"/>
      <c r="D94" s="114"/>
      <c r="E94" s="11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4"/>
      <c r="C95" s="114"/>
      <c r="D95" s="114"/>
      <c r="E95" s="11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IFERROR(__xludf.DUMMYFUNCTION("IMPORTRANGE(""https://docs.google.com/spreadsheets/d/1i11TE1AhN8DUZgkr4Zj1Y6ZCiwgcvKK-yC04b7p9WUo/edit?gid=805543490#gid=805543490"",""1-3 cultura digital ii!A1:Q86"")"),"")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IFERROR(__xludf.DUMMYFUNCTION("""COMPUTED_VALUE"""),"ROSALVA ANDREA AZPEITIA CORREA")</f>
        <v>ROSALVA ANDREA AZPEITIA CORREA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IFERROR(__xludf.DUMMYFUNCTION("""COMPUTED_VALUE"""),"CULTURA DIGITAL II")</f>
        <v>CULTURA DIGITAL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IFERROR(__xludf.DUMMYFUNCTION("""COMPUTED_VALUE"""),"VARELA")</f>
        <v>VARELA</v>
      </c>
      <c r="D17" s="54" t="str">
        <f>IFERROR(__xludf.DUMMYFUNCTION("""COMPUTED_VALUE"""),"ISAIAS HAZAEL")</f>
        <v>ISAIAS HAZAEL</v>
      </c>
      <c r="E17" s="55">
        <f>IFERROR(__xludf.DUMMYFUNCTION("""COMPUTED_VALUE"""),8.0)</f>
        <v>8</v>
      </c>
      <c r="F17" s="55">
        <f>IFERROR(__xludf.DUMMYFUNCTION("""COMPUTED_VALUE"""),2.0)</f>
        <v>2</v>
      </c>
      <c r="G17" s="56"/>
      <c r="H17" s="57">
        <f>IFERROR(__xludf.DUMMYFUNCTION("""COMPUTED_VALUE"""),10.0)</f>
        <v>10</v>
      </c>
      <c r="I17" s="58">
        <f>IFERROR(__xludf.DUMMYFUNCTION("""COMPUTED_VALUE"""),0.0)</f>
        <v>0</v>
      </c>
      <c r="J17" s="59">
        <f>IFERROR(__xludf.DUMMYFUNCTION("""COMPUTED_VALUE"""),10.0)</f>
        <v>10</v>
      </c>
      <c r="K17" s="60"/>
      <c r="L17" s="61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IFERROR(__xludf.DUMMYFUNCTION("""COMPUTED_VALUE"""),"ANDRADE")</f>
        <v>ANDRADE</v>
      </c>
      <c r="C18" s="53" t="str">
        <f>IFERROR(__xludf.DUMMYFUNCTION("""COMPUTED_VALUE"""),"LOPEZ")</f>
        <v>LOPEZ</v>
      </c>
      <c r="D18" s="54" t="str">
        <f>IFERROR(__xludf.DUMMYFUNCTION("""COMPUTED_VALUE"""),"DAVID EMILIANO")</f>
        <v>DAVID EMILIANO</v>
      </c>
      <c r="E18" s="55">
        <f>IFERROR(__xludf.DUMMYFUNCTION("""COMPUTED_VALUE"""),8.0)</f>
        <v>8</v>
      </c>
      <c r="F18" s="55">
        <f>IFERROR(__xludf.DUMMYFUNCTION("""COMPUTED_VALUE"""),2.0)</f>
        <v>2</v>
      </c>
      <c r="G18" s="56"/>
      <c r="H18" s="57">
        <f>IFERROR(__xludf.DUMMYFUNCTION("""COMPUTED_VALUE"""),10.0)</f>
        <v>10</v>
      </c>
      <c r="I18" s="58">
        <f>IFERROR(__xludf.DUMMYFUNCTION("""COMPUTED_VALUE"""),0.0)</f>
        <v>0</v>
      </c>
      <c r="J18" s="59">
        <f>IFERROR(__xludf.DUMMYFUNCTION("""COMPUTED_VALUE"""),10.0)</f>
        <v>10</v>
      </c>
      <c r="K18" s="51"/>
      <c r="L18" s="61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IFERROR(__xludf.DUMMYFUNCTION("""COMPUTED_VALUE"""),6.0)</f>
        <v>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IFERROR(__xludf.DUMMYFUNCTION("""COMPUTED_VALUE"""),"ARELLANO")</f>
        <v>ARELLANO</v>
      </c>
      <c r="C19" s="53" t="str">
        <f>IFERROR(__xludf.DUMMYFUNCTION("""COMPUTED_VALUE"""),"RAMIREZ")</f>
        <v>RAMIREZ</v>
      </c>
      <c r="D19" s="54" t="str">
        <f>IFERROR(__xludf.DUMMYFUNCTION("""COMPUTED_VALUE"""),"ALEJANDRO")</f>
        <v>ALEJANDRO</v>
      </c>
      <c r="E19" s="56">
        <f>IFERROR(__xludf.DUMMYFUNCTION("""COMPUTED_VALUE"""),8.0)</f>
        <v>8</v>
      </c>
      <c r="F19" s="55">
        <f>IFERROR(__xludf.DUMMYFUNCTION("""COMPUTED_VALUE"""),2.0)</f>
        <v>2</v>
      </c>
      <c r="G19" s="56"/>
      <c r="H19" s="57">
        <f>IFERROR(__xludf.DUMMYFUNCTION("""COMPUTED_VALUE"""),10.0)</f>
        <v>10</v>
      </c>
      <c r="I19" s="58">
        <f>IFERROR(__xludf.DUMMYFUNCTION("""COMPUTED_VALUE"""),0.0)</f>
        <v>0</v>
      </c>
      <c r="J19" s="59">
        <f>IFERROR(__xludf.DUMMYFUNCTION("""COMPUTED_VALUE"""),10.0)</f>
        <v>10</v>
      </c>
      <c r="K19" s="51"/>
      <c r="L19" s="61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IFERROR(__xludf.DUMMYFUNCTION("""COMPUTED_VALUE"""),8.0)</f>
        <v>8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IFERROR(__xludf.DUMMYFUNCTION("""COMPUTED_VALUE"""),"AVILA")</f>
        <v>AVILA</v>
      </c>
      <c r="C20" s="53" t="str">
        <f>IFERROR(__xludf.DUMMYFUNCTION("""COMPUTED_VALUE"""),"GARCIA")</f>
        <v>GARCIA</v>
      </c>
      <c r="D20" s="54" t="str">
        <f>IFERROR(__xludf.DUMMYFUNCTION("""COMPUTED_VALUE"""),"PARIS PAOLETTE")</f>
        <v>PARIS PAOLETTE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/>
      <c r="H20" s="57">
        <f>IFERROR(__xludf.DUMMYFUNCTION("""COMPUTED_VALUE"""),10.0)</f>
        <v>10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IFERROR(__xludf.DUMMYFUNCTION("""COMPUTED_VALUE"""),"BARRERA")</f>
        <v>BARRERA</v>
      </c>
      <c r="C21" s="62"/>
      <c r="D21" s="54" t="str">
        <f>IFERROR(__xludf.DUMMYFUNCTION("""COMPUTED_VALUE"""),"NAEEM")</f>
        <v>NAEEM</v>
      </c>
      <c r="E21" s="55">
        <f>IFERROR(__xludf.DUMMYFUNCTION("""COMPUTED_VALUE"""),8.0)</f>
        <v>8</v>
      </c>
      <c r="F21" s="55">
        <f>IFERROR(__xludf.DUMMYFUNCTION("""COMPUTED_VALUE"""),2.0)</f>
        <v>2</v>
      </c>
      <c r="G21" s="56"/>
      <c r="H21" s="57">
        <f>IFERROR(__xludf.DUMMYFUNCTION("""COMPUTED_VALUE"""),10.0)</f>
        <v>10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3" t="str">
        <f>IFERROR(__xludf.DUMMYFUNCTION("""COMPUTED_VALUE"""),"BLANCO")</f>
        <v>BLANCO</v>
      </c>
      <c r="C22" s="53" t="str">
        <f>IFERROR(__xludf.DUMMYFUNCTION("""COMPUTED_VALUE"""),"JARAMILLO")</f>
        <v>JARAMILLO</v>
      </c>
      <c r="D22" s="54" t="str">
        <f>IFERROR(__xludf.DUMMYFUNCTION("""COMPUTED_VALUE"""),"INGRID NATALIA")</f>
        <v>INGRID NATALIA</v>
      </c>
      <c r="E22" s="55">
        <f>IFERROR(__xludf.DUMMYFUNCTION("""COMPUTED_VALUE"""),8.0)</f>
        <v>8</v>
      </c>
      <c r="F22" s="55">
        <f>IFERROR(__xludf.DUMMYFUNCTION("""COMPUTED_VALUE"""),2.0)</f>
        <v>2</v>
      </c>
      <c r="G22" s="56"/>
      <c r="H22" s="57">
        <f>IFERROR(__xludf.DUMMYFUNCTION("""COMPUTED_VALUE"""),10.0)</f>
        <v>10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IFERROR(__xludf.DUMMYFUNCTION("""COMPUTED_VALUE"""),10.0)</f>
        <v>10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IFERROR(__xludf.DUMMYFUNCTION("""COMPUTED_VALUE"""),"CARLOS")</f>
        <v>CARLOS</v>
      </c>
      <c r="C23" s="53" t="str">
        <f>IFERROR(__xludf.DUMMYFUNCTION("""COMPUTED_VALUE"""),"DE LA CRUZ")</f>
        <v>DE LA CRUZ</v>
      </c>
      <c r="D23" s="54" t="str">
        <f>IFERROR(__xludf.DUMMYFUNCTION("""COMPUTED_VALUE"""),"JAVIER")</f>
        <v>JAVIER</v>
      </c>
      <c r="E23" s="55">
        <f>IFERROR(__xludf.DUMMYFUNCTION("""COMPUTED_VALUE"""),8.0)</f>
        <v>8</v>
      </c>
      <c r="F23" s="55">
        <f>IFERROR(__xludf.DUMMYFUNCTION("""COMPUTED_VALUE"""),2.0)</f>
        <v>2</v>
      </c>
      <c r="G23" s="56"/>
      <c r="H23" s="57">
        <f>IFERROR(__xludf.DUMMYFUNCTION("""COMPUTED_VALUE"""),10.0)</f>
        <v>10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IFERROR(__xludf.DUMMYFUNCTION("""COMPUTED_VALUE"""),10.0)</f>
        <v>10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IFERROR(__xludf.DUMMYFUNCTION("""COMPUTED_VALUE"""),"CARRICHE")</f>
        <v>CARRICHE</v>
      </c>
      <c r="C24" s="53" t="str">
        <f>IFERROR(__xludf.DUMMYFUNCTION("""COMPUTED_VALUE"""),"HERNANDEZ")</f>
        <v>HERNANDEZ</v>
      </c>
      <c r="D24" s="54" t="str">
        <f>IFERROR(__xludf.DUMMYFUNCTION("""COMPUTED_VALUE"""),"DIEGO IVAN")</f>
        <v>DIEGO IVAN</v>
      </c>
      <c r="E24" s="56">
        <f>IFERROR(__xludf.DUMMYFUNCTION("""COMPUTED_VALUE"""),8.0)</f>
        <v>8</v>
      </c>
      <c r="F24" s="55">
        <f>IFERROR(__xludf.DUMMYFUNCTION("""COMPUTED_VALUE"""),2.0)</f>
        <v>2</v>
      </c>
      <c r="G24" s="56"/>
      <c r="H24" s="57">
        <f>IFERROR(__xludf.DUMMYFUNCTION("""COMPUTED_VALUE"""),10.0)</f>
        <v>10</v>
      </c>
      <c r="I24" s="58">
        <f>IFERROR(__xludf.DUMMYFUNCTION("""COMPUTED_VALUE"""),0.0)</f>
        <v>0</v>
      </c>
      <c r="J24" s="59">
        <f>IFERROR(__xludf.DUMMYFUNCTION("""COMPUTED_VALUE"""),10.0)</f>
        <v>10</v>
      </c>
      <c r="K24" s="51"/>
      <c r="L24" s="61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IFERROR(__xludf.DUMMYFUNCTION("""COMPUTED_VALUE"""),14.0)</f>
        <v>14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IFERROR(__xludf.DUMMYFUNCTION("""COMPUTED_VALUE"""),"CASTILLO")</f>
        <v>CASTILLO</v>
      </c>
      <c r="C25" s="53" t="str">
        <f>IFERROR(__xludf.DUMMYFUNCTION("""COMPUTED_VALUE"""),"DOMINGUEZ")</f>
        <v>DOMINGUEZ</v>
      </c>
      <c r="D25" s="54" t="str">
        <f>IFERROR(__xludf.DUMMYFUNCTION("""COMPUTED_VALUE"""),"EMANUEL")</f>
        <v>EMANUEL</v>
      </c>
      <c r="E25" s="55">
        <f>IFERROR(__xludf.DUMMYFUNCTION("""COMPUTED_VALUE"""),8.0)</f>
        <v>8</v>
      </c>
      <c r="F25" s="55">
        <f>IFERROR(__xludf.DUMMYFUNCTION("""COMPUTED_VALUE"""),2.0)</f>
        <v>2</v>
      </c>
      <c r="G25" s="56"/>
      <c r="H25" s="57">
        <f>IFERROR(__xludf.DUMMYFUNCTION("""COMPUTED_VALUE"""),10.0)</f>
        <v>10</v>
      </c>
      <c r="I25" s="58">
        <f>IFERROR(__xludf.DUMMYFUNCTION("""COMPUTED_VALUE"""),2.0)</f>
        <v>2</v>
      </c>
      <c r="J25" s="59">
        <f>IFERROR(__xludf.DUMMYFUNCTION("""COMPUTED_VALUE"""),10.0)</f>
        <v>10</v>
      </c>
      <c r="K25" s="51"/>
      <c r="L25" s="61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IFERROR(__xludf.DUMMYFUNCTION("""COMPUTED_VALUE"""),"COMO")</f>
        <v>COMO</v>
      </c>
      <c r="C26" s="53" t="str">
        <f>IFERROR(__xludf.DUMMYFUNCTION("""COMPUTED_VALUE"""),"MONTOYA")</f>
        <v>MONTOYA</v>
      </c>
      <c r="D26" s="54" t="str">
        <f>IFERROR(__xludf.DUMMYFUNCTION("""COMPUTED_VALUE"""),"ANGEL GIOVANNY")</f>
        <v>ANGEL GIOVANNY</v>
      </c>
      <c r="E26" s="56">
        <f>IFERROR(__xludf.DUMMYFUNCTION("""COMPUTED_VALUE"""),8.0)</f>
        <v>8</v>
      </c>
      <c r="F26" s="55">
        <f>IFERROR(__xludf.DUMMYFUNCTION("""COMPUTED_VALUE"""),2.0)</f>
        <v>2</v>
      </c>
      <c r="G26" s="56"/>
      <c r="H26" s="57">
        <f>IFERROR(__xludf.DUMMYFUNCTION("""COMPUTED_VALUE"""),10.0)</f>
        <v>10</v>
      </c>
      <c r="I26" s="58">
        <f>IFERROR(__xludf.DUMMYFUNCTION("""COMPUTED_VALUE"""),0.0)</f>
        <v>0</v>
      </c>
      <c r="J26" s="59">
        <f>IFERROR(__xludf.DUMMYFUNCTION("""COMPUTED_VALUE"""),10.0)</f>
        <v>10</v>
      </c>
      <c r="K26" s="51"/>
      <c r="L26" s="61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IFERROR(__xludf.DUMMYFUNCTION("""COMPUTED_VALUE"""),"CORTES")</f>
        <v>CORTES</v>
      </c>
      <c r="C27" s="53" t="str">
        <f>IFERROR(__xludf.DUMMYFUNCTION("""COMPUTED_VALUE"""),"VAZQUEZ")</f>
        <v>VAZQUEZ</v>
      </c>
      <c r="D27" s="53" t="str">
        <f>IFERROR(__xludf.DUMMYFUNCTION("""COMPUTED_VALUE"""),"ZULEIMA")</f>
        <v>ZULEIMA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/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IFERROR(__xludf.DUMMYFUNCTION("""COMPUTED_VALUE"""),"CRUZ")</f>
        <v>CRUZ</v>
      </c>
      <c r="C28" s="53" t="str">
        <f>IFERROR(__xludf.DUMMYFUNCTION("""COMPUTED_VALUE"""),"BAUTISTA")</f>
        <v>BAUTISTA</v>
      </c>
      <c r="D28" s="54" t="str">
        <f>IFERROR(__xludf.DUMMYFUNCTION("""COMPUTED_VALUE"""),"YAEL ABDIEL")</f>
        <v>YAEL ABDIEL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/>
      <c r="H28" s="57">
        <f>IFERROR(__xludf.DUMMYFUNCTION("""COMPUTED_VALUE"""),10.0)</f>
        <v>10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3" t="str">
        <f>IFERROR(__xludf.DUMMYFUNCTION("""COMPUTED_VALUE"""),"NUÑEZ")</f>
        <v>NUÑEZ</v>
      </c>
      <c r="D29" s="54" t="str">
        <f>IFERROR(__xludf.DUMMYFUNCTION("""COMPUTED_VALUE"""),"XIMENA LIZVET")</f>
        <v>XIMENA LIZVET</v>
      </c>
      <c r="E29" s="55">
        <f>IFERROR(__xludf.DUMMYFUNCTION("""COMPUTED_VALUE"""),8.0)</f>
        <v>8</v>
      </c>
      <c r="F29" s="55">
        <f>IFERROR(__xludf.DUMMYFUNCTION("""COMPUTED_VALUE"""),2.0)</f>
        <v>2</v>
      </c>
      <c r="G29" s="56"/>
      <c r="H29" s="57">
        <f>IFERROR(__xludf.DUMMYFUNCTION("""COMPUTED_VALUE"""),10.0)</f>
        <v>10</v>
      </c>
      <c r="I29" s="58">
        <f>IFERROR(__xludf.DUMMYFUNCTION("""COMPUTED_VALUE"""),0.0)</f>
        <v>0</v>
      </c>
      <c r="J29" s="59">
        <f>IFERROR(__xludf.DUMMYFUNCTION("""COMPUTED_VALUE"""),10.0)</f>
        <v>10</v>
      </c>
      <c r="K29" s="51"/>
      <c r="L29" s="61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IFERROR(__xludf.DUMMYFUNCTION("""COMPUTED_VALUE"""),"DE JESUS")</f>
        <v>DE JESUS</v>
      </c>
      <c r="C30" s="53" t="str">
        <f>IFERROR(__xludf.DUMMYFUNCTION("""COMPUTED_VALUE"""),"GONZALEZ")</f>
        <v>GONZALEZ</v>
      </c>
      <c r="D30" s="54" t="str">
        <f>IFERROR(__xludf.DUMMYFUNCTION("""COMPUTED_VALUE"""),"SHARON NOEMI")</f>
        <v>SHARON NOEMI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/>
      <c r="H30" s="57">
        <f>IFERROR(__xludf.DUMMYFUNCTION("""COMPUTED_VALUE"""),10.0)</f>
        <v>10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IFERROR(__xludf.DUMMYFUNCTION("""COMPUTED_VALUE"""),"DE SANTIAGO")</f>
        <v>DE SANTIAGO</v>
      </c>
      <c r="C31" s="64" t="str">
        <f>IFERROR(__xludf.DUMMYFUNCTION("""COMPUTED_VALUE"""),"SANCHEZ")</f>
        <v>SANCHEZ</v>
      </c>
      <c r="D31" s="54" t="str">
        <f>IFERROR(__xludf.DUMMYFUNCTION("""COMPUTED_VALUE"""),"OSCAR")</f>
        <v>OSCAR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/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IFERROR(__xludf.DUMMYFUNCTION("""COMPUTED_VALUE"""),"DOMINGUEZ")</f>
        <v>DOMINGUEZ</v>
      </c>
      <c r="C32" s="53" t="str">
        <f>IFERROR(__xludf.DUMMYFUNCTION("""COMPUTED_VALUE"""),"RODRIGUEZ")</f>
        <v>RODRIGUEZ</v>
      </c>
      <c r="D32" s="54" t="str">
        <f>IFERROR(__xludf.DUMMYFUNCTION("""COMPUTED_VALUE"""),"ISABELLA VICTORIA")</f>
        <v>ISABELLA VICTORIA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/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IFERROR(__xludf.DUMMYFUNCTION("""COMPUTED_VALUE"""),"ESLAVA")</f>
        <v>ESLAVA</v>
      </c>
      <c r="C33" s="53" t="str">
        <f>IFERROR(__xludf.DUMMYFUNCTION("""COMPUTED_VALUE"""),"CEDILLO")</f>
        <v>CEDILLO</v>
      </c>
      <c r="D33" s="54" t="str">
        <f>IFERROR(__xludf.DUMMYFUNCTION("""COMPUTED_VALUE"""),"DIEGO EVERARDO")</f>
        <v>DIEGO EVERARDO</v>
      </c>
      <c r="E33" s="55">
        <f>IFERROR(__xludf.DUMMYFUNCTION("""COMPUTED_VALUE"""),7.0)</f>
        <v>7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IFERROR(__xludf.DUMMYFUNCTION("""COMPUTED_VALUE"""),10.0)</f>
        <v>10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IFERROR(__xludf.DUMMYFUNCTION("""COMPUTED_VALUE"""),"FLORES")</f>
        <v>FLORES</v>
      </c>
      <c r="C34" s="53" t="str">
        <f>IFERROR(__xludf.DUMMYFUNCTION("""COMPUTED_VALUE"""),"GARCIA")</f>
        <v>GARCIA</v>
      </c>
      <c r="D34" s="54" t="str">
        <f>IFERROR(__xludf.DUMMYFUNCTION("""COMPUTED_VALUE"""),"BYRON ALBERTO")</f>
        <v>BYRON ALBERTO</v>
      </c>
      <c r="E34" s="56">
        <f>IFERROR(__xludf.DUMMYFUNCTION("""COMPUTED_VALUE"""),8.0)</f>
        <v>8</v>
      </c>
      <c r="F34" s="55">
        <f>IFERROR(__xludf.DUMMYFUNCTION("""COMPUTED_VALUE"""),2.0)</f>
        <v>2</v>
      </c>
      <c r="G34" s="56"/>
      <c r="H34" s="57">
        <f>IFERROR(__xludf.DUMMYFUNCTION("""COMPUTED_VALUE"""),10.0)</f>
        <v>10</v>
      </c>
      <c r="I34" s="58">
        <f>IFERROR(__xludf.DUMMYFUNCTION("""COMPUTED_VALUE"""),0.0)</f>
        <v>0</v>
      </c>
      <c r="J34" s="59">
        <f>IFERROR(__xludf.DUMMYFUNCTION("""COMPUTED_VALUE"""),10.0)</f>
        <v>10</v>
      </c>
      <c r="K34" s="51"/>
      <c r="L34" s="61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IFERROR(__xludf.DUMMYFUNCTION("""COMPUTED_VALUE"""),"GARCIA")</f>
        <v>GARCIA</v>
      </c>
      <c r="C35" s="53" t="str">
        <f>IFERROR(__xludf.DUMMYFUNCTION("""COMPUTED_VALUE"""),"ESCOBAR")</f>
        <v>ESCOBAR</v>
      </c>
      <c r="D35" s="54" t="str">
        <f>IFERROR(__xludf.DUMMYFUNCTION("""COMPUTED_VALUE"""),"DALIA ANGELINA")</f>
        <v>DALIA ANGELINA</v>
      </c>
      <c r="E35" s="55">
        <f>IFERROR(__xludf.DUMMYFUNCTION("""COMPUTED_VALUE"""),0.0)</f>
        <v>0</v>
      </c>
      <c r="F35" s="55">
        <f>IFERROR(__xludf.DUMMYFUNCTION("""COMPUTED_VALUE"""),0.0)</f>
        <v>0</v>
      </c>
      <c r="G35" s="56"/>
      <c r="H35" s="57">
        <f>IFERROR(__xludf.DUMMYFUNCTION("""COMPUTED_VALUE"""),0.0)</f>
        <v>0</v>
      </c>
      <c r="I35" s="58">
        <f>IFERROR(__xludf.DUMMYFUNCTION("""COMPUTED_VALUE"""),0.0)</f>
        <v>0</v>
      </c>
      <c r="J35" s="59">
        <f>IFERROR(__xludf.DUMMYFUNCTION("""COMPUTED_VALUE"""),5.0)</f>
        <v>5</v>
      </c>
      <c r="K35" s="51"/>
      <c r="L35" s="61">
        <f>IFERROR(__xludf.DUMMYFUNCTION("""COMPUTED_VALUE"""),0.0)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IFERROR(__xludf.DUMMYFUNCTION("""COMPUTED_VALUE"""),"GONZALEZ")</f>
        <v>GONZALEZ</v>
      </c>
      <c r="C36" s="53" t="str">
        <f>IFERROR(__xludf.DUMMYFUNCTION("""COMPUTED_VALUE"""),"BAÑOS")</f>
        <v>BAÑOS</v>
      </c>
      <c r="D36" s="54" t="str">
        <f>IFERROR(__xludf.DUMMYFUNCTION("""COMPUTED_VALUE"""),"DAVID EDUARDO")</f>
        <v>DAVID EDUARDO</v>
      </c>
      <c r="E36" s="55">
        <f>IFERROR(__xludf.DUMMYFUNCTION("""COMPUTED_VALUE"""),8.0)</f>
        <v>8</v>
      </c>
      <c r="F36" s="55">
        <f>IFERROR(__xludf.DUMMYFUNCTION("""COMPUTED_VALUE"""),2.0)</f>
        <v>2</v>
      </c>
      <c r="G36" s="56"/>
      <c r="H36" s="57">
        <f>IFERROR(__xludf.DUMMYFUNCTION("""COMPUTED_VALUE"""),10.0)</f>
        <v>10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IFERROR(__xludf.DUMMYFUNCTION("""COMPUTED_VALUE"""),"GONZALEZ")</f>
        <v>GONZALEZ</v>
      </c>
      <c r="C37" s="53" t="str">
        <f>IFERROR(__xludf.DUMMYFUNCTION("""COMPUTED_VALUE"""),"CAZARES")</f>
        <v>CAZARES</v>
      </c>
      <c r="D37" s="65" t="str">
        <f>IFERROR(__xludf.DUMMYFUNCTION("""COMPUTED_VALUE"""),"CRISTHIAN")</f>
        <v>CRISTHIAN</v>
      </c>
      <c r="E37" s="56">
        <f>IFERROR(__xludf.DUMMYFUNCTION("""COMPUTED_VALUE"""),7.0)</f>
        <v>7</v>
      </c>
      <c r="F37" s="55">
        <f>IFERROR(__xludf.DUMMYFUNCTION("""COMPUTED_VALUE"""),2.0)</f>
        <v>2</v>
      </c>
      <c r="G37" s="56"/>
      <c r="H37" s="57">
        <f>IFERROR(__xludf.DUMMYFUNCTION("""COMPUTED_VALUE"""),9.0)</f>
        <v>9</v>
      </c>
      <c r="I37" s="58">
        <f>IFERROR(__xludf.DUMMYFUNCTION("""COMPUTED_VALUE"""),0.0)</f>
        <v>0</v>
      </c>
      <c r="J37" s="59">
        <f>IFERROR(__xludf.DUMMYFUNCTION("""COMPUTED_VALUE"""),9.0)</f>
        <v>9</v>
      </c>
      <c r="K37" s="51"/>
      <c r="L37" s="61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IFERROR(__xludf.DUMMYFUNCTION("""COMPUTED_VALUE"""),"GRANADOS")</f>
        <v>GRANADOS</v>
      </c>
      <c r="C38" s="53" t="str">
        <f>IFERROR(__xludf.DUMMYFUNCTION("""COMPUTED_VALUE"""),"GUERRERO")</f>
        <v>GUERRERO</v>
      </c>
      <c r="D38" s="54" t="str">
        <f>IFERROR(__xludf.DUMMYFUNCTION("""COMPUTED_VALUE"""),"ZARA")</f>
        <v>ZARA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/>
      <c r="H38" s="57">
        <f>IFERROR(__xludf.DUMMYFUNCTION("""COMPUTED_VALUE"""),10.0)</f>
        <v>10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IFERROR(__xludf.DUMMYFUNCTION("""COMPUTED_VALUE"""),"HERNANDEZ")</f>
        <v>HERNANDEZ</v>
      </c>
      <c r="C39" s="53" t="str">
        <f>IFERROR(__xludf.DUMMYFUNCTION("""COMPUTED_VALUE"""),"CANCHOLA")</f>
        <v>CANCHOLA</v>
      </c>
      <c r="D39" s="65" t="str">
        <f>IFERROR(__xludf.DUMMYFUNCTION("""COMPUTED_VALUE"""),"MELANIE")</f>
        <v>MELANIE</v>
      </c>
      <c r="E39" s="55">
        <f>IFERROR(__xludf.DUMMYFUNCTION("""COMPUTED_VALUE"""),8.0)</f>
        <v>8</v>
      </c>
      <c r="F39" s="55">
        <f>IFERROR(__xludf.DUMMYFUNCTION("""COMPUTED_VALUE"""),2.0)</f>
        <v>2</v>
      </c>
      <c r="G39" s="56"/>
      <c r="H39" s="57">
        <f>IFERROR(__xludf.DUMMYFUNCTION("""COMPUTED_VALUE"""),10.0)</f>
        <v>10</v>
      </c>
      <c r="I39" s="58">
        <f>IFERROR(__xludf.DUMMYFUNCTION("""COMPUTED_VALUE"""),0.0)</f>
        <v>0</v>
      </c>
      <c r="J39" s="59">
        <f>IFERROR(__xludf.DUMMYFUNCTION("""COMPUTED_VALUE"""),10.0)</f>
        <v>10</v>
      </c>
      <c r="K39" s="51"/>
      <c r="L39" s="61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6" t="str">
        <f>IFERROR(__xludf.DUMMYFUNCTION("""COMPUTED_VALUE"""),"HERNANDEZ")</f>
        <v>HERNANDEZ</v>
      </c>
      <c r="C40" s="67" t="str">
        <f>IFERROR(__xludf.DUMMYFUNCTION("""COMPUTED_VALUE"""),"ESPARRAGOZA")</f>
        <v>ESPARRAGOZA</v>
      </c>
      <c r="D40" s="54" t="str">
        <f>IFERROR(__xludf.DUMMYFUNCTION("""COMPUTED_VALUE"""),"DANTE ALEXANDER")</f>
        <v>DANTE ALEXANDER</v>
      </c>
      <c r="E40" s="55">
        <f>IFERROR(__xludf.DUMMYFUNCTION("""COMPUTED_VALUE"""),8.0)</f>
        <v>8</v>
      </c>
      <c r="F40" s="55">
        <f>IFERROR(__xludf.DUMMYFUNCTION("""COMPUTED_VALUE"""),2.0)</f>
        <v>2</v>
      </c>
      <c r="G40" s="56"/>
      <c r="H40" s="57">
        <f>IFERROR(__xludf.DUMMYFUNCTION("""COMPUTED_VALUE"""),10.0)</f>
        <v>10</v>
      </c>
      <c r="I40" s="58">
        <f>IFERROR(__xludf.DUMMYFUNCTION("""COMPUTED_VALUE"""),0.0)</f>
        <v>0</v>
      </c>
      <c r="J40" s="59">
        <f>IFERROR(__xludf.DUMMYFUNCTION("""COMPUTED_VALUE"""),10.0)</f>
        <v>10</v>
      </c>
      <c r="K40" s="51"/>
      <c r="L40" s="61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IFERROR(__xludf.DUMMYFUNCTION("""COMPUTED_VALUE"""),"HERNANDEZ")</f>
        <v>HERNANDEZ</v>
      </c>
      <c r="C41" s="53" t="str">
        <f>IFERROR(__xludf.DUMMYFUNCTION("""COMPUTED_VALUE"""),"MUÑOZ")</f>
        <v>MUÑOZ</v>
      </c>
      <c r="D41" s="54" t="str">
        <f>IFERROR(__xludf.DUMMYFUNCTION("""COMPUTED_VALUE"""),"MARIA JOSE")</f>
        <v>MARIA JOSE</v>
      </c>
      <c r="E41" s="55">
        <f>IFERROR(__xludf.DUMMYFUNCTION("""COMPUTED_VALUE"""),8.0)</f>
        <v>8</v>
      </c>
      <c r="F41" s="55">
        <f>IFERROR(__xludf.DUMMYFUNCTION("""COMPUTED_VALUE"""),2.0)</f>
        <v>2</v>
      </c>
      <c r="G41" s="56"/>
      <c r="H41" s="57">
        <f>IFERROR(__xludf.DUMMYFUNCTION("""COMPUTED_VALUE"""),10.0)</f>
        <v>10</v>
      </c>
      <c r="I41" s="58">
        <f>IFERROR(__xludf.DUMMYFUNCTION("""COMPUTED_VALUE"""),0.0)</f>
        <v>0</v>
      </c>
      <c r="J41" s="59">
        <f>IFERROR(__xludf.DUMMYFUNCTION("""COMPUTED_VALUE"""),10.0)</f>
        <v>10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IFERROR(__xludf.DUMMYFUNCTION("""COMPUTED_VALUE"""),"JARAMILLO")</f>
        <v>JARAMILLO</v>
      </c>
      <c r="C42" s="53" t="str">
        <f>IFERROR(__xludf.DUMMYFUNCTION("""COMPUTED_VALUE"""),"SANDOVAL")</f>
        <v>SANDOVAL</v>
      </c>
      <c r="D42" s="54" t="str">
        <f>IFERROR(__xludf.DUMMYFUNCTION("""COMPUTED_VALUE"""),"MELANI JEREDIT")</f>
        <v>MELANI JEREDIT</v>
      </c>
      <c r="E42" s="55">
        <f>IFERROR(__xludf.DUMMYFUNCTION("""COMPUTED_VALUE"""),0.0)</f>
        <v>0</v>
      </c>
      <c r="F42" s="55">
        <f>IFERROR(__xludf.DUMMYFUNCTION("""COMPUTED_VALUE"""),0.0)</f>
        <v>0</v>
      </c>
      <c r="G42" s="56"/>
      <c r="H42" s="57">
        <f>IFERROR(__xludf.DUMMYFUNCTION("""COMPUTED_VALUE"""),0.0)</f>
        <v>0</v>
      </c>
      <c r="I42" s="58">
        <f>IFERROR(__xludf.DUMMYFUNCTION("""COMPUTED_VALUE"""),0.0)</f>
        <v>0</v>
      </c>
      <c r="J42" s="59">
        <f>IFERROR(__xludf.DUMMYFUNCTION("""COMPUTED_VALUE"""),5.0)</f>
        <v>5</v>
      </c>
      <c r="K42" s="51"/>
      <c r="L42" s="61">
        <f>IFERROR(__xludf.DUMMYFUNCTION("""COMPUTED_VALUE"""),0.0)</f>
        <v>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IFERROR(__xludf.DUMMYFUNCTION("""COMPUTED_VALUE"""),"LEMUS")</f>
        <v>LEMUS</v>
      </c>
      <c r="C43" s="53" t="str">
        <f>IFERROR(__xludf.DUMMYFUNCTION("""COMPUTED_VALUE"""),"AVILA")</f>
        <v>AVILA</v>
      </c>
      <c r="D43" s="54" t="str">
        <f>IFERROR(__xludf.DUMMYFUNCTION("""COMPUTED_VALUE"""),"ANA GABRIELA")</f>
        <v>ANA GABRIELA</v>
      </c>
      <c r="E43" s="55">
        <f>IFERROR(__xludf.DUMMYFUNCTION("""COMPUTED_VALUE"""),8.0)</f>
        <v>8</v>
      </c>
      <c r="F43" s="55">
        <f>IFERROR(__xludf.DUMMYFUNCTION("""COMPUTED_VALUE"""),2.0)</f>
        <v>2</v>
      </c>
      <c r="G43" s="56"/>
      <c r="H43" s="57">
        <f>IFERROR(__xludf.DUMMYFUNCTION("""COMPUTED_VALUE"""),10.0)</f>
        <v>10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IFERROR(__xludf.DUMMYFUNCTION("""COMPUTED_VALUE"""),"LOPEZ")</f>
        <v>LOPEZ</v>
      </c>
      <c r="C44" s="53" t="str">
        <f>IFERROR(__xludf.DUMMYFUNCTION("""COMPUTED_VALUE"""),"OLVERA")</f>
        <v>OLVERA</v>
      </c>
      <c r="D44" s="54" t="str">
        <f>IFERROR(__xludf.DUMMYFUNCTION("""COMPUTED_VALUE"""),"GABRIELA LIZETH")</f>
        <v>GABRIELA LIZETH</v>
      </c>
      <c r="E44" s="55">
        <f>IFERROR(__xludf.DUMMYFUNCTION("""COMPUTED_VALUE"""),8.0)</f>
        <v>8</v>
      </c>
      <c r="F44" s="55">
        <f>IFERROR(__xludf.DUMMYFUNCTION("""COMPUTED_VALUE"""),2.0)</f>
        <v>2</v>
      </c>
      <c r="G44" s="56"/>
      <c r="H44" s="57">
        <f>IFERROR(__xludf.DUMMYFUNCTION("""COMPUTED_VALUE"""),10.0)</f>
        <v>10</v>
      </c>
      <c r="I44" s="58">
        <f>IFERROR(__xludf.DUMMYFUNCTION("""COMPUTED_VALUE"""),0.0)</f>
        <v>0</v>
      </c>
      <c r="J44" s="59">
        <f>IFERROR(__xludf.DUMMYFUNCTION("""COMPUTED_VALUE"""),10.0)</f>
        <v>10</v>
      </c>
      <c r="K44" s="51"/>
      <c r="L44" s="61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IFERROR(__xludf.DUMMYFUNCTION("""COMPUTED_VALUE"""),"LOPEZ")</f>
        <v>LOPEZ</v>
      </c>
      <c r="C45" s="53" t="str">
        <f>IFERROR(__xludf.DUMMYFUNCTION("""COMPUTED_VALUE"""),"PANIAGÚA")</f>
        <v>PANIAGÚA</v>
      </c>
      <c r="D45" s="54" t="str">
        <f>IFERROR(__xludf.DUMMYFUNCTION("""COMPUTED_VALUE"""),"ANGEL GIOVANNI")</f>
        <v>ANGEL GIOVANNI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/>
      <c r="H45" s="57">
        <f>IFERROR(__xludf.DUMMYFUNCTION("""COMPUTED_VALUE"""),10.0)</f>
        <v>10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IFERROR(__xludf.DUMMYFUNCTION("""COMPUTED_VALUE"""),"LUNA")</f>
        <v>LUNA</v>
      </c>
      <c r="C46" s="53" t="str">
        <f>IFERROR(__xludf.DUMMYFUNCTION("""COMPUTED_VALUE"""),"HERNANDEZ")</f>
        <v>HERNANDEZ</v>
      </c>
      <c r="D46" s="54" t="str">
        <f>IFERROR(__xludf.DUMMYFUNCTION("""COMPUTED_VALUE"""),"DEA ISABELLA")</f>
        <v>DEA ISABELLA</v>
      </c>
      <c r="E46" s="55">
        <f>IFERROR(__xludf.DUMMYFUNCTION("""COMPUTED_VALUE"""),8.0)</f>
        <v>8</v>
      </c>
      <c r="F46" s="55">
        <f>IFERROR(__xludf.DUMMYFUNCTION("""COMPUTED_VALUE"""),2.0)</f>
        <v>2</v>
      </c>
      <c r="G46" s="56"/>
      <c r="H46" s="57">
        <f>IFERROR(__xludf.DUMMYFUNCTION("""COMPUTED_VALUE"""),10.0)</f>
        <v>10</v>
      </c>
      <c r="I46" s="58">
        <f>IFERROR(__xludf.DUMMYFUNCTION("""COMPUTED_VALUE"""),0.0)</f>
        <v>0</v>
      </c>
      <c r="J46" s="59">
        <f>IFERROR(__xludf.DUMMYFUNCTION("""COMPUTED_VALUE"""),10.0)</f>
        <v>10</v>
      </c>
      <c r="K46" s="51"/>
      <c r="L46" s="61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IFERROR(__xludf.DUMMYFUNCTION("""COMPUTED_VALUE"""),"MARES")</f>
        <v>MARES</v>
      </c>
      <c r="C47" s="53" t="str">
        <f>IFERROR(__xludf.DUMMYFUNCTION("""COMPUTED_VALUE"""),"GONZALEZ")</f>
        <v>GONZALEZ</v>
      </c>
      <c r="D47" s="54" t="str">
        <f>IFERROR(__xludf.DUMMYFUNCTION("""COMPUTED_VALUE"""),"JOSE CARLOS")</f>
        <v>JOSE CARLOS</v>
      </c>
      <c r="E47" s="55">
        <f>IFERROR(__xludf.DUMMYFUNCTION("""COMPUTED_VALUE"""),8.0)</f>
        <v>8</v>
      </c>
      <c r="F47" s="55">
        <f>IFERROR(__xludf.DUMMYFUNCTION("""COMPUTED_VALUE"""),2.0)</f>
        <v>2</v>
      </c>
      <c r="G47" s="56"/>
      <c r="H47" s="57">
        <f>IFERROR(__xludf.DUMMYFUNCTION("""COMPUTED_VALUE"""),10.0)</f>
        <v>10</v>
      </c>
      <c r="I47" s="58">
        <f>IFERROR(__xludf.DUMMYFUNCTION("""COMPUTED_VALUE"""),0.0)</f>
        <v>0</v>
      </c>
      <c r="J47" s="59">
        <f>IFERROR(__xludf.DUMMYFUNCTION("""COMPUTED_VALUE"""),10.0)</f>
        <v>10</v>
      </c>
      <c r="K47" s="51"/>
      <c r="L47" s="61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IFERROR(__xludf.DUMMYFUNCTION("""COMPUTED_VALUE"""),"MARTINEZ")</f>
        <v>MARTINEZ</v>
      </c>
      <c r="C48" s="53" t="str">
        <f>IFERROR(__xludf.DUMMYFUNCTION("""COMPUTED_VALUE"""),"REYES")</f>
        <v>REYES</v>
      </c>
      <c r="D48" s="54" t="str">
        <f>IFERROR(__xludf.DUMMYFUNCTION("""COMPUTED_VALUE"""),"JACQUELINE ANDREA")</f>
        <v>JACQUELINE ANDREA</v>
      </c>
      <c r="E48" s="55">
        <f>IFERROR(__xludf.DUMMYFUNCTION("""COMPUTED_VALUE"""),8.0)</f>
        <v>8</v>
      </c>
      <c r="F48" s="55">
        <f>IFERROR(__xludf.DUMMYFUNCTION("""COMPUTED_VALUE"""),2.0)</f>
        <v>2</v>
      </c>
      <c r="G48" s="56"/>
      <c r="H48" s="57">
        <f>IFERROR(__xludf.DUMMYFUNCTION("""COMPUTED_VALUE"""),10.0)</f>
        <v>10</v>
      </c>
      <c r="I48" s="58">
        <f>IFERROR(__xludf.DUMMYFUNCTION("""COMPUTED_VALUE"""),0.0)</f>
        <v>0</v>
      </c>
      <c r="J48" s="59">
        <f>IFERROR(__xludf.DUMMYFUNCTION("""COMPUTED_VALUE"""),10.0)</f>
        <v>10</v>
      </c>
      <c r="K48" s="51"/>
      <c r="L48" s="61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IFERROR(__xludf.DUMMYFUNCTION("""COMPUTED_VALUE"""),"MARTINEZ")</f>
        <v>MARTINEZ</v>
      </c>
      <c r="C49" s="53" t="str">
        <f>IFERROR(__xludf.DUMMYFUNCTION("""COMPUTED_VALUE"""),"VELAZQUEZ")</f>
        <v>VELAZQUEZ</v>
      </c>
      <c r="D49" s="65" t="str">
        <f>IFERROR(__xludf.DUMMYFUNCTION("""COMPUTED_VALUE"""),"OSCAR ZADKIEL")</f>
        <v>OSCAR ZADKIEL</v>
      </c>
      <c r="E49" s="55">
        <f>IFERROR(__xludf.DUMMYFUNCTION("""COMPUTED_VALUE"""),7.0)</f>
        <v>7</v>
      </c>
      <c r="F49" s="55">
        <f>IFERROR(__xludf.DUMMYFUNCTION("""COMPUTED_VALUE"""),2.0)</f>
        <v>2</v>
      </c>
      <c r="G49" s="56"/>
      <c r="H49" s="57">
        <f>IFERROR(__xludf.DUMMYFUNCTION("""COMPUTED_VALUE"""),9.0)</f>
        <v>9</v>
      </c>
      <c r="I49" s="58">
        <f>IFERROR(__xludf.DUMMYFUNCTION("""COMPUTED_VALUE"""),0.0)</f>
        <v>0</v>
      </c>
      <c r="J49" s="59">
        <f>IFERROR(__xludf.DUMMYFUNCTION("""COMPUTED_VALUE"""),9.0)</f>
        <v>9</v>
      </c>
      <c r="K49" s="51"/>
      <c r="L49" s="61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IFERROR(__xludf.DUMMYFUNCTION("""COMPUTED_VALUE"""),"MORAN")</f>
        <v>MORAN</v>
      </c>
      <c r="C50" s="53" t="str">
        <f>IFERROR(__xludf.DUMMYFUNCTION("""COMPUTED_VALUE"""),"ALMAGUER")</f>
        <v>ALMAGUER</v>
      </c>
      <c r="D50" s="54" t="str">
        <f>IFERROR(__xludf.DUMMYFUNCTION("""COMPUTED_VALUE"""),"LEYLANI")</f>
        <v>LEYLANI</v>
      </c>
      <c r="E50" s="55">
        <f>IFERROR(__xludf.DUMMYFUNCTION("""COMPUTED_VALUE"""),8.0)</f>
        <v>8</v>
      </c>
      <c r="F50" s="55">
        <f>IFERROR(__xludf.DUMMYFUNCTION("""COMPUTED_VALUE"""),2.0)</f>
        <v>2</v>
      </c>
      <c r="G50" s="56"/>
      <c r="H50" s="57">
        <f>IFERROR(__xludf.DUMMYFUNCTION("""COMPUTED_VALUE"""),10.0)</f>
        <v>10</v>
      </c>
      <c r="I50" s="58">
        <f>IFERROR(__xludf.DUMMYFUNCTION("""COMPUTED_VALUE"""),2.0)</f>
        <v>2</v>
      </c>
      <c r="J50" s="59">
        <f>IFERROR(__xludf.DUMMYFUNCTION("""COMPUTED_VALUE"""),10.0)</f>
        <v>10</v>
      </c>
      <c r="K50" s="51"/>
      <c r="L50" s="61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IFERROR(__xludf.DUMMYFUNCTION("""COMPUTED_VALUE"""),"MORENO")</f>
        <v>MORENO</v>
      </c>
      <c r="C51" s="53" t="str">
        <f>IFERROR(__xludf.DUMMYFUNCTION("""COMPUTED_VALUE"""),"VALENZUELA")</f>
        <v>VALENZUELA</v>
      </c>
      <c r="D51" s="54" t="str">
        <f>IFERROR(__xludf.DUMMYFUNCTION("""COMPUTED_VALUE"""),"SANTIAGO ISMAEL")</f>
        <v>SANTIAGO ISMAEL</v>
      </c>
      <c r="E51" s="55">
        <f>IFERROR(__xludf.DUMMYFUNCTION("""COMPUTED_VALUE"""),8.0)</f>
        <v>8</v>
      </c>
      <c r="F51" s="55">
        <f>IFERROR(__xludf.DUMMYFUNCTION("""COMPUTED_VALUE"""),2.0)</f>
        <v>2</v>
      </c>
      <c r="G51" s="56"/>
      <c r="H51" s="57">
        <f>IFERROR(__xludf.DUMMYFUNCTION("""COMPUTED_VALUE"""),10.0)</f>
        <v>10</v>
      </c>
      <c r="I51" s="58">
        <f>IFERROR(__xludf.DUMMYFUNCTION("""COMPUTED_VALUE"""),0.0)</f>
        <v>0</v>
      </c>
      <c r="J51" s="59">
        <f>IFERROR(__xludf.DUMMYFUNCTION("""COMPUTED_VALUE"""),10.0)</f>
        <v>10</v>
      </c>
      <c r="K51" s="51"/>
      <c r="L51" s="61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IFERROR(__xludf.DUMMYFUNCTION("""COMPUTED_VALUE"""),"NUÑEZ")</f>
        <v>NUÑEZ</v>
      </c>
      <c r="C52" s="53" t="str">
        <f>IFERROR(__xludf.DUMMYFUNCTION("""COMPUTED_VALUE"""),"FLORES")</f>
        <v>FLORES</v>
      </c>
      <c r="D52" s="54" t="str">
        <f>IFERROR(__xludf.DUMMYFUNCTION("""COMPUTED_VALUE"""),"ANDREA MAYARI")</f>
        <v>ANDREA MAYARI</v>
      </c>
      <c r="E52" s="55">
        <f>IFERROR(__xludf.DUMMYFUNCTION("""COMPUTED_VALUE"""),8.0)</f>
        <v>8</v>
      </c>
      <c r="F52" s="55">
        <f>IFERROR(__xludf.DUMMYFUNCTION("""COMPUTED_VALUE"""),2.0)</f>
        <v>2</v>
      </c>
      <c r="G52" s="56"/>
      <c r="H52" s="57">
        <f>IFERROR(__xludf.DUMMYFUNCTION("""COMPUTED_VALUE"""),10.0)</f>
        <v>10</v>
      </c>
      <c r="I52" s="58">
        <f>IFERROR(__xludf.DUMMYFUNCTION("""COMPUTED_VALUE"""),0.0)</f>
        <v>0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IFERROR(__xludf.DUMMYFUNCTION("""COMPUTED_VALUE"""),"ORNELAS")</f>
        <v>ORNELAS</v>
      </c>
      <c r="C53" s="53" t="str">
        <f>IFERROR(__xludf.DUMMYFUNCTION("""COMPUTED_VALUE"""),"LOPEZ")</f>
        <v>LOPEZ</v>
      </c>
      <c r="D53" s="54" t="str">
        <f>IFERROR(__xludf.DUMMYFUNCTION("""COMPUTED_VALUE"""),"LENA VIKTORIA")</f>
        <v>LENA VIKTORIA</v>
      </c>
      <c r="E53" s="55">
        <f>IFERROR(__xludf.DUMMYFUNCTION("""COMPUTED_VALUE"""),8.0)</f>
        <v>8</v>
      </c>
      <c r="F53" s="55">
        <f>IFERROR(__xludf.DUMMYFUNCTION("""COMPUTED_VALUE"""),2.0)</f>
        <v>2</v>
      </c>
      <c r="G53" s="56"/>
      <c r="H53" s="57">
        <f>IFERROR(__xludf.DUMMYFUNCTION("""COMPUTED_VALUE"""),10.0)</f>
        <v>10</v>
      </c>
      <c r="I53" s="58">
        <f>IFERROR(__xludf.DUMMYFUNCTION("""COMPUTED_VALUE"""),0.0)</f>
        <v>0</v>
      </c>
      <c r="J53" s="59">
        <f>IFERROR(__xludf.DUMMYFUNCTION("""COMPUTED_VALUE"""),10.0)</f>
        <v>10</v>
      </c>
      <c r="K53" s="51"/>
      <c r="L53" s="60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IFERROR(__xludf.DUMMYFUNCTION("""COMPUTED_VALUE"""),"ORTIZ")</f>
        <v>ORTIZ</v>
      </c>
      <c r="C54" s="53" t="str">
        <f>IFERROR(__xludf.DUMMYFUNCTION("""COMPUTED_VALUE"""),"RODRIGUEZ")</f>
        <v>RODRIGUEZ</v>
      </c>
      <c r="D54" s="68" t="str">
        <f>IFERROR(__xludf.DUMMYFUNCTION("""COMPUTED_VALUE"""),"GUILLERMO")</f>
        <v>GUILLERMO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/>
      <c r="H54" s="57">
        <f>IFERROR(__xludf.DUMMYFUNCTION("""COMPUTED_VALUE"""),10.0)</f>
        <v>10</v>
      </c>
      <c r="I54" s="58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IFERROR(__xludf.DUMMYFUNCTION("""COMPUTED_VALUE"""),"PACHECO")</f>
        <v>PACHECO</v>
      </c>
      <c r="C55" s="53" t="str">
        <f>IFERROR(__xludf.DUMMYFUNCTION("""COMPUTED_VALUE"""),"OLIVARES")</f>
        <v>OLIVARES</v>
      </c>
      <c r="D55" s="54" t="str">
        <f>IFERROR(__xludf.DUMMYFUNCTION("""COMPUTED_VALUE"""),"ANDRES")</f>
        <v>ANDRES</v>
      </c>
      <c r="E55" s="55">
        <f>IFERROR(__xludf.DUMMYFUNCTION("""COMPUTED_VALUE"""),8.0)</f>
        <v>8</v>
      </c>
      <c r="F55" s="55">
        <f>IFERROR(__xludf.DUMMYFUNCTION("""COMPUTED_VALUE"""),2.0)</f>
        <v>2</v>
      </c>
      <c r="G55" s="56"/>
      <c r="H55" s="57">
        <f>IFERROR(__xludf.DUMMYFUNCTION("""COMPUTED_VALUE"""),10.0)</f>
        <v>10</v>
      </c>
      <c r="I55" s="69">
        <f>IFERROR(__xludf.DUMMYFUNCTION("""COMPUTED_VALUE"""),0.0)</f>
        <v>0</v>
      </c>
      <c r="J55" s="59">
        <f>IFERROR(__xludf.DUMMYFUNCTION("""COMPUTED_VALUE"""),10.0)</f>
        <v>10</v>
      </c>
      <c r="K55" s="51"/>
      <c r="L55" s="60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IFERROR(__xludf.DUMMYFUNCTION("""COMPUTED_VALUE"""),"PEREZ")</f>
        <v>PEREZ</v>
      </c>
      <c r="C56" s="53" t="str">
        <f>IFERROR(__xludf.DUMMYFUNCTION("""COMPUTED_VALUE"""),"SUAREZ")</f>
        <v>SUAREZ</v>
      </c>
      <c r="D56" s="54" t="str">
        <f>IFERROR(__xludf.DUMMYFUNCTION("""COMPUTED_VALUE"""),"DAVETH OSIEL")</f>
        <v>DAVETH OSIEL</v>
      </c>
      <c r="E56" s="55">
        <f>IFERROR(__xludf.DUMMYFUNCTION("""COMPUTED_VALUE"""),8.0)</f>
        <v>8</v>
      </c>
      <c r="F56" s="55">
        <f>IFERROR(__xludf.DUMMYFUNCTION("""COMPUTED_VALUE"""),2.0)</f>
        <v>2</v>
      </c>
      <c r="G56" s="56"/>
      <c r="H56" s="57">
        <f>IFERROR(__xludf.DUMMYFUNCTION("""COMPUTED_VALUE"""),10.0)</f>
        <v>10</v>
      </c>
      <c r="I56" s="69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IFERROR(__xludf.DUMMYFUNCTION("""COMPUTED_VALUE"""),"PUC")</f>
        <v>PUC</v>
      </c>
      <c r="C57" s="53" t="str">
        <f>IFERROR(__xludf.DUMMYFUNCTION("""COMPUTED_VALUE"""),"JIMENEZ")</f>
        <v>JIMENEZ</v>
      </c>
      <c r="D57" s="54" t="str">
        <f>IFERROR(__xludf.DUMMYFUNCTION("""COMPUTED_VALUE"""),"XIMENA DANIELA")</f>
        <v>XIMENA DANIELA</v>
      </c>
      <c r="E57" s="55">
        <f>IFERROR(__xludf.DUMMYFUNCTION("""COMPUTED_VALUE"""),8.0)</f>
        <v>8</v>
      </c>
      <c r="F57" s="55">
        <f>IFERROR(__xludf.DUMMYFUNCTION("""COMPUTED_VALUE"""),2.0)</f>
        <v>2</v>
      </c>
      <c r="G57" s="56"/>
      <c r="H57" s="57">
        <f>IFERROR(__xludf.DUMMYFUNCTION("""COMPUTED_VALUE"""),10.0)</f>
        <v>10</v>
      </c>
      <c r="I57" s="69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IFERROR(__xludf.DUMMYFUNCTION("""COMPUTED_VALUE"""),"RAMIREZ")</f>
        <v>RAMIREZ</v>
      </c>
      <c r="C58" s="53" t="str">
        <f>IFERROR(__xludf.DUMMYFUNCTION("""COMPUTED_VALUE"""),"ROMAN")</f>
        <v>ROMAN</v>
      </c>
      <c r="D58" s="54" t="str">
        <f>IFERROR(__xludf.DUMMYFUNCTION("""COMPUTED_VALUE"""),"XIMENA")</f>
        <v>XIMENA</v>
      </c>
      <c r="E58" s="55">
        <f>IFERROR(__xludf.DUMMYFUNCTION("""COMPUTED_VALUE"""),8.0)</f>
        <v>8</v>
      </c>
      <c r="F58" s="55">
        <f>IFERROR(__xludf.DUMMYFUNCTION("""COMPUTED_VALUE"""),2.0)</f>
        <v>2</v>
      </c>
      <c r="G58" s="56"/>
      <c r="H58" s="57">
        <f>IFERROR(__xludf.DUMMYFUNCTION("""COMPUTED_VALUE"""),10.0)</f>
        <v>10</v>
      </c>
      <c r="I58" s="69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6" t="str">
        <f>IFERROR(__xludf.DUMMYFUNCTION("""COMPUTED_VALUE"""),"REYES")</f>
        <v>REYES</v>
      </c>
      <c r="C59" s="67" t="str">
        <f>IFERROR(__xludf.DUMMYFUNCTION("""COMPUTED_VALUE"""),"TREJO")</f>
        <v>TREJO</v>
      </c>
      <c r="D59" s="54" t="str">
        <f>IFERROR(__xludf.DUMMYFUNCTION("""COMPUTED_VALUE"""),"HUGO DASTAN")</f>
        <v>HUGO DASTAN</v>
      </c>
      <c r="E59" s="55">
        <f>IFERROR(__xludf.DUMMYFUNCTION("""COMPUTED_VALUE"""),8.0)</f>
        <v>8</v>
      </c>
      <c r="F59" s="55">
        <f>IFERROR(__xludf.DUMMYFUNCTION("""COMPUTED_VALUE"""),2.0)</f>
        <v>2</v>
      </c>
      <c r="G59" s="56"/>
      <c r="H59" s="57">
        <f>IFERROR(__xludf.DUMMYFUNCTION("""COMPUTED_VALUE"""),10.0)</f>
        <v>10</v>
      </c>
      <c r="I59" s="69">
        <f>IFERROR(__xludf.DUMMYFUNCTION("""COMPUTED_VALUE"""),0.0)</f>
        <v>0</v>
      </c>
      <c r="J59" s="59">
        <f>IFERROR(__xludf.DUMMYFUNCTION("""COMPUTED_VALUE"""),10.0)</f>
        <v>10</v>
      </c>
      <c r="K59" s="51"/>
      <c r="L59" s="60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70" t="str">
        <f>IFERROR(__xludf.DUMMYFUNCTION("""COMPUTED_VALUE"""),"RODRIGUEZ")</f>
        <v>RODRIGUEZ</v>
      </c>
      <c r="C60" s="53" t="str">
        <f>IFERROR(__xludf.DUMMYFUNCTION("""COMPUTED_VALUE"""),"ROSAS")</f>
        <v>ROSAS</v>
      </c>
      <c r="D60" s="54" t="str">
        <f>IFERROR(__xludf.DUMMYFUNCTION("""COMPUTED_VALUE"""),"XOCHITL")</f>
        <v>XOCHITL</v>
      </c>
      <c r="E60" s="55">
        <f>IFERROR(__xludf.DUMMYFUNCTION("""COMPUTED_VALUE"""),8.0)</f>
        <v>8</v>
      </c>
      <c r="F60" s="55">
        <f>IFERROR(__xludf.DUMMYFUNCTION("""COMPUTED_VALUE"""),2.0)</f>
        <v>2</v>
      </c>
      <c r="G60" s="56"/>
      <c r="H60" s="57">
        <f>IFERROR(__xludf.DUMMYFUNCTION("""COMPUTED_VALUE"""),10.0)</f>
        <v>10</v>
      </c>
      <c r="I60" s="69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IFERROR(__xludf.DUMMYFUNCTION("""COMPUTED_VALUE"""),"RUBIO")</f>
        <v>RUBIO</v>
      </c>
      <c r="C61" s="53" t="str">
        <f>IFERROR(__xludf.DUMMYFUNCTION("""COMPUTED_VALUE"""),"HERNANDEZ")</f>
        <v>HERNANDEZ</v>
      </c>
      <c r="D61" s="54" t="str">
        <f>IFERROR(__xludf.DUMMYFUNCTION("""COMPUTED_VALUE"""),"MACIEL ALEJANDRA")</f>
        <v>MACIEL ALEJANDRA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/>
      <c r="H61" s="57">
        <f>IFERROR(__xludf.DUMMYFUNCTION("""COMPUTED_VALUE"""),10.0)</f>
        <v>10</v>
      </c>
      <c r="I61" s="69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70" t="str">
        <f>IFERROR(__xludf.DUMMYFUNCTION("""COMPUTED_VALUE"""),"SANTANA")</f>
        <v>SANTANA</v>
      </c>
      <c r="C62" s="53" t="str">
        <f>IFERROR(__xludf.DUMMYFUNCTION("""COMPUTED_VALUE"""),"LARA")</f>
        <v>LARA</v>
      </c>
      <c r="D62" s="54" t="str">
        <f>IFERROR(__xludf.DUMMYFUNCTION("""COMPUTED_VALUE"""),"IRVING WILLIAM")</f>
        <v>IRVING WILLIAM</v>
      </c>
      <c r="E62" s="55">
        <f>IFERROR(__xludf.DUMMYFUNCTION("""COMPUTED_VALUE"""),8.0)</f>
        <v>8</v>
      </c>
      <c r="F62" s="55">
        <f>IFERROR(__xludf.DUMMYFUNCTION("""COMPUTED_VALUE"""),2.0)</f>
        <v>2</v>
      </c>
      <c r="G62" s="56"/>
      <c r="H62" s="57">
        <f>IFERROR(__xludf.DUMMYFUNCTION("""COMPUTED_VALUE"""),10.0)</f>
        <v>10</v>
      </c>
      <c r="I62" s="69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70" t="str">
        <f>IFERROR(__xludf.DUMMYFUNCTION("""COMPUTED_VALUE"""),"SANTILLAN")</f>
        <v>SANTILLAN</v>
      </c>
      <c r="C63" s="53" t="str">
        <f>IFERROR(__xludf.DUMMYFUNCTION("""COMPUTED_VALUE"""),"GONZALEZ")</f>
        <v>GONZALEZ</v>
      </c>
      <c r="D63" s="54" t="str">
        <f>IFERROR(__xludf.DUMMYFUNCTION("""COMPUTED_VALUE"""),"JAZMIN")</f>
        <v>JAZMIN</v>
      </c>
      <c r="E63" s="55">
        <f>IFERROR(__xludf.DUMMYFUNCTION("""COMPUTED_VALUE"""),8.0)</f>
        <v>8</v>
      </c>
      <c r="F63" s="55">
        <f>IFERROR(__xludf.DUMMYFUNCTION("""COMPUTED_VALUE"""),2.0)</f>
        <v>2</v>
      </c>
      <c r="G63" s="56"/>
      <c r="H63" s="57">
        <f>IFERROR(__xludf.DUMMYFUNCTION("""COMPUTED_VALUE"""),10.0)</f>
        <v>10</v>
      </c>
      <c r="I63" s="69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IFERROR(__xludf.DUMMYFUNCTION("""COMPUTED_VALUE"""),10.0)</f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70" t="str">
        <f>IFERROR(__xludf.DUMMYFUNCTION("""COMPUTED_VALUE"""),"SUAREZ")</f>
        <v>SUAREZ</v>
      </c>
      <c r="C64" s="53" t="str">
        <f>IFERROR(__xludf.DUMMYFUNCTION("""COMPUTED_VALUE"""),"MUÑOZ")</f>
        <v>MUÑOZ</v>
      </c>
      <c r="D64" s="54" t="str">
        <f>IFERROR(__xludf.DUMMYFUNCTION("""COMPUTED_VALUE"""),"ALDO YAEL")</f>
        <v>ALDO YAEL</v>
      </c>
      <c r="E64" s="55">
        <f>IFERROR(__xludf.DUMMYFUNCTION("""COMPUTED_VALUE"""),8.0)</f>
        <v>8</v>
      </c>
      <c r="F64" s="55">
        <f>IFERROR(__xludf.DUMMYFUNCTION("""COMPUTED_VALUE"""),2.0)</f>
        <v>2</v>
      </c>
      <c r="G64" s="56"/>
      <c r="H64" s="57">
        <f>IFERROR(__xludf.DUMMYFUNCTION("""COMPUTED_VALUE"""),10.0)</f>
        <v>10</v>
      </c>
      <c r="I64" s="69">
        <f>IFERROR(__xludf.DUMMYFUNCTION("""COMPUTED_VALUE"""),0.0)</f>
        <v>0</v>
      </c>
      <c r="J64" s="59">
        <f>IFERROR(__xludf.DUMMYFUNCTION("""COMPUTED_VALUE"""),10.0)</f>
        <v>10</v>
      </c>
      <c r="K64" s="51"/>
      <c r="L64" s="60">
        <f>IFERROR(__xludf.DUMMYFUNCTION("""COMPUTED_VALUE"""),10.0)</f>
        <v>10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70" t="str">
        <f>IFERROR(__xludf.DUMMYFUNCTION("""COMPUTED_VALUE"""),"TORRES")</f>
        <v>TORRES</v>
      </c>
      <c r="C65" s="53" t="str">
        <f>IFERROR(__xludf.DUMMYFUNCTION("""COMPUTED_VALUE"""),"DE LEON")</f>
        <v>DE LEON</v>
      </c>
      <c r="D65" s="54" t="str">
        <f>IFERROR(__xludf.DUMMYFUNCTION("""COMPUTED_VALUE"""),"AMAIRANI")</f>
        <v>AMAIRANI</v>
      </c>
      <c r="E65" s="55">
        <f>IFERROR(__xludf.DUMMYFUNCTION("""COMPUTED_VALUE"""),8.0)</f>
        <v>8</v>
      </c>
      <c r="F65" s="55">
        <f>IFERROR(__xludf.DUMMYFUNCTION("""COMPUTED_VALUE"""),2.0)</f>
        <v>2</v>
      </c>
      <c r="G65" s="56"/>
      <c r="H65" s="57">
        <f>IFERROR(__xludf.DUMMYFUNCTION("""COMPUTED_VALUE"""),10.0)</f>
        <v>10</v>
      </c>
      <c r="I65" s="55">
        <f>IFERROR(__xludf.DUMMYFUNCTION("""COMPUTED_VALUE"""),0.0)</f>
        <v>0</v>
      </c>
      <c r="J65" s="59">
        <f>IFERROR(__xludf.DUMMYFUNCTION("""COMPUTED_VALUE"""),10.0)</f>
        <v>10</v>
      </c>
      <c r="K65" s="51"/>
      <c r="L65" s="60">
        <f>IFERROR(__xludf.DUMMYFUNCTION("""COMPUTED_VALUE"""),10.0)</f>
        <v>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70" t="str">
        <f>IFERROR(__xludf.DUMMYFUNCTION("""COMPUTED_VALUE"""),"VALDEZ")</f>
        <v>VALDEZ</v>
      </c>
      <c r="C66" s="53" t="str">
        <f>IFERROR(__xludf.DUMMYFUNCTION("""COMPUTED_VALUE"""),"ROBLES")</f>
        <v>ROBLES</v>
      </c>
      <c r="D66" s="54" t="str">
        <f>IFERROR(__xludf.DUMMYFUNCTION("""COMPUTED_VALUE"""),"OSCAR YAEL")</f>
        <v>OSCAR YAEL</v>
      </c>
      <c r="E66" s="55">
        <f>IFERROR(__xludf.DUMMYFUNCTION("""COMPUTED_VALUE"""),8.0)</f>
        <v>8</v>
      </c>
      <c r="F66" s="55">
        <f>IFERROR(__xludf.DUMMYFUNCTION("""COMPUTED_VALUE"""),2.0)</f>
        <v>2</v>
      </c>
      <c r="G66" s="56"/>
      <c r="H66" s="57">
        <f>IFERROR(__xludf.DUMMYFUNCTION("""COMPUTED_VALUE"""),10.0)</f>
        <v>10</v>
      </c>
      <c r="I66" s="55">
        <f>IFERROR(__xludf.DUMMYFUNCTION("""COMPUTED_VALUE"""),0.0)</f>
        <v>0</v>
      </c>
      <c r="J66" s="59">
        <f>IFERROR(__xludf.DUMMYFUNCTION("""COMPUTED_VALUE"""),10.0)</f>
        <v>10</v>
      </c>
      <c r="K66" s="51"/>
      <c r="L66" s="60">
        <f>IFERROR(__xludf.DUMMYFUNCTION("""COMPUTED_VALUE"""),10.0)</f>
        <v>10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70" t="str">
        <f>IFERROR(__xludf.DUMMYFUNCTION("""COMPUTED_VALUE"""),"VARGAS")</f>
        <v>VARGAS</v>
      </c>
      <c r="C67" s="53" t="str">
        <f>IFERROR(__xludf.DUMMYFUNCTION("""COMPUTED_VALUE"""),"SANTOS")</f>
        <v>SANTOS</v>
      </c>
      <c r="D67" s="54" t="str">
        <f>IFERROR(__xludf.DUMMYFUNCTION("""COMPUTED_VALUE"""),"JATZIRI VANESSA")</f>
        <v>JATZIRI VANESSA</v>
      </c>
      <c r="E67" s="55">
        <f>IFERROR(__xludf.DUMMYFUNCTION("""COMPUTED_VALUE"""),8.0)</f>
        <v>8</v>
      </c>
      <c r="F67" s="55">
        <f>IFERROR(__xludf.DUMMYFUNCTION("""COMPUTED_VALUE"""),2.0)</f>
        <v>2</v>
      </c>
      <c r="G67" s="56"/>
      <c r="H67" s="57">
        <f>IFERROR(__xludf.DUMMYFUNCTION("""COMPUTED_VALUE"""),10.0)</f>
        <v>10</v>
      </c>
      <c r="I67" s="69">
        <f>IFERROR(__xludf.DUMMYFUNCTION("""COMPUTED_VALUE"""),0.0)</f>
        <v>0</v>
      </c>
      <c r="J67" s="59">
        <f>IFERROR(__xludf.DUMMYFUNCTION("""COMPUTED_VALUE"""),10.0)</f>
        <v>10</v>
      </c>
      <c r="K67" s="51"/>
      <c r="L67" s="60">
        <f>IFERROR(__xludf.DUMMYFUNCTION("""COMPUTED_VALUE"""),10.0)</f>
        <v>10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70" t="str">
        <f>IFERROR(__xludf.DUMMYFUNCTION("""COMPUTED_VALUE"""),"VELAZQUEZ")</f>
        <v>VELAZQUEZ</v>
      </c>
      <c r="C68" s="53" t="str">
        <f>IFERROR(__xludf.DUMMYFUNCTION("""COMPUTED_VALUE"""),"FIGUEROA")</f>
        <v>FIGUEROA</v>
      </c>
      <c r="D68" s="66" t="str">
        <f>IFERROR(__xludf.DUMMYFUNCTION("""COMPUTED_VALUE"""),"DANAE PAOLA")</f>
        <v>DANAE PAOLA</v>
      </c>
      <c r="E68" s="55">
        <f>IFERROR(__xludf.DUMMYFUNCTION("""COMPUTED_VALUE"""),8.0)</f>
        <v>8</v>
      </c>
      <c r="F68" s="55">
        <f>IFERROR(__xludf.DUMMYFUNCTION("""COMPUTED_VALUE"""),2.0)</f>
        <v>2</v>
      </c>
      <c r="G68" s="56"/>
      <c r="H68" s="57">
        <f>IFERROR(__xludf.DUMMYFUNCTION("""COMPUTED_VALUE"""),10.0)</f>
        <v>10</v>
      </c>
      <c r="I68" s="69">
        <f>IFERROR(__xludf.DUMMYFUNCTION("""COMPUTED_VALUE"""),0.0)</f>
        <v>0</v>
      </c>
      <c r="J68" s="59">
        <f>IFERROR(__xludf.DUMMYFUNCTION("""COMPUTED_VALUE"""),10.0)</f>
        <v>10</v>
      </c>
      <c r="K68" s="51"/>
      <c r="L68" s="60">
        <f>IFERROR(__xludf.DUMMYFUNCTION("""COMPUTED_VALUE"""),10.0)</f>
        <v>10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70" t="str">
        <f>IFERROR(__xludf.DUMMYFUNCTION("""COMPUTED_VALUE"""),"VENEGAS")</f>
        <v>VENEGAS</v>
      </c>
      <c r="C69" s="53" t="str">
        <f>IFERROR(__xludf.DUMMYFUNCTION("""COMPUTED_VALUE"""),"GONZALEZ")</f>
        <v>GONZALEZ</v>
      </c>
      <c r="D69" s="66" t="str">
        <f>IFERROR(__xludf.DUMMYFUNCTION("""COMPUTED_VALUE"""),"SANTIAGO")</f>
        <v>SANTIAGO</v>
      </c>
      <c r="E69" s="55">
        <f>IFERROR(__xludf.DUMMYFUNCTION("""COMPUTED_VALUE"""),8.0)</f>
        <v>8</v>
      </c>
      <c r="F69" s="55">
        <f>IFERROR(__xludf.DUMMYFUNCTION("""COMPUTED_VALUE"""),2.0)</f>
        <v>2</v>
      </c>
      <c r="G69" s="56"/>
      <c r="H69" s="57">
        <f>IFERROR(__xludf.DUMMYFUNCTION("""COMPUTED_VALUE"""),10.0)</f>
        <v>10</v>
      </c>
      <c r="I69" s="69">
        <f>IFERROR(__xludf.DUMMYFUNCTION("""COMPUTED_VALUE"""),0.0)</f>
        <v>0</v>
      </c>
      <c r="J69" s="59">
        <f>IFERROR(__xludf.DUMMYFUNCTION("""COMPUTED_VALUE"""),10.0)</f>
        <v>10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70" t="str">
        <f>IFERROR(__xludf.DUMMYFUNCTION("""COMPUTED_VALUE"""),"ZAMORA")</f>
        <v>ZAMORA</v>
      </c>
      <c r="C70" s="53" t="str">
        <f>IFERROR(__xludf.DUMMYFUNCTION("""COMPUTED_VALUE"""),"SEPULVEDA")</f>
        <v>SEPULVEDA</v>
      </c>
      <c r="D70" s="117" t="str">
        <f>IFERROR(__xludf.DUMMYFUNCTION("""COMPUTED_VALUE"""),"SEBASTIAN")</f>
        <v>SEBASTIAN</v>
      </c>
      <c r="E70" s="55">
        <f>IFERROR(__xludf.DUMMYFUNCTION("""COMPUTED_VALUE"""),7.0)</f>
        <v>7</v>
      </c>
      <c r="F70" s="55">
        <f>IFERROR(__xludf.DUMMYFUNCTION("""COMPUTED_VALUE"""),2.0)</f>
        <v>2</v>
      </c>
      <c r="G70" s="56"/>
      <c r="H70" s="57">
        <f>IFERROR(__xludf.DUMMYFUNCTION("""COMPUTED_VALUE"""),9.0)</f>
        <v>9</v>
      </c>
      <c r="I70" s="55">
        <f>IFERROR(__xludf.DUMMYFUNCTION("""COMPUTED_VALUE"""),0.0)</f>
        <v>0</v>
      </c>
      <c r="J70" s="59">
        <f>IFERROR(__xludf.DUMMYFUNCTION("""COMPUTED_VALUE"""),9.0)</f>
        <v>9</v>
      </c>
      <c r="K70" s="51"/>
      <c r="L70" s="7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72"/>
      <c r="C71" s="72"/>
      <c r="D71" s="72"/>
      <c r="E71" s="73"/>
      <c r="F71" s="72"/>
      <c r="G71" s="72"/>
      <c r="H71" s="72"/>
      <c r="I71" s="72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4"/>
      <c r="B72" s="75" t="str">
        <f>IFERROR(__xludf.DUMMYFUNCTION("""COMPUTED_VALUE"""),"No. DE ALUMNOS INSCRITOS")</f>
        <v>No. DE ALUMNOS INSCRITOS</v>
      </c>
      <c r="C72" s="76"/>
      <c r="D72" s="118">
        <f>IFERROR(__xludf.DUMMYFUNCTION("""COMPUTED_VALUE"""),54.0)</f>
        <v>54</v>
      </c>
      <c r="E72" s="72"/>
      <c r="F72" s="79" t="str">
        <f>IFERROR(__xludf.DUMMYFUNCTION("""COMPUTED_VALUE"""),"FIRMA DEL PROFESOR")</f>
        <v>FIRMA DEL PROFESOR</v>
      </c>
      <c r="G72" s="79"/>
      <c r="H72" s="79" t="str">
        <f>IFERROR(__xludf.DUMMYFUNCTION("""COMPUTED_VALUE"""),"FIRMA DEL ORIENTADOR")</f>
        <v>FIRMA DEL ORIENTADOR</v>
      </c>
      <c r="J72" s="119" t="str">
        <f>IFERROR(__xludf.DUMMYFUNCTION("""COMPUTED_VALUE"""),"Vo. Bo. SUBDIRECCIÓN ESCOLAR")</f>
        <v>Vo. Bo. SUBDIRECCIÓN ESCOLAR</v>
      </c>
      <c r="K72" s="81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4"/>
      <c r="B73" s="82" t="str">
        <f>IFERROR(__xludf.DUMMYFUNCTION("""COMPUTED_VALUE"""),"BAJAS DURANTE EL SEMESTRE")</f>
        <v>BAJAS DURANTE EL SEMESTRE</v>
      </c>
      <c r="C73" s="83"/>
      <c r="D73" s="120">
        <f>IFERROR(__xludf.DUMMYFUNCTION("""COMPUTED_VALUE"""),0.0)</f>
        <v>0</v>
      </c>
      <c r="E73" s="72"/>
      <c r="G73" s="79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4"/>
      <c r="B74" s="82" t="str">
        <f>IFERROR(__xludf.DUMMYFUNCTION("""COMPUTED_VALUE"""),"EXISTENCIA")</f>
        <v>EXISTENCIA</v>
      </c>
      <c r="C74" s="83"/>
      <c r="D74" s="85">
        <f>IFERROR(__xludf.DUMMYFUNCTION("""COMPUTED_VALUE"""),54.0)</f>
        <v>54</v>
      </c>
      <c r="E74" s="72"/>
      <c r="F74" s="86"/>
      <c r="G74" s="87"/>
      <c r="H74" s="86"/>
      <c r="I74" s="86"/>
      <c r="J74" s="88"/>
      <c r="K74" s="8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4"/>
      <c r="B75" s="82" t="str">
        <f>IFERROR(__xludf.DUMMYFUNCTION("""COMPUTED_VALUE"""),"No. DE ALUMNOS APROBADOS")</f>
        <v>No. DE ALUMNOS APROBADOS</v>
      </c>
      <c r="C75" s="83"/>
      <c r="D75" s="85">
        <f>IFERROR(__xludf.DUMMYFUNCTION("""COMPUTED_VALUE"""),52.0)</f>
        <v>52</v>
      </c>
      <c r="E75" s="72"/>
      <c r="F75" s="86"/>
      <c r="G75" s="87"/>
      <c r="H75" s="86"/>
      <c r="I75" s="86"/>
      <c r="J75" s="88"/>
      <c r="K75" s="8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4"/>
      <c r="B76" s="82" t="str">
        <f>IFERROR(__xludf.DUMMYFUNCTION("""COMPUTED_VALUE"""),"No. DE ALUMNOS REPROBADOS")</f>
        <v>No. DE ALUMNOS REPROBADOS</v>
      </c>
      <c r="C76" s="83"/>
      <c r="D76" s="85">
        <f>IFERROR(__xludf.DUMMYFUNCTION("""COMPUTED_VALUE"""),2.0)</f>
        <v>2</v>
      </c>
      <c r="E76" s="72"/>
      <c r="F76" s="90" t="str">
        <f>IFERROR(__xludf.DUMMYFUNCTION("""COMPUTED_VALUE"""),"ROSALVA ANDREA AZPEITIA CORREA")</f>
        <v>ROSALVA ANDREA AZPEITIA CORREA</v>
      </c>
      <c r="G76" s="87"/>
      <c r="H76" s="90"/>
      <c r="I76" s="90"/>
      <c r="J76" s="91"/>
      <c r="K76" s="9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4"/>
      <c r="B77" s="82" t="str">
        <f>IFERROR(__xludf.DUMMYFUNCTION("""COMPUTED_VALUE"""),"% DE APROBADOS")</f>
        <v>% DE APROBADOS</v>
      </c>
      <c r="C77" s="83"/>
      <c r="D77" s="93">
        <f>IFERROR(__xludf.DUMMYFUNCTION("""COMPUTED_VALUE"""),96.29629629629629)</f>
        <v>96.2962963</v>
      </c>
      <c r="E77" s="72"/>
      <c r="F77" s="94" t="str">
        <f>IFERROR(__xludf.DUMMYFUNCTION("""COMPUTED_VALUE"""),"PROFR. ")</f>
        <v>PROFR. </v>
      </c>
      <c r="G77" s="95"/>
      <c r="H77" s="96" t="str">
        <f>IFERROR(__xludf.DUMMYFUNCTION("""COMPUTED_VALUE"""),"PROFRA. SANDRA DIAZ CAMARENA")</f>
        <v>PROFRA. SANDRA DIAZ CAMARENA</v>
      </c>
      <c r="J77" s="96" t="str">
        <f>IFERROR(__xludf.DUMMYFUNCTION("""COMPUTED_VALUE"""),"PROFR. OCTAVIO VÁZQUEZ BARRETO")</f>
        <v>PROFR. OCTAVIO VÁZQUEZ BARRETO</v>
      </c>
      <c r="K77" s="97" t="str">
        <f>IFERROR(__xludf.DUMMYFUNCTION("""COMPUTED_VALUE"""),"PROFR. ROBERTO PALOMARES MEJÍA ")</f>
        <v>PROFR. ROBERTO PALOMARES MEJÍA </v>
      </c>
      <c r="L77" s="9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4"/>
      <c r="B78" s="99" t="str">
        <f>IFERROR(__xludf.DUMMYFUNCTION("""COMPUTED_VALUE"""),"PROMEDIO")</f>
        <v>PROMEDIO</v>
      </c>
      <c r="C78" s="100"/>
      <c r="D78" s="101">
        <f>IFERROR(__xludf.DUMMYFUNCTION("""COMPUTED_VALUE"""),9.75925925925926)</f>
        <v>9.759259259</v>
      </c>
      <c r="E78" s="72"/>
      <c r="G78" s="95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02"/>
      <c r="B80" s="103"/>
      <c r="C80" s="104"/>
      <c r="D80" s="104"/>
      <c r="E80" s="72"/>
      <c r="G80" s="7"/>
      <c r="H80" s="7"/>
      <c r="I80" s="7"/>
      <c r="J80" s="7"/>
      <c r="K80" s="105"/>
      <c r="L80" s="10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7"/>
      <c r="B81" s="72"/>
      <c r="C81" s="72"/>
      <c r="D81" s="72"/>
      <c r="E81" s="7"/>
      <c r="F81" s="1"/>
      <c r="G81" s="1"/>
      <c r="H81" s="1"/>
      <c r="I81" s="1"/>
      <c r="J81" s="1"/>
      <c r="K81" s="8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7"/>
      <c r="B82" s="72"/>
      <c r="C82" s="72"/>
      <c r="D82" s="72"/>
      <c r="E82" s="7"/>
      <c r="F82" s="1"/>
      <c r="G82" s="1"/>
      <c r="H82" s="1"/>
      <c r="I82" s="1"/>
      <c r="J82" s="1"/>
      <c r="K82" s="8"/>
      <c r="L82" s="10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9"/>
      <c r="B83" s="110"/>
      <c r="C83" s="110"/>
      <c r="D83" s="110"/>
      <c r="E83" s="111"/>
      <c r="F83" s="112"/>
      <c r="G83" s="112"/>
      <c r="H83" s="112"/>
      <c r="I83" s="112"/>
      <c r="J83" s="112"/>
      <c r="K83" s="113"/>
      <c r="L83" s="10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4"/>
      <c r="C84" s="114"/>
      <c r="D84" s="114"/>
      <c r="E84" s="114"/>
      <c r="F84" s="1"/>
      <c r="G84" s="1"/>
      <c r="H84" s="1"/>
      <c r="I84" s="1"/>
      <c r="J84" s="115"/>
      <c r="K84" s="115"/>
      <c r="L84" s="11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4"/>
      <c r="C85" s="114"/>
      <c r="D85" s="114"/>
      <c r="E85" s="114"/>
      <c r="F85" s="1"/>
      <c r="G85" s="1"/>
      <c r="H85" s="1"/>
      <c r="I85" s="1"/>
      <c r="J85" s="115"/>
      <c r="K85" s="115"/>
      <c r="L85" s="11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4"/>
      <c r="C86" s="114"/>
      <c r="D86" s="114"/>
      <c r="E86" s="114"/>
      <c r="F86" s="1"/>
      <c r="G86" s="1"/>
      <c r="H86" s="1"/>
      <c r="I86" s="1"/>
      <c r="J86" s="115"/>
      <c r="K86" s="115"/>
      <c r="L86" s="11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4"/>
      <c r="C87" s="114"/>
      <c r="D87" s="114"/>
      <c r="E87" s="114"/>
      <c r="F87" s="1"/>
      <c r="G87" s="1"/>
      <c r="H87" s="1"/>
      <c r="I87" s="1"/>
      <c r="J87" s="115"/>
      <c r="K87" s="115"/>
      <c r="L87" s="11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4"/>
      <c r="C88" s="114"/>
      <c r="D88" s="114"/>
      <c r="E88" s="1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4"/>
      <c r="C89" s="114"/>
      <c r="D89" s="114"/>
      <c r="E89" s="114"/>
      <c r="F89" s="1"/>
      <c r="G89" s="1"/>
      <c r="H89" s="1"/>
      <c r="I89" s="1"/>
      <c r="J89" s="1"/>
      <c r="K89" s="11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4"/>
      <c r="C90" s="114"/>
      <c r="D90" s="114"/>
      <c r="E90" s="11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4"/>
      <c r="C91" s="114"/>
      <c r="D91" s="114"/>
      <c r="E91" s="11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4"/>
      <c r="C92" s="114"/>
      <c r="D92" s="114"/>
      <c r="E92" s="11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4"/>
      <c r="C93" s="114"/>
      <c r="D93" s="114"/>
      <c r="E93" s="11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4"/>
      <c r="C94" s="114"/>
      <c r="D94" s="114"/>
      <c r="E94" s="11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4"/>
      <c r="C95" s="114"/>
      <c r="D95" s="114"/>
      <c r="E95" s="11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IFERROR(__xludf.DUMMYFUNCTION("IMPORTRANGE(""https://docs.google.com/spreadsheets/d/1Suc2qopRVVxybDoozbhYI-3fnXdSLY03Ab-qquDqzzQ/edit?gid=868681460#gid=868681460"",""1-3 ciencias naturales experimentales y tecnologia!A1:Q86"")"),"")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IFERROR(__xludf.DUMMYFUNCTION("""COMPUTED_VALUE"""),"LINARES FLORES ARACELI")</f>
        <v>LINARES FLORES ARACELI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IFERROR(__xludf.DUMMYFUNCTION("""COMPUTED_VALUE"""),"CIENCIAS NATURALES EXPERIMENTALES Y TECNOLOGÍA II")</f>
        <v>CIENCIAS NATURALES EXPERIMENTALES Y TECNOLOGÍA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IFERROR(__xludf.DUMMYFUNCTION("""COMPUTED_VALUE"""),"VARELA")</f>
        <v>VARELA</v>
      </c>
      <c r="D17" s="54" t="str">
        <f>IFERROR(__xludf.DUMMYFUNCTION("""COMPUTED_VALUE"""),"ISAIAS HAZAEL")</f>
        <v>ISAIAS HAZAEL</v>
      </c>
      <c r="E17" s="55">
        <f>IFERROR(__xludf.DUMMYFUNCTION("""COMPUTED_VALUE"""),5.0)</f>
        <v>5</v>
      </c>
      <c r="F17" s="55">
        <f>IFERROR(__xludf.DUMMYFUNCTION("""COMPUTED_VALUE"""),2.0)</f>
        <v>2</v>
      </c>
      <c r="G17" s="56"/>
      <c r="H17" s="57">
        <f>IFERROR(__xludf.DUMMYFUNCTION("""COMPUTED_VALUE"""),7.0)</f>
        <v>7</v>
      </c>
      <c r="I17" s="58">
        <f>IFERROR(__xludf.DUMMYFUNCTION("""COMPUTED_VALUE"""),0.0)</f>
        <v>0</v>
      </c>
      <c r="J17" s="59">
        <f>IFERROR(__xludf.DUMMYFUNCTION("""COMPUTED_VALUE"""),7.0)</f>
        <v>7</v>
      </c>
      <c r="K17" s="60"/>
      <c r="L17" s="61">
        <f>IFERROR(__xludf.DUMMYFUNCTION("""COMPUTED_VALUE"""),7.0)</f>
        <v>7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IFERROR(__xludf.DUMMYFUNCTION("""COMPUTED_VALUE"""),"ANDRADE")</f>
        <v>ANDRADE</v>
      </c>
      <c r="C18" s="53" t="str">
        <f>IFERROR(__xludf.DUMMYFUNCTION("""COMPUTED_VALUE"""),"LOPEZ")</f>
        <v>LOPEZ</v>
      </c>
      <c r="D18" s="54" t="str">
        <f>IFERROR(__xludf.DUMMYFUNCTION("""COMPUTED_VALUE"""),"DAVID EMILIANO")</f>
        <v>DAVID EMILIANO</v>
      </c>
      <c r="E18" s="55">
        <f>IFERROR(__xludf.DUMMYFUNCTION("""COMPUTED_VALUE"""),6.0)</f>
        <v>6</v>
      </c>
      <c r="F18" s="55">
        <f>IFERROR(__xludf.DUMMYFUNCTION("""COMPUTED_VALUE"""),2.0)</f>
        <v>2</v>
      </c>
      <c r="G18" s="56"/>
      <c r="H18" s="57">
        <f>IFERROR(__xludf.DUMMYFUNCTION("""COMPUTED_VALUE"""),8.0)</f>
        <v>8</v>
      </c>
      <c r="I18" s="58">
        <f>IFERROR(__xludf.DUMMYFUNCTION("""COMPUTED_VALUE"""),0.0)</f>
        <v>0</v>
      </c>
      <c r="J18" s="59">
        <f>IFERROR(__xludf.DUMMYFUNCTION("""COMPUTED_VALUE"""),8.0)</f>
        <v>8</v>
      </c>
      <c r="K18" s="51"/>
      <c r="L18" s="61">
        <f>IFERROR(__xludf.DUMMYFUNCTION("""COMPUTED_VALUE"""),8.0)</f>
        <v>8</v>
      </c>
      <c r="M18" s="1" t="str">
        <f>IFERROR(__xludf.DUMMYFUNCTION("""COMPUTED_VALUE"""),"Febrero")</f>
        <v>Febrero</v>
      </c>
      <c r="N18" s="1">
        <f>IFERROR(__xludf.DUMMYFUNCTION("""COMPUTED_VALUE"""),10.0)</f>
        <v>10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IFERROR(__xludf.DUMMYFUNCTION("""COMPUTED_VALUE"""),"ARELLANO")</f>
        <v>ARELLANO</v>
      </c>
      <c r="C19" s="53" t="str">
        <f>IFERROR(__xludf.DUMMYFUNCTION("""COMPUTED_VALUE"""),"RAMIREZ")</f>
        <v>RAMIREZ</v>
      </c>
      <c r="D19" s="54" t="str">
        <f>IFERROR(__xludf.DUMMYFUNCTION("""COMPUTED_VALUE"""),"ALEJANDRO")</f>
        <v>ALEJANDRO</v>
      </c>
      <c r="E19" s="56">
        <f>IFERROR(__xludf.DUMMYFUNCTION("""COMPUTED_VALUE"""),5.0)</f>
        <v>5</v>
      </c>
      <c r="F19" s="55">
        <f>IFERROR(__xludf.DUMMYFUNCTION("""COMPUTED_VALUE"""),2.0)</f>
        <v>2</v>
      </c>
      <c r="G19" s="56"/>
      <c r="H19" s="57">
        <f>IFERROR(__xludf.DUMMYFUNCTION("""COMPUTED_VALUE"""),7.0)</f>
        <v>7</v>
      </c>
      <c r="I19" s="58">
        <f>IFERROR(__xludf.DUMMYFUNCTION("""COMPUTED_VALUE"""),0.0)</f>
        <v>0</v>
      </c>
      <c r="J19" s="59">
        <f>IFERROR(__xludf.DUMMYFUNCTION("""COMPUTED_VALUE"""),7.0)</f>
        <v>7</v>
      </c>
      <c r="K19" s="51"/>
      <c r="L19" s="61">
        <f>IFERROR(__xludf.DUMMYFUNCTION("""COMPUTED_VALUE"""),7.0)</f>
        <v>7</v>
      </c>
      <c r="M19" s="1" t="str">
        <f>IFERROR(__xludf.DUMMYFUNCTION("""COMPUTED_VALUE"""),"Marzo")</f>
        <v>Marzo</v>
      </c>
      <c r="N19" s="1">
        <f>IFERROR(__xludf.DUMMYFUNCTION("""COMPUTED_VALUE"""),14.0)</f>
        <v>14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IFERROR(__xludf.DUMMYFUNCTION("""COMPUTED_VALUE"""),"AVILA")</f>
        <v>AVILA</v>
      </c>
      <c r="C20" s="53" t="str">
        <f>IFERROR(__xludf.DUMMYFUNCTION("""COMPUTED_VALUE"""),"GARCIA")</f>
        <v>GARCIA</v>
      </c>
      <c r="D20" s="54" t="str">
        <f>IFERROR(__xludf.DUMMYFUNCTION("""COMPUTED_VALUE"""),"PARIS PAOLETTE")</f>
        <v>PARIS PAOLETTE</v>
      </c>
      <c r="E20" s="55">
        <f>IFERROR(__xludf.DUMMYFUNCTION("""COMPUTED_VALUE"""),7.0)</f>
        <v>7</v>
      </c>
      <c r="F20" s="55">
        <f>IFERROR(__xludf.DUMMYFUNCTION("""COMPUTED_VALUE"""),2.0)</f>
        <v>2</v>
      </c>
      <c r="G20" s="56"/>
      <c r="H20" s="57">
        <f>IFERROR(__xludf.DUMMYFUNCTION("""COMPUTED_VALUE"""),9.0)</f>
        <v>9</v>
      </c>
      <c r="I20" s="58">
        <f>IFERROR(__xludf.DUMMYFUNCTION("""COMPUTED_VALUE"""),1.0)</f>
        <v>1</v>
      </c>
      <c r="J20" s="59">
        <f>IFERROR(__xludf.DUMMYFUNCTION("""COMPUTED_VALUE"""),9.0)</f>
        <v>9</v>
      </c>
      <c r="K20" s="51"/>
      <c r="L20" s="61">
        <f>IFERROR(__xludf.DUMMYFUNCTION("""COMPUTED_VALUE"""),9.0)</f>
        <v>9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IFERROR(__xludf.DUMMYFUNCTION("""COMPUTED_VALUE"""),"BARRERA")</f>
        <v>BARRERA</v>
      </c>
      <c r="C21" s="62"/>
      <c r="D21" s="54" t="str">
        <f>IFERROR(__xludf.DUMMYFUNCTION("""COMPUTED_VALUE"""),"NAEEM")</f>
        <v>NAEEM</v>
      </c>
      <c r="E21" s="55">
        <f>IFERROR(__xludf.DUMMYFUNCTION("""COMPUTED_VALUE"""),7.0)</f>
        <v>7</v>
      </c>
      <c r="F21" s="55">
        <f>IFERROR(__xludf.DUMMYFUNCTION("""COMPUTED_VALUE"""),2.0)</f>
        <v>2</v>
      </c>
      <c r="G21" s="56"/>
      <c r="H21" s="57">
        <f>IFERROR(__xludf.DUMMYFUNCTION("""COMPUTED_VALUE"""),9.0)</f>
        <v>9</v>
      </c>
      <c r="I21" s="58">
        <f>IFERROR(__xludf.DUMMYFUNCTION("""COMPUTED_VALUE"""),0.0)</f>
        <v>0</v>
      </c>
      <c r="J21" s="59">
        <f>IFERROR(__xludf.DUMMYFUNCTION("""COMPUTED_VALUE"""),9.0)</f>
        <v>9</v>
      </c>
      <c r="K21" s="51"/>
      <c r="L21" s="61">
        <f>IFERROR(__xludf.DUMMYFUNCTION("""COMPUTED_VALUE"""),9.0)</f>
        <v>9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3" t="str">
        <f>IFERROR(__xludf.DUMMYFUNCTION("""COMPUTED_VALUE"""),"BLANCO")</f>
        <v>BLANCO</v>
      </c>
      <c r="C22" s="53" t="str">
        <f>IFERROR(__xludf.DUMMYFUNCTION("""COMPUTED_VALUE"""),"JARAMILLO")</f>
        <v>JARAMILLO</v>
      </c>
      <c r="D22" s="54" t="str">
        <f>IFERROR(__xludf.DUMMYFUNCTION("""COMPUTED_VALUE"""),"INGRID NATALIA")</f>
        <v>INGRID NATALIA</v>
      </c>
      <c r="E22" s="55">
        <f>IFERROR(__xludf.DUMMYFUNCTION("""COMPUTED_VALUE"""),8.0)</f>
        <v>8</v>
      </c>
      <c r="F22" s="55">
        <f>IFERROR(__xludf.DUMMYFUNCTION("""COMPUTED_VALUE"""),2.0)</f>
        <v>2</v>
      </c>
      <c r="G22" s="56"/>
      <c r="H22" s="57">
        <f>IFERROR(__xludf.DUMMYFUNCTION("""COMPUTED_VALUE"""),10.0)</f>
        <v>10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IFERROR(__xludf.DUMMYFUNCTION("""COMPUTED_VALUE"""),10.0)</f>
        <v>10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IFERROR(__xludf.DUMMYFUNCTION("""COMPUTED_VALUE"""),"CARLOS")</f>
        <v>CARLOS</v>
      </c>
      <c r="C23" s="53" t="str">
        <f>IFERROR(__xludf.DUMMYFUNCTION("""COMPUTED_VALUE"""),"DE LA CRUZ")</f>
        <v>DE LA CRUZ</v>
      </c>
      <c r="D23" s="54" t="str">
        <f>IFERROR(__xludf.DUMMYFUNCTION("""COMPUTED_VALUE"""),"JAVIER")</f>
        <v>JAVIER</v>
      </c>
      <c r="E23" s="55">
        <f>IFERROR(__xludf.DUMMYFUNCTION("""COMPUTED_VALUE"""),7.0)</f>
        <v>7</v>
      </c>
      <c r="F23" s="55">
        <f>IFERROR(__xludf.DUMMYFUNCTION("""COMPUTED_VALUE"""),2.0)</f>
        <v>2</v>
      </c>
      <c r="G23" s="56"/>
      <c r="H23" s="57">
        <f>IFERROR(__xludf.DUMMYFUNCTION("""COMPUTED_VALUE"""),9.0)</f>
        <v>9</v>
      </c>
      <c r="I23" s="58">
        <f>IFERROR(__xludf.DUMMYFUNCTION("""COMPUTED_VALUE"""),0.0)</f>
        <v>0</v>
      </c>
      <c r="J23" s="59">
        <f>IFERROR(__xludf.DUMMYFUNCTION("""COMPUTED_VALUE"""),9.0)</f>
        <v>9</v>
      </c>
      <c r="K23" s="51"/>
      <c r="L23" s="61">
        <f>IFERROR(__xludf.DUMMYFUNCTION("""COMPUTED_VALUE"""),9.0)</f>
        <v>9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IFERROR(__xludf.DUMMYFUNCTION("""COMPUTED_VALUE"""),"CARRICHE")</f>
        <v>CARRICHE</v>
      </c>
      <c r="C24" s="53" t="str">
        <f>IFERROR(__xludf.DUMMYFUNCTION("""COMPUTED_VALUE"""),"HERNANDEZ")</f>
        <v>HERNANDEZ</v>
      </c>
      <c r="D24" s="54" t="str">
        <f>IFERROR(__xludf.DUMMYFUNCTION("""COMPUTED_VALUE"""),"DIEGO IVAN")</f>
        <v>DIEGO IVAN</v>
      </c>
      <c r="E24" s="56">
        <f>IFERROR(__xludf.DUMMYFUNCTION("""COMPUTED_VALUE"""),7.0)</f>
        <v>7</v>
      </c>
      <c r="F24" s="55">
        <f>IFERROR(__xludf.DUMMYFUNCTION("""COMPUTED_VALUE"""),2.0)</f>
        <v>2</v>
      </c>
      <c r="G24" s="56"/>
      <c r="H24" s="57">
        <f>IFERROR(__xludf.DUMMYFUNCTION("""COMPUTED_VALUE"""),9.0)</f>
        <v>9</v>
      </c>
      <c r="I24" s="58">
        <f>IFERROR(__xludf.DUMMYFUNCTION("""COMPUTED_VALUE"""),0.0)</f>
        <v>0</v>
      </c>
      <c r="J24" s="59">
        <f>IFERROR(__xludf.DUMMYFUNCTION("""COMPUTED_VALUE"""),9.0)</f>
        <v>9</v>
      </c>
      <c r="K24" s="51"/>
      <c r="L24" s="61">
        <f>IFERROR(__xludf.DUMMYFUNCTION("""COMPUTED_VALUE"""),9.0)</f>
        <v>9</v>
      </c>
      <c r="M24" s="1" t="str">
        <f>IFERROR(__xludf.DUMMYFUNCTION("""COMPUTED_VALUE"""),"TOTAL")</f>
        <v>TOTAL</v>
      </c>
      <c r="N24" s="1">
        <f>IFERROR(__xludf.DUMMYFUNCTION("""COMPUTED_VALUE"""),24.0)</f>
        <v>24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IFERROR(__xludf.DUMMYFUNCTION("""COMPUTED_VALUE"""),"CASTILLO")</f>
        <v>CASTILLO</v>
      </c>
      <c r="C25" s="53" t="str">
        <f>IFERROR(__xludf.DUMMYFUNCTION("""COMPUTED_VALUE"""),"DOMINGUEZ")</f>
        <v>DOMINGUEZ</v>
      </c>
      <c r="D25" s="54" t="str">
        <f>IFERROR(__xludf.DUMMYFUNCTION("""COMPUTED_VALUE"""),"EMANUEL")</f>
        <v>EMANUEL</v>
      </c>
      <c r="E25" s="55">
        <f>IFERROR(__xludf.DUMMYFUNCTION("""COMPUTED_VALUE"""),5.0)</f>
        <v>5</v>
      </c>
      <c r="F25" s="55">
        <f>IFERROR(__xludf.DUMMYFUNCTION("""COMPUTED_VALUE"""),2.0)</f>
        <v>2</v>
      </c>
      <c r="G25" s="56"/>
      <c r="H25" s="57">
        <f>IFERROR(__xludf.DUMMYFUNCTION("""COMPUTED_VALUE"""),7.0)</f>
        <v>7</v>
      </c>
      <c r="I25" s="58">
        <f>IFERROR(__xludf.DUMMYFUNCTION("""COMPUTED_VALUE"""),0.0)</f>
        <v>0</v>
      </c>
      <c r="J25" s="59">
        <f>IFERROR(__xludf.DUMMYFUNCTION("""COMPUTED_VALUE"""),7.0)</f>
        <v>7</v>
      </c>
      <c r="K25" s="51"/>
      <c r="L25" s="61">
        <f>IFERROR(__xludf.DUMMYFUNCTION("""COMPUTED_VALUE"""),7.0)</f>
        <v>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IFERROR(__xludf.DUMMYFUNCTION("""COMPUTED_VALUE"""),"COMO")</f>
        <v>COMO</v>
      </c>
      <c r="C26" s="53" t="str">
        <f>IFERROR(__xludf.DUMMYFUNCTION("""COMPUTED_VALUE"""),"MONTOYA")</f>
        <v>MONTOYA</v>
      </c>
      <c r="D26" s="54" t="str">
        <f>IFERROR(__xludf.DUMMYFUNCTION("""COMPUTED_VALUE"""),"ANGEL GIOVANNY")</f>
        <v>ANGEL GIOVANNY</v>
      </c>
      <c r="E26" s="56">
        <f>IFERROR(__xludf.DUMMYFUNCTION("""COMPUTED_VALUE"""),5.0)</f>
        <v>5</v>
      </c>
      <c r="F26" s="55">
        <f>IFERROR(__xludf.DUMMYFUNCTION("""COMPUTED_VALUE"""),2.0)</f>
        <v>2</v>
      </c>
      <c r="G26" s="56"/>
      <c r="H26" s="57">
        <f>IFERROR(__xludf.DUMMYFUNCTION("""COMPUTED_VALUE"""),7.0)</f>
        <v>7</v>
      </c>
      <c r="I26" s="58">
        <f>IFERROR(__xludf.DUMMYFUNCTION("""COMPUTED_VALUE"""),0.0)</f>
        <v>0</v>
      </c>
      <c r="J26" s="59">
        <f>IFERROR(__xludf.DUMMYFUNCTION("""COMPUTED_VALUE"""),7.0)</f>
        <v>7</v>
      </c>
      <c r="K26" s="51"/>
      <c r="L26" s="61">
        <f>IFERROR(__xludf.DUMMYFUNCTION("""COMPUTED_VALUE"""),7.0)</f>
        <v>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IFERROR(__xludf.DUMMYFUNCTION("""COMPUTED_VALUE"""),"CORTES")</f>
        <v>CORTES</v>
      </c>
      <c r="C27" s="53" t="str">
        <f>IFERROR(__xludf.DUMMYFUNCTION("""COMPUTED_VALUE"""),"VAZQUEZ")</f>
        <v>VAZQUEZ</v>
      </c>
      <c r="D27" s="53" t="str">
        <f>IFERROR(__xludf.DUMMYFUNCTION("""COMPUTED_VALUE"""),"ZULEIMA")</f>
        <v>ZULEIMA</v>
      </c>
      <c r="E27" s="55">
        <f>IFERROR(__xludf.DUMMYFUNCTION("""COMPUTED_VALUE"""),5.0)</f>
        <v>5</v>
      </c>
      <c r="F27" s="55">
        <f>IFERROR(__xludf.DUMMYFUNCTION("""COMPUTED_VALUE"""),2.0)</f>
        <v>2</v>
      </c>
      <c r="G27" s="56"/>
      <c r="H27" s="57">
        <f>IFERROR(__xludf.DUMMYFUNCTION("""COMPUTED_VALUE"""),7.0)</f>
        <v>7</v>
      </c>
      <c r="I27" s="58">
        <f>IFERROR(__xludf.DUMMYFUNCTION("""COMPUTED_VALUE"""),0.0)</f>
        <v>0</v>
      </c>
      <c r="J27" s="59">
        <f>IFERROR(__xludf.DUMMYFUNCTION("""COMPUTED_VALUE"""),7.0)</f>
        <v>7</v>
      </c>
      <c r="K27" s="51"/>
      <c r="L27" s="61">
        <f>IFERROR(__xludf.DUMMYFUNCTION("""COMPUTED_VALUE"""),7.0)</f>
        <v>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IFERROR(__xludf.DUMMYFUNCTION("""COMPUTED_VALUE"""),"CRUZ")</f>
        <v>CRUZ</v>
      </c>
      <c r="C28" s="53" t="str">
        <f>IFERROR(__xludf.DUMMYFUNCTION("""COMPUTED_VALUE"""),"BAUTISTA")</f>
        <v>BAUTISTA</v>
      </c>
      <c r="D28" s="54" t="str">
        <f>IFERROR(__xludf.DUMMYFUNCTION("""COMPUTED_VALUE"""),"YAEL ABDIEL")</f>
        <v>YAEL ABDIEL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/>
      <c r="H28" s="57">
        <f>IFERROR(__xludf.DUMMYFUNCTION("""COMPUTED_VALUE"""),10.0)</f>
        <v>10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3" t="str">
        <f>IFERROR(__xludf.DUMMYFUNCTION("""COMPUTED_VALUE"""),"NUÑEZ")</f>
        <v>NUÑEZ</v>
      </c>
      <c r="D29" s="54" t="str">
        <f>IFERROR(__xludf.DUMMYFUNCTION("""COMPUTED_VALUE"""),"XIMENA LIZVET")</f>
        <v>XIMENA LIZVET</v>
      </c>
      <c r="E29" s="55">
        <f>IFERROR(__xludf.DUMMYFUNCTION("""COMPUTED_VALUE"""),8.0)</f>
        <v>8</v>
      </c>
      <c r="F29" s="55">
        <f>IFERROR(__xludf.DUMMYFUNCTION("""COMPUTED_VALUE"""),2.0)</f>
        <v>2</v>
      </c>
      <c r="G29" s="56"/>
      <c r="H29" s="57">
        <f>IFERROR(__xludf.DUMMYFUNCTION("""COMPUTED_VALUE"""),10.0)</f>
        <v>10</v>
      </c>
      <c r="I29" s="58">
        <f>IFERROR(__xludf.DUMMYFUNCTION("""COMPUTED_VALUE"""),0.0)</f>
        <v>0</v>
      </c>
      <c r="J29" s="59">
        <f>IFERROR(__xludf.DUMMYFUNCTION("""COMPUTED_VALUE"""),10.0)</f>
        <v>10</v>
      </c>
      <c r="K29" s="51"/>
      <c r="L29" s="61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IFERROR(__xludf.DUMMYFUNCTION("""COMPUTED_VALUE"""),"DE JESUS")</f>
        <v>DE JESUS</v>
      </c>
      <c r="C30" s="53" t="str">
        <f>IFERROR(__xludf.DUMMYFUNCTION("""COMPUTED_VALUE"""),"GONZALEZ")</f>
        <v>GONZALEZ</v>
      </c>
      <c r="D30" s="54" t="str">
        <f>IFERROR(__xludf.DUMMYFUNCTION("""COMPUTED_VALUE"""),"SHARON NOEMI")</f>
        <v>SHARON NOEMI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/>
      <c r="H30" s="57">
        <f>IFERROR(__xludf.DUMMYFUNCTION("""COMPUTED_VALUE"""),10.0)</f>
        <v>10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IFERROR(__xludf.DUMMYFUNCTION("""COMPUTED_VALUE"""),"DE SANTIAGO")</f>
        <v>DE SANTIAGO</v>
      </c>
      <c r="C31" s="64" t="str">
        <f>IFERROR(__xludf.DUMMYFUNCTION("""COMPUTED_VALUE"""),"SANCHEZ")</f>
        <v>SANCHEZ</v>
      </c>
      <c r="D31" s="54" t="str">
        <f>IFERROR(__xludf.DUMMYFUNCTION("""COMPUTED_VALUE"""),"OSCAR")</f>
        <v>OSCAR</v>
      </c>
      <c r="E31" s="56">
        <f>IFERROR(__xludf.DUMMYFUNCTION("""COMPUTED_VALUE"""),7.0)</f>
        <v>7</v>
      </c>
      <c r="F31" s="55">
        <f>IFERROR(__xludf.DUMMYFUNCTION("""COMPUTED_VALUE"""),2.0)</f>
        <v>2</v>
      </c>
      <c r="G31" s="56"/>
      <c r="H31" s="57">
        <f>IFERROR(__xludf.DUMMYFUNCTION("""COMPUTED_VALUE"""),9.0)</f>
        <v>9</v>
      </c>
      <c r="I31" s="58">
        <f>IFERROR(__xludf.DUMMYFUNCTION("""COMPUTED_VALUE"""),0.0)</f>
        <v>0</v>
      </c>
      <c r="J31" s="59">
        <f>IFERROR(__xludf.DUMMYFUNCTION("""COMPUTED_VALUE"""),9.0)</f>
        <v>9</v>
      </c>
      <c r="K31" s="51"/>
      <c r="L31" s="61">
        <f>IFERROR(__xludf.DUMMYFUNCTION("""COMPUTED_VALUE"""),9.0)</f>
        <v>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IFERROR(__xludf.DUMMYFUNCTION("""COMPUTED_VALUE"""),"DOMINGUEZ")</f>
        <v>DOMINGUEZ</v>
      </c>
      <c r="C32" s="53" t="str">
        <f>IFERROR(__xludf.DUMMYFUNCTION("""COMPUTED_VALUE"""),"RODRIGUEZ")</f>
        <v>RODRIGUEZ</v>
      </c>
      <c r="D32" s="54" t="str">
        <f>IFERROR(__xludf.DUMMYFUNCTION("""COMPUTED_VALUE"""),"ISABELLA VICTORIA")</f>
        <v>ISABELLA VICTORIA</v>
      </c>
      <c r="E32" s="55">
        <f>IFERROR(__xludf.DUMMYFUNCTION("""COMPUTED_VALUE"""),6.0)</f>
        <v>6</v>
      </c>
      <c r="F32" s="55">
        <f>IFERROR(__xludf.DUMMYFUNCTION("""COMPUTED_VALUE"""),2.0)</f>
        <v>2</v>
      </c>
      <c r="G32" s="56"/>
      <c r="H32" s="57">
        <f>IFERROR(__xludf.DUMMYFUNCTION("""COMPUTED_VALUE"""),8.0)</f>
        <v>8</v>
      </c>
      <c r="I32" s="58">
        <f>IFERROR(__xludf.DUMMYFUNCTION("""COMPUTED_VALUE"""),0.0)</f>
        <v>0</v>
      </c>
      <c r="J32" s="59">
        <f>IFERROR(__xludf.DUMMYFUNCTION("""COMPUTED_VALUE"""),8.0)</f>
        <v>8</v>
      </c>
      <c r="K32" s="51"/>
      <c r="L32" s="61">
        <f>IFERROR(__xludf.DUMMYFUNCTION("""COMPUTED_VALUE"""),8.0)</f>
        <v>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IFERROR(__xludf.DUMMYFUNCTION("""COMPUTED_VALUE"""),"ESLAVA")</f>
        <v>ESLAVA</v>
      </c>
      <c r="C33" s="53" t="str">
        <f>IFERROR(__xludf.DUMMYFUNCTION("""COMPUTED_VALUE"""),"CEDILLO")</f>
        <v>CEDILLO</v>
      </c>
      <c r="D33" s="54" t="str">
        <f>IFERROR(__xludf.DUMMYFUNCTION("""COMPUTED_VALUE"""),"DIEGO EVERARDO")</f>
        <v>DIEGO EVERARDO</v>
      </c>
      <c r="E33" s="55">
        <f>IFERROR(__xludf.DUMMYFUNCTION("""COMPUTED_VALUE"""),5.0)</f>
        <v>5</v>
      </c>
      <c r="F33" s="55">
        <f>IFERROR(__xludf.DUMMYFUNCTION("""COMPUTED_VALUE"""),2.0)</f>
        <v>2</v>
      </c>
      <c r="G33" s="56"/>
      <c r="H33" s="57">
        <f>IFERROR(__xludf.DUMMYFUNCTION("""COMPUTED_VALUE"""),7.0)</f>
        <v>7</v>
      </c>
      <c r="I33" s="58">
        <f>IFERROR(__xludf.DUMMYFUNCTION("""COMPUTED_VALUE"""),2.0)</f>
        <v>2</v>
      </c>
      <c r="J33" s="59">
        <f>IFERROR(__xludf.DUMMYFUNCTION("""COMPUTED_VALUE"""),7.0)</f>
        <v>7</v>
      </c>
      <c r="K33" s="51"/>
      <c r="L33" s="61">
        <f>IFERROR(__xludf.DUMMYFUNCTION("""COMPUTED_VALUE"""),7.0)</f>
        <v>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IFERROR(__xludf.DUMMYFUNCTION("""COMPUTED_VALUE"""),"FLORES")</f>
        <v>FLORES</v>
      </c>
      <c r="C34" s="53" t="str">
        <f>IFERROR(__xludf.DUMMYFUNCTION("""COMPUTED_VALUE"""),"GARCIA")</f>
        <v>GARCIA</v>
      </c>
      <c r="D34" s="54" t="str">
        <f>IFERROR(__xludf.DUMMYFUNCTION("""COMPUTED_VALUE"""),"BYRON ALBERTO")</f>
        <v>BYRON ALBERTO</v>
      </c>
      <c r="E34" s="56">
        <f>IFERROR(__xludf.DUMMYFUNCTION("""COMPUTED_VALUE"""),7.0)</f>
        <v>7</v>
      </c>
      <c r="F34" s="55">
        <f>IFERROR(__xludf.DUMMYFUNCTION("""COMPUTED_VALUE"""),2.0)</f>
        <v>2</v>
      </c>
      <c r="G34" s="56"/>
      <c r="H34" s="57">
        <f>IFERROR(__xludf.DUMMYFUNCTION("""COMPUTED_VALUE"""),9.0)</f>
        <v>9</v>
      </c>
      <c r="I34" s="58">
        <f>IFERROR(__xludf.DUMMYFUNCTION("""COMPUTED_VALUE"""),1.0)</f>
        <v>1</v>
      </c>
      <c r="J34" s="59">
        <f>IFERROR(__xludf.DUMMYFUNCTION("""COMPUTED_VALUE"""),9.0)</f>
        <v>9</v>
      </c>
      <c r="K34" s="51"/>
      <c r="L34" s="61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IFERROR(__xludf.DUMMYFUNCTION("""COMPUTED_VALUE"""),"GARCIA")</f>
        <v>GARCIA</v>
      </c>
      <c r="C35" s="53" t="str">
        <f>IFERROR(__xludf.DUMMYFUNCTION("""COMPUTED_VALUE"""),"ESCOBAR")</f>
        <v>ESCOBAR</v>
      </c>
      <c r="D35" s="54" t="str">
        <f>IFERROR(__xludf.DUMMYFUNCTION("""COMPUTED_VALUE"""),"DALIA ANGELINA")</f>
        <v>DALIA ANGELINA</v>
      </c>
      <c r="E35" s="55">
        <f>IFERROR(__xludf.DUMMYFUNCTION("""COMPUTED_VALUE"""),4.0)</f>
        <v>4</v>
      </c>
      <c r="F35" s="55">
        <f>IFERROR(__xludf.DUMMYFUNCTION("""COMPUTED_VALUE"""),2.0)</f>
        <v>2</v>
      </c>
      <c r="G35" s="56"/>
      <c r="H35" s="57">
        <f>IFERROR(__xludf.DUMMYFUNCTION("""COMPUTED_VALUE"""),6.0)</f>
        <v>6</v>
      </c>
      <c r="I35" s="58">
        <f>IFERROR(__xludf.DUMMYFUNCTION("""COMPUTED_VALUE"""),0.0)</f>
        <v>0</v>
      </c>
      <c r="J35" s="59">
        <f>IFERROR(__xludf.DUMMYFUNCTION("""COMPUTED_VALUE"""),6.0)</f>
        <v>6</v>
      </c>
      <c r="K35" s="51"/>
      <c r="L35" s="61">
        <f>IFERROR(__xludf.DUMMYFUNCTION("""COMPUTED_VALUE"""),6.0)</f>
        <v>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IFERROR(__xludf.DUMMYFUNCTION("""COMPUTED_VALUE"""),"GONZALEZ")</f>
        <v>GONZALEZ</v>
      </c>
      <c r="C36" s="53" t="str">
        <f>IFERROR(__xludf.DUMMYFUNCTION("""COMPUTED_VALUE"""),"BAÑOS")</f>
        <v>BAÑOS</v>
      </c>
      <c r="D36" s="54" t="str">
        <f>IFERROR(__xludf.DUMMYFUNCTION("""COMPUTED_VALUE"""),"DAVID EDUARDO")</f>
        <v>DAVID EDUARDO</v>
      </c>
      <c r="E36" s="55">
        <f>IFERROR(__xludf.DUMMYFUNCTION("""COMPUTED_VALUE"""),6.0)</f>
        <v>6</v>
      </c>
      <c r="F36" s="55">
        <f>IFERROR(__xludf.DUMMYFUNCTION("""COMPUTED_VALUE"""),2.0)</f>
        <v>2</v>
      </c>
      <c r="G36" s="56"/>
      <c r="H36" s="57">
        <f>IFERROR(__xludf.DUMMYFUNCTION("""COMPUTED_VALUE"""),8.0)</f>
        <v>8</v>
      </c>
      <c r="I36" s="58">
        <f>IFERROR(__xludf.DUMMYFUNCTION("""COMPUTED_VALUE"""),1.0)</f>
        <v>1</v>
      </c>
      <c r="J36" s="59">
        <f>IFERROR(__xludf.DUMMYFUNCTION("""COMPUTED_VALUE"""),8.0)</f>
        <v>8</v>
      </c>
      <c r="K36" s="51"/>
      <c r="L36" s="61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IFERROR(__xludf.DUMMYFUNCTION("""COMPUTED_VALUE"""),"GONZALEZ")</f>
        <v>GONZALEZ</v>
      </c>
      <c r="C37" s="53" t="str">
        <f>IFERROR(__xludf.DUMMYFUNCTION("""COMPUTED_VALUE"""),"CAZARES")</f>
        <v>CAZARES</v>
      </c>
      <c r="D37" s="65" t="str">
        <f>IFERROR(__xludf.DUMMYFUNCTION("""COMPUTED_VALUE"""),"CRISTHIAN")</f>
        <v>CRISTHIAN</v>
      </c>
      <c r="E37" s="56">
        <f>IFERROR(__xludf.DUMMYFUNCTION("""COMPUTED_VALUE"""),7.0)</f>
        <v>7</v>
      </c>
      <c r="F37" s="55">
        <f>IFERROR(__xludf.DUMMYFUNCTION("""COMPUTED_VALUE"""),2.0)</f>
        <v>2</v>
      </c>
      <c r="G37" s="56"/>
      <c r="H37" s="57">
        <f>IFERROR(__xludf.DUMMYFUNCTION("""COMPUTED_VALUE"""),9.0)</f>
        <v>9</v>
      </c>
      <c r="I37" s="58">
        <f>IFERROR(__xludf.DUMMYFUNCTION("""COMPUTED_VALUE"""),1.0)</f>
        <v>1</v>
      </c>
      <c r="J37" s="59">
        <f>IFERROR(__xludf.DUMMYFUNCTION("""COMPUTED_VALUE"""),9.0)</f>
        <v>9</v>
      </c>
      <c r="K37" s="51"/>
      <c r="L37" s="61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IFERROR(__xludf.DUMMYFUNCTION("""COMPUTED_VALUE"""),"GRANADOS")</f>
        <v>GRANADOS</v>
      </c>
      <c r="C38" s="53" t="str">
        <f>IFERROR(__xludf.DUMMYFUNCTION("""COMPUTED_VALUE"""),"GUERRERO")</f>
        <v>GUERRERO</v>
      </c>
      <c r="D38" s="54" t="str">
        <f>IFERROR(__xludf.DUMMYFUNCTION("""COMPUTED_VALUE"""),"ZARA")</f>
        <v>ZARA</v>
      </c>
      <c r="E38" s="55">
        <f>IFERROR(__xludf.DUMMYFUNCTION("""COMPUTED_VALUE"""),5.0)</f>
        <v>5</v>
      </c>
      <c r="F38" s="55">
        <f>IFERROR(__xludf.DUMMYFUNCTION("""COMPUTED_VALUE"""),2.0)</f>
        <v>2</v>
      </c>
      <c r="G38" s="56"/>
      <c r="H38" s="57">
        <f>IFERROR(__xludf.DUMMYFUNCTION("""COMPUTED_VALUE"""),7.0)</f>
        <v>7</v>
      </c>
      <c r="I38" s="58">
        <f>IFERROR(__xludf.DUMMYFUNCTION("""COMPUTED_VALUE"""),1.0)</f>
        <v>1</v>
      </c>
      <c r="J38" s="59">
        <f>IFERROR(__xludf.DUMMYFUNCTION("""COMPUTED_VALUE"""),7.0)</f>
        <v>7</v>
      </c>
      <c r="K38" s="51"/>
      <c r="L38" s="61">
        <f>IFERROR(__xludf.DUMMYFUNCTION("""COMPUTED_VALUE"""),7.0)</f>
        <v>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IFERROR(__xludf.DUMMYFUNCTION("""COMPUTED_VALUE"""),"HERNANDEZ")</f>
        <v>HERNANDEZ</v>
      </c>
      <c r="C39" s="53" t="str">
        <f>IFERROR(__xludf.DUMMYFUNCTION("""COMPUTED_VALUE"""),"CANCHOLA")</f>
        <v>CANCHOLA</v>
      </c>
      <c r="D39" s="65" t="str">
        <f>IFERROR(__xludf.DUMMYFUNCTION("""COMPUTED_VALUE"""),"MELANIE")</f>
        <v>MELANIE</v>
      </c>
      <c r="E39" s="55">
        <f>IFERROR(__xludf.DUMMYFUNCTION("""COMPUTED_VALUE"""),6.0)</f>
        <v>6</v>
      </c>
      <c r="F39" s="55">
        <f>IFERROR(__xludf.DUMMYFUNCTION("""COMPUTED_VALUE"""),2.0)</f>
        <v>2</v>
      </c>
      <c r="G39" s="56"/>
      <c r="H39" s="57">
        <f>IFERROR(__xludf.DUMMYFUNCTION("""COMPUTED_VALUE"""),8.0)</f>
        <v>8</v>
      </c>
      <c r="I39" s="58">
        <f>IFERROR(__xludf.DUMMYFUNCTION("""COMPUTED_VALUE"""),1.0)</f>
        <v>1</v>
      </c>
      <c r="J39" s="59">
        <f>IFERROR(__xludf.DUMMYFUNCTION("""COMPUTED_VALUE"""),8.0)</f>
        <v>8</v>
      </c>
      <c r="K39" s="51"/>
      <c r="L39" s="61">
        <f>IFERROR(__xludf.DUMMYFUNCTION("""COMPUTED_VALUE"""),8.0)</f>
        <v>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6" t="str">
        <f>IFERROR(__xludf.DUMMYFUNCTION("""COMPUTED_VALUE"""),"HERNANDEZ")</f>
        <v>HERNANDEZ</v>
      </c>
      <c r="C40" s="67" t="str">
        <f>IFERROR(__xludf.DUMMYFUNCTION("""COMPUTED_VALUE"""),"ESPARRAGOZA")</f>
        <v>ESPARRAGOZA</v>
      </c>
      <c r="D40" s="54" t="str">
        <f>IFERROR(__xludf.DUMMYFUNCTION("""COMPUTED_VALUE"""),"DANTE ALEXANDER")</f>
        <v>DANTE ALEXANDER</v>
      </c>
      <c r="E40" s="55">
        <f>IFERROR(__xludf.DUMMYFUNCTION("""COMPUTED_VALUE"""),3.0)</f>
        <v>3</v>
      </c>
      <c r="F40" s="55">
        <f>IFERROR(__xludf.DUMMYFUNCTION("""COMPUTED_VALUE"""),2.0)</f>
        <v>2</v>
      </c>
      <c r="G40" s="56"/>
      <c r="H40" s="57">
        <f>IFERROR(__xludf.DUMMYFUNCTION("""COMPUTED_VALUE"""),5.0)</f>
        <v>5</v>
      </c>
      <c r="I40" s="58">
        <f>IFERROR(__xludf.DUMMYFUNCTION("""COMPUTED_VALUE"""),1.0)</f>
        <v>1</v>
      </c>
      <c r="J40" s="59">
        <f>IFERROR(__xludf.DUMMYFUNCTION("""COMPUTED_VALUE"""),5.0)</f>
        <v>5</v>
      </c>
      <c r="K40" s="51"/>
      <c r="L40" s="61">
        <f>IFERROR(__xludf.DUMMYFUNCTION("""COMPUTED_VALUE"""),5.0)</f>
        <v>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IFERROR(__xludf.DUMMYFUNCTION("""COMPUTED_VALUE"""),"HERNANDEZ")</f>
        <v>HERNANDEZ</v>
      </c>
      <c r="C41" s="53" t="str">
        <f>IFERROR(__xludf.DUMMYFUNCTION("""COMPUTED_VALUE"""),"MUÑOZ")</f>
        <v>MUÑOZ</v>
      </c>
      <c r="D41" s="54" t="str">
        <f>IFERROR(__xludf.DUMMYFUNCTION("""COMPUTED_VALUE"""),"MARIA JOSE")</f>
        <v>MARIA JOSE</v>
      </c>
      <c r="E41" s="55">
        <f>IFERROR(__xludf.DUMMYFUNCTION("""COMPUTED_VALUE"""),6.0)</f>
        <v>6</v>
      </c>
      <c r="F41" s="55">
        <f>IFERROR(__xludf.DUMMYFUNCTION("""COMPUTED_VALUE"""),2.0)</f>
        <v>2</v>
      </c>
      <c r="G41" s="56"/>
      <c r="H41" s="57">
        <f>IFERROR(__xludf.DUMMYFUNCTION("""COMPUTED_VALUE"""),8.0)</f>
        <v>8</v>
      </c>
      <c r="I41" s="58">
        <f>IFERROR(__xludf.DUMMYFUNCTION("""COMPUTED_VALUE"""),0.0)</f>
        <v>0</v>
      </c>
      <c r="J41" s="59">
        <f>IFERROR(__xludf.DUMMYFUNCTION("""COMPUTED_VALUE"""),8.0)</f>
        <v>8</v>
      </c>
      <c r="K41" s="51"/>
      <c r="L41" s="61">
        <f>IFERROR(__xludf.DUMMYFUNCTION("""COMPUTED_VALUE"""),8.0)</f>
        <v>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IFERROR(__xludf.DUMMYFUNCTION("""COMPUTED_VALUE"""),"JARAMILLO")</f>
        <v>JARAMILLO</v>
      </c>
      <c r="C42" s="53" t="str">
        <f>IFERROR(__xludf.DUMMYFUNCTION("""COMPUTED_VALUE"""),"SANDOVAL")</f>
        <v>SANDOVAL</v>
      </c>
      <c r="D42" s="54" t="str">
        <f>IFERROR(__xludf.DUMMYFUNCTION("""COMPUTED_VALUE"""),"MELANI JEREDIT")</f>
        <v>MELANI JEREDIT</v>
      </c>
      <c r="E42" s="55">
        <f>IFERROR(__xludf.DUMMYFUNCTION("""COMPUTED_VALUE"""),5.0)</f>
        <v>5</v>
      </c>
      <c r="F42" s="55">
        <f>IFERROR(__xludf.DUMMYFUNCTION("""COMPUTED_VALUE"""),2.0)</f>
        <v>2</v>
      </c>
      <c r="G42" s="56"/>
      <c r="H42" s="57">
        <f>IFERROR(__xludf.DUMMYFUNCTION("""COMPUTED_VALUE"""),7.0)</f>
        <v>7</v>
      </c>
      <c r="I42" s="58">
        <f>IFERROR(__xludf.DUMMYFUNCTION("""COMPUTED_VALUE"""),0.0)</f>
        <v>0</v>
      </c>
      <c r="J42" s="59">
        <f>IFERROR(__xludf.DUMMYFUNCTION("""COMPUTED_VALUE"""),7.0)</f>
        <v>7</v>
      </c>
      <c r="K42" s="51"/>
      <c r="L42" s="61">
        <f>IFERROR(__xludf.DUMMYFUNCTION("""COMPUTED_VALUE"""),7.0)</f>
        <v>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IFERROR(__xludf.DUMMYFUNCTION("""COMPUTED_VALUE"""),"LEMUS")</f>
        <v>LEMUS</v>
      </c>
      <c r="C43" s="53" t="str">
        <f>IFERROR(__xludf.DUMMYFUNCTION("""COMPUTED_VALUE"""),"AVILA")</f>
        <v>AVILA</v>
      </c>
      <c r="D43" s="54" t="str">
        <f>IFERROR(__xludf.DUMMYFUNCTION("""COMPUTED_VALUE"""),"ANA GABRIELA")</f>
        <v>ANA GABRIELA</v>
      </c>
      <c r="E43" s="55">
        <f>IFERROR(__xludf.DUMMYFUNCTION("""COMPUTED_VALUE"""),7.0)</f>
        <v>7</v>
      </c>
      <c r="F43" s="55">
        <f>IFERROR(__xludf.DUMMYFUNCTION("""COMPUTED_VALUE"""),2.0)</f>
        <v>2</v>
      </c>
      <c r="G43" s="56"/>
      <c r="H43" s="57">
        <f>IFERROR(__xludf.DUMMYFUNCTION("""COMPUTED_VALUE"""),9.0)</f>
        <v>9</v>
      </c>
      <c r="I43" s="58">
        <f>IFERROR(__xludf.DUMMYFUNCTION("""COMPUTED_VALUE"""),0.0)</f>
        <v>0</v>
      </c>
      <c r="J43" s="59">
        <f>IFERROR(__xludf.DUMMYFUNCTION("""COMPUTED_VALUE"""),9.0)</f>
        <v>9</v>
      </c>
      <c r="K43" s="51"/>
      <c r="L43" s="61">
        <f>IFERROR(__xludf.DUMMYFUNCTION("""COMPUTED_VALUE"""),9.0)</f>
        <v>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IFERROR(__xludf.DUMMYFUNCTION("""COMPUTED_VALUE"""),"LOPEZ")</f>
        <v>LOPEZ</v>
      </c>
      <c r="C44" s="53" t="str">
        <f>IFERROR(__xludf.DUMMYFUNCTION("""COMPUTED_VALUE"""),"OLVERA")</f>
        <v>OLVERA</v>
      </c>
      <c r="D44" s="54" t="str">
        <f>IFERROR(__xludf.DUMMYFUNCTION("""COMPUTED_VALUE"""),"GABRIELA LIZETH")</f>
        <v>GABRIELA LIZETH</v>
      </c>
      <c r="E44" s="55">
        <f>IFERROR(__xludf.DUMMYFUNCTION("""COMPUTED_VALUE"""),6.0)</f>
        <v>6</v>
      </c>
      <c r="F44" s="55">
        <f>IFERROR(__xludf.DUMMYFUNCTION("""COMPUTED_VALUE"""),2.0)</f>
        <v>2</v>
      </c>
      <c r="G44" s="56"/>
      <c r="H44" s="57">
        <f>IFERROR(__xludf.DUMMYFUNCTION("""COMPUTED_VALUE"""),8.0)</f>
        <v>8</v>
      </c>
      <c r="I44" s="58">
        <f>IFERROR(__xludf.DUMMYFUNCTION("""COMPUTED_VALUE"""),0.0)</f>
        <v>0</v>
      </c>
      <c r="J44" s="59">
        <f>IFERROR(__xludf.DUMMYFUNCTION("""COMPUTED_VALUE"""),8.0)</f>
        <v>8</v>
      </c>
      <c r="K44" s="51"/>
      <c r="L44" s="61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IFERROR(__xludf.DUMMYFUNCTION("""COMPUTED_VALUE"""),"LOPEZ")</f>
        <v>LOPEZ</v>
      </c>
      <c r="C45" s="53" t="str">
        <f>IFERROR(__xludf.DUMMYFUNCTION("""COMPUTED_VALUE"""),"PANIAGÚA")</f>
        <v>PANIAGÚA</v>
      </c>
      <c r="D45" s="54" t="str">
        <f>IFERROR(__xludf.DUMMYFUNCTION("""COMPUTED_VALUE"""),"ANGEL GIOVANNI")</f>
        <v>ANGEL GIOVANNI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/>
      <c r="H45" s="57">
        <f>IFERROR(__xludf.DUMMYFUNCTION("""COMPUTED_VALUE"""),10.0)</f>
        <v>10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IFERROR(__xludf.DUMMYFUNCTION("""COMPUTED_VALUE"""),"LUNA")</f>
        <v>LUNA</v>
      </c>
      <c r="C46" s="53" t="str">
        <f>IFERROR(__xludf.DUMMYFUNCTION("""COMPUTED_VALUE"""),"HERNANDEZ")</f>
        <v>HERNANDEZ</v>
      </c>
      <c r="D46" s="54" t="str">
        <f>IFERROR(__xludf.DUMMYFUNCTION("""COMPUTED_VALUE"""),"DEA ISABELLA")</f>
        <v>DEA ISABELLA</v>
      </c>
      <c r="E46" s="55">
        <f>IFERROR(__xludf.DUMMYFUNCTION("""COMPUTED_VALUE"""),6.0)</f>
        <v>6</v>
      </c>
      <c r="F46" s="55">
        <f>IFERROR(__xludf.DUMMYFUNCTION("""COMPUTED_VALUE"""),2.0)</f>
        <v>2</v>
      </c>
      <c r="G46" s="56"/>
      <c r="H46" s="57">
        <f>IFERROR(__xludf.DUMMYFUNCTION("""COMPUTED_VALUE"""),8.0)</f>
        <v>8</v>
      </c>
      <c r="I46" s="58">
        <f>IFERROR(__xludf.DUMMYFUNCTION("""COMPUTED_VALUE"""),0.0)</f>
        <v>0</v>
      </c>
      <c r="J46" s="59">
        <f>IFERROR(__xludf.DUMMYFUNCTION("""COMPUTED_VALUE"""),8.0)</f>
        <v>8</v>
      </c>
      <c r="K46" s="51"/>
      <c r="L46" s="61">
        <f>IFERROR(__xludf.DUMMYFUNCTION("""COMPUTED_VALUE"""),8.0)</f>
        <v>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IFERROR(__xludf.DUMMYFUNCTION("""COMPUTED_VALUE"""),"MARES")</f>
        <v>MARES</v>
      </c>
      <c r="C47" s="53" t="str">
        <f>IFERROR(__xludf.DUMMYFUNCTION("""COMPUTED_VALUE"""),"GONZALEZ")</f>
        <v>GONZALEZ</v>
      </c>
      <c r="D47" s="54" t="str">
        <f>IFERROR(__xludf.DUMMYFUNCTION("""COMPUTED_VALUE"""),"JOSE CARLOS")</f>
        <v>JOSE CARLOS</v>
      </c>
      <c r="E47" s="55">
        <f>IFERROR(__xludf.DUMMYFUNCTION("""COMPUTED_VALUE"""),3.0)</f>
        <v>3</v>
      </c>
      <c r="F47" s="55">
        <f>IFERROR(__xludf.DUMMYFUNCTION("""COMPUTED_VALUE"""),2.0)</f>
        <v>2</v>
      </c>
      <c r="G47" s="56"/>
      <c r="H47" s="57">
        <f>IFERROR(__xludf.DUMMYFUNCTION("""COMPUTED_VALUE"""),5.0)</f>
        <v>5</v>
      </c>
      <c r="I47" s="58">
        <f>IFERROR(__xludf.DUMMYFUNCTION("""COMPUTED_VALUE"""),1.0)</f>
        <v>1</v>
      </c>
      <c r="J47" s="59">
        <f>IFERROR(__xludf.DUMMYFUNCTION("""COMPUTED_VALUE"""),5.0)</f>
        <v>5</v>
      </c>
      <c r="K47" s="51"/>
      <c r="L47" s="61">
        <f>IFERROR(__xludf.DUMMYFUNCTION("""COMPUTED_VALUE"""),5.0)</f>
        <v>5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IFERROR(__xludf.DUMMYFUNCTION("""COMPUTED_VALUE"""),"MARTINEZ")</f>
        <v>MARTINEZ</v>
      </c>
      <c r="C48" s="53" t="str">
        <f>IFERROR(__xludf.DUMMYFUNCTION("""COMPUTED_VALUE"""),"REYES")</f>
        <v>REYES</v>
      </c>
      <c r="D48" s="54" t="str">
        <f>IFERROR(__xludf.DUMMYFUNCTION("""COMPUTED_VALUE"""),"JACQUELINE ANDREA")</f>
        <v>JACQUELINE ANDREA</v>
      </c>
      <c r="E48" s="55">
        <f>IFERROR(__xludf.DUMMYFUNCTION("""COMPUTED_VALUE"""),6.0)</f>
        <v>6</v>
      </c>
      <c r="F48" s="55">
        <f>IFERROR(__xludf.DUMMYFUNCTION("""COMPUTED_VALUE"""),2.0)</f>
        <v>2</v>
      </c>
      <c r="G48" s="56"/>
      <c r="H48" s="57">
        <f>IFERROR(__xludf.DUMMYFUNCTION("""COMPUTED_VALUE"""),8.0)</f>
        <v>8</v>
      </c>
      <c r="I48" s="58">
        <f>IFERROR(__xludf.DUMMYFUNCTION("""COMPUTED_VALUE"""),1.0)</f>
        <v>1</v>
      </c>
      <c r="J48" s="59">
        <f>IFERROR(__xludf.DUMMYFUNCTION("""COMPUTED_VALUE"""),8.0)</f>
        <v>8</v>
      </c>
      <c r="K48" s="51"/>
      <c r="L48" s="61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IFERROR(__xludf.DUMMYFUNCTION("""COMPUTED_VALUE"""),"MARTINEZ")</f>
        <v>MARTINEZ</v>
      </c>
      <c r="C49" s="53" t="str">
        <f>IFERROR(__xludf.DUMMYFUNCTION("""COMPUTED_VALUE"""),"VELAZQUEZ")</f>
        <v>VELAZQUEZ</v>
      </c>
      <c r="D49" s="65" t="str">
        <f>IFERROR(__xludf.DUMMYFUNCTION("""COMPUTED_VALUE"""),"OSCAR ZADKIEL")</f>
        <v>OSCAR ZADKIEL</v>
      </c>
      <c r="E49" s="55">
        <f>IFERROR(__xludf.DUMMYFUNCTION("""COMPUTED_VALUE"""),5.0)</f>
        <v>5</v>
      </c>
      <c r="F49" s="55">
        <f>IFERROR(__xludf.DUMMYFUNCTION("""COMPUTED_VALUE"""),2.0)</f>
        <v>2</v>
      </c>
      <c r="G49" s="56"/>
      <c r="H49" s="57">
        <f>IFERROR(__xludf.DUMMYFUNCTION("""COMPUTED_VALUE"""),7.0)</f>
        <v>7</v>
      </c>
      <c r="I49" s="58">
        <f>IFERROR(__xludf.DUMMYFUNCTION("""COMPUTED_VALUE"""),1.0)</f>
        <v>1</v>
      </c>
      <c r="J49" s="59">
        <f>IFERROR(__xludf.DUMMYFUNCTION("""COMPUTED_VALUE"""),7.0)</f>
        <v>7</v>
      </c>
      <c r="K49" s="51"/>
      <c r="L49" s="61">
        <f>IFERROR(__xludf.DUMMYFUNCTION("""COMPUTED_VALUE"""),7.0)</f>
        <v>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IFERROR(__xludf.DUMMYFUNCTION("""COMPUTED_VALUE"""),"MORAN")</f>
        <v>MORAN</v>
      </c>
      <c r="C50" s="53" t="str">
        <f>IFERROR(__xludf.DUMMYFUNCTION("""COMPUTED_VALUE"""),"ALMAGUER")</f>
        <v>ALMAGUER</v>
      </c>
      <c r="D50" s="54" t="str">
        <f>IFERROR(__xludf.DUMMYFUNCTION("""COMPUTED_VALUE"""),"LEYLANI")</f>
        <v>LEYLANI</v>
      </c>
      <c r="E50" s="55">
        <f>IFERROR(__xludf.DUMMYFUNCTION("""COMPUTED_VALUE"""),5.0)</f>
        <v>5</v>
      </c>
      <c r="F50" s="55">
        <f>IFERROR(__xludf.DUMMYFUNCTION("""COMPUTED_VALUE"""),2.0)</f>
        <v>2</v>
      </c>
      <c r="G50" s="56"/>
      <c r="H50" s="57">
        <f>IFERROR(__xludf.DUMMYFUNCTION("""COMPUTED_VALUE"""),7.0)</f>
        <v>7</v>
      </c>
      <c r="I50" s="58">
        <f>IFERROR(__xludf.DUMMYFUNCTION("""COMPUTED_VALUE"""),1.0)</f>
        <v>1</v>
      </c>
      <c r="J50" s="59">
        <f>IFERROR(__xludf.DUMMYFUNCTION("""COMPUTED_VALUE"""),7.0)</f>
        <v>7</v>
      </c>
      <c r="K50" s="51"/>
      <c r="L50" s="61">
        <f>IFERROR(__xludf.DUMMYFUNCTION("""COMPUTED_VALUE"""),7.0)</f>
        <v>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IFERROR(__xludf.DUMMYFUNCTION("""COMPUTED_VALUE"""),"MORENO")</f>
        <v>MORENO</v>
      </c>
      <c r="C51" s="53" t="str">
        <f>IFERROR(__xludf.DUMMYFUNCTION("""COMPUTED_VALUE"""),"VALENZUELA")</f>
        <v>VALENZUELA</v>
      </c>
      <c r="D51" s="54" t="str">
        <f>IFERROR(__xludf.DUMMYFUNCTION("""COMPUTED_VALUE"""),"SANTIAGO ISMAEL")</f>
        <v>SANTIAGO ISMAEL</v>
      </c>
      <c r="E51" s="55">
        <f>IFERROR(__xludf.DUMMYFUNCTION("""COMPUTED_VALUE"""),7.0)</f>
        <v>7</v>
      </c>
      <c r="F51" s="55">
        <f>IFERROR(__xludf.DUMMYFUNCTION("""COMPUTED_VALUE"""),2.0)</f>
        <v>2</v>
      </c>
      <c r="G51" s="56"/>
      <c r="H51" s="57">
        <f>IFERROR(__xludf.DUMMYFUNCTION("""COMPUTED_VALUE"""),9.0)</f>
        <v>9</v>
      </c>
      <c r="I51" s="58">
        <f>IFERROR(__xludf.DUMMYFUNCTION("""COMPUTED_VALUE"""),0.0)</f>
        <v>0</v>
      </c>
      <c r="J51" s="59">
        <f>IFERROR(__xludf.DUMMYFUNCTION("""COMPUTED_VALUE"""),9.0)</f>
        <v>9</v>
      </c>
      <c r="K51" s="51"/>
      <c r="L51" s="61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IFERROR(__xludf.DUMMYFUNCTION("""COMPUTED_VALUE"""),"NUÑEZ")</f>
        <v>NUÑEZ</v>
      </c>
      <c r="C52" s="53" t="str">
        <f>IFERROR(__xludf.DUMMYFUNCTION("""COMPUTED_VALUE"""),"FLORES")</f>
        <v>FLORES</v>
      </c>
      <c r="D52" s="54" t="str">
        <f>IFERROR(__xludf.DUMMYFUNCTION("""COMPUTED_VALUE"""),"ANDREA MAYARI")</f>
        <v>ANDREA MAYARI</v>
      </c>
      <c r="E52" s="55">
        <f>IFERROR(__xludf.DUMMYFUNCTION("""COMPUTED_VALUE"""),5.0)</f>
        <v>5</v>
      </c>
      <c r="F52" s="55">
        <f>IFERROR(__xludf.DUMMYFUNCTION("""COMPUTED_VALUE"""),2.0)</f>
        <v>2</v>
      </c>
      <c r="G52" s="56"/>
      <c r="H52" s="57">
        <f>IFERROR(__xludf.DUMMYFUNCTION("""COMPUTED_VALUE"""),7.0)</f>
        <v>7</v>
      </c>
      <c r="I52" s="58">
        <f>IFERROR(__xludf.DUMMYFUNCTION("""COMPUTED_VALUE"""),2.0)</f>
        <v>2</v>
      </c>
      <c r="J52" s="59">
        <f>IFERROR(__xludf.DUMMYFUNCTION("""COMPUTED_VALUE"""),7.0)</f>
        <v>7</v>
      </c>
      <c r="K52" s="51"/>
      <c r="L52" s="60">
        <f>IFERROR(__xludf.DUMMYFUNCTION("""COMPUTED_VALUE"""),7.0)</f>
        <v>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IFERROR(__xludf.DUMMYFUNCTION("""COMPUTED_VALUE"""),"ORNELAS")</f>
        <v>ORNELAS</v>
      </c>
      <c r="C53" s="53" t="str">
        <f>IFERROR(__xludf.DUMMYFUNCTION("""COMPUTED_VALUE"""),"LOPEZ")</f>
        <v>LOPEZ</v>
      </c>
      <c r="D53" s="54" t="str">
        <f>IFERROR(__xludf.DUMMYFUNCTION("""COMPUTED_VALUE"""),"LENA VIKTORIA")</f>
        <v>LENA VIKTORIA</v>
      </c>
      <c r="E53" s="55">
        <f>IFERROR(__xludf.DUMMYFUNCTION("""COMPUTED_VALUE"""),6.0)</f>
        <v>6</v>
      </c>
      <c r="F53" s="55">
        <f>IFERROR(__xludf.DUMMYFUNCTION("""COMPUTED_VALUE"""),2.0)</f>
        <v>2</v>
      </c>
      <c r="G53" s="56"/>
      <c r="H53" s="57">
        <f>IFERROR(__xludf.DUMMYFUNCTION("""COMPUTED_VALUE"""),8.0)</f>
        <v>8</v>
      </c>
      <c r="I53" s="58">
        <f>IFERROR(__xludf.DUMMYFUNCTION("""COMPUTED_VALUE"""),1.0)</f>
        <v>1</v>
      </c>
      <c r="J53" s="59">
        <f>IFERROR(__xludf.DUMMYFUNCTION("""COMPUTED_VALUE"""),8.0)</f>
        <v>8</v>
      </c>
      <c r="K53" s="51"/>
      <c r="L53" s="60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IFERROR(__xludf.DUMMYFUNCTION("""COMPUTED_VALUE"""),"ORTIZ")</f>
        <v>ORTIZ</v>
      </c>
      <c r="C54" s="53" t="str">
        <f>IFERROR(__xludf.DUMMYFUNCTION("""COMPUTED_VALUE"""),"RODRIGUEZ")</f>
        <v>RODRIGUEZ</v>
      </c>
      <c r="D54" s="68" t="str">
        <f>IFERROR(__xludf.DUMMYFUNCTION("""COMPUTED_VALUE"""),"GUILLERMO")</f>
        <v>GUILLERMO</v>
      </c>
      <c r="E54" s="55">
        <f>IFERROR(__xludf.DUMMYFUNCTION("""COMPUTED_VALUE"""),6.0)</f>
        <v>6</v>
      </c>
      <c r="F54" s="55">
        <f>IFERROR(__xludf.DUMMYFUNCTION("""COMPUTED_VALUE"""),2.0)</f>
        <v>2</v>
      </c>
      <c r="G54" s="56"/>
      <c r="H54" s="57">
        <f>IFERROR(__xludf.DUMMYFUNCTION("""COMPUTED_VALUE"""),8.0)</f>
        <v>8</v>
      </c>
      <c r="I54" s="58">
        <f>IFERROR(__xludf.DUMMYFUNCTION("""COMPUTED_VALUE"""),1.0)</f>
        <v>1</v>
      </c>
      <c r="J54" s="59">
        <f>IFERROR(__xludf.DUMMYFUNCTION("""COMPUTED_VALUE"""),8.0)</f>
        <v>8</v>
      </c>
      <c r="K54" s="51"/>
      <c r="L54" s="60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IFERROR(__xludf.DUMMYFUNCTION("""COMPUTED_VALUE"""),"PACHECO")</f>
        <v>PACHECO</v>
      </c>
      <c r="C55" s="53" t="str">
        <f>IFERROR(__xludf.DUMMYFUNCTION("""COMPUTED_VALUE"""),"OLIVARES")</f>
        <v>OLIVARES</v>
      </c>
      <c r="D55" s="54" t="str">
        <f>IFERROR(__xludf.DUMMYFUNCTION("""COMPUTED_VALUE"""),"ANDRES")</f>
        <v>ANDRES</v>
      </c>
      <c r="E55" s="55">
        <f>IFERROR(__xludf.DUMMYFUNCTION("""COMPUTED_VALUE"""),6.0)</f>
        <v>6</v>
      </c>
      <c r="F55" s="55">
        <f>IFERROR(__xludf.DUMMYFUNCTION("""COMPUTED_VALUE"""),2.0)</f>
        <v>2</v>
      </c>
      <c r="G55" s="56"/>
      <c r="H55" s="57">
        <f>IFERROR(__xludf.DUMMYFUNCTION("""COMPUTED_VALUE"""),8.0)</f>
        <v>8</v>
      </c>
      <c r="I55" s="69">
        <f>IFERROR(__xludf.DUMMYFUNCTION("""COMPUTED_VALUE"""),0.0)</f>
        <v>0</v>
      </c>
      <c r="J55" s="59">
        <f>IFERROR(__xludf.DUMMYFUNCTION("""COMPUTED_VALUE"""),8.0)</f>
        <v>8</v>
      </c>
      <c r="K55" s="51"/>
      <c r="L55" s="60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IFERROR(__xludf.DUMMYFUNCTION("""COMPUTED_VALUE"""),"PEREZ")</f>
        <v>PEREZ</v>
      </c>
      <c r="C56" s="53" t="str">
        <f>IFERROR(__xludf.DUMMYFUNCTION("""COMPUTED_VALUE"""),"SUAREZ")</f>
        <v>SUAREZ</v>
      </c>
      <c r="D56" s="54" t="str">
        <f>IFERROR(__xludf.DUMMYFUNCTION("""COMPUTED_VALUE"""),"DAVETH OSIEL")</f>
        <v>DAVETH OSIEL</v>
      </c>
      <c r="E56" s="55">
        <f>IFERROR(__xludf.DUMMYFUNCTION("""COMPUTED_VALUE"""),7.0)</f>
        <v>7</v>
      </c>
      <c r="F56" s="55">
        <f>IFERROR(__xludf.DUMMYFUNCTION("""COMPUTED_VALUE"""),2.0)</f>
        <v>2</v>
      </c>
      <c r="G56" s="56"/>
      <c r="H56" s="57">
        <f>IFERROR(__xludf.DUMMYFUNCTION("""COMPUTED_VALUE"""),9.0)</f>
        <v>9</v>
      </c>
      <c r="I56" s="69">
        <f>IFERROR(__xludf.DUMMYFUNCTION("""COMPUTED_VALUE"""),0.0)</f>
        <v>0</v>
      </c>
      <c r="J56" s="59">
        <f>IFERROR(__xludf.DUMMYFUNCTION("""COMPUTED_VALUE"""),9.0)</f>
        <v>9</v>
      </c>
      <c r="K56" s="51"/>
      <c r="L56" s="60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IFERROR(__xludf.DUMMYFUNCTION("""COMPUTED_VALUE"""),"PUC")</f>
        <v>PUC</v>
      </c>
      <c r="C57" s="53" t="str">
        <f>IFERROR(__xludf.DUMMYFUNCTION("""COMPUTED_VALUE"""),"JIMENEZ")</f>
        <v>JIMENEZ</v>
      </c>
      <c r="D57" s="54" t="str">
        <f>IFERROR(__xludf.DUMMYFUNCTION("""COMPUTED_VALUE"""),"XIMENA DANIELA")</f>
        <v>XIMENA DANIELA</v>
      </c>
      <c r="E57" s="55">
        <f>IFERROR(__xludf.DUMMYFUNCTION("""COMPUTED_VALUE"""),8.0)</f>
        <v>8</v>
      </c>
      <c r="F57" s="55">
        <f>IFERROR(__xludf.DUMMYFUNCTION("""COMPUTED_VALUE"""),2.0)</f>
        <v>2</v>
      </c>
      <c r="G57" s="56"/>
      <c r="H57" s="57">
        <f>IFERROR(__xludf.DUMMYFUNCTION("""COMPUTED_VALUE"""),10.0)</f>
        <v>10</v>
      </c>
      <c r="I57" s="69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IFERROR(__xludf.DUMMYFUNCTION("""COMPUTED_VALUE"""),"RAMIREZ")</f>
        <v>RAMIREZ</v>
      </c>
      <c r="C58" s="53" t="str">
        <f>IFERROR(__xludf.DUMMYFUNCTION("""COMPUTED_VALUE"""),"ROMAN")</f>
        <v>ROMAN</v>
      </c>
      <c r="D58" s="54" t="str">
        <f>IFERROR(__xludf.DUMMYFUNCTION("""COMPUTED_VALUE"""),"XIMENA")</f>
        <v>XIMENA</v>
      </c>
      <c r="E58" s="55">
        <f>IFERROR(__xludf.DUMMYFUNCTION("""COMPUTED_VALUE"""),6.0)</f>
        <v>6</v>
      </c>
      <c r="F58" s="55">
        <f>IFERROR(__xludf.DUMMYFUNCTION("""COMPUTED_VALUE"""),2.0)</f>
        <v>2</v>
      </c>
      <c r="G58" s="56"/>
      <c r="H58" s="57">
        <f>IFERROR(__xludf.DUMMYFUNCTION("""COMPUTED_VALUE"""),8.0)</f>
        <v>8</v>
      </c>
      <c r="I58" s="69">
        <f>IFERROR(__xludf.DUMMYFUNCTION("""COMPUTED_VALUE"""),0.0)</f>
        <v>0</v>
      </c>
      <c r="J58" s="59">
        <f>IFERROR(__xludf.DUMMYFUNCTION("""COMPUTED_VALUE"""),8.0)</f>
        <v>8</v>
      </c>
      <c r="K58" s="51"/>
      <c r="L58" s="60">
        <f>IFERROR(__xludf.DUMMYFUNCTION("""COMPUTED_VALUE"""),8.0)</f>
        <v>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6" t="str">
        <f>IFERROR(__xludf.DUMMYFUNCTION("""COMPUTED_VALUE"""),"REYES")</f>
        <v>REYES</v>
      </c>
      <c r="C59" s="67" t="str">
        <f>IFERROR(__xludf.DUMMYFUNCTION("""COMPUTED_VALUE"""),"TREJO")</f>
        <v>TREJO</v>
      </c>
      <c r="D59" s="54" t="str">
        <f>IFERROR(__xludf.DUMMYFUNCTION("""COMPUTED_VALUE"""),"HUGO DASTAN")</f>
        <v>HUGO DASTAN</v>
      </c>
      <c r="E59" s="55">
        <f>IFERROR(__xludf.DUMMYFUNCTION("""COMPUTED_VALUE"""),7.0)</f>
        <v>7</v>
      </c>
      <c r="F59" s="55">
        <f>IFERROR(__xludf.DUMMYFUNCTION("""COMPUTED_VALUE"""),2.0)</f>
        <v>2</v>
      </c>
      <c r="G59" s="56"/>
      <c r="H59" s="57">
        <f>IFERROR(__xludf.DUMMYFUNCTION("""COMPUTED_VALUE"""),9.0)</f>
        <v>9</v>
      </c>
      <c r="I59" s="69">
        <f>IFERROR(__xludf.DUMMYFUNCTION("""COMPUTED_VALUE"""),0.0)</f>
        <v>0</v>
      </c>
      <c r="J59" s="59">
        <f>IFERROR(__xludf.DUMMYFUNCTION("""COMPUTED_VALUE"""),9.0)</f>
        <v>9</v>
      </c>
      <c r="K59" s="51"/>
      <c r="L59" s="60">
        <f>IFERROR(__xludf.DUMMYFUNCTION("""COMPUTED_VALUE"""),9.0)</f>
        <v>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70" t="str">
        <f>IFERROR(__xludf.DUMMYFUNCTION("""COMPUTED_VALUE"""),"RODRIGUEZ")</f>
        <v>RODRIGUEZ</v>
      </c>
      <c r="C60" s="53" t="str">
        <f>IFERROR(__xludf.DUMMYFUNCTION("""COMPUTED_VALUE"""),"ROSAS")</f>
        <v>ROSAS</v>
      </c>
      <c r="D60" s="54" t="str">
        <f>IFERROR(__xludf.DUMMYFUNCTION("""COMPUTED_VALUE"""),"XOCHITL")</f>
        <v>XOCHITL</v>
      </c>
      <c r="E60" s="55">
        <f>IFERROR(__xludf.DUMMYFUNCTION("""COMPUTED_VALUE"""),8.0)</f>
        <v>8</v>
      </c>
      <c r="F60" s="55">
        <f>IFERROR(__xludf.DUMMYFUNCTION("""COMPUTED_VALUE"""),2.0)</f>
        <v>2</v>
      </c>
      <c r="G60" s="56"/>
      <c r="H60" s="57">
        <f>IFERROR(__xludf.DUMMYFUNCTION("""COMPUTED_VALUE"""),10.0)</f>
        <v>10</v>
      </c>
      <c r="I60" s="69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IFERROR(__xludf.DUMMYFUNCTION("""COMPUTED_VALUE"""),"RUBIO")</f>
        <v>RUBIO</v>
      </c>
      <c r="C61" s="53" t="str">
        <f>IFERROR(__xludf.DUMMYFUNCTION("""COMPUTED_VALUE"""),"HERNANDEZ")</f>
        <v>HERNANDEZ</v>
      </c>
      <c r="D61" s="54" t="str">
        <f>IFERROR(__xludf.DUMMYFUNCTION("""COMPUTED_VALUE"""),"MACIEL ALEJANDRA")</f>
        <v>MACIEL ALEJANDRA</v>
      </c>
      <c r="E61" s="55">
        <f>IFERROR(__xludf.DUMMYFUNCTION("""COMPUTED_VALUE"""),7.0)</f>
        <v>7</v>
      </c>
      <c r="F61" s="55">
        <f>IFERROR(__xludf.DUMMYFUNCTION("""COMPUTED_VALUE"""),2.0)</f>
        <v>2</v>
      </c>
      <c r="G61" s="56"/>
      <c r="H61" s="57">
        <f>IFERROR(__xludf.DUMMYFUNCTION("""COMPUTED_VALUE"""),9.0)</f>
        <v>9</v>
      </c>
      <c r="I61" s="69">
        <f>IFERROR(__xludf.DUMMYFUNCTION("""COMPUTED_VALUE"""),0.0)</f>
        <v>0</v>
      </c>
      <c r="J61" s="59">
        <f>IFERROR(__xludf.DUMMYFUNCTION("""COMPUTED_VALUE"""),9.0)</f>
        <v>9</v>
      </c>
      <c r="K61" s="51"/>
      <c r="L61" s="60">
        <f>IFERROR(__xludf.DUMMYFUNCTION("""COMPUTED_VALUE"""),9.0)</f>
        <v>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70" t="str">
        <f>IFERROR(__xludf.DUMMYFUNCTION("""COMPUTED_VALUE"""),"SANTANA")</f>
        <v>SANTANA</v>
      </c>
      <c r="C62" s="53" t="str">
        <f>IFERROR(__xludf.DUMMYFUNCTION("""COMPUTED_VALUE"""),"LARA")</f>
        <v>LARA</v>
      </c>
      <c r="D62" s="54" t="str">
        <f>IFERROR(__xludf.DUMMYFUNCTION("""COMPUTED_VALUE"""),"IRVING WILLIAM")</f>
        <v>IRVING WILLIAM</v>
      </c>
      <c r="E62" s="55">
        <f>IFERROR(__xludf.DUMMYFUNCTION("""COMPUTED_VALUE"""),5.0)</f>
        <v>5</v>
      </c>
      <c r="F62" s="55">
        <f>IFERROR(__xludf.DUMMYFUNCTION("""COMPUTED_VALUE"""),2.0)</f>
        <v>2</v>
      </c>
      <c r="G62" s="56"/>
      <c r="H62" s="57">
        <f>IFERROR(__xludf.DUMMYFUNCTION("""COMPUTED_VALUE"""),7.0)</f>
        <v>7</v>
      </c>
      <c r="I62" s="69">
        <f>IFERROR(__xludf.DUMMYFUNCTION("""COMPUTED_VALUE"""),0.0)</f>
        <v>0</v>
      </c>
      <c r="J62" s="59">
        <f>IFERROR(__xludf.DUMMYFUNCTION("""COMPUTED_VALUE"""),7.0)</f>
        <v>7</v>
      </c>
      <c r="K62" s="51"/>
      <c r="L62" s="60">
        <f>IFERROR(__xludf.DUMMYFUNCTION("""COMPUTED_VALUE"""),7.0)</f>
        <v>7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70" t="str">
        <f>IFERROR(__xludf.DUMMYFUNCTION("""COMPUTED_VALUE"""),"SANTILLAN")</f>
        <v>SANTILLAN</v>
      </c>
      <c r="C63" s="53" t="str">
        <f>IFERROR(__xludf.DUMMYFUNCTION("""COMPUTED_VALUE"""),"GONZALEZ")</f>
        <v>GONZALEZ</v>
      </c>
      <c r="D63" s="54" t="str">
        <f>IFERROR(__xludf.DUMMYFUNCTION("""COMPUTED_VALUE"""),"JAZMIN")</f>
        <v>JAZMIN</v>
      </c>
      <c r="E63" s="55">
        <f>IFERROR(__xludf.DUMMYFUNCTION("""COMPUTED_VALUE"""),7.0)</f>
        <v>7</v>
      </c>
      <c r="F63" s="55">
        <f>IFERROR(__xludf.DUMMYFUNCTION("""COMPUTED_VALUE"""),2.0)</f>
        <v>2</v>
      </c>
      <c r="G63" s="56"/>
      <c r="H63" s="57">
        <f>IFERROR(__xludf.DUMMYFUNCTION("""COMPUTED_VALUE"""),9.0)</f>
        <v>9</v>
      </c>
      <c r="I63" s="69">
        <f>IFERROR(__xludf.DUMMYFUNCTION("""COMPUTED_VALUE"""),0.0)</f>
        <v>0</v>
      </c>
      <c r="J63" s="59">
        <f>IFERROR(__xludf.DUMMYFUNCTION("""COMPUTED_VALUE"""),9.0)</f>
        <v>9</v>
      </c>
      <c r="K63" s="51"/>
      <c r="L63" s="60">
        <f>IFERROR(__xludf.DUMMYFUNCTION("""COMPUTED_VALUE"""),9.0)</f>
        <v>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70" t="str">
        <f>IFERROR(__xludf.DUMMYFUNCTION("""COMPUTED_VALUE"""),"SUAREZ")</f>
        <v>SUAREZ</v>
      </c>
      <c r="C64" s="53" t="str">
        <f>IFERROR(__xludf.DUMMYFUNCTION("""COMPUTED_VALUE"""),"MUÑOZ")</f>
        <v>MUÑOZ</v>
      </c>
      <c r="D64" s="54" t="str">
        <f>IFERROR(__xludf.DUMMYFUNCTION("""COMPUTED_VALUE"""),"ALDO YAEL")</f>
        <v>ALDO YAEL</v>
      </c>
      <c r="E64" s="55">
        <f>IFERROR(__xludf.DUMMYFUNCTION("""COMPUTED_VALUE"""),6.0)</f>
        <v>6</v>
      </c>
      <c r="F64" s="55">
        <f>IFERROR(__xludf.DUMMYFUNCTION("""COMPUTED_VALUE"""),2.0)</f>
        <v>2</v>
      </c>
      <c r="G64" s="56"/>
      <c r="H64" s="57">
        <f>IFERROR(__xludf.DUMMYFUNCTION("""COMPUTED_VALUE"""),8.0)</f>
        <v>8</v>
      </c>
      <c r="I64" s="69">
        <f>IFERROR(__xludf.DUMMYFUNCTION("""COMPUTED_VALUE"""),0.0)</f>
        <v>0</v>
      </c>
      <c r="J64" s="59">
        <f>IFERROR(__xludf.DUMMYFUNCTION("""COMPUTED_VALUE"""),8.0)</f>
        <v>8</v>
      </c>
      <c r="K64" s="51"/>
      <c r="L64" s="60">
        <f>IFERROR(__xludf.DUMMYFUNCTION("""COMPUTED_VALUE"""),8.0)</f>
        <v>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70" t="str">
        <f>IFERROR(__xludf.DUMMYFUNCTION("""COMPUTED_VALUE"""),"TORRES")</f>
        <v>TORRES</v>
      </c>
      <c r="C65" s="53" t="str">
        <f>IFERROR(__xludf.DUMMYFUNCTION("""COMPUTED_VALUE"""),"DE LEON")</f>
        <v>DE LEON</v>
      </c>
      <c r="D65" s="54" t="str">
        <f>IFERROR(__xludf.DUMMYFUNCTION("""COMPUTED_VALUE"""),"AMAIRANI")</f>
        <v>AMAIRANI</v>
      </c>
      <c r="E65" s="55">
        <f>IFERROR(__xludf.DUMMYFUNCTION("""COMPUTED_VALUE"""),8.0)</f>
        <v>8</v>
      </c>
      <c r="F65" s="55">
        <f>IFERROR(__xludf.DUMMYFUNCTION("""COMPUTED_VALUE"""),2.0)</f>
        <v>2</v>
      </c>
      <c r="G65" s="56"/>
      <c r="H65" s="57">
        <f>IFERROR(__xludf.DUMMYFUNCTION("""COMPUTED_VALUE"""),10.0)</f>
        <v>10</v>
      </c>
      <c r="I65" s="69">
        <f>IFERROR(__xludf.DUMMYFUNCTION("""COMPUTED_VALUE"""),0.0)</f>
        <v>0</v>
      </c>
      <c r="J65" s="59">
        <f>IFERROR(__xludf.DUMMYFUNCTION("""COMPUTED_VALUE"""),10.0)</f>
        <v>10</v>
      </c>
      <c r="K65" s="51"/>
      <c r="L65" s="60">
        <f>IFERROR(__xludf.DUMMYFUNCTION("""COMPUTED_VALUE"""),10.0)</f>
        <v>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70" t="str">
        <f>IFERROR(__xludf.DUMMYFUNCTION("""COMPUTED_VALUE"""),"VALDEZ")</f>
        <v>VALDEZ</v>
      </c>
      <c r="C66" s="53" t="str">
        <f>IFERROR(__xludf.DUMMYFUNCTION("""COMPUTED_VALUE"""),"ROBLES")</f>
        <v>ROBLES</v>
      </c>
      <c r="D66" s="54" t="str">
        <f>IFERROR(__xludf.DUMMYFUNCTION("""COMPUTED_VALUE"""),"OSCAR YAEL")</f>
        <v>OSCAR YAEL</v>
      </c>
      <c r="E66" s="55">
        <f>IFERROR(__xludf.DUMMYFUNCTION("""COMPUTED_VALUE"""),7.0)</f>
        <v>7</v>
      </c>
      <c r="F66" s="55">
        <f>IFERROR(__xludf.DUMMYFUNCTION("""COMPUTED_VALUE"""),2.0)</f>
        <v>2</v>
      </c>
      <c r="G66" s="56"/>
      <c r="H66" s="57">
        <f>IFERROR(__xludf.DUMMYFUNCTION("""COMPUTED_VALUE"""),9.0)</f>
        <v>9</v>
      </c>
      <c r="I66" s="69">
        <f>IFERROR(__xludf.DUMMYFUNCTION("""COMPUTED_VALUE"""),1.0)</f>
        <v>1</v>
      </c>
      <c r="J66" s="59">
        <f>IFERROR(__xludf.DUMMYFUNCTION("""COMPUTED_VALUE"""),9.0)</f>
        <v>9</v>
      </c>
      <c r="K66" s="51"/>
      <c r="L66" s="60">
        <f>IFERROR(__xludf.DUMMYFUNCTION("""COMPUTED_VALUE"""),9.0)</f>
        <v>9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70" t="str">
        <f>IFERROR(__xludf.DUMMYFUNCTION("""COMPUTED_VALUE"""),"VARGAS")</f>
        <v>VARGAS</v>
      </c>
      <c r="C67" s="53" t="str">
        <f>IFERROR(__xludf.DUMMYFUNCTION("""COMPUTED_VALUE"""),"SANTOS")</f>
        <v>SANTOS</v>
      </c>
      <c r="D67" s="54" t="str">
        <f>IFERROR(__xludf.DUMMYFUNCTION("""COMPUTED_VALUE"""),"JATZIRI VANESSA")</f>
        <v>JATZIRI VANESSA</v>
      </c>
      <c r="E67" s="55">
        <f>IFERROR(__xludf.DUMMYFUNCTION("""COMPUTED_VALUE"""),7.0)</f>
        <v>7</v>
      </c>
      <c r="F67" s="55">
        <f>IFERROR(__xludf.DUMMYFUNCTION("""COMPUTED_VALUE"""),2.0)</f>
        <v>2</v>
      </c>
      <c r="G67" s="56"/>
      <c r="H67" s="57">
        <f>IFERROR(__xludf.DUMMYFUNCTION("""COMPUTED_VALUE"""),9.0)</f>
        <v>9</v>
      </c>
      <c r="I67" s="69">
        <f>IFERROR(__xludf.DUMMYFUNCTION("""COMPUTED_VALUE"""),0.0)</f>
        <v>0</v>
      </c>
      <c r="J67" s="59">
        <f>IFERROR(__xludf.DUMMYFUNCTION("""COMPUTED_VALUE"""),9.0)</f>
        <v>9</v>
      </c>
      <c r="K67" s="51"/>
      <c r="L67" s="60">
        <f>IFERROR(__xludf.DUMMYFUNCTION("""COMPUTED_VALUE"""),9.0)</f>
        <v>9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70" t="str">
        <f>IFERROR(__xludf.DUMMYFUNCTION("""COMPUTED_VALUE"""),"VELAZQUEZ")</f>
        <v>VELAZQUEZ</v>
      </c>
      <c r="C68" s="53" t="str">
        <f>IFERROR(__xludf.DUMMYFUNCTION("""COMPUTED_VALUE"""),"FIGUEROA")</f>
        <v>FIGUEROA</v>
      </c>
      <c r="D68" s="54" t="str">
        <f>IFERROR(__xludf.DUMMYFUNCTION("""COMPUTED_VALUE"""),"DANAE PAOLA")</f>
        <v>DANAE PAOLA</v>
      </c>
      <c r="E68" s="55">
        <f>IFERROR(__xludf.DUMMYFUNCTION("""COMPUTED_VALUE"""),4.0)</f>
        <v>4</v>
      </c>
      <c r="F68" s="55">
        <f>IFERROR(__xludf.DUMMYFUNCTION("""COMPUTED_VALUE"""),2.0)</f>
        <v>2</v>
      </c>
      <c r="G68" s="56"/>
      <c r="H68" s="57">
        <f>IFERROR(__xludf.DUMMYFUNCTION("""COMPUTED_VALUE"""),6.0)</f>
        <v>6</v>
      </c>
      <c r="I68" s="69">
        <f>IFERROR(__xludf.DUMMYFUNCTION("""COMPUTED_VALUE"""),1.0)</f>
        <v>1</v>
      </c>
      <c r="J68" s="59">
        <f>IFERROR(__xludf.DUMMYFUNCTION("""COMPUTED_VALUE"""),6.0)</f>
        <v>6</v>
      </c>
      <c r="K68" s="51"/>
      <c r="L68" s="60">
        <f>IFERROR(__xludf.DUMMYFUNCTION("""COMPUTED_VALUE"""),6.0)</f>
        <v>6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70" t="str">
        <f>IFERROR(__xludf.DUMMYFUNCTION("""COMPUTED_VALUE"""),"VENEGAS")</f>
        <v>VENEGAS</v>
      </c>
      <c r="C69" s="53" t="str">
        <f>IFERROR(__xludf.DUMMYFUNCTION("""COMPUTED_VALUE"""),"GONZALEZ")</f>
        <v>GONZALEZ</v>
      </c>
      <c r="D69" s="54" t="str">
        <f>IFERROR(__xludf.DUMMYFUNCTION("""COMPUTED_VALUE"""),"SANTIAGO")</f>
        <v>SANTIAGO</v>
      </c>
      <c r="E69" s="55">
        <f>IFERROR(__xludf.DUMMYFUNCTION("""COMPUTED_VALUE"""),7.0)</f>
        <v>7</v>
      </c>
      <c r="F69" s="55">
        <f>IFERROR(__xludf.DUMMYFUNCTION("""COMPUTED_VALUE"""),2.0)</f>
        <v>2</v>
      </c>
      <c r="G69" s="56"/>
      <c r="H69" s="57">
        <f>IFERROR(__xludf.DUMMYFUNCTION("""COMPUTED_VALUE"""),9.0)</f>
        <v>9</v>
      </c>
      <c r="I69" s="69">
        <f>IFERROR(__xludf.DUMMYFUNCTION("""COMPUTED_VALUE"""),0.0)</f>
        <v>0</v>
      </c>
      <c r="J69" s="59">
        <f>IFERROR(__xludf.DUMMYFUNCTION("""COMPUTED_VALUE"""),9.0)</f>
        <v>9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70" t="str">
        <f>IFERROR(__xludf.DUMMYFUNCTION("""COMPUTED_VALUE"""),"ZAMORA")</f>
        <v>ZAMORA</v>
      </c>
      <c r="C70" s="53" t="str">
        <f>IFERROR(__xludf.DUMMYFUNCTION("""COMPUTED_VALUE"""),"SEPULVEDA")</f>
        <v>SEPULVEDA</v>
      </c>
      <c r="D70" s="54" t="str">
        <f>IFERROR(__xludf.DUMMYFUNCTION("""COMPUTED_VALUE"""),"SEBASTIAN")</f>
        <v>SEBASTIAN</v>
      </c>
      <c r="E70" s="55">
        <f>IFERROR(__xludf.DUMMYFUNCTION("""COMPUTED_VALUE"""),5.0)</f>
        <v>5</v>
      </c>
      <c r="F70" s="55">
        <f>IFERROR(__xludf.DUMMYFUNCTION("""COMPUTED_VALUE"""),2.0)</f>
        <v>2</v>
      </c>
      <c r="G70" s="56"/>
      <c r="H70" s="57">
        <f>IFERROR(__xludf.DUMMYFUNCTION("""COMPUTED_VALUE"""),7.0)</f>
        <v>7</v>
      </c>
      <c r="I70" s="69">
        <f>IFERROR(__xludf.DUMMYFUNCTION("""COMPUTED_VALUE"""),0.0)</f>
        <v>0</v>
      </c>
      <c r="J70" s="59">
        <f>IFERROR(__xludf.DUMMYFUNCTION("""COMPUTED_VALUE"""),7.0)</f>
        <v>7</v>
      </c>
      <c r="K70" s="51"/>
      <c r="L70" s="7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72"/>
      <c r="C71" s="72"/>
      <c r="D71" s="72"/>
      <c r="E71" s="73"/>
      <c r="F71" s="72"/>
      <c r="G71" s="72"/>
      <c r="H71" s="72"/>
      <c r="I71" s="72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4"/>
      <c r="B72" s="75" t="str">
        <f>IFERROR(__xludf.DUMMYFUNCTION("""COMPUTED_VALUE"""),"No. DE ALUMNOS INSCRITOS")</f>
        <v>No. DE ALUMNOS INSCRITOS</v>
      </c>
      <c r="C72" s="76"/>
      <c r="D72" s="118">
        <f>IFERROR(__xludf.DUMMYFUNCTION("""COMPUTED_VALUE"""),54.0)</f>
        <v>54</v>
      </c>
      <c r="E72" s="72"/>
      <c r="F72" s="79" t="str">
        <f>IFERROR(__xludf.DUMMYFUNCTION("""COMPUTED_VALUE"""),"FIRMA DEL PROFESOR")</f>
        <v>FIRMA DEL PROFESOR</v>
      </c>
      <c r="G72" s="79"/>
      <c r="H72" s="79" t="str">
        <f>IFERROR(__xludf.DUMMYFUNCTION("""COMPUTED_VALUE"""),"FIRMA DEL ORIENTADOR")</f>
        <v>FIRMA DEL ORIENTADOR</v>
      </c>
      <c r="J72" s="119" t="str">
        <f>IFERROR(__xludf.DUMMYFUNCTION("""COMPUTED_VALUE"""),"Vo. Bo. SUBDIRECCIÓN ESCOLAR")</f>
        <v>Vo. Bo. SUBDIRECCIÓN ESCOLAR</v>
      </c>
      <c r="K72" s="81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4"/>
      <c r="B73" s="82" t="str">
        <f>IFERROR(__xludf.DUMMYFUNCTION("""COMPUTED_VALUE"""),"BAJAS DURANTE EL SEMESTRE")</f>
        <v>BAJAS DURANTE EL SEMESTRE</v>
      </c>
      <c r="C73" s="83"/>
      <c r="D73" s="84">
        <f>IFERROR(__xludf.DUMMYFUNCTION("""COMPUTED_VALUE"""),0.0)</f>
        <v>0</v>
      </c>
      <c r="E73" s="72"/>
      <c r="G73" s="79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4"/>
      <c r="B74" s="82" t="str">
        <f>IFERROR(__xludf.DUMMYFUNCTION("""COMPUTED_VALUE"""),"EXISTENCIA")</f>
        <v>EXISTENCIA</v>
      </c>
      <c r="C74" s="83"/>
      <c r="D74" s="85">
        <f>IFERROR(__xludf.DUMMYFUNCTION("""COMPUTED_VALUE"""),54.0)</f>
        <v>54</v>
      </c>
      <c r="E74" s="72"/>
      <c r="F74" s="86"/>
      <c r="G74" s="87"/>
      <c r="H74" s="86"/>
      <c r="I74" s="86"/>
      <c r="J74" s="88"/>
      <c r="K74" s="8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4"/>
      <c r="B75" s="82" t="str">
        <f>IFERROR(__xludf.DUMMYFUNCTION("""COMPUTED_VALUE"""),"No. DE ALUMNOS APROBADOS")</f>
        <v>No. DE ALUMNOS APROBADOS</v>
      </c>
      <c r="C75" s="83"/>
      <c r="D75" s="85">
        <f>IFERROR(__xludf.DUMMYFUNCTION("""COMPUTED_VALUE"""),52.0)</f>
        <v>52</v>
      </c>
      <c r="E75" s="72"/>
      <c r="F75" s="86"/>
      <c r="G75" s="87"/>
      <c r="H75" s="86"/>
      <c r="I75" s="86"/>
      <c r="J75" s="88"/>
      <c r="K75" s="8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4"/>
      <c r="B76" s="82" t="str">
        <f>IFERROR(__xludf.DUMMYFUNCTION("""COMPUTED_VALUE"""),"No. DE ALUMNOS REPROBADOS")</f>
        <v>No. DE ALUMNOS REPROBADOS</v>
      </c>
      <c r="C76" s="83"/>
      <c r="D76" s="85">
        <f>IFERROR(__xludf.DUMMYFUNCTION("""COMPUTED_VALUE"""),2.0)</f>
        <v>2</v>
      </c>
      <c r="E76" s="72"/>
      <c r="F76" s="90" t="str">
        <f>IFERROR(__xludf.DUMMYFUNCTION("""COMPUTED_VALUE"""),"LINARES FLORES ARACELI")</f>
        <v>LINARES FLORES ARACELI</v>
      </c>
      <c r="G76" s="87"/>
      <c r="H76" s="90"/>
      <c r="I76" s="90"/>
      <c r="J76" s="91"/>
      <c r="K76" s="9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4"/>
      <c r="B77" s="82" t="str">
        <f>IFERROR(__xludf.DUMMYFUNCTION("""COMPUTED_VALUE"""),"% DE APROBADOS")</f>
        <v>% DE APROBADOS</v>
      </c>
      <c r="C77" s="83"/>
      <c r="D77" s="93">
        <f>IFERROR(__xludf.DUMMYFUNCTION("""COMPUTED_VALUE"""),96.29629629629629)</f>
        <v>96.2962963</v>
      </c>
      <c r="E77" s="72"/>
      <c r="F77" s="94" t="str">
        <f>IFERROR(__xludf.DUMMYFUNCTION("""COMPUTED_VALUE"""),"PROFR. ")</f>
        <v>PROFR. </v>
      </c>
      <c r="G77" s="95"/>
      <c r="H77" s="96" t="str">
        <f>IFERROR(__xludf.DUMMYFUNCTION("""COMPUTED_VALUE"""),"PROFRA. SANDRA DIAZ CAMARENA")</f>
        <v>PROFRA. SANDRA DIAZ CAMARENA</v>
      </c>
      <c r="J77" s="96" t="str">
        <f>IFERROR(__xludf.DUMMYFUNCTION("""COMPUTED_VALUE"""),"PROFR. OCTAVIO VÁZQUEZ BARRETO")</f>
        <v>PROFR. OCTAVIO VÁZQUEZ BARRETO</v>
      </c>
      <c r="K77" s="97" t="str">
        <f>IFERROR(__xludf.DUMMYFUNCTION("""COMPUTED_VALUE"""),"PROFR. ROBERTO PALOMARES MEJÍA ")</f>
        <v>PROFR. ROBERTO PALOMARES MEJÍA </v>
      </c>
      <c r="L77" s="9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4"/>
      <c r="B78" s="99" t="str">
        <f>IFERROR(__xludf.DUMMYFUNCTION("""COMPUTED_VALUE"""),"PROMEDIO")</f>
        <v>PROMEDIO</v>
      </c>
      <c r="C78" s="100"/>
      <c r="D78" s="101">
        <f>IFERROR(__xludf.DUMMYFUNCTION("""COMPUTED_VALUE"""),8.166666666666666)</f>
        <v>8.166666667</v>
      </c>
      <c r="E78" s="72"/>
      <c r="G78" s="95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02"/>
      <c r="B80" s="103"/>
      <c r="C80" s="104"/>
      <c r="D80" s="104"/>
      <c r="E80" s="72"/>
      <c r="G80" s="7"/>
      <c r="H80" s="7"/>
      <c r="I80" s="7"/>
      <c r="J80" s="7"/>
      <c r="K80" s="105"/>
      <c r="L80" s="10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7"/>
      <c r="B81" s="72"/>
      <c r="C81" s="72"/>
      <c r="D81" s="72"/>
      <c r="E81" s="7"/>
      <c r="F81" s="1"/>
      <c r="G81" s="1"/>
      <c r="H81" s="1"/>
      <c r="I81" s="1"/>
      <c r="J81" s="1"/>
      <c r="K81" s="8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7"/>
      <c r="B82" s="72"/>
      <c r="C82" s="72"/>
      <c r="D82" s="72"/>
      <c r="E82" s="7"/>
      <c r="F82" s="1"/>
      <c r="G82" s="1"/>
      <c r="H82" s="1"/>
      <c r="I82" s="1"/>
      <c r="J82" s="1"/>
      <c r="K82" s="8"/>
      <c r="L82" s="10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9"/>
      <c r="B83" s="110"/>
      <c r="C83" s="110"/>
      <c r="D83" s="110"/>
      <c r="E83" s="111"/>
      <c r="F83" s="112"/>
      <c r="G83" s="112"/>
      <c r="H83" s="112"/>
      <c r="I83" s="112"/>
      <c r="J83" s="112"/>
      <c r="K83" s="113"/>
      <c r="L83" s="10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4"/>
      <c r="C84" s="114"/>
      <c r="D84" s="114"/>
      <c r="E84" s="114"/>
      <c r="F84" s="1"/>
      <c r="G84" s="1"/>
      <c r="H84" s="1"/>
      <c r="I84" s="1"/>
      <c r="J84" s="115"/>
      <c r="K84" s="115"/>
      <c r="L84" s="11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4"/>
      <c r="C85" s="114"/>
      <c r="D85" s="114"/>
      <c r="E85" s="114"/>
      <c r="F85" s="1"/>
      <c r="G85" s="1"/>
      <c r="H85" s="1"/>
      <c r="I85" s="1"/>
      <c r="J85" s="115"/>
      <c r="K85" s="115"/>
      <c r="L85" s="11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4"/>
      <c r="C86" s="114"/>
      <c r="D86" s="114"/>
      <c r="E86" s="114"/>
      <c r="F86" s="1"/>
      <c r="G86" s="1"/>
      <c r="H86" s="1"/>
      <c r="I86" s="1"/>
      <c r="J86" s="115"/>
      <c r="K86" s="115"/>
      <c r="L86" s="11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4"/>
      <c r="C87" s="114"/>
      <c r="D87" s="114"/>
      <c r="E87" s="114"/>
      <c r="F87" s="1"/>
      <c r="G87" s="1"/>
      <c r="H87" s="1"/>
      <c r="I87" s="1"/>
      <c r="J87" s="115"/>
      <c r="K87" s="115"/>
      <c r="L87" s="11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4"/>
      <c r="C88" s="114"/>
      <c r="D88" s="114"/>
      <c r="E88" s="1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4"/>
      <c r="C89" s="114"/>
      <c r="D89" s="114"/>
      <c r="E89" s="114"/>
      <c r="F89" s="1"/>
      <c r="G89" s="1"/>
      <c r="H89" s="1"/>
      <c r="I89" s="1"/>
      <c r="J89" s="1"/>
      <c r="K89" s="11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4"/>
      <c r="C90" s="114"/>
      <c r="D90" s="114"/>
      <c r="E90" s="11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4"/>
      <c r="C91" s="114"/>
      <c r="D91" s="114"/>
      <c r="E91" s="11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4"/>
      <c r="C92" s="114"/>
      <c r="D92" s="114"/>
      <c r="E92" s="11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4"/>
      <c r="C93" s="114"/>
      <c r="D93" s="114"/>
      <c r="E93" s="11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4"/>
      <c r="C94" s="114"/>
      <c r="D94" s="114"/>
      <c r="E94" s="11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4"/>
      <c r="C95" s="114"/>
      <c r="D95" s="114"/>
      <c r="E95" s="11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IFERROR(__xludf.DUMMYFUNCTION("IMPORTRANGE(""https://docs.google.com/spreadsheets/d/1US3L4S9thycvZorF32iOJOUyVHiZpdLMZYtLmcBKODQ/edit?gid=1928525592#gid=1928525592"",""1-3 pensamiento filosofico y humanidades ii!A1:Q86"")"),"")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IFERROR(__xludf.DUMMYFUNCTION("""COMPUTED_VALUE"""),"LAURITA  MARTINEZ PEREZ")</f>
        <v>LAURITA  MARTINEZ PEREZ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IFERROR(__xludf.DUMMYFUNCTION("""COMPUTED_VALUE"""),"PENSAMIENTO FILOSÓFICO Y HUMANIDADES II")</f>
        <v>PENSAMIENTO FILOSÓFICO Y HUMANIDADES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IFERROR(__xludf.DUMMYFUNCTION("""COMPUTED_VALUE"""),"VARELA")</f>
        <v>VARELA</v>
      </c>
      <c r="D17" s="54" t="str">
        <f>IFERROR(__xludf.DUMMYFUNCTION("""COMPUTED_VALUE"""),"ISAIAS HAZAEL")</f>
        <v>ISAIAS HAZAEL</v>
      </c>
      <c r="E17" s="55">
        <f>IFERROR(__xludf.DUMMYFUNCTION("""COMPUTED_VALUE"""),8.0)</f>
        <v>8</v>
      </c>
      <c r="F17" s="55">
        <f>IFERROR(__xludf.DUMMYFUNCTION("""COMPUTED_VALUE"""),2.0)</f>
        <v>2</v>
      </c>
      <c r="G17" s="56"/>
      <c r="H17" s="57">
        <f>IFERROR(__xludf.DUMMYFUNCTION("""COMPUTED_VALUE"""),10.0)</f>
        <v>10</v>
      </c>
      <c r="I17" s="58">
        <f>IFERROR(__xludf.DUMMYFUNCTION("""COMPUTED_VALUE"""),6.0)</f>
        <v>6</v>
      </c>
      <c r="J17" s="59">
        <f>IFERROR(__xludf.DUMMYFUNCTION("""COMPUTED_VALUE"""),10.0)</f>
        <v>10</v>
      </c>
      <c r="K17" s="60"/>
      <c r="L17" s="61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IFERROR(__xludf.DUMMYFUNCTION("""COMPUTED_VALUE"""),"ANDRADE")</f>
        <v>ANDRADE</v>
      </c>
      <c r="C18" s="53" t="str">
        <f>IFERROR(__xludf.DUMMYFUNCTION("""COMPUTED_VALUE"""),"LOPEZ")</f>
        <v>LOPEZ</v>
      </c>
      <c r="D18" s="54" t="str">
        <f>IFERROR(__xludf.DUMMYFUNCTION("""COMPUTED_VALUE"""),"DAVID EMILIANO")</f>
        <v>DAVID EMILIANO</v>
      </c>
      <c r="E18" s="55">
        <f>IFERROR(__xludf.DUMMYFUNCTION("""COMPUTED_VALUE"""),8.0)</f>
        <v>8</v>
      </c>
      <c r="F18" s="55">
        <f>IFERROR(__xludf.DUMMYFUNCTION("""COMPUTED_VALUE"""),2.0)</f>
        <v>2</v>
      </c>
      <c r="G18" s="56"/>
      <c r="H18" s="57">
        <f>IFERROR(__xludf.DUMMYFUNCTION("""COMPUTED_VALUE"""),10.0)</f>
        <v>10</v>
      </c>
      <c r="I18" s="58">
        <f>IFERROR(__xludf.DUMMYFUNCTION("""COMPUTED_VALUE"""),6.0)</f>
        <v>6</v>
      </c>
      <c r="J18" s="59">
        <f>IFERROR(__xludf.DUMMYFUNCTION("""COMPUTED_VALUE"""),10.0)</f>
        <v>10</v>
      </c>
      <c r="K18" s="51"/>
      <c r="L18" s="61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IFERROR(__xludf.DUMMYFUNCTION("""COMPUTED_VALUE"""),10.0)</f>
        <v>10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IFERROR(__xludf.DUMMYFUNCTION("""COMPUTED_VALUE"""),"ARELLANO")</f>
        <v>ARELLANO</v>
      </c>
      <c r="C19" s="53" t="str">
        <f>IFERROR(__xludf.DUMMYFUNCTION("""COMPUTED_VALUE"""),"RAMIREZ")</f>
        <v>RAMIREZ</v>
      </c>
      <c r="D19" s="54" t="str">
        <f>IFERROR(__xludf.DUMMYFUNCTION("""COMPUTED_VALUE"""),"ALEJANDRO")</f>
        <v>ALEJANDRO</v>
      </c>
      <c r="E19" s="56">
        <f>IFERROR(__xludf.DUMMYFUNCTION("""COMPUTED_VALUE"""),7.6)</f>
        <v>7.6</v>
      </c>
      <c r="F19" s="55">
        <f>IFERROR(__xludf.DUMMYFUNCTION("""COMPUTED_VALUE"""),2.0)</f>
        <v>2</v>
      </c>
      <c r="G19" s="56"/>
      <c r="H19" s="57">
        <f>IFERROR(__xludf.DUMMYFUNCTION("""COMPUTED_VALUE"""),9.6)</f>
        <v>9.6</v>
      </c>
      <c r="I19" s="58">
        <f>IFERROR(__xludf.DUMMYFUNCTION("""COMPUTED_VALUE"""),2.0)</f>
        <v>2</v>
      </c>
      <c r="J19" s="59">
        <f>IFERROR(__xludf.DUMMYFUNCTION("""COMPUTED_VALUE"""),10.0)</f>
        <v>10</v>
      </c>
      <c r="K19" s="51"/>
      <c r="L19" s="61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IFERROR(__xludf.DUMMYFUNCTION("""COMPUTED_VALUE"""),14.0)</f>
        <v>14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IFERROR(__xludf.DUMMYFUNCTION("""COMPUTED_VALUE"""),"AVILA")</f>
        <v>AVILA</v>
      </c>
      <c r="C20" s="53" t="str">
        <f>IFERROR(__xludf.DUMMYFUNCTION("""COMPUTED_VALUE"""),"GARCIA")</f>
        <v>GARCIA</v>
      </c>
      <c r="D20" s="54" t="str">
        <f>IFERROR(__xludf.DUMMYFUNCTION("""COMPUTED_VALUE"""),"PARIS PAOLETTE")</f>
        <v>PARIS PAOLETTE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/>
      <c r="H20" s="57">
        <f>IFERROR(__xludf.DUMMYFUNCTION("""COMPUTED_VALUE"""),10.0)</f>
        <v>10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>
        <f>IFERROR(__xludf.DUMMYFUNCTION("""COMPUTED_VALUE"""),12.0)</f>
        <v>12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IFERROR(__xludf.DUMMYFUNCTION("""COMPUTED_VALUE"""),"BARRERA")</f>
        <v>BARRERA</v>
      </c>
      <c r="C21" s="62"/>
      <c r="D21" s="54" t="str">
        <f>IFERROR(__xludf.DUMMYFUNCTION("""COMPUTED_VALUE"""),"NAEEM")</f>
        <v>NAEEM</v>
      </c>
      <c r="E21" s="55">
        <f>IFERROR(__xludf.DUMMYFUNCTION("""COMPUTED_VALUE"""),7.6)</f>
        <v>7.6</v>
      </c>
      <c r="F21" s="55">
        <f>IFERROR(__xludf.DUMMYFUNCTION("""COMPUTED_VALUE"""),2.0)</f>
        <v>2</v>
      </c>
      <c r="G21" s="56"/>
      <c r="H21" s="57">
        <f>IFERROR(__xludf.DUMMYFUNCTION("""COMPUTED_VALUE"""),9.6)</f>
        <v>9.6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IFERROR(__xludf.DUMMYFUNCTION("""COMPUTED_VALUE"""),14.0)</f>
        <v>14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3" t="str">
        <f>IFERROR(__xludf.DUMMYFUNCTION("""COMPUTED_VALUE"""),"BLANCO")</f>
        <v>BLANCO</v>
      </c>
      <c r="C22" s="53" t="str">
        <f>IFERROR(__xludf.DUMMYFUNCTION("""COMPUTED_VALUE"""),"JARAMILLO")</f>
        <v>JARAMILLO</v>
      </c>
      <c r="D22" s="54" t="str">
        <f>IFERROR(__xludf.DUMMYFUNCTION("""COMPUTED_VALUE"""),"INGRID NATALIA")</f>
        <v>INGRID NATALIA</v>
      </c>
      <c r="E22" s="55">
        <f>IFERROR(__xludf.DUMMYFUNCTION("""COMPUTED_VALUE"""),8.0)</f>
        <v>8</v>
      </c>
      <c r="F22" s="55">
        <f>IFERROR(__xludf.DUMMYFUNCTION("""COMPUTED_VALUE"""),2.0)</f>
        <v>2</v>
      </c>
      <c r="G22" s="56"/>
      <c r="H22" s="57">
        <f>IFERROR(__xludf.DUMMYFUNCTION("""COMPUTED_VALUE"""),10.0)</f>
        <v>10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IFERROR(__xludf.DUMMYFUNCTION("""COMPUTED_VALUE"""),10.0)</f>
        <v>10</v>
      </c>
      <c r="M22" s="1" t="str">
        <f>IFERROR(__xludf.DUMMYFUNCTION("""COMPUTED_VALUE"""),"Junio")</f>
        <v>Junio</v>
      </c>
      <c r="N22" s="1">
        <f>IFERROR(__xludf.DUMMYFUNCTION("""COMPUTED_VALUE"""),18.0)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IFERROR(__xludf.DUMMYFUNCTION("""COMPUTED_VALUE"""),"CARLOS")</f>
        <v>CARLOS</v>
      </c>
      <c r="C23" s="53" t="str">
        <f>IFERROR(__xludf.DUMMYFUNCTION("""COMPUTED_VALUE"""),"DE LA CRUZ")</f>
        <v>DE LA CRUZ</v>
      </c>
      <c r="D23" s="54" t="str">
        <f>IFERROR(__xludf.DUMMYFUNCTION("""COMPUTED_VALUE"""),"JAVIER")</f>
        <v>JAVIER</v>
      </c>
      <c r="E23" s="55">
        <f>IFERROR(__xludf.DUMMYFUNCTION("""COMPUTED_VALUE"""),7.4)</f>
        <v>7.4</v>
      </c>
      <c r="F23" s="55">
        <f>IFERROR(__xludf.DUMMYFUNCTION("""COMPUTED_VALUE"""),2.0)</f>
        <v>2</v>
      </c>
      <c r="G23" s="56">
        <f>IFERROR(__xludf.DUMMYFUNCTION("""COMPUTED_VALUE"""),1.0)</f>
        <v>1</v>
      </c>
      <c r="H23" s="57">
        <f>IFERROR(__xludf.DUMMYFUNCTION("""COMPUTED_VALUE"""),10.4)</f>
        <v>10.4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IFERROR(__xludf.DUMMYFUNCTION("""COMPUTED_VALUE"""),10.0)</f>
        <v>10</v>
      </c>
      <c r="M23" s="1" t="str">
        <f>IFERROR(__xludf.DUMMYFUNCTION("""COMPUTED_VALUE"""),"Julio")</f>
        <v>Julio</v>
      </c>
      <c r="N23" s="1">
        <f>IFERROR(__xludf.DUMMYFUNCTION("""COMPUTED_VALUE"""),10.0)</f>
        <v>10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IFERROR(__xludf.DUMMYFUNCTION("""COMPUTED_VALUE"""),"CARRICHE")</f>
        <v>CARRICHE</v>
      </c>
      <c r="C24" s="53" t="str">
        <f>IFERROR(__xludf.DUMMYFUNCTION("""COMPUTED_VALUE"""),"HERNANDEZ")</f>
        <v>HERNANDEZ</v>
      </c>
      <c r="D24" s="54" t="str">
        <f>IFERROR(__xludf.DUMMYFUNCTION("""COMPUTED_VALUE"""),"DIEGO IVAN")</f>
        <v>DIEGO IVAN</v>
      </c>
      <c r="E24" s="56">
        <f>IFERROR(__xludf.DUMMYFUNCTION("""COMPUTED_VALUE"""),5.8)</f>
        <v>5.8</v>
      </c>
      <c r="F24" s="55">
        <f>IFERROR(__xludf.DUMMYFUNCTION("""COMPUTED_VALUE"""),2.0)</f>
        <v>2</v>
      </c>
      <c r="G24" s="56">
        <f>IFERROR(__xludf.DUMMYFUNCTION("""COMPUTED_VALUE"""),1.0)</f>
        <v>1</v>
      </c>
      <c r="H24" s="57">
        <f>IFERROR(__xludf.DUMMYFUNCTION("""COMPUTED_VALUE"""),8.8)</f>
        <v>8.8</v>
      </c>
      <c r="I24" s="58">
        <f>IFERROR(__xludf.DUMMYFUNCTION("""COMPUTED_VALUE"""),0.0)</f>
        <v>0</v>
      </c>
      <c r="J24" s="59">
        <f>IFERROR(__xludf.DUMMYFUNCTION("""COMPUTED_VALUE"""),9.0)</f>
        <v>9</v>
      </c>
      <c r="K24" s="51"/>
      <c r="L24" s="61">
        <f>IFERROR(__xludf.DUMMYFUNCTION("""COMPUTED_VALUE"""),9.0)</f>
        <v>9</v>
      </c>
      <c r="M24" s="1" t="str">
        <f>IFERROR(__xludf.DUMMYFUNCTION("""COMPUTED_VALUE"""),"TOTAL")</f>
        <v>TOTAL</v>
      </c>
      <c r="N24" s="1">
        <f>IFERROR(__xludf.DUMMYFUNCTION("""COMPUTED_VALUE"""),78.0)</f>
        <v>78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IFERROR(__xludf.DUMMYFUNCTION("""COMPUTED_VALUE"""),"CASTILLO")</f>
        <v>CASTILLO</v>
      </c>
      <c r="C25" s="53" t="str">
        <f>IFERROR(__xludf.DUMMYFUNCTION("""COMPUTED_VALUE"""),"DOMINGUEZ")</f>
        <v>DOMINGUEZ</v>
      </c>
      <c r="D25" s="54" t="str">
        <f>IFERROR(__xludf.DUMMYFUNCTION("""COMPUTED_VALUE"""),"EMANUEL")</f>
        <v>EMANUEL</v>
      </c>
      <c r="E25" s="55">
        <f>IFERROR(__xludf.DUMMYFUNCTION("""COMPUTED_VALUE"""),7.0)</f>
        <v>7</v>
      </c>
      <c r="F25" s="55">
        <f>IFERROR(__xludf.DUMMYFUNCTION("""COMPUTED_VALUE"""),2.0)</f>
        <v>2</v>
      </c>
      <c r="G25" s="56">
        <f>IFERROR(__xludf.DUMMYFUNCTION("""COMPUTED_VALUE"""),1.0)</f>
        <v>1</v>
      </c>
      <c r="H25" s="57">
        <f>IFERROR(__xludf.DUMMYFUNCTION("""COMPUTED_VALUE"""),10.0)</f>
        <v>10</v>
      </c>
      <c r="I25" s="58">
        <f>IFERROR(__xludf.DUMMYFUNCTION("""COMPUTED_VALUE"""),0.0)</f>
        <v>0</v>
      </c>
      <c r="J25" s="59">
        <f>IFERROR(__xludf.DUMMYFUNCTION("""COMPUTED_VALUE"""),10.0)</f>
        <v>10</v>
      </c>
      <c r="K25" s="51"/>
      <c r="L25" s="61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IFERROR(__xludf.DUMMYFUNCTION("""COMPUTED_VALUE"""),"COMO")</f>
        <v>COMO</v>
      </c>
      <c r="C26" s="53" t="str">
        <f>IFERROR(__xludf.DUMMYFUNCTION("""COMPUTED_VALUE"""),"MONTOYA")</f>
        <v>MONTOYA</v>
      </c>
      <c r="D26" s="54" t="str">
        <f>IFERROR(__xludf.DUMMYFUNCTION("""COMPUTED_VALUE"""),"ANGEL GIOVANNY")</f>
        <v>ANGEL GIOVANNY</v>
      </c>
      <c r="E26" s="56">
        <f>IFERROR(__xludf.DUMMYFUNCTION("""COMPUTED_VALUE"""),5.2)</f>
        <v>5.2</v>
      </c>
      <c r="F26" s="55">
        <f>IFERROR(__xludf.DUMMYFUNCTION("""COMPUTED_VALUE"""),2.0)</f>
        <v>2</v>
      </c>
      <c r="G26" s="56">
        <f>IFERROR(__xludf.DUMMYFUNCTION("""COMPUTED_VALUE"""),2.0)</f>
        <v>2</v>
      </c>
      <c r="H26" s="57">
        <f>IFERROR(__xludf.DUMMYFUNCTION("""COMPUTED_VALUE"""),9.2)</f>
        <v>9.2</v>
      </c>
      <c r="I26" s="58">
        <f>IFERROR(__xludf.DUMMYFUNCTION("""COMPUTED_VALUE"""),0.0)</f>
        <v>0</v>
      </c>
      <c r="J26" s="59">
        <f>IFERROR(__xludf.DUMMYFUNCTION("""COMPUTED_VALUE"""),9.0)</f>
        <v>9</v>
      </c>
      <c r="K26" s="51"/>
      <c r="L26" s="61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IFERROR(__xludf.DUMMYFUNCTION("""COMPUTED_VALUE"""),"CORTES")</f>
        <v>CORTES</v>
      </c>
      <c r="C27" s="53" t="str">
        <f>IFERROR(__xludf.DUMMYFUNCTION("""COMPUTED_VALUE"""),"VAZQUEZ")</f>
        <v>VAZQUEZ</v>
      </c>
      <c r="D27" s="53" t="str">
        <f>IFERROR(__xludf.DUMMYFUNCTION("""COMPUTED_VALUE"""),"ZULEIMA")</f>
        <v>ZULEIMA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/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IFERROR(__xludf.DUMMYFUNCTION("""COMPUTED_VALUE"""),"CRUZ")</f>
        <v>CRUZ</v>
      </c>
      <c r="C28" s="53" t="str">
        <f>IFERROR(__xludf.DUMMYFUNCTION("""COMPUTED_VALUE"""),"BAUTISTA")</f>
        <v>BAUTISTA</v>
      </c>
      <c r="D28" s="54" t="str">
        <f>IFERROR(__xludf.DUMMYFUNCTION("""COMPUTED_VALUE"""),"YAEL ABDIEL")</f>
        <v>YAEL ABDIEL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/>
      <c r="H28" s="57">
        <f>IFERROR(__xludf.DUMMYFUNCTION("""COMPUTED_VALUE"""),10.0)</f>
        <v>10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3" t="str">
        <f>IFERROR(__xludf.DUMMYFUNCTION("""COMPUTED_VALUE"""),"NUÑEZ")</f>
        <v>NUÑEZ</v>
      </c>
      <c r="D29" s="54" t="str">
        <f>IFERROR(__xludf.DUMMYFUNCTION("""COMPUTED_VALUE"""),"XIMENA LIZVET")</f>
        <v>XIMENA LIZVET</v>
      </c>
      <c r="E29" s="55">
        <f>IFERROR(__xludf.DUMMYFUNCTION("""COMPUTED_VALUE"""),8.0)</f>
        <v>8</v>
      </c>
      <c r="F29" s="55">
        <f>IFERROR(__xludf.DUMMYFUNCTION("""COMPUTED_VALUE"""),2.0)</f>
        <v>2</v>
      </c>
      <c r="G29" s="56"/>
      <c r="H29" s="57">
        <f>IFERROR(__xludf.DUMMYFUNCTION("""COMPUTED_VALUE"""),10.0)</f>
        <v>10</v>
      </c>
      <c r="I29" s="58">
        <f>IFERROR(__xludf.DUMMYFUNCTION("""COMPUTED_VALUE"""),2.0)</f>
        <v>2</v>
      </c>
      <c r="J29" s="59">
        <f>IFERROR(__xludf.DUMMYFUNCTION("""COMPUTED_VALUE"""),10.0)</f>
        <v>10</v>
      </c>
      <c r="K29" s="51"/>
      <c r="L29" s="61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IFERROR(__xludf.DUMMYFUNCTION("""COMPUTED_VALUE"""),"DE JESUS")</f>
        <v>DE JESUS</v>
      </c>
      <c r="C30" s="53" t="str">
        <f>IFERROR(__xludf.DUMMYFUNCTION("""COMPUTED_VALUE"""),"GONZALEZ")</f>
        <v>GONZALEZ</v>
      </c>
      <c r="D30" s="54" t="str">
        <f>IFERROR(__xludf.DUMMYFUNCTION("""COMPUTED_VALUE"""),"SHARON NOEMI")</f>
        <v>SHARON NOEMI</v>
      </c>
      <c r="E30" s="56">
        <f>IFERROR(__xludf.DUMMYFUNCTION("""COMPUTED_VALUE"""),7.2)</f>
        <v>7.2</v>
      </c>
      <c r="F30" s="55">
        <f>IFERROR(__xludf.DUMMYFUNCTION("""COMPUTED_VALUE"""),2.0)</f>
        <v>2</v>
      </c>
      <c r="G30" s="56">
        <f>IFERROR(__xludf.DUMMYFUNCTION("""COMPUTED_VALUE"""),1.0)</f>
        <v>1</v>
      </c>
      <c r="H30" s="57">
        <f>IFERROR(__xludf.DUMMYFUNCTION("""COMPUTED_VALUE"""),10.2)</f>
        <v>10.2</v>
      </c>
      <c r="I30" s="58">
        <f>IFERROR(__xludf.DUMMYFUNCTION("""COMPUTED_VALUE"""),2.0)</f>
        <v>2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IFERROR(__xludf.DUMMYFUNCTION("""COMPUTED_VALUE"""),"DE SANTIAGO")</f>
        <v>DE SANTIAGO</v>
      </c>
      <c r="C31" s="64" t="str">
        <f>IFERROR(__xludf.DUMMYFUNCTION("""COMPUTED_VALUE"""),"SANCHEZ")</f>
        <v>SANCHEZ</v>
      </c>
      <c r="D31" s="54" t="str">
        <f>IFERROR(__xludf.DUMMYFUNCTION("""COMPUTED_VALUE"""),"OSCAR")</f>
        <v>OSCAR</v>
      </c>
      <c r="E31" s="56">
        <f>IFERROR(__xludf.DUMMYFUNCTION("""COMPUTED_VALUE"""),6.6)</f>
        <v>6.6</v>
      </c>
      <c r="F31" s="55">
        <f>IFERROR(__xludf.DUMMYFUNCTION("""COMPUTED_VALUE"""),2.0)</f>
        <v>2</v>
      </c>
      <c r="G31" s="56">
        <f>IFERROR(__xludf.DUMMYFUNCTION("""COMPUTED_VALUE"""),1.0)</f>
        <v>1</v>
      </c>
      <c r="H31" s="57">
        <f>IFERROR(__xludf.DUMMYFUNCTION("""COMPUTED_VALUE"""),9.6)</f>
        <v>9.6</v>
      </c>
      <c r="I31" s="58">
        <f>IFERROR(__xludf.DUMMYFUNCTION("""COMPUTED_VALUE"""),2.0)</f>
        <v>2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IFERROR(__xludf.DUMMYFUNCTION("""COMPUTED_VALUE"""),"DOMINGUEZ")</f>
        <v>DOMINGUEZ</v>
      </c>
      <c r="C32" s="53" t="str">
        <f>IFERROR(__xludf.DUMMYFUNCTION("""COMPUTED_VALUE"""),"RODRIGUEZ")</f>
        <v>RODRIGUEZ</v>
      </c>
      <c r="D32" s="54" t="str">
        <f>IFERROR(__xludf.DUMMYFUNCTION("""COMPUTED_VALUE"""),"ISABELLA VICTORIA")</f>
        <v>ISABELLA VICTORIA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/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IFERROR(__xludf.DUMMYFUNCTION("""COMPUTED_VALUE"""),"ESLAVA")</f>
        <v>ESLAVA</v>
      </c>
      <c r="C33" s="53" t="str">
        <f>IFERROR(__xludf.DUMMYFUNCTION("""COMPUTED_VALUE"""),"CEDILLO")</f>
        <v>CEDILLO</v>
      </c>
      <c r="D33" s="54" t="str">
        <f>IFERROR(__xludf.DUMMYFUNCTION("""COMPUTED_VALUE"""),"DIEGO EVERARDO")</f>
        <v>DIEGO EVERARDO</v>
      </c>
      <c r="E33" s="55">
        <f>IFERROR(__xludf.DUMMYFUNCTION("""COMPUTED_VALUE"""),6.5)</f>
        <v>6.5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IFERROR(__xludf.DUMMYFUNCTION("""COMPUTED_VALUE"""),9.5)</f>
        <v>9.5</v>
      </c>
      <c r="I33" s="58">
        <f>IFERROR(__xludf.DUMMYFUNCTION("""COMPUTED_VALUE"""),4.0)</f>
        <v>4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IFERROR(__xludf.DUMMYFUNCTION("""COMPUTED_VALUE"""),"FLORES")</f>
        <v>FLORES</v>
      </c>
      <c r="C34" s="53" t="str">
        <f>IFERROR(__xludf.DUMMYFUNCTION("""COMPUTED_VALUE"""),"GARCIA")</f>
        <v>GARCIA</v>
      </c>
      <c r="D34" s="54" t="str">
        <f>IFERROR(__xludf.DUMMYFUNCTION("""COMPUTED_VALUE"""),"BYRON ALBERTO")</f>
        <v>BYRON ALBERTO</v>
      </c>
      <c r="E34" s="56">
        <f>IFERROR(__xludf.DUMMYFUNCTION("""COMPUTED_VALUE"""),7.8)</f>
        <v>7.8</v>
      </c>
      <c r="F34" s="55">
        <f>IFERROR(__xludf.DUMMYFUNCTION("""COMPUTED_VALUE"""),2.0)</f>
        <v>2</v>
      </c>
      <c r="G34" s="56"/>
      <c r="H34" s="57">
        <f>IFERROR(__xludf.DUMMYFUNCTION("""COMPUTED_VALUE"""),9.8)</f>
        <v>9.8</v>
      </c>
      <c r="I34" s="58">
        <f>IFERROR(__xludf.DUMMYFUNCTION("""COMPUTED_VALUE"""),0.0)</f>
        <v>0</v>
      </c>
      <c r="J34" s="59">
        <f>IFERROR(__xludf.DUMMYFUNCTION("""COMPUTED_VALUE"""),10.0)</f>
        <v>10</v>
      </c>
      <c r="K34" s="51"/>
      <c r="L34" s="61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IFERROR(__xludf.DUMMYFUNCTION("""COMPUTED_VALUE"""),"GARCIA")</f>
        <v>GARCIA</v>
      </c>
      <c r="C35" s="53" t="str">
        <f>IFERROR(__xludf.DUMMYFUNCTION("""COMPUTED_VALUE"""),"ESCOBAR")</f>
        <v>ESCOBAR</v>
      </c>
      <c r="D35" s="54" t="str">
        <f>IFERROR(__xludf.DUMMYFUNCTION("""COMPUTED_VALUE"""),"DALIA ANGELINA")</f>
        <v>DALIA ANGELINA</v>
      </c>
      <c r="E35" s="55">
        <f>IFERROR(__xludf.DUMMYFUNCTION("""COMPUTED_VALUE"""),7.3)</f>
        <v>7.3</v>
      </c>
      <c r="F35" s="55">
        <f>IFERROR(__xludf.DUMMYFUNCTION("""COMPUTED_VALUE"""),2.0)</f>
        <v>2</v>
      </c>
      <c r="G35" s="56">
        <f>IFERROR(__xludf.DUMMYFUNCTION("""COMPUTED_VALUE"""),1.0)</f>
        <v>1</v>
      </c>
      <c r="H35" s="57">
        <f>IFERROR(__xludf.DUMMYFUNCTION("""COMPUTED_VALUE"""),10.3)</f>
        <v>10.3</v>
      </c>
      <c r="I35" s="58">
        <f>IFERROR(__xludf.DUMMYFUNCTION("""COMPUTED_VALUE"""),4.0)</f>
        <v>4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IFERROR(__xludf.DUMMYFUNCTION("""COMPUTED_VALUE"""),"GONZALEZ")</f>
        <v>GONZALEZ</v>
      </c>
      <c r="C36" s="53" t="str">
        <f>IFERROR(__xludf.DUMMYFUNCTION("""COMPUTED_VALUE"""),"BAÑOS")</f>
        <v>BAÑOS</v>
      </c>
      <c r="D36" s="54" t="str">
        <f>IFERROR(__xludf.DUMMYFUNCTION("""COMPUTED_VALUE"""),"DAVID EDUARDO")</f>
        <v>DAVID EDUARDO</v>
      </c>
      <c r="E36" s="55">
        <f>IFERROR(__xludf.DUMMYFUNCTION("""COMPUTED_VALUE"""),4.6)</f>
        <v>4.6</v>
      </c>
      <c r="F36" s="55">
        <f>IFERROR(__xludf.DUMMYFUNCTION("""COMPUTED_VALUE"""),2.0)</f>
        <v>2</v>
      </c>
      <c r="G36" s="56"/>
      <c r="H36" s="57">
        <f>IFERROR(__xludf.DUMMYFUNCTION("""COMPUTED_VALUE"""),6.6)</f>
        <v>6.6</v>
      </c>
      <c r="I36" s="58">
        <f>IFERROR(__xludf.DUMMYFUNCTION("""COMPUTED_VALUE"""),2.0)</f>
        <v>2</v>
      </c>
      <c r="J36" s="59">
        <f>IFERROR(__xludf.DUMMYFUNCTION("""COMPUTED_VALUE"""),7.0)</f>
        <v>7</v>
      </c>
      <c r="K36" s="51"/>
      <c r="L36" s="61">
        <f>IFERROR(__xludf.DUMMYFUNCTION("""COMPUTED_VALUE"""),7.0)</f>
        <v>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IFERROR(__xludf.DUMMYFUNCTION("""COMPUTED_VALUE"""),"GONZALEZ")</f>
        <v>GONZALEZ</v>
      </c>
      <c r="C37" s="53" t="str">
        <f>IFERROR(__xludf.DUMMYFUNCTION("""COMPUTED_VALUE"""),"CAZARES")</f>
        <v>CAZARES</v>
      </c>
      <c r="D37" s="65" t="str">
        <f>IFERROR(__xludf.DUMMYFUNCTION("""COMPUTED_VALUE"""),"CRISTHIAN")</f>
        <v>CRISTHIAN</v>
      </c>
      <c r="E37" s="56">
        <f>IFERROR(__xludf.DUMMYFUNCTION("""COMPUTED_VALUE"""),4.5)</f>
        <v>4.5</v>
      </c>
      <c r="F37" s="55">
        <f>IFERROR(__xludf.DUMMYFUNCTION("""COMPUTED_VALUE"""),2.0)</f>
        <v>2</v>
      </c>
      <c r="G37" s="56">
        <f>IFERROR(__xludf.DUMMYFUNCTION("""COMPUTED_VALUE"""),1.0)</f>
        <v>1</v>
      </c>
      <c r="H37" s="57">
        <f>IFERROR(__xludf.DUMMYFUNCTION("""COMPUTED_VALUE"""),7.5)</f>
        <v>7.5</v>
      </c>
      <c r="I37" s="58">
        <f>IFERROR(__xludf.DUMMYFUNCTION("""COMPUTED_VALUE"""),0.0)</f>
        <v>0</v>
      </c>
      <c r="J37" s="59">
        <f>IFERROR(__xludf.DUMMYFUNCTION("""COMPUTED_VALUE"""),8.0)</f>
        <v>8</v>
      </c>
      <c r="K37" s="51"/>
      <c r="L37" s="61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IFERROR(__xludf.DUMMYFUNCTION("""COMPUTED_VALUE"""),"GRANADOS")</f>
        <v>GRANADOS</v>
      </c>
      <c r="C38" s="53" t="str">
        <f>IFERROR(__xludf.DUMMYFUNCTION("""COMPUTED_VALUE"""),"GUERRERO")</f>
        <v>GUERRERO</v>
      </c>
      <c r="D38" s="54" t="str">
        <f>IFERROR(__xludf.DUMMYFUNCTION("""COMPUTED_VALUE"""),"ZARA")</f>
        <v>ZARA</v>
      </c>
      <c r="E38" s="55">
        <f>IFERROR(__xludf.DUMMYFUNCTION("""COMPUTED_VALUE"""),5.2)</f>
        <v>5.2</v>
      </c>
      <c r="F38" s="55">
        <f>IFERROR(__xludf.DUMMYFUNCTION("""COMPUTED_VALUE"""),2.0)</f>
        <v>2</v>
      </c>
      <c r="G38" s="56"/>
      <c r="H38" s="57">
        <f>IFERROR(__xludf.DUMMYFUNCTION("""COMPUTED_VALUE"""),7.2)</f>
        <v>7.2</v>
      </c>
      <c r="I38" s="58">
        <f>IFERROR(__xludf.DUMMYFUNCTION("""COMPUTED_VALUE"""),2.0)</f>
        <v>2</v>
      </c>
      <c r="J38" s="59">
        <f>IFERROR(__xludf.DUMMYFUNCTION("""COMPUTED_VALUE"""),7.0)</f>
        <v>7</v>
      </c>
      <c r="K38" s="51"/>
      <c r="L38" s="61">
        <f>IFERROR(__xludf.DUMMYFUNCTION("""COMPUTED_VALUE"""),7.0)</f>
        <v>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IFERROR(__xludf.DUMMYFUNCTION("""COMPUTED_VALUE"""),"HERNANDEZ")</f>
        <v>HERNANDEZ</v>
      </c>
      <c r="C39" s="53" t="str">
        <f>IFERROR(__xludf.DUMMYFUNCTION("""COMPUTED_VALUE"""),"CANCHOLA")</f>
        <v>CANCHOLA</v>
      </c>
      <c r="D39" s="65" t="str">
        <f>IFERROR(__xludf.DUMMYFUNCTION("""COMPUTED_VALUE"""),"MELANIE")</f>
        <v>MELANIE</v>
      </c>
      <c r="E39" s="55">
        <f>IFERROR(__xludf.DUMMYFUNCTION("""COMPUTED_VALUE"""),6.4)</f>
        <v>6.4</v>
      </c>
      <c r="F39" s="55">
        <f>IFERROR(__xludf.DUMMYFUNCTION("""COMPUTED_VALUE"""),2.0)</f>
        <v>2</v>
      </c>
      <c r="G39" s="56">
        <f>IFERROR(__xludf.DUMMYFUNCTION("""COMPUTED_VALUE"""),1.0)</f>
        <v>1</v>
      </c>
      <c r="H39" s="57">
        <f>IFERROR(__xludf.DUMMYFUNCTION("""COMPUTED_VALUE"""),9.4)</f>
        <v>9.4</v>
      </c>
      <c r="I39" s="58">
        <f>IFERROR(__xludf.DUMMYFUNCTION("""COMPUTED_VALUE"""),4.0)</f>
        <v>4</v>
      </c>
      <c r="J39" s="59">
        <f>IFERROR(__xludf.DUMMYFUNCTION("""COMPUTED_VALUE"""),9.0)</f>
        <v>9</v>
      </c>
      <c r="K39" s="51"/>
      <c r="L39" s="61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6" t="str">
        <f>IFERROR(__xludf.DUMMYFUNCTION("""COMPUTED_VALUE"""),"HERNANDEZ")</f>
        <v>HERNANDEZ</v>
      </c>
      <c r="C40" s="67" t="str">
        <f>IFERROR(__xludf.DUMMYFUNCTION("""COMPUTED_VALUE"""),"ESPARRAGOZA")</f>
        <v>ESPARRAGOZA</v>
      </c>
      <c r="D40" s="54" t="str">
        <f>IFERROR(__xludf.DUMMYFUNCTION("""COMPUTED_VALUE"""),"DANTE ALEXANDER")</f>
        <v>DANTE ALEXANDER</v>
      </c>
      <c r="E40" s="55">
        <f>IFERROR(__xludf.DUMMYFUNCTION("""COMPUTED_VALUE"""),5.8)</f>
        <v>5.8</v>
      </c>
      <c r="F40" s="55">
        <f>IFERROR(__xludf.DUMMYFUNCTION("""COMPUTED_VALUE"""),2.0)</f>
        <v>2</v>
      </c>
      <c r="G40" s="56"/>
      <c r="H40" s="57">
        <f>IFERROR(__xludf.DUMMYFUNCTION("""COMPUTED_VALUE"""),7.8)</f>
        <v>7.8</v>
      </c>
      <c r="I40" s="58">
        <f>IFERROR(__xludf.DUMMYFUNCTION("""COMPUTED_VALUE"""),4.0)</f>
        <v>4</v>
      </c>
      <c r="J40" s="59">
        <f>IFERROR(__xludf.DUMMYFUNCTION("""COMPUTED_VALUE"""),8.0)</f>
        <v>8</v>
      </c>
      <c r="K40" s="51"/>
      <c r="L40" s="61">
        <f>IFERROR(__xludf.DUMMYFUNCTION("""COMPUTED_VALUE"""),8.0)</f>
        <v>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IFERROR(__xludf.DUMMYFUNCTION("""COMPUTED_VALUE"""),"HERNANDEZ")</f>
        <v>HERNANDEZ</v>
      </c>
      <c r="C41" s="53" t="str">
        <f>IFERROR(__xludf.DUMMYFUNCTION("""COMPUTED_VALUE"""),"MUÑOZ")</f>
        <v>MUÑOZ</v>
      </c>
      <c r="D41" s="54" t="str">
        <f>IFERROR(__xludf.DUMMYFUNCTION("""COMPUTED_VALUE"""),"MARIA JOSE")</f>
        <v>MARIA JOSE</v>
      </c>
      <c r="E41" s="55">
        <f>IFERROR(__xludf.DUMMYFUNCTION("""COMPUTED_VALUE"""),7.8)</f>
        <v>7.8</v>
      </c>
      <c r="F41" s="55">
        <f>IFERROR(__xludf.DUMMYFUNCTION("""COMPUTED_VALUE"""),2.0)</f>
        <v>2</v>
      </c>
      <c r="G41" s="56"/>
      <c r="H41" s="57">
        <f>IFERROR(__xludf.DUMMYFUNCTION("""COMPUTED_VALUE"""),9.8)</f>
        <v>9.8</v>
      </c>
      <c r="I41" s="58">
        <f>IFERROR(__xludf.DUMMYFUNCTION("""COMPUTED_VALUE"""),2.0)</f>
        <v>2</v>
      </c>
      <c r="J41" s="59">
        <f>IFERROR(__xludf.DUMMYFUNCTION("""COMPUTED_VALUE"""),10.0)</f>
        <v>10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IFERROR(__xludf.DUMMYFUNCTION("""COMPUTED_VALUE"""),"JARAMILLO")</f>
        <v>JARAMILLO</v>
      </c>
      <c r="C42" s="53" t="str">
        <f>IFERROR(__xludf.DUMMYFUNCTION("""COMPUTED_VALUE"""),"SANDOVAL")</f>
        <v>SANDOVAL</v>
      </c>
      <c r="D42" s="54" t="str">
        <f>IFERROR(__xludf.DUMMYFUNCTION("""COMPUTED_VALUE"""),"MELANI JEREDIT")</f>
        <v>MELANI JEREDIT</v>
      </c>
      <c r="E42" s="55">
        <f>IFERROR(__xludf.DUMMYFUNCTION("""COMPUTED_VALUE"""),4.1)</f>
        <v>4.1</v>
      </c>
      <c r="F42" s="55">
        <f>IFERROR(__xludf.DUMMYFUNCTION("""COMPUTED_VALUE"""),2.0)</f>
        <v>2</v>
      </c>
      <c r="G42" s="56">
        <f>IFERROR(__xludf.DUMMYFUNCTION("""COMPUTED_VALUE"""),1.0)</f>
        <v>1</v>
      </c>
      <c r="H42" s="57">
        <f>IFERROR(__xludf.DUMMYFUNCTION("""COMPUTED_VALUE"""),7.1)</f>
        <v>7.1</v>
      </c>
      <c r="I42" s="58">
        <f>IFERROR(__xludf.DUMMYFUNCTION("""COMPUTED_VALUE"""),0.0)</f>
        <v>0</v>
      </c>
      <c r="J42" s="59">
        <f>IFERROR(__xludf.DUMMYFUNCTION("""COMPUTED_VALUE"""),7.0)</f>
        <v>7</v>
      </c>
      <c r="K42" s="51"/>
      <c r="L42" s="61">
        <f>IFERROR(__xludf.DUMMYFUNCTION("""COMPUTED_VALUE"""),7.0)</f>
        <v>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IFERROR(__xludf.DUMMYFUNCTION("""COMPUTED_VALUE"""),"LEMUS")</f>
        <v>LEMUS</v>
      </c>
      <c r="C43" s="53" t="str">
        <f>IFERROR(__xludf.DUMMYFUNCTION("""COMPUTED_VALUE"""),"AVILA")</f>
        <v>AVILA</v>
      </c>
      <c r="D43" s="54" t="str">
        <f>IFERROR(__xludf.DUMMYFUNCTION("""COMPUTED_VALUE"""),"ANA GABRIELA")</f>
        <v>ANA GABRIELA</v>
      </c>
      <c r="E43" s="55">
        <f>IFERROR(__xludf.DUMMYFUNCTION("""COMPUTED_VALUE"""),8.0)</f>
        <v>8</v>
      </c>
      <c r="F43" s="55">
        <f>IFERROR(__xludf.DUMMYFUNCTION("""COMPUTED_VALUE"""),2.0)</f>
        <v>2</v>
      </c>
      <c r="G43" s="56"/>
      <c r="H43" s="57">
        <f>IFERROR(__xludf.DUMMYFUNCTION("""COMPUTED_VALUE"""),10.0)</f>
        <v>10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IFERROR(__xludf.DUMMYFUNCTION("""COMPUTED_VALUE"""),"LOPEZ")</f>
        <v>LOPEZ</v>
      </c>
      <c r="C44" s="53" t="str">
        <f>IFERROR(__xludf.DUMMYFUNCTION("""COMPUTED_VALUE"""),"OLVERA")</f>
        <v>OLVERA</v>
      </c>
      <c r="D44" s="54" t="str">
        <f>IFERROR(__xludf.DUMMYFUNCTION("""COMPUTED_VALUE"""),"GABRIELA LIZETH")</f>
        <v>GABRIELA LIZETH</v>
      </c>
      <c r="E44" s="55">
        <f>IFERROR(__xludf.DUMMYFUNCTION("""COMPUTED_VALUE"""),7.2)</f>
        <v>7.2</v>
      </c>
      <c r="F44" s="55">
        <f>IFERROR(__xludf.DUMMYFUNCTION("""COMPUTED_VALUE"""),2.0)</f>
        <v>2</v>
      </c>
      <c r="G44" s="56">
        <f>IFERROR(__xludf.DUMMYFUNCTION("""COMPUTED_VALUE"""),1.0)</f>
        <v>1</v>
      </c>
      <c r="H44" s="57">
        <f>IFERROR(__xludf.DUMMYFUNCTION("""COMPUTED_VALUE"""),10.2)</f>
        <v>10.2</v>
      </c>
      <c r="I44" s="58">
        <f>IFERROR(__xludf.DUMMYFUNCTION("""COMPUTED_VALUE"""),0.0)</f>
        <v>0</v>
      </c>
      <c r="J44" s="59">
        <f>IFERROR(__xludf.DUMMYFUNCTION("""COMPUTED_VALUE"""),10.0)</f>
        <v>10</v>
      </c>
      <c r="K44" s="51"/>
      <c r="L44" s="61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IFERROR(__xludf.DUMMYFUNCTION("""COMPUTED_VALUE"""),"LOPEZ")</f>
        <v>LOPEZ</v>
      </c>
      <c r="C45" s="53" t="str">
        <f>IFERROR(__xludf.DUMMYFUNCTION("""COMPUTED_VALUE"""),"PANIAGÚA")</f>
        <v>PANIAGÚA</v>
      </c>
      <c r="D45" s="54" t="str">
        <f>IFERROR(__xludf.DUMMYFUNCTION("""COMPUTED_VALUE"""),"ANGEL GIOVANNI")</f>
        <v>ANGEL GIOVANNI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/>
      <c r="H45" s="57">
        <f>IFERROR(__xludf.DUMMYFUNCTION("""COMPUTED_VALUE"""),10.0)</f>
        <v>10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IFERROR(__xludf.DUMMYFUNCTION("""COMPUTED_VALUE"""),"LUNA")</f>
        <v>LUNA</v>
      </c>
      <c r="C46" s="53" t="str">
        <f>IFERROR(__xludf.DUMMYFUNCTION("""COMPUTED_VALUE"""),"HERNANDEZ")</f>
        <v>HERNANDEZ</v>
      </c>
      <c r="D46" s="54" t="str">
        <f>IFERROR(__xludf.DUMMYFUNCTION("""COMPUTED_VALUE"""),"DEA ISABELLA")</f>
        <v>DEA ISABELLA</v>
      </c>
      <c r="E46" s="55">
        <f>IFERROR(__xludf.DUMMYFUNCTION("""COMPUTED_VALUE"""),8.0)</f>
        <v>8</v>
      </c>
      <c r="F46" s="55">
        <f>IFERROR(__xludf.DUMMYFUNCTION("""COMPUTED_VALUE"""),2.0)</f>
        <v>2</v>
      </c>
      <c r="G46" s="56"/>
      <c r="H46" s="57">
        <f>IFERROR(__xludf.DUMMYFUNCTION("""COMPUTED_VALUE"""),10.0)</f>
        <v>10</v>
      </c>
      <c r="I46" s="58">
        <f>IFERROR(__xludf.DUMMYFUNCTION("""COMPUTED_VALUE"""),0.0)</f>
        <v>0</v>
      </c>
      <c r="J46" s="59">
        <f>IFERROR(__xludf.DUMMYFUNCTION("""COMPUTED_VALUE"""),10.0)</f>
        <v>10</v>
      </c>
      <c r="K46" s="51"/>
      <c r="L46" s="61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IFERROR(__xludf.DUMMYFUNCTION("""COMPUTED_VALUE"""),"MARES")</f>
        <v>MARES</v>
      </c>
      <c r="C47" s="53" t="str">
        <f>IFERROR(__xludf.DUMMYFUNCTION("""COMPUTED_VALUE"""),"GONZALEZ")</f>
        <v>GONZALEZ</v>
      </c>
      <c r="D47" s="54" t="str">
        <f>IFERROR(__xludf.DUMMYFUNCTION("""COMPUTED_VALUE"""),"JOSE CARLOS")</f>
        <v>JOSE CARLOS</v>
      </c>
      <c r="E47" s="55">
        <f>IFERROR(__xludf.DUMMYFUNCTION("""COMPUTED_VALUE"""),5.2)</f>
        <v>5.2</v>
      </c>
      <c r="F47" s="55">
        <f>IFERROR(__xludf.DUMMYFUNCTION("""COMPUTED_VALUE"""),2.0)</f>
        <v>2</v>
      </c>
      <c r="G47" s="56">
        <f>IFERROR(__xludf.DUMMYFUNCTION("""COMPUTED_VALUE"""),1.0)</f>
        <v>1</v>
      </c>
      <c r="H47" s="57">
        <f>IFERROR(__xludf.DUMMYFUNCTION("""COMPUTED_VALUE"""),8.2)</f>
        <v>8.2</v>
      </c>
      <c r="I47" s="58">
        <f>IFERROR(__xludf.DUMMYFUNCTION("""COMPUTED_VALUE"""),0.0)</f>
        <v>0</v>
      </c>
      <c r="J47" s="59">
        <f>IFERROR(__xludf.DUMMYFUNCTION("""COMPUTED_VALUE"""),8.0)</f>
        <v>8</v>
      </c>
      <c r="K47" s="51"/>
      <c r="L47" s="61">
        <f>IFERROR(__xludf.DUMMYFUNCTION("""COMPUTED_VALUE"""),8.0)</f>
        <v>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IFERROR(__xludf.DUMMYFUNCTION("""COMPUTED_VALUE"""),"MARTINEZ")</f>
        <v>MARTINEZ</v>
      </c>
      <c r="C48" s="53" t="str">
        <f>IFERROR(__xludf.DUMMYFUNCTION("""COMPUTED_VALUE"""),"REYES")</f>
        <v>REYES</v>
      </c>
      <c r="D48" s="54" t="str">
        <f>IFERROR(__xludf.DUMMYFUNCTION("""COMPUTED_VALUE"""),"JACQUELINE ANDREA")</f>
        <v>JACQUELINE ANDREA</v>
      </c>
      <c r="E48" s="55">
        <f>IFERROR(__xludf.DUMMYFUNCTION("""COMPUTED_VALUE"""),7.2)</f>
        <v>7.2</v>
      </c>
      <c r="F48" s="55">
        <f>IFERROR(__xludf.DUMMYFUNCTION("""COMPUTED_VALUE"""),2.0)</f>
        <v>2</v>
      </c>
      <c r="G48" s="56">
        <f>IFERROR(__xludf.DUMMYFUNCTION("""COMPUTED_VALUE"""),1.0)</f>
        <v>1</v>
      </c>
      <c r="H48" s="57">
        <f>IFERROR(__xludf.DUMMYFUNCTION("""COMPUTED_VALUE"""),10.2)</f>
        <v>10.2</v>
      </c>
      <c r="I48" s="58">
        <f>IFERROR(__xludf.DUMMYFUNCTION("""COMPUTED_VALUE"""),2.0)</f>
        <v>2</v>
      </c>
      <c r="J48" s="59">
        <f>IFERROR(__xludf.DUMMYFUNCTION("""COMPUTED_VALUE"""),10.0)</f>
        <v>10</v>
      </c>
      <c r="K48" s="51"/>
      <c r="L48" s="61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IFERROR(__xludf.DUMMYFUNCTION("""COMPUTED_VALUE"""),"MARTINEZ")</f>
        <v>MARTINEZ</v>
      </c>
      <c r="C49" s="53" t="str">
        <f>IFERROR(__xludf.DUMMYFUNCTION("""COMPUTED_VALUE"""),"VELAZQUEZ")</f>
        <v>VELAZQUEZ</v>
      </c>
      <c r="D49" s="65" t="str">
        <f>IFERROR(__xludf.DUMMYFUNCTION("""COMPUTED_VALUE"""),"OSCAR ZADKIEL")</f>
        <v>OSCAR ZADKIEL</v>
      </c>
      <c r="E49" s="55">
        <f>IFERROR(__xludf.DUMMYFUNCTION("""COMPUTED_VALUE"""),4.4)</f>
        <v>4.4</v>
      </c>
      <c r="F49" s="55">
        <f>IFERROR(__xludf.DUMMYFUNCTION("""COMPUTED_VALUE"""),2.0)</f>
        <v>2</v>
      </c>
      <c r="G49" s="56"/>
      <c r="H49" s="57">
        <f>IFERROR(__xludf.DUMMYFUNCTION("""COMPUTED_VALUE"""),6.4)</f>
        <v>6.4</v>
      </c>
      <c r="I49" s="58">
        <f>IFERROR(__xludf.DUMMYFUNCTION("""COMPUTED_VALUE"""),2.0)</f>
        <v>2</v>
      </c>
      <c r="J49" s="59">
        <f>IFERROR(__xludf.DUMMYFUNCTION("""COMPUTED_VALUE"""),6.0)</f>
        <v>6</v>
      </c>
      <c r="K49" s="51"/>
      <c r="L49" s="61">
        <f>IFERROR(__xludf.DUMMYFUNCTION("""COMPUTED_VALUE"""),6.0)</f>
        <v>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IFERROR(__xludf.DUMMYFUNCTION("""COMPUTED_VALUE"""),"MORAN")</f>
        <v>MORAN</v>
      </c>
      <c r="C50" s="53" t="str">
        <f>IFERROR(__xludf.DUMMYFUNCTION("""COMPUTED_VALUE"""),"ALMAGUER")</f>
        <v>ALMAGUER</v>
      </c>
      <c r="D50" s="54" t="str">
        <f>IFERROR(__xludf.DUMMYFUNCTION("""COMPUTED_VALUE"""),"LEYLANI")</f>
        <v>LEYLANI</v>
      </c>
      <c r="E50" s="55">
        <f>IFERROR(__xludf.DUMMYFUNCTION("""COMPUTED_VALUE"""),5.0)</f>
        <v>5</v>
      </c>
      <c r="F50" s="55">
        <f>IFERROR(__xludf.DUMMYFUNCTION("""COMPUTED_VALUE"""),2.0)</f>
        <v>2</v>
      </c>
      <c r="G50" s="56"/>
      <c r="H50" s="57">
        <f>IFERROR(__xludf.DUMMYFUNCTION("""COMPUTED_VALUE"""),7.0)</f>
        <v>7</v>
      </c>
      <c r="I50" s="58">
        <f>IFERROR(__xludf.DUMMYFUNCTION("""COMPUTED_VALUE"""),2.0)</f>
        <v>2</v>
      </c>
      <c r="J50" s="59">
        <f>IFERROR(__xludf.DUMMYFUNCTION("""COMPUTED_VALUE"""),7.0)</f>
        <v>7</v>
      </c>
      <c r="K50" s="51"/>
      <c r="L50" s="61">
        <f>IFERROR(__xludf.DUMMYFUNCTION("""COMPUTED_VALUE"""),7.0)</f>
        <v>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IFERROR(__xludf.DUMMYFUNCTION("""COMPUTED_VALUE"""),"MORENO")</f>
        <v>MORENO</v>
      </c>
      <c r="C51" s="53" t="str">
        <f>IFERROR(__xludf.DUMMYFUNCTION("""COMPUTED_VALUE"""),"VALENZUELA")</f>
        <v>VALENZUELA</v>
      </c>
      <c r="D51" s="54" t="str">
        <f>IFERROR(__xludf.DUMMYFUNCTION("""COMPUTED_VALUE"""),"SANTIAGO ISMAEL")</f>
        <v>SANTIAGO ISMAEL</v>
      </c>
      <c r="E51" s="55">
        <f>IFERROR(__xludf.DUMMYFUNCTION("""COMPUTED_VALUE"""),6.4)</f>
        <v>6.4</v>
      </c>
      <c r="F51" s="55">
        <f>IFERROR(__xludf.DUMMYFUNCTION("""COMPUTED_VALUE"""),2.0)</f>
        <v>2</v>
      </c>
      <c r="G51" s="56"/>
      <c r="H51" s="57">
        <f>IFERROR(__xludf.DUMMYFUNCTION("""COMPUTED_VALUE"""),8.4)</f>
        <v>8.4</v>
      </c>
      <c r="I51" s="58">
        <f>IFERROR(__xludf.DUMMYFUNCTION("""COMPUTED_VALUE"""),0.0)</f>
        <v>0</v>
      </c>
      <c r="J51" s="59">
        <f>IFERROR(__xludf.DUMMYFUNCTION("""COMPUTED_VALUE"""),8.0)</f>
        <v>8</v>
      </c>
      <c r="K51" s="51"/>
      <c r="L51" s="61">
        <f>IFERROR(__xludf.DUMMYFUNCTION("""COMPUTED_VALUE"""),8.0)</f>
        <v>8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IFERROR(__xludf.DUMMYFUNCTION("""COMPUTED_VALUE"""),"NUÑEZ")</f>
        <v>NUÑEZ</v>
      </c>
      <c r="C52" s="53" t="str">
        <f>IFERROR(__xludf.DUMMYFUNCTION("""COMPUTED_VALUE"""),"FLORES")</f>
        <v>FLORES</v>
      </c>
      <c r="D52" s="54" t="str">
        <f>IFERROR(__xludf.DUMMYFUNCTION("""COMPUTED_VALUE"""),"ANDREA MAYARI")</f>
        <v>ANDREA MAYARI</v>
      </c>
      <c r="E52" s="55">
        <f>IFERROR(__xludf.DUMMYFUNCTION("""COMPUTED_VALUE"""),3.6)</f>
        <v>3.6</v>
      </c>
      <c r="F52" s="55">
        <f>IFERROR(__xludf.DUMMYFUNCTION("""COMPUTED_VALUE"""),2.0)</f>
        <v>2</v>
      </c>
      <c r="G52" s="56"/>
      <c r="H52" s="57">
        <f>IFERROR(__xludf.DUMMYFUNCTION("""COMPUTED_VALUE"""),5.6)</f>
        <v>5.6</v>
      </c>
      <c r="I52" s="58">
        <f>IFERROR(__xludf.DUMMYFUNCTION("""COMPUTED_VALUE"""),2.0)</f>
        <v>2</v>
      </c>
      <c r="J52" s="59">
        <f>IFERROR(__xludf.DUMMYFUNCTION("""COMPUTED_VALUE"""),5.0)</f>
        <v>5</v>
      </c>
      <c r="K52" s="51"/>
      <c r="L52" s="60">
        <f>IFERROR(__xludf.DUMMYFUNCTION("""COMPUTED_VALUE"""),5.0)</f>
        <v>5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IFERROR(__xludf.DUMMYFUNCTION("""COMPUTED_VALUE"""),"ORNELAS")</f>
        <v>ORNELAS</v>
      </c>
      <c r="C53" s="53" t="str">
        <f>IFERROR(__xludf.DUMMYFUNCTION("""COMPUTED_VALUE"""),"LOPEZ")</f>
        <v>LOPEZ</v>
      </c>
      <c r="D53" s="54" t="str">
        <f>IFERROR(__xludf.DUMMYFUNCTION("""COMPUTED_VALUE"""),"LENA VIKTORIA")</f>
        <v>LENA VIKTORIA</v>
      </c>
      <c r="E53" s="55">
        <f>IFERROR(__xludf.DUMMYFUNCTION("""COMPUTED_VALUE"""),8.0)</f>
        <v>8</v>
      </c>
      <c r="F53" s="55">
        <f>IFERROR(__xludf.DUMMYFUNCTION("""COMPUTED_VALUE"""),2.0)</f>
        <v>2</v>
      </c>
      <c r="G53" s="56"/>
      <c r="H53" s="57">
        <f>IFERROR(__xludf.DUMMYFUNCTION("""COMPUTED_VALUE"""),10.0)</f>
        <v>10</v>
      </c>
      <c r="I53" s="58">
        <f>IFERROR(__xludf.DUMMYFUNCTION("""COMPUTED_VALUE"""),0.0)</f>
        <v>0</v>
      </c>
      <c r="J53" s="59">
        <f>IFERROR(__xludf.DUMMYFUNCTION("""COMPUTED_VALUE"""),10.0)</f>
        <v>10</v>
      </c>
      <c r="K53" s="51"/>
      <c r="L53" s="60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IFERROR(__xludf.DUMMYFUNCTION("""COMPUTED_VALUE"""),"ORTIZ")</f>
        <v>ORTIZ</v>
      </c>
      <c r="C54" s="53" t="str">
        <f>IFERROR(__xludf.DUMMYFUNCTION("""COMPUTED_VALUE"""),"RODRIGUEZ")</f>
        <v>RODRIGUEZ</v>
      </c>
      <c r="D54" s="68" t="str">
        <f>IFERROR(__xludf.DUMMYFUNCTION("""COMPUTED_VALUE"""),"GUILLERMO")</f>
        <v>GUILLERMO</v>
      </c>
      <c r="E54" s="55">
        <f>IFERROR(__xludf.DUMMYFUNCTION("""COMPUTED_VALUE"""),6.6)</f>
        <v>6.6</v>
      </c>
      <c r="F54" s="55">
        <f>IFERROR(__xludf.DUMMYFUNCTION("""COMPUTED_VALUE"""),2.0)</f>
        <v>2</v>
      </c>
      <c r="G54" s="56"/>
      <c r="H54" s="57">
        <f>IFERROR(__xludf.DUMMYFUNCTION("""COMPUTED_VALUE"""),8.6)</f>
        <v>8.6</v>
      </c>
      <c r="I54" s="58">
        <f>IFERROR(__xludf.DUMMYFUNCTION("""COMPUTED_VALUE"""),2.0)</f>
        <v>2</v>
      </c>
      <c r="J54" s="59">
        <f>IFERROR(__xludf.DUMMYFUNCTION("""COMPUTED_VALUE"""),9.0)</f>
        <v>9</v>
      </c>
      <c r="K54" s="51"/>
      <c r="L54" s="60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IFERROR(__xludf.DUMMYFUNCTION("""COMPUTED_VALUE"""),"PACHECO")</f>
        <v>PACHECO</v>
      </c>
      <c r="C55" s="53" t="str">
        <f>IFERROR(__xludf.DUMMYFUNCTION("""COMPUTED_VALUE"""),"OLIVARES")</f>
        <v>OLIVARES</v>
      </c>
      <c r="D55" s="54" t="str">
        <f>IFERROR(__xludf.DUMMYFUNCTION("""COMPUTED_VALUE"""),"ANDRES")</f>
        <v>ANDRES</v>
      </c>
      <c r="E55" s="55">
        <f>IFERROR(__xludf.DUMMYFUNCTION("""COMPUTED_VALUE"""),4.8)</f>
        <v>4.8</v>
      </c>
      <c r="F55" s="55">
        <f>IFERROR(__xludf.DUMMYFUNCTION("""COMPUTED_VALUE"""),2.0)</f>
        <v>2</v>
      </c>
      <c r="G55" s="56"/>
      <c r="H55" s="57">
        <f>IFERROR(__xludf.DUMMYFUNCTION("""COMPUTED_VALUE"""),6.8)</f>
        <v>6.8</v>
      </c>
      <c r="I55" s="69">
        <f>IFERROR(__xludf.DUMMYFUNCTION("""COMPUTED_VALUE"""),0.0)</f>
        <v>0</v>
      </c>
      <c r="J55" s="59">
        <f>IFERROR(__xludf.DUMMYFUNCTION("""COMPUTED_VALUE"""),7.0)</f>
        <v>7</v>
      </c>
      <c r="K55" s="51"/>
      <c r="L55" s="60">
        <f>IFERROR(__xludf.DUMMYFUNCTION("""COMPUTED_VALUE"""),7.0)</f>
        <v>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IFERROR(__xludf.DUMMYFUNCTION("""COMPUTED_VALUE"""),"PEREZ")</f>
        <v>PEREZ</v>
      </c>
      <c r="C56" s="53" t="str">
        <f>IFERROR(__xludf.DUMMYFUNCTION("""COMPUTED_VALUE"""),"SUAREZ")</f>
        <v>SUAREZ</v>
      </c>
      <c r="D56" s="54" t="str">
        <f>IFERROR(__xludf.DUMMYFUNCTION("""COMPUTED_VALUE"""),"DAVETH OSIEL")</f>
        <v>DAVETH OSIEL</v>
      </c>
      <c r="E56" s="55">
        <f>IFERROR(__xludf.DUMMYFUNCTION("""COMPUTED_VALUE"""),8.0)</f>
        <v>8</v>
      </c>
      <c r="F56" s="55">
        <f>IFERROR(__xludf.DUMMYFUNCTION("""COMPUTED_VALUE"""),2.0)</f>
        <v>2</v>
      </c>
      <c r="G56" s="56"/>
      <c r="H56" s="57">
        <f>IFERROR(__xludf.DUMMYFUNCTION("""COMPUTED_VALUE"""),10.0)</f>
        <v>10</v>
      </c>
      <c r="I56" s="69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IFERROR(__xludf.DUMMYFUNCTION("""COMPUTED_VALUE"""),"PUC")</f>
        <v>PUC</v>
      </c>
      <c r="C57" s="53" t="str">
        <f>IFERROR(__xludf.DUMMYFUNCTION("""COMPUTED_VALUE"""),"JIMENEZ")</f>
        <v>JIMENEZ</v>
      </c>
      <c r="D57" s="54" t="str">
        <f>IFERROR(__xludf.DUMMYFUNCTION("""COMPUTED_VALUE"""),"XIMENA DANIELA")</f>
        <v>XIMENA DANIELA</v>
      </c>
      <c r="E57" s="55">
        <f>IFERROR(__xludf.DUMMYFUNCTION("""COMPUTED_VALUE"""),8.0)</f>
        <v>8</v>
      </c>
      <c r="F57" s="55">
        <f>IFERROR(__xludf.DUMMYFUNCTION("""COMPUTED_VALUE"""),2.0)</f>
        <v>2</v>
      </c>
      <c r="G57" s="56"/>
      <c r="H57" s="57">
        <f>IFERROR(__xludf.DUMMYFUNCTION("""COMPUTED_VALUE"""),10.0)</f>
        <v>10</v>
      </c>
      <c r="I57" s="69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IFERROR(__xludf.DUMMYFUNCTION("""COMPUTED_VALUE"""),"RAMIREZ")</f>
        <v>RAMIREZ</v>
      </c>
      <c r="C58" s="53" t="str">
        <f>IFERROR(__xludf.DUMMYFUNCTION("""COMPUTED_VALUE"""),"ROMAN")</f>
        <v>ROMAN</v>
      </c>
      <c r="D58" s="54" t="str">
        <f>IFERROR(__xludf.DUMMYFUNCTION("""COMPUTED_VALUE"""),"XIMENA")</f>
        <v>XIMENA</v>
      </c>
      <c r="E58" s="55">
        <f>IFERROR(__xludf.DUMMYFUNCTION("""COMPUTED_VALUE"""),7.0)</f>
        <v>7</v>
      </c>
      <c r="F58" s="55">
        <f>IFERROR(__xludf.DUMMYFUNCTION("""COMPUTED_VALUE"""),2.0)</f>
        <v>2</v>
      </c>
      <c r="G58" s="56">
        <f>IFERROR(__xludf.DUMMYFUNCTION("""COMPUTED_VALUE"""),1.0)</f>
        <v>1</v>
      </c>
      <c r="H58" s="57">
        <f>IFERROR(__xludf.DUMMYFUNCTION("""COMPUTED_VALUE"""),10.0)</f>
        <v>10</v>
      </c>
      <c r="I58" s="69">
        <f>IFERROR(__xludf.DUMMYFUNCTION("""COMPUTED_VALUE"""),2.0)</f>
        <v>2</v>
      </c>
      <c r="J58" s="59">
        <f>IFERROR(__xludf.DUMMYFUNCTION("""COMPUTED_VALUE"""),10.0)</f>
        <v>10</v>
      </c>
      <c r="K58" s="51"/>
      <c r="L58" s="60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6" t="str">
        <f>IFERROR(__xludf.DUMMYFUNCTION("""COMPUTED_VALUE"""),"REYES")</f>
        <v>REYES</v>
      </c>
      <c r="C59" s="67" t="str">
        <f>IFERROR(__xludf.DUMMYFUNCTION("""COMPUTED_VALUE"""),"TREJO")</f>
        <v>TREJO</v>
      </c>
      <c r="D59" s="54" t="str">
        <f>IFERROR(__xludf.DUMMYFUNCTION("""COMPUTED_VALUE"""),"HUGO DASTAN")</f>
        <v>HUGO DASTAN</v>
      </c>
      <c r="E59" s="55">
        <f>IFERROR(__xludf.DUMMYFUNCTION("""COMPUTED_VALUE"""),5.6)</f>
        <v>5.6</v>
      </c>
      <c r="F59" s="55">
        <f>IFERROR(__xludf.DUMMYFUNCTION("""COMPUTED_VALUE"""),2.0)</f>
        <v>2</v>
      </c>
      <c r="G59" s="56">
        <f>IFERROR(__xludf.DUMMYFUNCTION("""COMPUTED_VALUE"""),1.0)</f>
        <v>1</v>
      </c>
      <c r="H59" s="57">
        <f>IFERROR(__xludf.DUMMYFUNCTION("""COMPUTED_VALUE"""),8.6)</f>
        <v>8.6</v>
      </c>
      <c r="I59" s="69">
        <f>IFERROR(__xludf.DUMMYFUNCTION("""COMPUTED_VALUE"""),0.0)</f>
        <v>0</v>
      </c>
      <c r="J59" s="59">
        <f>IFERROR(__xludf.DUMMYFUNCTION("""COMPUTED_VALUE"""),9.0)</f>
        <v>9</v>
      </c>
      <c r="K59" s="51"/>
      <c r="L59" s="60">
        <f>IFERROR(__xludf.DUMMYFUNCTION("""COMPUTED_VALUE"""),9.0)</f>
        <v>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70" t="str">
        <f>IFERROR(__xludf.DUMMYFUNCTION("""COMPUTED_VALUE"""),"RODRIGUEZ")</f>
        <v>RODRIGUEZ</v>
      </c>
      <c r="C60" s="53" t="str">
        <f>IFERROR(__xludf.DUMMYFUNCTION("""COMPUTED_VALUE"""),"ROSAS")</f>
        <v>ROSAS</v>
      </c>
      <c r="D60" s="54" t="str">
        <f>IFERROR(__xludf.DUMMYFUNCTION("""COMPUTED_VALUE"""),"XOCHITL")</f>
        <v>XOCHITL</v>
      </c>
      <c r="E60" s="55">
        <f>IFERROR(__xludf.DUMMYFUNCTION("""COMPUTED_VALUE"""),8.0)</f>
        <v>8</v>
      </c>
      <c r="F60" s="55">
        <f>IFERROR(__xludf.DUMMYFUNCTION("""COMPUTED_VALUE"""),2.0)</f>
        <v>2</v>
      </c>
      <c r="G60" s="56"/>
      <c r="H60" s="57">
        <f>IFERROR(__xludf.DUMMYFUNCTION("""COMPUTED_VALUE"""),10.0)</f>
        <v>10</v>
      </c>
      <c r="I60" s="69">
        <f>IFERROR(__xludf.DUMMYFUNCTION("""COMPUTED_VALUE"""),2.0)</f>
        <v>2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IFERROR(__xludf.DUMMYFUNCTION("""COMPUTED_VALUE"""),"RUBIO")</f>
        <v>RUBIO</v>
      </c>
      <c r="C61" s="53" t="str">
        <f>IFERROR(__xludf.DUMMYFUNCTION("""COMPUTED_VALUE"""),"HERNANDEZ")</f>
        <v>HERNANDEZ</v>
      </c>
      <c r="D61" s="54" t="str">
        <f>IFERROR(__xludf.DUMMYFUNCTION("""COMPUTED_VALUE"""),"MACIEL ALEJANDRA")</f>
        <v>MACIEL ALEJANDRA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/>
      <c r="H61" s="57">
        <f>IFERROR(__xludf.DUMMYFUNCTION("""COMPUTED_VALUE"""),10.0)</f>
        <v>10</v>
      </c>
      <c r="I61" s="69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70" t="str">
        <f>IFERROR(__xludf.DUMMYFUNCTION("""COMPUTED_VALUE"""),"SANTANA")</f>
        <v>SANTANA</v>
      </c>
      <c r="C62" s="53" t="str">
        <f>IFERROR(__xludf.DUMMYFUNCTION("""COMPUTED_VALUE"""),"LARA")</f>
        <v>LARA</v>
      </c>
      <c r="D62" s="54" t="str">
        <f>IFERROR(__xludf.DUMMYFUNCTION("""COMPUTED_VALUE"""),"IRVING WILLIAM")</f>
        <v>IRVING WILLIAM</v>
      </c>
      <c r="E62" s="55">
        <f>IFERROR(__xludf.DUMMYFUNCTION("""COMPUTED_VALUE"""),3.0)</f>
        <v>3</v>
      </c>
      <c r="F62" s="55">
        <f>IFERROR(__xludf.DUMMYFUNCTION("""COMPUTED_VALUE"""),2.0)</f>
        <v>2</v>
      </c>
      <c r="G62" s="56"/>
      <c r="H62" s="57">
        <f>IFERROR(__xludf.DUMMYFUNCTION("""COMPUTED_VALUE"""),5.0)</f>
        <v>5</v>
      </c>
      <c r="I62" s="55">
        <f>IFERROR(__xludf.DUMMYFUNCTION("""COMPUTED_VALUE"""),8.0)</f>
        <v>8</v>
      </c>
      <c r="J62" s="59">
        <f>IFERROR(__xludf.DUMMYFUNCTION("""COMPUTED_VALUE"""),5.0)</f>
        <v>5</v>
      </c>
      <c r="K62" s="51"/>
      <c r="L62" s="60">
        <f>IFERROR(__xludf.DUMMYFUNCTION("""COMPUTED_VALUE"""),5.0)</f>
        <v>5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70" t="str">
        <f>IFERROR(__xludf.DUMMYFUNCTION("""COMPUTED_VALUE"""),"SANTILLAN")</f>
        <v>SANTILLAN</v>
      </c>
      <c r="C63" s="53" t="str">
        <f>IFERROR(__xludf.DUMMYFUNCTION("""COMPUTED_VALUE"""),"GONZALEZ")</f>
        <v>GONZALEZ</v>
      </c>
      <c r="D63" s="54" t="str">
        <f>IFERROR(__xludf.DUMMYFUNCTION("""COMPUTED_VALUE"""),"JAZMIN")</f>
        <v>JAZMIN</v>
      </c>
      <c r="E63" s="55">
        <f>IFERROR(__xludf.DUMMYFUNCTION("""COMPUTED_VALUE"""),7.6)</f>
        <v>7.6</v>
      </c>
      <c r="F63" s="55">
        <f>IFERROR(__xludf.DUMMYFUNCTION("""COMPUTED_VALUE"""),2.0)</f>
        <v>2</v>
      </c>
      <c r="G63" s="56"/>
      <c r="H63" s="57">
        <f>IFERROR(__xludf.DUMMYFUNCTION("""COMPUTED_VALUE"""),9.6)</f>
        <v>9.6</v>
      </c>
      <c r="I63" s="55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IFERROR(__xludf.DUMMYFUNCTION("""COMPUTED_VALUE"""),10.0)</f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70" t="str">
        <f>IFERROR(__xludf.DUMMYFUNCTION("""COMPUTED_VALUE"""),"SUAREZ")</f>
        <v>SUAREZ</v>
      </c>
      <c r="C64" s="53" t="str">
        <f>IFERROR(__xludf.DUMMYFUNCTION("""COMPUTED_VALUE"""),"MUÑOZ")</f>
        <v>MUÑOZ</v>
      </c>
      <c r="D64" s="54" t="str">
        <f>IFERROR(__xludf.DUMMYFUNCTION("""COMPUTED_VALUE"""),"ALDO YAEL")</f>
        <v>ALDO YAEL</v>
      </c>
      <c r="E64" s="55">
        <f>IFERROR(__xludf.DUMMYFUNCTION("""COMPUTED_VALUE"""),6.3)</f>
        <v>6.3</v>
      </c>
      <c r="F64" s="55">
        <f>IFERROR(__xludf.DUMMYFUNCTION("""COMPUTED_VALUE"""),2.0)</f>
        <v>2</v>
      </c>
      <c r="G64" s="56">
        <f>IFERROR(__xludf.DUMMYFUNCTION("""COMPUTED_VALUE"""),1.0)</f>
        <v>1</v>
      </c>
      <c r="H64" s="57">
        <f>IFERROR(__xludf.DUMMYFUNCTION("""COMPUTED_VALUE"""),9.3)</f>
        <v>9.3</v>
      </c>
      <c r="I64" s="69">
        <f>IFERROR(__xludf.DUMMYFUNCTION("""COMPUTED_VALUE"""),0.0)</f>
        <v>0</v>
      </c>
      <c r="J64" s="59">
        <f>IFERROR(__xludf.DUMMYFUNCTION("""COMPUTED_VALUE"""),9.0)</f>
        <v>9</v>
      </c>
      <c r="K64" s="51"/>
      <c r="L64" s="60">
        <f>IFERROR(__xludf.DUMMYFUNCTION("""COMPUTED_VALUE"""),9.0)</f>
        <v>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70" t="str">
        <f>IFERROR(__xludf.DUMMYFUNCTION("""COMPUTED_VALUE"""),"TORRES")</f>
        <v>TORRES</v>
      </c>
      <c r="C65" s="53" t="str">
        <f>IFERROR(__xludf.DUMMYFUNCTION("""COMPUTED_VALUE"""),"DE LEON")</f>
        <v>DE LEON</v>
      </c>
      <c r="D65" s="66" t="str">
        <f>IFERROR(__xludf.DUMMYFUNCTION("""COMPUTED_VALUE"""),"AMAIRANI")</f>
        <v>AMAIRANI</v>
      </c>
      <c r="E65" s="55">
        <f>IFERROR(__xludf.DUMMYFUNCTION("""COMPUTED_VALUE"""),7.6)</f>
        <v>7.6</v>
      </c>
      <c r="F65" s="55">
        <f>IFERROR(__xludf.DUMMYFUNCTION("""COMPUTED_VALUE"""),2.0)</f>
        <v>2</v>
      </c>
      <c r="G65" s="56"/>
      <c r="H65" s="57">
        <f>IFERROR(__xludf.DUMMYFUNCTION("""COMPUTED_VALUE"""),9.6)</f>
        <v>9.6</v>
      </c>
      <c r="I65" s="55">
        <f>IFERROR(__xludf.DUMMYFUNCTION("""COMPUTED_VALUE"""),0.0)</f>
        <v>0</v>
      </c>
      <c r="J65" s="59">
        <f>IFERROR(__xludf.DUMMYFUNCTION("""COMPUTED_VALUE"""),10.0)</f>
        <v>10</v>
      </c>
      <c r="K65" s="51"/>
      <c r="L65" s="60">
        <f>IFERROR(__xludf.DUMMYFUNCTION("""COMPUTED_VALUE"""),10.0)</f>
        <v>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70" t="str">
        <f>IFERROR(__xludf.DUMMYFUNCTION("""COMPUTED_VALUE"""),"VALDEZ")</f>
        <v>VALDEZ</v>
      </c>
      <c r="C66" s="53" t="str">
        <f>IFERROR(__xludf.DUMMYFUNCTION("""COMPUTED_VALUE"""),"ROBLES")</f>
        <v>ROBLES</v>
      </c>
      <c r="D66" s="66" t="str">
        <f>IFERROR(__xludf.DUMMYFUNCTION("""COMPUTED_VALUE"""),"OSCAR YAEL")</f>
        <v>OSCAR YAEL</v>
      </c>
      <c r="E66" s="55">
        <f>IFERROR(__xludf.DUMMYFUNCTION("""COMPUTED_VALUE"""),6.2)</f>
        <v>6.2</v>
      </c>
      <c r="F66" s="55">
        <f>IFERROR(__xludf.DUMMYFUNCTION("""COMPUTED_VALUE"""),2.0)</f>
        <v>2</v>
      </c>
      <c r="G66" s="56">
        <f>IFERROR(__xludf.DUMMYFUNCTION("""COMPUTED_VALUE"""),1.0)</f>
        <v>1</v>
      </c>
      <c r="H66" s="57">
        <f>IFERROR(__xludf.DUMMYFUNCTION("""COMPUTED_VALUE"""),9.2)</f>
        <v>9.2</v>
      </c>
      <c r="I66" s="55">
        <f>IFERROR(__xludf.DUMMYFUNCTION("""COMPUTED_VALUE"""),2.0)</f>
        <v>2</v>
      </c>
      <c r="J66" s="59">
        <f>IFERROR(__xludf.DUMMYFUNCTION("""COMPUTED_VALUE"""),9.0)</f>
        <v>9</v>
      </c>
      <c r="K66" s="51"/>
      <c r="L66" s="60">
        <f>IFERROR(__xludf.DUMMYFUNCTION("""COMPUTED_VALUE"""),9.0)</f>
        <v>9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70" t="str">
        <f>IFERROR(__xludf.DUMMYFUNCTION("""COMPUTED_VALUE"""),"VARGAS")</f>
        <v>VARGAS</v>
      </c>
      <c r="C67" s="53" t="str">
        <f>IFERROR(__xludf.DUMMYFUNCTION("""COMPUTED_VALUE"""),"SANTOS")</f>
        <v>SANTOS</v>
      </c>
      <c r="D67" s="117" t="str">
        <f>IFERROR(__xludf.DUMMYFUNCTION("""COMPUTED_VALUE"""),"JATZIRI VANESSA")</f>
        <v>JATZIRI VANESSA</v>
      </c>
      <c r="E67" s="55">
        <f>IFERROR(__xludf.DUMMYFUNCTION("""COMPUTED_VALUE"""),6.9)</f>
        <v>6.9</v>
      </c>
      <c r="F67" s="55">
        <f>IFERROR(__xludf.DUMMYFUNCTION("""COMPUTED_VALUE"""),2.0)</f>
        <v>2</v>
      </c>
      <c r="G67" s="56">
        <f>IFERROR(__xludf.DUMMYFUNCTION("""COMPUTED_VALUE"""),1.0)</f>
        <v>1</v>
      </c>
      <c r="H67" s="57">
        <f>IFERROR(__xludf.DUMMYFUNCTION("""COMPUTED_VALUE"""),9.9)</f>
        <v>9.9</v>
      </c>
      <c r="I67" s="55">
        <f>IFERROR(__xludf.DUMMYFUNCTION("""COMPUTED_VALUE"""),0.0)</f>
        <v>0</v>
      </c>
      <c r="J67" s="59">
        <f>IFERROR(__xludf.DUMMYFUNCTION("""COMPUTED_VALUE"""),10.0)</f>
        <v>10</v>
      </c>
      <c r="K67" s="51"/>
      <c r="L67" s="60">
        <f>IFERROR(__xludf.DUMMYFUNCTION("""COMPUTED_VALUE"""),10.0)</f>
        <v>10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70" t="str">
        <f>IFERROR(__xludf.DUMMYFUNCTION("""COMPUTED_VALUE"""),"VELAZQUEZ")</f>
        <v>VELAZQUEZ</v>
      </c>
      <c r="C68" s="53" t="str">
        <f>IFERROR(__xludf.DUMMYFUNCTION("""COMPUTED_VALUE"""),"FIGUEROA")</f>
        <v>FIGUEROA</v>
      </c>
      <c r="D68" s="117" t="str">
        <f>IFERROR(__xludf.DUMMYFUNCTION("""COMPUTED_VALUE"""),"DANAE PAOLA")</f>
        <v>DANAE PAOLA</v>
      </c>
      <c r="E68" s="55">
        <f>IFERROR(__xludf.DUMMYFUNCTION("""COMPUTED_VALUE"""),8.0)</f>
        <v>8</v>
      </c>
      <c r="F68" s="55">
        <f>IFERROR(__xludf.DUMMYFUNCTION("""COMPUTED_VALUE"""),2.0)</f>
        <v>2</v>
      </c>
      <c r="G68" s="56"/>
      <c r="H68" s="57">
        <f>IFERROR(__xludf.DUMMYFUNCTION("""COMPUTED_VALUE"""),10.0)</f>
        <v>10</v>
      </c>
      <c r="I68" s="55">
        <f>IFERROR(__xludf.DUMMYFUNCTION("""COMPUTED_VALUE"""),0.0)</f>
        <v>0</v>
      </c>
      <c r="J68" s="59">
        <f>IFERROR(__xludf.DUMMYFUNCTION("""COMPUTED_VALUE"""),10.0)</f>
        <v>10</v>
      </c>
      <c r="K68" s="51"/>
      <c r="L68" s="60">
        <f>IFERROR(__xludf.DUMMYFUNCTION("""COMPUTED_VALUE"""),10.0)</f>
        <v>10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70" t="str">
        <f>IFERROR(__xludf.DUMMYFUNCTION("""COMPUTED_VALUE"""),"VENEGAS")</f>
        <v>VENEGAS</v>
      </c>
      <c r="C69" s="53" t="str">
        <f>IFERROR(__xludf.DUMMYFUNCTION("""COMPUTED_VALUE"""),"GONZALEZ")</f>
        <v>GONZALEZ</v>
      </c>
      <c r="D69" s="66" t="str">
        <f>IFERROR(__xludf.DUMMYFUNCTION("""COMPUTED_VALUE"""),"SANTIAGO")</f>
        <v>SANTIAGO</v>
      </c>
      <c r="E69" s="55">
        <f>IFERROR(__xludf.DUMMYFUNCTION("""COMPUTED_VALUE"""),7.4)</f>
        <v>7.4</v>
      </c>
      <c r="F69" s="55">
        <f>IFERROR(__xludf.DUMMYFUNCTION("""COMPUTED_VALUE"""),2.0)</f>
        <v>2</v>
      </c>
      <c r="G69" s="56">
        <f>IFERROR(__xludf.DUMMYFUNCTION("""COMPUTED_VALUE"""),1.0)</f>
        <v>1</v>
      </c>
      <c r="H69" s="57">
        <f>IFERROR(__xludf.DUMMYFUNCTION("""COMPUTED_VALUE"""),10.4)</f>
        <v>10.4</v>
      </c>
      <c r="I69" s="69">
        <f>IFERROR(__xludf.DUMMYFUNCTION("""COMPUTED_VALUE"""),0.0)</f>
        <v>0</v>
      </c>
      <c r="J69" s="59">
        <f>IFERROR(__xludf.DUMMYFUNCTION("""COMPUTED_VALUE"""),10.0)</f>
        <v>10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70" t="str">
        <f>IFERROR(__xludf.DUMMYFUNCTION("""COMPUTED_VALUE"""),"ZAMORA")</f>
        <v>ZAMORA</v>
      </c>
      <c r="C70" s="53" t="str">
        <f>IFERROR(__xludf.DUMMYFUNCTION("""COMPUTED_VALUE"""),"SEPULVEDA")</f>
        <v>SEPULVEDA</v>
      </c>
      <c r="D70" s="66" t="str">
        <f>IFERROR(__xludf.DUMMYFUNCTION("""COMPUTED_VALUE"""),"SEBASTIAN")</f>
        <v>SEBASTIAN</v>
      </c>
      <c r="E70" s="55">
        <f>IFERROR(__xludf.DUMMYFUNCTION("""COMPUTED_VALUE"""),6.2)</f>
        <v>6.2</v>
      </c>
      <c r="F70" s="55">
        <f>IFERROR(__xludf.DUMMYFUNCTION("""COMPUTED_VALUE"""),2.0)</f>
        <v>2</v>
      </c>
      <c r="G70" s="56"/>
      <c r="H70" s="57">
        <f>IFERROR(__xludf.DUMMYFUNCTION("""COMPUTED_VALUE"""),8.2)</f>
        <v>8.2</v>
      </c>
      <c r="I70" s="55">
        <f>IFERROR(__xludf.DUMMYFUNCTION("""COMPUTED_VALUE"""),0.0)</f>
        <v>0</v>
      </c>
      <c r="J70" s="59">
        <f>IFERROR(__xludf.DUMMYFUNCTION("""COMPUTED_VALUE"""),8.0)</f>
        <v>8</v>
      </c>
      <c r="K70" s="51"/>
      <c r="L70" s="7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72"/>
      <c r="C71" s="72"/>
      <c r="D71" s="72"/>
      <c r="E71" s="73"/>
      <c r="F71" s="72"/>
      <c r="G71" s="72"/>
      <c r="H71" s="72"/>
      <c r="I71" s="72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4"/>
      <c r="B72" s="75" t="str">
        <f>IFERROR(__xludf.DUMMYFUNCTION("""COMPUTED_VALUE"""),"No. DE ALUMNOS INSCRITOS")</f>
        <v>No. DE ALUMNOS INSCRITOS</v>
      </c>
      <c r="C72" s="76"/>
      <c r="D72" s="77">
        <f>IFERROR(__xludf.DUMMYFUNCTION("""COMPUTED_VALUE"""),54.0)</f>
        <v>54</v>
      </c>
      <c r="E72" s="72"/>
      <c r="F72" s="78" t="str">
        <f>IFERROR(__xludf.DUMMYFUNCTION("""COMPUTED_VALUE"""),"FIRMA DEL PROFESOR")</f>
        <v>FIRMA DEL PROFESOR</v>
      </c>
      <c r="G72" s="79"/>
      <c r="H72" s="78" t="str">
        <f>IFERROR(__xludf.DUMMYFUNCTION("""COMPUTED_VALUE"""),"FIRMA DEL ORIENTADOR")</f>
        <v>FIRMA DEL ORIENTADOR</v>
      </c>
      <c r="J72" s="80" t="str">
        <f>IFERROR(__xludf.DUMMYFUNCTION("""COMPUTED_VALUE"""),"Vo. Bo. SUBDIRECCIÓN ESCOLAR")</f>
        <v>Vo. Bo. SUBDIRECCIÓN ESCOLAR</v>
      </c>
      <c r="K72" s="81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4"/>
      <c r="B73" s="82" t="str">
        <f>IFERROR(__xludf.DUMMYFUNCTION("""COMPUTED_VALUE"""),"BAJAS DURANTE EL SEMESTRE")</f>
        <v>BAJAS DURANTE EL SEMESTRE</v>
      </c>
      <c r="C73" s="83"/>
      <c r="D73" s="120">
        <f>IFERROR(__xludf.DUMMYFUNCTION("""COMPUTED_VALUE"""),0.0)</f>
        <v>0</v>
      </c>
      <c r="E73" s="72"/>
      <c r="G73" s="79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4"/>
      <c r="B74" s="82" t="str">
        <f>IFERROR(__xludf.DUMMYFUNCTION("""COMPUTED_VALUE"""),"EXISTENCIA")</f>
        <v>EXISTENCIA</v>
      </c>
      <c r="C74" s="83"/>
      <c r="D74" s="85">
        <f>IFERROR(__xludf.DUMMYFUNCTION("""COMPUTED_VALUE"""),54.0)</f>
        <v>54</v>
      </c>
      <c r="E74" s="72"/>
      <c r="F74" s="86"/>
      <c r="G74" s="87"/>
      <c r="H74" s="86"/>
      <c r="I74" s="86"/>
      <c r="J74" s="88"/>
      <c r="K74" s="8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4"/>
      <c r="B75" s="82" t="str">
        <f>IFERROR(__xludf.DUMMYFUNCTION("""COMPUTED_VALUE"""),"No. DE ALUMNOS APROBADOS")</f>
        <v>No. DE ALUMNOS APROBADOS</v>
      </c>
      <c r="C75" s="83"/>
      <c r="D75" s="85">
        <f>IFERROR(__xludf.DUMMYFUNCTION("""COMPUTED_VALUE"""),52.0)</f>
        <v>52</v>
      </c>
      <c r="E75" s="72"/>
      <c r="F75" s="86"/>
      <c r="G75" s="87"/>
      <c r="H75" s="86"/>
      <c r="I75" s="86"/>
      <c r="J75" s="88"/>
      <c r="K75" s="8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4"/>
      <c r="B76" s="82" t="str">
        <f>IFERROR(__xludf.DUMMYFUNCTION("""COMPUTED_VALUE"""),"No. DE ALUMNOS REPROBADOS")</f>
        <v>No. DE ALUMNOS REPROBADOS</v>
      </c>
      <c r="C76" s="83"/>
      <c r="D76" s="85">
        <f>IFERROR(__xludf.DUMMYFUNCTION("""COMPUTED_VALUE"""),2.0)</f>
        <v>2</v>
      </c>
      <c r="E76" s="72"/>
      <c r="F76" s="90"/>
      <c r="G76" s="87"/>
      <c r="H76" s="90"/>
      <c r="I76" s="90"/>
      <c r="J76" s="91"/>
      <c r="K76" s="9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4"/>
      <c r="B77" s="82" t="str">
        <f>IFERROR(__xludf.DUMMYFUNCTION("""COMPUTED_VALUE"""),"% DE APROBADOS")</f>
        <v>% DE APROBADOS</v>
      </c>
      <c r="C77" s="83"/>
      <c r="D77" s="93">
        <f>IFERROR(__xludf.DUMMYFUNCTION("""COMPUTED_VALUE"""),96.29629629629629)</f>
        <v>96.2962963</v>
      </c>
      <c r="E77" s="72"/>
      <c r="F77" s="94" t="str">
        <f>IFERROR(__xludf.DUMMYFUNCTION("""COMPUTED_VALUE"""),"PROFR. ")</f>
        <v>PROFR. </v>
      </c>
      <c r="G77" s="95"/>
      <c r="H77" s="96" t="str">
        <f>IFERROR(__xludf.DUMMYFUNCTION("""COMPUTED_VALUE"""),"PROFRA. SANDRA DIAZ CAMARENA")</f>
        <v>PROFRA. SANDRA DIAZ CAMARENA</v>
      </c>
      <c r="J77" s="96" t="str">
        <f>IFERROR(__xludf.DUMMYFUNCTION("""COMPUTED_VALUE"""),"PROFR. OCTAVIO VÁZQUEZ BARRETO")</f>
        <v>PROFR. OCTAVIO VÁZQUEZ BARRETO</v>
      </c>
      <c r="K77" s="97" t="str">
        <f>IFERROR(__xludf.DUMMYFUNCTION("""COMPUTED_VALUE"""),"PROFR. ROBERTO PALOMARES MEJÍA ")</f>
        <v>PROFR. ROBERTO PALOMARES MEJÍA </v>
      </c>
      <c r="L77" s="9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4"/>
      <c r="B78" s="99" t="str">
        <f>IFERROR(__xludf.DUMMYFUNCTION("""COMPUTED_VALUE"""),"PROMEDIO")</f>
        <v>PROMEDIO</v>
      </c>
      <c r="C78" s="100"/>
      <c r="D78" s="101">
        <f>IFERROR(__xludf.DUMMYFUNCTION("""COMPUTED_VALUE"""),9.148148148148149)</f>
        <v>9.148148148</v>
      </c>
      <c r="E78" s="72"/>
      <c r="G78" s="95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02"/>
      <c r="B80" s="103"/>
      <c r="C80" s="104"/>
      <c r="D80" s="104"/>
      <c r="E80" s="72"/>
      <c r="G80" s="7"/>
      <c r="H80" s="7"/>
      <c r="I80" s="7"/>
      <c r="J80" s="7"/>
      <c r="K80" s="105"/>
      <c r="L80" s="10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7"/>
      <c r="B81" s="72"/>
      <c r="C81" s="72"/>
      <c r="D81" s="72"/>
      <c r="E81" s="7"/>
      <c r="F81" s="1"/>
      <c r="G81" s="1"/>
      <c r="H81" s="1"/>
      <c r="I81" s="1"/>
      <c r="J81" s="1"/>
      <c r="K81" s="8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7"/>
      <c r="B82" s="72"/>
      <c r="C82" s="72"/>
      <c r="D82" s="72"/>
      <c r="E82" s="7"/>
      <c r="F82" s="1"/>
      <c r="G82" s="1"/>
      <c r="H82" s="1"/>
      <c r="I82" s="1"/>
      <c r="J82" s="1"/>
      <c r="K82" s="8"/>
      <c r="L82" s="10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9"/>
      <c r="B83" s="110"/>
      <c r="C83" s="110"/>
      <c r="D83" s="110"/>
      <c r="E83" s="111"/>
      <c r="F83" s="112"/>
      <c r="G83" s="112"/>
      <c r="H83" s="112"/>
      <c r="I83" s="112"/>
      <c r="J83" s="112"/>
      <c r="K83" s="113"/>
      <c r="L83" s="10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4"/>
      <c r="C84" s="114"/>
      <c r="D84" s="114"/>
      <c r="E84" s="114"/>
      <c r="F84" s="1"/>
      <c r="G84" s="1"/>
      <c r="H84" s="1"/>
      <c r="I84" s="1"/>
      <c r="J84" s="115"/>
      <c r="K84" s="115"/>
      <c r="L84" s="11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4"/>
      <c r="C85" s="114"/>
      <c r="D85" s="114"/>
      <c r="E85" s="114"/>
      <c r="F85" s="1"/>
      <c r="G85" s="1"/>
      <c r="H85" s="1"/>
      <c r="I85" s="1"/>
      <c r="J85" s="115"/>
      <c r="K85" s="115"/>
      <c r="L85" s="11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4"/>
      <c r="C86" s="114"/>
      <c r="D86" s="114"/>
      <c r="E86" s="114"/>
      <c r="F86" s="1"/>
      <c r="G86" s="1"/>
      <c r="H86" s="1"/>
      <c r="I86" s="1"/>
      <c r="J86" s="115"/>
      <c r="K86" s="115"/>
      <c r="L86" s="11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4"/>
      <c r="C87" s="114"/>
      <c r="D87" s="114"/>
      <c r="E87" s="114"/>
      <c r="F87" s="1"/>
      <c r="G87" s="1"/>
      <c r="H87" s="1"/>
      <c r="I87" s="1"/>
      <c r="J87" s="115"/>
      <c r="K87" s="115"/>
      <c r="L87" s="11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4"/>
      <c r="C88" s="114"/>
      <c r="D88" s="114"/>
      <c r="E88" s="1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4"/>
      <c r="C89" s="114"/>
      <c r="D89" s="114"/>
      <c r="E89" s="114"/>
      <c r="F89" s="1"/>
      <c r="G89" s="1"/>
      <c r="H89" s="1"/>
      <c r="I89" s="1"/>
      <c r="J89" s="1"/>
      <c r="K89" s="11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4"/>
      <c r="C90" s="114"/>
      <c r="D90" s="114"/>
      <c r="E90" s="11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4"/>
      <c r="C91" s="114"/>
      <c r="D91" s="114"/>
      <c r="E91" s="11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4"/>
      <c r="C92" s="114"/>
      <c r="D92" s="114"/>
      <c r="E92" s="11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4"/>
      <c r="C93" s="114"/>
      <c r="D93" s="114"/>
      <c r="E93" s="11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4"/>
      <c r="C94" s="114"/>
      <c r="D94" s="114"/>
      <c r="E94" s="11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4"/>
      <c r="C95" s="114"/>
      <c r="D95" s="114"/>
      <c r="E95" s="11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IFERROR(__xludf.DUMMYFUNCTION("IMPORTRANGE(""https://docs.google.com/spreadsheets/d/1gWm5grlICJTE9yzh0EdKexQ0PnWg6cx3Djpo_7ER3Ig/edit?gid=1831369803#gid=1831369803"",""1-3 ciencias sociales ii!A1:Q86"")"),"")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IFERROR(__xludf.DUMMYFUNCTION("""COMPUTED_VALUE"""),"MA. GUADALUPE GRANADOS DE LOERA")</f>
        <v>MA. GUADALUPE GRANADOS DE LOERA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IFERROR(__xludf.DUMMYFUNCTION("""COMPUTED_VALUE"""),"LENGUA Y COMUNICACIÓN II")</f>
        <v>LENGUA Y COMUNICACIÓN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IFERROR(__xludf.DUMMYFUNCTION("""COMPUTED_VALUE"""),"1°")</f>
        <v>1°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IFERROR(__xludf.DUMMYFUNCTION("""COMPUTED_VALUE"""),"VARELA")</f>
        <v>VARELA</v>
      </c>
      <c r="D17" s="54" t="str">
        <f>IFERROR(__xludf.DUMMYFUNCTION("""COMPUTED_VALUE"""),"ISAIAS HAZAEL")</f>
        <v>ISAIAS HAZAEL</v>
      </c>
      <c r="E17" s="55">
        <f>IFERROR(__xludf.DUMMYFUNCTION("""COMPUTED_VALUE"""),4.0)</f>
        <v>4</v>
      </c>
      <c r="F17" s="55">
        <f>IFERROR(__xludf.DUMMYFUNCTION("""COMPUTED_VALUE"""),2.0)</f>
        <v>2</v>
      </c>
      <c r="G17" s="56"/>
      <c r="H17" s="57">
        <f>IFERROR(__xludf.DUMMYFUNCTION("""COMPUTED_VALUE"""),6.0)</f>
        <v>6</v>
      </c>
      <c r="I17" s="58">
        <f>IFERROR(__xludf.DUMMYFUNCTION("""COMPUTED_VALUE"""),0.0)</f>
        <v>0</v>
      </c>
      <c r="J17" s="59">
        <f>IFERROR(__xludf.DUMMYFUNCTION("""COMPUTED_VALUE"""),8.0)</f>
        <v>8</v>
      </c>
      <c r="K17" s="60"/>
      <c r="L17" s="61">
        <f>IFERROR(__xludf.DUMMYFUNCTION("""COMPUTED_VALUE"""),6.0)</f>
        <v>6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IFERROR(__xludf.DUMMYFUNCTION("""COMPUTED_VALUE"""),"ANDRADE")</f>
        <v>ANDRADE</v>
      </c>
      <c r="C18" s="53" t="str">
        <f>IFERROR(__xludf.DUMMYFUNCTION("""COMPUTED_VALUE"""),"LOPEZ")</f>
        <v>LOPEZ</v>
      </c>
      <c r="D18" s="54" t="str">
        <f>IFERROR(__xludf.DUMMYFUNCTION("""COMPUTED_VALUE"""),"DAVID EMILIANO")</f>
        <v>DAVID EMILIANO</v>
      </c>
      <c r="E18" s="55">
        <f>IFERROR(__xludf.DUMMYFUNCTION("""COMPUTED_VALUE"""),6.0)</f>
        <v>6</v>
      </c>
      <c r="F18" s="55">
        <f>IFERROR(__xludf.DUMMYFUNCTION("""COMPUTED_VALUE"""),2.0)</f>
        <v>2</v>
      </c>
      <c r="G18" s="56"/>
      <c r="H18" s="57">
        <f>IFERROR(__xludf.DUMMYFUNCTION("""COMPUTED_VALUE"""),8.0)</f>
        <v>8</v>
      </c>
      <c r="I18" s="58">
        <f>IFERROR(__xludf.DUMMYFUNCTION("""COMPUTED_VALUE"""),0.0)</f>
        <v>0</v>
      </c>
      <c r="J18" s="59">
        <f>IFERROR(__xludf.DUMMYFUNCTION("""COMPUTED_VALUE"""),8.0)</f>
        <v>8</v>
      </c>
      <c r="K18" s="51"/>
      <c r="L18" s="61">
        <f>IFERROR(__xludf.DUMMYFUNCTION("""COMPUTED_VALUE"""),8.0)</f>
        <v>8</v>
      </c>
      <c r="M18" s="1" t="str">
        <f>IFERROR(__xludf.DUMMYFUNCTION("""COMPUTED_VALUE"""),"Febrero")</f>
        <v>Febrero</v>
      </c>
      <c r="N18" s="1">
        <f>IFERROR(__xludf.DUMMYFUNCTION("""COMPUTED_VALUE"""),6.0)</f>
        <v>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IFERROR(__xludf.DUMMYFUNCTION("""COMPUTED_VALUE"""),"ARELLANO")</f>
        <v>ARELLANO</v>
      </c>
      <c r="C19" s="53" t="str">
        <f>IFERROR(__xludf.DUMMYFUNCTION("""COMPUTED_VALUE"""),"RAMIREZ")</f>
        <v>RAMIREZ</v>
      </c>
      <c r="D19" s="54" t="str">
        <f>IFERROR(__xludf.DUMMYFUNCTION("""COMPUTED_VALUE"""),"ALEJANDRO")</f>
        <v>ALEJANDRO</v>
      </c>
      <c r="E19" s="56">
        <f>IFERROR(__xludf.DUMMYFUNCTION("""COMPUTED_VALUE"""),6.0)</f>
        <v>6</v>
      </c>
      <c r="F19" s="55">
        <f>IFERROR(__xludf.DUMMYFUNCTION("""COMPUTED_VALUE"""),2.0)</f>
        <v>2</v>
      </c>
      <c r="G19" s="56"/>
      <c r="H19" s="57">
        <f>IFERROR(__xludf.DUMMYFUNCTION("""COMPUTED_VALUE"""),8.0)</f>
        <v>8</v>
      </c>
      <c r="I19" s="58">
        <f>IFERROR(__xludf.DUMMYFUNCTION("""COMPUTED_VALUE"""),2.0)</f>
        <v>2</v>
      </c>
      <c r="J19" s="59">
        <f>IFERROR(__xludf.DUMMYFUNCTION("""COMPUTED_VALUE"""),8.0)</f>
        <v>8</v>
      </c>
      <c r="K19" s="51"/>
      <c r="L19" s="61">
        <f>IFERROR(__xludf.DUMMYFUNCTION("""COMPUTED_VALUE"""),8.0)</f>
        <v>8</v>
      </c>
      <c r="M19" s="1" t="str">
        <f>IFERROR(__xludf.DUMMYFUNCTION("""COMPUTED_VALUE"""),"Marzo")</f>
        <v>Marzo</v>
      </c>
      <c r="N19" s="1">
        <f>IFERROR(__xludf.DUMMYFUNCTION("""COMPUTED_VALUE"""),10.0)</f>
        <v>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IFERROR(__xludf.DUMMYFUNCTION("""COMPUTED_VALUE"""),"AVILA")</f>
        <v>AVILA</v>
      </c>
      <c r="C20" s="53" t="str">
        <f>IFERROR(__xludf.DUMMYFUNCTION("""COMPUTED_VALUE"""),"GARCIA")</f>
        <v>GARCIA</v>
      </c>
      <c r="D20" s="54" t="str">
        <f>IFERROR(__xludf.DUMMYFUNCTION("""COMPUTED_VALUE"""),"PARIS PAOLETTE")</f>
        <v>PARIS PAOLETTE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/>
      <c r="H20" s="57">
        <f>IFERROR(__xludf.DUMMYFUNCTION("""COMPUTED_VALUE"""),10.0)</f>
        <v>10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IFERROR(__xludf.DUMMYFUNCTION("""COMPUTED_VALUE"""),"BARRERA")</f>
        <v>BARRERA</v>
      </c>
      <c r="C21" s="62"/>
      <c r="D21" s="54" t="str">
        <f>IFERROR(__xludf.DUMMYFUNCTION("""COMPUTED_VALUE"""),"NAEEM")</f>
        <v>NAEEM</v>
      </c>
      <c r="E21" s="55">
        <f>IFERROR(__xludf.DUMMYFUNCTION("""COMPUTED_VALUE"""),8.0)</f>
        <v>8</v>
      </c>
      <c r="F21" s="55">
        <f>IFERROR(__xludf.DUMMYFUNCTION("""COMPUTED_VALUE"""),2.0)</f>
        <v>2</v>
      </c>
      <c r="G21" s="56"/>
      <c r="H21" s="57">
        <f>IFERROR(__xludf.DUMMYFUNCTION("""COMPUTED_VALUE"""),10.0)</f>
        <v>10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3" t="str">
        <f>IFERROR(__xludf.DUMMYFUNCTION("""COMPUTED_VALUE"""),"BLANCO")</f>
        <v>BLANCO</v>
      </c>
      <c r="C22" s="53" t="str">
        <f>IFERROR(__xludf.DUMMYFUNCTION("""COMPUTED_VALUE"""),"JARAMILLO")</f>
        <v>JARAMILLO</v>
      </c>
      <c r="D22" s="54" t="str">
        <f>IFERROR(__xludf.DUMMYFUNCTION("""COMPUTED_VALUE"""),"INGRID NATALIA")</f>
        <v>INGRID NATALIA</v>
      </c>
      <c r="E22" s="55">
        <f>IFERROR(__xludf.DUMMYFUNCTION("""COMPUTED_VALUE"""),8.0)</f>
        <v>8</v>
      </c>
      <c r="F22" s="55">
        <f>IFERROR(__xludf.DUMMYFUNCTION("""COMPUTED_VALUE"""),2.0)</f>
        <v>2</v>
      </c>
      <c r="G22" s="56">
        <f>IFERROR(__xludf.DUMMYFUNCTION("""COMPUTED_VALUE"""),1.0)</f>
        <v>1</v>
      </c>
      <c r="H22" s="57">
        <f>IFERROR(__xludf.DUMMYFUNCTION("""COMPUTED_VALUE"""),11.0)</f>
        <v>11</v>
      </c>
      <c r="I22" s="58">
        <f>IFERROR(__xludf.DUMMYFUNCTION("""COMPUTED_VALUE"""),2.0)</f>
        <v>2</v>
      </c>
      <c r="J22" s="59">
        <f>IFERROR(__xludf.DUMMYFUNCTION("""COMPUTED_VALUE"""),10.0)</f>
        <v>10</v>
      </c>
      <c r="K22" s="51"/>
      <c r="L22" s="61">
        <f>IFERROR(__xludf.DUMMYFUNCTION("""COMPUTED_VALUE"""),11.0)</f>
        <v>11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IFERROR(__xludf.DUMMYFUNCTION("""COMPUTED_VALUE"""),"CARLOS")</f>
        <v>CARLOS</v>
      </c>
      <c r="C23" s="53" t="str">
        <f>IFERROR(__xludf.DUMMYFUNCTION("""COMPUTED_VALUE"""),"DE LA CRUZ")</f>
        <v>DE LA CRUZ</v>
      </c>
      <c r="D23" s="54" t="str">
        <f>IFERROR(__xludf.DUMMYFUNCTION("""COMPUTED_VALUE"""),"JAVIER")</f>
        <v>JAVIER</v>
      </c>
      <c r="E23" s="55">
        <f>IFERROR(__xludf.DUMMYFUNCTION("""COMPUTED_VALUE"""),8.0)</f>
        <v>8</v>
      </c>
      <c r="F23" s="55">
        <f>IFERROR(__xludf.DUMMYFUNCTION("""COMPUTED_VALUE"""),2.0)</f>
        <v>2</v>
      </c>
      <c r="G23" s="56">
        <f>IFERROR(__xludf.DUMMYFUNCTION("""COMPUTED_VALUE"""),1.0)</f>
        <v>1</v>
      </c>
      <c r="H23" s="57">
        <f>IFERROR(__xludf.DUMMYFUNCTION("""COMPUTED_VALUE"""),11.0)</f>
        <v>11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IFERROR(__xludf.DUMMYFUNCTION("""COMPUTED_VALUE"""),11.0)</f>
        <v>11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IFERROR(__xludf.DUMMYFUNCTION("""COMPUTED_VALUE"""),"CARRICHE")</f>
        <v>CARRICHE</v>
      </c>
      <c r="C24" s="53" t="str">
        <f>IFERROR(__xludf.DUMMYFUNCTION("""COMPUTED_VALUE"""),"HERNANDEZ")</f>
        <v>HERNANDEZ</v>
      </c>
      <c r="D24" s="54" t="str">
        <f>IFERROR(__xludf.DUMMYFUNCTION("""COMPUTED_VALUE"""),"DIEGO IVAN")</f>
        <v>DIEGO IVAN</v>
      </c>
      <c r="E24" s="56">
        <f>IFERROR(__xludf.DUMMYFUNCTION("""COMPUTED_VALUE"""),7.0)</f>
        <v>7</v>
      </c>
      <c r="F24" s="55">
        <f>IFERROR(__xludf.DUMMYFUNCTION("""COMPUTED_VALUE"""),2.0)</f>
        <v>2</v>
      </c>
      <c r="G24" s="56">
        <f>IFERROR(__xludf.DUMMYFUNCTION("""COMPUTED_VALUE"""),1.0)</f>
        <v>1</v>
      </c>
      <c r="H24" s="57">
        <f>IFERROR(__xludf.DUMMYFUNCTION("""COMPUTED_VALUE"""),10.0)</f>
        <v>10</v>
      </c>
      <c r="I24" s="58">
        <f>IFERROR(__xludf.DUMMYFUNCTION("""COMPUTED_VALUE"""),0.0)</f>
        <v>0</v>
      </c>
      <c r="J24" s="59">
        <f>IFERROR(__xludf.DUMMYFUNCTION("""COMPUTED_VALUE"""),10.0)</f>
        <v>10</v>
      </c>
      <c r="K24" s="51"/>
      <c r="L24" s="61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IFERROR(__xludf.DUMMYFUNCTION("""COMPUTED_VALUE"""),16.0)</f>
        <v>16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IFERROR(__xludf.DUMMYFUNCTION("""COMPUTED_VALUE"""),"CASTILLO")</f>
        <v>CASTILLO</v>
      </c>
      <c r="C25" s="53" t="str">
        <f>IFERROR(__xludf.DUMMYFUNCTION("""COMPUTED_VALUE"""),"DOMINGUEZ")</f>
        <v>DOMINGUEZ</v>
      </c>
      <c r="D25" s="54" t="str">
        <f>IFERROR(__xludf.DUMMYFUNCTION("""COMPUTED_VALUE"""),"EMANUEL")</f>
        <v>EMANUEL</v>
      </c>
      <c r="E25" s="55">
        <f>IFERROR(__xludf.DUMMYFUNCTION("""COMPUTED_VALUE"""),4.0)</f>
        <v>4</v>
      </c>
      <c r="F25" s="55">
        <f>IFERROR(__xludf.DUMMYFUNCTION("""COMPUTED_VALUE"""),2.0)</f>
        <v>2</v>
      </c>
      <c r="G25" s="56">
        <f>IFERROR(__xludf.DUMMYFUNCTION("""COMPUTED_VALUE"""),1.0)</f>
        <v>1</v>
      </c>
      <c r="H25" s="57">
        <f>IFERROR(__xludf.DUMMYFUNCTION("""COMPUTED_VALUE"""),7.0)</f>
        <v>7</v>
      </c>
      <c r="I25" s="58">
        <f>IFERROR(__xludf.DUMMYFUNCTION("""COMPUTED_VALUE"""),2.0)</f>
        <v>2</v>
      </c>
      <c r="J25" s="59">
        <f>IFERROR(__xludf.DUMMYFUNCTION("""COMPUTED_VALUE"""),7.0)</f>
        <v>7</v>
      </c>
      <c r="K25" s="51"/>
      <c r="L25" s="61">
        <f>IFERROR(__xludf.DUMMYFUNCTION("""COMPUTED_VALUE"""),7.0)</f>
        <v>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IFERROR(__xludf.DUMMYFUNCTION("""COMPUTED_VALUE"""),"COMO")</f>
        <v>COMO</v>
      </c>
      <c r="C26" s="53" t="str">
        <f>IFERROR(__xludf.DUMMYFUNCTION("""COMPUTED_VALUE"""),"MONTOYA")</f>
        <v>MONTOYA</v>
      </c>
      <c r="D26" s="54" t="str">
        <f>IFERROR(__xludf.DUMMYFUNCTION("""COMPUTED_VALUE"""),"ANGEL GIOVANNY")</f>
        <v>ANGEL GIOVANNY</v>
      </c>
      <c r="E26" s="56">
        <f>IFERROR(__xludf.DUMMYFUNCTION("""COMPUTED_VALUE"""),5.0)</f>
        <v>5</v>
      </c>
      <c r="F26" s="55">
        <f>IFERROR(__xludf.DUMMYFUNCTION("""COMPUTED_VALUE"""),2.0)</f>
        <v>2</v>
      </c>
      <c r="G26" s="56">
        <f>IFERROR(__xludf.DUMMYFUNCTION("""COMPUTED_VALUE"""),1.0)</f>
        <v>1</v>
      </c>
      <c r="H26" s="57">
        <f>IFERROR(__xludf.DUMMYFUNCTION("""COMPUTED_VALUE"""),8.0)</f>
        <v>8</v>
      </c>
      <c r="I26" s="58">
        <f>IFERROR(__xludf.DUMMYFUNCTION("""COMPUTED_VALUE"""),2.0)</f>
        <v>2</v>
      </c>
      <c r="J26" s="59">
        <f>IFERROR(__xludf.DUMMYFUNCTION("""COMPUTED_VALUE"""),7.0)</f>
        <v>7</v>
      </c>
      <c r="K26" s="51"/>
      <c r="L26" s="61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IFERROR(__xludf.DUMMYFUNCTION("""COMPUTED_VALUE"""),"CORTES")</f>
        <v>CORTES</v>
      </c>
      <c r="C27" s="53" t="str">
        <f>IFERROR(__xludf.DUMMYFUNCTION("""COMPUTED_VALUE"""),"VAZQUEZ")</f>
        <v>VAZQUEZ</v>
      </c>
      <c r="D27" s="53" t="str">
        <f>IFERROR(__xludf.DUMMYFUNCTION("""COMPUTED_VALUE"""),"ZULEIMA")</f>
        <v>ZULEIMA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/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IFERROR(__xludf.DUMMYFUNCTION("""COMPUTED_VALUE"""),"CRUZ")</f>
        <v>CRUZ</v>
      </c>
      <c r="C28" s="53" t="str">
        <f>IFERROR(__xludf.DUMMYFUNCTION("""COMPUTED_VALUE"""),"BAUTISTA")</f>
        <v>BAUTISTA</v>
      </c>
      <c r="D28" s="54" t="str">
        <f>IFERROR(__xludf.DUMMYFUNCTION("""COMPUTED_VALUE"""),"YAEL ABDIEL")</f>
        <v>YAEL ABDIEL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/>
      <c r="H28" s="57">
        <f>IFERROR(__xludf.DUMMYFUNCTION("""COMPUTED_VALUE"""),10.0)</f>
        <v>10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3" t="str">
        <f>IFERROR(__xludf.DUMMYFUNCTION("""COMPUTED_VALUE"""),"NUÑEZ")</f>
        <v>NUÑEZ</v>
      </c>
      <c r="D29" s="54" t="str">
        <f>IFERROR(__xludf.DUMMYFUNCTION("""COMPUTED_VALUE"""),"XIMENA LIZVET")</f>
        <v>XIMENA LIZVET</v>
      </c>
      <c r="E29" s="55">
        <f>IFERROR(__xludf.DUMMYFUNCTION("""COMPUTED_VALUE"""),8.0)</f>
        <v>8</v>
      </c>
      <c r="F29" s="55">
        <f>IFERROR(__xludf.DUMMYFUNCTION("""COMPUTED_VALUE"""),2.0)</f>
        <v>2</v>
      </c>
      <c r="G29" s="56">
        <f>IFERROR(__xludf.DUMMYFUNCTION("""COMPUTED_VALUE"""),1.0)</f>
        <v>1</v>
      </c>
      <c r="H29" s="57">
        <f>IFERROR(__xludf.DUMMYFUNCTION("""COMPUTED_VALUE"""),11.0)</f>
        <v>11</v>
      </c>
      <c r="I29" s="58">
        <f>IFERROR(__xludf.DUMMYFUNCTION("""COMPUTED_VALUE"""),0.0)</f>
        <v>0</v>
      </c>
      <c r="J29" s="59">
        <f>IFERROR(__xludf.DUMMYFUNCTION("""COMPUTED_VALUE"""),10.0)</f>
        <v>10</v>
      </c>
      <c r="K29" s="51"/>
      <c r="L29" s="61">
        <f>IFERROR(__xludf.DUMMYFUNCTION("""COMPUTED_VALUE"""),11.0)</f>
        <v>11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IFERROR(__xludf.DUMMYFUNCTION("""COMPUTED_VALUE"""),"DE JESUS")</f>
        <v>DE JESUS</v>
      </c>
      <c r="C30" s="53" t="str">
        <f>IFERROR(__xludf.DUMMYFUNCTION("""COMPUTED_VALUE"""),"GONZALEZ")</f>
        <v>GONZALEZ</v>
      </c>
      <c r="D30" s="54" t="str">
        <f>IFERROR(__xludf.DUMMYFUNCTION("""COMPUTED_VALUE"""),"SHARON NOEMI")</f>
        <v>SHARON NOEMI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>
        <f>IFERROR(__xludf.DUMMYFUNCTION("""COMPUTED_VALUE"""),1.0)</f>
        <v>1</v>
      </c>
      <c r="H30" s="57">
        <f>IFERROR(__xludf.DUMMYFUNCTION("""COMPUTED_VALUE"""),11.0)</f>
        <v>11</v>
      </c>
      <c r="I30" s="58">
        <f>IFERROR(__xludf.DUMMYFUNCTION("""COMPUTED_VALUE"""),2.0)</f>
        <v>2</v>
      </c>
      <c r="J30" s="59">
        <f>IFERROR(__xludf.DUMMYFUNCTION("""COMPUTED_VALUE"""),10.0)</f>
        <v>10</v>
      </c>
      <c r="K30" s="51"/>
      <c r="L30" s="61">
        <f>IFERROR(__xludf.DUMMYFUNCTION("""COMPUTED_VALUE"""),11.0)</f>
        <v>11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IFERROR(__xludf.DUMMYFUNCTION("""COMPUTED_VALUE"""),"DE SANTIAGO")</f>
        <v>DE SANTIAGO</v>
      </c>
      <c r="C31" s="64" t="str">
        <f>IFERROR(__xludf.DUMMYFUNCTION("""COMPUTED_VALUE"""),"SANCHEZ")</f>
        <v>SANCHEZ</v>
      </c>
      <c r="D31" s="54" t="str">
        <f>IFERROR(__xludf.DUMMYFUNCTION("""COMPUTED_VALUE"""),"OSCAR")</f>
        <v>OSCAR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/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IFERROR(__xludf.DUMMYFUNCTION("""COMPUTED_VALUE"""),"DOMINGUEZ")</f>
        <v>DOMINGUEZ</v>
      </c>
      <c r="C32" s="53" t="str">
        <f>IFERROR(__xludf.DUMMYFUNCTION("""COMPUTED_VALUE"""),"RODRIGUEZ")</f>
        <v>RODRIGUEZ</v>
      </c>
      <c r="D32" s="54" t="str">
        <f>IFERROR(__xludf.DUMMYFUNCTION("""COMPUTED_VALUE"""),"ISABELLA VICTORIA")</f>
        <v>ISABELLA VICTORIA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/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IFERROR(__xludf.DUMMYFUNCTION("""COMPUTED_VALUE"""),"ESLAVA")</f>
        <v>ESLAVA</v>
      </c>
      <c r="C33" s="53" t="str">
        <f>IFERROR(__xludf.DUMMYFUNCTION("""COMPUTED_VALUE"""),"CEDILLO")</f>
        <v>CEDILLO</v>
      </c>
      <c r="D33" s="54" t="str">
        <f>IFERROR(__xludf.DUMMYFUNCTION("""COMPUTED_VALUE"""),"DIEGO EVERARDO")</f>
        <v>DIEGO EVERARDO</v>
      </c>
      <c r="E33" s="55">
        <f>IFERROR(__xludf.DUMMYFUNCTION("""COMPUTED_VALUE"""),7.0)</f>
        <v>7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IFERROR(__xludf.DUMMYFUNCTION("""COMPUTED_VALUE"""),10.0)</f>
        <v>10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IFERROR(__xludf.DUMMYFUNCTION("""COMPUTED_VALUE"""),"FLORES")</f>
        <v>FLORES</v>
      </c>
      <c r="C34" s="53" t="str">
        <f>IFERROR(__xludf.DUMMYFUNCTION("""COMPUTED_VALUE"""),"GARCIA")</f>
        <v>GARCIA</v>
      </c>
      <c r="D34" s="54" t="str">
        <f>IFERROR(__xludf.DUMMYFUNCTION("""COMPUTED_VALUE"""),"BYRON ALBERTO")</f>
        <v>BYRON ALBERTO</v>
      </c>
      <c r="E34" s="56">
        <f>IFERROR(__xludf.DUMMYFUNCTION("""COMPUTED_VALUE"""),8.0)</f>
        <v>8</v>
      </c>
      <c r="F34" s="55">
        <f>IFERROR(__xludf.DUMMYFUNCTION("""COMPUTED_VALUE"""),2.0)</f>
        <v>2</v>
      </c>
      <c r="G34" s="56">
        <f>IFERROR(__xludf.DUMMYFUNCTION("""COMPUTED_VALUE"""),1.0)</f>
        <v>1</v>
      </c>
      <c r="H34" s="57">
        <f>IFERROR(__xludf.DUMMYFUNCTION("""COMPUTED_VALUE"""),11.0)</f>
        <v>11</v>
      </c>
      <c r="I34" s="58">
        <f>IFERROR(__xludf.DUMMYFUNCTION("""COMPUTED_VALUE"""),0.0)</f>
        <v>0</v>
      </c>
      <c r="J34" s="59">
        <f>IFERROR(__xludf.DUMMYFUNCTION("""COMPUTED_VALUE"""),10.0)</f>
        <v>10</v>
      </c>
      <c r="K34" s="51"/>
      <c r="L34" s="61">
        <f>IFERROR(__xludf.DUMMYFUNCTION("""COMPUTED_VALUE"""),11.0)</f>
        <v>11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IFERROR(__xludf.DUMMYFUNCTION("""COMPUTED_VALUE"""),"GARCIA")</f>
        <v>GARCIA</v>
      </c>
      <c r="C35" s="53" t="str">
        <f>IFERROR(__xludf.DUMMYFUNCTION("""COMPUTED_VALUE"""),"ESCOBAR")</f>
        <v>ESCOBAR</v>
      </c>
      <c r="D35" s="54" t="str">
        <f>IFERROR(__xludf.DUMMYFUNCTION("""COMPUTED_VALUE"""),"DALIA ANGELINA")</f>
        <v>DALIA ANGELINA</v>
      </c>
      <c r="E35" s="55">
        <f>IFERROR(__xludf.DUMMYFUNCTION("""COMPUTED_VALUE"""),7.0)</f>
        <v>7</v>
      </c>
      <c r="F35" s="55">
        <f>IFERROR(__xludf.DUMMYFUNCTION("""COMPUTED_VALUE"""),2.0)</f>
        <v>2</v>
      </c>
      <c r="G35" s="56">
        <f>IFERROR(__xludf.DUMMYFUNCTION("""COMPUTED_VALUE"""),1.0)</f>
        <v>1</v>
      </c>
      <c r="H35" s="57">
        <f>IFERROR(__xludf.DUMMYFUNCTION("""COMPUTED_VALUE"""),10.0)</f>
        <v>10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IFERROR(__xludf.DUMMYFUNCTION("""COMPUTED_VALUE"""),"GONZALEZ")</f>
        <v>GONZALEZ</v>
      </c>
      <c r="C36" s="53" t="str">
        <f>IFERROR(__xludf.DUMMYFUNCTION("""COMPUTED_VALUE"""),"BAÑOS")</f>
        <v>BAÑOS</v>
      </c>
      <c r="D36" s="54" t="str">
        <f>IFERROR(__xludf.DUMMYFUNCTION("""COMPUTED_VALUE"""),"DAVID EDUARDO")</f>
        <v>DAVID EDUARDO</v>
      </c>
      <c r="E36" s="55">
        <f>IFERROR(__xludf.DUMMYFUNCTION("""COMPUTED_VALUE"""),4.0)</f>
        <v>4</v>
      </c>
      <c r="F36" s="55">
        <f>IFERROR(__xludf.DUMMYFUNCTION("""COMPUTED_VALUE"""),2.0)</f>
        <v>2</v>
      </c>
      <c r="G36" s="56"/>
      <c r="H36" s="57">
        <f>IFERROR(__xludf.DUMMYFUNCTION("""COMPUTED_VALUE"""),6.0)</f>
        <v>6</v>
      </c>
      <c r="I36" s="58">
        <f>IFERROR(__xludf.DUMMYFUNCTION("""COMPUTED_VALUE"""),0.0)</f>
        <v>0</v>
      </c>
      <c r="J36" s="59">
        <f>IFERROR(__xludf.DUMMYFUNCTION("""COMPUTED_VALUE"""),6.0)</f>
        <v>6</v>
      </c>
      <c r="K36" s="51"/>
      <c r="L36" s="61">
        <f>IFERROR(__xludf.DUMMYFUNCTION("""COMPUTED_VALUE"""),6.0)</f>
        <v>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IFERROR(__xludf.DUMMYFUNCTION("""COMPUTED_VALUE"""),"GONZALEZ")</f>
        <v>GONZALEZ</v>
      </c>
      <c r="C37" s="53" t="str">
        <f>IFERROR(__xludf.DUMMYFUNCTION("""COMPUTED_VALUE"""),"CAZARES")</f>
        <v>CAZARES</v>
      </c>
      <c r="D37" s="65" t="str">
        <f>IFERROR(__xludf.DUMMYFUNCTION("""COMPUTED_VALUE"""),"CRISTHIAN")</f>
        <v>CRISTHIAN</v>
      </c>
      <c r="E37" s="56">
        <f>IFERROR(__xludf.DUMMYFUNCTION("""COMPUTED_VALUE"""),3.0)</f>
        <v>3</v>
      </c>
      <c r="F37" s="55">
        <f>IFERROR(__xludf.DUMMYFUNCTION("""COMPUTED_VALUE"""),2.0)</f>
        <v>2</v>
      </c>
      <c r="G37" s="56">
        <f>IFERROR(__xludf.DUMMYFUNCTION("""COMPUTED_VALUE"""),1.0)</f>
        <v>1</v>
      </c>
      <c r="H37" s="57">
        <f>IFERROR(__xludf.DUMMYFUNCTION("""COMPUTED_VALUE"""),6.0)</f>
        <v>6</v>
      </c>
      <c r="I37" s="58">
        <f>IFERROR(__xludf.DUMMYFUNCTION("""COMPUTED_VALUE"""),0.0)</f>
        <v>0</v>
      </c>
      <c r="J37" s="59">
        <f>IFERROR(__xludf.DUMMYFUNCTION("""COMPUTED_VALUE"""),6.0)</f>
        <v>6</v>
      </c>
      <c r="K37" s="51"/>
      <c r="L37" s="61">
        <f>IFERROR(__xludf.DUMMYFUNCTION("""COMPUTED_VALUE"""),6.0)</f>
        <v>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IFERROR(__xludf.DUMMYFUNCTION("""COMPUTED_VALUE"""),"GRANADOS")</f>
        <v>GRANADOS</v>
      </c>
      <c r="C38" s="53" t="str">
        <f>IFERROR(__xludf.DUMMYFUNCTION("""COMPUTED_VALUE"""),"GUERRERO")</f>
        <v>GUERRERO</v>
      </c>
      <c r="D38" s="54" t="str">
        <f>IFERROR(__xludf.DUMMYFUNCTION("""COMPUTED_VALUE"""),"ZARA")</f>
        <v>ZARA</v>
      </c>
      <c r="E38" s="55">
        <f>IFERROR(__xludf.DUMMYFUNCTION("""COMPUTED_VALUE"""),7.0)</f>
        <v>7</v>
      </c>
      <c r="F38" s="55">
        <f>IFERROR(__xludf.DUMMYFUNCTION("""COMPUTED_VALUE"""),2.0)</f>
        <v>2</v>
      </c>
      <c r="G38" s="56"/>
      <c r="H38" s="57">
        <f>IFERROR(__xludf.DUMMYFUNCTION("""COMPUTED_VALUE"""),9.0)</f>
        <v>9</v>
      </c>
      <c r="I38" s="58">
        <f>IFERROR(__xludf.DUMMYFUNCTION("""COMPUTED_VALUE"""),0.0)</f>
        <v>0</v>
      </c>
      <c r="J38" s="59">
        <f>IFERROR(__xludf.DUMMYFUNCTION("""COMPUTED_VALUE"""),9.0)</f>
        <v>9</v>
      </c>
      <c r="K38" s="51"/>
      <c r="L38" s="61">
        <f>IFERROR(__xludf.DUMMYFUNCTION("""COMPUTED_VALUE"""),9.0)</f>
        <v>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IFERROR(__xludf.DUMMYFUNCTION("""COMPUTED_VALUE"""),"HERNANDEZ")</f>
        <v>HERNANDEZ</v>
      </c>
      <c r="C39" s="53" t="str">
        <f>IFERROR(__xludf.DUMMYFUNCTION("""COMPUTED_VALUE"""),"CANCHOLA")</f>
        <v>CANCHOLA</v>
      </c>
      <c r="D39" s="65" t="str">
        <f>IFERROR(__xludf.DUMMYFUNCTION("""COMPUTED_VALUE"""),"MELANIE")</f>
        <v>MELANIE</v>
      </c>
      <c r="E39" s="55">
        <f>IFERROR(__xludf.DUMMYFUNCTION("""COMPUTED_VALUE"""),5.0)</f>
        <v>5</v>
      </c>
      <c r="F39" s="55">
        <f>IFERROR(__xludf.DUMMYFUNCTION("""COMPUTED_VALUE"""),2.0)</f>
        <v>2</v>
      </c>
      <c r="G39" s="56">
        <f>IFERROR(__xludf.DUMMYFUNCTION("""COMPUTED_VALUE"""),1.0)</f>
        <v>1</v>
      </c>
      <c r="H39" s="57">
        <f>IFERROR(__xludf.DUMMYFUNCTION("""COMPUTED_VALUE"""),8.0)</f>
        <v>8</v>
      </c>
      <c r="I39" s="58">
        <f>IFERROR(__xludf.DUMMYFUNCTION("""COMPUTED_VALUE"""),0.0)</f>
        <v>0</v>
      </c>
      <c r="J39" s="59">
        <f>IFERROR(__xludf.DUMMYFUNCTION("""COMPUTED_VALUE"""),8.0)</f>
        <v>8</v>
      </c>
      <c r="K39" s="51"/>
      <c r="L39" s="61">
        <f>IFERROR(__xludf.DUMMYFUNCTION("""COMPUTED_VALUE"""),8.0)</f>
        <v>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6" t="str">
        <f>IFERROR(__xludf.DUMMYFUNCTION("""COMPUTED_VALUE"""),"HERNANDEZ")</f>
        <v>HERNANDEZ</v>
      </c>
      <c r="C40" s="67" t="str">
        <f>IFERROR(__xludf.DUMMYFUNCTION("""COMPUTED_VALUE"""),"ESPARRAGOZA")</f>
        <v>ESPARRAGOZA</v>
      </c>
      <c r="D40" s="54" t="str">
        <f>IFERROR(__xludf.DUMMYFUNCTION("""COMPUTED_VALUE"""),"DANTE ALEXANDER")</f>
        <v>DANTE ALEXANDER</v>
      </c>
      <c r="E40" s="55">
        <f>IFERROR(__xludf.DUMMYFUNCTION("""COMPUTED_VALUE"""),7.0)</f>
        <v>7</v>
      </c>
      <c r="F40" s="55">
        <f>IFERROR(__xludf.DUMMYFUNCTION("""COMPUTED_VALUE"""),2.0)</f>
        <v>2</v>
      </c>
      <c r="G40" s="56"/>
      <c r="H40" s="57">
        <f>IFERROR(__xludf.DUMMYFUNCTION("""COMPUTED_VALUE"""),9.0)</f>
        <v>9</v>
      </c>
      <c r="I40" s="58">
        <f>IFERROR(__xludf.DUMMYFUNCTION("""COMPUTED_VALUE"""),0.0)</f>
        <v>0</v>
      </c>
      <c r="J40" s="59">
        <f>IFERROR(__xludf.DUMMYFUNCTION("""COMPUTED_VALUE"""),9.0)</f>
        <v>9</v>
      </c>
      <c r="K40" s="51"/>
      <c r="L40" s="61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IFERROR(__xludf.DUMMYFUNCTION("""COMPUTED_VALUE"""),"HERNANDEZ")</f>
        <v>HERNANDEZ</v>
      </c>
      <c r="C41" s="53" t="str">
        <f>IFERROR(__xludf.DUMMYFUNCTION("""COMPUTED_VALUE"""),"MUÑOZ")</f>
        <v>MUÑOZ</v>
      </c>
      <c r="D41" s="54" t="str">
        <f>IFERROR(__xludf.DUMMYFUNCTION("""COMPUTED_VALUE"""),"MARIA JOSE")</f>
        <v>MARIA JOSE</v>
      </c>
      <c r="E41" s="55">
        <f>IFERROR(__xludf.DUMMYFUNCTION("""COMPUTED_VALUE"""),8.0)</f>
        <v>8</v>
      </c>
      <c r="F41" s="55">
        <f>IFERROR(__xludf.DUMMYFUNCTION("""COMPUTED_VALUE"""),2.0)</f>
        <v>2</v>
      </c>
      <c r="G41" s="56">
        <f>IFERROR(__xludf.DUMMYFUNCTION("""COMPUTED_VALUE"""),1.0)</f>
        <v>1</v>
      </c>
      <c r="H41" s="57">
        <f>IFERROR(__xludf.DUMMYFUNCTION("""COMPUTED_VALUE"""),11.0)</f>
        <v>11</v>
      </c>
      <c r="I41" s="58">
        <f>IFERROR(__xludf.DUMMYFUNCTION("""COMPUTED_VALUE"""),0.0)</f>
        <v>0</v>
      </c>
      <c r="J41" s="59">
        <f>IFERROR(__xludf.DUMMYFUNCTION("""COMPUTED_VALUE"""),10.0)</f>
        <v>10</v>
      </c>
      <c r="K41" s="51"/>
      <c r="L41" s="61">
        <f>IFERROR(__xludf.DUMMYFUNCTION("""COMPUTED_VALUE"""),11.0)</f>
        <v>11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IFERROR(__xludf.DUMMYFUNCTION("""COMPUTED_VALUE"""),"JARAMILLO")</f>
        <v>JARAMILLO</v>
      </c>
      <c r="C42" s="53" t="str">
        <f>IFERROR(__xludf.DUMMYFUNCTION("""COMPUTED_VALUE"""),"SANDOVAL")</f>
        <v>SANDOVAL</v>
      </c>
      <c r="D42" s="54" t="str">
        <f>IFERROR(__xludf.DUMMYFUNCTION("""COMPUTED_VALUE"""),"MELANI JEREDIT")</f>
        <v>MELANI JEREDIT</v>
      </c>
      <c r="E42" s="55">
        <f>IFERROR(__xludf.DUMMYFUNCTION("""COMPUTED_VALUE"""),2.0)</f>
        <v>2</v>
      </c>
      <c r="F42" s="55">
        <f>IFERROR(__xludf.DUMMYFUNCTION("""COMPUTED_VALUE"""),2.0)</f>
        <v>2</v>
      </c>
      <c r="G42" s="56">
        <f>IFERROR(__xludf.DUMMYFUNCTION("""COMPUTED_VALUE"""),1.0)</f>
        <v>1</v>
      </c>
      <c r="H42" s="57">
        <f>IFERROR(__xludf.DUMMYFUNCTION("""COMPUTED_VALUE"""),5.0)</f>
        <v>5</v>
      </c>
      <c r="I42" s="58">
        <f>IFERROR(__xludf.DUMMYFUNCTION("""COMPUTED_VALUE"""),0.0)</f>
        <v>0</v>
      </c>
      <c r="J42" s="59">
        <f>IFERROR(__xludf.DUMMYFUNCTION("""COMPUTED_VALUE"""),6.0)</f>
        <v>6</v>
      </c>
      <c r="K42" s="51"/>
      <c r="L42" s="61">
        <f>IFERROR(__xludf.DUMMYFUNCTION("""COMPUTED_VALUE"""),5.0)</f>
        <v>5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IFERROR(__xludf.DUMMYFUNCTION("""COMPUTED_VALUE"""),"LEMUS")</f>
        <v>LEMUS</v>
      </c>
      <c r="C43" s="53" t="str">
        <f>IFERROR(__xludf.DUMMYFUNCTION("""COMPUTED_VALUE"""),"AVILA")</f>
        <v>AVILA</v>
      </c>
      <c r="D43" s="54" t="str">
        <f>IFERROR(__xludf.DUMMYFUNCTION("""COMPUTED_VALUE"""),"ANA GABRIELA")</f>
        <v>ANA GABRIELA</v>
      </c>
      <c r="E43" s="55">
        <f>IFERROR(__xludf.DUMMYFUNCTION("""COMPUTED_VALUE"""),7.0)</f>
        <v>7</v>
      </c>
      <c r="F43" s="55">
        <f>IFERROR(__xludf.DUMMYFUNCTION("""COMPUTED_VALUE"""),2.0)</f>
        <v>2</v>
      </c>
      <c r="G43" s="56"/>
      <c r="H43" s="57">
        <f>IFERROR(__xludf.DUMMYFUNCTION("""COMPUTED_VALUE"""),9.0)</f>
        <v>9</v>
      </c>
      <c r="I43" s="58">
        <f>IFERROR(__xludf.DUMMYFUNCTION("""COMPUTED_VALUE"""),0.0)</f>
        <v>0</v>
      </c>
      <c r="J43" s="59">
        <f>IFERROR(__xludf.DUMMYFUNCTION("""COMPUTED_VALUE"""),9.0)</f>
        <v>9</v>
      </c>
      <c r="K43" s="51"/>
      <c r="L43" s="61">
        <f>IFERROR(__xludf.DUMMYFUNCTION("""COMPUTED_VALUE"""),9.0)</f>
        <v>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IFERROR(__xludf.DUMMYFUNCTION("""COMPUTED_VALUE"""),"LOPEZ")</f>
        <v>LOPEZ</v>
      </c>
      <c r="C44" s="53" t="str">
        <f>IFERROR(__xludf.DUMMYFUNCTION("""COMPUTED_VALUE"""),"OLVERA")</f>
        <v>OLVERA</v>
      </c>
      <c r="D44" s="54" t="str">
        <f>IFERROR(__xludf.DUMMYFUNCTION("""COMPUTED_VALUE"""),"GABRIELA LIZETH")</f>
        <v>GABRIELA LIZETH</v>
      </c>
      <c r="E44" s="55">
        <f>IFERROR(__xludf.DUMMYFUNCTION("""COMPUTED_VALUE"""),8.0)</f>
        <v>8</v>
      </c>
      <c r="F44" s="55">
        <f>IFERROR(__xludf.DUMMYFUNCTION("""COMPUTED_VALUE"""),2.0)</f>
        <v>2</v>
      </c>
      <c r="G44" s="56"/>
      <c r="H44" s="57">
        <f>IFERROR(__xludf.DUMMYFUNCTION("""COMPUTED_VALUE"""),10.0)</f>
        <v>10</v>
      </c>
      <c r="I44" s="58">
        <f>IFERROR(__xludf.DUMMYFUNCTION("""COMPUTED_VALUE"""),0.0)</f>
        <v>0</v>
      </c>
      <c r="J44" s="59">
        <f>IFERROR(__xludf.DUMMYFUNCTION("""COMPUTED_VALUE"""),8.0)</f>
        <v>8</v>
      </c>
      <c r="K44" s="51"/>
      <c r="L44" s="61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IFERROR(__xludf.DUMMYFUNCTION("""COMPUTED_VALUE"""),"LOPEZ")</f>
        <v>LOPEZ</v>
      </c>
      <c r="C45" s="53" t="str">
        <f>IFERROR(__xludf.DUMMYFUNCTION("""COMPUTED_VALUE"""),"PANIAGÚA")</f>
        <v>PANIAGÚA</v>
      </c>
      <c r="D45" s="54" t="str">
        <f>IFERROR(__xludf.DUMMYFUNCTION("""COMPUTED_VALUE"""),"ANGEL GIOVANNI")</f>
        <v>ANGEL GIOVANNI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>
        <f>IFERROR(__xludf.DUMMYFUNCTION("""COMPUTED_VALUE"""),1.0)</f>
        <v>1</v>
      </c>
      <c r="H45" s="57">
        <f>IFERROR(__xludf.DUMMYFUNCTION("""COMPUTED_VALUE"""),11.0)</f>
        <v>11</v>
      </c>
      <c r="I45" s="58">
        <f>IFERROR(__xludf.DUMMYFUNCTION("""COMPUTED_VALUE"""),0.0)</f>
        <v>0</v>
      </c>
      <c r="J45" s="59">
        <f>IFERROR(__xludf.DUMMYFUNCTION("""COMPUTED_VALUE"""),10.0)</f>
        <v>10</v>
      </c>
      <c r="K45" s="51"/>
      <c r="L45" s="61">
        <f>IFERROR(__xludf.DUMMYFUNCTION("""COMPUTED_VALUE"""),11.0)</f>
        <v>11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IFERROR(__xludf.DUMMYFUNCTION("""COMPUTED_VALUE"""),"LUNA")</f>
        <v>LUNA</v>
      </c>
      <c r="C46" s="53" t="str">
        <f>IFERROR(__xludf.DUMMYFUNCTION("""COMPUTED_VALUE"""),"HERNANDEZ")</f>
        <v>HERNANDEZ</v>
      </c>
      <c r="D46" s="54" t="str">
        <f>IFERROR(__xludf.DUMMYFUNCTION("""COMPUTED_VALUE"""),"DEA ISABELLA")</f>
        <v>DEA ISABELLA</v>
      </c>
      <c r="E46" s="55">
        <f>IFERROR(__xludf.DUMMYFUNCTION("""COMPUTED_VALUE"""),8.0)</f>
        <v>8</v>
      </c>
      <c r="F46" s="55">
        <f>IFERROR(__xludf.DUMMYFUNCTION("""COMPUTED_VALUE"""),2.0)</f>
        <v>2</v>
      </c>
      <c r="G46" s="56">
        <f>IFERROR(__xludf.DUMMYFUNCTION("""COMPUTED_VALUE"""),1.0)</f>
        <v>1</v>
      </c>
      <c r="H46" s="57">
        <f>IFERROR(__xludf.DUMMYFUNCTION("""COMPUTED_VALUE"""),11.0)</f>
        <v>11</v>
      </c>
      <c r="I46" s="58">
        <f>IFERROR(__xludf.DUMMYFUNCTION("""COMPUTED_VALUE"""),0.0)</f>
        <v>0</v>
      </c>
      <c r="J46" s="59">
        <f>IFERROR(__xludf.DUMMYFUNCTION("""COMPUTED_VALUE"""),10.0)</f>
        <v>10</v>
      </c>
      <c r="K46" s="51"/>
      <c r="L46" s="61">
        <f>IFERROR(__xludf.DUMMYFUNCTION("""COMPUTED_VALUE"""),11.0)</f>
        <v>11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IFERROR(__xludf.DUMMYFUNCTION("""COMPUTED_VALUE"""),"MARES")</f>
        <v>MARES</v>
      </c>
      <c r="C47" s="53" t="str">
        <f>IFERROR(__xludf.DUMMYFUNCTION("""COMPUTED_VALUE"""),"GONZALEZ")</f>
        <v>GONZALEZ</v>
      </c>
      <c r="D47" s="54" t="str">
        <f>IFERROR(__xludf.DUMMYFUNCTION("""COMPUTED_VALUE"""),"JOSE CARLOS")</f>
        <v>JOSE CARLOS</v>
      </c>
      <c r="E47" s="55">
        <f>IFERROR(__xludf.DUMMYFUNCTION("""COMPUTED_VALUE"""),7.0)</f>
        <v>7</v>
      </c>
      <c r="F47" s="55">
        <f>IFERROR(__xludf.DUMMYFUNCTION("""COMPUTED_VALUE"""),2.0)</f>
        <v>2</v>
      </c>
      <c r="G47" s="56">
        <f>IFERROR(__xludf.DUMMYFUNCTION("""COMPUTED_VALUE"""),1.0)</f>
        <v>1</v>
      </c>
      <c r="H47" s="57">
        <f>IFERROR(__xludf.DUMMYFUNCTION("""COMPUTED_VALUE"""),10.0)</f>
        <v>10</v>
      </c>
      <c r="I47" s="58">
        <f>IFERROR(__xludf.DUMMYFUNCTION("""COMPUTED_VALUE"""),0.0)</f>
        <v>0</v>
      </c>
      <c r="J47" s="59">
        <f>IFERROR(__xludf.DUMMYFUNCTION("""COMPUTED_VALUE"""),10.0)</f>
        <v>10</v>
      </c>
      <c r="K47" s="51"/>
      <c r="L47" s="61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IFERROR(__xludf.DUMMYFUNCTION("""COMPUTED_VALUE"""),"MARTINEZ")</f>
        <v>MARTINEZ</v>
      </c>
      <c r="C48" s="53" t="str">
        <f>IFERROR(__xludf.DUMMYFUNCTION("""COMPUTED_VALUE"""),"REYES")</f>
        <v>REYES</v>
      </c>
      <c r="D48" s="54" t="str">
        <f>IFERROR(__xludf.DUMMYFUNCTION("""COMPUTED_VALUE"""),"JACQUELINE ANDREA")</f>
        <v>JACQUELINE ANDREA</v>
      </c>
      <c r="E48" s="55">
        <f>IFERROR(__xludf.DUMMYFUNCTION("""COMPUTED_VALUE"""),6.0)</f>
        <v>6</v>
      </c>
      <c r="F48" s="55">
        <f>IFERROR(__xludf.DUMMYFUNCTION("""COMPUTED_VALUE"""),2.0)</f>
        <v>2</v>
      </c>
      <c r="G48" s="56">
        <f>IFERROR(__xludf.DUMMYFUNCTION("""COMPUTED_VALUE"""),1.0)</f>
        <v>1</v>
      </c>
      <c r="H48" s="57">
        <f>IFERROR(__xludf.DUMMYFUNCTION("""COMPUTED_VALUE"""),9.0)</f>
        <v>9</v>
      </c>
      <c r="I48" s="58">
        <f>IFERROR(__xludf.DUMMYFUNCTION("""COMPUTED_VALUE"""),0.0)</f>
        <v>0</v>
      </c>
      <c r="J48" s="59">
        <f>IFERROR(__xludf.DUMMYFUNCTION("""COMPUTED_VALUE"""),9.0)</f>
        <v>9</v>
      </c>
      <c r="K48" s="51"/>
      <c r="L48" s="61">
        <f>IFERROR(__xludf.DUMMYFUNCTION("""COMPUTED_VALUE"""),9.0)</f>
        <v>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IFERROR(__xludf.DUMMYFUNCTION("""COMPUTED_VALUE"""),"MARTINEZ")</f>
        <v>MARTINEZ</v>
      </c>
      <c r="C49" s="53" t="str">
        <f>IFERROR(__xludf.DUMMYFUNCTION("""COMPUTED_VALUE"""),"VELAZQUEZ")</f>
        <v>VELAZQUEZ</v>
      </c>
      <c r="D49" s="65" t="str">
        <f>IFERROR(__xludf.DUMMYFUNCTION("""COMPUTED_VALUE"""),"OSCAR ZADKIEL")</f>
        <v>OSCAR ZADKIEL</v>
      </c>
      <c r="E49" s="55">
        <f>IFERROR(__xludf.DUMMYFUNCTION("""COMPUTED_VALUE"""),6.0)</f>
        <v>6</v>
      </c>
      <c r="F49" s="55">
        <f>IFERROR(__xludf.DUMMYFUNCTION("""COMPUTED_VALUE"""),2.0)</f>
        <v>2</v>
      </c>
      <c r="G49" s="56"/>
      <c r="H49" s="57">
        <f>IFERROR(__xludf.DUMMYFUNCTION("""COMPUTED_VALUE"""),8.0)</f>
        <v>8</v>
      </c>
      <c r="I49" s="58">
        <f>IFERROR(__xludf.DUMMYFUNCTION("""COMPUTED_VALUE"""),0.0)</f>
        <v>0</v>
      </c>
      <c r="J49" s="59">
        <f>IFERROR(__xludf.DUMMYFUNCTION("""COMPUTED_VALUE"""),8.0)</f>
        <v>8</v>
      </c>
      <c r="K49" s="51"/>
      <c r="L49" s="61">
        <f>IFERROR(__xludf.DUMMYFUNCTION("""COMPUTED_VALUE"""),8.0)</f>
        <v>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IFERROR(__xludf.DUMMYFUNCTION("""COMPUTED_VALUE"""),"MORAN")</f>
        <v>MORAN</v>
      </c>
      <c r="C50" s="53" t="str">
        <f>IFERROR(__xludf.DUMMYFUNCTION("""COMPUTED_VALUE"""),"ALMAGUER")</f>
        <v>ALMAGUER</v>
      </c>
      <c r="D50" s="54" t="str">
        <f>IFERROR(__xludf.DUMMYFUNCTION("""COMPUTED_VALUE"""),"LEYLANI")</f>
        <v>LEYLANI</v>
      </c>
      <c r="E50" s="55">
        <f>IFERROR(__xludf.DUMMYFUNCTION("""COMPUTED_VALUE"""),4.0)</f>
        <v>4</v>
      </c>
      <c r="F50" s="55">
        <f>IFERROR(__xludf.DUMMYFUNCTION("""COMPUTED_VALUE"""),2.0)</f>
        <v>2</v>
      </c>
      <c r="G50" s="56"/>
      <c r="H50" s="57">
        <f>IFERROR(__xludf.DUMMYFUNCTION("""COMPUTED_VALUE"""),6.0)</f>
        <v>6</v>
      </c>
      <c r="I50" s="58">
        <f>IFERROR(__xludf.DUMMYFUNCTION("""COMPUTED_VALUE"""),0.0)</f>
        <v>0</v>
      </c>
      <c r="J50" s="59">
        <f>IFERROR(__xludf.DUMMYFUNCTION("""COMPUTED_VALUE"""),6.0)</f>
        <v>6</v>
      </c>
      <c r="K50" s="51"/>
      <c r="L50" s="61">
        <f>IFERROR(__xludf.DUMMYFUNCTION("""COMPUTED_VALUE"""),6.0)</f>
        <v>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IFERROR(__xludf.DUMMYFUNCTION("""COMPUTED_VALUE"""),"MORENO")</f>
        <v>MORENO</v>
      </c>
      <c r="C51" s="53" t="str">
        <f>IFERROR(__xludf.DUMMYFUNCTION("""COMPUTED_VALUE"""),"VALENZUELA")</f>
        <v>VALENZUELA</v>
      </c>
      <c r="D51" s="54" t="str">
        <f>IFERROR(__xludf.DUMMYFUNCTION("""COMPUTED_VALUE"""),"SANTIAGO ISMAEL")</f>
        <v>SANTIAGO ISMAEL</v>
      </c>
      <c r="E51" s="55">
        <f>IFERROR(__xludf.DUMMYFUNCTION("""COMPUTED_VALUE"""),8.0)</f>
        <v>8</v>
      </c>
      <c r="F51" s="55">
        <f>IFERROR(__xludf.DUMMYFUNCTION("""COMPUTED_VALUE"""),2.0)</f>
        <v>2</v>
      </c>
      <c r="G51" s="56"/>
      <c r="H51" s="57">
        <f>IFERROR(__xludf.DUMMYFUNCTION("""COMPUTED_VALUE"""),10.0)</f>
        <v>10</v>
      </c>
      <c r="I51" s="58">
        <f>IFERROR(__xludf.DUMMYFUNCTION("""COMPUTED_VALUE"""),0.0)</f>
        <v>0</v>
      </c>
      <c r="J51" s="59">
        <f>IFERROR(__xludf.DUMMYFUNCTION("""COMPUTED_VALUE"""),10.0)</f>
        <v>10</v>
      </c>
      <c r="K51" s="51"/>
      <c r="L51" s="61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IFERROR(__xludf.DUMMYFUNCTION("""COMPUTED_VALUE"""),"NUÑEZ")</f>
        <v>NUÑEZ</v>
      </c>
      <c r="C52" s="53" t="str">
        <f>IFERROR(__xludf.DUMMYFUNCTION("""COMPUTED_VALUE"""),"FLORES")</f>
        <v>FLORES</v>
      </c>
      <c r="D52" s="54" t="str">
        <f>IFERROR(__xludf.DUMMYFUNCTION("""COMPUTED_VALUE"""),"ANDREA MAYARI")</f>
        <v>ANDREA MAYARI</v>
      </c>
      <c r="E52" s="55">
        <f>IFERROR(__xludf.DUMMYFUNCTION("""COMPUTED_VALUE"""),6.0)</f>
        <v>6</v>
      </c>
      <c r="F52" s="55">
        <f>IFERROR(__xludf.DUMMYFUNCTION("""COMPUTED_VALUE"""),2.0)</f>
        <v>2</v>
      </c>
      <c r="G52" s="56"/>
      <c r="H52" s="57">
        <f>IFERROR(__xludf.DUMMYFUNCTION("""COMPUTED_VALUE"""),8.0)</f>
        <v>8</v>
      </c>
      <c r="I52" s="58">
        <f>IFERROR(__xludf.DUMMYFUNCTION("""COMPUTED_VALUE"""),0.0)</f>
        <v>0</v>
      </c>
      <c r="J52" s="59">
        <f>IFERROR(__xludf.DUMMYFUNCTION("""COMPUTED_VALUE"""),8.0)</f>
        <v>8</v>
      </c>
      <c r="K52" s="51"/>
      <c r="L52" s="60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IFERROR(__xludf.DUMMYFUNCTION("""COMPUTED_VALUE"""),"ORNELAS")</f>
        <v>ORNELAS</v>
      </c>
      <c r="C53" s="53" t="str">
        <f>IFERROR(__xludf.DUMMYFUNCTION("""COMPUTED_VALUE"""),"LOPEZ")</f>
        <v>LOPEZ</v>
      </c>
      <c r="D53" s="54" t="str">
        <f>IFERROR(__xludf.DUMMYFUNCTION("""COMPUTED_VALUE"""),"LENA VIKTORIA")</f>
        <v>LENA VIKTORIA</v>
      </c>
      <c r="E53" s="55">
        <f>IFERROR(__xludf.DUMMYFUNCTION("""COMPUTED_VALUE"""),8.0)</f>
        <v>8</v>
      </c>
      <c r="F53" s="55">
        <f>IFERROR(__xludf.DUMMYFUNCTION("""COMPUTED_VALUE"""),2.0)</f>
        <v>2</v>
      </c>
      <c r="G53" s="56"/>
      <c r="H53" s="57">
        <f>IFERROR(__xludf.DUMMYFUNCTION("""COMPUTED_VALUE"""),10.0)</f>
        <v>10</v>
      </c>
      <c r="I53" s="58">
        <f>IFERROR(__xludf.DUMMYFUNCTION("""COMPUTED_VALUE"""),0.0)</f>
        <v>0</v>
      </c>
      <c r="J53" s="59">
        <f>IFERROR(__xludf.DUMMYFUNCTION("""COMPUTED_VALUE"""),10.0)</f>
        <v>10</v>
      </c>
      <c r="K53" s="51"/>
      <c r="L53" s="60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IFERROR(__xludf.DUMMYFUNCTION("""COMPUTED_VALUE"""),"ORTIZ")</f>
        <v>ORTIZ</v>
      </c>
      <c r="C54" s="53" t="str">
        <f>IFERROR(__xludf.DUMMYFUNCTION("""COMPUTED_VALUE"""),"RODRIGUEZ")</f>
        <v>RODRIGUEZ</v>
      </c>
      <c r="D54" s="68" t="str">
        <f>IFERROR(__xludf.DUMMYFUNCTION("""COMPUTED_VALUE"""),"GUILLERMO")</f>
        <v>GUILLERMO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/>
      <c r="H54" s="57">
        <f>IFERROR(__xludf.DUMMYFUNCTION("""COMPUTED_VALUE"""),10.0)</f>
        <v>10</v>
      </c>
      <c r="I54" s="58">
        <f>IFERROR(__xludf.DUMMYFUNCTION("""COMPUTED_VALUE"""),2.0)</f>
        <v>2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IFERROR(__xludf.DUMMYFUNCTION("""COMPUTED_VALUE"""),"PACHECO")</f>
        <v>PACHECO</v>
      </c>
      <c r="C55" s="53" t="str">
        <f>IFERROR(__xludf.DUMMYFUNCTION("""COMPUTED_VALUE"""),"OLIVARES")</f>
        <v>OLIVARES</v>
      </c>
      <c r="D55" s="54" t="str">
        <f>IFERROR(__xludf.DUMMYFUNCTION("""COMPUTED_VALUE"""),"ANDRES")</f>
        <v>ANDRES</v>
      </c>
      <c r="E55" s="55">
        <f>IFERROR(__xludf.DUMMYFUNCTION("""COMPUTED_VALUE"""),4.0)</f>
        <v>4</v>
      </c>
      <c r="F55" s="55">
        <f>IFERROR(__xludf.DUMMYFUNCTION("""COMPUTED_VALUE"""),2.0)</f>
        <v>2</v>
      </c>
      <c r="G55" s="56"/>
      <c r="H55" s="57">
        <f>IFERROR(__xludf.DUMMYFUNCTION("""COMPUTED_VALUE"""),6.0)</f>
        <v>6</v>
      </c>
      <c r="I55" s="69">
        <f>IFERROR(__xludf.DUMMYFUNCTION("""COMPUTED_VALUE"""),0.0)</f>
        <v>0</v>
      </c>
      <c r="J55" s="59">
        <f>IFERROR(__xludf.DUMMYFUNCTION("""COMPUTED_VALUE"""),6.0)</f>
        <v>6</v>
      </c>
      <c r="K55" s="51"/>
      <c r="L55" s="60">
        <f>IFERROR(__xludf.DUMMYFUNCTION("""COMPUTED_VALUE"""),6.0)</f>
        <v>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IFERROR(__xludf.DUMMYFUNCTION("""COMPUTED_VALUE"""),"PEREZ")</f>
        <v>PEREZ</v>
      </c>
      <c r="C56" s="53" t="str">
        <f>IFERROR(__xludf.DUMMYFUNCTION("""COMPUTED_VALUE"""),"SUAREZ")</f>
        <v>SUAREZ</v>
      </c>
      <c r="D56" s="54" t="str">
        <f>IFERROR(__xludf.DUMMYFUNCTION("""COMPUTED_VALUE"""),"DAVETH OSIEL")</f>
        <v>DAVETH OSIEL</v>
      </c>
      <c r="E56" s="55">
        <f>IFERROR(__xludf.DUMMYFUNCTION("""COMPUTED_VALUE"""),8.0)</f>
        <v>8</v>
      </c>
      <c r="F56" s="55">
        <f>IFERROR(__xludf.DUMMYFUNCTION("""COMPUTED_VALUE"""),2.0)</f>
        <v>2</v>
      </c>
      <c r="G56" s="56"/>
      <c r="H56" s="57">
        <f>IFERROR(__xludf.DUMMYFUNCTION("""COMPUTED_VALUE"""),10.0)</f>
        <v>10</v>
      </c>
      <c r="I56" s="69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IFERROR(__xludf.DUMMYFUNCTION("""COMPUTED_VALUE"""),"PUC")</f>
        <v>PUC</v>
      </c>
      <c r="C57" s="53" t="str">
        <f>IFERROR(__xludf.DUMMYFUNCTION("""COMPUTED_VALUE"""),"JIMENEZ")</f>
        <v>JIMENEZ</v>
      </c>
      <c r="D57" s="54" t="str">
        <f>IFERROR(__xludf.DUMMYFUNCTION("""COMPUTED_VALUE"""),"XIMENA DANIELA")</f>
        <v>XIMENA DANIELA</v>
      </c>
      <c r="E57" s="55">
        <f>IFERROR(__xludf.DUMMYFUNCTION("""COMPUTED_VALUE"""),8.0)</f>
        <v>8</v>
      </c>
      <c r="F57" s="55">
        <f>IFERROR(__xludf.DUMMYFUNCTION("""COMPUTED_VALUE"""),2.0)</f>
        <v>2</v>
      </c>
      <c r="G57" s="56"/>
      <c r="H57" s="57">
        <f>IFERROR(__xludf.DUMMYFUNCTION("""COMPUTED_VALUE"""),10.0)</f>
        <v>10</v>
      </c>
      <c r="I57" s="69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IFERROR(__xludf.DUMMYFUNCTION("""COMPUTED_VALUE"""),"RAMIREZ")</f>
        <v>RAMIREZ</v>
      </c>
      <c r="C58" s="53" t="str">
        <f>IFERROR(__xludf.DUMMYFUNCTION("""COMPUTED_VALUE"""),"ROMAN")</f>
        <v>ROMAN</v>
      </c>
      <c r="D58" s="54" t="str">
        <f>IFERROR(__xludf.DUMMYFUNCTION("""COMPUTED_VALUE"""),"XIMENA")</f>
        <v>XIMENA</v>
      </c>
      <c r="E58" s="55">
        <f>IFERROR(__xludf.DUMMYFUNCTION("""COMPUTED_VALUE"""),8.0)</f>
        <v>8</v>
      </c>
      <c r="F58" s="55">
        <f>IFERROR(__xludf.DUMMYFUNCTION("""COMPUTED_VALUE"""),2.0)</f>
        <v>2</v>
      </c>
      <c r="G58" s="56">
        <f>IFERROR(__xludf.DUMMYFUNCTION("""COMPUTED_VALUE"""),1.0)</f>
        <v>1</v>
      </c>
      <c r="H58" s="57">
        <f>IFERROR(__xludf.DUMMYFUNCTION("""COMPUTED_VALUE"""),10.0)</f>
        <v>10</v>
      </c>
      <c r="I58" s="69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6" t="str">
        <f>IFERROR(__xludf.DUMMYFUNCTION("""COMPUTED_VALUE"""),"REYES")</f>
        <v>REYES</v>
      </c>
      <c r="C59" s="67" t="str">
        <f>IFERROR(__xludf.DUMMYFUNCTION("""COMPUTED_VALUE"""),"TREJO")</f>
        <v>TREJO</v>
      </c>
      <c r="D59" s="54" t="str">
        <f>IFERROR(__xludf.DUMMYFUNCTION("""COMPUTED_VALUE"""),"HUGO DASTAN")</f>
        <v>HUGO DASTAN</v>
      </c>
      <c r="E59" s="55">
        <f>IFERROR(__xludf.DUMMYFUNCTION("""COMPUTED_VALUE"""),6.0)</f>
        <v>6</v>
      </c>
      <c r="F59" s="55">
        <f>IFERROR(__xludf.DUMMYFUNCTION("""COMPUTED_VALUE"""),2.0)</f>
        <v>2</v>
      </c>
      <c r="G59" s="56">
        <f>IFERROR(__xludf.DUMMYFUNCTION("""COMPUTED_VALUE"""),1.0)</f>
        <v>1</v>
      </c>
      <c r="H59" s="57">
        <f>IFERROR(__xludf.DUMMYFUNCTION("""COMPUTED_VALUE"""),9.0)</f>
        <v>9</v>
      </c>
      <c r="I59" s="69">
        <f>IFERROR(__xludf.DUMMYFUNCTION("""COMPUTED_VALUE"""),0.0)</f>
        <v>0</v>
      </c>
      <c r="J59" s="59">
        <f>IFERROR(__xludf.DUMMYFUNCTION("""COMPUTED_VALUE"""),9.0)</f>
        <v>9</v>
      </c>
      <c r="K59" s="51"/>
      <c r="L59" s="60">
        <f>IFERROR(__xludf.DUMMYFUNCTION("""COMPUTED_VALUE"""),9.0)</f>
        <v>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70" t="str">
        <f>IFERROR(__xludf.DUMMYFUNCTION("""COMPUTED_VALUE"""),"RODRIGUEZ")</f>
        <v>RODRIGUEZ</v>
      </c>
      <c r="C60" s="53" t="str">
        <f>IFERROR(__xludf.DUMMYFUNCTION("""COMPUTED_VALUE"""),"ROSAS")</f>
        <v>ROSAS</v>
      </c>
      <c r="D60" s="54" t="str">
        <f>IFERROR(__xludf.DUMMYFUNCTION("""COMPUTED_VALUE"""),"XOCHITL")</f>
        <v>XOCHITL</v>
      </c>
      <c r="E60" s="55">
        <f>IFERROR(__xludf.DUMMYFUNCTION("""COMPUTED_VALUE"""),8.0)</f>
        <v>8</v>
      </c>
      <c r="F60" s="55">
        <f>IFERROR(__xludf.DUMMYFUNCTION("""COMPUTED_VALUE"""),2.0)</f>
        <v>2</v>
      </c>
      <c r="G60" s="56">
        <f>IFERROR(__xludf.DUMMYFUNCTION("""COMPUTED_VALUE"""),1.0)</f>
        <v>1</v>
      </c>
      <c r="H60" s="57">
        <f>IFERROR(__xludf.DUMMYFUNCTION("""COMPUTED_VALUE"""),11.0)</f>
        <v>11</v>
      </c>
      <c r="I60" s="69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IFERROR(__xludf.DUMMYFUNCTION("""COMPUTED_VALUE"""),11.0)</f>
        <v>11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IFERROR(__xludf.DUMMYFUNCTION("""COMPUTED_VALUE"""),"RUBIO")</f>
        <v>RUBIO</v>
      </c>
      <c r="C61" s="53" t="str">
        <f>IFERROR(__xludf.DUMMYFUNCTION("""COMPUTED_VALUE"""),"HERNANDEZ")</f>
        <v>HERNANDEZ</v>
      </c>
      <c r="D61" s="54" t="str">
        <f>IFERROR(__xludf.DUMMYFUNCTION("""COMPUTED_VALUE"""),"MACIEL ALEJANDRA")</f>
        <v>MACIEL ALEJANDRA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>
        <f>IFERROR(__xludf.DUMMYFUNCTION("""COMPUTED_VALUE"""),1.0)</f>
        <v>1</v>
      </c>
      <c r="H61" s="57">
        <f>IFERROR(__xludf.DUMMYFUNCTION("""COMPUTED_VALUE"""),11.0)</f>
        <v>11</v>
      </c>
      <c r="I61" s="69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IFERROR(__xludf.DUMMYFUNCTION("""COMPUTED_VALUE"""),11.0)</f>
        <v>11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70" t="str">
        <f>IFERROR(__xludf.DUMMYFUNCTION("""COMPUTED_VALUE"""),"SANTANA")</f>
        <v>SANTANA</v>
      </c>
      <c r="C62" s="53" t="str">
        <f>IFERROR(__xludf.DUMMYFUNCTION("""COMPUTED_VALUE"""),"LARA")</f>
        <v>LARA</v>
      </c>
      <c r="D62" s="54" t="str">
        <f>IFERROR(__xludf.DUMMYFUNCTION("""COMPUTED_VALUE"""),"IRVING WILLIAM")</f>
        <v>IRVING WILLIAM</v>
      </c>
      <c r="E62" s="55">
        <f>IFERROR(__xludf.DUMMYFUNCTION("""COMPUTED_VALUE"""),4.0)</f>
        <v>4</v>
      </c>
      <c r="F62" s="55">
        <f>IFERROR(__xludf.DUMMYFUNCTION("""COMPUTED_VALUE"""),2.0)</f>
        <v>2</v>
      </c>
      <c r="G62" s="56"/>
      <c r="H62" s="57">
        <f>IFERROR(__xludf.DUMMYFUNCTION("""COMPUTED_VALUE"""),6.0)</f>
        <v>6</v>
      </c>
      <c r="I62" s="69">
        <f>IFERROR(__xludf.DUMMYFUNCTION("""COMPUTED_VALUE"""),2.0)</f>
        <v>2</v>
      </c>
      <c r="J62" s="59">
        <f>IFERROR(__xludf.DUMMYFUNCTION("""COMPUTED_VALUE"""),6.0)</f>
        <v>6</v>
      </c>
      <c r="K62" s="51"/>
      <c r="L62" s="60">
        <f>IFERROR(__xludf.DUMMYFUNCTION("""COMPUTED_VALUE"""),6.0)</f>
        <v>6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70" t="str">
        <f>IFERROR(__xludf.DUMMYFUNCTION("""COMPUTED_VALUE"""),"SANTILLAN")</f>
        <v>SANTILLAN</v>
      </c>
      <c r="C63" s="53" t="str">
        <f>IFERROR(__xludf.DUMMYFUNCTION("""COMPUTED_VALUE"""),"GONZALEZ")</f>
        <v>GONZALEZ</v>
      </c>
      <c r="D63" s="54" t="str">
        <f>IFERROR(__xludf.DUMMYFUNCTION("""COMPUTED_VALUE"""),"JAZMIN")</f>
        <v>JAZMIN</v>
      </c>
      <c r="E63" s="55">
        <f>IFERROR(__xludf.DUMMYFUNCTION("""COMPUTED_VALUE"""),8.0)</f>
        <v>8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IFERROR(__xludf.DUMMYFUNCTION("""COMPUTED_VALUE"""),11.0)</f>
        <v>11</v>
      </c>
      <c r="I63" s="69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IFERROR(__xludf.DUMMYFUNCTION("""COMPUTED_VALUE"""),11.0)</f>
        <v>11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70" t="str">
        <f>IFERROR(__xludf.DUMMYFUNCTION("""COMPUTED_VALUE"""),"SUAREZ")</f>
        <v>SUAREZ</v>
      </c>
      <c r="C64" s="53" t="str">
        <f>IFERROR(__xludf.DUMMYFUNCTION("""COMPUTED_VALUE"""),"MUÑOZ")</f>
        <v>MUÑOZ</v>
      </c>
      <c r="D64" s="54" t="str">
        <f>IFERROR(__xludf.DUMMYFUNCTION("""COMPUTED_VALUE"""),"ALDO YAEL")</f>
        <v>ALDO YAEL</v>
      </c>
      <c r="E64" s="55">
        <f>IFERROR(__xludf.DUMMYFUNCTION("""COMPUTED_VALUE"""),7.0)</f>
        <v>7</v>
      </c>
      <c r="F64" s="55">
        <f>IFERROR(__xludf.DUMMYFUNCTION("""COMPUTED_VALUE"""),2.0)</f>
        <v>2</v>
      </c>
      <c r="G64" s="56">
        <f>IFERROR(__xludf.DUMMYFUNCTION("""COMPUTED_VALUE"""),1.0)</f>
        <v>1</v>
      </c>
      <c r="H64" s="57">
        <f>IFERROR(__xludf.DUMMYFUNCTION("""COMPUTED_VALUE"""),10.0)</f>
        <v>10</v>
      </c>
      <c r="I64" s="69">
        <f>IFERROR(__xludf.DUMMYFUNCTION("""COMPUTED_VALUE"""),0.0)</f>
        <v>0</v>
      </c>
      <c r="J64" s="59">
        <f>IFERROR(__xludf.DUMMYFUNCTION("""COMPUTED_VALUE"""),10.0)</f>
        <v>10</v>
      </c>
      <c r="K64" s="51"/>
      <c r="L64" s="60">
        <f>IFERROR(__xludf.DUMMYFUNCTION("""COMPUTED_VALUE"""),10.0)</f>
        <v>10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70" t="str">
        <f>IFERROR(__xludf.DUMMYFUNCTION("""COMPUTED_VALUE"""),"TORRES")</f>
        <v>TORRES</v>
      </c>
      <c r="C65" s="53" t="str">
        <f>IFERROR(__xludf.DUMMYFUNCTION("""COMPUTED_VALUE"""),"DE LEON")</f>
        <v>DE LEON</v>
      </c>
      <c r="D65" s="54" t="str">
        <f>IFERROR(__xludf.DUMMYFUNCTION("""COMPUTED_VALUE"""),"AMAIRANI")</f>
        <v>AMAIRANI</v>
      </c>
      <c r="E65" s="55">
        <f>IFERROR(__xludf.DUMMYFUNCTION("""COMPUTED_VALUE"""),8.0)</f>
        <v>8</v>
      </c>
      <c r="F65" s="55">
        <f>IFERROR(__xludf.DUMMYFUNCTION("""COMPUTED_VALUE"""),2.0)</f>
        <v>2</v>
      </c>
      <c r="G65" s="56">
        <f>IFERROR(__xludf.DUMMYFUNCTION("""COMPUTED_VALUE"""),1.0)</f>
        <v>1</v>
      </c>
      <c r="H65" s="57">
        <f>IFERROR(__xludf.DUMMYFUNCTION("""COMPUTED_VALUE"""),11.0)</f>
        <v>11</v>
      </c>
      <c r="I65" s="55">
        <f>IFERROR(__xludf.DUMMYFUNCTION("""COMPUTED_VALUE"""),0.0)</f>
        <v>0</v>
      </c>
      <c r="J65" s="59">
        <f>IFERROR(__xludf.DUMMYFUNCTION("""COMPUTED_VALUE"""),10.0)</f>
        <v>10</v>
      </c>
      <c r="K65" s="51"/>
      <c r="L65" s="60">
        <f>IFERROR(__xludf.DUMMYFUNCTION("""COMPUTED_VALUE"""),11.0)</f>
        <v>11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51">
        <f>IFERROR(__xludf.DUMMYFUNCTION("""COMPUTED_VALUE"""),50.0)</f>
        <v>50</v>
      </c>
      <c r="B66" s="70" t="str">
        <f>IFERROR(__xludf.DUMMYFUNCTION("""COMPUTED_VALUE"""),"VALDEZ")</f>
        <v>VALDEZ</v>
      </c>
      <c r="C66" s="53" t="str">
        <f>IFERROR(__xludf.DUMMYFUNCTION("""COMPUTED_VALUE"""),"ROBLES")</f>
        <v>ROBLES</v>
      </c>
      <c r="D66" s="54" t="str">
        <f>IFERROR(__xludf.DUMMYFUNCTION("""COMPUTED_VALUE"""),"OSCAR YAEL")</f>
        <v>OSCAR YAEL</v>
      </c>
      <c r="E66" s="55">
        <f>IFERROR(__xludf.DUMMYFUNCTION("""COMPUTED_VALUE"""),7.0)</f>
        <v>7</v>
      </c>
      <c r="F66" s="55">
        <f>IFERROR(__xludf.DUMMYFUNCTION("""COMPUTED_VALUE"""),2.0)</f>
        <v>2</v>
      </c>
      <c r="G66" s="56">
        <f>IFERROR(__xludf.DUMMYFUNCTION("""COMPUTED_VALUE"""),1.0)</f>
        <v>1</v>
      </c>
      <c r="H66" s="57">
        <f>IFERROR(__xludf.DUMMYFUNCTION("""COMPUTED_VALUE"""),10.0)</f>
        <v>10</v>
      </c>
      <c r="I66" s="55">
        <f>IFERROR(__xludf.DUMMYFUNCTION("""COMPUTED_VALUE"""),2.0)</f>
        <v>2</v>
      </c>
      <c r="J66" s="59">
        <f>IFERROR(__xludf.DUMMYFUNCTION("""COMPUTED_VALUE"""),10.0)</f>
        <v>10</v>
      </c>
      <c r="K66" s="51"/>
      <c r="L66" s="60">
        <f>IFERROR(__xludf.DUMMYFUNCTION("""COMPUTED_VALUE"""),10.0)</f>
        <v>10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51">
        <f>IFERROR(__xludf.DUMMYFUNCTION("""COMPUTED_VALUE"""),51.0)</f>
        <v>51</v>
      </c>
      <c r="B67" s="70" t="str">
        <f>IFERROR(__xludf.DUMMYFUNCTION("""COMPUTED_VALUE"""),"VARGAS")</f>
        <v>VARGAS</v>
      </c>
      <c r="C67" s="53" t="str">
        <f>IFERROR(__xludf.DUMMYFUNCTION("""COMPUTED_VALUE"""),"SANTOS")</f>
        <v>SANTOS</v>
      </c>
      <c r="D67" s="54" t="str">
        <f>IFERROR(__xludf.DUMMYFUNCTION("""COMPUTED_VALUE"""),"JATZIRI VANESSA")</f>
        <v>JATZIRI VANESSA</v>
      </c>
      <c r="E67" s="55">
        <f>IFERROR(__xludf.DUMMYFUNCTION("""COMPUTED_VALUE"""),8.0)</f>
        <v>8</v>
      </c>
      <c r="F67" s="55">
        <f>IFERROR(__xludf.DUMMYFUNCTION("""COMPUTED_VALUE"""),2.0)</f>
        <v>2</v>
      </c>
      <c r="G67" s="56">
        <f>IFERROR(__xludf.DUMMYFUNCTION("""COMPUTED_VALUE"""),1.0)</f>
        <v>1</v>
      </c>
      <c r="H67" s="57">
        <f>IFERROR(__xludf.DUMMYFUNCTION("""COMPUTED_VALUE"""),11.0)</f>
        <v>11</v>
      </c>
      <c r="I67" s="69">
        <f>IFERROR(__xludf.DUMMYFUNCTION("""COMPUTED_VALUE"""),0.0)</f>
        <v>0</v>
      </c>
      <c r="J67" s="59">
        <f>IFERROR(__xludf.DUMMYFUNCTION("""COMPUTED_VALUE"""),10.0)</f>
        <v>10</v>
      </c>
      <c r="K67" s="51"/>
      <c r="L67" s="60">
        <f>IFERROR(__xludf.DUMMYFUNCTION("""COMPUTED_VALUE"""),11.0)</f>
        <v>11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51">
        <f>IFERROR(__xludf.DUMMYFUNCTION("""COMPUTED_VALUE"""),52.0)</f>
        <v>52</v>
      </c>
      <c r="B68" s="70" t="str">
        <f>IFERROR(__xludf.DUMMYFUNCTION("""COMPUTED_VALUE"""),"VELAZQUEZ")</f>
        <v>VELAZQUEZ</v>
      </c>
      <c r="C68" s="53" t="str">
        <f>IFERROR(__xludf.DUMMYFUNCTION("""COMPUTED_VALUE"""),"FIGUEROA")</f>
        <v>FIGUEROA</v>
      </c>
      <c r="D68" s="66" t="str">
        <f>IFERROR(__xludf.DUMMYFUNCTION("""COMPUTED_VALUE"""),"DANAE PAOLA")</f>
        <v>DANAE PAOLA</v>
      </c>
      <c r="E68" s="55">
        <f>IFERROR(__xludf.DUMMYFUNCTION("""COMPUTED_VALUE"""),8.0)</f>
        <v>8</v>
      </c>
      <c r="F68" s="55">
        <f>IFERROR(__xludf.DUMMYFUNCTION("""COMPUTED_VALUE"""),2.0)</f>
        <v>2</v>
      </c>
      <c r="G68" s="56"/>
      <c r="H68" s="57">
        <f>IFERROR(__xludf.DUMMYFUNCTION("""COMPUTED_VALUE"""),10.0)</f>
        <v>10</v>
      </c>
      <c r="I68" s="69">
        <f>IFERROR(__xludf.DUMMYFUNCTION("""COMPUTED_VALUE"""),0.0)</f>
        <v>0</v>
      </c>
      <c r="J68" s="59">
        <f>IFERROR(__xludf.DUMMYFUNCTION("""COMPUTED_VALUE"""),10.0)</f>
        <v>10</v>
      </c>
      <c r="K68" s="51"/>
      <c r="L68" s="60">
        <f>IFERROR(__xludf.DUMMYFUNCTION("""COMPUTED_VALUE"""),10.0)</f>
        <v>10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51">
        <f>IFERROR(__xludf.DUMMYFUNCTION("""COMPUTED_VALUE"""),53.0)</f>
        <v>53</v>
      </c>
      <c r="B69" s="70" t="str">
        <f>IFERROR(__xludf.DUMMYFUNCTION("""COMPUTED_VALUE"""),"VENEGAS")</f>
        <v>VENEGAS</v>
      </c>
      <c r="C69" s="53" t="str">
        <f>IFERROR(__xludf.DUMMYFUNCTION("""COMPUTED_VALUE"""),"GONZALEZ")</f>
        <v>GONZALEZ</v>
      </c>
      <c r="D69" s="66" t="str">
        <f>IFERROR(__xludf.DUMMYFUNCTION("""COMPUTED_VALUE"""),"SANTIAGO")</f>
        <v>SANTIAGO</v>
      </c>
      <c r="E69" s="55">
        <f>IFERROR(__xludf.DUMMYFUNCTION("""COMPUTED_VALUE"""),8.0)</f>
        <v>8</v>
      </c>
      <c r="F69" s="55">
        <f>IFERROR(__xludf.DUMMYFUNCTION("""COMPUTED_VALUE"""),2.0)</f>
        <v>2</v>
      </c>
      <c r="G69" s="56">
        <f>IFERROR(__xludf.DUMMYFUNCTION("""COMPUTED_VALUE"""),1.0)</f>
        <v>1</v>
      </c>
      <c r="H69" s="57">
        <f>IFERROR(__xludf.DUMMYFUNCTION("""COMPUTED_VALUE"""),11.0)</f>
        <v>11</v>
      </c>
      <c r="I69" s="69">
        <f>IFERROR(__xludf.DUMMYFUNCTION("""COMPUTED_VALUE"""),0.0)</f>
        <v>0</v>
      </c>
      <c r="J69" s="59">
        <f>IFERROR(__xludf.DUMMYFUNCTION("""COMPUTED_VALUE"""),10.0)</f>
        <v>10</v>
      </c>
      <c r="K69" s="51"/>
      <c r="L69" s="6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51">
        <f>IFERROR(__xludf.DUMMYFUNCTION("""COMPUTED_VALUE"""),54.0)</f>
        <v>54</v>
      </c>
      <c r="B70" s="70" t="str">
        <f>IFERROR(__xludf.DUMMYFUNCTION("""COMPUTED_VALUE"""),"ZAMORA")</f>
        <v>ZAMORA</v>
      </c>
      <c r="C70" s="53" t="str">
        <f>IFERROR(__xludf.DUMMYFUNCTION("""COMPUTED_VALUE"""),"SEPULVEDA")</f>
        <v>SEPULVEDA</v>
      </c>
      <c r="D70" s="117" t="str">
        <f>IFERROR(__xludf.DUMMYFUNCTION("""COMPUTED_VALUE"""),"SEBASTIAN")</f>
        <v>SEBASTIAN</v>
      </c>
      <c r="E70" s="55">
        <f>IFERROR(__xludf.DUMMYFUNCTION("""COMPUTED_VALUE"""),5.0)</f>
        <v>5</v>
      </c>
      <c r="F70" s="55">
        <f>IFERROR(__xludf.DUMMYFUNCTION("""COMPUTED_VALUE"""),2.0)</f>
        <v>2</v>
      </c>
      <c r="G70" s="56"/>
      <c r="H70" s="57">
        <f>IFERROR(__xludf.DUMMYFUNCTION("""COMPUTED_VALUE"""),7.0)</f>
        <v>7</v>
      </c>
      <c r="I70" s="55">
        <f>IFERROR(__xludf.DUMMYFUNCTION("""COMPUTED_VALUE"""),0.0)</f>
        <v>0</v>
      </c>
      <c r="J70" s="59">
        <f>IFERROR(__xludf.DUMMYFUNCTION("""COMPUTED_VALUE"""),7.0)</f>
        <v>7</v>
      </c>
      <c r="K70" s="51"/>
      <c r="L70" s="7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72"/>
      <c r="C71" s="72"/>
      <c r="D71" s="72"/>
      <c r="E71" s="73"/>
      <c r="F71" s="72"/>
      <c r="G71" s="72"/>
      <c r="H71" s="72"/>
      <c r="I71" s="72"/>
      <c r="J71" s="1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74"/>
      <c r="B72" s="75" t="str">
        <f>IFERROR(__xludf.DUMMYFUNCTION("""COMPUTED_VALUE"""),"No. DE ALUMNOS INSCRITOS")</f>
        <v>No. DE ALUMNOS INSCRITOS</v>
      </c>
      <c r="C72" s="76"/>
      <c r="D72" s="118">
        <f>IFERROR(__xludf.DUMMYFUNCTION("""COMPUTED_VALUE"""),54.0)</f>
        <v>54</v>
      </c>
      <c r="E72" s="72"/>
      <c r="F72" s="79" t="str">
        <f>IFERROR(__xludf.DUMMYFUNCTION("""COMPUTED_VALUE"""),"FIRMA DEL PROFESOR")</f>
        <v>FIRMA DEL PROFESOR</v>
      </c>
      <c r="G72" s="79"/>
      <c r="H72" s="79" t="str">
        <f>IFERROR(__xludf.DUMMYFUNCTION("""COMPUTED_VALUE"""),"FIRMA DEL ORIENTADOR")</f>
        <v>FIRMA DEL ORIENTADOR</v>
      </c>
      <c r="J72" s="119" t="str">
        <f>IFERROR(__xludf.DUMMYFUNCTION("""COMPUTED_VALUE"""),"Vo. Bo. SUBDIRECCIÓN ESCOLAR")</f>
        <v>Vo. Bo. SUBDIRECCIÓN ESCOLAR</v>
      </c>
      <c r="K72" s="81" t="str">
        <f>IFERROR(__xludf.DUMMYFUNCTION("""COMPUTED_VALUE"""),"REVISADO POR SECRETARIA ESCOLAR ")</f>
        <v>REVISADO POR SECRETARIA ESCOLAR 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4"/>
      <c r="B73" s="82" t="str">
        <f>IFERROR(__xludf.DUMMYFUNCTION("""COMPUTED_VALUE"""),"BAJAS DURANTE EL SEMESTRE")</f>
        <v>BAJAS DURANTE EL SEMESTRE</v>
      </c>
      <c r="C73" s="83"/>
      <c r="D73" s="120">
        <f>IFERROR(__xludf.DUMMYFUNCTION("""COMPUTED_VALUE"""),0.0)</f>
        <v>0</v>
      </c>
      <c r="E73" s="72"/>
      <c r="G73" s="79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74"/>
      <c r="B74" s="82" t="str">
        <f>IFERROR(__xludf.DUMMYFUNCTION("""COMPUTED_VALUE"""),"EXISTENCIA")</f>
        <v>EXISTENCIA</v>
      </c>
      <c r="C74" s="83"/>
      <c r="D74" s="85">
        <f>IFERROR(__xludf.DUMMYFUNCTION("""COMPUTED_VALUE"""),54.0)</f>
        <v>54</v>
      </c>
      <c r="E74" s="72"/>
      <c r="F74" s="86"/>
      <c r="G74" s="87"/>
      <c r="H74" s="86"/>
      <c r="I74" s="86"/>
      <c r="J74" s="88"/>
      <c r="K74" s="8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74"/>
      <c r="B75" s="82" t="str">
        <f>IFERROR(__xludf.DUMMYFUNCTION("""COMPUTED_VALUE"""),"No. DE ALUMNOS APROBADOS")</f>
        <v>No. DE ALUMNOS APROBADOS</v>
      </c>
      <c r="C75" s="83"/>
      <c r="D75" s="85">
        <f>IFERROR(__xludf.DUMMYFUNCTION("""COMPUTED_VALUE"""),54.0)</f>
        <v>54</v>
      </c>
      <c r="E75" s="72"/>
      <c r="F75" s="86"/>
      <c r="G75" s="87"/>
      <c r="H75" s="86"/>
      <c r="I75" s="86"/>
      <c r="J75" s="88"/>
      <c r="K75" s="8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74"/>
      <c r="B76" s="82" t="str">
        <f>IFERROR(__xludf.DUMMYFUNCTION("""COMPUTED_VALUE"""),"No. DE ALUMNOS REPROBADOS")</f>
        <v>No. DE ALUMNOS REPROBADOS</v>
      </c>
      <c r="C76" s="83"/>
      <c r="D76" s="85">
        <f>IFERROR(__xludf.DUMMYFUNCTION("""COMPUTED_VALUE"""),0.0)</f>
        <v>0</v>
      </c>
      <c r="E76" s="72"/>
      <c r="F76" s="90"/>
      <c r="G76" s="87"/>
      <c r="H76" s="90"/>
      <c r="I76" s="90"/>
      <c r="J76" s="91"/>
      <c r="K76" s="9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4"/>
      <c r="B77" s="82" t="str">
        <f>IFERROR(__xludf.DUMMYFUNCTION("""COMPUTED_VALUE"""),"% DE APROBADOS")</f>
        <v>% DE APROBADOS</v>
      </c>
      <c r="C77" s="83"/>
      <c r="D77" s="93">
        <f>IFERROR(__xludf.DUMMYFUNCTION("""COMPUTED_VALUE"""),100.0)</f>
        <v>100</v>
      </c>
      <c r="E77" s="72"/>
      <c r="F77" s="94" t="str">
        <f>IFERROR(__xludf.DUMMYFUNCTION("""COMPUTED_VALUE"""),"PROFR. ")</f>
        <v>PROFR. </v>
      </c>
      <c r="G77" s="95"/>
      <c r="H77" s="96" t="str">
        <f>IFERROR(__xludf.DUMMYFUNCTION("""COMPUTED_VALUE"""),"PROFRA. SANDRA DIAZ CAMARENA")</f>
        <v>PROFRA. SANDRA DIAZ CAMARENA</v>
      </c>
      <c r="J77" s="96" t="str">
        <f>IFERROR(__xludf.DUMMYFUNCTION("""COMPUTED_VALUE"""),"PROFR. OCTAVIO VÁZQUEZ BARRETO")</f>
        <v>PROFR. OCTAVIO VÁZQUEZ BARRETO</v>
      </c>
      <c r="K77" s="97" t="str">
        <f>IFERROR(__xludf.DUMMYFUNCTION("""COMPUTED_VALUE"""),"PROFR. ROBERTO PALOMARES MEJÍA ")</f>
        <v>PROFR. ROBERTO PALOMARES MEJÍA </v>
      </c>
      <c r="L77" s="9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74"/>
      <c r="B78" s="99" t="str">
        <f>IFERROR(__xludf.DUMMYFUNCTION("""COMPUTED_VALUE"""),"PROMEDIO")</f>
        <v>PROMEDIO</v>
      </c>
      <c r="C78" s="100"/>
      <c r="D78" s="101">
        <f>IFERROR(__xludf.DUMMYFUNCTION("""COMPUTED_VALUE"""),9.037037037037036)</f>
        <v>9.037037037</v>
      </c>
      <c r="E78" s="72"/>
      <c r="G78" s="95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6"/>
      <c r="B79" s="1"/>
      <c r="C79" s="1"/>
      <c r="D79" s="1"/>
      <c r="E79" s="1"/>
      <c r="F79" s="1"/>
      <c r="G79" s="1"/>
      <c r="H79" s="1"/>
      <c r="I79" s="1"/>
      <c r="J79" s="1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02"/>
      <c r="B80" s="103"/>
      <c r="C80" s="104"/>
      <c r="D80" s="104"/>
      <c r="E80" s="72"/>
      <c r="G80" s="7"/>
      <c r="H80" s="7"/>
      <c r="I80" s="7"/>
      <c r="J80" s="7"/>
      <c r="K80" s="105"/>
      <c r="L80" s="10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07"/>
      <c r="B81" s="72"/>
      <c r="C81" s="72"/>
      <c r="D81" s="72"/>
      <c r="E81" s="7"/>
      <c r="F81" s="1"/>
      <c r="G81" s="1"/>
      <c r="H81" s="1"/>
      <c r="I81" s="1"/>
      <c r="J81" s="1"/>
      <c r="K81" s="8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07"/>
      <c r="B82" s="72"/>
      <c r="C82" s="72"/>
      <c r="D82" s="72"/>
      <c r="E82" s="7"/>
      <c r="F82" s="1"/>
      <c r="G82" s="1"/>
      <c r="H82" s="1"/>
      <c r="I82" s="1"/>
      <c r="J82" s="1"/>
      <c r="K82" s="8"/>
      <c r="L82" s="10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09"/>
      <c r="B83" s="110"/>
      <c r="C83" s="110"/>
      <c r="D83" s="110"/>
      <c r="E83" s="111"/>
      <c r="F83" s="112"/>
      <c r="G83" s="112"/>
      <c r="H83" s="112"/>
      <c r="I83" s="112"/>
      <c r="J83" s="112"/>
      <c r="K83" s="113"/>
      <c r="L83" s="10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4"/>
      <c r="C84" s="114"/>
      <c r="D84" s="114"/>
      <c r="E84" s="114"/>
      <c r="F84" s="1"/>
      <c r="G84" s="1"/>
      <c r="H84" s="1"/>
      <c r="I84" s="1"/>
      <c r="J84" s="115"/>
      <c r="K84" s="115"/>
      <c r="L84" s="11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4"/>
      <c r="C85" s="114"/>
      <c r="D85" s="114"/>
      <c r="E85" s="114"/>
      <c r="F85" s="1"/>
      <c r="G85" s="1"/>
      <c r="H85" s="1"/>
      <c r="I85" s="1"/>
      <c r="J85" s="115"/>
      <c r="K85" s="115"/>
      <c r="L85" s="11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4"/>
      <c r="C86" s="114"/>
      <c r="D86" s="114"/>
      <c r="E86" s="114"/>
      <c r="F86" s="1"/>
      <c r="G86" s="1"/>
      <c r="H86" s="1"/>
      <c r="I86" s="1"/>
      <c r="J86" s="115"/>
      <c r="K86" s="115"/>
      <c r="L86" s="11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4"/>
      <c r="C87" s="114"/>
      <c r="D87" s="114"/>
      <c r="E87" s="114"/>
      <c r="F87" s="1"/>
      <c r="G87" s="1"/>
      <c r="H87" s="1"/>
      <c r="I87" s="1"/>
      <c r="J87" s="115"/>
      <c r="K87" s="115"/>
      <c r="L87" s="11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4"/>
      <c r="C88" s="114"/>
      <c r="D88" s="114"/>
      <c r="E88" s="1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4"/>
      <c r="C89" s="114"/>
      <c r="D89" s="114"/>
      <c r="E89" s="114"/>
      <c r="F89" s="1"/>
      <c r="G89" s="1"/>
      <c r="H89" s="1"/>
      <c r="I89" s="1"/>
      <c r="J89" s="1"/>
      <c r="K89" s="11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4"/>
      <c r="C90" s="114"/>
      <c r="D90" s="114"/>
      <c r="E90" s="11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14"/>
      <c r="C91" s="114"/>
      <c r="D91" s="114"/>
      <c r="E91" s="11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14"/>
      <c r="C92" s="114"/>
      <c r="D92" s="114"/>
      <c r="E92" s="11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14"/>
      <c r="C93" s="114"/>
      <c r="D93" s="114"/>
      <c r="E93" s="11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14"/>
      <c r="C94" s="114"/>
      <c r="D94" s="114"/>
      <c r="E94" s="11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14"/>
      <c r="C95" s="114"/>
      <c r="D95" s="114"/>
      <c r="E95" s="11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IFERROR(__xludf.DUMMYFUNCTION("IMPORTRANGE(""https://docs.google.com/spreadsheets/d/19EFvS-7Tps2ZVwfNjTv2mCanthC1FzY_jtxW0BH-NzM/edit?gid=1674845816#gid=1674845816"",""1-3 taller de ciencias i!A1:Q86"")"),"")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IFERROR(__xludf.DUMMYFUNCTION("""COMPUTED_VALUE"""),"JUAN MANUEL MORALES HERNÁNDEZ")</f>
        <v>JUAN MANUEL MORALES HERNÁNDEZ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IFERROR(__xludf.DUMMYFUNCTION("""COMPUTED_VALUE"""),"TALLER DE CIENCIAS I")</f>
        <v>TALLER DE CIENCIAS I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IFERROR(__xludf.DUMMYFUNCTION("""COMPUTED_VALUE"""),"1°")</f>
        <v>1°</v>
      </c>
      <c r="C15" s="144" t="str">
        <f>IFERROR(__xludf.DUMMYFUNCTION("""COMPUTED_VALUE"""),"GRUPO")</f>
        <v>GRUPO</v>
      </c>
      <c r="D15" s="144">
        <f>IFERROR(__xludf.DUMMYFUNCTION("""COMPUTED_VALUE"""),3.0)</f>
        <v>3</v>
      </c>
      <c r="E15" s="32"/>
      <c r="F15" s="32"/>
      <c r="G15" s="39"/>
      <c r="H15" s="145"/>
      <c r="I15" s="146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7" t="str">
        <f>IFERROR(__xludf.DUMMYFUNCTION("""COMPUTED_VALUE"""),"No.")</f>
        <v>No.</v>
      </c>
      <c r="B16" s="148" t="str">
        <f>IFERROR(__xludf.DUMMYFUNCTION("""COMPUTED_VALUE"""),"NOMBRE DEL ALUMNO")</f>
        <v>NOMBRE DEL ALUMNO</v>
      </c>
      <c r="C16" s="27"/>
      <c r="D16" s="28"/>
      <c r="E16" s="46"/>
      <c r="F16" s="46"/>
      <c r="G16" s="149"/>
      <c r="H16" s="150" t="str">
        <f>IFERROR(__xludf.DUMMYFUNCTION("""COMPUTED_VALUE"""),"Suma")</f>
        <v>Suma</v>
      </c>
      <c r="I16" s="151" t="str">
        <f>IFERROR(__xludf.DUMMYFUNCTION("""COMPUTED_VALUE"""),"Faltas")</f>
        <v>Faltas</v>
      </c>
      <c r="J16" s="151" t="str">
        <f>IFERROR(__xludf.DUMMYFUNCTION("""COMPUTED_VALUE"""),"Calificación Definitiva")</f>
        <v>Calificación Definitiva</v>
      </c>
      <c r="K16" s="152" t="str">
        <f>IFERROR(__xludf.DUMMYFUNCTION("""COMPUTED_VALUE"""),"FIRMA")</f>
        <v>FIRMA</v>
      </c>
      <c r="L16" s="151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3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IFERROR(__xludf.DUMMYFUNCTION("""COMPUTED_VALUE"""),"VARELA")</f>
        <v>VARELA</v>
      </c>
      <c r="D17" s="54" t="str">
        <f>IFERROR(__xludf.DUMMYFUNCTION("""COMPUTED_VALUE"""),"ISAIAS HAZAEL")</f>
        <v>ISAIAS HAZAEL</v>
      </c>
      <c r="E17" s="154">
        <f>IFERROR(__xludf.DUMMYFUNCTION("""COMPUTED_VALUE"""),7.2)</f>
        <v>7.2</v>
      </c>
      <c r="F17" s="154">
        <f>IFERROR(__xludf.DUMMYFUNCTION("""COMPUTED_VALUE"""),2.0)</f>
        <v>2</v>
      </c>
      <c r="G17" s="154">
        <f>IFERROR(__xludf.DUMMYFUNCTION("""COMPUTED_VALUE"""),0.0)</f>
        <v>0</v>
      </c>
      <c r="H17" s="155">
        <f>IFERROR(__xludf.DUMMYFUNCTION("""COMPUTED_VALUE"""),9.2)</f>
        <v>9.2</v>
      </c>
      <c r="I17" s="156">
        <f>IFERROR(__xludf.DUMMYFUNCTION("""COMPUTED_VALUE"""),0.0)</f>
        <v>0</v>
      </c>
      <c r="J17" s="157">
        <f>IFERROR(__xludf.DUMMYFUNCTION("""COMPUTED_VALUE"""),9.0)</f>
        <v>9</v>
      </c>
      <c r="K17" s="158"/>
      <c r="L17" s="159">
        <f>IFERROR(__xludf.DUMMYFUNCTION("""COMPUTED_VALUE"""),9.0)</f>
        <v>9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3">
        <f>IFERROR(__xludf.DUMMYFUNCTION("""COMPUTED_VALUE"""),2.0)</f>
        <v>2</v>
      </c>
      <c r="B18" s="52" t="str">
        <f>IFERROR(__xludf.DUMMYFUNCTION("""COMPUTED_VALUE"""),"ANDRADE")</f>
        <v>ANDRADE</v>
      </c>
      <c r="C18" s="53" t="str">
        <f>IFERROR(__xludf.DUMMYFUNCTION("""COMPUTED_VALUE"""),"LOPEZ")</f>
        <v>LOPEZ</v>
      </c>
      <c r="D18" s="54" t="str">
        <f>IFERROR(__xludf.DUMMYFUNCTION("""COMPUTED_VALUE"""),"DAVID EMILIANO")</f>
        <v>DAVID EMILIANO</v>
      </c>
      <c r="E18" s="154">
        <f>IFERROR(__xludf.DUMMYFUNCTION("""COMPUTED_VALUE"""),7.2)</f>
        <v>7.2</v>
      </c>
      <c r="F18" s="154">
        <f>IFERROR(__xludf.DUMMYFUNCTION("""COMPUTED_VALUE"""),2.0)</f>
        <v>2</v>
      </c>
      <c r="G18" s="154">
        <f>IFERROR(__xludf.DUMMYFUNCTION("""COMPUTED_VALUE"""),0.0)</f>
        <v>0</v>
      </c>
      <c r="H18" s="155">
        <f>IFERROR(__xludf.DUMMYFUNCTION("""COMPUTED_VALUE"""),9.2)</f>
        <v>9.2</v>
      </c>
      <c r="I18" s="156">
        <f>IFERROR(__xludf.DUMMYFUNCTION("""COMPUTED_VALUE"""),0.0)</f>
        <v>0</v>
      </c>
      <c r="J18" s="157">
        <f>IFERROR(__xludf.DUMMYFUNCTION("""COMPUTED_VALUE"""),9.0)</f>
        <v>9</v>
      </c>
      <c r="K18" s="156"/>
      <c r="L18" s="159">
        <f>IFERROR(__xludf.DUMMYFUNCTION("""COMPUTED_VALUE"""),9.0)</f>
        <v>9</v>
      </c>
      <c r="M18" s="121" t="str">
        <f>IFERROR(__xludf.DUMMYFUNCTION("""COMPUTED_VALUE"""),"Febrero")</f>
        <v>Febrero</v>
      </c>
      <c r="N18" s="121">
        <f>IFERROR(__xludf.DUMMYFUNCTION("""COMPUTED_VALUE"""),16.0)</f>
        <v>16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3">
        <f>IFERROR(__xludf.DUMMYFUNCTION("""COMPUTED_VALUE"""),3.0)</f>
        <v>3</v>
      </c>
      <c r="B19" s="52" t="str">
        <f>IFERROR(__xludf.DUMMYFUNCTION("""COMPUTED_VALUE"""),"ARELLANO")</f>
        <v>ARELLANO</v>
      </c>
      <c r="C19" s="53" t="str">
        <f>IFERROR(__xludf.DUMMYFUNCTION("""COMPUTED_VALUE"""),"RAMIREZ")</f>
        <v>RAMIREZ</v>
      </c>
      <c r="D19" s="54" t="str">
        <f>IFERROR(__xludf.DUMMYFUNCTION("""COMPUTED_VALUE"""),"ALEJANDRO")</f>
        <v>ALEJANDRO</v>
      </c>
      <c r="E19" s="154">
        <f>IFERROR(__xludf.DUMMYFUNCTION("""COMPUTED_VALUE"""),7.2)</f>
        <v>7.2</v>
      </c>
      <c r="F19" s="154">
        <f>IFERROR(__xludf.DUMMYFUNCTION("""COMPUTED_VALUE"""),2.0)</f>
        <v>2</v>
      </c>
      <c r="G19" s="154">
        <f>IFERROR(__xludf.DUMMYFUNCTION("""COMPUTED_VALUE"""),0.0)</f>
        <v>0</v>
      </c>
      <c r="H19" s="155">
        <f>IFERROR(__xludf.DUMMYFUNCTION("""COMPUTED_VALUE"""),9.2)</f>
        <v>9.2</v>
      </c>
      <c r="I19" s="156">
        <f>IFERROR(__xludf.DUMMYFUNCTION("""COMPUTED_VALUE"""),0.0)</f>
        <v>0</v>
      </c>
      <c r="J19" s="157">
        <f>IFERROR(__xludf.DUMMYFUNCTION("""COMPUTED_VALUE"""),9.0)</f>
        <v>9</v>
      </c>
      <c r="K19" s="156"/>
      <c r="L19" s="159">
        <f>IFERROR(__xludf.DUMMYFUNCTION("""COMPUTED_VALUE"""),9.0)</f>
        <v>9</v>
      </c>
      <c r="M19" s="121" t="str">
        <f>IFERROR(__xludf.DUMMYFUNCTION("""COMPUTED_VALUE"""),"Marzo")</f>
        <v>Marzo</v>
      </c>
      <c r="N19" s="121">
        <f>IFERROR(__xludf.DUMMYFUNCTION("""COMPUTED_VALUE"""),18.0)</f>
        <v>18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3">
        <f>IFERROR(__xludf.DUMMYFUNCTION("""COMPUTED_VALUE"""),4.0)</f>
        <v>4</v>
      </c>
      <c r="B20" s="52" t="str">
        <f>IFERROR(__xludf.DUMMYFUNCTION("""COMPUTED_VALUE"""),"AVILA")</f>
        <v>AVILA</v>
      </c>
      <c r="C20" s="53" t="str">
        <f>IFERROR(__xludf.DUMMYFUNCTION("""COMPUTED_VALUE"""),"GARCIA")</f>
        <v>GARCIA</v>
      </c>
      <c r="D20" s="54" t="str">
        <f>IFERROR(__xludf.DUMMYFUNCTION("""COMPUTED_VALUE"""),"PARIS PAOLETTE")</f>
        <v>PARIS PAOLETTE</v>
      </c>
      <c r="E20" s="154">
        <f>IFERROR(__xludf.DUMMYFUNCTION("""COMPUTED_VALUE"""),7.6)</f>
        <v>7.6</v>
      </c>
      <c r="F20" s="154">
        <f>IFERROR(__xludf.DUMMYFUNCTION("""COMPUTED_VALUE"""),2.0)</f>
        <v>2</v>
      </c>
      <c r="G20" s="154">
        <f>IFERROR(__xludf.DUMMYFUNCTION("""COMPUTED_VALUE"""),0.0)</f>
        <v>0</v>
      </c>
      <c r="H20" s="155">
        <f>IFERROR(__xludf.DUMMYFUNCTION("""COMPUTED_VALUE"""),9.6)</f>
        <v>9.6</v>
      </c>
      <c r="I20" s="156">
        <f>IFERROR(__xludf.DUMMYFUNCTION("""COMPUTED_VALUE"""),0.0)</f>
        <v>0</v>
      </c>
      <c r="J20" s="157">
        <f>IFERROR(__xludf.DUMMYFUNCTION("""COMPUTED_VALUE"""),10.0)</f>
        <v>10</v>
      </c>
      <c r="K20" s="156"/>
      <c r="L20" s="159">
        <f>IFERROR(__xludf.DUMMYFUNCTION("""COMPUTED_VALUE"""),10.0)</f>
        <v>10</v>
      </c>
      <c r="M20" s="121" t="str">
        <f>IFERROR(__xludf.DUMMYFUNCTION("""COMPUTED_VALUE"""),"Abril")</f>
        <v>Abril</v>
      </c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3">
        <f>IFERROR(__xludf.DUMMYFUNCTION("""COMPUTED_VALUE"""),5.0)</f>
        <v>5</v>
      </c>
      <c r="B21" s="52" t="str">
        <f>IFERROR(__xludf.DUMMYFUNCTION("""COMPUTED_VALUE"""),"BARRERA")</f>
        <v>BARRERA</v>
      </c>
      <c r="C21" s="62"/>
      <c r="D21" s="54" t="str">
        <f>IFERROR(__xludf.DUMMYFUNCTION("""COMPUTED_VALUE"""),"NAEEM")</f>
        <v>NAEEM</v>
      </c>
      <c r="E21" s="154">
        <f>IFERROR(__xludf.DUMMYFUNCTION("""COMPUTED_VALUE"""),6.64)</f>
        <v>6.64</v>
      </c>
      <c r="F21" s="154">
        <f>IFERROR(__xludf.DUMMYFUNCTION("""COMPUTED_VALUE"""),2.0)</f>
        <v>2</v>
      </c>
      <c r="G21" s="154">
        <f>IFERROR(__xludf.DUMMYFUNCTION("""COMPUTED_VALUE"""),0.0)</f>
        <v>0</v>
      </c>
      <c r="H21" s="155">
        <f>IFERROR(__xludf.DUMMYFUNCTION("""COMPUTED_VALUE"""),8.64)</f>
        <v>8.64</v>
      </c>
      <c r="I21" s="156">
        <f>IFERROR(__xludf.DUMMYFUNCTION("""COMPUTED_VALUE"""),0.0)</f>
        <v>0</v>
      </c>
      <c r="J21" s="157">
        <f>IFERROR(__xludf.DUMMYFUNCTION("""COMPUTED_VALUE"""),9.0)</f>
        <v>9</v>
      </c>
      <c r="K21" s="156"/>
      <c r="L21" s="159">
        <f>IFERROR(__xludf.DUMMYFUNCTION("""COMPUTED_VALUE"""),9.0)</f>
        <v>9</v>
      </c>
      <c r="M21" s="121" t="str">
        <f>IFERROR(__xludf.DUMMYFUNCTION("""COMPUTED_VALUE"""),"Mayo")</f>
        <v>Mayo</v>
      </c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3">
        <f>IFERROR(__xludf.DUMMYFUNCTION("""COMPUTED_VALUE"""),6.0)</f>
        <v>6</v>
      </c>
      <c r="B22" s="63" t="str">
        <f>IFERROR(__xludf.DUMMYFUNCTION("""COMPUTED_VALUE"""),"BLANCO")</f>
        <v>BLANCO</v>
      </c>
      <c r="C22" s="53" t="str">
        <f>IFERROR(__xludf.DUMMYFUNCTION("""COMPUTED_VALUE"""),"JARAMILLO")</f>
        <v>JARAMILLO</v>
      </c>
      <c r="D22" s="54" t="str">
        <f>IFERROR(__xludf.DUMMYFUNCTION("""COMPUTED_VALUE"""),"INGRID NATALIA")</f>
        <v>INGRID NATALIA</v>
      </c>
      <c r="E22" s="154">
        <f>IFERROR(__xludf.DUMMYFUNCTION("""COMPUTED_VALUE"""),8.0)</f>
        <v>8</v>
      </c>
      <c r="F22" s="154">
        <f>IFERROR(__xludf.DUMMYFUNCTION("""COMPUTED_VALUE"""),2.0)</f>
        <v>2</v>
      </c>
      <c r="G22" s="154">
        <f>IFERROR(__xludf.DUMMYFUNCTION("""COMPUTED_VALUE"""),1.0)</f>
        <v>1</v>
      </c>
      <c r="H22" s="155">
        <f>IFERROR(__xludf.DUMMYFUNCTION("""COMPUTED_VALUE"""),11.0)</f>
        <v>11</v>
      </c>
      <c r="I22" s="156">
        <f>IFERROR(__xludf.DUMMYFUNCTION("""COMPUTED_VALUE"""),2.0)</f>
        <v>2</v>
      </c>
      <c r="J22" s="157">
        <f>IFERROR(__xludf.DUMMYFUNCTION("""COMPUTED_VALUE"""),10.0)</f>
        <v>10</v>
      </c>
      <c r="K22" s="156"/>
      <c r="L22" s="159">
        <f>IFERROR(__xludf.DUMMYFUNCTION("""COMPUTED_VALUE"""),11.0)</f>
        <v>11</v>
      </c>
      <c r="M22" s="121" t="str">
        <f>IFERROR(__xludf.DUMMYFUNCTION("""COMPUTED_VALUE"""),"Junio")</f>
        <v>Junio</v>
      </c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3">
        <f>IFERROR(__xludf.DUMMYFUNCTION("""COMPUTED_VALUE"""),7.0)</f>
        <v>7</v>
      </c>
      <c r="B23" s="52" t="str">
        <f>IFERROR(__xludf.DUMMYFUNCTION("""COMPUTED_VALUE"""),"CARLOS")</f>
        <v>CARLOS</v>
      </c>
      <c r="C23" s="53" t="str">
        <f>IFERROR(__xludf.DUMMYFUNCTION("""COMPUTED_VALUE"""),"DE LA CRUZ")</f>
        <v>DE LA CRUZ</v>
      </c>
      <c r="D23" s="54" t="str">
        <f>IFERROR(__xludf.DUMMYFUNCTION("""COMPUTED_VALUE"""),"JAVIER")</f>
        <v>JAVIER</v>
      </c>
      <c r="E23" s="154">
        <f>IFERROR(__xludf.DUMMYFUNCTION("""COMPUTED_VALUE"""),6.0)</f>
        <v>6</v>
      </c>
      <c r="F23" s="154">
        <f>IFERROR(__xludf.DUMMYFUNCTION("""COMPUTED_VALUE"""),2.0)</f>
        <v>2</v>
      </c>
      <c r="G23" s="154">
        <f>IFERROR(__xludf.DUMMYFUNCTION("""COMPUTED_VALUE"""),1.0)</f>
        <v>1</v>
      </c>
      <c r="H23" s="155">
        <f>IFERROR(__xludf.DUMMYFUNCTION("""COMPUTED_VALUE"""),9.0)</f>
        <v>9</v>
      </c>
      <c r="I23" s="156">
        <f>IFERROR(__xludf.DUMMYFUNCTION("""COMPUTED_VALUE"""),0.0)</f>
        <v>0</v>
      </c>
      <c r="J23" s="157">
        <f>IFERROR(__xludf.DUMMYFUNCTION("""COMPUTED_VALUE"""),9.0)</f>
        <v>9</v>
      </c>
      <c r="K23" s="156"/>
      <c r="L23" s="159">
        <f>IFERROR(__xludf.DUMMYFUNCTION("""COMPUTED_VALUE"""),9.0)</f>
        <v>9</v>
      </c>
      <c r="M23" s="121" t="str">
        <f>IFERROR(__xludf.DUMMYFUNCTION("""COMPUTED_VALUE"""),"Julio")</f>
        <v>Julio</v>
      </c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3">
        <f>IFERROR(__xludf.DUMMYFUNCTION("""COMPUTED_VALUE"""),8.0)</f>
        <v>8</v>
      </c>
      <c r="B24" s="52" t="str">
        <f>IFERROR(__xludf.DUMMYFUNCTION("""COMPUTED_VALUE"""),"CARRICHE")</f>
        <v>CARRICHE</v>
      </c>
      <c r="C24" s="53" t="str">
        <f>IFERROR(__xludf.DUMMYFUNCTION("""COMPUTED_VALUE"""),"HERNANDEZ")</f>
        <v>HERNANDEZ</v>
      </c>
      <c r="D24" s="54" t="str">
        <f>IFERROR(__xludf.DUMMYFUNCTION("""COMPUTED_VALUE"""),"DIEGO IVAN")</f>
        <v>DIEGO IVAN</v>
      </c>
      <c r="E24" s="154">
        <f>IFERROR(__xludf.DUMMYFUNCTION("""COMPUTED_VALUE"""),6.4)</f>
        <v>6.4</v>
      </c>
      <c r="F24" s="154">
        <f>IFERROR(__xludf.DUMMYFUNCTION("""COMPUTED_VALUE"""),2.0)</f>
        <v>2</v>
      </c>
      <c r="G24" s="154">
        <f>IFERROR(__xludf.DUMMYFUNCTION("""COMPUTED_VALUE"""),1.0)</f>
        <v>1</v>
      </c>
      <c r="H24" s="155">
        <f>IFERROR(__xludf.DUMMYFUNCTION("""COMPUTED_VALUE"""),9.4)</f>
        <v>9.4</v>
      </c>
      <c r="I24" s="156">
        <f>IFERROR(__xludf.DUMMYFUNCTION("""COMPUTED_VALUE"""),0.0)</f>
        <v>0</v>
      </c>
      <c r="J24" s="157">
        <f>IFERROR(__xludf.DUMMYFUNCTION("""COMPUTED_VALUE"""),9.0)</f>
        <v>9</v>
      </c>
      <c r="K24" s="156"/>
      <c r="L24" s="159">
        <f>IFERROR(__xludf.DUMMYFUNCTION("""COMPUTED_VALUE"""),9.0)</f>
        <v>9</v>
      </c>
      <c r="M24" s="121" t="str">
        <f>IFERROR(__xludf.DUMMYFUNCTION("""COMPUTED_VALUE"""),"TOTAL")</f>
        <v>TOTAL</v>
      </c>
      <c r="N24" s="121">
        <f>IFERROR(__xludf.DUMMYFUNCTION("""COMPUTED_VALUE"""),34.0)</f>
        <v>34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3">
        <f>IFERROR(__xludf.DUMMYFUNCTION("""COMPUTED_VALUE"""),9.0)</f>
        <v>9</v>
      </c>
      <c r="B25" s="52" t="str">
        <f>IFERROR(__xludf.DUMMYFUNCTION("""COMPUTED_VALUE"""),"CASTILLO")</f>
        <v>CASTILLO</v>
      </c>
      <c r="C25" s="53" t="str">
        <f>IFERROR(__xludf.DUMMYFUNCTION("""COMPUTED_VALUE"""),"DOMINGUEZ")</f>
        <v>DOMINGUEZ</v>
      </c>
      <c r="D25" s="54" t="str">
        <f>IFERROR(__xludf.DUMMYFUNCTION("""COMPUTED_VALUE"""),"EMANUEL")</f>
        <v>EMANUEL</v>
      </c>
      <c r="E25" s="154">
        <f>IFERROR(__xludf.DUMMYFUNCTION("""COMPUTED_VALUE"""),5.6)</f>
        <v>5.6</v>
      </c>
      <c r="F25" s="154">
        <f>IFERROR(__xludf.DUMMYFUNCTION("""COMPUTED_VALUE"""),2.0)</f>
        <v>2</v>
      </c>
      <c r="G25" s="154">
        <f>IFERROR(__xludf.DUMMYFUNCTION("""COMPUTED_VALUE"""),1.0)</f>
        <v>1</v>
      </c>
      <c r="H25" s="155">
        <f>IFERROR(__xludf.DUMMYFUNCTION("""COMPUTED_VALUE"""),8.6)</f>
        <v>8.6</v>
      </c>
      <c r="I25" s="156">
        <f>IFERROR(__xludf.DUMMYFUNCTION("""COMPUTED_VALUE"""),0.0)</f>
        <v>0</v>
      </c>
      <c r="J25" s="157">
        <f>IFERROR(__xludf.DUMMYFUNCTION("""COMPUTED_VALUE"""),9.0)</f>
        <v>9</v>
      </c>
      <c r="K25" s="156"/>
      <c r="L25" s="159">
        <f>IFERROR(__xludf.DUMMYFUNCTION("""COMPUTED_VALUE"""),9.0)</f>
        <v>9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3">
        <f>IFERROR(__xludf.DUMMYFUNCTION("""COMPUTED_VALUE"""),10.0)</f>
        <v>10</v>
      </c>
      <c r="B26" s="52" t="str">
        <f>IFERROR(__xludf.DUMMYFUNCTION("""COMPUTED_VALUE"""),"COMO")</f>
        <v>COMO</v>
      </c>
      <c r="C26" s="53" t="str">
        <f>IFERROR(__xludf.DUMMYFUNCTION("""COMPUTED_VALUE"""),"MONTOYA")</f>
        <v>MONTOYA</v>
      </c>
      <c r="D26" s="54" t="str">
        <f>IFERROR(__xludf.DUMMYFUNCTION("""COMPUTED_VALUE"""),"ANGEL GIOVANNY")</f>
        <v>ANGEL GIOVANNY</v>
      </c>
      <c r="E26" s="154">
        <f>IFERROR(__xludf.DUMMYFUNCTION("""COMPUTED_VALUE"""),5.6)</f>
        <v>5.6</v>
      </c>
      <c r="F26" s="154">
        <f>IFERROR(__xludf.DUMMYFUNCTION("""COMPUTED_VALUE"""),2.0)</f>
        <v>2</v>
      </c>
      <c r="G26" s="154">
        <f>IFERROR(__xludf.DUMMYFUNCTION("""COMPUTED_VALUE"""),1.0)</f>
        <v>1</v>
      </c>
      <c r="H26" s="155">
        <f>IFERROR(__xludf.DUMMYFUNCTION("""COMPUTED_VALUE"""),8.6)</f>
        <v>8.6</v>
      </c>
      <c r="I26" s="156">
        <f>IFERROR(__xludf.DUMMYFUNCTION("""COMPUTED_VALUE"""),0.0)</f>
        <v>0</v>
      </c>
      <c r="J26" s="157">
        <f>IFERROR(__xludf.DUMMYFUNCTION("""COMPUTED_VALUE"""),9.0)</f>
        <v>9</v>
      </c>
      <c r="K26" s="156"/>
      <c r="L26" s="159">
        <f>IFERROR(__xludf.DUMMYFUNCTION("""COMPUTED_VALUE"""),9.0)</f>
        <v>9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3">
        <f>IFERROR(__xludf.DUMMYFUNCTION("""COMPUTED_VALUE"""),11.0)</f>
        <v>11</v>
      </c>
      <c r="B27" s="52" t="str">
        <f>IFERROR(__xludf.DUMMYFUNCTION("""COMPUTED_VALUE"""),"CORTES")</f>
        <v>CORTES</v>
      </c>
      <c r="C27" s="53" t="str">
        <f>IFERROR(__xludf.DUMMYFUNCTION("""COMPUTED_VALUE"""),"VAZQUEZ")</f>
        <v>VAZQUEZ</v>
      </c>
      <c r="D27" s="53" t="str">
        <f>IFERROR(__xludf.DUMMYFUNCTION("""COMPUTED_VALUE"""),"ZULEIMA")</f>
        <v>ZULEIMA</v>
      </c>
      <c r="E27" s="154">
        <f>IFERROR(__xludf.DUMMYFUNCTION("""COMPUTED_VALUE"""),8.0)</f>
        <v>8</v>
      </c>
      <c r="F27" s="154">
        <f>IFERROR(__xludf.DUMMYFUNCTION("""COMPUTED_VALUE"""),2.0)</f>
        <v>2</v>
      </c>
      <c r="G27" s="154">
        <f>IFERROR(__xludf.DUMMYFUNCTION("""COMPUTED_VALUE"""),0.0)</f>
        <v>0</v>
      </c>
      <c r="H27" s="155">
        <f>IFERROR(__xludf.DUMMYFUNCTION("""COMPUTED_VALUE"""),10.0)</f>
        <v>10</v>
      </c>
      <c r="I27" s="156">
        <f>IFERROR(__xludf.DUMMYFUNCTION("""COMPUTED_VALUE"""),0.0)</f>
        <v>0</v>
      </c>
      <c r="J27" s="157">
        <f>IFERROR(__xludf.DUMMYFUNCTION("""COMPUTED_VALUE"""),10.0)</f>
        <v>10</v>
      </c>
      <c r="K27" s="156"/>
      <c r="L27" s="159">
        <f>IFERROR(__xludf.DUMMYFUNCTION("""COMPUTED_VALUE"""),10.0)</f>
        <v>10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3">
        <f>IFERROR(__xludf.DUMMYFUNCTION("""COMPUTED_VALUE"""),12.0)</f>
        <v>12</v>
      </c>
      <c r="B28" s="52" t="str">
        <f>IFERROR(__xludf.DUMMYFUNCTION("""COMPUTED_VALUE"""),"CRUZ")</f>
        <v>CRUZ</v>
      </c>
      <c r="C28" s="53" t="str">
        <f>IFERROR(__xludf.DUMMYFUNCTION("""COMPUTED_VALUE"""),"BAUTISTA")</f>
        <v>BAUTISTA</v>
      </c>
      <c r="D28" s="54" t="str">
        <f>IFERROR(__xludf.DUMMYFUNCTION("""COMPUTED_VALUE"""),"YAEL ABDIEL")</f>
        <v>YAEL ABDIEL</v>
      </c>
      <c r="E28" s="154">
        <f>IFERROR(__xludf.DUMMYFUNCTION("""COMPUTED_VALUE"""),7.6)</f>
        <v>7.6</v>
      </c>
      <c r="F28" s="154">
        <f>IFERROR(__xludf.DUMMYFUNCTION("""COMPUTED_VALUE"""),2.0)</f>
        <v>2</v>
      </c>
      <c r="G28" s="154">
        <f>IFERROR(__xludf.DUMMYFUNCTION("""COMPUTED_VALUE"""),0.0)</f>
        <v>0</v>
      </c>
      <c r="H28" s="155">
        <f>IFERROR(__xludf.DUMMYFUNCTION("""COMPUTED_VALUE"""),9.6)</f>
        <v>9.6</v>
      </c>
      <c r="I28" s="156">
        <f>IFERROR(__xludf.DUMMYFUNCTION("""COMPUTED_VALUE"""),0.0)</f>
        <v>0</v>
      </c>
      <c r="J28" s="157">
        <f>IFERROR(__xludf.DUMMYFUNCTION("""COMPUTED_VALUE"""),10.0)</f>
        <v>10</v>
      </c>
      <c r="K28" s="156"/>
      <c r="L28" s="159">
        <f>IFERROR(__xludf.DUMMYFUNCTION("""COMPUTED_VALUE"""),10.0)</f>
        <v>10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3">
        <f>IFERROR(__xludf.DUMMYFUNCTION("""COMPUTED_VALUE"""),13.0)</f>
        <v>13</v>
      </c>
      <c r="B29" s="52" t="str">
        <f>IFERROR(__xludf.DUMMYFUNCTION("""COMPUTED_VALUE"""),"CRUZ")</f>
        <v>CRUZ</v>
      </c>
      <c r="C29" s="53" t="str">
        <f>IFERROR(__xludf.DUMMYFUNCTION("""COMPUTED_VALUE"""),"NUÑEZ")</f>
        <v>NUÑEZ</v>
      </c>
      <c r="D29" s="54" t="str">
        <f>IFERROR(__xludf.DUMMYFUNCTION("""COMPUTED_VALUE"""),"XIMENA LIZVET")</f>
        <v>XIMENA LIZVET</v>
      </c>
      <c r="E29" s="154">
        <f>IFERROR(__xludf.DUMMYFUNCTION("""COMPUTED_VALUE"""),8.0)</f>
        <v>8</v>
      </c>
      <c r="F29" s="154">
        <f>IFERROR(__xludf.DUMMYFUNCTION("""COMPUTED_VALUE"""),2.0)</f>
        <v>2</v>
      </c>
      <c r="G29" s="154">
        <f>IFERROR(__xludf.DUMMYFUNCTION("""COMPUTED_VALUE"""),1.0)</f>
        <v>1</v>
      </c>
      <c r="H29" s="155">
        <f>IFERROR(__xludf.DUMMYFUNCTION("""COMPUTED_VALUE"""),11.0)</f>
        <v>11</v>
      </c>
      <c r="I29" s="156">
        <f>IFERROR(__xludf.DUMMYFUNCTION("""COMPUTED_VALUE"""),0.0)</f>
        <v>0</v>
      </c>
      <c r="J29" s="157">
        <f>IFERROR(__xludf.DUMMYFUNCTION("""COMPUTED_VALUE"""),10.0)</f>
        <v>10</v>
      </c>
      <c r="K29" s="156"/>
      <c r="L29" s="159">
        <f>IFERROR(__xludf.DUMMYFUNCTION("""COMPUTED_VALUE"""),11.0)</f>
        <v>11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3">
        <f>IFERROR(__xludf.DUMMYFUNCTION("""COMPUTED_VALUE"""),14.0)</f>
        <v>14</v>
      </c>
      <c r="B30" s="52" t="str">
        <f>IFERROR(__xludf.DUMMYFUNCTION("""COMPUTED_VALUE"""),"DE JESUS")</f>
        <v>DE JESUS</v>
      </c>
      <c r="C30" s="53" t="str">
        <f>IFERROR(__xludf.DUMMYFUNCTION("""COMPUTED_VALUE"""),"GONZALEZ")</f>
        <v>GONZALEZ</v>
      </c>
      <c r="D30" s="54" t="str">
        <f>IFERROR(__xludf.DUMMYFUNCTION("""COMPUTED_VALUE"""),"SHARON NOEMI")</f>
        <v>SHARON NOEMI</v>
      </c>
      <c r="E30" s="154">
        <f>IFERROR(__xludf.DUMMYFUNCTION("""COMPUTED_VALUE"""),8.0)</f>
        <v>8</v>
      </c>
      <c r="F30" s="154">
        <f>IFERROR(__xludf.DUMMYFUNCTION("""COMPUTED_VALUE"""),2.0)</f>
        <v>2</v>
      </c>
      <c r="G30" s="154">
        <f>IFERROR(__xludf.DUMMYFUNCTION("""COMPUTED_VALUE"""),1.0)</f>
        <v>1</v>
      </c>
      <c r="H30" s="155">
        <f>IFERROR(__xludf.DUMMYFUNCTION("""COMPUTED_VALUE"""),11.0)</f>
        <v>11</v>
      </c>
      <c r="I30" s="156">
        <f>IFERROR(__xludf.DUMMYFUNCTION("""COMPUTED_VALUE"""),0.0)</f>
        <v>0</v>
      </c>
      <c r="J30" s="157">
        <f>IFERROR(__xludf.DUMMYFUNCTION("""COMPUTED_VALUE"""),10.0)</f>
        <v>10</v>
      </c>
      <c r="K30" s="156"/>
      <c r="L30" s="159">
        <f>IFERROR(__xludf.DUMMYFUNCTION("""COMPUTED_VALUE"""),11.0)</f>
        <v>11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3">
        <f>IFERROR(__xludf.DUMMYFUNCTION("""COMPUTED_VALUE"""),15.0)</f>
        <v>15</v>
      </c>
      <c r="B31" s="52" t="str">
        <f>IFERROR(__xludf.DUMMYFUNCTION("""COMPUTED_VALUE"""),"DE SANTIAGO")</f>
        <v>DE SANTIAGO</v>
      </c>
      <c r="C31" s="64" t="str">
        <f>IFERROR(__xludf.DUMMYFUNCTION("""COMPUTED_VALUE"""),"SANCHEZ")</f>
        <v>SANCHEZ</v>
      </c>
      <c r="D31" s="54" t="str">
        <f>IFERROR(__xludf.DUMMYFUNCTION("""COMPUTED_VALUE"""),"OSCAR")</f>
        <v>OSCAR</v>
      </c>
      <c r="E31" s="154">
        <f>IFERROR(__xludf.DUMMYFUNCTION("""COMPUTED_VALUE"""),7.2)</f>
        <v>7.2</v>
      </c>
      <c r="F31" s="154">
        <f>IFERROR(__xludf.DUMMYFUNCTION("""COMPUTED_VALUE"""),2.0)</f>
        <v>2</v>
      </c>
      <c r="G31" s="154">
        <f>IFERROR(__xludf.DUMMYFUNCTION("""COMPUTED_VALUE"""),1.0)</f>
        <v>1</v>
      </c>
      <c r="H31" s="155">
        <f>IFERROR(__xludf.DUMMYFUNCTION("""COMPUTED_VALUE"""),10.2)</f>
        <v>10.2</v>
      </c>
      <c r="I31" s="156">
        <f>IFERROR(__xludf.DUMMYFUNCTION("""COMPUTED_VALUE"""),0.0)</f>
        <v>0</v>
      </c>
      <c r="J31" s="157">
        <f>IFERROR(__xludf.DUMMYFUNCTION("""COMPUTED_VALUE"""),10.0)</f>
        <v>10</v>
      </c>
      <c r="K31" s="156"/>
      <c r="L31" s="159">
        <f>IFERROR(__xludf.DUMMYFUNCTION("""COMPUTED_VALUE"""),10.0)</f>
        <v>10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3">
        <f>IFERROR(__xludf.DUMMYFUNCTION("""COMPUTED_VALUE"""),16.0)</f>
        <v>16</v>
      </c>
      <c r="B32" s="52" t="str">
        <f>IFERROR(__xludf.DUMMYFUNCTION("""COMPUTED_VALUE"""),"DOMINGUEZ")</f>
        <v>DOMINGUEZ</v>
      </c>
      <c r="C32" s="53" t="str">
        <f>IFERROR(__xludf.DUMMYFUNCTION("""COMPUTED_VALUE"""),"RODRIGUEZ")</f>
        <v>RODRIGUEZ</v>
      </c>
      <c r="D32" s="54" t="str">
        <f>IFERROR(__xludf.DUMMYFUNCTION("""COMPUTED_VALUE"""),"ISABELLA VICTORIA")</f>
        <v>ISABELLA VICTORIA</v>
      </c>
      <c r="E32" s="154">
        <f>IFERROR(__xludf.DUMMYFUNCTION("""COMPUTED_VALUE"""),6.56)</f>
        <v>6.56</v>
      </c>
      <c r="F32" s="154">
        <f>IFERROR(__xludf.DUMMYFUNCTION("""COMPUTED_VALUE"""),2.0)</f>
        <v>2</v>
      </c>
      <c r="G32" s="154">
        <f>IFERROR(__xludf.DUMMYFUNCTION("""COMPUTED_VALUE"""),1.0)</f>
        <v>1</v>
      </c>
      <c r="H32" s="155">
        <f>IFERROR(__xludf.DUMMYFUNCTION("""COMPUTED_VALUE"""),9.559999999999999)</f>
        <v>9.56</v>
      </c>
      <c r="I32" s="156">
        <f>IFERROR(__xludf.DUMMYFUNCTION("""COMPUTED_VALUE"""),1.0)</f>
        <v>1</v>
      </c>
      <c r="J32" s="157">
        <f>IFERROR(__xludf.DUMMYFUNCTION("""COMPUTED_VALUE"""),10.0)</f>
        <v>10</v>
      </c>
      <c r="K32" s="156"/>
      <c r="L32" s="159">
        <f>IFERROR(__xludf.DUMMYFUNCTION("""COMPUTED_VALUE"""),10.0)</f>
        <v>10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3">
        <f>IFERROR(__xludf.DUMMYFUNCTION("""COMPUTED_VALUE"""),17.0)</f>
        <v>17</v>
      </c>
      <c r="B33" s="52" t="str">
        <f>IFERROR(__xludf.DUMMYFUNCTION("""COMPUTED_VALUE"""),"ESLAVA")</f>
        <v>ESLAVA</v>
      </c>
      <c r="C33" s="53" t="str">
        <f>IFERROR(__xludf.DUMMYFUNCTION("""COMPUTED_VALUE"""),"CEDILLO")</f>
        <v>CEDILLO</v>
      </c>
      <c r="D33" s="54" t="str">
        <f>IFERROR(__xludf.DUMMYFUNCTION("""COMPUTED_VALUE"""),"DIEGO EVERARDO")</f>
        <v>DIEGO EVERARDO</v>
      </c>
      <c r="E33" s="154">
        <f>IFERROR(__xludf.DUMMYFUNCTION("""COMPUTED_VALUE"""),5.6)</f>
        <v>5.6</v>
      </c>
      <c r="F33" s="154">
        <f>IFERROR(__xludf.DUMMYFUNCTION("""COMPUTED_VALUE"""),2.0)</f>
        <v>2</v>
      </c>
      <c r="G33" s="154">
        <f>IFERROR(__xludf.DUMMYFUNCTION("""COMPUTED_VALUE"""),1.0)</f>
        <v>1</v>
      </c>
      <c r="H33" s="155">
        <f>IFERROR(__xludf.DUMMYFUNCTION("""COMPUTED_VALUE"""),8.6)</f>
        <v>8.6</v>
      </c>
      <c r="I33" s="156">
        <f>IFERROR(__xludf.DUMMYFUNCTION("""COMPUTED_VALUE"""),0.0)</f>
        <v>0</v>
      </c>
      <c r="J33" s="157">
        <f>IFERROR(__xludf.DUMMYFUNCTION("""COMPUTED_VALUE"""),9.0)</f>
        <v>9</v>
      </c>
      <c r="K33" s="156"/>
      <c r="L33" s="159">
        <f>IFERROR(__xludf.DUMMYFUNCTION("""COMPUTED_VALUE"""),9.0)</f>
        <v>9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3">
        <f>IFERROR(__xludf.DUMMYFUNCTION("""COMPUTED_VALUE"""),18.0)</f>
        <v>18</v>
      </c>
      <c r="B34" s="52" t="str">
        <f>IFERROR(__xludf.DUMMYFUNCTION("""COMPUTED_VALUE"""),"FLORES")</f>
        <v>FLORES</v>
      </c>
      <c r="C34" s="53" t="str">
        <f>IFERROR(__xludf.DUMMYFUNCTION("""COMPUTED_VALUE"""),"GARCIA")</f>
        <v>GARCIA</v>
      </c>
      <c r="D34" s="54" t="str">
        <f>IFERROR(__xludf.DUMMYFUNCTION("""COMPUTED_VALUE"""),"BYRON ALBERTO")</f>
        <v>BYRON ALBERTO</v>
      </c>
      <c r="E34" s="154">
        <f>IFERROR(__xludf.DUMMYFUNCTION("""COMPUTED_VALUE"""),8.0)</f>
        <v>8</v>
      </c>
      <c r="F34" s="154">
        <f>IFERROR(__xludf.DUMMYFUNCTION("""COMPUTED_VALUE"""),2.0)</f>
        <v>2</v>
      </c>
      <c r="G34" s="154">
        <f>IFERROR(__xludf.DUMMYFUNCTION("""COMPUTED_VALUE"""),1.0)</f>
        <v>1</v>
      </c>
      <c r="H34" s="155">
        <f>IFERROR(__xludf.DUMMYFUNCTION("""COMPUTED_VALUE"""),11.0)</f>
        <v>11</v>
      </c>
      <c r="I34" s="156">
        <f>IFERROR(__xludf.DUMMYFUNCTION("""COMPUTED_VALUE"""),0.0)</f>
        <v>0</v>
      </c>
      <c r="J34" s="157">
        <f>IFERROR(__xludf.DUMMYFUNCTION("""COMPUTED_VALUE"""),10.0)</f>
        <v>10</v>
      </c>
      <c r="K34" s="156"/>
      <c r="L34" s="159">
        <f>IFERROR(__xludf.DUMMYFUNCTION("""COMPUTED_VALUE"""),11.0)</f>
        <v>11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3">
        <f>IFERROR(__xludf.DUMMYFUNCTION("""COMPUTED_VALUE"""),19.0)</f>
        <v>19</v>
      </c>
      <c r="B35" s="52" t="str">
        <f>IFERROR(__xludf.DUMMYFUNCTION("""COMPUTED_VALUE"""),"GARCIA")</f>
        <v>GARCIA</v>
      </c>
      <c r="C35" s="53" t="str">
        <f>IFERROR(__xludf.DUMMYFUNCTION("""COMPUTED_VALUE"""),"ESCOBAR")</f>
        <v>ESCOBAR</v>
      </c>
      <c r="D35" s="54" t="str">
        <f>IFERROR(__xludf.DUMMYFUNCTION("""COMPUTED_VALUE"""),"DALIA ANGELINA")</f>
        <v>DALIA ANGELINA</v>
      </c>
      <c r="E35" s="154">
        <f>IFERROR(__xludf.DUMMYFUNCTION("""COMPUTED_VALUE"""),7.6)</f>
        <v>7.6</v>
      </c>
      <c r="F35" s="154">
        <f>IFERROR(__xludf.DUMMYFUNCTION("""COMPUTED_VALUE"""),2.0)</f>
        <v>2</v>
      </c>
      <c r="G35" s="154">
        <f>IFERROR(__xludf.DUMMYFUNCTION("""COMPUTED_VALUE"""),1.0)</f>
        <v>1</v>
      </c>
      <c r="H35" s="155">
        <f>IFERROR(__xludf.DUMMYFUNCTION("""COMPUTED_VALUE"""),10.6)</f>
        <v>10.6</v>
      </c>
      <c r="I35" s="156">
        <f>IFERROR(__xludf.DUMMYFUNCTION("""COMPUTED_VALUE"""),0.0)</f>
        <v>0</v>
      </c>
      <c r="J35" s="157">
        <f>IFERROR(__xludf.DUMMYFUNCTION("""COMPUTED_VALUE"""),10.0)</f>
        <v>10</v>
      </c>
      <c r="K35" s="156"/>
      <c r="L35" s="159">
        <f>IFERROR(__xludf.DUMMYFUNCTION("""COMPUTED_VALUE"""),11.0)</f>
        <v>11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3">
        <f>IFERROR(__xludf.DUMMYFUNCTION("""COMPUTED_VALUE"""),20.0)</f>
        <v>20</v>
      </c>
      <c r="B36" s="52" t="str">
        <f>IFERROR(__xludf.DUMMYFUNCTION("""COMPUTED_VALUE"""),"GONZALEZ")</f>
        <v>GONZALEZ</v>
      </c>
      <c r="C36" s="53" t="str">
        <f>IFERROR(__xludf.DUMMYFUNCTION("""COMPUTED_VALUE"""),"BAÑOS")</f>
        <v>BAÑOS</v>
      </c>
      <c r="D36" s="54" t="str">
        <f>IFERROR(__xludf.DUMMYFUNCTION("""COMPUTED_VALUE"""),"DAVID EDUARDO")</f>
        <v>DAVID EDUARDO</v>
      </c>
      <c r="E36" s="154">
        <f>IFERROR(__xludf.DUMMYFUNCTION("""COMPUTED_VALUE"""),4.8)</f>
        <v>4.8</v>
      </c>
      <c r="F36" s="154">
        <f>IFERROR(__xludf.DUMMYFUNCTION("""COMPUTED_VALUE"""),2.0)</f>
        <v>2</v>
      </c>
      <c r="G36" s="154">
        <f>IFERROR(__xludf.DUMMYFUNCTION("""COMPUTED_VALUE"""),0.0)</f>
        <v>0</v>
      </c>
      <c r="H36" s="155">
        <f>IFERROR(__xludf.DUMMYFUNCTION("""COMPUTED_VALUE"""),6.8)</f>
        <v>6.8</v>
      </c>
      <c r="I36" s="156">
        <f>IFERROR(__xludf.DUMMYFUNCTION("""COMPUTED_VALUE"""),0.0)</f>
        <v>0</v>
      </c>
      <c r="J36" s="157">
        <f>IFERROR(__xludf.DUMMYFUNCTION("""COMPUTED_VALUE"""),7.0)</f>
        <v>7</v>
      </c>
      <c r="K36" s="156"/>
      <c r="L36" s="159">
        <f>IFERROR(__xludf.DUMMYFUNCTION("""COMPUTED_VALUE"""),7.0)</f>
        <v>7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3">
        <f>IFERROR(__xludf.DUMMYFUNCTION("""COMPUTED_VALUE"""),21.0)</f>
        <v>21</v>
      </c>
      <c r="B37" s="52" t="str">
        <f>IFERROR(__xludf.DUMMYFUNCTION("""COMPUTED_VALUE"""),"GONZALEZ")</f>
        <v>GONZALEZ</v>
      </c>
      <c r="C37" s="53" t="str">
        <f>IFERROR(__xludf.DUMMYFUNCTION("""COMPUTED_VALUE"""),"CAZARES")</f>
        <v>CAZARES</v>
      </c>
      <c r="D37" s="65" t="str">
        <f>IFERROR(__xludf.DUMMYFUNCTION("""COMPUTED_VALUE"""),"CRISTHIAN")</f>
        <v>CRISTHIAN</v>
      </c>
      <c r="E37" s="154">
        <f>IFERROR(__xludf.DUMMYFUNCTION("""COMPUTED_VALUE"""),6.4)</f>
        <v>6.4</v>
      </c>
      <c r="F37" s="154">
        <f>IFERROR(__xludf.DUMMYFUNCTION("""COMPUTED_VALUE"""),2.0)</f>
        <v>2</v>
      </c>
      <c r="G37" s="154">
        <f>IFERROR(__xludf.DUMMYFUNCTION("""COMPUTED_VALUE"""),1.0)</f>
        <v>1</v>
      </c>
      <c r="H37" s="155">
        <f>IFERROR(__xludf.DUMMYFUNCTION("""COMPUTED_VALUE"""),9.4)</f>
        <v>9.4</v>
      </c>
      <c r="I37" s="156">
        <f>IFERROR(__xludf.DUMMYFUNCTION("""COMPUTED_VALUE"""),0.0)</f>
        <v>0</v>
      </c>
      <c r="J37" s="157">
        <f>IFERROR(__xludf.DUMMYFUNCTION("""COMPUTED_VALUE"""),9.0)</f>
        <v>9</v>
      </c>
      <c r="K37" s="156"/>
      <c r="L37" s="159">
        <f>IFERROR(__xludf.DUMMYFUNCTION("""COMPUTED_VALUE"""),9.0)</f>
        <v>9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3">
        <f>IFERROR(__xludf.DUMMYFUNCTION("""COMPUTED_VALUE"""),22.0)</f>
        <v>22</v>
      </c>
      <c r="B38" s="52" t="str">
        <f>IFERROR(__xludf.DUMMYFUNCTION("""COMPUTED_VALUE"""),"GRANADOS")</f>
        <v>GRANADOS</v>
      </c>
      <c r="C38" s="53" t="str">
        <f>IFERROR(__xludf.DUMMYFUNCTION("""COMPUTED_VALUE"""),"GUERRERO")</f>
        <v>GUERRERO</v>
      </c>
      <c r="D38" s="54" t="str">
        <f>IFERROR(__xludf.DUMMYFUNCTION("""COMPUTED_VALUE"""),"ZARA")</f>
        <v>ZARA</v>
      </c>
      <c r="E38" s="154">
        <f>IFERROR(__xludf.DUMMYFUNCTION("""COMPUTED_VALUE"""),6.4)</f>
        <v>6.4</v>
      </c>
      <c r="F38" s="154">
        <f>IFERROR(__xludf.DUMMYFUNCTION("""COMPUTED_VALUE"""),2.0)</f>
        <v>2</v>
      </c>
      <c r="G38" s="154">
        <f>IFERROR(__xludf.DUMMYFUNCTION("""COMPUTED_VALUE"""),0.0)</f>
        <v>0</v>
      </c>
      <c r="H38" s="155">
        <f>IFERROR(__xludf.DUMMYFUNCTION("""COMPUTED_VALUE"""),8.4)</f>
        <v>8.4</v>
      </c>
      <c r="I38" s="156">
        <f>IFERROR(__xludf.DUMMYFUNCTION("""COMPUTED_VALUE"""),0.0)</f>
        <v>0</v>
      </c>
      <c r="J38" s="157">
        <f>IFERROR(__xludf.DUMMYFUNCTION("""COMPUTED_VALUE"""),8.0)</f>
        <v>8</v>
      </c>
      <c r="K38" s="156"/>
      <c r="L38" s="159">
        <f>IFERROR(__xludf.DUMMYFUNCTION("""COMPUTED_VALUE"""),8.0)</f>
        <v>8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3">
        <f>IFERROR(__xludf.DUMMYFUNCTION("""COMPUTED_VALUE"""),23.0)</f>
        <v>23</v>
      </c>
      <c r="B39" s="52" t="str">
        <f>IFERROR(__xludf.DUMMYFUNCTION("""COMPUTED_VALUE"""),"HERNANDEZ")</f>
        <v>HERNANDEZ</v>
      </c>
      <c r="C39" s="53" t="str">
        <f>IFERROR(__xludf.DUMMYFUNCTION("""COMPUTED_VALUE"""),"CANCHOLA")</f>
        <v>CANCHOLA</v>
      </c>
      <c r="D39" s="65" t="str">
        <f>IFERROR(__xludf.DUMMYFUNCTION("""COMPUTED_VALUE"""),"MELANIE")</f>
        <v>MELANIE</v>
      </c>
      <c r="E39" s="154">
        <f>IFERROR(__xludf.DUMMYFUNCTION("""COMPUTED_VALUE"""),7.2)</f>
        <v>7.2</v>
      </c>
      <c r="F39" s="154">
        <f>IFERROR(__xludf.DUMMYFUNCTION("""COMPUTED_VALUE"""),2.0)</f>
        <v>2</v>
      </c>
      <c r="G39" s="154">
        <f>IFERROR(__xludf.DUMMYFUNCTION("""COMPUTED_VALUE"""),1.0)</f>
        <v>1</v>
      </c>
      <c r="H39" s="155">
        <f>IFERROR(__xludf.DUMMYFUNCTION("""COMPUTED_VALUE"""),10.2)</f>
        <v>10.2</v>
      </c>
      <c r="I39" s="156">
        <f>IFERROR(__xludf.DUMMYFUNCTION("""COMPUTED_VALUE"""),0.0)</f>
        <v>0</v>
      </c>
      <c r="J39" s="157">
        <f>IFERROR(__xludf.DUMMYFUNCTION("""COMPUTED_VALUE"""),10.0)</f>
        <v>10</v>
      </c>
      <c r="K39" s="156"/>
      <c r="L39" s="159">
        <f>IFERROR(__xludf.DUMMYFUNCTION("""COMPUTED_VALUE"""),10.0)</f>
        <v>10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3">
        <f>IFERROR(__xludf.DUMMYFUNCTION("""COMPUTED_VALUE"""),24.0)</f>
        <v>24</v>
      </c>
      <c r="B40" s="66" t="str">
        <f>IFERROR(__xludf.DUMMYFUNCTION("""COMPUTED_VALUE"""),"HERNANDEZ")</f>
        <v>HERNANDEZ</v>
      </c>
      <c r="C40" s="67" t="str">
        <f>IFERROR(__xludf.DUMMYFUNCTION("""COMPUTED_VALUE"""),"ESPARRAGOZA")</f>
        <v>ESPARRAGOZA</v>
      </c>
      <c r="D40" s="54" t="str">
        <f>IFERROR(__xludf.DUMMYFUNCTION("""COMPUTED_VALUE"""),"DANTE ALEXANDER")</f>
        <v>DANTE ALEXANDER</v>
      </c>
      <c r="E40" s="154">
        <f>IFERROR(__xludf.DUMMYFUNCTION("""COMPUTED_VALUE"""),7.6)</f>
        <v>7.6</v>
      </c>
      <c r="F40" s="154">
        <f>IFERROR(__xludf.DUMMYFUNCTION("""COMPUTED_VALUE"""),2.0)</f>
        <v>2</v>
      </c>
      <c r="G40" s="154">
        <f>IFERROR(__xludf.DUMMYFUNCTION("""COMPUTED_VALUE"""),0.0)</f>
        <v>0</v>
      </c>
      <c r="H40" s="155">
        <f>IFERROR(__xludf.DUMMYFUNCTION("""COMPUTED_VALUE"""),9.6)</f>
        <v>9.6</v>
      </c>
      <c r="I40" s="156">
        <f>IFERROR(__xludf.DUMMYFUNCTION("""COMPUTED_VALUE"""),0.0)</f>
        <v>0</v>
      </c>
      <c r="J40" s="157">
        <f>IFERROR(__xludf.DUMMYFUNCTION("""COMPUTED_VALUE"""),10.0)</f>
        <v>10</v>
      </c>
      <c r="K40" s="156"/>
      <c r="L40" s="159">
        <f>IFERROR(__xludf.DUMMYFUNCTION("""COMPUTED_VALUE"""),10.0)</f>
        <v>10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3">
        <f>IFERROR(__xludf.DUMMYFUNCTION("""COMPUTED_VALUE"""),25.0)</f>
        <v>25</v>
      </c>
      <c r="B41" s="52" t="str">
        <f>IFERROR(__xludf.DUMMYFUNCTION("""COMPUTED_VALUE"""),"HERNANDEZ")</f>
        <v>HERNANDEZ</v>
      </c>
      <c r="C41" s="53" t="str">
        <f>IFERROR(__xludf.DUMMYFUNCTION("""COMPUTED_VALUE"""),"MUÑOZ")</f>
        <v>MUÑOZ</v>
      </c>
      <c r="D41" s="54" t="str">
        <f>IFERROR(__xludf.DUMMYFUNCTION("""COMPUTED_VALUE"""),"MARIA JOSE")</f>
        <v>MARIA JOSE</v>
      </c>
      <c r="E41" s="154">
        <f>IFERROR(__xludf.DUMMYFUNCTION("""COMPUTED_VALUE"""),7.6)</f>
        <v>7.6</v>
      </c>
      <c r="F41" s="154">
        <f>IFERROR(__xludf.DUMMYFUNCTION("""COMPUTED_VALUE"""),2.0)</f>
        <v>2</v>
      </c>
      <c r="G41" s="154">
        <f>IFERROR(__xludf.DUMMYFUNCTION("""COMPUTED_VALUE"""),1.0)</f>
        <v>1</v>
      </c>
      <c r="H41" s="155">
        <f>IFERROR(__xludf.DUMMYFUNCTION("""COMPUTED_VALUE"""),10.6)</f>
        <v>10.6</v>
      </c>
      <c r="I41" s="156">
        <f>IFERROR(__xludf.DUMMYFUNCTION("""COMPUTED_VALUE"""),0.0)</f>
        <v>0</v>
      </c>
      <c r="J41" s="157">
        <f>IFERROR(__xludf.DUMMYFUNCTION("""COMPUTED_VALUE"""),10.0)</f>
        <v>10</v>
      </c>
      <c r="K41" s="156"/>
      <c r="L41" s="159">
        <f>IFERROR(__xludf.DUMMYFUNCTION("""COMPUTED_VALUE"""),11.0)</f>
        <v>11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3">
        <f>IFERROR(__xludf.DUMMYFUNCTION("""COMPUTED_VALUE"""),26.0)</f>
        <v>26</v>
      </c>
      <c r="B42" s="52" t="str">
        <f>IFERROR(__xludf.DUMMYFUNCTION("""COMPUTED_VALUE"""),"JARAMILLO")</f>
        <v>JARAMILLO</v>
      </c>
      <c r="C42" s="53" t="str">
        <f>IFERROR(__xludf.DUMMYFUNCTION("""COMPUTED_VALUE"""),"SANDOVAL")</f>
        <v>SANDOVAL</v>
      </c>
      <c r="D42" s="54" t="str">
        <f>IFERROR(__xludf.DUMMYFUNCTION("""COMPUTED_VALUE"""),"MELANI JEREDIT")</f>
        <v>MELANI JEREDIT</v>
      </c>
      <c r="E42" s="154">
        <f>IFERROR(__xludf.DUMMYFUNCTION("""COMPUTED_VALUE"""),6.8)</f>
        <v>6.8</v>
      </c>
      <c r="F42" s="154">
        <f>IFERROR(__xludf.DUMMYFUNCTION("""COMPUTED_VALUE"""),2.0)</f>
        <v>2</v>
      </c>
      <c r="G42" s="154">
        <f>IFERROR(__xludf.DUMMYFUNCTION("""COMPUTED_VALUE"""),1.0)</f>
        <v>1</v>
      </c>
      <c r="H42" s="155">
        <f>IFERROR(__xludf.DUMMYFUNCTION("""COMPUTED_VALUE"""),9.8)</f>
        <v>9.8</v>
      </c>
      <c r="I42" s="156">
        <f>IFERROR(__xludf.DUMMYFUNCTION("""COMPUTED_VALUE"""),0.0)</f>
        <v>0</v>
      </c>
      <c r="J42" s="157">
        <f>IFERROR(__xludf.DUMMYFUNCTION("""COMPUTED_VALUE"""),10.0)</f>
        <v>10</v>
      </c>
      <c r="K42" s="156"/>
      <c r="L42" s="159">
        <f>IFERROR(__xludf.DUMMYFUNCTION("""COMPUTED_VALUE"""),10.0)</f>
        <v>10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3">
        <f>IFERROR(__xludf.DUMMYFUNCTION("""COMPUTED_VALUE"""),27.0)</f>
        <v>27</v>
      </c>
      <c r="B43" s="52" t="str">
        <f>IFERROR(__xludf.DUMMYFUNCTION("""COMPUTED_VALUE"""),"LEMUS")</f>
        <v>LEMUS</v>
      </c>
      <c r="C43" s="53" t="str">
        <f>IFERROR(__xludf.DUMMYFUNCTION("""COMPUTED_VALUE"""),"AVILA")</f>
        <v>AVILA</v>
      </c>
      <c r="D43" s="54" t="str">
        <f>IFERROR(__xludf.DUMMYFUNCTION("""COMPUTED_VALUE"""),"ANA GABRIELA")</f>
        <v>ANA GABRIELA</v>
      </c>
      <c r="E43" s="154">
        <f>IFERROR(__xludf.DUMMYFUNCTION("""COMPUTED_VALUE"""),7.2)</f>
        <v>7.2</v>
      </c>
      <c r="F43" s="154">
        <f>IFERROR(__xludf.DUMMYFUNCTION("""COMPUTED_VALUE"""),2.0)</f>
        <v>2</v>
      </c>
      <c r="G43" s="154">
        <f>IFERROR(__xludf.DUMMYFUNCTION("""COMPUTED_VALUE"""),0.0)</f>
        <v>0</v>
      </c>
      <c r="H43" s="155">
        <f>IFERROR(__xludf.DUMMYFUNCTION("""COMPUTED_VALUE"""),9.2)</f>
        <v>9.2</v>
      </c>
      <c r="I43" s="156">
        <f>IFERROR(__xludf.DUMMYFUNCTION("""COMPUTED_VALUE"""),0.0)</f>
        <v>0</v>
      </c>
      <c r="J43" s="157">
        <f>IFERROR(__xludf.DUMMYFUNCTION("""COMPUTED_VALUE"""),9.0)</f>
        <v>9</v>
      </c>
      <c r="K43" s="156"/>
      <c r="L43" s="159">
        <f>IFERROR(__xludf.DUMMYFUNCTION("""COMPUTED_VALUE"""),9.0)</f>
        <v>9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3">
        <f>IFERROR(__xludf.DUMMYFUNCTION("""COMPUTED_VALUE"""),28.0)</f>
        <v>28</v>
      </c>
      <c r="B44" s="52" t="str">
        <f>IFERROR(__xludf.DUMMYFUNCTION("""COMPUTED_VALUE"""),"LOPEZ")</f>
        <v>LOPEZ</v>
      </c>
      <c r="C44" s="53" t="str">
        <f>IFERROR(__xludf.DUMMYFUNCTION("""COMPUTED_VALUE"""),"OLVERA")</f>
        <v>OLVERA</v>
      </c>
      <c r="D44" s="54" t="str">
        <f>IFERROR(__xludf.DUMMYFUNCTION("""COMPUTED_VALUE"""),"GABRIELA LIZETH")</f>
        <v>GABRIELA LIZETH</v>
      </c>
      <c r="E44" s="154">
        <f>IFERROR(__xludf.DUMMYFUNCTION("""COMPUTED_VALUE"""),7.6)</f>
        <v>7.6</v>
      </c>
      <c r="F44" s="154">
        <f>IFERROR(__xludf.DUMMYFUNCTION("""COMPUTED_VALUE"""),2.0)</f>
        <v>2</v>
      </c>
      <c r="G44" s="154">
        <f>IFERROR(__xludf.DUMMYFUNCTION("""COMPUTED_VALUE"""),1.0)</f>
        <v>1</v>
      </c>
      <c r="H44" s="155">
        <f>IFERROR(__xludf.DUMMYFUNCTION("""COMPUTED_VALUE"""),10.6)</f>
        <v>10.6</v>
      </c>
      <c r="I44" s="156">
        <f>IFERROR(__xludf.DUMMYFUNCTION("""COMPUTED_VALUE"""),0.0)</f>
        <v>0</v>
      </c>
      <c r="J44" s="157">
        <f>IFERROR(__xludf.DUMMYFUNCTION("""COMPUTED_VALUE"""),10.0)</f>
        <v>10</v>
      </c>
      <c r="K44" s="156"/>
      <c r="L44" s="159">
        <f>IFERROR(__xludf.DUMMYFUNCTION("""COMPUTED_VALUE"""),11.0)</f>
        <v>11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3">
        <f>IFERROR(__xludf.DUMMYFUNCTION("""COMPUTED_VALUE"""),29.0)</f>
        <v>29</v>
      </c>
      <c r="B45" s="52" t="str">
        <f>IFERROR(__xludf.DUMMYFUNCTION("""COMPUTED_VALUE"""),"LOPEZ")</f>
        <v>LOPEZ</v>
      </c>
      <c r="C45" s="53" t="str">
        <f>IFERROR(__xludf.DUMMYFUNCTION("""COMPUTED_VALUE"""),"PANIAGÚA")</f>
        <v>PANIAGÚA</v>
      </c>
      <c r="D45" s="54" t="str">
        <f>IFERROR(__xludf.DUMMYFUNCTION("""COMPUTED_VALUE"""),"ANGEL GIOVANNI")</f>
        <v>ANGEL GIOVANNI</v>
      </c>
      <c r="E45" s="154">
        <f>IFERROR(__xludf.DUMMYFUNCTION("""COMPUTED_VALUE"""),7.6)</f>
        <v>7.6</v>
      </c>
      <c r="F45" s="154">
        <f>IFERROR(__xludf.DUMMYFUNCTION("""COMPUTED_VALUE"""),2.0)</f>
        <v>2</v>
      </c>
      <c r="G45" s="154">
        <f>IFERROR(__xludf.DUMMYFUNCTION("""COMPUTED_VALUE"""),1.0)</f>
        <v>1</v>
      </c>
      <c r="H45" s="155">
        <f>IFERROR(__xludf.DUMMYFUNCTION("""COMPUTED_VALUE"""),10.6)</f>
        <v>10.6</v>
      </c>
      <c r="I45" s="156">
        <f>IFERROR(__xludf.DUMMYFUNCTION("""COMPUTED_VALUE"""),0.0)</f>
        <v>0</v>
      </c>
      <c r="J45" s="157">
        <f>IFERROR(__xludf.DUMMYFUNCTION("""COMPUTED_VALUE"""),10.0)</f>
        <v>10</v>
      </c>
      <c r="K45" s="156"/>
      <c r="L45" s="159">
        <f>IFERROR(__xludf.DUMMYFUNCTION("""COMPUTED_VALUE"""),11.0)</f>
        <v>11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3">
        <f>IFERROR(__xludf.DUMMYFUNCTION("""COMPUTED_VALUE"""),30.0)</f>
        <v>30</v>
      </c>
      <c r="B46" s="52" t="str">
        <f>IFERROR(__xludf.DUMMYFUNCTION("""COMPUTED_VALUE"""),"LUNA")</f>
        <v>LUNA</v>
      </c>
      <c r="C46" s="53" t="str">
        <f>IFERROR(__xludf.DUMMYFUNCTION("""COMPUTED_VALUE"""),"HERNANDEZ")</f>
        <v>HERNANDEZ</v>
      </c>
      <c r="D46" s="54" t="str">
        <f>IFERROR(__xludf.DUMMYFUNCTION("""COMPUTED_VALUE"""),"DEA ISABELLA")</f>
        <v>DEA ISABELLA</v>
      </c>
      <c r="E46" s="154">
        <f>IFERROR(__xludf.DUMMYFUNCTION("""COMPUTED_VALUE"""),8.0)</f>
        <v>8</v>
      </c>
      <c r="F46" s="154">
        <f>IFERROR(__xludf.DUMMYFUNCTION("""COMPUTED_VALUE"""),2.0)</f>
        <v>2</v>
      </c>
      <c r="G46" s="154">
        <f>IFERROR(__xludf.DUMMYFUNCTION("""COMPUTED_VALUE"""),1.0)</f>
        <v>1</v>
      </c>
      <c r="H46" s="155">
        <f>IFERROR(__xludf.DUMMYFUNCTION("""COMPUTED_VALUE"""),11.0)</f>
        <v>11</v>
      </c>
      <c r="I46" s="156">
        <f>IFERROR(__xludf.DUMMYFUNCTION("""COMPUTED_VALUE"""),0.0)</f>
        <v>0</v>
      </c>
      <c r="J46" s="157">
        <f>IFERROR(__xludf.DUMMYFUNCTION("""COMPUTED_VALUE"""),10.0)</f>
        <v>10</v>
      </c>
      <c r="K46" s="156"/>
      <c r="L46" s="159">
        <f>IFERROR(__xludf.DUMMYFUNCTION("""COMPUTED_VALUE"""),11.0)</f>
        <v>11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3">
        <f>IFERROR(__xludf.DUMMYFUNCTION("""COMPUTED_VALUE"""),31.0)</f>
        <v>31</v>
      </c>
      <c r="B47" s="52" t="str">
        <f>IFERROR(__xludf.DUMMYFUNCTION("""COMPUTED_VALUE"""),"MARES")</f>
        <v>MARES</v>
      </c>
      <c r="C47" s="53" t="str">
        <f>IFERROR(__xludf.DUMMYFUNCTION("""COMPUTED_VALUE"""),"GONZALEZ")</f>
        <v>GONZALEZ</v>
      </c>
      <c r="D47" s="54" t="str">
        <f>IFERROR(__xludf.DUMMYFUNCTION("""COMPUTED_VALUE"""),"JOSE CARLOS")</f>
        <v>JOSE CARLOS</v>
      </c>
      <c r="E47" s="154">
        <f>IFERROR(__xludf.DUMMYFUNCTION("""COMPUTED_VALUE"""),7.6)</f>
        <v>7.6</v>
      </c>
      <c r="F47" s="154">
        <f>IFERROR(__xludf.DUMMYFUNCTION("""COMPUTED_VALUE"""),2.0)</f>
        <v>2</v>
      </c>
      <c r="G47" s="154">
        <f>IFERROR(__xludf.DUMMYFUNCTION("""COMPUTED_VALUE"""),1.0)</f>
        <v>1</v>
      </c>
      <c r="H47" s="155">
        <f>IFERROR(__xludf.DUMMYFUNCTION("""COMPUTED_VALUE"""),10.6)</f>
        <v>10.6</v>
      </c>
      <c r="I47" s="156">
        <f>IFERROR(__xludf.DUMMYFUNCTION("""COMPUTED_VALUE"""),2.0)</f>
        <v>2</v>
      </c>
      <c r="J47" s="157">
        <f>IFERROR(__xludf.DUMMYFUNCTION("""COMPUTED_VALUE"""),10.0)</f>
        <v>10</v>
      </c>
      <c r="K47" s="156"/>
      <c r="L47" s="159">
        <f>IFERROR(__xludf.DUMMYFUNCTION("""COMPUTED_VALUE"""),11.0)</f>
        <v>11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3">
        <f>IFERROR(__xludf.DUMMYFUNCTION("""COMPUTED_VALUE"""),32.0)</f>
        <v>32</v>
      </c>
      <c r="B48" s="52" t="str">
        <f>IFERROR(__xludf.DUMMYFUNCTION("""COMPUTED_VALUE"""),"MARTINEZ")</f>
        <v>MARTINEZ</v>
      </c>
      <c r="C48" s="53" t="str">
        <f>IFERROR(__xludf.DUMMYFUNCTION("""COMPUTED_VALUE"""),"REYES")</f>
        <v>REYES</v>
      </c>
      <c r="D48" s="54" t="str">
        <f>IFERROR(__xludf.DUMMYFUNCTION("""COMPUTED_VALUE"""),"JACQUELINE ANDREA")</f>
        <v>JACQUELINE ANDREA</v>
      </c>
      <c r="E48" s="154">
        <f>IFERROR(__xludf.DUMMYFUNCTION("""COMPUTED_VALUE"""),8.0)</f>
        <v>8</v>
      </c>
      <c r="F48" s="154">
        <f>IFERROR(__xludf.DUMMYFUNCTION("""COMPUTED_VALUE"""),2.0)</f>
        <v>2</v>
      </c>
      <c r="G48" s="154">
        <f>IFERROR(__xludf.DUMMYFUNCTION("""COMPUTED_VALUE"""),1.0)</f>
        <v>1</v>
      </c>
      <c r="H48" s="155">
        <f>IFERROR(__xludf.DUMMYFUNCTION("""COMPUTED_VALUE"""),11.0)</f>
        <v>11</v>
      </c>
      <c r="I48" s="156">
        <f>IFERROR(__xludf.DUMMYFUNCTION("""COMPUTED_VALUE"""),0.0)</f>
        <v>0</v>
      </c>
      <c r="J48" s="157">
        <f>IFERROR(__xludf.DUMMYFUNCTION("""COMPUTED_VALUE"""),10.0)</f>
        <v>10</v>
      </c>
      <c r="K48" s="156"/>
      <c r="L48" s="159">
        <f>IFERROR(__xludf.DUMMYFUNCTION("""COMPUTED_VALUE"""),11.0)</f>
        <v>11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3">
        <f>IFERROR(__xludf.DUMMYFUNCTION("""COMPUTED_VALUE"""),33.0)</f>
        <v>33</v>
      </c>
      <c r="B49" s="52" t="str">
        <f>IFERROR(__xludf.DUMMYFUNCTION("""COMPUTED_VALUE"""),"MARTINEZ")</f>
        <v>MARTINEZ</v>
      </c>
      <c r="C49" s="53" t="str">
        <f>IFERROR(__xludf.DUMMYFUNCTION("""COMPUTED_VALUE"""),"VELAZQUEZ")</f>
        <v>VELAZQUEZ</v>
      </c>
      <c r="D49" s="65" t="str">
        <f>IFERROR(__xludf.DUMMYFUNCTION("""COMPUTED_VALUE"""),"OSCAR ZADKIEL")</f>
        <v>OSCAR ZADKIEL</v>
      </c>
      <c r="E49" s="154">
        <f>IFERROR(__xludf.DUMMYFUNCTION("""COMPUTED_VALUE"""),8.0)</f>
        <v>8</v>
      </c>
      <c r="F49" s="154">
        <f>IFERROR(__xludf.DUMMYFUNCTION("""COMPUTED_VALUE"""),2.0)</f>
        <v>2</v>
      </c>
      <c r="G49" s="154">
        <f>IFERROR(__xludf.DUMMYFUNCTION("""COMPUTED_VALUE"""),0.0)</f>
        <v>0</v>
      </c>
      <c r="H49" s="155">
        <f>IFERROR(__xludf.DUMMYFUNCTION("""COMPUTED_VALUE"""),10.0)</f>
        <v>10</v>
      </c>
      <c r="I49" s="156">
        <f>IFERROR(__xludf.DUMMYFUNCTION("""COMPUTED_VALUE"""),0.0)</f>
        <v>0</v>
      </c>
      <c r="J49" s="157">
        <f>IFERROR(__xludf.DUMMYFUNCTION("""COMPUTED_VALUE"""),10.0)</f>
        <v>10</v>
      </c>
      <c r="K49" s="156"/>
      <c r="L49" s="159">
        <f>IFERROR(__xludf.DUMMYFUNCTION("""COMPUTED_VALUE"""),10.0)</f>
        <v>10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3">
        <f>IFERROR(__xludf.DUMMYFUNCTION("""COMPUTED_VALUE"""),34.0)</f>
        <v>34</v>
      </c>
      <c r="B50" s="52" t="str">
        <f>IFERROR(__xludf.DUMMYFUNCTION("""COMPUTED_VALUE"""),"MORAN")</f>
        <v>MORAN</v>
      </c>
      <c r="C50" s="53" t="str">
        <f>IFERROR(__xludf.DUMMYFUNCTION("""COMPUTED_VALUE"""),"ALMAGUER")</f>
        <v>ALMAGUER</v>
      </c>
      <c r="D50" s="54" t="str">
        <f>IFERROR(__xludf.DUMMYFUNCTION("""COMPUTED_VALUE"""),"LEYLANI")</f>
        <v>LEYLANI</v>
      </c>
      <c r="E50" s="154">
        <f>IFERROR(__xludf.DUMMYFUNCTION("""COMPUTED_VALUE"""),6.8)</f>
        <v>6.8</v>
      </c>
      <c r="F50" s="154">
        <f>IFERROR(__xludf.DUMMYFUNCTION("""COMPUTED_VALUE"""),2.0)</f>
        <v>2</v>
      </c>
      <c r="G50" s="154">
        <f>IFERROR(__xludf.DUMMYFUNCTION("""COMPUTED_VALUE"""),0.0)</f>
        <v>0</v>
      </c>
      <c r="H50" s="155">
        <f>IFERROR(__xludf.DUMMYFUNCTION("""COMPUTED_VALUE"""),8.8)</f>
        <v>8.8</v>
      </c>
      <c r="I50" s="156">
        <f>IFERROR(__xludf.DUMMYFUNCTION("""COMPUTED_VALUE"""),0.0)</f>
        <v>0</v>
      </c>
      <c r="J50" s="157">
        <f>IFERROR(__xludf.DUMMYFUNCTION("""COMPUTED_VALUE"""),9.0)</f>
        <v>9</v>
      </c>
      <c r="K50" s="156"/>
      <c r="L50" s="159">
        <f>IFERROR(__xludf.DUMMYFUNCTION("""COMPUTED_VALUE"""),9.0)</f>
        <v>9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3">
        <f>IFERROR(__xludf.DUMMYFUNCTION("""COMPUTED_VALUE"""),35.0)</f>
        <v>35</v>
      </c>
      <c r="B51" s="52" t="str">
        <f>IFERROR(__xludf.DUMMYFUNCTION("""COMPUTED_VALUE"""),"MORENO")</f>
        <v>MORENO</v>
      </c>
      <c r="C51" s="53" t="str">
        <f>IFERROR(__xludf.DUMMYFUNCTION("""COMPUTED_VALUE"""),"VALENZUELA")</f>
        <v>VALENZUELA</v>
      </c>
      <c r="D51" s="54" t="str">
        <f>IFERROR(__xludf.DUMMYFUNCTION("""COMPUTED_VALUE"""),"SANTIAGO ISMAEL")</f>
        <v>SANTIAGO ISMAEL</v>
      </c>
      <c r="E51" s="154">
        <f>IFERROR(__xludf.DUMMYFUNCTION("""COMPUTED_VALUE"""),4.8)</f>
        <v>4.8</v>
      </c>
      <c r="F51" s="154">
        <f>IFERROR(__xludf.DUMMYFUNCTION("""COMPUTED_VALUE"""),2.0)</f>
        <v>2</v>
      </c>
      <c r="G51" s="154">
        <f>IFERROR(__xludf.DUMMYFUNCTION("""COMPUTED_VALUE"""),0.0)</f>
        <v>0</v>
      </c>
      <c r="H51" s="155">
        <f>IFERROR(__xludf.DUMMYFUNCTION("""COMPUTED_VALUE"""),6.8)</f>
        <v>6.8</v>
      </c>
      <c r="I51" s="156">
        <f>IFERROR(__xludf.DUMMYFUNCTION("""COMPUTED_VALUE"""),0.0)</f>
        <v>0</v>
      </c>
      <c r="J51" s="157">
        <f>IFERROR(__xludf.DUMMYFUNCTION("""COMPUTED_VALUE"""),7.0)</f>
        <v>7</v>
      </c>
      <c r="K51" s="156"/>
      <c r="L51" s="159">
        <f>IFERROR(__xludf.DUMMYFUNCTION("""COMPUTED_VALUE"""),7.0)</f>
        <v>7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3">
        <f>IFERROR(__xludf.DUMMYFUNCTION("""COMPUTED_VALUE"""),36.0)</f>
        <v>36</v>
      </c>
      <c r="B52" s="52" t="str">
        <f>IFERROR(__xludf.DUMMYFUNCTION("""COMPUTED_VALUE"""),"NUÑEZ")</f>
        <v>NUÑEZ</v>
      </c>
      <c r="C52" s="53" t="str">
        <f>IFERROR(__xludf.DUMMYFUNCTION("""COMPUTED_VALUE"""),"FLORES")</f>
        <v>FLORES</v>
      </c>
      <c r="D52" s="54" t="str">
        <f>IFERROR(__xludf.DUMMYFUNCTION("""COMPUTED_VALUE"""),"ANDREA MAYARI")</f>
        <v>ANDREA MAYARI</v>
      </c>
      <c r="E52" s="154">
        <f>IFERROR(__xludf.DUMMYFUNCTION("""COMPUTED_VALUE"""),7.2)</f>
        <v>7.2</v>
      </c>
      <c r="F52" s="154">
        <f>IFERROR(__xludf.DUMMYFUNCTION("""COMPUTED_VALUE"""),2.0)</f>
        <v>2</v>
      </c>
      <c r="G52" s="154">
        <f>IFERROR(__xludf.DUMMYFUNCTION("""COMPUTED_VALUE"""),0.0)</f>
        <v>0</v>
      </c>
      <c r="H52" s="155">
        <f>IFERROR(__xludf.DUMMYFUNCTION("""COMPUTED_VALUE"""),9.2)</f>
        <v>9.2</v>
      </c>
      <c r="I52" s="156">
        <f>IFERROR(__xludf.DUMMYFUNCTION("""COMPUTED_VALUE"""),0.0)</f>
        <v>0</v>
      </c>
      <c r="J52" s="157">
        <f>IFERROR(__xludf.DUMMYFUNCTION("""COMPUTED_VALUE"""),9.0)</f>
        <v>9</v>
      </c>
      <c r="K52" s="156"/>
      <c r="L52" s="160">
        <f>IFERROR(__xludf.DUMMYFUNCTION("""COMPUTED_VALUE"""),9.0)</f>
        <v>9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3">
        <f>IFERROR(__xludf.DUMMYFUNCTION("""COMPUTED_VALUE"""),37.0)</f>
        <v>37</v>
      </c>
      <c r="B53" s="52" t="str">
        <f>IFERROR(__xludf.DUMMYFUNCTION("""COMPUTED_VALUE"""),"ORNELAS")</f>
        <v>ORNELAS</v>
      </c>
      <c r="C53" s="53" t="str">
        <f>IFERROR(__xludf.DUMMYFUNCTION("""COMPUTED_VALUE"""),"LOPEZ")</f>
        <v>LOPEZ</v>
      </c>
      <c r="D53" s="54" t="str">
        <f>IFERROR(__xludf.DUMMYFUNCTION("""COMPUTED_VALUE"""),"LENA VIKTORIA")</f>
        <v>LENA VIKTORIA</v>
      </c>
      <c r="E53" s="154">
        <f>IFERROR(__xludf.DUMMYFUNCTION("""COMPUTED_VALUE"""),8.0)</f>
        <v>8</v>
      </c>
      <c r="F53" s="154">
        <f>IFERROR(__xludf.DUMMYFUNCTION("""COMPUTED_VALUE"""),2.0)</f>
        <v>2</v>
      </c>
      <c r="G53" s="154">
        <f>IFERROR(__xludf.DUMMYFUNCTION("""COMPUTED_VALUE"""),1.0)</f>
        <v>1</v>
      </c>
      <c r="H53" s="155">
        <f>IFERROR(__xludf.DUMMYFUNCTION("""COMPUTED_VALUE"""),11.0)</f>
        <v>11</v>
      </c>
      <c r="I53" s="156">
        <f>IFERROR(__xludf.DUMMYFUNCTION("""COMPUTED_VALUE"""),0.0)</f>
        <v>0</v>
      </c>
      <c r="J53" s="157">
        <f>IFERROR(__xludf.DUMMYFUNCTION("""COMPUTED_VALUE"""),10.0)</f>
        <v>10</v>
      </c>
      <c r="K53" s="156"/>
      <c r="L53" s="160">
        <f>IFERROR(__xludf.DUMMYFUNCTION("""COMPUTED_VALUE"""),11.0)</f>
        <v>11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3">
        <f>IFERROR(__xludf.DUMMYFUNCTION("""COMPUTED_VALUE"""),38.0)</f>
        <v>38</v>
      </c>
      <c r="B54" s="52" t="str">
        <f>IFERROR(__xludf.DUMMYFUNCTION("""COMPUTED_VALUE"""),"ORTIZ")</f>
        <v>ORTIZ</v>
      </c>
      <c r="C54" s="53" t="str">
        <f>IFERROR(__xludf.DUMMYFUNCTION("""COMPUTED_VALUE"""),"RODRIGUEZ")</f>
        <v>RODRIGUEZ</v>
      </c>
      <c r="D54" s="68" t="str">
        <f>IFERROR(__xludf.DUMMYFUNCTION("""COMPUTED_VALUE"""),"GUILLERMO")</f>
        <v>GUILLERMO</v>
      </c>
      <c r="E54" s="154">
        <f>IFERROR(__xludf.DUMMYFUNCTION("""COMPUTED_VALUE"""),6.4)</f>
        <v>6.4</v>
      </c>
      <c r="F54" s="154">
        <f>IFERROR(__xludf.DUMMYFUNCTION("""COMPUTED_VALUE"""),2.0)</f>
        <v>2</v>
      </c>
      <c r="G54" s="154">
        <f>IFERROR(__xludf.DUMMYFUNCTION("""COMPUTED_VALUE"""),0.0)</f>
        <v>0</v>
      </c>
      <c r="H54" s="155">
        <f>IFERROR(__xludf.DUMMYFUNCTION("""COMPUTED_VALUE"""),8.4)</f>
        <v>8.4</v>
      </c>
      <c r="I54" s="156">
        <f>IFERROR(__xludf.DUMMYFUNCTION("""COMPUTED_VALUE"""),1.0)</f>
        <v>1</v>
      </c>
      <c r="J54" s="157">
        <f>IFERROR(__xludf.DUMMYFUNCTION("""COMPUTED_VALUE"""),8.0)</f>
        <v>8</v>
      </c>
      <c r="K54" s="156"/>
      <c r="L54" s="160">
        <f>IFERROR(__xludf.DUMMYFUNCTION("""COMPUTED_VALUE"""),8.0)</f>
        <v>8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3">
        <f>IFERROR(__xludf.DUMMYFUNCTION("""COMPUTED_VALUE"""),39.0)</f>
        <v>39</v>
      </c>
      <c r="B55" s="52" t="str">
        <f>IFERROR(__xludf.DUMMYFUNCTION("""COMPUTED_VALUE"""),"PACHECO")</f>
        <v>PACHECO</v>
      </c>
      <c r="C55" s="53" t="str">
        <f>IFERROR(__xludf.DUMMYFUNCTION("""COMPUTED_VALUE"""),"OLIVARES")</f>
        <v>OLIVARES</v>
      </c>
      <c r="D55" s="54" t="str">
        <f>IFERROR(__xludf.DUMMYFUNCTION("""COMPUTED_VALUE"""),"ANDRES")</f>
        <v>ANDRES</v>
      </c>
      <c r="E55" s="154">
        <f>IFERROR(__xludf.DUMMYFUNCTION("""COMPUTED_VALUE"""),5.6)</f>
        <v>5.6</v>
      </c>
      <c r="F55" s="154">
        <f>IFERROR(__xludf.DUMMYFUNCTION("""COMPUTED_VALUE"""),2.0)</f>
        <v>2</v>
      </c>
      <c r="G55" s="154">
        <f>IFERROR(__xludf.DUMMYFUNCTION("""COMPUTED_VALUE"""),0.0)</f>
        <v>0</v>
      </c>
      <c r="H55" s="155">
        <f>IFERROR(__xludf.DUMMYFUNCTION("""COMPUTED_VALUE"""),7.6)</f>
        <v>7.6</v>
      </c>
      <c r="I55" s="161">
        <f>IFERROR(__xludf.DUMMYFUNCTION("""COMPUTED_VALUE"""),0.0)</f>
        <v>0</v>
      </c>
      <c r="J55" s="157">
        <f>IFERROR(__xludf.DUMMYFUNCTION("""COMPUTED_VALUE"""),8.0)</f>
        <v>8</v>
      </c>
      <c r="K55" s="156"/>
      <c r="L55" s="160">
        <f>IFERROR(__xludf.DUMMYFUNCTION("""COMPUTED_VALUE"""),8.0)</f>
        <v>8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3">
        <f>IFERROR(__xludf.DUMMYFUNCTION("""COMPUTED_VALUE"""),40.0)</f>
        <v>40</v>
      </c>
      <c r="B56" s="52" t="str">
        <f>IFERROR(__xludf.DUMMYFUNCTION("""COMPUTED_VALUE"""),"PEREZ")</f>
        <v>PEREZ</v>
      </c>
      <c r="C56" s="53" t="str">
        <f>IFERROR(__xludf.DUMMYFUNCTION("""COMPUTED_VALUE"""),"SUAREZ")</f>
        <v>SUAREZ</v>
      </c>
      <c r="D56" s="54" t="str">
        <f>IFERROR(__xludf.DUMMYFUNCTION("""COMPUTED_VALUE"""),"DAVETH OSIEL")</f>
        <v>DAVETH OSIEL</v>
      </c>
      <c r="E56" s="154">
        <f>IFERROR(__xludf.DUMMYFUNCTION("""COMPUTED_VALUE"""),8.0)</f>
        <v>8</v>
      </c>
      <c r="F56" s="154">
        <f>IFERROR(__xludf.DUMMYFUNCTION("""COMPUTED_VALUE"""),2.0)</f>
        <v>2</v>
      </c>
      <c r="G56" s="154">
        <f>IFERROR(__xludf.DUMMYFUNCTION("""COMPUTED_VALUE"""),1.0)</f>
        <v>1</v>
      </c>
      <c r="H56" s="155">
        <f>IFERROR(__xludf.DUMMYFUNCTION("""COMPUTED_VALUE"""),11.0)</f>
        <v>11</v>
      </c>
      <c r="I56" s="161">
        <f>IFERROR(__xludf.DUMMYFUNCTION("""COMPUTED_VALUE"""),0.0)</f>
        <v>0</v>
      </c>
      <c r="J56" s="157">
        <f>IFERROR(__xludf.DUMMYFUNCTION("""COMPUTED_VALUE"""),10.0)</f>
        <v>10</v>
      </c>
      <c r="K56" s="156"/>
      <c r="L56" s="160">
        <f>IFERROR(__xludf.DUMMYFUNCTION("""COMPUTED_VALUE"""),11.0)</f>
        <v>11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3">
        <f>IFERROR(__xludf.DUMMYFUNCTION("""COMPUTED_VALUE"""),41.0)</f>
        <v>41</v>
      </c>
      <c r="B57" s="52" t="str">
        <f>IFERROR(__xludf.DUMMYFUNCTION("""COMPUTED_VALUE"""),"PUC")</f>
        <v>PUC</v>
      </c>
      <c r="C57" s="53" t="str">
        <f>IFERROR(__xludf.DUMMYFUNCTION("""COMPUTED_VALUE"""),"JIMENEZ")</f>
        <v>JIMENEZ</v>
      </c>
      <c r="D57" s="54" t="str">
        <f>IFERROR(__xludf.DUMMYFUNCTION("""COMPUTED_VALUE"""),"XIMENA DANIELA")</f>
        <v>XIMENA DANIELA</v>
      </c>
      <c r="E57" s="154">
        <f>IFERROR(__xludf.DUMMYFUNCTION("""COMPUTED_VALUE"""),7.6)</f>
        <v>7.6</v>
      </c>
      <c r="F57" s="154">
        <f>IFERROR(__xludf.DUMMYFUNCTION("""COMPUTED_VALUE"""),2.0)</f>
        <v>2</v>
      </c>
      <c r="G57" s="154">
        <f>IFERROR(__xludf.DUMMYFUNCTION("""COMPUTED_VALUE"""),0.0)</f>
        <v>0</v>
      </c>
      <c r="H57" s="155">
        <f>IFERROR(__xludf.DUMMYFUNCTION("""COMPUTED_VALUE"""),9.6)</f>
        <v>9.6</v>
      </c>
      <c r="I57" s="161">
        <f>IFERROR(__xludf.DUMMYFUNCTION("""COMPUTED_VALUE"""),0.0)</f>
        <v>0</v>
      </c>
      <c r="J57" s="157">
        <f>IFERROR(__xludf.DUMMYFUNCTION("""COMPUTED_VALUE"""),10.0)</f>
        <v>10</v>
      </c>
      <c r="K57" s="156"/>
      <c r="L57" s="160">
        <f>IFERROR(__xludf.DUMMYFUNCTION("""COMPUTED_VALUE"""),10.0)</f>
        <v>10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3">
        <f>IFERROR(__xludf.DUMMYFUNCTION("""COMPUTED_VALUE"""),42.0)</f>
        <v>42</v>
      </c>
      <c r="B58" s="52" t="str">
        <f>IFERROR(__xludf.DUMMYFUNCTION("""COMPUTED_VALUE"""),"RAMIREZ")</f>
        <v>RAMIREZ</v>
      </c>
      <c r="C58" s="53" t="str">
        <f>IFERROR(__xludf.DUMMYFUNCTION("""COMPUTED_VALUE"""),"ROMAN")</f>
        <v>ROMAN</v>
      </c>
      <c r="D58" s="54" t="str">
        <f>IFERROR(__xludf.DUMMYFUNCTION("""COMPUTED_VALUE"""),"XIMENA")</f>
        <v>XIMENA</v>
      </c>
      <c r="E58" s="154">
        <f>IFERROR(__xludf.DUMMYFUNCTION("""COMPUTED_VALUE"""),8.0)</f>
        <v>8</v>
      </c>
      <c r="F58" s="154">
        <f>IFERROR(__xludf.DUMMYFUNCTION("""COMPUTED_VALUE"""),2.0)</f>
        <v>2</v>
      </c>
      <c r="G58" s="154">
        <f>IFERROR(__xludf.DUMMYFUNCTION("""COMPUTED_VALUE"""),1.0)</f>
        <v>1</v>
      </c>
      <c r="H58" s="155">
        <f>IFERROR(__xludf.DUMMYFUNCTION("""COMPUTED_VALUE"""),11.0)</f>
        <v>11</v>
      </c>
      <c r="I58" s="161">
        <f>IFERROR(__xludf.DUMMYFUNCTION("""COMPUTED_VALUE"""),1.0)</f>
        <v>1</v>
      </c>
      <c r="J58" s="157">
        <f>IFERROR(__xludf.DUMMYFUNCTION("""COMPUTED_VALUE"""),10.0)</f>
        <v>10</v>
      </c>
      <c r="K58" s="156"/>
      <c r="L58" s="160">
        <f>IFERROR(__xludf.DUMMYFUNCTION("""COMPUTED_VALUE"""),11.0)</f>
        <v>11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3">
        <f>IFERROR(__xludf.DUMMYFUNCTION("""COMPUTED_VALUE"""),43.0)</f>
        <v>43</v>
      </c>
      <c r="B59" s="66" t="str">
        <f>IFERROR(__xludf.DUMMYFUNCTION("""COMPUTED_VALUE"""),"REYES")</f>
        <v>REYES</v>
      </c>
      <c r="C59" s="67" t="str">
        <f>IFERROR(__xludf.DUMMYFUNCTION("""COMPUTED_VALUE"""),"TREJO")</f>
        <v>TREJO</v>
      </c>
      <c r="D59" s="54" t="str">
        <f>IFERROR(__xludf.DUMMYFUNCTION("""COMPUTED_VALUE"""),"HUGO DASTAN")</f>
        <v>HUGO DASTAN</v>
      </c>
      <c r="E59" s="154">
        <f>IFERROR(__xludf.DUMMYFUNCTION("""COMPUTED_VALUE"""),5.6)</f>
        <v>5.6</v>
      </c>
      <c r="F59" s="154">
        <f>IFERROR(__xludf.DUMMYFUNCTION("""COMPUTED_VALUE"""),2.0)</f>
        <v>2</v>
      </c>
      <c r="G59" s="154">
        <f>IFERROR(__xludf.DUMMYFUNCTION("""COMPUTED_VALUE"""),1.0)</f>
        <v>1</v>
      </c>
      <c r="H59" s="155">
        <f>IFERROR(__xludf.DUMMYFUNCTION("""COMPUTED_VALUE"""),8.6)</f>
        <v>8.6</v>
      </c>
      <c r="I59" s="161">
        <f>IFERROR(__xludf.DUMMYFUNCTION("""COMPUTED_VALUE"""),0.0)</f>
        <v>0</v>
      </c>
      <c r="J59" s="157">
        <f>IFERROR(__xludf.DUMMYFUNCTION("""COMPUTED_VALUE"""),9.0)</f>
        <v>9</v>
      </c>
      <c r="K59" s="156"/>
      <c r="L59" s="160">
        <f>IFERROR(__xludf.DUMMYFUNCTION("""COMPUTED_VALUE"""),9.0)</f>
        <v>9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3">
        <f>IFERROR(__xludf.DUMMYFUNCTION("""COMPUTED_VALUE"""),44.0)</f>
        <v>44</v>
      </c>
      <c r="B60" s="70" t="str">
        <f>IFERROR(__xludf.DUMMYFUNCTION("""COMPUTED_VALUE"""),"RODRIGUEZ")</f>
        <v>RODRIGUEZ</v>
      </c>
      <c r="C60" s="53" t="str">
        <f>IFERROR(__xludf.DUMMYFUNCTION("""COMPUTED_VALUE"""),"ROSAS")</f>
        <v>ROSAS</v>
      </c>
      <c r="D60" s="54" t="str">
        <f>IFERROR(__xludf.DUMMYFUNCTION("""COMPUTED_VALUE"""),"XOCHITL")</f>
        <v>XOCHITL</v>
      </c>
      <c r="E60" s="154">
        <f>IFERROR(__xludf.DUMMYFUNCTION("""COMPUTED_VALUE"""),7.6)</f>
        <v>7.6</v>
      </c>
      <c r="F60" s="154">
        <f>IFERROR(__xludf.DUMMYFUNCTION("""COMPUTED_VALUE"""),2.0)</f>
        <v>2</v>
      </c>
      <c r="G60" s="154">
        <f>IFERROR(__xludf.DUMMYFUNCTION("""COMPUTED_VALUE"""),1.0)</f>
        <v>1</v>
      </c>
      <c r="H60" s="155">
        <f>IFERROR(__xludf.DUMMYFUNCTION("""COMPUTED_VALUE"""),10.6)</f>
        <v>10.6</v>
      </c>
      <c r="I60" s="161">
        <f>IFERROR(__xludf.DUMMYFUNCTION("""COMPUTED_VALUE"""),0.0)</f>
        <v>0</v>
      </c>
      <c r="J60" s="157">
        <f>IFERROR(__xludf.DUMMYFUNCTION("""COMPUTED_VALUE"""),10.0)</f>
        <v>10</v>
      </c>
      <c r="K60" s="156"/>
      <c r="L60" s="160">
        <f>IFERROR(__xludf.DUMMYFUNCTION("""COMPUTED_VALUE"""),11.0)</f>
        <v>11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3">
        <f>IFERROR(__xludf.DUMMYFUNCTION("""COMPUTED_VALUE"""),45.0)</f>
        <v>45</v>
      </c>
      <c r="B61" s="52" t="str">
        <f>IFERROR(__xludf.DUMMYFUNCTION("""COMPUTED_VALUE"""),"RUBIO")</f>
        <v>RUBIO</v>
      </c>
      <c r="C61" s="53" t="str">
        <f>IFERROR(__xludf.DUMMYFUNCTION("""COMPUTED_VALUE"""),"HERNANDEZ")</f>
        <v>HERNANDEZ</v>
      </c>
      <c r="D61" s="54" t="str">
        <f>IFERROR(__xludf.DUMMYFUNCTION("""COMPUTED_VALUE"""),"MACIEL ALEJANDRA")</f>
        <v>MACIEL ALEJANDRA</v>
      </c>
      <c r="E61" s="154">
        <f>IFERROR(__xludf.DUMMYFUNCTION("""COMPUTED_VALUE"""),8.0)</f>
        <v>8</v>
      </c>
      <c r="F61" s="154">
        <f>IFERROR(__xludf.DUMMYFUNCTION("""COMPUTED_VALUE"""),2.0)</f>
        <v>2</v>
      </c>
      <c r="G61" s="154">
        <f>IFERROR(__xludf.DUMMYFUNCTION("""COMPUTED_VALUE"""),1.0)</f>
        <v>1</v>
      </c>
      <c r="H61" s="155">
        <f>IFERROR(__xludf.DUMMYFUNCTION("""COMPUTED_VALUE"""),11.0)</f>
        <v>11</v>
      </c>
      <c r="I61" s="161">
        <f>IFERROR(__xludf.DUMMYFUNCTION("""COMPUTED_VALUE"""),0.0)</f>
        <v>0</v>
      </c>
      <c r="J61" s="157">
        <f>IFERROR(__xludf.DUMMYFUNCTION("""COMPUTED_VALUE"""),10.0)</f>
        <v>10</v>
      </c>
      <c r="K61" s="156"/>
      <c r="L61" s="160">
        <f>IFERROR(__xludf.DUMMYFUNCTION("""COMPUTED_VALUE"""),11.0)</f>
        <v>11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3">
        <f>IFERROR(__xludf.DUMMYFUNCTION("""COMPUTED_VALUE"""),46.0)</f>
        <v>46</v>
      </c>
      <c r="B62" s="70" t="str">
        <f>IFERROR(__xludf.DUMMYFUNCTION("""COMPUTED_VALUE"""),"SANTANA")</f>
        <v>SANTANA</v>
      </c>
      <c r="C62" s="53" t="str">
        <f>IFERROR(__xludf.DUMMYFUNCTION("""COMPUTED_VALUE"""),"LARA")</f>
        <v>LARA</v>
      </c>
      <c r="D62" s="54" t="str">
        <f>IFERROR(__xludf.DUMMYFUNCTION("""COMPUTED_VALUE"""),"IRVING WILLIAM")</f>
        <v>IRVING WILLIAM</v>
      </c>
      <c r="E62" s="154">
        <f>IFERROR(__xludf.DUMMYFUNCTION("""COMPUTED_VALUE"""),6.8)</f>
        <v>6.8</v>
      </c>
      <c r="F62" s="154">
        <f>IFERROR(__xludf.DUMMYFUNCTION("""COMPUTED_VALUE"""),2.0)</f>
        <v>2</v>
      </c>
      <c r="G62" s="154">
        <f>IFERROR(__xludf.DUMMYFUNCTION("""COMPUTED_VALUE"""),0.0)</f>
        <v>0</v>
      </c>
      <c r="H62" s="155">
        <f>IFERROR(__xludf.DUMMYFUNCTION("""COMPUTED_VALUE"""),8.8)</f>
        <v>8.8</v>
      </c>
      <c r="I62" s="161">
        <f>IFERROR(__xludf.DUMMYFUNCTION("""COMPUTED_VALUE"""),2.0)</f>
        <v>2</v>
      </c>
      <c r="J62" s="157">
        <f>IFERROR(__xludf.DUMMYFUNCTION("""COMPUTED_VALUE"""),9.0)</f>
        <v>9</v>
      </c>
      <c r="K62" s="156"/>
      <c r="L62" s="160">
        <f>IFERROR(__xludf.DUMMYFUNCTION("""COMPUTED_VALUE"""),9.0)</f>
        <v>9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3">
        <f>IFERROR(__xludf.DUMMYFUNCTION("""COMPUTED_VALUE"""),47.0)</f>
        <v>47</v>
      </c>
      <c r="B63" s="70" t="str">
        <f>IFERROR(__xludf.DUMMYFUNCTION("""COMPUTED_VALUE"""),"SANTILLAN")</f>
        <v>SANTILLAN</v>
      </c>
      <c r="C63" s="53" t="str">
        <f>IFERROR(__xludf.DUMMYFUNCTION("""COMPUTED_VALUE"""),"GONZALEZ")</f>
        <v>GONZALEZ</v>
      </c>
      <c r="D63" s="54" t="str">
        <f>IFERROR(__xludf.DUMMYFUNCTION("""COMPUTED_VALUE"""),"JAZMIN")</f>
        <v>JAZMIN</v>
      </c>
      <c r="E63" s="154">
        <f>IFERROR(__xludf.DUMMYFUNCTION("""COMPUTED_VALUE"""),6.0)</f>
        <v>6</v>
      </c>
      <c r="F63" s="154">
        <f>IFERROR(__xludf.DUMMYFUNCTION("""COMPUTED_VALUE"""),2.0)</f>
        <v>2</v>
      </c>
      <c r="G63" s="154">
        <f>IFERROR(__xludf.DUMMYFUNCTION("""COMPUTED_VALUE"""),1.0)</f>
        <v>1</v>
      </c>
      <c r="H63" s="155">
        <f>IFERROR(__xludf.DUMMYFUNCTION("""COMPUTED_VALUE"""),9.0)</f>
        <v>9</v>
      </c>
      <c r="I63" s="161">
        <f>IFERROR(__xludf.DUMMYFUNCTION("""COMPUTED_VALUE"""),0.0)</f>
        <v>0</v>
      </c>
      <c r="J63" s="157">
        <f>IFERROR(__xludf.DUMMYFUNCTION("""COMPUTED_VALUE"""),9.0)</f>
        <v>9</v>
      </c>
      <c r="K63" s="156"/>
      <c r="L63" s="160">
        <f>IFERROR(__xludf.DUMMYFUNCTION("""COMPUTED_VALUE"""),9.0)</f>
        <v>9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53">
        <f>IFERROR(__xludf.DUMMYFUNCTION("""COMPUTED_VALUE"""),48.0)</f>
        <v>48</v>
      </c>
      <c r="B64" s="70" t="str">
        <f>IFERROR(__xludf.DUMMYFUNCTION("""COMPUTED_VALUE"""),"SUAREZ")</f>
        <v>SUAREZ</v>
      </c>
      <c r="C64" s="53" t="str">
        <f>IFERROR(__xludf.DUMMYFUNCTION("""COMPUTED_VALUE"""),"MUÑOZ")</f>
        <v>MUÑOZ</v>
      </c>
      <c r="D64" s="54" t="str">
        <f>IFERROR(__xludf.DUMMYFUNCTION("""COMPUTED_VALUE"""),"ALDO YAEL")</f>
        <v>ALDO YAEL</v>
      </c>
      <c r="E64" s="154">
        <f>IFERROR(__xludf.DUMMYFUNCTION("""COMPUTED_VALUE"""),6.8)</f>
        <v>6.8</v>
      </c>
      <c r="F64" s="154">
        <f>IFERROR(__xludf.DUMMYFUNCTION("""COMPUTED_VALUE"""),2.0)</f>
        <v>2</v>
      </c>
      <c r="G64" s="154">
        <f>IFERROR(__xludf.DUMMYFUNCTION("""COMPUTED_VALUE"""),1.0)</f>
        <v>1</v>
      </c>
      <c r="H64" s="155">
        <f>IFERROR(__xludf.DUMMYFUNCTION("""COMPUTED_VALUE"""),9.8)</f>
        <v>9.8</v>
      </c>
      <c r="I64" s="161">
        <f>IFERROR(__xludf.DUMMYFUNCTION("""COMPUTED_VALUE"""),2.0)</f>
        <v>2</v>
      </c>
      <c r="J64" s="157">
        <f>IFERROR(__xludf.DUMMYFUNCTION("""COMPUTED_VALUE"""),10.0)</f>
        <v>10</v>
      </c>
      <c r="K64" s="156"/>
      <c r="L64" s="160">
        <f>IFERROR(__xludf.DUMMYFUNCTION("""COMPUTED_VALUE"""),10.0)</f>
        <v>10</v>
      </c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53">
        <f>IFERROR(__xludf.DUMMYFUNCTION("""COMPUTED_VALUE"""),49.0)</f>
        <v>49</v>
      </c>
      <c r="B65" s="70" t="str">
        <f>IFERROR(__xludf.DUMMYFUNCTION("""COMPUTED_VALUE"""),"TORRES")</f>
        <v>TORRES</v>
      </c>
      <c r="C65" s="53" t="str">
        <f>IFERROR(__xludf.DUMMYFUNCTION("""COMPUTED_VALUE"""),"DE LEON")</f>
        <v>DE LEON</v>
      </c>
      <c r="D65" s="66" t="str">
        <f>IFERROR(__xludf.DUMMYFUNCTION("""COMPUTED_VALUE"""),"AMAIRANI")</f>
        <v>AMAIRANI</v>
      </c>
      <c r="E65" s="154">
        <f>IFERROR(__xludf.DUMMYFUNCTION("""COMPUTED_VALUE"""),8.0)</f>
        <v>8</v>
      </c>
      <c r="F65" s="154">
        <f>IFERROR(__xludf.DUMMYFUNCTION("""COMPUTED_VALUE"""),2.0)</f>
        <v>2</v>
      </c>
      <c r="G65" s="154">
        <f>IFERROR(__xludf.DUMMYFUNCTION("""COMPUTED_VALUE"""),1.0)</f>
        <v>1</v>
      </c>
      <c r="H65" s="155">
        <f>IFERROR(__xludf.DUMMYFUNCTION("""COMPUTED_VALUE"""),11.0)</f>
        <v>11</v>
      </c>
      <c r="I65" s="161">
        <f>IFERROR(__xludf.DUMMYFUNCTION("""COMPUTED_VALUE"""),0.0)</f>
        <v>0</v>
      </c>
      <c r="J65" s="157">
        <f>IFERROR(__xludf.DUMMYFUNCTION("""COMPUTED_VALUE"""),10.0)</f>
        <v>10</v>
      </c>
      <c r="K65" s="156"/>
      <c r="L65" s="160">
        <f>IFERROR(__xludf.DUMMYFUNCTION("""COMPUTED_VALUE"""),11.0)</f>
        <v>11</v>
      </c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53">
        <f>IFERROR(__xludf.DUMMYFUNCTION("""COMPUTED_VALUE"""),50.0)</f>
        <v>50</v>
      </c>
      <c r="B66" s="70" t="str">
        <f>IFERROR(__xludf.DUMMYFUNCTION("""COMPUTED_VALUE"""),"VALDEZ")</f>
        <v>VALDEZ</v>
      </c>
      <c r="C66" s="53" t="str">
        <f>IFERROR(__xludf.DUMMYFUNCTION("""COMPUTED_VALUE"""),"ROBLES")</f>
        <v>ROBLES</v>
      </c>
      <c r="D66" s="66" t="str">
        <f>IFERROR(__xludf.DUMMYFUNCTION("""COMPUTED_VALUE"""),"OSCAR YAEL")</f>
        <v>OSCAR YAEL</v>
      </c>
      <c r="E66" s="154">
        <f>IFERROR(__xludf.DUMMYFUNCTION("""COMPUTED_VALUE"""),7.2)</f>
        <v>7.2</v>
      </c>
      <c r="F66" s="154">
        <f>IFERROR(__xludf.DUMMYFUNCTION("""COMPUTED_VALUE"""),2.0)</f>
        <v>2</v>
      </c>
      <c r="G66" s="154">
        <f>IFERROR(__xludf.DUMMYFUNCTION("""COMPUTED_VALUE"""),1.0)</f>
        <v>1</v>
      </c>
      <c r="H66" s="155">
        <f>IFERROR(__xludf.DUMMYFUNCTION("""COMPUTED_VALUE"""),10.2)</f>
        <v>10.2</v>
      </c>
      <c r="I66" s="161">
        <f>IFERROR(__xludf.DUMMYFUNCTION("""COMPUTED_VALUE"""),0.0)</f>
        <v>0</v>
      </c>
      <c r="J66" s="157">
        <f>IFERROR(__xludf.DUMMYFUNCTION("""COMPUTED_VALUE"""),10.0)</f>
        <v>10</v>
      </c>
      <c r="K66" s="156"/>
      <c r="L66" s="160">
        <f>IFERROR(__xludf.DUMMYFUNCTION("""COMPUTED_VALUE"""),10.0)</f>
        <v>10</v>
      </c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53">
        <f>IFERROR(__xludf.DUMMYFUNCTION("""COMPUTED_VALUE"""),51.0)</f>
        <v>51</v>
      </c>
      <c r="B67" s="70" t="str">
        <f>IFERROR(__xludf.DUMMYFUNCTION("""COMPUTED_VALUE"""),"VARGAS")</f>
        <v>VARGAS</v>
      </c>
      <c r="C67" s="53" t="str">
        <f>IFERROR(__xludf.DUMMYFUNCTION("""COMPUTED_VALUE"""),"SANTOS")</f>
        <v>SANTOS</v>
      </c>
      <c r="D67" s="117" t="str">
        <f>IFERROR(__xludf.DUMMYFUNCTION("""COMPUTED_VALUE"""),"JATZIRI VANESSA")</f>
        <v>JATZIRI VANESSA</v>
      </c>
      <c r="E67" s="154">
        <f>IFERROR(__xludf.DUMMYFUNCTION("""COMPUTED_VALUE"""),8.0)</f>
        <v>8</v>
      </c>
      <c r="F67" s="154">
        <f>IFERROR(__xludf.DUMMYFUNCTION("""COMPUTED_VALUE"""),2.0)</f>
        <v>2</v>
      </c>
      <c r="G67" s="154">
        <f>IFERROR(__xludf.DUMMYFUNCTION("""COMPUTED_VALUE"""),1.0)</f>
        <v>1</v>
      </c>
      <c r="H67" s="155">
        <f>IFERROR(__xludf.DUMMYFUNCTION("""COMPUTED_VALUE"""),11.0)</f>
        <v>11</v>
      </c>
      <c r="I67" s="161">
        <f>IFERROR(__xludf.DUMMYFUNCTION("""COMPUTED_VALUE"""),1.0)</f>
        <v>1</v>
      </c>
      <c r="J67" s="157">
        <f>IFERROR(__xludf.DUMMYFUNCTION("""COMPUTED_VALUE"""),10.0)</f>
        <v>10</v>
      </c>
      <c r="K67" s="156"/>
      <c r="L67" s="160">
        <f>IFERROR(__xludf.DUMMYFUNCTION("""COMPUTED_VALUE"""),11.0)</f>
        <v>11</v>
      </c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53">
        <f>IFERROR(__xludf.DUMMYFUNCTION("""COMPUTED_VALUE"""),52.0)</f>
        <v>52</v>
      </c>
      <c r="B68" s="70" t="str">
        <f>IFERROR(__xludf.DUMMYFUNCTION("""COMPUTED_VALUE"""),"VELAZQUEZ")</f>
        <v>VELAZQUEZ</v>
      </c>
      <c r="C68" s="53" t="str">
        <f>IFERROR(__xludf.DUMMYFUNCTION("""COMPUTED_VALUE"""),"FIGUEROA")</f>
        <v>FIGUEROA</v>
      </c>
      <c r="D68" s="117" t="str">
        <f>IFERROR(__xludf.DUMMYFUNCTION("""COMPUTED_VALUE"""),"DANAE PAOLA")</f>
        <v>DANAE PAOLA</v>
      </c>
      <c r="E68" s="154">
        <f>IFERROR(__xludf.DUMMYFUNCTION("""COMPUTED_VALUE"""),8.0)</f>
        <v>8</v>
      </c>
      <c r="F68" s="154">
        <f>IFERROR(__xludf.DUMMYFUNCTION("""COMPUTED_VALUE"""),2.0)</f>
        <v>2</v>
      </c>
      <c r="G68" s="154">
        <f>IFERROR(__xludf.DUMMYFUNCTION("""COMPUTED_VALUE"""),0.0)</f>
        <v>0</v>
      </c>
      <c r="H68" s="155">
        <f>IFERROR(__xludf.DUMMYFUNCTION("""COMPUTED_VALUE"""),10.0)</f>
        <v>10</v>
      </c>
      <c r="I68" s="161">
        <f>IFERROR(__xludf.DUMMYFUNCTION("""COMPUTED_VALUE"""),1.0)</f>
        <v>1</v>
      </c>
      <c r="J68" s="157">
        <f>IFERROR(__xludf.DUMMYFUNCTION("""COMPUTED_VALUE"""),10.0)</f>
        <v>10</v>
      </c>
      <c r="K68" s="156"/>
      <c r="L68" s="160">
        <f>IFERROR(__xludf.DUMMYFUNCTION("""COMPUTED_VALUE"""),10.0)</f>
        <v>10</v>
      </c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24.75" customHeight="1">
      <c r="A69" s="153">
        <f>IFERROR(__xludf.DUMMYFUNCTION("""COMPUTED_VALUE"""),53.0)</f>
        <v>53</v>
      </c>
      <c r="B69" s="70" t="str">
        <f>IFERROR(__xludf.DUMMYFUNCTION("""COMPUTED_VALUE"""),"VENEGAS")</f>
        <v>VENEGAS</v>
      </c>
      <c r="C69" s="53" t="str">
        <f>IFERROR(__xludf.DUMMYFUNCTION("""COMPUTED_VALUE"""),"GONZALEZ")</f>
        <v>GONZALEZ</v>
      </c>
      <c r="D69" s="66" t="str">
        <f>IFERROR(__xludf.DUMMYFUNCTION("""COMPUTED_VALUE"""),"SANTIAGO")</f>
        <v>SANTIAGO</v>
      </c>
      <c r="E69" s="154">
        <f>IFERROR(__xludf.DUMMYFUNCTION("""COMPUTED_VALUE"""),6.8)</f>
        <v>6.8</v>
      </c>
      <c r="F69" s="154">
        <f>IFERROR(__xludf.DUMMYFUNCTION("""COMPUTED_VALUE"""),2.0)</f>
        <v>2</v>
      </c>
      <c r="G69" s="154">
        <f>IFERROR(__xludf.DUMMYFUNCTION("""COMPUTED_VALUE"""),1.0)</f>
        <v>1</v>
      </c>
      <c r="H69" s="155">
        <f>IFERROR(__xludf.DUMMYFUNCTION("""COMPUTED_VALUE"""),9.8)</f>
        <v>9.8</v>
      </c>
      <c r="I69" s="161">
        <f>IFERROR(__xludf.DUMMYFUNCTION("""COMPUTED_VALUE"""),0.0)</f>
        <v>0</v>
      </c>
      <c r="J69" s="157">
        <f>IFERROR(__xludf.DUMMYFUNCTION("""COMPUTED_VALUE"""),10.0)</f>
        <v>10</v>
      </c>
      <c r="K69" s="156"/>
      <c r="L69" s="160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4.75" customHeight="1">
      <c r="A70" s="153">
        <f>IFERROR(__xludf.DUMMYFUNCTION("""COMPUTED_VALUE"""),54.0)</f>
        <v>54</v>
      </c>
      <c r="B70" s="70" t="str">
        <f>IFERROR(__xludf.DUMMYFUNCTION("""COMPUTED_VALUE"""),"ZAMORA")</f>
        <v>ZAMORA</v>
      </c>
      <c r="C70" s="53" t="str">
        <f>IFERROR(__xludf.DUMMYFUNCTION("""COMPUTED_VALUE"""),"SEPULVEDA")</f>
        <v>SEPULVEDA</v>
      </c>
      <c r="D70" s="66" t="str">
        <f>IFERROR(__xludf.DUMMYFUNCTION("""COMPUTED_VALUE"""),"SEBASTIAN")</f>
        <v>SEBASTIAN</v>
      </c>
      <c r="E70" s="154">
        <f>IFERROR(__xludf.DUMMYFUNCTION("""COMPUTED_VALUE"""),6.0)</f>
        <v>6</v>
      </c>
      <c r="F70" s="154">
        <f>IFERROR(__xludf.DUMMYFUNCTION("""COMPUTED_VALUE"""),2.0)</f>
        <v>2</v>
      </c>
      <c r="G70" s="154">
        <f>IFERROR(__xludf.DUMMYFUNCTION("""COMPUTED_VALUE"""),0.0)</f>
        <v>0</v>
      </c>
      <c r="H70" s="155">
        <f>IFERROR(__xludf.DUMMYFUNCTION("""COMPUTED_VALUE"""),8.0)</f>
        <v>8</v>
      </c>
      <c r="I70" s="161">
        <f>IFERROR(__xludf.DUMMYFUNCTION("""COMPUTED_VALUE"""),1.0)</f>
        <v>1</v>
      </c>
      <c r="J70" s="157">
        <f>IFERROR(__xludf.DUMMYFUNCTION("""COMPUTED_VALUE"""),8.0)</f>
        <v>8</v>
      </c>
      <c r="K70" s="156"/>
      <c r="L70" s="162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21.75" customHeight="1">
      <c r="A71" s="163"/>
      <c r="B71" s="132"/>
      <c r="C71" s="132"/>
      <c r="D71" s="127"/>
      <c r="E71" s="127"/>
      <c r="F71" s="127"/>
      <c r="G71" s="127"/>
      <c r="H71" s="127"/>
      <c r="I71" s="127"/>
      <c r="J71" s="121"/>
      <c r="K71" s="128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64"/>
      <c r="B72" s="165" t="str">
        <f>IFERROR(__xludf.DUMMYFUNCTION("""COMPUTED_VALUE"""),"No. DE ALUMNOS INSCRITOS")</f>
        <v>No. DE ALUMNOS INSCRITOS</v>
      </c>
      <c r="C72" s="76"/>
      <c r="D72" s="166">
        <f>IFERROR(__xludf.DUMMYFUNCTION("""COMPUTED_VALUE"""),54.0)</f>
        <v>54</v>
      </c>
      <c r="E72" s="127"/>
      <c r="F72" s="167" t="str">
        <f>IFERROR(__xludf.DUMMYFUNCTION("""COMPUTED_VALUE"""),"FIRMA DEL PROFESOR")</f>
        <v>FIRMA DEL PROFESOR</v>
      </c>
      <c r="G72" s="127"/>
      <c r="H72" s="167" t="str">
        <f>IFERROR(__xludf.DUMMYFUNCTION("""COMPUTED_VALUE"""),"FIRMA DEL ORIENTADOR")</f>
        <v>FIRMA DEL ORIENTADOR</v>
      </c>
      <c r="J72" s="168" t="str">
        <f>IFERROR(__xludf.DUMMYFUNCTION("""COMPUTED_VALUE"""),"Vo. Bo. SUBDIRECCIÓN ESCOLAR")</f>
        <v>Vo. Bo. SUBDIRECCIÓN ESCOLAR</v>
      </c>
      <c r="K72" s="169" t="str">
        <f>IFERROR(__xludf.DUMMYFUNCTION("""COMPUTED_VALUE"""),"REVISADO POR SECRETARIA ESCOLAR ")</f>
        <v>REVISADO POR SECRETARIA ESCOLAR </v>
      </c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64"/>
      <c r="B73" s="170" t="str">
        <f>IFERROR(__xludf.DUMMYFUNCTION("""COMPUTED_VALUE"""),"BAJAS DURANTE EL SEMESTRE")</f>
        <v>BAJAS DURANTE EL SEMESTRE</v>
      </c>
      <c r="C73" s="83"/>
      <c r="D73" s="171">
        <f>IFERROR(__xludf.DUMMYFUNCTION("""COMPUTED_VALUE"""),0.0)</f>
        <v>0</v>
      </c>
      <c r="E73" s="127"/>
      <c r="G73" s="127"/>
      <c r="K73" s="10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64"/>
      <c r="B74" s="170" t="str">
        <f>IFERROR(__xludf.DUMMYFUNCTION("""COMPUTED_VALUE"""),"EXISTENCIA")</f>
        <v>EXISTENCIA</v>
      </c>
      <c r="C74" s="83"/>
      <c r="D74" s="172">
        <f>IFERROR(__xludf.DUMMYFUNCTION("""COMPUTED_VALUE"""),54.0)</f>
        <v>54</v>
      </c>
      <c r="E74" s="127"/>
      <c r="F74" s="127"/>
      <c r="G74" s="127"/>
      <c r="H74" s="127"/>
      <c r="I74" s="127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1.75" customHeight="1">
      <c r="A75" s="164"/>
      <c r="B75" s="170" t="str">
        <f>IFERROR(__xludf.DUMMYFUNCTION("""COMPUTED_VALUE"""),"No. DE ALUMNOS APROBADOS")</f>
        <v>No. DE ALUMNOS APROBADOS</v>
      </c>
      <c r="C75" s="83"/>
      <c r="D75" s="172">
        <f>IFERROR(__xludf.DUMMYFUNCTION("""COMPUTED_VALUE"""),54.0)</f>
        <v>54</v>
      </c>
      <c r="E75" s="127"/>
      <c r="F75" s="127"/>
      <c r="G75" s="127"/>
      <c r="H75" s="127"/>
      <c r="I75" s="127"/>
      <c r="J75" s="121"/>
      <c r="K75" s="128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7.75" customHeight="1">
      <c r="A76" s="164"/>
      <c r="B76" s="170" t="str">
        <f>IFERROR(__xludf.DUMMYFUNCTION("""COMPUTED_VALUE"""),"No. DE ALUMNOS REPROBADOS")</f>
        <v>No. DE ALUMNOS REPROBADOS</v>
      </c>
      <c r="C76" s="83"/>
      <c r="D76" s="172">
        <f>IFERROR(__xludf.DUMMYFUNCTION("""COMPUTED_VALUE"""),0.0)</f>
        <v>0</v>
      </c>
      <c r="E76" s="127"/>
      <c r="F76" s="173"/>
      <c r="G76" s="127"/>
      <c r="H76" s="173"/>
      <c r="I76" s="173"/>
      <c r="J76" s="174"/>
      <c r="K76" s="175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21.75" customHeight="1">
      <c r="A77" s="164"/>
      <c r="B77" s="176" t="str">
        <f>IFERROR(__xludf.DUMMYFUNCTION("""COMPUTED_VALUE"""),"% DE APROBADOS")</f>
        <v>% DE APROBADOS</v>
      </c>
      <c r="C77" s="83"/>
      <c r="D77" s="177">
        <f>IFERROR(__xludf.DUMMYFUNCTION("""COMPUTED_VALUE"""),100.0)</f>
        <v>100</v>
      </c>
      <c r="E77" s="127"/>
      <c r="F77" s="178" t="str">
        <f>IFERROR(__xludf.DUMMYFUNCTION("""COMPUTED_VALUE"""),"PROFR. ")</f>
        <v>PROFR. </v>
      </c>
      <c r="G77" s="130"/>
      <c r="H77" s="96" t="str">
        <f>IFERROR(__xludf.DUMMYFUNCTION("""COMPUTED_VALUE"""),"PROFRA. SANDRA DIAZ CAMARENA")</f>
        <v>PROFRA. SANDRA DIAZ CAMARENA</v>
      </c>
      <c r="J77" s="179" t="str">
        <f>IFERROR(__xludf.DUMMYFUNCTION("""COMPUTED_VALUE"""),"PROFR. OCTAVIO VÁZQUEZ BARRETO")</f>
        <v>PROFR. OCTAVIO VÁZQUEZ BARRETO</v>
      </c>
      <c r="K77" s="180" t="str">
        <f>IFERROR(__xludf.DUMMYFUNCTION("""COMPUTED_VALUE"""),"PROFR. ROBERTO PALOMARES MEJÍA ")</f>
        <v>PROFR. ROBERTO PALOMARES MEJÍA </v>
      </c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13.5" customHeight="1">
      <c r="A78" s="121"/>
      <c r="B78" s="181" t="str">
        <f>IFERROR(__xludf.DUMMYFUNCTION("""COMPUTED_VALUE"""),"PROMEDIO")</f>
        <v>PROMEDIO</v>
      </c>
      <c r="C78" s="100"/>
      <c r="D78" s="182">
        <f>IFERROR(__xludf.DUMMYFUNCTION("""COMPUTED_VALUE"""),9.444444444444445)</f>
        <v>9.444444444</v>
      </c>
      <c r="E78" s="127"/>
      <c r="G78" s="130"/>
      <c r="K78" s="10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6"/>
      <c r="B79" s="121"/>
      <c r="C79" s="121"/>
      <c r="D79" s="121"/>
      <c r="E79" s="121"/>
      <c r="F79" s="121"/>
      <c r="G79" s="121"/>
      <c r="H79" s="121"/>
      <c r="I79" s="121"/>
      <c r="J79" s="121"/>
      <c r="K79" s="128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83"/>
      <c r="B80" s="184"/>
      <c r="C80" s="185"/>
      <c r="D80" s="185"/>
      <c r="E80" s="127"/>
      <c r="G80" s="127"/>
      <c r="H80" s="127"/>
      <c r="I80" s="127"/>
      <c r="J80" s="127"/>
      <c r="K80" s="186"/>
      <c r="L80" s="127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87"/>
      <c r="B81" s="127"/>
      <c r="C81" s="127"/>
      <c r="D81" s="127"/>
      <c r="E81" s="127"/>
      <c r="F81" s="121"/>
      <c r="G81" s="121"/>
      <c r="H81" s="121"/>
      <c r="I81" s="121"/>
      <c r="J81" s="121"/>
      <c r="K81" s="128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3.5" customHeight="1">
      <c r="A82" s="187"/>
      <c r="B82" s="127"/>
      <c r="C82" s="127"/>
      <c r="D82" s="127"/>
      <c r="E82" s="127"/>
      <c r="F82" s="121"/>
      <c r="G82" s="121"/>
      <c r="H82" s="121"/>
      <c r="I82" s="121"/>
      <c r="J82" s="121"/>
      <c r="K82" s="128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4.25" customHeight="1">
      <c r="A83" s="188"/>
      <c r="B83" s="189"/>
      <c r="C83" s="189"/>
      <c r="D83" s="189"/>
      <c r="E83" s="189"/>
      <c r="F83" s="190"/>
      <c r="G83" s="190"/>
      <c r="H83" s="190"/>
      <c r="I83" s="190"/>
      <c r="J83" s="190"/>
      <c r="K83" s="19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30"/>
      <c r="K84" s="130"/>
      <c r="L84" s="130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30"/>
      <c r="K85" s="130"/>
      <c r="L85" s="130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30"/>
      <c r="K86" s="130"/>
      <c r="L86" s="130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30"/>
      <c r="K87" s="130"/>
      <c r="L87" s="130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92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7"/>
      <c r="C89" s="127"/>
      <c r="D89" s="127"/>
      <c r="E89" s="127"/>
      <c r="F89" s="121"/>
      <c r="G89" s="121"/>
      <c r="H89" s="121"/>
      <c r="I89" s="121"/>
      <c r="J89" s="121"/>
      <c r="K89" s="192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7"/>
      <c r="C90" s="127"/>
      <c r="D90" s="127"/>
      <c r="E90" s="127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7"/>
      <c r="C91" s="127"/>
      <c r="D91" s="127"/>
      <c r="E91" s="127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7"/>
      <c r="C92" s="127"/>
      <c r="D92" s="127"/>
      <c r="E92" s="127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7"/>
      <c r="C93" s="127"/>
      <c r="D93" s="127"/>
      <c r="E93" s="127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4.25" customHeight="1">
      <c r="A94" s="121"/>
      <c r="B94" s="127"/>
      <c r="C94" s="127"/>
      <c r="D94" s="127"/>
      <c r="E94" s="127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3.5" customHeight="1">
      <c r="A95" s="121"/>
      <c r="B95" s="127"/>
      <c r="C95" s="127"/>
      <c r="D95" s="127"/>
      <c r="E95" s="127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</row>
    <row r="277" ht="13.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</row>
    <row r="289" ht="15.75" customHeight="1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</row>
    <row r="290" ht="15.75" customHeight="1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</row>
    <row r="291" ht="15.75" customHeight="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</row>
    <row r="292" ht="15.75" customHeight="1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</row>
    <row r="293" ht="15.75" customHeight="1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</row>
    <row r="294" ht="15.75" customHeight="1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</row>
    <row r="295" ht="15.75" customHeight="1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</row>
    <row r="296" ht="15.75" customHeight="1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</row>
    <row r="297" ht="15.75" customHeight="1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</row>
    <row r="298" ht="15.75" customHeight="1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</row>
    <row r="299" ht="15.75" customHeight="1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</row>
    <row r="300" ht="15.75" customHeight="1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</row>
    <row r="301" ht="15.75" customHeight="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</row>
    <row r="302" ht="15.75" customHeight="1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</row>
    <row r="303" ht="15.75" customHeight="1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</row>
    <row r="304" ht="15.75" customHeight="1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</row>
    <row r="305" ht="15.75" customHeight="1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</row>
    <row r="306" ht="15.75" customHeight="1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</row>
    <row r="307" ht="15.75" customHeight="1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</row>
    <row r="308" ht="15.75" customHeight="1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</row>
    <row r="309" ht="15.75" customHeight="1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</row>
    <row r="310" ht="15.75" customHeight="1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</row>
    <row r="311" ht="15.75" customHeight="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</row>
    <row r="312" ht="15.75" customHeight="1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</row>
    <row r="313" ht="15.75" customHeight="1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</row>
    <row r="314" ht="15.75" customHeight="1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</row>
    <row r="315" ht="15.75" customHeight="1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</row>
    <row r="316" ht="15.75" customHeight="1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</row>
    <row r="317" ht="15.75" customHeight="1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</row>
    <row r="318" ht="15.75" customHeight="1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</row>
    <row r="319" ht="15.75" customHeight="1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</row>
    <row r="320" ht="15.75" customHeight="1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</row>
    <row r="321" ht="15.75" customHeight="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</row>
    <row r="322" ht="15.75" customHeight="1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</row>
    <row r="323" ht="15.75" customHeight="1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</row>
    <row r="324" ht="15.75" customHeight="1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</row>
    <row r="325" ht="15.75" customHeight="1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</row>
    <row r="326" ht="15.75" customHeight="1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</row>
    <row r="327" ht="15.75" customHeight="1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</row>
    <row r="328" ht="15.75" customHeight="1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</row>
    <row r="329" ht="15.75" customHeight="1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</row>
    <row r="330" ht="15.75" customHeight="1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</row>
    <row r="331" ht="15.75" customHeight="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</row>
    <row r="332" ht="15.75" customHeight="1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</row>
    <row r="333" ht="15.75" customHeight="1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</row>
    <row r="334" ht="15.75" customHeight="1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</row>
    <row r="335" ht="15.75" customHeight="1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</row>
    <row r="336" ht="15.75" customHeight="1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</row>
    <row r="337" ht="15.75" customHeight="1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</row>
    <row r="338" ht="15.75" customHeight="1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</row>
    <row r="339" ht="15.75" customHeight="1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</row>
    <row r="340" ht="15.75" customHeight="1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</row>
    <row r="341" ht="15.75" customHeight="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</row>
    <row r="342" ht="15.75" customHeight="1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</row>
    <row r="343" ht="15.75" customHeight="1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</row>
    <row r="344" ht="15.75" customHeight="1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</row>
    <row r="345" ht="15.75" customHeight="1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</row>
    <row r="346" ht="15.75" customHeight="1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</row>
    <row r="347" ht="15.75" customHeight="1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</row>
    <row r="348" ht="15.75" customHeight="1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</row>
    <row r="349" ht="15.75" customHeight="1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</row>
    <row r="350" ht="15.75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</row>
    <row r="351" ht="15.75" customHeight="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</row>
    <row r="352" ht="15.75" customHeight="1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</row>
    <row r="353" ht="15.75" customHeight="1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</row>
    <row r="354" ht="15.75" customHeight="1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</row>
    <row r="355" ht="15.75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</row>
    <row r="356" ht="15.75" customHeight="1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</row>
    <row r="357" ht="15.75" customHeight="1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</row>
    <row r="358" ht="15.75" customHeight="1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</row>
    <row r="359" ht="15.75" customHeight="1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</row>
    <row r="360" ht="15.75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</row>
    <row r="361" ht="15.75" customHeight="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</row>
    <row r="362" ht="15.75" customHeight="1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</row>
    <row r="363" ht="15.75" customHeight="1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</row>
    <row r="364" ht="15.75" customHeight="1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</row>
    <row r="365" ht="15.75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</row>
    <row r="366" ht="15.75" customHeight="1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</row>
    <row r="367" ht="15.75" customHeight="1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</row>
    <row r="368" ht="15.75" customHeight="1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</row>
    <row r="369" ht="15.75" customHeight="1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</row>
    <row r="370" ht="15.75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</row>
    <row r="371" ht="15.75" customHeight="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</row>
    <row r="372" ht="15.75" customHeight="1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</row>
    <row r="373" ht="15.75" customHeight="1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</row>
    <row r="374" ht="15.75" customHeight="1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</row>
    <row r="375" ht="15.75" customHeight="1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</row>
    <row r="376" ht="15.75" customHeight="1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</row>
    <row r="377" ht="15.75" customHeight="1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</row>
    <row r="378" ht="15.75" customHeight="1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</row>
    <row r="379" ht="15.75" customHeight="1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</row>
    <row r="380" ht="15.75" customHeight="1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</row>
    <row r="381" ht="15.75" customHeight="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</row>
    <row r="382" ht="15.75" customHeight="1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</row>
    <row r="383" ht="15.75" customHeight="1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</row>
    <row r="384" ht="15.75" customHeight="1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</row>
    <row r="385" ht="15.75" customHeight="1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</row>
    <row r="386" ht="15.75" customHeight="1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</row>
    <row r="387" ht="15.75" customHeight="1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</row>
    <row r="388" ht="15.75" customHeight="1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</row>
    <row r="389" ht="15.75" customHeight="1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</row>
    <row r="390" ht="15.75" customHeight="1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</row>
    <row r="391" ht="15.75" customHeight="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</row>
    <row r="392" ht="15.75" customHeight="1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</row>
    <row r="393" ht="15.75" customHeight="1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</row>
    <row r="394" ht="15.75" customHeight="1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</row>
    <row r="395" ht="15.75" customHeight="1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</row>
    <row r="396" ht="15.75" customHeight="1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</row>
    <row r="397" ht="15.75" customHeight="1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</row>
    <row r="398" ht="15.75" customHeight="1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</row>
    <row r="399" ht="15.75" customHeight="1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</row>
    <row r="400" ht="15.75" customHeight="1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</row>
    <row r="401" ht="15.75" customHeight="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</row>
    <row r="402" ht="15.75" customHeight="1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</row>
    <row r="403" ht="15.75" customHeight="1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</row>
    <row r="404" ht="15.75" customHeight="1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</row>
    <row r="405" ht="15.75" customHeight="1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</row>
    <row r="406" ht="15.75" customHeight="1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</row>
    <row r="407" ht="15.75" customHeight="1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</row>
    <row r="408" ht="15.75" customHeight="1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</row>
    <row r="409" ht="15.75" customHeight="1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</row>
    <row r="410" ht="15.75" customHeight="1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</row>
    <row r="411" ht="15.75" customHeight="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</row>
    <row r="412" ht="15.75" customHeight="1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</row>
    <row r="413" ht="15.75" customHeight="1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</row>
    <row r="414" ht="15.75" customHeight="1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</row>
    <row r="415" ht="15.75" customHeight="1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</row>
    <row r="416" ht="15.75" customHeight="1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</row>
    <row r="417" ht="15.75" customHeight="1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</row>
    <row r="418" ht="15.75" customHeight="1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</row>
    <row r="419" ht="15.75" customHeight="1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</row>
    <row r="420" ht="15.75" customHeight="1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</row>
    <row r="421" ht="15.75" customHeight="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</row>
    <row r="422" ht="15.75" customHeight="1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</row>
    <row r="423" ht="15.75" customHeight="1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</row>
    <row r="424" ht="15.75" customHeight="1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</row>
    <row r="425" ht="15.75" customHeight="1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</row>
    <row r="426" ht="15.75" customHeight="1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</row>
    <row r="427" ht="15.75" customHeight="1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</row>
    <row r="428" ht="15.75" customHeight="1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</row>
    <row r="429" ht="15.75" customHeight="1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</row>
    <row r="430" ht="15.75" customHeight="1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</row>
    <row r="431" ht="15.75" customHeight="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</row>
    <row r="432" ht="15.75" customHeight="1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</row>
    <row r="433" ht="15.75" customHeight="1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</row>
    <row r="434" ht="15.75" customHeight="1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</row>
    <row r="435" ht="15.75" customHeight="1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</row>
    <row r="436" ht="15.75" customHeight="1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</row>
    <row r="437" ht="15.75" customHeight="1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</row>
    <row r="438" ht="15.75" customHeight="1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</row>
    <row r="439" ht="15.75" customHeight="1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</row>
    <row r="440" ht="15.75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</row>
    <row r="441" ht="15.75" customHeight="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</row>
    <row r="442" ht="15.75" customHeight="1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</row>
    <row r="443" ht="15.75" customHeight="1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</row>
    <row r="444" ht="15.75" customHeight="1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</row>
    <row r="445" ht="15.75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</row>
    <row r="446" ht="15.75" customHeight="1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</row>
    <row r="447" ht="15.75" customHeight="1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</row>
    <row r="448" ht="15.75" customHeight="1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</row>
    <row r="449" ht="15.75" customHeight="1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</row>
    <row r="450" ht="15.75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</row>
    <row r="451" ht="15.75" customHeight="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</row>
    <row r="452" ht="15.75" customHeight="1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</row>
    <row r="453" ht="15.75" customHeight="1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</row>
    <row r="454" ht="15.75" customHeight="1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</row>
    <row r="455" ht="15.75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</row>
    <row r="456" ht="15.75" customHeight="1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</row>
    <row r="457" ht="15.75" customHeight="1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</row>
    <row r="458" ht="15.75" customHeight="1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</row>
    <row r="459" ht="15.75" customHeight="1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</row>
    <row r="460" ht="15.75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</row>
    <row r="461" ht="15.75" customHeight="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</row>
    <row r="462" ht="15.75" customHeight="1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</row>
    <row r="463" ht="15.75" customHeight="1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</row>
    <row r="464" ht="15.75" customHeight="1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</row>
    <row r="465" ht="15.75" customHeight="1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</row>
    <row r="466" ht="15.75" customHeight="1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</row>
    <row r="467" ht="15.75" customHeight="1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</row>
    <row r="468" ht="15.75" customHeight="1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</row>
    <row r="469" ht="15.75" customHeight="1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</row>
    <row r="470" ht="15.75" customHeight="1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</row>
    <row r="471" ht="15.75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</row>
    <row r="472" ht="15.75" customHeight="1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</row>
    <row r="473" ht="15.75" customHeight="1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</row>
    <row r="474" ht="15.75" customHeight="1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</row>
    <row r="475" ht="15.75" customHeight="1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</row>
    <row r="476" ht="15.75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</row>
    <row r="477" ht="15.75" customHeight="1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</row>
    <row r="478" ht="15.75" customHeight="1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</row>
    <row r="479" ht="15.75" customHeight="1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</row>
    <row r="480" ht="15.75" customHeight="1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</row>
    <row r="481" ht="15.75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</row>
    <row r="482" ht="15.75" customHeight="1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</row>
    <row r="483" ht="15.75" customHeight="1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</row>
    <row r="484" ht="15.75" customHeight="1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</row>
    <row r="485" ht="15.75" customHeight="1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</row>
    <row r="486" ht="15.75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</row>
    <row r="487" ht="15.75" customHeight="1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</row>
    <row r="488" ht="15.75" customHeight="1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</row>
    <row r="489" ht="15.75" customHeight="1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</row>
    <row r="490" ht="15.75" customHeight="1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</row>
    <row r="491" ht="15.75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</row>
    <row r="492" ht="15.75" customHeight="1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</row>
    <row r="493" ht="15.75" customHeight="1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</row>
    <row r="494" ht="15.75" customHeight="1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</row>
    <row r="495" ht="15.75" customHeight="1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</row>
    <row r="496" ht="15.75" customHeight="1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</row>
    <row r="497" ht="15.75" customHeight="1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</row>
    <row r="498" ht="15.75" customHeight="1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</row>
    <row r="499" ht="15.75" customHeight="1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</row>
    <row r="500" ht="15.75" customHeight="1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</row>
    <row r="501" ht="15.75" customHeight="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</row>
    <row r="502" ht="15.75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</row>
    <row r="503" ht="15.75" customHeight="1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</row>
    <row r="504" ht="15.75" customHeight="1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</row>
    <row r="505" ht="15.75" customHeight="1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</row>
    <row r="506" ht="15.75" customHeight="1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</row>
    <row r="507" ht="15.75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</row>
    <row r="508" ht="15.75" customHeight="1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</row>
    <row r="509" ht="15.75" customHeight="1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</row>
    <row r="510" ht="15.75" customHeight="1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</row>
    <row r="511" ht="15.75" customHeight="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</row>
    <row r="512" ht="15.75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</row>
    <row r="513" ht="15.75" customHeight="1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</row>
    <row r="514" ht="15.75" customHeight="1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</row>
    <row r="515" ht="15.75" customHeight="1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</row>
    <row r="516" ht="15.75" customHeight="1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</row>
    <row r="517" ht="15.75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</row>
    <row r="518" ht="15.75" customHeight="1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</row>
    <row r="519" ht="15.75" customHeight="1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</row>
    <row r="520" ht="15.75" customHeight="1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</row>
    <row r="521" ht="15.75" customHeight="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</row>
    <row r="522" ht="15.75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</row>
    <row r="523" ht="15.75" customHeight="1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</row>
    <row r="524" ht="15.75" customHeight="1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</row>
    <row r="525" ht="15.75" customHeight="1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</row>
    <row r="526" ht="15.75" customHeight="1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</row>
    <row r="527" ht="15.75" customHeight="1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</row>
    <row r="528" ht="15.75" customHeight="1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</row>
    <row r="529" ht="15.75" customHeight="1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</row>
    <row r="530" ht="15.75" customHeight="1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</row>
    <row r="531" ht="15.75" customHeight="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</row>
    <row r="532" ht="15.75" customHeight="1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</row>
    <row r="533" ht="15.75" customHeight="1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</row>
    <row r="534" ht="15.75" customHeight="1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</row>
    <row r="535" ht="15.75" customHeight="1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</row>
    <row r="536" ht="15.75" customHeight="1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</row>
    <row r="537" ht="15.75" customHeight="1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</row>
    <row r="538" ht="15.75" customHeight="1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</row>
    <row r="539" ht="15.75" customHeight="1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</row>
    <row r="540" ht="15.75" customHeight="1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</row>
    <row r="541" ht="15.75" customHeight="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</row>
    <row r="542" ht="15.75" customHeight="1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</row>
    <row r="543" ht="15.75" customHeight="1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</row>
    <row r="544" ht="15.75" customHeight="1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</row>
    <row r="545" ht="15.75" customHeight="1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</row>
    <row r="546" ht="15.75" customHeight="1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</row>
    <row r="547" ht="15.75" customHeight="1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</row>
    <row r="548" ht="15.75" customHeight="1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</row>
    <row r="549" ht="15.75" customHeight="1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</row>
    <row r="550" ht="15.75" customHeight="1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</row>
    <row r="551" ht="15.75" customHeight="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</row>
    <row r="552" ht="15.75" customHeight="1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</row>
    <row r="553" ht="15.75" customHeight="1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</row>
    <row r="554" ht="15.75" customHeight="1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</row>
    <row r="555" ht="15.75" customHeight="1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</row>
    <row r="556" ht="15.75" customHeight="1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</row>
    <row r="557" ht="15.75" customHeight="1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</row>
    <row r="558" ht="15.75" customHeight="1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</row>
    <row r="559" ht="15.75" customHeight="1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</row>
    <row r="560" ht="15.75" customHeight="1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</row>
    <row r="561" ht="15.75" customHeight="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</row>
    <row r="562" ht="15.75" customHeight="1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</row>
    <row r="563" ht="15.75" customHeight="1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</row>
    <row r="564" ht="15.75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</row>
    <row r="565" ht="15.75" customHeight="1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</row>
    <row r="566" ht="15.75" customHeight="1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</row>
    <row r="567" ht="15.75" customHeight="1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</row>
    <row r="568" ht="15.75" customHeight="1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</row>
    <row r="569" ht="15.75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</row>
    <row r="570" ht="15.75" customHeight="1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</row>
    <row r="571" ht="15.75" customHeight="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</row>
    <row r="572" ht="15.75" customHeight="1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</row>
    <row r="573" ht="15.75" customHeight="1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</row>
    <row r="574" ht="15.75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</row>
    <row r="575" ht="15.75" customHeight="1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</row>
    <row r="576" ht="15.75" customHeight="1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</row>
    <row r="577" ht="15.75" customHeight="1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</row>
    <row r="578" ht="15.75" customHeight="1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</row>
    <row r="579" ht="15.75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</row>
    <row r="580" ht="15.75" customHeight="1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</row>
    <row r="581" ht="15.75" customHeight="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</row>
    <row r="582" ht="15.75" customHeight="1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</row>
    <row r="583" ht="15.75" customHeight="1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</row>
    <row r="584" ht="15.75" customHeight="1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</row>
    <row r="585" ht="15.75" customHeight="1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</row>
    <row r="586" ht="15.75" customHeight="1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</row>
    <row r="587" ht="15.75" customHeight="1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</row>
    <row r="588" ht="15.75" customHeight="1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</row>
    <row r="589" ht="15.75" customHeight="1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</row>
    <row r="590" ht="15.75" customHeight="1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</row>
    <row r="591" ht="15.75" customHeight="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</row>
    <row r="592" ht="15.75" customHeight="1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</row>
    <row r="593" ht="15.75" customHeight="1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</row>
    <row r="594" ht="15.75" customHeight="1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</row>
    <row r="595" ht="15.75" customHeight="1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</row>
    <row r="596" ht="15.75" customHeight="1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</row>
    <row r="597" ht="15.75" customHeight="1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</row>
    <row r="598" ht="15.75" customHeight="1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</row>
    <row r="599" ht="15.75" customHeight="1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</row>
    <row r="600" ht="15.75" customHeight="1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</row>
    <row r="601" ht="15.75" customHeight="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</row>
    <row r="602" ht="15.75" customHeight="1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</row>
    <row r="603" ht="15.75" customHeight="1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</row>
    <row r="604" ht="15.75" customHeight="1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</row>
    <row r="605" ht="15.75" customHeight="1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</row>
    <row r="606" ht="15.75" customHeight="1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</row>
    <row r="607" ht="15.75" customHeight="1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</row>
    <row r="608" ht="15.75" customHeight="1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</row>
    <row r="609" ht="15.75" customHeight="1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</row>
    <row r="610" ht="15.75" customHeight="1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</row>
    <row r="611" ht="15.75" customHeight="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</row>
    <row r="612" ht="15.75" customHeight="1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</row>
    <row r="613" ht="15.75" customHeight="1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</row>
    <row r="614" ht="15.75" customHeight="1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</row>
    <row r="615" ht="15.75" customHeight="1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</row>
    <row r="616" ht="15.75" customHeight="1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</row>
    <row r="617" ht="15.75" customHeight="1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</row>
    <row r="618" ht="15.75" customHeight="1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</row>
    <row r="619" ht="15.75" customHeight="1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</row>
    <row r="620" ht="15.75" customHeight="1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</row>
    <row r="621" ht="15.75" customHeight="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</row>
    <row r="622" ht="15.75" customHeight="1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</row>
    <row r="623" ht="15.75" customHeight="1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</row>
    <row r="624" ht="15.75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</row>
    <row r="625" ht="15.75" customHeight="1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</row>
    <row r="626" ht="15.75" customHeight="1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</row>
    <row r="627" ht="15.75" customHeight="1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</row>
    <row r="628" ht="15.75" customHeight="1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</row>
    <row r="629" ht="15.75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</row>
    <row r="630" ht="15.75" customHeight="1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</row>
    <row r="631" ht="15.75" customHeight="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</row>
    <row r="632" ht="15.75" customHeight="1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</row>
    <row r="633" ht="15.75" customHeight="1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</row>
    <row r="634" ht="15.75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</row>
    <row r="635" ht="15.75" customHeight="1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</row>
    <row r="636" ht="15.75" customHeight="1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</row>
    <row r="637" ht="15.75" customHeight="1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</row>
    <row r="638" ht="15.75" customHeight="1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</row>
    <row r="639" ht="15.75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</row>
    <row r="640" ht="15.75" customHeight="1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</row>
    <row r="641" ht="15.75" customHeight="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</row>
    <row r="642" ht="15.75" customHeight="1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</row>
    <row r="643" ht="15.75" customHeight="1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</row>
    <row r="644" ht="15.75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</row>
    <row r="645" ht="15.75" customHeight="1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</row>
    <row r="646" ht="15.75" customHeight="1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</row>
    <row r="647" ht="15.75" customHeight="1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</row>
    <row r="648" ht="15.75" customHeight="1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</row>
    <row r="649" ht="15.75" customHeight="1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</row>
    <row r="650" ht="15.75" customHeight="1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</row>
    <row r="651" ht="15.75" customHeight="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</row>
    <row r="652" ht="15.75" customHeight="1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</row>
    <row r="653" ht="15.75" customHeight="1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</row>
    <row r="654" ht="15.75" customHeight="1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</row>
    <row r="655" ht="15.75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</row>
    <row r="656" ht="15.75" customHeight="1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</row>
    <row r="657" ht="15.75" customHeight="1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</row>
    <row r="658" ht="15.75" customHeight="1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</row>
    <row r="659" ht="15.75" customHeight="1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</row>
    <row r="660" ht="15.75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</row>
    <row r="661" ht="15.75" customHeight="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</row>
    <row r="662" ht="15.75" customHeight="1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</row>
    <row r="663" ht="15.75" customHeight="1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</row>
    <row r="664" ht="15.75" customHeight="1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</row>
    <row r="665" ht="15.75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</row>
    <row r="666" ht="15.75" customHeight="1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</row>
    <row r="667" ht="15.75" customHeight="1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</row>
    <row r="668" ht="15.75" customHeight="1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</row>
    <row r="669" ht="15.75" customHeight="1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</row>
    <row r="670" ht="15.75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</row>
    <row r="671" ht="15.75" customHeight="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</row>
    <row r="672" ht="15.75" customHeight="1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</row>
    <row r="673" ht="15.75" customHeight="1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</row>
    <row r="674" ht="15.75" customHeight="1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</row>
    <row r="675" ht="15.75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</row>
    <row r="676" ht="15.75" customHeight="1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</row>
    <row r="677" ht="15.75" customHeight="1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</row>
    <row r="678" ht="15.75" customHeight="1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</row>
    <row r="679" ht="15.75" customHeight="1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</row>
    <row r="680" ht="15.75" customHeight="1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</row>
    <row r="681" ht="15.75" customHeight="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</row>
    <row r="682" ht="15.75" customHeight="1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</row>
    <row r="683" ht="15.75" customHeight="1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</row>
    <row r="684" ht="15.75" customHeight="1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</row>
    <row r="685" ht="15.75" customHeight="1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</row>
    <row r="686" ht="15.75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</row>
    <row r="687" ht="15.75" customHeight="1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</row>
    <row r="688" ht="15.75" customHeight="1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</row>
    <row r="689" ht="15.75" customHeight="1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</row>
    <row r="690" ht="15.75" customHeight="1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</row>
    <row r="691" ht="15.75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</row>
    <row r="692" ht="15.75" customHeight="1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</row>
    <row r="693" ht="15.75" customHeight="1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</row>
    <row r="694" ht="15.75" customHeight="1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</row>
    <row r="695" ht="15.75" customHeight="1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</row>
    <row r="696" ht="15.75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</row>
    <row r="697" ht="15.75" customHeight="1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</row>
    <row r="698" ht="15.75" customHeight="1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</row>
    <row r="699" ht="15.75" customHeight="1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</row>
    <row r="700" ht="15.75" customHeight="1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</row>
    <row r="701" ht="15.75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</row>
    <row r="702" ht="15.75" customHeight="1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</row>
    <row r="703" ht="15.75" customHeight="1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</row>
    <row r="704" ht="15.75" customHeight="1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</row>
    <row r="705" ht="15.75" customHeight="1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</row>
    <row r="706" ht="15.75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</row>
    <row r="707" ht="15.75" customHeight="1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</row>
    <row r="708" ht="15.75" customHeight="1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</row>
    <row r="709" ht="15.75" customHeight="1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</row>
    <row r="710" ht="15.75" customHeight="1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</row>
    <row r="711" ht="15.75" customHeight="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</row>
    <row r="712" ht="15.75" customHeight="1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</row>
    <row r="713" ht="15.75" customHeight="1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</row>
    <row r="714" ht="15.75" customHeight="1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</row>
    <row r="715" ht="15.75" customHeight="1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</row>
    <row r="716" ht="15.75" customHeight="1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</row>
    <row r="717" ht="15.75" customHeight="1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</row>
    <row r="718" ht="15.75" customHeight="1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</row>
    <row r="719" ht="15.75" customHeight="1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</row>
    <row r="720" ht="15.75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</row>
    <row r="721" ht="15.75" customHeight="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</row>
    <row r="722" ht="15.75" customHeight="1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</row>
    <row r="723" ht="15.75" customHeight="1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</row>
    <row r="724" ht="15.75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</row>
    <row r="725" ht="15.75" customHeight="1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</row>
    <row r="726" ht="15.75" customHeight="1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</row>
    <row r="727" ht="15.75" customHeight="1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</row>
    <row r="728" ht="15.75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</row>
    <row r="729" ht="15.75" customHeight="1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</row>
    <row r="730" ht="15.75" customHeight="1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</row>
    <row r="731" ht="15.75" customHeight="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</row>
    <row r="732" ht="15.75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</row>
    <row r="733" ht="15.75" customHeight="1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</row>
    <row r="734" ht="15.75" customHeight="1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</row>
    <row r="735" ht="15.75" customHeight="1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</row>
    <row r="736" ht="15.75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</row>
    <row r="737" ht="15.75" customHeight="1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</row>
    <row r="738" ht="15.75" customHeight="1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</row>
    <row r="739" ht="15.75" customHeight="1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</row>
    <row r="740" ht="15.75" customHeight="1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</row>
    <row r="741" ht="15.75" customHeight="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</row>
    <row r="742" ht="15.75" customHeight="1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</row>
    <row r="743" ht="15.75" customHeight="1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</row>
    <row r="744" ht="15.75" customHeight="1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</row>
    <row r="745" ht="15.75" customHeight="1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</row>
    <row r="746" ht="15.75" customHeight="1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</row>
    <row r="747" ht="15.75" customHeight="1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</row>
    <row r="748" ht="15.75" customHeight="1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</row>
    <row r="749" ht="15.75" customHeight="1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</row>
    <row r="750" ht="15.75" customHeight="1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</row>
    <row r="751" ht="15.75" customHeight="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</row>
    <row r="752" ht="15.75" customHeight="1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</row>
    <row r="753" ht="15.75" customHeight="1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</row>
    <row r="754" ht="15.75" customHeight="1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</row>
    <row r="755" ht="15.75" customHeight="1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</row>
    <row r="756" ht="15.75" customHeight="1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</row>
    <row r="757" ht="15.75" customHeight="1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</row>
    <row r="758" ht="15.75" customHeight="1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</row>
    <row r="759" ht="15.75" customHeight="1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</row>
    <row r="760" ht="15.75" customHeight="1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</row>
    <row r="761" ht="15.75" customHeight="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</row>
    <row r="762" ht="15.75" customHeight="1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</row>
    <row r="763" ht="15.75" customHeight="1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</row>
    <row r="764" ht="15.75" customHeight="1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</row>
    <row r="765" ht="15.75" customHeight="1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</row>
    <row r="766" ht="15.75" customHeight="1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</row>
    <row r="767" ht="15.75" customHeight="1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</row>
    <row r="768" ht="15.75" customHeight="1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</row>
    <row r="769" ht="15.75" customHeight="1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</row>
    <row r="770" ht="15.75" customHeight="1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</row>
    <row r="771" ht="15.75" customHeight="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</row>
    <row r="772" ht="15.75" customHeight="1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</row>
    <row r="773" ht="15.75" customHeight="1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</row>
    <row r="774" ht="15.75" customHeight="1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</row>
    <row r="775" ht="15.75" customHeight="1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</row>
    <row r="776" ht="15.75" customHeight="1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</row>
    <row r="777" ht="15.75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</row>
    <row r="778" ht="15.75" customHeight="1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</row>
    <row r="779" ht="15.75" customHeight="1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</row>
    <row r="780" ht="15.75" customHeight="1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</row>
    <row r="781" ht="15.75" customHeight="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</row>
    <row r="782" ht="15.75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</row>
    <row r="783" ht="15.75" customHeight="1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</row>
    <row r="784" ht="15.75" customHeight="1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</row>
    <row r="785" ht="15.75" customHeight="1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</row>
    <row r="786" ht="15.75" customHeight="1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</row>
    <row r="787" ht="15.75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</row>
    <row r="788" ht="15.75" customHeight="1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</row>
    <row r="789" ht="15.75" customHeight="1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</row>
    <row r="790" ht="15.75" customHeight="1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</row>
    <row r="791" ht="15.75" customHeight="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</row>
    <row r="792" ht="15.75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</row>
    <row r="793" ht="15.75" customHeight="1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</row>
    <row r="794" ht="15.75" customHeight="1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</row>
    <row r="795" ht="15.75" customHeight="1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</row>
    <row r="796" ht="15.75" customHeight="1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</row>
    <row r="797" ht="15.75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</row>
    <row r="798" ht="15.75" customHeight="1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</row>
    <row r="799" ht="15.75" customHeight="1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</row>
    <row r="800" ht="15.75" customHeight="1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</row>
    <row r="801" ht="15.75" customHeight="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</row>
    <row r="802" ht="15.75" customHeight="1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</row>
    <row r="803" ht="15.75" customHeight="1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</row>
    <row r="804" ht="15.75" customHeight="1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</row>
    <row r="805" ht="15.75" customHeight="1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</row>
    <row r="806" ht="15.75" customHeight="1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</row>
    <row r="807" ht="15.75" customHeight="1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</row>
    <row r="808" ht="15.75" customHeight="1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</row>
    <row r="809" ht="15.75" customHeight="1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</row>
    <row r="810" ht="15.75" customHeight="1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</row>
    <row r="811" ht="15.75" customHeight="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</row>
    <row r="812" ht="15.75" customHeight="1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</row>
    <row r="813" ht="15.75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</row>
    <row r="814" ht="15.75" customHeight="1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</row>
    <row r="815" ht="15.75" customHeight="1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</row>
    <row r="816" ht="15.75" customHeight="1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</row>
    <row r="817" ht="15.75" customHeight="1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</row>
    <row r="818" ht="15.75" customHeight="1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</row>
    <row r="819" ht="15.75" customHeight="1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</row>
    <row r="820" ht="15.75" customHeight="1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</row>
    <row r="821" ht="15.75" customHeight="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</row>
    <row r="822" ht="15.75" customHeight="1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</row>
    <row r="823" ht="15.75" customHeight="1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</row>
    <row r="824" ht="15.75" customHeight="1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</row>
    <row r="825" ht="15.75" customHeight="1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</row>
    <row r="826" ht="15.75" customHeight="1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</row>
    <row r="827" ht="15.75" customHeight="1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</row>
    <row r="828" ht="15.75" customHeight="1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</row>
    <row r="829" ht="15.75" customHeight="1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</row>
    <row r="830" ht="15.75" customHeight="1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</row>
    <row r="831" ht="15.75" customHeight="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</row>
    <row r="832" ht="15.75" customHeight="1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</row>
    <row r="833" ht="15.75" customHeight="1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</row>
    <row r="834" ht="15.75" customHeight="1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</row>
    <row r="835" ht="15.75" customHeight="1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</row>
    <row r="836" ht="15.75" customHeight="1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</row>
    <row r="837" ht="15.75" customHeight="1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</row>
    <row r="838" ht="15.75" customHeight="1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</row>
    <row r="839" ht="15.75" customHeight="1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</row>
    <row r="840" ht="15.75" customHeight="1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</row>
    <row r="841" ht="15.75" customHeight="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</row>
    <row r="842" ht="15.75" customHeight="1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</row>
    <row r="843" ht="15.75" customHeight="1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</row>
    <row r="844" ht="15.75" customHeight="1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</row>
    <row r="845" ht="15.75" customHeight="1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</row>
    <row r="846" ht="15.75" customHeight="1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</row>
    <row r="847" ht="15.75" customHeight="1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</row>
    <row r="848" ht="15.75" customHeight="1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</row>
    <row r="849" ht="15.75" customHeight="1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</row>
    <row r="850" ht="15.75" customHeight="1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</row>
    <row r="851" ht="15.75" customHeight="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</row>
    <row r="852" ht="15.75" customHeight="1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</row>
    <row r="853" ht="15.75" customHeight="1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</row>
    <row r="854" ht="15.75" customHeight="1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</row>
    <row r="855" ht="15.75" customHeight="1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</row>
    <row r="856" ht="15.75" customHeight="1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</row>
    <row r="857" ht="15.75" customHeight="1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</row>
    <row r="858" ht="15.75" customHeight="1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</row>
    <row r="859" ht="15.75" customHeight="1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</row>
    <row r="860" ht="15.75" customHeight="1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</row>
    <row r="861" ht="15.75" customHeight="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</row>
    <row r="862" ht="15.75" customHeight="1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</row>
    <row r="863" ht="15.75" customHeight="1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</row>
    <row r="864" ht="15.75" customHeight="1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</row>
    <row r="865" ht="15.75" customHeight="1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</row>
    <row r="866" ht="15.75" customHeight="1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</row>
    <row r="867" ht="15.75" customHeight="1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</row>
    <row r="868" ht="15.75" customHeight="1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</row>
    <row r="869" ht="15.75" customHeight="1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</row>
    <row r="870" ht="15.75" customHeight="1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</row>
    <row r="871" ht="15.75" customHeight="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</row>
    <row r="872" ht="15.75" customHeight="1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</row>
    <row r="873" ht="15.75" customHeight="1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</row>
    <row r="874" ht="15.75" customHeight="1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</row>
    <row r="875" ht="15.75" customHeight="1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</row>
    <row r="876" ht="15.75" customHeight="1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</row>
    <row r="877" ht="15.75" customHeight="1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</row>
    <row r="878" ht="15.75" customHeight="1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</row>
    <row r="879" ht="15.75" customHeight="1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</row>
    <row r="880" ht="15.75" customHeight="1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</row>
    <row r="881" ht="15.75" customHeight="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</row>
    <row r="882" ht="15.75" customHeight="1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</row>
    <row r="883" ht="15.75" customHeight="1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</row>
    <row r="884" ht="15.75" customHeight="1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</row>
    <row r="885" ht="15.75" customHeight="1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</row>
    <row r="886" ht="15.75" customHeight="1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</row>
    <row r="887" ht="15.75" customHeight="1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</row>
    <row r="888" ht="15.75" customHeight="1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</row>
    <row r="889" ht="15.75" customHeight="1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</row>
    <row r="890" ht="15.75" customHeight="1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</row>
    <row r="891" ht="15.75" customHeight="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</row>
    <row r="892" ht="15.75" customHeight="1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</row>
    <row r="893" ht="15.75" customHeight="1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</row>
    <row r="894" ht="15.75" customHeight="1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</row>
    <row r="895" ht="15.75" customHeight="1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</row>
    <row r="896" ht="15.75" customHeight="1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</row>
    <row r="897" ht="15.75" customHeight="1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</row>
    <row r="898" ht="15.75" customHeight="1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</row>
    <row r="899" ht="15.75" customHeight="1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</row>
    <row r="900" ht="15.75" customHeight="1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</row>
    <row r="901" ht="15.75" customHeight="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</row>
    <row r="902" ht="15.75" customHeight="1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</row>
    <row r="903" ht="15.75" customHeight="1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</row>
    <row r="904" ht="15.75" customHeight="1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</row>
    <row r="905" ht="15.75" customHeight="1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</row>
    <row r="906" ht="15.75" customHeight="1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</row>
    <row r="907" ht="15.75" customHeight="1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</row>
    <row r="908" ht="15.75" customHeight="1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</row>
    <row r="909" ht="15.75" customHeight="1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</row>
    <row r="910" ht="15.75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</row>
    <row r="911" ht="15.75" customHeight="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</row>
    <row r="912" ht="15.75" customHeight="1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</row>
    <row r="913" ht="15.75" customHeight="1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</row>
    <row r="914" ht="15.75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</row>
    <row r="915" ht="15.75" customHeight="1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</row>
    <row r="916" ht="15.75" customHeight="1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</row>
    <row r="917" ht="15.75" customHeight="1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</row>
    <row r="918" ht="15.75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</row>
    <row r="919" ht="15.75" customHeight="1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</row>
    <row r="920" ht="15.75" customHeight="1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</row>
    <row r="921" ht="15.75" customHeight="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</row>
    <row r="922" ht="15.75" customHeight="1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</row>
    <row r="923" ht="15.75" customHeight="1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</row>
    <row r="924" ht="15.75" customHeight="1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</row>
    <row r="925" ht="15.75" customHeight="1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</row>
    <row r="926" ht="15.75" customHeight="1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</row>
    <row r="927" ht="15.75" customHeight="1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</row>
    <row r="928" ht="15.75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</row>
    <row r="929" ht="15.75" customHeight="1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</row>
    <row r="930" ht="15.75" customHeight="1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</row>
    <row r="931" ht="15.75" customHeight="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</row>
    <row r="932" ht="15.75" customHeight="1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</row>
    <row r="933" ht="15.75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</row>
    <row r="934" ht="15.75" customHeight="1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</row>
    <row r="935" ht="15.75" customHeight="1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</row>
    <row r="936" ht="15.75" customHeight="1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</row>
    <row r="937" ht="15.75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</row>
    <row r="938" ht="15.75" customHeight="1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</row>
    <row r="939" ht="15.75" customHeight="1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</row>
    <row r="940" ht="15.75" customHeight="1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</row>
    <row r="941" ht="15.75" customHeight="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</row>
    <row r="942" ht="15.75" customHeight="1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</row>
    <row r="943" ht="15.75" customHeight="1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</row>
    <row r="944" ht="15.75" customHeight="1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</row>
    <row r="945" ht="15.75" customHeight="1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</row>
    <row r="946" ht="15.75" customHeight="1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</row>
    <row r="947" ht="15.75" customHeight="1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</row>
    <row r="948" ht="15.75" customHeight="1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</row>
    <row r="949" ht="15.75" customHeight="1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</row>
    <row r="950" ht="15.75" customHeight="1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</row>
    <row r="951" ht="15.75" customHeight="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</row>
    <row r="952" ht="15.75" customHeight="1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</row>
    <row r="953" ht="15.75" customHeight="1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</row>
    <row r="954" ht="15.75" customHeight="1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</row>
    <row r="955" ht="15.75" customHeight="1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</row>
    <row r="956" ht="15.75" customHeight="1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</row>
    <row r="957" ht="15.75" customHeight="1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</row>
    <row r="958" ht="15.75" customHeight="1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</row>
    <row r="959" ht="15.75" customHeight="1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</row>
    <row r="960" ht="15.75" customHeight="1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</row>
    <row r="961" ht="15.75" customHeight="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</row>
    <row r="962" ht="15.75" customHeight="1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</row>
    <row r="963" ht="15.75" customHeight="1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</row>
    <row r="964" ht="15.75" customHeight="1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</row>
    <row r="965" ht="15.75" customHeight="1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</row>
    <row r="966" ht="15.75" customHeight="1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</row>
    <row r="967" ht="15.75" customHeight="1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</row>
    <row r="968" ht="15.75" customHeight="1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</row>
    <row r="969" ht="15.75" customHeight="1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</row>
    <row r="970" ht="15.75" customHeight="1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</row>
    <row r="971" ht="15.75" customHeight="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</row>
    <row r="972" ht="15.75" customHeight="1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</row>
    <row r="973" ht="15.75" customHeight="1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</row>
    <row r="974" ht="15.75" customHeight="1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</row>
    <row r="975" ht="15.75" customHeight="1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</row>
    <row r="976" ht="15.75" customHeight="1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</row>
    <row r="977" ht="15.75" customHeight="1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</row>
    <row r="978" ht="15.75" customHeight="1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</row>
    <row r="979" ht="15.75" customHeight="1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</row>
    <row r="980" ht="15.75" customHeight="1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</row>
    <row r="981" ht="15.75" customHeight="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</row>
    <row r="982" ht="15.75" customHeight="1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</row>
    <row r="983" ht="15.75" customHeight="1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</row>
    <row r="984" ht="15.75" customHeight="1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</row>
    <row r="985" ht="15.75" customHeight="1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</row>
    <row r="986" ht="15.75" customHeight="1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</row>
    <row r="987" ht="15.75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</row>
    <row r="988" ht="15.75" customHeight="1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</row>
    <row r="989" ht="15.75" customHeight="1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</row>
    <row r="990" ht="15.75" customHeight="1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</row>
    <row r="991" ht="15.75" customHeight="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</row>
    <row r="992" ht="15.75" customHeight="1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</row>
    <row r="993" ht="15.75" customHeight="1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</row>
    <row r="994" ht="15.75" customHeight="1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</row>
    <row r="995" ht="15.75" customHeight="1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</row>
    <row r="996" ht="15.75" customHeight="1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</row>
    <row r="997" ht="15.75" customHeight="1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</row>
    <row r="998" ht="15.75" customHeight="1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</row>
    <row r="999" ht="15.75" customHeight="1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</row>
    <row r="1000" ht="15.75" customHeight="1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</row>
    <row r="1001" ht="15.75" customHeight="1">
      <c r="A1001" s="164"/>
      <c r="B1001" s="164"/>
      <c r="C1001" s="164"/>
      <c r="D1001" s="164"/>
      <c r="E1001" s="164"/>
      <c r="F1001" s="164"/>
      <c r="G1001" s="164"/>
      <c r="H1001" s="164"/>
      <c r="I1001" s="164"/>
      <c r="J1001" s="164"/>
      <c r="K1001" s="164"/>
      <c r="L1001" s="164"/>
      <c r="M1001" s="164"/>
      <c r="N1001" s="164"/>
      <c r="O1001" s="164"/>
      <c r="P1001" s="164"/>
      <c r="Q1001" s="164"/>
      <c r="R1001" s="164"/>
      <c r="S1001" s="164"/>
      <c r="T1001" s="164"/>
      <c r="U1001" s="164"/>
      <c r="V1001" s="164"/>
      <c r="W1001" s="164"/>
      <c r="X1001" s="164"/>
      <c r="Y1001" s="164"/>
    </row>
    <row r="1002" ht="15.75" customHeight="1">
      <c r="A1002" s="164"/>
      <c r="B1002" s="164"/>
      <c r="C1002" s="164"/>
      <c r="D1002" s="164"/>
      <c r="E1002" s="164"/>
      <c r="F1002" s="164"/>
      <c r="G1002" s="164"/>
      <c r="H1002" s="164"/>
      <c r="I1002" s="164"/>
      <c r="J1002" s="164"/>
      <c r="K1002" s="164"/>
      <c r="L1002" s="164"/>
      <c r="M1002" s="164"/>
      <c r="N1002" s="164"/>
      <c r="O1002" s="164"/>
      <c r="P1002" s="164"/>
      <c r="Q1002" s="164"/>
      <c r="R1002" s="164"/>
      <c r="S1002" s="164"/>
      <c r="T1002" s="164"/>
      <c r="U1002" s="164"/>
      <c r="V1002" s="164"/>
      <c r="W1002" s="164"/>
      <c r="X1002" s="164"/>
      <c r="Y1002" s="164"/>
    </row>
    <row r="1003" ht="15.75" customHeight="1">
      <c r="A1003" s="164"/>
      <c r="B1003" s="164"/>
      <c r="C1003" s="164"/>
      <c r="D1003" s="164"/>
      <c r="E1003" s="164"/>
      <c r="F1003" s="164"/>
      <c r="G1003" s="164"/>
      <c r="H1003" s="164"/>
      <c r="I1003" s="164"/>
      <c r="J1003" s="164"/>
      <c r="K1003" s="164"/>
      <c r="L1003" s="164"/>
      <c r="M1003" s="164"/>
      <c r="N1003" s="164"/>
      <c r="O1003" s="164"/>
      <c r="P1003" s="164"/>
      <c r="Q1003" s="164"/>
      <c r="R1003" s="164"/>
      <c r="S1003" s="164"/>
      <c r="T1003" s="164"/>
      <c r="U1003" s="164"/>
      <c r="V1003" s="164"/>
      <c r="W1003" s="164"/>
      <c r="X1003" s="164"/>
      <c r="Y1003" s="164"/>
    </row>
    <row r="1004" ht="15.75" customHeight="1">
      <c r="A1004" s="164"/>
      <c r="B1004" s="164"/>
      <c r="C1004" s="164"/>
      <c r="D1004" s="164"/>
      <c r="E1004" s="164"/>
      <c r="F1004" s="164"/>
      <c r="G1004" s="164"/>
      <c r="H1004" s="164"/>
      <c r="I1004" s="164"/>
      <c r="J1004" s="164"/>
      <c r="K1004" s="164"/>
      <c r="L1004" s="164"/>
      <c r="M1004" s="164"/>
      <c r="N1004" s="164"/>
      <c r="O1004" s="164"/>
      <c r="P1004" s="164"/>
      <c r="Q1004" s="164"/>
      <c r="R1004" s="164"/>
      <c r="S1004" s="164"/>
      <c r="T1004" s="164"/>
      <c r="U1004" s="164"/>
      <c r="V1004" s="164"/>
      <c r="W1004" s="164"/>
      <c r="X1004" s="164"/>
      <c r="Y1004" s="164"/>
    </row>
    <row r="1005" ht="15.75" customHeight="1">
      <c r="A1005" s="164"/>
      <c r="B1005" s="164"/>
      <c r="C1005" s="164"/>
      <c r="D1005" s="164"/>
      <c r="E1005" s="164"/>
      <c r="F1005" s="164"/>
      <c r="G1005" s="164"/>
      <c r="H1005" s="164"/>
      <c r="I1005" s="164"/>
      <c r="J1005" s="164"/>
      <c r="K1005" s="164"/>
      <c r="L1005" s="164"/>
      <c r="M1005" s="164"/>
      <c r="N1005" s="164"/>
      <c r="O1005" s="164"/>
      <c r="P1005" s="164"/>
      <c r="Q1005" s="164"/>
      <c r="R1005" s="164"/>
      <c r="S1005" s="164"/>
      <c r="T1005" s="164"/>
      <c r="U1005" s="164"/>
      <c r="V1005" s="164"/>
      <c r="W1005" s="164"/>
      <c r="X1005" s="164"/>
      <c r="Y1005" s="164"/>
    </row>
    <row r="1006" ht="15.75" customHeight="1">
      <c r="A1006" s="164"/>
      <c r="B1006" s="164"/>
      <c r="C1006" s="164"/>
      <c r="D1006" s="164"/>
      <c r="E1006" s="164"/>
      <c r="F1006" s="164"/>
      <c r="G1006" s="164"/>
      <c r="H1006" s="164"/>
      <c r="I1006" s="164"/>
      <c r="J1006" s="164"/>
      <c r="K1006" s="164"/>
      <c r="L1006" s="164"/>
      <c r="M1006" s="164"/>
      <c r="N1006" s="164"/>
      <c r="O1006" s="164"/>
      <c r="P1006" s="164"/>
      <c r="Q1006" s="164"/>
      <c r="R1006" s="164"/>
      <c r="S1006" s="164"/>
      <c r="T1006" s="164"/>
      <c r="U1006" s="164"/>
      <c r="V1006" s="164"/>
      <c r="W1006" s="164"/>
      <c r="X1006" s="164"/>
      <c r="Y1006" s="164"/>
    </row>
    <row r="1007" ht="15.75" customHeight="1">
      <c r="A1007" s="164"/>
      <c r="B1007" s="164"/>
      <c r="C1007" s="164"/>
      <c r="D1007" s="164"/>
      <c r="E1007" s="164"/>
      <c r="F1007" s="164"/>
      <c r="G1007" s="164"/>
      <c r="H1007" s="164"/>
      <c r="I1007" s="164"/>
      <c r="J1007" s="164"/>
      <c r="K1007" s="164"/>
      <c r="L1007" s="164"/>
      <c r="M1007" s="164"/>
      <c r="N1007" s="164"/>
      <c r="O1007" s="164"/>
      <c r="P1007" s="164"/>
      <c r="Q1007" s="164"/>
      <c r="R1007" s="164"/>
      <c r="S1007" s="164"/>
      <c r="T1007" s="164"/>
      <c r="U1007" s="164"/>
      <c r="V1007" s="164"/>
      <c r="W1007" s="164"/>
      <c r="X1007" s="164"/>
      <c r="Y1007" s="164"/>
    </row>
    <row r="1008" ht="15.75" customHeight="1">
      <c r="A1008" s="164"/>
      <c r="B1008" s="164"/>
      <c r="C1008" s="164"/>
      <c r="D1008" s="164"/>
      <c r="E1008" s="164"/>
      <c r="F1008" s="164"/>
      <c r="G1008" s="164"/>
      <c r="H1008" s="164"/>
      <c r="I1008" s="164"/>
      <c r="J1008" s="164"/>
      <c r="K1008" s="164"/>
      <c r="L1008" s="164"/>
      <c r="M1008" s="164"/>
      <c r="N1008" s="164"/>
      <c r="O1008" s="164"/>
      <c r="P1008" s="164"/>
      <c r="Q1008" s="164"/>
      <c r="R1008" s="164"/>
      <c r="S1008" s="164"/>
      <c r="T1008" s="164"/>
      <c r="U1008" s="164"/>
      <c r="V1008" s="164"/>
      <c r="W1008" s="164"/>
      <c r="X1008" s="164"/>
      <c r="Y1008" s="164"/>
    </row>
    <row r="1009" ht="15.75" customHeight="1">
      <c r="A1009" s="164"/>
      <c r="B1009" s="164"/>
      <c r="C1009" s="164"/>
      <c r="D1009" s="164"/>
      <c r="E1009" s="164"/>
      <c r="F1009" s="164"/>
      <c r="G1009" s="164"/>
      <c r="H1009" s="164"/>
      <c r="I1009" s="164"/>
      <c r="J1009" s="164"/>
      <c r="K1009" s="164"/>
      <c r="L1009" s="164"/>
      <c r="M1009" s="164"/>
      <c r="N1009" s="164"/>
      <c r="O1009" s="164"/>
      <c r="P1009" s="164"/>
      <c r="Q1009" s="164"/>
      <c r="R1009" s="164"/>
      <c r="S1009" s="164"/>
      <c r="T1009" s="164"/>
      <c r="U1009" s="164"/>
      <c r="V1009" s="164"/>
      <c r="W1009" s="164"/>
      <c r="X1009" s="164"/>
      <c r="Y1009" s="164"/>
    </row>
    <row r="1010" ht="15.75" customHeight="1">
      <c r="A1010" s="164"/>
      <c r="B1010" s="164"/>
      <c r="C1010" s="164"/>
      <c r="D1010" s="164"/>
      <c r="E1010" s="164"/>
      <c r="F1010" s="164"/>
      <c r="G1010" s="164"/>
      <c r="H1010" s="164"/>
      <c r="I1010" s="164"/>
      <c r="J1010" s="164"/>
      <c r="K1010" s="164"/>
      <c r="L1010" s="164"/>
      <c r="M1010" s="164"/>
      <c r="N1010" s="164"/>
      <c r="O1010" s="164"/>
      <c r="P1010" s="164"/>
      <c r="Q1010" s="164"/>
      <c r="R1010" s="164"/>
      <c r="S1010" s="164"/>
      <c r="T1010" s="164"/>
      <c r="U1010" s="164"/>
      <c r="V1010" s="164"/>
      <c r="W1010" s="164"/>
      <c r="X1010" s="164"/>
      <c r="Y1010" s="164"/>
    </row>
    <row r="1011" ht="15.75" customHeight="1">
      <c r="A1011" s="164"/>
      <c r="B1011" s="164"/>
      <c r="C1011" s="164"/>
      <c r="D1011" s="164"/>
      <c r="E1011" s="164"/>
      <c r="F1011" s="164"/>
      <c r="G1011" s="164"/>
      <c r="H1011" s="164"/>
      <c r="I1011" s="164"/>
      <c r="J1011" s="164"/>
      <c r="K1011" s="164"/>
      <c r="L1011" s="164"/>
      <c r="M1011" s="164"/>
      <c r="N1011" s="164"/>
      <c r="O1011" s="164"/>
      <c r="P1011" s="164"/>
      <c r="Q1011" s="164"/>
      <c r="R1011" s="164"/>
      <c r="S1011" s="164"/>
      <c r="T1011" s="164"/>
      <c r="U1011" s="164"/>
      <c r="V1011" s="164"/>
      <c r="W1011" s="164"/>
      <c r="X1011" s="164"/>
      <c r="Y1011" s="164"/>
    </row>
    <row r="1012" ht="15.75" customHeight="1">
      <c r="A1012" s="164"/>
      <c r="B1012" s="164"/>
      <c r="C1012" s="164"/>
      <c r="D1012" s="164"/>
      <c r="E1012" s="164"/>
      <c r="F1012" s="164"/>
      <c r="G1012" s="164"/>
      <c r="H1012" s="164"/>
      <c r="I1012" s="164"/>
      <c r="J1012" s="164"/>
      <c r="K1012" s="164"/>
      <c r="L1012" s="164"/>
      <c r="M1012" s="164"/>
      <c r="N1012" s="164"/>
      <c r="O1012" s="164"/>
      <c r="P1012" s="164"/>
      <c r="Q1012" s="164"/>
      <c r="R1012" s="164"/>
      <c r="S1012" s="164"/>
      <c r="T1012" s="164"/>
      <c r="U1012" s="164"/>
      <c r="V1012" s="164"/>
      <c r="W1012" s="164"/>
      <c r="X1012" s="164"/>
      <c r="Y1012" s="164"/>
    </row>
    <row r="1013" ht="15.75" customHeight="1">
      <c r="A1013" s="164"/>
      <c r="B1013" s="164"/>
      <c r="C1013" s="164"/>
      <c r="D1013" s="164"/>
      <c r="E1013" s="164"/>
      <c r="F1013" s="164"/>
      <c r="G1013" s="164"/>
      <c r="H1013" s="164"/>
      <c r="I1013" s="164"/>
      <c r="J1013" s="164"/>
      <c r="K1013" s="164"/>
      <c r="L1013" s="164"/>
      <c r="M1013" s="164"/>
      <c r="N1013" s="164"/>
      <c r="O1013" s="164"/>
      <c r="P1013" s="164"/>
      <c r="Q1013" s="164"/>
      <c r="R1013" s="164"/>
      <c r="S1013" s="164"/>
      <c r="T1013" s="164"/>
      <c r="U1013" s="164"/>
      <c r="V1013" s="164"/>
      <c r="W1013" s="164"/>
      <c r="X1013" s="164"/>
      <c r="Y1013" s="164"/>
    </row>
    <row r="1014" ht="15.75" customHeight="1">
      <c r="A1014" s="164"/>
      <c r="B1014" s="164"/>
      <c r="C1014" s="164"/>
      <c r="D1014" s="164"/>
      <c r="E1014" s="164"/>
      <c r="F1014" s="164"/>
      <c r="G1014" s="164"/>
      <c r="H1014" s="164"/>
      <c r="I1014" s="164"/>
      <c r="J1014" s="164"/>
      <c r="K1014" s="164"/>
      <c r="L1014" s="164"/>
      <c r="M1014" s="164"/>
      <c r="N1014" s="164"/>
      <c r="O1014" s="164"/>
      <c r="P1014" s="164"/>
      <c r="Q1014" s="164"/>
      <c r="R1014" s="164"/>
      <c r="S1014" s="164"/>
      <c r="T1014" s="164"/>
      <c r="U1014" s="164"/>
      <c r="V1014" s="164"/>
      <c r="W1014" s="164"/>
      <c r="X1014" s="164"/>
      <c r="Y1014" s="164"/>
    </row>
    <row r="1015" ht="15.75" customHeight="1">
      <c r="A1015" s="164"/>
      <c r="B1015" s="164"/>
      <c r="C1015" s="164"/>
      <c r="D1015" s="164"/>
      <c r="E1015" s="164"/>
      <c r="F1015" s="164"/>
      <c r="G1015" s="164"/>
      <c r="H1015" s="164"/>
      <c r="I1015" s="164"/>
      <c r="J1015" s="164"/>
      <c r="K1015" s="164"/>
      <c r="L1015" s="164"/>
      <c r="M1015" s="164"/>
      <c r="N1015" s="164"/>
      <c r="O1015" s="164"/>
      <c r="P1015" s="164"/>
      <c r="Q1015" s="164"/>
      <c r="R1015" s="164"/>
      <c r="S1015" s="164"/>
      <c r="T1015" s="164"/>
      <c r="U1015" s="164"/>
      <c r="V1015" s="164"/>
      <c r="W1015" s="164"/>
      <c r="X1015" s="164"/>
      <c r="Y1015" s="164"/>
    </row>
    <row r="1016" ht="15.75" customHeight="1">
      <c r="A1016" s="164"/>
      <c r="B1016" s="164"/>
      <c r="C1016" s="164"/>
      <c r="D1016" s="164"/>
      <c r="E1016" s="164"/>
      <c r="F1016" s="164"/>
      <c r="G1016" s="164"/>
      <c r="H1016" s="164"/>
      <c r="I1016" s="164"/>
      <c r="J1016" s="164"/>
      <c r="K1016" s="164"/>
      <c r="L1016" s="164"/>
      <c r="M1016" s="164"/>
      <c r="N1016" s="164"/>
      <c r="O1016" s="164"/>
      <c r="P1016" s="164"/>
      <c r="Q1016" s="164"/>
      <c r="R1016" s="164"/>
      <c r="S1016" s="164"/>
      <c r="T1016" s="164"/>
      <c r="U1016" s="164"/>
      <c r="V1016" s="164"/>
      <c r="W1016" s="164"/>
      <c r="X1016" s="164"/>
      <c r="Y1016" s="164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IFERROR(__xludf.DUMMYFUNCTION("IMPORTRANGE(""https://docs.google.com/spreadsheets/d/1qQwqqsNxMG0D4hGzp2lQodpwhpcQ68bQmZOliRVjkhw/edit?gid=1517909373#gid=1517909373"",""1-3 actividades fisicas y deportivas ii!A1:Q86"")"),"")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IFERROR(__xludf.DUMMYFUNCTION("""COMPUTED_VALUE"""),"MICHAEL GOMEZ GUZMAN")</f>
        <v>MICHAEL GOMEZ GUZMAN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IFERROR(__xludf.DUMMYFUNCTION("""COMPUTED_VALUE"""),"ACTIVIDADES FÍSICAS Y DEPORTIVAS II")</f>
        <v>ACTIVIDADES FÍSICAS Y DEPORTIVAS II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IFERROR(__xludf.DUMMYFUNCTION("""COMPUTED_VALUE"""),"1°")</f>
        <v>1°</v>
      </c>
      <c r="C15" s="144" t="str">
        <f>IFERROR(__xludf.DUMMYFUNCTION("""COMPUTED_VALUE"""),"GRUPO")</f>
        <v>GRUPO</v>
      </c>
      <c r="D15" s="144">
        <f>IFERROR(__xludf.DUMMYFUNCTION("""COMPUTED_VALUE"""),3.0)</f>
        <v>3</v>
      </c>
      <c r="E15" s="32"/>
      <c r="F15" s="32"/>
      <c r="G15" s="39"/>
      <c r="H15" s="145"/>
      <c r="I15" s="146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7" t="str">
        <f>IFERROR(__xludf.DUMMYFUNCTION("""COMPUTED_VALUE"""),"No.")</f>
        <v>No.</v>
      </c>
      <c r="B16" s="148" t="str">
        <f>IFERROR(__xludf.DUMMYFUNCTION("""COMPUTED_VALUE"""),"NOMBRE DEL ALUMNO")</f>
        <v>NOMBRE DEL ALUMNO</v>
      </c>
      <c r="C16" s="27"/>
      <c r="D16" s="28"/>
      <c r="E16" s="46"/>
      <c r="F16" s="46"/>
      <c r="G16" s="149"/>
      <c r="H16" s="150" t="str">
        <f>IFERROR(__xludf.DUMMYFUNCTION("""COMPUTED_VALUE"""),"Suma")</f>
        <v>Suma</v>
      </c>
      <c r="I16" s="151" t="str">
        <f>IFERROR(__xludf.DUMMYFUNCTION("""COMPUTED_VALUE"""),"Faltas")</f>
        <v>Faltas</v>
      </c>
      <c r="J16" s="151" t="str">
        <f>IFERROR(__xludf.DUMMYFUNCTION("""COMPUTED_VALUE"""),"Calificación Definitiva")</f>
        <v>Calificación Definitiva</v>
      </c>
      <c r="K16" s="152" t="str">
        <f>IFERROR(__xludf.DUMMYFUNCTION("""COMPUTED_VALUE"""),"FIRMA")</f>
        <v>FIRMA</v>
      </c>
      <c r="L16" s="151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3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IFERROR(__xludf.DUMMYFUNCTION("""COMPUTED_VALUE"""),"VARELA")</f>
        <v>VARELA</v>
      </c>
      <c r="D17" s="54" t="str">
        <f>IFERROR(__xludf.DUMMYFUNCTION("""COMPUTED_VALUE"""),"ISAIAS HAZAEL")</f>
        <v>ISAIAS HAZAEL</v>
      </c>
      <c r="E17" s="154">
        <f>IFERROR(__xludf.DUMMYFUNCTION("""COMPUTED_VALUE"""),8.0)</f>
        <v>8</v>
      </c>
      <c r="F17" s="154">
        <f>IFERROR(__xludf.DUMMYFUNCTION("""COMPUTED_VALUE"""),2.0)</f>
        <v>2</v>
      </c>
      <c r="G17" s="154"/>
      <c r="H17" s="155">
        <f>IFERROR(__xludf.DUMMYFUNCTION("""COMPUTED_VALUE"""),10.0)</f>
        <v>10</v>
      </c>
      <c r="I17" s="156">
        <f>IFERROR(__xludf.DUMMYFUNCTION("""COMPUTED_VALUE"""),0.0)</f>
        <v>0</v>
      </c>
      <c r="J17" s="157">
        <f>IFERROR(__xludf.DUMMYFUNCTION("""COMPUTED_VALUE"""),10.0)</f>
        <v>10</v>
      </c>
      <c r="K17" s="158"/>
      <c r="L17" s="159">
        <f>IFERROR(__xludf.DUMMYFUNCTION("""COMPUTED_VALUE"""),10.0)</f>
        <v>10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3">
        <f>IFERROR(__xludf.DUMMYFUNCTION("""COMPUTED_VALUE"""),2.0)</f>
        <v>2</v>
      </c>
      <c r="B18" s="52" t="str">
        <f>IFERROR(__xludf.DUMMYFUNCTION("""COMPUTED_VALUE"""),"ANDRADE")</f>
        <v>ANDRADE</v>
      </c>
      <c r="C18" s="53" t="str">
        <f>IFERROR(__xludf.DUMMYFUNCTION("""COMPUTED_VALUE"""),"LOPEZ")</f>
        <v>LOPEZ</v>
      </c>
      <c r="D18" s="54" t="str">
        <f>IFERROR(__xludf.DUMMYFUNCTION("""COMPUTED_VALUE"""),"DAVID EMILIANO")</f>
        <v>DAVID EMILIANO</v>
      </c>
      <c r="E18" s="154">
        <f>IFERROR(__xludf.DUMMYFUNCTION("""COMPUTED_VALUE"""),8.0)</f>
        <v>8</v>
      </c>
      <c r="F18" s="154">
        <f>IFERROR(__xludf.DUMMYFUNCTION("""COMPUTED_VALUE"""),2.0)</f>
        <v>2</v>
      </c>
      <c r="G18" s="154"/>
      <c r="H18" s="155">
        <f>IFERROR(__xludf.DUMMYFUNCTION("""COMPUTED_VALUE"""),10.0)</f>
        <v>10</v>
      </c>
      <c r="I18" s="156">
        <f>IFERROR(__xludf.DUMMYFUNCTION("""COMPUTED_VALUE"""),0.0)</f>
        <v>0</v>
      </c>
      <c r="J18" s="157">
        <f>IFERROR(__xludf.DUMMYFUNCTION("""COMPUTED_VALUE"""),10.0)</f>
        <v>10</v>
      </c>
      <c r="K18" s="156"/>
      <c r="L18" s="159">
        <f>IFERROR(__xludf.DUMMYFUNCTION("""COMPUTED_VALUE"""),10.0)</f>
        <v>10</v>
      </c>
      <c r="M18" s="121" t="str">
        <f>IFERROR(__xludf.DUMMYFUNCTION("""COMPUTED_VALUE"""),"Febrero")</f>
        <v>Febrero</v>
      </c>
      <c r="N18" s="121">
        <f>IFERROR(__xludf.DUMMYFUNCTION("""COMPUTED_VALUE"""),4.0)</f>
        <v>4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3">
        <f>IFERROR(__xludf.DUMMYFUNCTION("""COMPUTED_VALUE"""),3.0)</f>
        <v>3</v>
      </c>
      <c r="B19" s="52" t="str">
        <f>IFERROR(__xludf.DUMMYFUNCTION("""COMPUTED_VALUE"""),"ARELLANO")</f>
        <v>ARELLANO</v>
      </c>
      <c r="C19" s="53" t="str">
        <f>IFERROR(__xludf.DUMMYFUNCTION("""COMPUTED_VALUE"""),"RAMIREZ")</f>
        <v>RAMIREZ</v>
      </c>
      <c r="D19" s="54" t="str">
        <f>IFERROR(__xludf.DUMMYFUNCTION("""COMPUTED_VALUE"""),"ALEJANDRO")</f>
        <v>ALEJANDRO</v>
      </c>
      <c r="E19" s="154">
        <f>IFERROR(__xludf.DUMMYFUNCTION("""COMPUTED_VALUE"""),8.0)</f>
        <v>8</v>
      </c>
      <c r="F19" s="154">
        <f>IFERROR(__xludf.DUMMYFUNCTION("""COMPUTED_VALUE"""),2.0)</f>
        <v>2</v>
      </c>
      <c r="G19" s="154"/>
      <c r="H19" s="155">
        <f>IFERROR(__xludf.DUMMYFUNCTION("""COMPUTED_VALUE"""),10.0)</f>
        <v>10</v>
      </c>
      <c r="I19" s="156">
        <f>IFERROR(__xludf.DUMMYFUNCTION("""COMPUTED_VALUE"""),0.0)</f>
        <v>0</v>
      </c>
      <c r="J19" s="157">
        <f>IFERROR(__xludf.DUMMYFUNCTION("""COMPUTED_VALUE"""),10.0)</f>
        <v>10</v>
      </c>
      <c r="K19" s="156"/>
      <c r="L19" s="159">
        <f>IFERROR(__xludf.DUMMYFUNCTION("""COMPUTED_VALUE"""),10.0)</f>
        <v>10</v>
      </c>
      <c r="M19" s="121" t="str">
        <f>IFERROR(__xludf.DUMMYFUNCTION("""COMPUTED_VALUE"""),"Marzo")</f>
        <v>Marzo</v>
      </c>
      <c r="N19" s="121">
        <f>IFERROR(__xludf.DUMMYFUNCTION("""COMPUTED_VALUE"""),8.0)</f>
        <v>8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3">
        <f>IFERROR(__xludf.DUMMYFUNCTION("""COMPUTED_VALUE"""),4.0)</f>
        <v>4</v>
      </c>
      <c r="B20" s="52" t="str">
        <f>IFERROR(__xludf.DUMMYFUNCTION("""COMPUTED_VALUE"""),"AVILA")</f>
        <v>AVILA</v>
      </c>
      <c r="C20" s="53" t="str">
        <f>IFERROR(__xludf.DUMMYFUNCTION("""COMPUTED_VALUE"""),"GARCIA")</f>
        <v>GARCIA</v>
      </c>
      <c r="D20" s="54" t="str">
        <f>IFERROR(__xludf.DUMMYFUNCTION("""COMPUTED_VALUE"""),"PARIS PAOLETTE")</f>
        <v>PARIS PAOLETTE</v>
      </c>
      <c r="E20" s="154">
        <f>IFERROR(__xludf.DUMMYFUNCTION("""COMPUTED_VALUE"""),8.0)</f>
        <v>8</v>
      </c>
      <c r="F20" s="154">
        <f>IFERROR(__xludf.DUMMYFUNCTION("""COMPUTED_VALUE"""),2.0)</f>
        <v>2</v>
      </c>
      <c r="G20" s="154"/>
      <c r="H20" s="155">
        <f>IFERROR(__xludf.DUMMYFUNCTION("""COMPUTED_VALUE"""),10.0)</f>
        <v>10</v>
      </c>
      <c r="I20" s="156">
        <f>IFERROR(__xludf.DUMMYFUNCTION("""COMPUTED_VALUE"""),0.0)</f>
        <v>0</v>
      </c>
      <c r="J20" s="157">
        <f>IFERROR(__xludf.DUMMYFUNCTION("""COMPUTED_VALUE"""),10.0)</f>
        <v>10</v>
      </c>
      <c r="K20" s="156"/>
      <c r="L20" s="159">
        <f>IFERROR(__xludf.DUMMYFUNCTION("""COMPUTED_VALUE"""),10.0)</f>
        <v>10</v>
      </c>
      <c r="M20" s="121" t="str">
        <f>IFERROR(__xludf.DUMMYFUNCTION("""COMPUTED_VALUE"""),"Abril")</f>
        <v>Abril</v>
      </c>
      <c r="N20" s="121">
        <f>IFERROR(__xludf.DUMMYFUNCTION("""COMPUTED_VALUE"""),6.0)</f>
        <v>6</v>
      </c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3">
        <f>IFERROR(__xludf.DUMMYFUNCTION("""COMPUTED_VALUE"""),5.0)</f>
        <v>5</v>
      </c>
      <c r="B21" s="52" t="str">
        <f>IFERROR(__xludf.DUMMYFUNCTION("""COMPUTED_VALUE"""),"BARRERA")</f>
        <v>BARRERA</v>
      </c>
      <c r="C21" s="62"/>
      <c r="D21" s="54" t="str">
        <f>IFERROR(__xludf.DUMMYFUNCTION("""COMPUTED_VALUE"""),"NAEEM")</f>
        <v>NAEEM</v>
      </c>
      <c r="E21" s="154">
        <f>IFERROR(__xludf.DUMMYFUNCTION("""COMPUTED_VALUE"""),8.0)</f>
        <v>8</v>
      </c>
      <c r="F21" s="154">
        <f>IFERROR(__xludf.DUMMYFUNCTION("""COMPUTED_VALUE"""),2.0)</f>
        <v>2</v>
      </c>
      <c r="G21" s="154"/>
      <c r="H21" s="155">
        <f>IFERROR(__xludf.DUMMYFUNCTION("""COMPUTED_VALUE"""),10.0)</f>
        <v>10</v>
      </c>
      <c r="I21" s="156">
        <f>IFERROR(__xludf.DUMMYFUNCTION("""COMPUTED_VALUE"""),0.0)</f>
        <v>0</v>
      </c>
      <c r="J21" s="157">
        <f>IFERROR(__xludf.DUMMYFUNCTION("""COMPUTED_VALUE"""),10.0)</f>
        <v>10</v>
      </c>
      <c r="K21" s="156"/>
      <c r="L21" s="159">
        <f>IFERROR(__xludf.DUMMYFUNCTION("""COMPUTED_VALUE"""),10.0)</f>
        <v>10</v>
      </c>
      <c r="M21" s="121" t="str">
        <f>IFERROR(__xludf.DUMMYFUNCTION("""COMPUTED_VALUE"""),"Mayo")</f>
        <v>Mayo</v>
      </c>
      <c r="N21" s="121">
        <f>IFERROR(__xludf.DUMMYFUNCTION("""COMPUTED_VALUE"""),6.0)</f>
        <v>6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3">
        <f>IFERROR(__xludf.DUMMYFUNCTION("""COMPUTED_VALUE"""),6.0)</f>
        <v>6</v>
      </c>
      <c r="B22" s="63" t="str">
        <f>IFERROR(__xludf.DUMMYFUNCTION("""COMPUTED_VALUE"""),"BLANCO")</f>
        <v>BLANCO</v>
      </c>
      <c r="C22" s="53" t="str">
        <f>IFERROR(__xludf.DUMMYFUNCTION("""COMPUTED_VALUE"""),"JARAMILLO")</f>
        <v>JARAMILLO</v>
      </c>
      <c r="D22" s="54" t="str">
        <f>IFERROR(__xludf.DUMMYFUNCTION("""COMPUTED_VALUE"""),"INGRID NATALIA")</f>
        <v>INGRID NATALIA</v>
      </c>
      <c r="E22" s="154">
        <f>IFERROR(__xludf.DUMMYFUNCTION("""COMPUTED_VALUE"""),8.0)</f>
        <v>8</v>
      </c>
      <c r="F22" s="154">
        <f>IFERROR(__xludf.DUMMYFUNCTION("""COMPUTED_VALUE"""),2.0)</f>
        <v>2</v>
      </c>
      <c r="G22" s="154"/>
      <c r="H22" s="155">
        <f>IFERROR(__xludf.DUMMYFUNCTION("""COMPUTED_VALUE"""),10.0)</f>
        <v>10</v>
      </c>
      <c r="I22" s="156">
        <f>IFERROR(__xludf.DUMMYFUNCTION("""COMPUTED_VALUE"""),0.0)</f>
        <v>0</v>
      </c>
      <c r="J22" s="157">
        <f>IFERROR(__xludf.DUMMYFUNCTION("""COMPUTED_VALUE"""),10.0)</f>
        <v>10</v>
      </c>
      <c r="K22" s="156"/>
      <c r="L22" s="159">
        <f>IFERROR(__xludf.DUMMYFUNCTION("""COMPUTED_VALUE"""),10.0)</f>
        <v>10</v>
      </c>
      <c r="M22" s="121" t="str">
        <f>IFERROR(__xludf.DUMMYFUNCTION("""COMPUTED_VALUE"""),"Junio")</f>
        <v>Junio</v>
      </c>
      <c r="N22" s="121">
        <f>IFERROR(__xludf.DUMMYFUNCTION("""COMPUTED_VALUE"""),8.0)</f>
        <v>8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3">
        <f>IFERROR(__xludf.DUMMYFUNCTION("""COMPUTED_VALUE"""),7.0)</f>
        <v>7</v>
      </c>
      <c r="B23" s="52" t="str">
        <f>IFERROR(__xludf.DUMMYFUNCTION("""COMPUTED_VALUE"""),"CARLOS")</f>
        <v>CARLOS</v>
      </c>
      <c r="C23" s="53" t="str">
        <f>IFERROR(__xludf.DUMMYFUNCTION("""COMPUTED_VALUE"""),"DE LA CRUZ")</f>
        <v>DE LA CRUZ</v>
      </c>
      <c r="D23" s="54" t="str">
        <f>IFERROR(__xludf.DUMMYFUNCTION("""COMPUTED_VALUE"""),"JAVIER")</f>
        <v>JAVIER</v>
      </c>
      <c r="E23" s="154">
        <f>IFERROR(__xludf.DUMMYFUNCTION("""COMPUTED_VALUE"""),8.0)</f>
        <v>8</v>
      </c>
      <c r="F23" s="154">
        <f>IFERROR(__xludf.DUMMYFUNCTION("""COMPUTED_VALUE"""),2.0)</f>
        <v>2</v>
      </c>
      <c r="G23" s="154"/>
      <c r="H23" s="155">
        <f>IFERROR(__xludf.DUMMYFUNCTION("""COMPUTED_VALUE"""),10.0)</f>
        <v>10</v>
      </c>
      <c r="I23" s="156">
        <f>IFERROR(__xludf.DUMMYFUNCTION("""COMPUTED_VALUE"""),0.0)</f>
        <v>0</v>
      </c>
      <c r="J23" s="157">
        <f>IFERROR(__xludf.DUMMYFUNCTION("""COMPUTED_VALUE"""),10.0)</f>
        <v>10</v>
      </c>
      <c r="K23" s="156"/>
      <c r="L23" s="159">
        <f>IFERROR(__xludf.DUMMYFUNCTION("""COMPUTED_VALUE"""),10.0)</f>
        <v>10</v>
      </c>
      <c r="M23" s="121" t="str">
        <f>IFERROR(__xludf.DUMMYFUNCTION("""COMPUTED_VALUE"""),"Julio")</f>
        <v>Julio</v>
      </c>
      <c r="N23" s="121">
        <f>IFERROR(__xludf.DUMMYFUNCTION("""COMPUTED_VALUE"""),4.0)</f>
        <v>4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3">
        <f>IFERROR(__xludf.DUMMYFUNCTION("""COMPUTED_VALUE"""),8.0)</f>
        <v>8</v>
      </c>
      <c r="B24" s="52" t="str">
        <f>IFERROR(__xludf.DUMMYFUNCTION("""COMPUTED_VALUE"""),"CARRICHE")</f>
        <v>CARRICHE</v>
      </c>
      <c r="C24" s="53" t="str">
        <f>IFERROR(__xludf.DUMMYFUNCTION("""COMPUTED_VALUE"""),"HERNANDEZ")</f>
        <v>HERNANDEZ</v>
      </c>
      <c r="D24" s="54" t="str">
        <f>IFERROR(__xludf.DUMMYFUNCTION("""COMPUTED_VALUE"""),"DIEGO IVAN")</f>
        <v>DIEGO IVAN</v>
      </c>
      <c r="E24" s="154">
        <f>IFERROR(__xludf.DUMMYFUNCTION("""COMPUTED_VALUE"""),8.0)</f>
        <v>8</v>
      </c>
      <c r="F24" s="154">
        <f>IFERROR(__xludf.DUMMYFUNCTION("""COMPUTED_VALUE"""),2.0)</f>
        <v>2</v>
      </c>
      <c r="G24" s="154"/>
      <c r="H24" s="155">
        <f>IFERROR(__xludf.DUMMYFUNCTION("""COMPUTED_VALUE"""),10.0)</f>
        <v>10</v>
      </c>
      <c r="I24" s="156">
        <f>IFERROR(__xludf.DUMMYFUNCTION("""COMPUTED_VALUE"""),0.0)</f>
        <v>0</v>
      </c>
      <c r="J24" s="157">
        <f>IFERROR(__xludf.DUMMYFUNCTION("""COMPUTED_VALUE"""),10.0)</f>
        <v>10</v>
      </c>
      <c r="K24" s="156"/>
      <c r="L24" s="159">
        <f>IFERROR(__xludf.DUMMYFUNCTION("""COMPUTED_VALUE"""),10.0)</f>
        <v>10</v>
      </c>
      <c r="M24" s="121" t="str">
        <f>IFERROR(__xludf.DUMMYFUNCTION("""COMPUTED_VALUE"""),"TOTAL")</f>
        <v>TOTAL</v>
      </c>
      <c r="N24" s="121">
        <f>IFERROR(__xludf.DUMMYFUNCTION("""COMPUTED_VALUE"""),36.0)</f>
        <v>36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3">
        <f>IFERROR(__xludf.DUMMYFUNCTION("""COMPUTED_VALUE"""),9.0)</f>
        <v>9</v>
      </c>
      <c r="B25" s="52" t="str">
        <f>IFERROR(__xludf.DUMMYFUNCTION("""COMPUTED_VALUE"""),"CASTILLO")</f>
        <v>CASTILLO</v>
      </c>
      <c r="C25" s="53" t="str">
        <f>IFERROR(__xludf.DUMMYFUNCTION("""COMPUTED_VALUE"""),"DOMINGUEZ")</f>
        <v>DOMINGUEZ</v>
      </c>
      <c r="D25" s="54" t="str">
        <f>IFERROR(__xludf.DUMMYFUNCTION("""COMPUTED_VALUE"""),"EMANUEL")</f>
        <v>EMANUEL</v>
      </c>
      <c r="E25" s="154">
        <f>IFERROR(__xludf.DUMMYFUNCTION("""COMPUTED_VALUE"""),8.0)</f>
        <v>8</v>
      </c>
      <c r="F25" s="154">
        <f>IFERROR(__xludf.DUMMYFUNCTION("""COMPUTED_VALUE"""),2.0)</f>
        <v>2</v>
      </c>
      <c r="G25" s="154"/>
      <c r="H25" s="155">
        <f>IFERROR(__xludf.DUMMYFUNCTION("""COMPUTED_VALUE"""),10.0)</f>
        <v>10</v>
      </c>
      <c r="I25" s="156">
        <f>IFERROR(__xludf.DUMMYFUNCTION("""COMPUTED_VALUE"""),0.0)</f>
        <v>0</v>
      </c>
      <c r="J25" s="157">
        <f>IFERROR(__xludf.DUMMYFUNCTION("""COMPUTED_VALUE"""),10.0)</f>
        <v>10</v>
      </c>
      <c r="K25" s="156"/>
      <c r="L25" s="159">
        <f>IFERROR(__xludf.DUMMYFUNCTION("""COMPUTED_VALUE"""),10.0)</f>
        <v>10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3">
        <f>IFERROR(__xludf.DUMMYFUNCTION("""COMPUTED_VALUE"""),10.0)</f>
        <v>10</v>
      </c>
      <c r="B26" s="52" t="str">
        <f>IFERROR(__xludf.DUMMYFUNCTION("""COMPUTED_VALUE"""),"COMO")</f>
        <v>COMO</v>
      </c>
      <c r="C26" s="53" t="str">
        <f>IFERROR(__xludf.DUMMYFUNCTION("""COMPUTED_VALUE"""),"MONTOYA")</f>
        <v>MONTOYA</v>
      </c>
      <c r="D26" s="54" t="str">
        <f>IFERROR(__xludf.DUMMYFUNCTION("""COMPUTED_VALUE"""),"ANGEL GIOVANNY")</f>
        <v>ANGEL GIOVANNY</v>
      </c>
      <c r="E26" s="154">
        <f>IFERROR(__xludf.DUMMYFUNCTION("""COMPUTED_VALUE"""),8.0)</f>
        <v>8</v>
      </c>
      <c r="F26" s="154">
        <f>IFERROR(__xludf.DUMMYFUNCTION("""COMPUTED_VALUE"""),2.0)</f>
        <v>2</v>
      </c>
      <c r="G26" s="154"/>
      <c r="H26" s="155">
        <f>IFERROR(__xludf.DUMMYFUNCTION("""COMPUTED_VALUE"""),10.0)</f>
        <v>10</v>
      </c>
      <c r="I26" s="156">
        <f>IFERROR(__xludf.DUMMYFUNCTION("""COMPUTED_VALUE"""),0.0)</f>
        <v>0</v>
      </c>
      <c r="J26" s="157">
        <f>IFERROR(__xludf.DUMMYFUNCTION("""COMPUTED_VALUE"""),10.0)</f>
        <v>10</v>
      </c>
      <c r="K26" s="156"/>
      <c r="L26" s="159">
        <f>IFERROR(__xludf.DUMMYFUNCTION("""COMPUTED_VALUE"""),10.0)</f>
        <v>10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3">
        <f>IFERROR(__xludf.DUMMYFUNCTION("""COMPUTED_VALUE"""),11.0)</f>
        <v>11</v>
      </c>
      <c r="B27" s="52" t="str">
        <f>IFERROR(__xludf.DUMMYFUNCTION("""COMPUTED_VALUE"""),"CORTES")</f>
        <v>CORTES</v>
      </c>
      <c r="C27" s="53" t="str">
        <f>IFERROR(__xludf.DUMMYFUNCTION("""COMPUTED_VALUE"""),"VAZQUEZ")</f>
        <v>VAZQUEZ</v>
      </c>
      <c r="D27" s="53" t="str">
        <f>IFERROR(__xludf.DUMMYFUNCTION("""COMPUTED_VALUE"""),"ZULEIMA")</f>
        <v>ZULEIMA</v>
      </c>
      <c r="E27" s="154">
        <f>IFERROR(__xludf.DUMMYFUNCTION("""COMPUTED_VALUE"""),8.0)</f>
        <v>8</v>
      </c>
      <c r="F27" s="154">
        <f>IFERROR(__xludf.DUMMYFUNCTION("""COMPUTED_VALUE"""),2.0)</f>
        <v>2</v>
      </c>
      <c r="G27" s="154"/>
      <c r="H27" s="155">
        <f>IFERROR(__xludf.DUMMYFUNCTION("""COMPUTED_VALUE"""),10.0)</f>
        <v>10</v>
      </c>
      <c r="I27" s="156">
        <f>IFERROR(__xludf.DUMMYFUNCTION("""COMPUTED_VALUE"""),0.0)</f>
        <v>0</v>
      </c>
      <c r="J27" s="157">
        <f>IFERROR(__xludf.DUMMYFUNCTION("""COMPUTED_VALUE"""),10.0)</f>
        <v>10</v>
      </c>
      <c r="K27" s="156"/>
      <c r="L27" s="159">
        <f>IFERROR(__xludf.DUMMYFUNCTION("""COMPUTED_VALUE"""),10.0)</f>
        <v>10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3">
        <f>IFERROR(__xludf.DUMMYFUNCTION("""COMPUTED_VALUE"""),12.0)</f>
        <v>12</v>
      </c>
      <c r="B28" s="52" t="str">
        <f>IFERROR(__xludf.DUMMYFUNCTION("""COMPUTED_VALUE"""),"CRUZ")</f>
        <v>CRUZ</v>
      </c>
      <c r="C28" s="53" t="str">
        <f>IFERROR(__xludf.DUMMYFUNCTION("""COMPUTED_VALUE"""),"BAUTISTA")</f>
        <v>BAUTISTA</v>
      </c>
      <c r="D28" s="54" t="str">
        <f>IFERROR(__xludf.DUMMYFUNCTION("""COMPUTED_VALUE"""),"YAEL ABDIEL")</f>
        <v>YAEL ABDIEL</v>
      </c>
      <c r="E28" s="154">
        <f>IFERROR(__xludf.DUMMYFUNCTION("""COMPUTED_VALUE"""),8.0)</f>
        <v>8</v>
      </c>
      <c r="F28" s="154">
        <f>IFERROR(__xludf.DUMMYFUNCTION("""COMPUTED_VALUE"""),2.0)</f>
        <v>2</v>
      </c>
      <c r="G28" s="154"/>
      <c r="H28" s="155">
        <f>IFERROR(__xludf.DUMMYFUNCTION("""COMPUTED_VALUE"""),10.0)</f>
        <v>10</v>
      </c>
      <c r="I28" s="156">
        <f>IFERROR(__xludf.DUMMYFUNCTION("""COMPUTED_VALUE"""),0.0)</f>
        <v>0</v>
      </c>
      <c r="J28" s="157">
        <f>IFERROR(__xludf.DUMMYFUNCTION("""COMPUTED_VALUE"""),10.0)</f>
        <v>10</v>
      </c>
      <c r="K28" s="156"/>
      <c r="L28" s="159">
        <f>IFERROR(__xludf.DUMMYFUNCTION("""COMPUTED_VALUE"""),10.0)</f>
        <v>10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3">
        <f>IFERROR(__xludf.DUMMYFUNCTION("""COMPUTED_VALUE"""),13.0)</f>
        <v>13</v>
      </c>
      <c r="B29" s="52" t="str">
        <f>IFERROR(__xludf.DUMMYFUNCTION("""COMPUTED_VALUE"""),"CRUZ")</f>
        <v>CRUZ</v>
      </c>
      <c r="C29" s="53" t="str">
        <f>IFERROR(__xludf.DUMMYFUNCTION("""COMPUTED_VALUE"""),"NUÑEZ")</f>
        <v>NUÑEZ</v>
      </c>
      <c r="D29" s="54" t="str">
        <f>IFERROR(__xludf.DUMMYFUNCTION("""COMPUTED_VALUE"""),"XIMENA LIZVET")</f>
        <v>XIMENA LIZVET</v>
      </c>
      <c r="E29" s="154">
        <f>IFERROR(__xludf.DUMMYFUNCTION("""COMPUTED_VALUE"""),8.0)</f>
        <v>8</v>
      </c>
      <c r="F29" s="154">
        <f>IFERROR(__xludf.DUMMYFUNCTION("""COMPUTED_VALUE"""),2.0)</f>
        <v>2</v>
      </c>
      <c r="G29" s="154"/>
      <c r="H29" s="155">
        <f>IFERROR(__xludf.DUMMYFUNCTION("""COMPUTED_VALUE"""),10.0)</f>
        <v>10</v>
      </c>
      <c r="I29" s="156">
        <f>IFERROR(__xludf.DUMMYFUNCTION("""COMPUTED_VALUE"""),0.0)</f>
        <v>0</v>
      </c>
      <c r="J29" s="157">
        <f>IFERROR(__xludf.DUMMYFUNCTION("""COMPUTED_VALUE"""),10.0)</f>
        <v>10</v>
      </c>
      <c r="K29" s="156"/>
      <c r="L29" s="159">
        <f>IFERROR(__xludf.DUMMYFUNCTION("""COMPUTED_VALUE"""),10.0)</f>
        <v>10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3">
        <f>IFERROR(__xludf.DUMMYFUNCTION("""COMPUTED_VALUE"""),14.0)</f>
        <v>14</v>
      </c>
      <c r="B30" s="52" t="str">
        <f>IFERROR(__xludf.DUMMYFUNCTION("""COMPUTED_VALUE"""),"DE JESUS")</f>
        <v>DE JESUS</v>
      </c>
      <c r="C30" s="53" t="str">
        <f>IFERROR(__xludf.DUMMYFUNCTION("""COMPUTED_VALUE"""),"GONZALEZ")</f>
        <v>GONZALEZ</v>
      </c>
      <c r="D30" s="54" t="str">
        <f>IFERROR(__xludf.DUMMYFUNCTION("""COMPUTED_VALUE"""),"SHARON NOEMI")</f>
        <v>SHARON NOEMI</v>
      </c>
      <c r="E30" s="154">
        <f>IFERROR(__xludf.DUMMYFUNCTION("""COMPUTED_VALUE"""),8.0)</f>
        <v>8</v>
      </c>
      <c r="F30" s="154">
        <f>IFERROR(__xludf.DUMMYFUNCTION("""COMPUTED_VALUE"""),2.0)</f>
        <v>2</v>
      </c>
      <c r="G30" s="154"/>
      <c r="H30" s="155">
        <f>IFERROR(__xludf.DUMMYFUNCTION("""COMPUTED_VALUE"""),10.0)</f>
        <v>10</v>
      </c>
      <c r="I30" s="156">
        <f>IFERROR(__xludf.DUMMYFUNCTION("""COMPUTED_VALUE"""),0.0)</f>
        <v>0</v>
      </c>
      <c r="J30" s="157">
        <f>IFERROR(__xludf.DUMMYFUNCTION("""COMPUTED_VALUE"""),10.0)</f>
        <v>10</v>
      </c>
      <c r="K30" s="156"/>
      <c r="L30" s="159">
        <f>IFERROR(__xludf.DUMMYFUNCTION("""COMPUTED_VALUE"""),10.0)</f>
        <v>10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3">
        <f>IFERROR(__xludf.DUMMYFUNCTION("""COMPUTED_VALUE"""),15.0)</f>
        <v>15</v>
      </c>
      <c r="B31" s="52" t="str">
        <f>IFERROR(__xludf.DUMMYFUNCTION("""COMPUTED_VALUE"""),"DE SANTIAGO")</f>
        <v>DE SANTIAGO</v>
      </c>
      <c r="C31" s="64" t="str">
        <f>IFERROR(__xludf.DUMMYFUNCTION("""COMPUTED_VALUE"""),"SANCHEZ")</f>
        <v>SANCHEZ</v>
      </c>
      <c r="D31" s="54" t="str">
        <f>IFERROR(__xludf.DUMMYFUNCTION("""COMPUTED_VALUE"""),"OSCAR")</f>
        <v>OSCAR</v>
      </c>
      <c r="E31" s="154">
        <f>IFERROR(__xludf.DUMMYFUNCTION("""COMPUTED_VALUE"""),8.0)</f>
        <v>8</v>
      </c>
      <c r="F31" s="154">
        <f>IFERROR(__xludf.DUMMYFUNCTION("""COMPUTED_VALUE"""),2.0)</f>
        <v>2</v>
      </c>
      <c r="G31" s="154"/>
      <c r="H31" s="155">
        <f>IFERROR(__xludf.DUMMYFUNCTION("""COMPUTED_VALUE"""),10.0)</f>
        <v>10</v>
      </c>
      <c r="I31" s="156">
        <f>IFERROR(__xludf.DUMMYFUNCTION("""COMPUTED_VALUE"""),0.0)</f>
        <v>0</v>
      </c>
      <c r="J31" s="157">
        <f>IFERROR(__xludf.DUMMYFUNCTION("""COMPUTED_VALUE"""),10.0)</f>
        <v>10</v>
      </c>
      <c r="K31" s="156"/>
      <c r="L31" s="159">
        <f>IFERROR(__xludf.DUMMYFUNCTION("""COMPUTED_VALUE"""),10.0)</f>
        <v>10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3">
        <f>IFERROR(__xludf.DUMMYFUNCTION("""COMPUTED_VALUE"""),16.0)</f>
        <v>16</v>
      </c>
      <c r="B32" s="52" t="str">
        <f>IFERROR(__xludf.DUMMYFUNCTION("""COMPUTED_VALUE"""),"DOMINGUEZ")</f>
        <v>DOMINGUEZ</v>
      </c>
      <c r="C32" s="53" t="str">
        <f>IFERROR(__xludf.DUMMYFUNCTION("""COMPUTED_VALUE"""),"RODRIGUEZ")</f>
        <v>RODRIGUEZ</v>
      </c>
      <c r="D32" s="54" t="str">
        <f>IFERROR(__xludf.DUMMYFUNCTION("""COMPUTED_VALUE"""),"ISABELLA VICTORIA")</f>
        <v>ISABELLA VICTORIA</v>
      </c>
      <c r="E32" s="154">
        <f>IFERROR(__xludf.DUMMYFUNCTION("""COMPUTED_VALUE"""),8.0)</f>
        <v>8</v>
      </c>
      <c r="F32" s="154">
        <f>IFERROR(__xludf.DUMMYFUNCTION("""COMPUTED_VALUE"""),2.0)</f>
        <v>2</v>
      </c>
      <c r="G32" s="154"/>
      <c r="H32" s="155">
        <f>IFERROR(__xludf.DUMMYFUNCTION("""COMPUTED_VALUE"""),10.0)</f>
        <v>10</v>
      </c>
      <c r="I32" s="156">
        <f>IFERROR(__xludf.DUMMYFUNCTION("""COMPUTED_VALUE"""),0.0)</f>
        <v>0</v>
      </c>
      <c r="J32" s="157">
        <f>IFERROR(__xludf.DUMMYFUNCTION("""COMPUTED_VALUE"""),10.0)</f>
        <v>10</v>
      </c>
      <c r="K32" s="156"/>
      <c r="L32" s="159">
        <f>IFERROR(__xludf.DUMMYFUNCTION("""COMPUTED_VALUE"""),10.0)</f>
        <v>10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3">
        <f>IFERROR(__xludf.DUMMYFUNCTION("""COMPUTED_VALUE"""),17.0)</f>
        <v>17</v>
      </c>
      <c r="B33" s="52" t="str">
        <f>IFERROR(__xludf.DUMMYFUNCTION("""COMPUTED_VALUE"""),"ESLAVA")</f>
        <v>ESLAVA</v>
      </c>
      <c r="C33" s="53" t="str">
        <f>IFERROR(__xludf.DUMMYFUNCTION("""COMPUTED_VALUE"""),"CEDILLO")</f>
        <v>CEDILLO</v>
      </c>
      <c r="D33" s="54" t="str">
        <f>IFERROR(__xludf.DUMMYFUNCTION("""COMPUTED_VALUE"""),"DIEGO EVERARDO")</f>
        <v>DIEGO EVERARDO</v>
      </c>
      <c r="E33" s="154">
        <f>IFERROR(__xludf.DUMMYFUNCTION("""COMPUTED_VALUE"""),8.0)</f>
        <v>8</v>
      </c>
      <c r="F33" s="154">
        <f>IFERROR(__xludf.DUMMYFUNCTION("""COMPUTED_VALUE"""),2.0)</f>
        <v>2</v>
      </c>
      <c r="G33" s="154"/>
      <c r="H33" s="155">
        <f>IFERROR(__xludf.DUMMYFUNCTION("""COMPUTED_VALUE"""),10.0)</f>
        <v>10</v>
      </c>
      <c r="I33" s="156">
        <f>IFERROR(__xludf.DUMMYFUNCTION("""COMPUTED_VALUE"""),1.0)</f>
        <v>1</v>
      </c>
      <c r="J33" s="157">
        <f>IFERROR(__xludf.DUMMYFUNCTION("""COMPUTED_VALUE"""),10.0)</f>
        <v>10</v>
      </c>
      <c r="K33" s="156"/>
      <c r="L33" s="159">
        <f>IFERROR(__xludf.DUMMYFUNCTION("""COMPUTED_VALUE"""),10.0)</f>
        <v>10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3">
        <f>IFERROR(__xludf.DUMMYFUNCTION("""COMPUTED_VALUE"""),18.0)</f>
        <v>18</v>
      </c>
      <c r="B34" s="52" t="str">
        <f>IFERROR(__xludf.DUMMYFUNCTION("""COMPUTED_VALUE"""),"FLORES")</f>
        <v>FLORES</v>
      </c>
      <c r="C34" s="53" t="str">
        <f>IFERROR(__xludf.DUMMYFUNCTION("""COMPUTED_VALUE"""),"GARCIA")</f>
        <v>GARCIA</v>
      </c>
      <c r="D34" s="54" t="str">
        <f>IFERROR(__xludf.DUMMYFUNCTION("""COMPUTED_VALUE"""),"BYRON ALBERTO")</f>
        <v>BYRON ALBERTO</v>
      </c>
      <c r="E34" s="154">
        <f>IFERROR(__xludf.DUMMYFUNCTION("""COMPUTED_VALUE"""),8.0)</f>
        <v>8</v>
      </c>
      <c r="F34" s="154">
        <f>IFERROR(__xludf.DUMMYFUNCTION("""COMPUTED_VALUE"""),2.0)</f>
        <v>2</v>
      </c>
      <c r="G34" s="154"/>
      <c r="H34" s="155">
        <f>IFERROR(__xludf.DUMMYFUNCTION("""COMPUTED_VALUE"""),10.0)</f>
        <v>10</v>
      </c>
      <c r="I34" s="156">
        <f>IFERROR(__xludf.DUMMYFUNCTION("""COMPUTED_VALUE"""),0.0)</f>
        <v>0</v>
      </c>
      <c r="J34" s="157">
        <f>IFERROR(__xludf.DUMMYFUNCTION("""COMPUTED_VALUE"""),10.0)</f>
        <v>10</v>
      </c>
      <c r="K34" s="156"/>
      <c r="L34" s="159">
        <f>IFERROR(__xludf.DUMMYFUNCTION("""COMPUTED_VALUE"""),10.0)</f>
        <v>10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3">
        <f>IFERROR(__xludf.DUMMYFUNCTION("""COMPUTED_VALUE"""),19.0)</f>
        <v>19</v>
      </c>
      <c r="B35" s="52" t="str">
        <f>IFERROR(__xludf.DUMMYFUNCTION("""COMPUTED_VALUE"""),"GARCIA")</f>
        <v>GARCIA</v>
      </c>
      <c r="C35" s="53" t="str">
        <f>IFERROR(__xludf.DUMMYFUNCTION("""COMPUTED_VALUE"""),"ESCOBAR")</f>
        <v>ESCOBAR</v>
      </c>
      <c r="D35" s="54" t="str">
        <f>IFERROR(__xludf.DUMMYFUNCTION("""COMPUTED_VALUE"""),"DALIA ANGELINA")</f>
        <v>DALIA ANGELINA</v>
      </c>
      <c r="E35" s="154">
        <f>IFERROR(__xludf.DUMMYFUNCTION("""COMPUTED_VALUE"""),8.0)</f>
        <v>8</v>
      </c>
      <c r="F35" s="154">
        <f>IFERROR(__xludf.DUMMYFUNCTION("""COMPUTED_VALUE"""),2.0)</f>
        <v>2</v>
      </c>
      <c r="G35" s="154"/>
      <c r="H35" s="155">
        <f>IFERROR(__xludf.DUMMYFUNCTION("""COMPUTED_VALUE"""),10.0)</f>
        <v>10</v>
      </c>
      <c r="I35" s="156">
        <f>IFERROR(__xludf.DUMMYFUNCTION("""COMPUTED_VALUE"""),0.0)</f>
        <v>0</v>
      </c>
      <c r="J35" s="157">
        <f>IFERROR(__xludf.DUMMYFUNCTION("""COMPUTED_VALUE"""),10.0)</f>
        <v>10</v>
      </c>
      <c r="K35" s="156"/>
      <c r="L35" s="159">
        <f>IFERROR(__xludf.DUMMYFUNCTION("""COMPUTED_VALUE"""),10.0)</f>
        <v>10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3">
        <f>IFERROR(__xludf.DUMMYFUNCTION("""COMPUTED_VALUE"""),20.0)</f>
        <v>20</v>
      </c>
      <c r="B36" s="52" t="str">
        <f>IFERROR(__xludf.DUMMYFUNCTION("""COMPUTED_VALUE"""),"GONZALEZ")</f>
        <v>GONZALEZ</v>
      </c>
      <c r="C36" s="53" t="str">
        <f>IFERROR(__xludf.DUMMYFUNCTION("""COMPUTED_VALUE"""),"BAÑOS")</f>
        <v>BAÑOS</v>
      </c>
      <c r="D36" s="54" t="str">
        <f>IFERROR(__xludf.DUMMYFUNCTION("""COMPUTED_VALUE"""),"DAVID EDUARDO")</f>
        <v>DAVID EDUARDO</v>
      </c>
      <c r="E36" s="154">
        <f>IFERROR(__xludf.DUMMYFUNCTION("""COMPUTED_VALUE"""),8.0)</f>
        <v>8</v>
      </c>
      <c r="F36" s="154">
        <f>IFERROR(__xludf.DUMMYFUNCTION("""COMPUTED_VALUE"""),2.0)</f>
        <v>2</v>
      </c>
      <c r="G36" s="154"/>
      <c r="H36" s="155">
        <f>IFERROR(__xludf.DUMMYFUNCTION("""COMPUTED_VALUE"""),10.0)</f>
        <v>10</v>
      </c>
      <c r="I36" s="156">
        <f>IFERROR(__xludf.DUMMYFUNCTION("""COMPUTED_VALUE"""),0.0)</f>
        <v>0</v>
      </c>
      <c r="J36" s="157">
        <f>IFERROR(__xludf.DUMMYFUNCTION("""COMPUTED_VALUE"""),10.0)</f>
        <v>10</v>
      </c>
      <c r="K36" s="156"/>
      <c r="L36" s="159">
        <f>IFERROR(__xludf.DUMMYFUNCTION("""COMPUTED_VALUE"""),10.0)</f>
        <v>10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3">
        <f>IFERROR(__xludf.DUMMYFUNCTION("""COMPUTED_VALUE"""),21.0)</f>
        <v>21</v>
      </c>
      <c r="B37" s="52" t="str">
        <f>IFERROR(__xludf.DUMMYFUNCTION("""COMPUTED_VALUE"""),"GONZALEZ")</f>
        <v>GONZALEZ</v>
      </c>
      <c r="C37" s="53" t="str">
        <f>IFERROR(__xludf.DUMMYFUNCTION("""COMPUTED_VALUE"""),"CAZARES")</f>
        <v>CAZARES</v>
      </c>
      <c r="D37" s="65" t="str">
        <f>IFERROR(__xludf.DUMMYFUNCTION("""COMPUTED_VALUE"""),"CRISTHIAN")</f>
        <v>CRISTHIAN</v>
      </c>
      <c r="E37" s="154">
        <f>IFERROR(__xludf.DUMMYFUNCTION("""COMPUTED_VALUE"""),8.0)</f>
        <v>8</v>
      </c>
      <c r="F37" s="154">
        <f>IFERROR(__xludf.DUMMYFUNCTION("""COMPUTED_VALUE"""),2.0)</f>
        <v>2</v>
      </c>
      <c r="G37" s="154"/>
      <c r="H37" s="155">
        <f>IFERROR(__xludf.DUMMYFUNCTION("""COMPUTED_VALUE"""),10.0)</f>
        <v>10</v>
      </c>
      <c r="I37" s="156">
        <f>IFERROR(__xludf.DUMMYFUNCTION("""COMPUTED_VALUE"""),0.0)</f>
        <v>0</v>
      </c>
      <c r="J37" s="157">
        <f>IFERROR(__xludf.DUMMYFUNCTION("""COMPUTED_VALUE"""),10.0)</f>
        <v>10</v>
      </c>
      <c r="K37" s="156"/>
      <c r="L37" s="159">
        <f>IFERROR(__xludf.DUMMYFUNCTION("""COMPUTED_VALUE"""),10.0)</f>
        <v>10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3">
        <f>IFERROR(__xludf.DUMMYFUNCTION("""COMPUTED_VALUE"""),22.0)</f>
        <v>22</v>
      </c>
      <c r="B38" s="52" t="str">
        <f>IFERROR(__xludf.DUMMYFUNCTION("""COMPUTED_VALUE"""),"GRANADOS")</f>
        <v>GRANADOS</v>
      </c>
      <c r="C38" s="53" t="str">
        <f>IFERROR(__xludf.DUMMYFUNCTION("""COMPUTED_VALUE"""),"GUERRERO")</f>
        <v>GUERRERO</v>
      </c>
      <c r="D38" s="54" t="str">
        <f>IFERROR(__xludf.DUMMYFUNCTION("""COMPUTED_VALUE"""),"ZARA")</f>
        <v>ZARA</v>
      </c>
      <c r="E38" s="154">
        <f>IFERROR(__xludf.DUMMYFUNCTION("""COMPUTED_VALUE"""),7.0)</f>
        <v>7</v>
      </c>
      <c r="F38" s="154">
        <f>IFERROR(__xludf.DUMMYFUNCTION("""COMPUTED_VALUE"""),2.0)</f>
        <v>2</v>
      </c>
      <c r="G38" s="154"/>
      <c r="H38" s="155">
        <f>IFERROR(__xludf.DUMMYFUNCTION("""COMPUTED_VALUE"""),9.0)</f>
        <v>9</v>
      </c>
      <c r="I38" s="156">
        <f>IFERROR(__xludf.DUMMYFUNCTION("""COMPUTED_VALUE"""),0.0)</f>
        <v>0</v>
      </c>
      <c r="J38" s="157">
        <f>IFERROR(__xludf.DUMMYFUNCTION("""COMPUTED_VALUE"""),9.0)</f>
        <v>9</v>
      </c>
      <c r="K38" s="156"/>
      <c r="L38" s="159">
        <f>IFERROR(__xludf.DUMMYFUNCTION("""COMPUTED_VALUE"""),9.0)</f>
        <v>9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3">
        <f>IFERROR(__xludf.DUMMYFUNCTION("""COMPUTED_VALUE"""),23.0)</f>
        <v>23</v>
      </c>
      <c r="B39" s="52" t="str">
        <f>IFERROR(__xludf.DUMMYFUNCTION("""COMPUTED_VALUE"""),"HERNANDEZ")</f>
        <v>HERNANDEZ</v>
      </c>
      <c r="C39" s="53" t="str">
        <f>IFERROR(__xludf.DUMMYFUNCTION("""COMPUTED_VALUE"""),"CANCHOLA")</f>
        <v>CANCHOLA</v>
      </c>
      <c r="D39" s="65" t="str">
        <f>IFERROR(__xludf.DUMMYFUNCTION("""COMPUTED_VALUE"""),"MELANIE")</f>
        <v>MELANIE</v>
      </c>
      <c r="E39" s="154">
        <f>IFERROR(__xludf.DUMMYFUNCTION("""COMPUTED_VALUE"""),8.0)</f>
        <v>8</v>
      </c>
      <c r="F39" s="154">
        <f>IFERROR(__xludf.DUMMYFUNCTION("""COMPUTED_VALUE"""),2.0)</f>
        <v>2</v>
      </c>
      <c r="G39" s="154"/>
      <c r="H39" s="155">
        <f>IFERROR(__xludf.DUMMYFUNCTION("""COMPUTED_VALUE"""),10.0)</f>
        <v>10</v>
      </c>
      <c r="I39" s="156">
        <f>IFERROR(__xludf.DUMMYFUNCTION("""COMPUTED_VALUE"""),0.0)</f>
        <v>0</v>
      </c>
      <c r="J39" s="157">
        <f>IFERROR(__xludf.DUMMYFUNCTION("""COMPUTED_VALUE"""),10.0)</f>
        <v>10</v>
      </c>
      <c r="K39" s="156"/>
      <c r="L39" s="159">
        <f>IFERROR(__xludf.DUMMYFUNCTION("""COMPUTED_VALUE"""),10.0)</f>
        <v>10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3">
        <f>IFERROR(__xludf.DUMMYFUNCTION("""COMPUTED_VALUE"""),24.0)</f>
        <v>24</v>
      </c>
      <c r="B40" s="66" t="str">
        <f>IFERROR(__xludf.DUMMYFUNCTION("""COMPUTED_VALUE"""),"HERNANDEZ")</f>
        <v>HERNANDEZ</v>
      </c>
      <c r="C40" s="67" t="str">
        <f>IFERROR(__xludf.DUMMYFUNCTION("""COMPUTED_VALUE"""),"ESPARRAGOZA")</f>
        <v>ESPARRAGOZA</v>
      </c>
      <c r="D40" s="54" t="str">
        <f>IFERROR(__xludf.DUMMYFUNCTION("""COMPUTED_VALUE"""),"DANTE ALEXANDER")</f>
        <v>DANTE ALEXANDER</v>
      </c>
      <c r="E40" s="154">
        <f>IFERROR(__xludf.DUMMYFUNCTION("""COMPUTED_VALUE"""),6.0)</f>
        <v>6</v>
      </c>
      <c r="F40" s="154">
        <f>IFERROR(__xludf.DUMMYFUNCTION("""COMPUTED_VALUE"""),2.0)</f>
        <v>2</v>
      </c>
      <c r="G40" s="154"/>
      <c r="H40" s="155">
        <f>IFERROR(__xludf.DUMMYFUNCTION("""COMPUTED_VALUE"""),8.0)</f>
        <v>8</v>
      </c>
      <c r="I40" s="156">
        <f>IFERROR(__xludf.DUMMYFUNCTION("""COMPUTED_VALUE"""),0.0)</f>
        <v>0</v>
      </c>
      <c r="J40" s="157">
        <f>IFERROR(__xludf.DUMMYFUNCTION("""COMPUTED_VALUE"""),8.0)</f>
        <v>8</v>
      </c>
      <c r="K40" s="156"/>
      <c r="L40" s="159">
        <f>IFERROR(__xludf.DUMMYFUNCTION("""COMPUTED_VALUE"""),8.0)</f>
        <v>8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3">
        <f>IFERROR(__xludf.DUMMYFUNCTION("""COMPUTED_VALUE"""),25.0)</f>
        <v>25</v>
      </c>
      <c r="B41" s="52" t="str">
        <f>IFERROR(__xludf.DUMMYFUNCTION("""COMPUTED_VALUE"""),"HERNANDEZ")</f>
        <v>HERNANDEZ</v>
      </c>
      <c r="C41" s="53" t="str">
        <f>IFERROR(__xludf.DUMMYFUNCTION("""COMPUTED_VALUE"""),"MUÑOZ")</f>
        <v>MUÑOZ</v>
      </c>
      <c r="D41" s="54" t="str">
        <f>IFERROR(__xludf.DUMMYFUNCTION("""COMPUTED_VALUE"""),"MARIA JOSE")</f>
        <v>MARIA JOSE</v>
      </c>
      <c r="E41" s="154">
        <f>IFERROR(__xludf.DUMMYFUNCTION("""COMPUTED_VALUE"""),8.0)</f>
        <v>8</v>
      </c>
      <c r="F41" s="154">
        <f>IFERROR(__xludf.DUMMYFUNCTION("""COMPUTED_VALUE"""),2.0)</f>
        <v>2</v>
      </c>
      <c r="G41" s="154"/>
      <c r="H41" s="155">
        <f>IFERROR(__xludf.DUMMYFUNCTION("""COMPUTED_VALUE"""),10.0)</f>
        <v>10</v>
      </c>
      <c r="I41" s="156">
        <f>IFERROR(__xludf.DUMMYFUNCTION("""COMPUTED_VALUE"""),0.0)</f>
        <v>0</v>
      </c>
      <c r="J41" s="157">
        <f>IFERROR(__xludf.DUMMYFUNCTION("""COMPUTED_VALUE"""),10.0)</f>
        <v>10</v>
      </c>
      <c r="K41" s="156"/>
      <c r="L41" s="159">
        <f>IFERROR(__xludf.DUMMYFUNCTION("""COMPUTED_VALUE"""),10.0)</f>
        <v>10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3">
        <f>IFERROR(__xludf.DUMMYFUNCTION("""COMPUTED_VALUE"""),26.0)</f>
        <v>26</v>
      </c>
      <c r="B42" s="52" t="str">
        <f>IFERROR(__xludf.DUMMYFUNCTION("""COMPUTED_VALUE"""),"JARAMILLO")</f>
        <v>JARAMILLO</v>
      </c>
      <c r="C42" s="53" t="str">
        <f>IFERROR(__xludf.DUMMYFUNCTION("""COMPUTED_VALUE"""),"SANDOVAL")</f>
        <v>SANDOVAL</v>
      </c>
      <c r="D42" s="54" t="str">
        <f>IFERROR(__xludf.DUMMYFUNCTION("""COMPUTED_VALUE"""),"MELANI JEREDIT")</f>
        <v>MELANI JEREDIT</v>
      </c>
      <c r="E42" s="154">
        <f>IFERROR(__xludf.DUMMYFUNCTION("""COMPUTED_VALUE"""),8.0)</f>
        <v>8</v>
      </c>
      <c r="F42" s="154">
        <f>IFERROR(__xludf.DUMMYFUNCTION("""COMPUTED_VALUE"""),2.0)</f>
        <v>2</v>
      </c>
      <c r="G42" s="154"/>
      <c r="H42" s="155">
        <f>IFERROR(__xludf.DUMMYFUNCTION("""COMPUTED_VALUE"""),10.0)</f>
        <v>10</v>
      </c>
      <c r="I42" s="156">
        <f>IFERROR(__xludf.DUMMYFUNCTION("""COMPUTED_VALUE"""),1.0)</f>
        <v>1</v>
      </c>
      <c r="J42" s="157">
        <f>IFERROR(__xludf.DUMMYFUNCTION("""COMPUTED_VALUE"""),10.0)</f>
        <v>10</v>
      </c>
      <c r="K42" s="156"/>
      <c r="L42" s="159">
        <f>IFERROR(__xludf.DUMMYFUNCTION("""COMPUTED_VALUE"""),10.0)</f>
        <v>10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3">
        <f>IFERROR(__xludf.DUMMYFUNCTION("""COMPUTED_VALUE"""),27.0)</f>
        <v>27</v>
      </c>
      <c r="B43" s="52" t="str">
        <f>IFERROR(__xludf.DUMMYFUNCTION("""COMPUTED_VALUE"""),"LEMUS")</f>
        <v>LEMUS</v>
      </c>
      <c r="C43" s="53" t="str">
        <f>IFERROR(__xludf.DUMMYFUNCTION("""COMPUTED_VALUE"""),"AVILA")</f>
        <v>AVILA</v>
      </c>
      <c r="D43" s="54" t="str">
        <f>IFERROR(__xludf.DUMMYFUNCTION("""COMPUTED_VALUE"""),"ANA GABRIELA")</f>
        <v>ANA GABRIELA</v>
      </c>
      <c r="E43" s="154">
        <f>IFERROR(__xludf.DUMMYFUNCTION("""COMPUTED_VALUE"""),8.0)</f>
        <v>8</v>
      </c>
      <c r="F43" s="154">
        <f>IFERROR(__xludf.DUMMYFUNCTION("""COMPUTED_VALUE"""),2.0)</f>
        <v>2</v>
      </c>
      <c r="G43" s="154"/>
      <c r="H43" s="155">
        <f>IFERROR(__xludf.DUMMYFUNCTION("""COMPUTED_VALUE"""),10.0)</f>
        <v>10</v>
      </c>
      <c r="I43" s="156">
        <f>IFERROR(__xludf.DUMMYFUNCTION("""COMPUTED_VALUE"""),0.0)</f>
        <v>0</v>
      </c>
      <c r="J43" s="157">
        <f>IFERROR(__xludf.DUMMYFUNCTION("""COMPUTED_VALUE"""),10.0)</f>
        <v>10</v>
      </c>
      <c r="K43" s="156"/>
      <c r="L43" s="159">
        <f>IFERROR(__xludf.DUMMYFUNCTION("""COMPUTED_VALUE"""),10.0)</f>
        <v>10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3">
        <f>IFERROR(__xludf.DUMMYFUNCTION("""COMPUTED_VALUE"""),28.0)</f>
        <v>28</v>
      </c>
      <c r="B44" s="52" t="str">
        <f>IFERROR(__xludf.DUMMYFUNCTION("""COMPUTED_VALUE"""),"LOPEZ")</f>
        <v>LOPEZ</v>
      </c>
      <c r="C44" s="53" t="str">
        <f>IFERROR(__xludf.DUMMYFUNCTION("""COMPUTED_VALUE"""),"OLVERA")</f>
        <v>OLVERA</v>
      </c>
      <c r="D44" s="54" t="str">
        <f>IFERROR(__xludf.DUMMYFUNCTION("""COMPUTED_VALUE"""),"GABRIELA LIZETH")</f>
        <v>GABRIELA LIZETH</v>
      </c>
      <c r="E44" s="154">
        <f>IFERROR(__xludf.DUMMYFUNCTION("""COMPUTED_VALUE"""),8.0)</f>
        <v>8</v>
      </c>
      <c r="F44" s="154">
        <f>IFERROR(__xludf.DUMMYFUNCTION("""COMPUTED_VALUE"""),2.0)</f>
        <v>2</v>
      </c>
      <c r="G44" s="154"/>
      <c r="H44" s="155">
        <f>IFERROR(__xludf.DUMMYFUNCTION("""COMPUTED_VALUE"""),10.0)</f>
        <v>10</v>
      </c>
      <c r="I44" s="156">
        <f>IFERROR(__xludf.DUMMYFUNCTION("""COMPUTED_VALUE"""),0.0)</f>
        <v>0</v>
      </c>
      <c r="J44" s="157">
        <f>IFERROR(__xludf.DUMMYFUNCTION("""COMPUTED_VALUE"""),10.0)</f>
        <v>10</v>
      </c>
      <c r="K44" s="156"/>
      <c r="L44" s="159">
        <f>IFERROR(__xludf.DUMMYFUNCTION("""COMPUTED_VALUE"""),10.0)</f>
        <v>10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3">
        <f>IFERROR(__xludf.DUMMYFUNCTION("""COMPUTED_VALUE"""),29.0)</f>
        <v>29</v>
      </c>
      <c r="B45" s="52" t="str">
        <f>IFERROR(__xludf.DUMMYFUNCTION("""COMPUTED_VALUE"""),"LOPEZ")</f>
        <v>LOPEZ</v>
      </c>
      <c r="C45" s="53" t="str">
        <f>IFERROR(__xludf.DUMMYFUNCTION("""COMPUTED_VALUE"""),"PANIAGÚA")</f>
        <v>PANIAGÚA</v>
      </c>
      <c r="D45" s="54" t="str">
        <f>IFERROR(__xludf.DUMMYFUNCTION("""COMPUTED_VALUE"""),"ANGEL GIOVANNI")</f>
        <v>ANGEL GIOVANNI</v>
      </c>
      <c r="E45" s="154">
        <f>IFERROR(__xludf.DUMMYFUNCTION("""COMPUTED_VALUE"""),8.0)</f>
        <v>8</v>
      </c>
      <c r="F45" s="154">
        <f>IFERROR(__xludf.DUMMYFUNCTION("""COMPUTED_VALUE"""),2.0)</f>
        <v>2</v>
      </c>
      <c r="G45" s="154"/>
      <c r="H45" s="155">
        <f>IFERROR(__xludf.DUMMYFUNCTION("""COMPUTED_VALUE"""),10.0)</f>
        <v>10</v>
      </c>
      <c r="I45" s="156">
        <f>IFERROR(__xludf.DUMMYFUNCTION("""COMPUTED_VALUE"""),0.0)</f>
        <v>0</v>
      </c>
      <c r="J45" s="157">
        <f>IFERROR(__xludf.DUMMYFUNCTION("""COMPUTED_VALUE"""),10.0)</f>
        <v>10</v>
      </c>
      <c r="K45" s="156"/>
      <c r="L45" s="159">
        <f>IFERROR(__xludf.DUMMYFUNCTION("""COMPUTED_VALUE"""),10.0)</f>
        <v>10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3">
        <f>IFERROR(__xludf.DUMMYFUNCTION("""COMPUTED_VALUE"""),30.0)</f>
        <v>30</v>
      </c>
      <c r="B46" s="52" t="str">
        <f>IFERROR(__xludf.DUMMYFUNCTION("""COMPUTED_VALUE"""),"LUNA")</f>
        <v>LUNA</v>
      </c>
      <c r="C46" s="53" t="str">
        <f>IFERROR(__xludf.DUMMYFUNCTION("""COMPUTED_VALUE"""),"HERNANDEZ")</f>
        <v>HERNANDEZ</v>
      </c>
      <c r="D46" s="54" t="str">
        <f>IFERROR(__xludf.DUMMYFUNCTION("""COMPUTED_VALUE"""),"DEA ISABELLA")</f>
        <v>DEA ISABELLA</v>
      </c>
      <c r="E46" s="154">
        <f>IFERROR(__xludf.DUMMYFUNCTION("""COMPUTED_VALUE"""),8.0)</f>
        <v>8</v>
      </c>
      <c r="F46" s="154">
        <f>IFERROR(__xludf.DUMMYFUNCTION("""COMPUTED_VALUE"""),2.0)</f>
        <v>2</v>
      </c>
      <c r="G46" s="154"/>
      <c r="H46" s="155">
        <f>IFERROR(__xludf.DUMMYFUNCTION("""COMPUTED_VALUE"""),10.0)</f>
        <v>10</v>
      </c>
      <c r="I46" s="156">
        <f>IFERROR(__xludf.DUMMYFUNCTION("""COMPUTED_VALUE"""),0.0)</f>
        <v>0</v>
      </c>
      <c r="J46" s="157">
        <f>IFERROR(__xludf.DUMMYFUNCTION("""COMPUTED_VALUE"""),10.0)</f>
        <v>10</v>
      </c>
      <c r="K46" s="156"/>
      <c r="L46" s="159">
        <f>IFERROR(__xludf.DUMMYFUNCTION("""COMPUTED_VALUE"""),10.0)</f>
        <v>10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3">
        <f>IFERROR(__xludf.DUMMYFUNCTION("""COMPUTED_VALUE"""),31.0)</f>
        <v>31</v>
      </c>
      <c r="B47" s="52" t="str">
        <f>IFERROR(__xludf.DUMMYFUNCTION("""COMPUTED_VALUE"""),"MARES")</f>
        <v>MARES</v>
      </c>
      <c r="C47" s="53" t="str">
        <f>IFERROR(__xludf.DUMMYFUNCTION("""COMPUTED_VALUE"""),"GONZALEZ")</f>
        <v>GONZALEZ</v>
      </c>
      <c r="D47" s="54" t="str">
        <f>IFERROR(__xludf.DUMMYFUNCTION("""COMPUTED_VALUE"""),"JOSE CARLOS")</f>
        <v>JOSE CARLOS</v>
      </c>
      <c r="E47" s="154">
        <f>IFERROR(__xludf.DUMMYFUNCTION("""COMPUTED_VALUE"""),8.0)</f>
        <v>8</v>
      </c>
      <c r="F47" s="154">
        <f>IFERROR(__xludf.DUMMYFUNCTION("""COMPUTED_VALUE"""),2.0)</f>
        <v>2</v>
      </c>
      <c r="G47" s="154"/>
      <c r="H47" s="155">
        <f>IFERROR(__xludf.DUMMYFUNCTION("""COMPUTED_VALUE"""),10.0)</f>
        <v>10</v>
      </c>
      <c r="I47" s="156">
        <f>IFERROR(__xludf.DUMMYFUNCTION("""COMPUTED_VALUE"""),0.0)</f>
        <v>0</v>
      </c>
      <c r="J47" s="157">
        <f>IFERROR(__xludf.DUMMYFUNCTION("""COMPUTED_VALUE"""),10.0)</f>
        <v>10</v>
      </c>
      <c r="K47" s="156"/>
      <c r="L47" s="159">
        <f>IFERROR(__xludf.DUMMYFUNCTION("""COMPUTED_VALUE"""),10.0)</f>
        <v>10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3">
        <f>IFERROR(__xludf.DUMMYFUNCTION("""COMPUTED_VALUE"""),32.0)</f>
        <v>32</v>
      </c>
      <c r="B48" s="52" t="str">
        <f>IFERROR(__xludf.DUMMYFUNCTION("""COMPUTED_VALUE"""),"MARTINEZ")</f>
        <v>MARTINEZ</v>
      </c>
      <c r="C48" s="53" t="str">
        <f>IFERROR(__xludf.DUMMYFUNCTION("""COMPUTED_VALUE"""),"REYES")</f>
        <v>REYES</v>
      </c>
      <c r="D48" s="54" t="str">
        <f>IFERROR(__xludf.DUMMYFUNCTION("""COMPUTED_VALUE"""),"JACQUELINE ANDREA")</f>
        <v>JACQUELINE ANDREA</v>
      </c>
      <c r="E48" s="154">
        <f>IFERROR(__xludf.DUMMYFUNCTION("""COMPUTED_VALUE"""),8.0)</f>
        <v>8</v>
      </c>
      <c r="F48" s="154">
        <f>IFERROR(__xludf.DUMMYFUNCTION("""COMPUTED_VALUE"""),2.0)</f>
        <v>2</v>
      </c>
      <c r="G48" s="154"/>
      <c r="H48" s="155">
        <f>IFERROR(__xludf.DUMMYFUNCTION("""COMPUTED_VALUE"""),10.0)</f>
        <v>10</v>
      </c>
      <c r="I48" s="156">
        <f>IFERROR(__xludf.DUMMYFUNCTION("""COMPUTED_VALUE"""),0.0)</f>
        <v>0</v>
      </c>
      <c r="J48" s="157">
        <f>IFERROR(__xludf.DUMMYFUNCTION("""COMPUTED_VALUE"""),10.0)</f>
        <v>10</v>
      </c>
      <c r="K48" s="156"/>
      <c r="L48" s="159">
        <f>IFERROR(__xludf.DUMMYFUNCTION("""COMPUTED_VALUE"""),10.0)</f>
        <v>10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3">
        <f>IFERROR(__xludf.DUMMYFUNCTION("""COMPUTED_VALUE"""),33.0)</f>
        <v>33</v>
      </c>
      <c r="B49" s="52" t="str">
        <f>IFERROR(__xludf.DUMMYFUNCTION("""COMPUTED_VALUE"""),"MARTINEZ")</f>
        <v>MARTINEZ</v>
      </c>
      <c r="C49" s="53" t="str">
        <f>IFERROR(__xludf.DUMMYFUNCTION("""COMPUTED_VALUE"""),"VELAZQUEZ")</f>
        <v>VELAZQUEZ</v>
      </c>
      <c r="D49" s="65" t="str">
        <f>IFERROR(__xludf.DUMMYFUNCTION("""COMPUTED_VALUE"""),"OSCAR ZADKIEL")</f>
        <v>OSCAR ZADKIEL</v>
      </c>
      <c r="E49" s="154">
        <f>IFERROR(__xludf.DUMMYFUNCTION("""COMPUTED_VALUE"""),8.0)</f>
        <v>8</v>
      </c>
      <c r="F49" s="154">
        <f>IFERROR(__xludf.DUMMYFUNCTION("""COMPUTED_VALUE"""),2.0)</f>
        <v>2</v>
      </c>
      <c r="G49" s="154"/>
      <c r="H49" s="155">
        <f>IFERROR(__xludf.DUMMYFUNCTION("""COMPUTED_VALUE"""),10.0)</f>
        <v>10</v>
      </c>
      <c r="I49" s="156">
        <f>IFERROR(__xludf.DUMMYFUNCTION("""COMPUTED_VALUE"""),0.0)</f>
        <v>0</v>
      </c>
      <c r="J49" s="157">
        <f>IFERROR(__xludf.DUMMYFUNCTION("""COMPUTED_VALUE"""),10.0)</f>
        <v>10</v>
      </c>
      <c r="K49" s="156"/>
      <c r="L49" s="159">
        <f>IFERROR(__xludf.DUMMYFUNCTION("""COMPUTED_VALUE"""),10.0)</f>
        <v>10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3">
        <f>IFERROR(__xludf.DUMMYFUNCTION("""COMPUTED_VALUE"""),34.0)</f>
        <v>34</v>
      </c>
      <c r="B50" s="52" t="str">
        <f>IFERROR(__xludf.DUMMYFUNCTION("""COMPUTED_VALUE"""),"MORAN")</f>
        <v>MORAN</v>
      </c>
      <c r="C50" s="53" t="str">
        <f>IFERROR(__xludf.DUMMYFUNCTION("""COMPUTED_VALUE"""),"ALMAGUER")</f>
        <v>ALMAGUER</v>
      </c>
      <c r="D50" s="54" t="str">
        <f>IFERROR(__xludf.DUMMYFUNCTION("""COMPUTED_VALUE"""),"LEYLANI")</f>
        <v>LEYLANI</v>
      </c>
      <c r="E50" s="154">
        <f>IFERROR(__xludf.DUMMYFUNCTION("""COMPUTED_VALUE"""),8.0)</f>
        <v>8</v>
      </c>
      <c r="F50" s="154">
        <f>IFERROR(__xludf.DUMMYFUNCTION("""COMPUTED_VALUE"""),2.0)</f>
        <v>2</v>
      </c>
      <c r="G50" s="154"/>
      <c r="H50" s="155">
        <f>IFERROR(__xludf.DUMMYFUNCTION("""COMPUTED_VALUE"""),10.0)</f>
        <v>10</v>
      </c>
      <c r="I50" s="156">
        <f>IFERROR(__xludf.DUMMYFUNCTION("""COMPUTED_VALUE"""),0.0)</f>
        <v>0</v>
      </c>
      <c r="J50" s="157">
        <f>IFERROR(__xludf.DUMMYFUNCTION("""COMPUTED_VALUE"""),10.0)</f>
        <v>10</v>
      </c>
      <c r="K50" s="156"/>
      <c r="L50" s="159">
        <f>IFERROR(__xludf.DUMMYFUNCTION("""COMPUTED_VALUE"""),10.0)</f>
        <v>10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3">
        <f>IFERROR(__xludf.DUMMYFUNCTION("""COMPUTED_VALUE"""),35.0)</f>
        <v>35</v>
      </c>
      <c r="B51" s="52" t="str">
        <f>IFERROR(__xludf.DUMMYFUNCTION("""COMPUTED_VALUE"""),"MORENO")</f>
        <v>MORENO</v>
      </c>
      <c r="C51" s="53" t="str">
        <f>IFERROR(__xludf.DUMMYFUNCTION("""COMPUTED_VALUE"""),"VALENZUELA")</f>
        <v>VALENZUELA</v>
      </c>
      <c r="D51" s="54" t="str">
        <f>IFERROR(__xludf.DUMMYFUNCTION("""COMPUTED_VALUE"""),"SANTIAGO ISMAEL")</f>
        <v>SANTIAGO ISMAEL</v>
      </c>
      <c r="E51" s="154">
        <f>IFERROR(__xludf.DUMMYFUNCTION("""COMPUTED_VALUE"""),8.0)</f>
        <v>8</v>
      </c>
      <c r="F51" s="154">
        <f>IFERROR(__xludf.DUMMYFUNCTION("""COMPUTED_VALUE"""),2.0)</f>
        <v>2</v>
      </c>
      <c r="G51" s="154"/>
      <c r="H51" s="155">
        <f>IFERROR(__xludf.DUMMYFUNCTION("""COMPUTED_VALUE"""),10.0)</f>
        <v>10</v>
      </c>
      <c r="I51" s="156">
        <f>IFERROR(__xludf.DUMMYFUNCTION("""COMPUTED_VALUE"""),0.0)</f>
        <v>0</v>
      </c>
      <c r="J51" s="157">
        <f>IFERROR(__xludf.DUMMYFUNCTION("""COMPUTED_VALUE"""),10.0)</f>
        <v>10</v>
      </c>
      <c r="K51" s="156"/>
      <c r="L51" s="159">
        <f>IFERROR(__xludf.DUMMYFUNCTION("""COMPUTED_VALUE"""),10.0)</f>
        <v>10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3">
        <f>IFERROR(__xludf.DUMMYFUNCTION("""COMPUTED_VALUE"""),36.0)</f>
        <v>36</v>
      </c>
      <c r="B52" s="52" t="str">
        <f>IFERROR(__xludf.DUMMYFUNCTION("""COMPUTED_VALUE"""),"NUÑEZ")</f>
        <v>NUÑEZ</v>
      </c>
      <c r="C52" s="53" t="str">
        <f>IFERROR(__xludf.DUMMYFUNCTION("""COMPUTED_VALUE"""),"FLORES")</f>
        <v>FLORES</v>
      </c>
      <c r="D52" s="54" t="str">
        <f>IFERROR(__xludf.DUMMYFUNCTION("""COMPUTED_VALUE"""),"ANDREA MAYARI")</f>
        <v>ANDREA MAYARI</v>
      </c>
      <c r="E52" s="154">
        <f>IFERROR(__xludf.DUMMYFUNCTION("""COMPUTED_VALUE"""),8.0)</f>
        <v>8</v>
      </c>
      <c r="F52" s="154">
        <f>IFERROR(__xludf.DUMMYFUNCTION("""COMPUTED_VALUE"""),2.0)</f>
        <v>2</v>
      </c>
      <c r="G52" s="154"/>
      <c r="H52" s="155">
        <f>IFERROR(__xludf.DUMMYFUNCTION("""COMPUTED_VALUE"""),10.0)</f>
        <v>10</v>
      </c>
      <c r="I52" s="156">
        <f>IFERROR(__xludf.DUMMYFUNCTION("""COMPUTED_VALUE"""),0.0)</f>
        <v>0</v>
      </c>
      <c r="J52" s="157">
        <f>IFERROR(__xludf.DUMMYFUNCTION("""COMPUTED_VALUE"""),10.0)</f>
        <v>10</v>
      </c>
      <c r="K52" s="156"/>
      <c r="L52" s="160">
        <f>IFERROR(__xludf.DUMMYFUNCTION("""COMPUTED_VALUE"""),10.0)</f>
        <v>10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3">
        <f>IFERROR(__xludf.DUMMYFUNCTION("""COMPUTED_VALUE"""),37.0)</f>
        <v>37</v>
      </c>
      <c r="B53" s="52" t="str">
        <f>IFERROR(__xludf.DUMMYFUNCTION("""COMPUTED_VALUE"""),"ORNELAS")</f>
        <v>ORNELAS</v>
      </c>
      <c r="C53" s="53" t="str">
        <f>IFERROR(__xludf.DUMMYFUNCTION("""COMPUTED_VALUE"""),"LOPEZ")</f>
        <v>LOPEZ</v>
      </c>
      <c r="D53" s="54" t="str">
        <f>IFERROR(__xludf.DUMMYFUNCTION("""COMPUTED_VALUE"""),"LENA VIKTORIA")</f>
        <v>LENA VIKTORIA</v>
      </c>
      <c r="E53" s="154">
        <f>IFERROR(__xludf.DUMMYFUNCTION("""COMPUTED_VALUE"""),8.0)</f>
        <v>8</v>
      </c>
      <c r="F53" s="154">
        <f>IFERROR(__xludf.DUMMYFUNCTION("""COMPUTED_VALUE"""),2.0)</f>
        <v>2</v>
      </c>
      <c r="G53" s="154"/>
      <c r="H53" s="155">
        <f>IFERROR(__xludf.DUMMYFUNCTION("""COMPUTED_VALUE"""),10.0)</f>
        <v>10</v>
      </c>
      <c r="I53" s="156">
        <f>IFERROR(__xludf.DUMMYFUNCTION("""COMPUTED_VALUE"""),0.0)</f>
        <v>0</v>
      </c>
      <c r="J53" s="157">
        <f>IFERROR(__xludf.DUMMYFUNCTION("""COMPUTED_VALUE"""),10.0)</f>
        <v>10</v>
      </c>
      <c r="K53" s="156"/>
      <c r="L53" s="160">
        <f>IFERROR(__xludf.DUMMYFUNCTION("""COMPUTED_VALUE"""),10.0)</f>
        <v>10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3">
        <f>IFERROR(__xludf.DUMMYFUNCTION("""COMPUTED_VALUE"""),38.0)</f>
        <v>38</v>
      </c>
      <c r="B54" s="52" t="str">
        <f>IFERROR(__xludf.DUMMYFUNCTION("""COMPUTED_VALUE"""),"ORTIZ")</f>
        <v>ORTIZ</v>
      </c>
      <c r="C54" s="53" t="str">
        <f>IFERROR(__xludf.DUMMYFUNCTION("""COMPUTED_VALUE"""),"RODRIGUEZ")</f>
        <v>RODRIGUEZ</v>
      </c>
      <c r="D54" s="68" t="str">
        <f>IFERROR(__xludf.DUMMYFUNCTION("""COMPUTED_VALUE"""),"GUILLERMO")</f>
        <v>GUILLERMO</v>
      </c>
      <c r="E54" s="154">
        <f>IFERROR(__xludf.DUMMYFUNCTION("""COMPUTED_VALUE"""),8.0)</f>
        <v>8</v>
      </c>
      <c r="F54" s="154">
        <f>IFERROR(__xludf.DUMMYFUNCTION("""COMPUTED_VALUE"""),2.0)</f>
        <v>2</v>
      </c>
      <c r="G54" s="154"/>
      <c r="H54" s="155">
        <f>IFERROR(__xludf.DUMMYFUNCTION("""COMPUTED_VALUE"""),10.0)</f>
        <v>10</v>
      </c>
      <c r="I54" s="156">
        <f>IFERROR(__xludf.DUMMYFUNCTION("""COMPUTED_VALUE"""),0.0)</f>
        <v>0</v>
      </c>
      <c r="J54" s="157">
        <f>IFERROR(__xludf.DUMMYFUNCTION("""COMPUTED_VALUE"""),10.0)</f>
        <v>10</v>
      </c>
      <c r="K54" s="156"/>
      <c r="L54" s="160">
        <f>IFERROR(__xludf.DUMMYFUNCTION("""COMPUTED_VALUE"""),10.0)</f>
        <v>10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3">
        <f>IFERROR(__xludf.DUMMYFUNCTION("""COMPUTED_VALUE"""),39.0)</f>
        <v>39</v>
      </c>
      <c r="B55" s="52" t="str">
        <f>IFERROR(__xludf.DUMMYFUNCTION("""COMPUTED_VALUE"""),"PACHECO")</f>
        <v>PACHECO</v>
      </c>
      <c r="C55" s="53" t="str">
        <f>IFERROR(__xludf.DUMMYFUNCTION("""COMPUTED_VALUE"""),"OLIVARES")</f>
        <v>OLIVARES</v>
      </c>
      <c r="D55" s="54" t="str">
        <f>IFERROR(__xludf.DUMMYFUNCTION("""COMPUTED_VALUE"""),"ANDRES")</f>
        <v>ANDRES</v>
      </c>
      <c r="E55" s="154">
        <f>IFERROR(__xludf.DUMMYFUNCTION("""COMPUTED_VALUE"""),8.0)</f>
        <v>8</v>
      </c>
      <c r="F55" s="154">
        <f>IFERROR(__xludf.DUMMYFUNCTION("""COMPUTED_VALUE"""),2.0)</f>
        <v>2</v>
      </c>
      <c r="G55" s="154"/>
      <c r="H55" s="155">
        <f>IFERROR(__xludf.DUMMYFUNCTION("""COMPUTED_VALUE"""),10.0)</f>
        <v>10</v>
      </c>
      <c r="I55" s="161">
        <f>IFERROR(__xludf.DUMMYFUNCTION("""COMPUTED_VALUE"""),0.0)</f>
        <v>0</v>
      </c>
      <c r="J55" s="157">
        <f>IFERROR(__xludf.DUMMYFUNCTION("""COMPUTED_VALUE"""),10.0)</f>
        <v>10</v>
      </c>
      <c r="K55" s="156"/>
      <c r="L55" s="160">
        <f>IFERROR(__xludf.DUMMYFUNCTION("""COMPUTED_VALUE"""),10.0)</f>
        <v>10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3">
        <f>IFERROR(__xludf.DUMMYFUNCTION("""COMPUTED_VALUE"""),40.0)</f>
        <v>40</v>
      </c>
      <c r="B56" s="52" t="str">
        <f>IFERROR(__xludf.DUMMYFUNCTION("""COMPUTED_VALUE"""),"PEREZ")</f>
        <v>PEREZ</v>
      </c>
      <c r="C56" s="53" t="str">
        <f>IFERROR(__xludf.DUMMYFUNCTION("""COMPUTED_VALUE"""),"SUAREZ")</f>
        <v>SUAREZ</v>
      </c>
      <c r="D56" s="54" t="str">
        <f>IFERROR(__xludf.DUMMYFUNCTION("""COMPUTED_VALUE"""),"DAVETH OSIEL")</f>
        <v>DAVETH OSIEL</v>
      </c>
      <c r="E56" s="154">
        <f>IFERROR(__xludf.DUMMYFUNCTION("""COMPUTED_VALUE"""),8.0)</f>
        <v>8</v>
      </c>
      <c r="F56" s="154">
        <f>IFERROR(__xludf.DUMMYFUNCTION("""COMPUTED_VALUE"""),2.0)</f>
        <v>2</v>
      </c>
      <c r="G56" s="154"/>
      <c r="H56" s="155">
        <f>IFERROR(__xludf.DUMMYFUNCTION("""COMPUTED_VALUE"""),10.0)</f>
        <v>10</v>
      </c>
      <c r="I56" s="161">
        <f>IFERROR(__xludf.DUMMYFUNCTION("""COMPUTED_VALUE"""),0.0)</f>
        <v>0</v>
      </c>
      <c r="J56" s="157">
        <f>IFERROR(__xludf.DUMMYFUNCTION("""COMPUTED_VALUE"""),10.0)</f>
        <v>10</v>
      </c>
      <c r="K56" s="156"/>
      <c r="L56" s="160">
        <f>IFERROR(__xludf.DUMMYFUNCTION("""COMPUTED_VALUE"""),10.0)</f>
        <v>10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3">
        <f>IFERROR(__xludf.DUMMYFUNCTION("""COMPUTED_VALUE"""),41.0)</f>
        <v>41</v>
      </c>
      <c r="B57" s="52" t="str">
        <f>IFERROR(__xludf.DUMMYFUNCTION("""COMPUTED_VALUE"""),"PUC")</f>
        <v>PUC</v>
      </c>
      <c r="C57" s="53" t="str">
        <f>IFERROR(__xludf.DUMMYFUNCTION("""COMPUTED_VALUE"""),"JIMENEZ")</f>
        <v>JIMENEZ</v>
      </c>
      <c r="D57" s="54" t="str">
        <f>IFERROR(__xludf.DUMMYFUNCTION("""COMPUTED_VALUE"""),"XIMENA DANIELA")</f>
        <v>XIMENA DANIELA</v>
      </c>
      <c r="E57" s="154">
        <f>IFERROR(__xludf.DUMMYFUNCTION("""COMPUTED_VALUE"""),8.0)</f>
        <v>8</v>
      </c>
      <c r="F57" s="154">
        <f>IFERROR(__xludf.DUMMYFUNCTION("""COMPUTED_VALUE"""),2.0)</f>
        <v>2</v>
      </c>
      <c r="G57" s="154"/>
      <c r="H57" s="155">
        <f>IFERROR(__xludf.DUMMYFUNCTION("""COMPUTED_VALUE"""),10.0)</f>
        <v>10</v>
      </c>
      <c r="I57" s="161">
        <f>IFERROR(__xludf.DUMMYFUNCTION("""COMPUTED_VALUE"""),0.0)</f>
        <v>0</v>
      </c>
      <c r="J57" s="157">
        <f>IFERROR(__xludf.DUMMYFUNCTION("""COMPUTED_VALUE"""),10.0)</f>
        <v>10</v>
      </c>
      <c r="K57" s="156"/>
      <c r="L57" s="160">
        <f>IFERROR(__xludf.DUMMYFUNCTION("""COMPUTED_VALUE"""),10.0)</f>
        <v>10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3">
        <f>IFERROR(__xludf.DUMMYFUNCTION("""COMPUTED_VALUE"""),42.0)</f>
        <v>42</v>
      </c>
      <c r="B58" s="52" t="str">
        <f>IFERROR(__xludf.DUMMYFUNCTION("""COMPUTED_VALUE"""),"RAMIREZ")</f>
        <v>RAMIREZ</v>
      </c>
      <c r="C58" s="53" t="str">
        <f>IFERROR(__xludf.DUMMYFUNCTION("""COMPUTED_VALUE"""),"ROMAN")</f>
        <v>ROMAN</v>
      </c>
      <c r="D58" s="54" t="str">
        <f>IFERROR(__xludf.DUMMYFUNCTION("""COMPUTED_VALUE"""),"XIMENA")</f>
        <v>XIMENA</v>
      </c>
      <c r="E58" s="154">
        <f>IFERROR(__xludf.DUMMYFUNCTION("""COMPUTED_VALUE"""),8.0)</f>
        <v>8</v>
      </c>
      <c r="F58" s="154">
        <f>IFERROR(__xludf.DUMMYFUNCTION("""COMPUTED_VALUE"""),2.0)</f>
        <v>2</v>
      </c>
      <c r="G58" s="154"/>
      <c r="H58" s="155">
        <f>IFERROR(__xludf.DUMMYFUNCTION("""COMPUTED_VALUE"""),10.0)</f>
        <v>10</v>
      </c>
      <c r="I58" s="161">
        <f>IFERROR(__xludf.DUMMYFUNCTION("""COMPUTED_VALUE"""),0.0)</f>
        <v>0</v>
      </c>
      <c r="J58" s="157">
        <f>IFERROR(__xludf.DUMMYFUNCTION("""COMPUTED_VALUE"""),10.0)</f>
        <v>10</v>
      </c>
      <c r="K58" s="156"/>
      <c r="L58" s="160">
        <f>IFERROR(__xludf.DUMMYFUNCTION("""COMPUTED_VALUE"""),10.0)</f>
        <v>10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3">
        <f>IFERROR(__xludf.DUMMYFUNCTION("""COMPUTED_VALUE"""),43.0)</f>
        <v>43</v>
      </c>
      <c r="B59" s="66" t="str">
        <f>IFERROR(__xludf.DUMMYFUNCTION("""COMPUTED_VALUE"""),"REYES")</f>
        <v>REYES</v>
      </c>
      <c r="C59" s="67" t="str">
        <f>IFERROR(__xludf.DUMMYFUNCTION("""COMPUTED_VALUE"""),"TREJO")</f>
        <v>TREJO</v>
      </c>
      <c r="D59" s="54" t="str">
        <f>IFERROR(__xludf.DUMMYFUNCTION("""COMPUTED_VALUE"""),"HUGO DASTAN")</f>
        <v>HUGO DASTAN</v>
      </c>
      <c r="E59" s="154">
        <f>IFERROR(__xludf.DUMMYFUNCTION("""COMPUTED_VALUE"""),8.0)</f>
        <v>8</v>
      </c>
      <c r="F59" s="154">
        <f>IFERROR(__xludf.DUMMYFUNCTION("""COMPUTED_VALUE"""),2.0)</f>
        <v>2</v>
      </c>
      <c r="G59" s="154"/>
      <c r="H59" s="155">
        <f>IFERROR(__xludf.DUMMYFUNCTION("""COMPUTED_VALUE"""),10.0)</f>
        <v>10</v>
      </c>
      <c r="I59" s="161">
        <f>IFERROR(__xludf.DUMMYFUNCTION("""COMPUTED_VALUE"""),0.0)</f>
        <v>0</v>
      </c>
      <c r="J59" s="157">
        <f>IFERROR(__xludf.DUMMYFUNCTION("""COMPUTED_VALUE"""),10.0)</f>
        <v>10</v>
      </c>
      <c r="K59" s="156"/>
      <c r="L59" s="160">
        <f>IFERROR(__xludf.DUMMYFUNCTION("""COMPUTED_VALUE"""),10.0)</f>
        <v>10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3">
        <f>IFERROR(__xludf.DUMMYFUNCTION("""COMPUTED_VALUE"""),44.0)</f>
        <v>44</v>
      </c>
      <c r="B60" s="70" t="str">
        <f>IFERROR(__xludf.DUMMYFUNCTION("""COMPUTED_VALUE"""),"RODRIGUEZ")</f>
        <v>RODRIGUEZ</v>
      </c>
      <c r="C60" s="53" t="str">
        <f>IFERROR(__xludf.DUMMYFUNCTION("""COMPUTED_VALUE"""),"ROSAS")</f>
        <v>ROSAS</v>
      </c>
      <c r="D60" s="54" t="str">
        <f>IFERROR(__xludf.DUMMYFUNCTION("""COMPUTED_VALUE"""),"XOCHITL")</f>
        <v>XOCHITL</v>
      </c>
      <c r="E60" s="154">
        <f>IFERROR(__xludf.DUMMYFUNCTION("""COMPUTED_VALUE"""),8.0)</f>
        <v>8</v>
      </c>
      <c r="F60" s="154">
        <f>IFERROR(__xludf.DUMMYFUNCTION("""COMPUTED_VALUE"""),2.0)</f>
        <v>2</v>
      </c>
      <c r="G60" s="154"/>
      <c r="H60" s="155">
        <f>IFERROR(__xludf.DUMMYFUNCTION("""COMPUTED_VALUE"""),10.0)</f>
        <v>10</v>
      </c>
      <c r="I60" s="161">
        <f>IFERROR(__xludf.DUMMYFUNCTION("""COMPUTED_VALUE"""),0.0)</f>
        <v>0</v>
      </c>
      <c r="J60" s="157">
        <f>IFERROR(__xludf.DUMMYFUNCTION("""COMPUTED_VALUE"""),10.0)</f>
        <v>10</v>
      </c>
      <c r="K60" s="156"/>
      <c r="L60" s="160">
        <f>IFERROR(__xludf.DUMMYFUNCTION("""COMPUTED_VALUE"""),10.0)</f>
        <v>10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3">
        <f>IFERROR(__xludf.DUMMYFUNCTION("""COMPUTED_VALUE"""),45.0)</f>
        <v>45</v>
      </c>
      <c r="B61" s="52" t="str">
        <f>IFERROR(__xludf.DUMMYFUNCTION("""COMPUTED_VALUE"""),"RUBIO")</f>
        <v>RUBIO</v>
      </c>
      <c r="C61" s="53" t="str">
        <f>IFERROR(__xludf.DUMMYFUNCTION("""COMPUTED_VALUE"""),"HERNANDEZ")</f>
        <v>HERNANDEZ</v>
      </c>
      <c r="D61" s="54" t="str">
        <f>IFERROR(__xludf.DUMMYFUNCTION("""COMPUTED_VALUE"""),"MACIEL ALEJANDRA")</f>
        <v>MACIEL ALEJANDRA</v>
      </c>
      <c r="E61" s="154">
        <f>IFERROR(__xludf.DUMMYFUNCTION("""COMPUTED_VALUE"""),8.0)</f>
        <v>8</v>
      </c>
      <c r="F61" s="154">
        <f>IFERROR(__xludf.DUMMYFUNCTION("""COMPUTED_VALUE"""),2.0)</f>
        <v>2</v>
      </c>
      <c r="G61" s="154"/>
      <c r="H61" s="155">
        <f>IFERROR(__xludf.DUMMYFUNCTION("""COMPUTED_VALUE"""),10.0)</f>
        <v>10</v>
      </c>
      <c r="I61" s="161">
        <f>IFERROR(__xludf.DUMMYFUNCTION("""COMPUTED_VALUE"""),0.0)</f>
        <v>0</v>
      </c>
      <c r="J61" s="157">
        <f>IFERROR(__xludf.DUMMYFUNCTION("""COMPUTED_VALUE"""),10.0)</f>
        <v>10</v>
      </c>
      <c r="K61" s="156"/>
      <c r="L61" s="160">
        <f>IFERROR(__xludf.DUMMYFUNCTION("""COMPUTED_VALUE"""),10.0)</f>
        <v>10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3">
        <f>IFERROR(__xludf.DUMMYFUNCTION("""COMPUTED_VALUE"""),46.0)</f>
        <v>46</v>
      </c>
      <c r="B62" s="70" t="str">
        <f>IFERROR(__xludf.DUMMYFUNCTION("""COMPUTED_VALUE"""),"SANTANA")</f>
        <v>SANTANA</v>
      </c>
      <c r="C62" s="53" t="str">
        <f>IFERROR(__xludf.DUMMYFUNCTION("""COMPUTED_VALUE"""),"LARA")</f>
        <v>LARA</v>
      </c>
      <c r="D62" s="54" t="str">
        <f>IFERROR(__xludf.DUMMYFUNCTION("""COMPUTED_VALUE"""),"IRVING WILLIAM")</f>
        <v>IRVING WILLIAM</v>
      </c>
      <c r="E62" s="154">
        <f>IFERROR(__xludf.DUMMYFUNCTION("""COMPUTED_VALUE"""),8.0)</f>
        <v>8</v>
      </c>
      <c r="F62" s="154">
        <f>IFERROR(__xludf.DUMMYFUNCTION("""COMPUTED_VALUE"""),2.0)</f>
        <v>2</v>
      </c>
      <c r="G62" s="154"/>
      <c r="H62" s="155">
        <f>IFERROR(__xludf.DUMMYFUNCTION("""COMPUTED_VALUE"""),10.0)</f>
        <v>10</v>
      </c>
      <c r="I62" s="154">
        <f>IFERROR(__xludf.DUMMYFUNCTION("""COMPUTED_VALUE"""),0.0)</f>
        <v>0</v>
      </c>
      <c r="J62" s="157">
        <f>IFERROR(__xludf.DUMMYFUNCTION("""COMPUTED_VALUE"""),10.0)</f>
        <v>10</v>
      </c>
      <c r="K62" s="156"/>
      <c r="L62" s="160">
        <f>IFERROR(__xludf.DUMMYFUNCTION("""COMPUTED_VALUE"""),10.0)</f>
        <v>10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3">
        <f>IFERROR(__xludf.DUMMYFUNCTION("""COMPUTED_VALUE"""),47.0)</f>
        <v>47</v>
      </c>
      <c r="B63" s="70" t="str">
        <f>IFERROR(__xludf.DUMMYFUNCTION("""COMPUTED_VALUE"""),"SANTILLAN")</f>
        <v>SANTILLAN</v>
      </c>
      <c r="C63" s="53" t="str">
        <f>IFERROR(__xludf.DUMMYFUNCTION("""COMPUTED_VALUE"""),"GONZALEZ")</f>
        <v>GONZALEZ</v>
      </c>
      <c r="D63" s="54" t="str">
        <f>IFERROR(__xludf.DUMMYFUNCTION("""COMPUTED_VALUE"""),"JAZMIN")</f>
        <v>JAZMIN</v>
      </c>
      <c r="E63" s="154">
        <f>IFERROR(__xludf.DUMMYFUNCTION("""COMPUTED_VALUE"""),8.0)</f>
        <v>8</v>
      </c>
      <c r="F63" s="154">
        <f>IFERROR(__xludf.DUMMYFUNCTION("""COMPUTED_VALUE"""),2.0)</f>
        <v>2</v>
      </c>
      <c r="G63" s="154"/>
      <c r="H63" s="155">
        <f>IFERROR(__xludf.DUMMYFUNCTION("""COMPUTED_VALUE"""),10.0)</f>
        <v>10</v>
      </c>
      <c r="I63" s="154">
        <f>IFERROR(__xludf.DUMMYFUNCTION("""COMPUTED_VALUE"""),0.0)</f>
        <v>0</v>
      </c>
      <c r="J63" s="157">
        <f>IFERROR(__xludf.DUMMYFUNCTION("""COMPUTED_VALUE"""),10.0)</f>
        <v>10</v>
      </c>
      <c r="K63" s="156"/>
      <c r="L63" s="160">
        <f>IFERROR(__xludf.DUMMYFUNCTION("""COMPUTED_VALUE"""),10.0)</f>
        <v>10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53">
        <f>IFERROR(__xludf.DUMMYFUNCTION("""COMPUTED_VALUE"""),48.0)</f>
        <v>48</v>
      </c>
      <c r="B64" s="70" t="str">
        <f>IFERROR(__xludf.DUMMYFUNCTION("""COMPUTED_VALUE"""),"SUAREZ")</f>
        <v>SUAREZ</v>
      </c>
      <c r="C64" s="53" t="str">
        <f>IFERROR(__xludf.DUMMYFUNCTION("""COMPUTED_VALUE"""),"MUÑOZ")</f>
        <v>MUÑOZ</v>
      </c>
      <c r="D64" s="54" t="str">
        <f>IFERROR(__xludf.DUMMYFUNCTION("""COMPUTED_VALUE"""),"ALDO YAEL")</f>
        <v>ALDO YAEL</v>
      </c>
      <c r="E64" s="154">
        <f>IFERROR(__xludf.DUMMYFUNCTION("""COMPUTED_VALUE"""),8.0)</f>
        <v>8</v>
      </c>
      <c r="F64" s="154">
        <f>IFERROR(__xludf.DUMMYFUNCTION("""COMPUTED_VALUE"""),2.0)</f>
        <v>2</v>
      </c>
      <c r="G64" s="154"/>
      <c r="H64" s="155">
        <f>IFERROR(__xludf.DUMMYFUNCTION("""COMPUTED_VALUE"""),10.0)</f>
        <v>10</v>
      </c>
      <c r="I64" s="161">
        <f>IFERROR(__xludf.DUMMYFUNCTION("""COMPUTED_VALUE"""),0.0)</f>
        <v>0</v>
      </c>
      <c r="J64" s="157">
        <f>IFERROR(__xludf.DUMMYFUNCTION("""COMPUTED_VALUE"""),10.0)</f>
        <v>10</v>
      </c>
      <c r="K64" s="156"/>
      <c r="L64" s="160">
        <f>IFERROR(__xludf.DUMMYFUNCTION("""COMPUTED_VALUE"""),10.0)</f>
        <v>10</v>
      </c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53">
        <f>IFERROR(__xludf.DUMMYFUNCTION("""COMPUTED_VALUE"""),49.0)</f>
        <v>49</v>
      </c>
      <c r="B65" s="70" t="str">
        <f>IFERROR(__xludf.DUMMYFUNCTION("""COMPUTED_VALUE"""),"TORRES")</f>
        <v>TORRES</v>
      </c>
      <c r="C65" s="53" t="str">
        <f>IFERROR(__xludf.DUMMYFUNCTION("""COMPUTED_VALUE"""),"DE LEON")</f>
        <v>DE LEON</v>
      </c>
      <c r="D65" s="66" t="str">
        <f>IFERROR(__xludf.DUMMYFUNCTION("""COMPUTED_VALUE"""),"AMAIRANI")</f>
        <v>AMAIRANI</v>
      </c>
      <c r="E65" s="154">
        <f>IFERROR(__xludf.DUMMYFUNCTION("""COMPUTED_VALUE"""),8.0)</f>
        <v>8</v>
      </c>
      <c r="F65" s="154">
        <f>IFERROR(__xludf.DUMMYFUNCTION("""COMPUTED_VALUE"""),2.0)</f>
        <v>2</v>
      </c>
      <c r="G65" s="154"/>
      <c r="H65" s="155">
        <f>IFERROR(__xludf.DUMMYFUNCTION("""COMPUTED_VALUE"""),10.0)</f>
        <v>10</v>
      </c>
      <c r="I65" s="154">
        <f>IFERROR(__xludf.DUMMYFUNCTION("""COMPUTED_VALUE"""),0.0)</f>
        <v>0</v>
      </c>
      <c r="J65" s="157">
        <f>IFERROR(__xludf.DUMMYFUNCTION("""COMPUTED_VALUE"""),10.0)</f>
        <v>10</v>
      </c>
      <c r="K65" s="156"/>
      <c r="L65" s="160">
        <f>IFERROR(__xludf.DUMMYFUNCTION("""COMPUTED_VALUE"""),10.0)</f>
        <v>10</v>
      </c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53">
        <f>IFERROR(__xludf.DUMMYFUNCTION("""COMPUTED_VALUE"""),50.0)</f>
        <v>50</v>
      </c>
      <c r="B66" s="70" t="str">
        <f>IFERROR(__xludf.DUMMYFUNCTION("""COMPUTED_VALUE"""),"VALDEZ")</f>
        <v>VALDEZ</v>
      </c>
      <c r="C66" s="53" t="str">
        <f>IFERROR(__xludf.DUMMYFUNCTION("""COMPUTED_VALUE"""),"ROBLES")</f>
        <v>ROBLES</v>
      </c>
      <c r="D66" s="66" t="str">
        <f>IFERROR(__xludf.DUMMYFUNCTION("""COMPUTED_VALUE"""),"OSCAR YAEL")</f>
        <v>OSCAR YAEL</v>
      </c>
      <c r="E66" s="154">
        <f>IFERROR(__xludf.DUMMYFUNCTION("""COMPUTED_VALUE"""),8.0)</f>
        <v>8</v>
      </c>
      <c r="F66" s="154">
        <f>IFERROR(__xludf.DUMMYFUNCTION("""COMPUTED_VALUE"""),2.0)</f>
        <v>2</v>
      </c>
      <c r="G66" s="154"/>
      <c r="H66" s="155">
        <f>IFERROR(__xludf.DUMMYFUNCTION("""COMPUTED_VALUE"""),10.0)</f>
        <v>10</v>
      </c>
      <c r="I66" s="154">
        <f>IFERROR(__xludf.DUMMYFUNCTION("""COMPUTED_VALUE"""),0.0)</f>
        <v>0</v>
      </c>
      <c r="J66" s="157">
        <f>IFERROR(__xludf.DUMMYFUNCTION("""COMPUTED_VALUE"""),10.0)</f>
        <v>10</v>
      </c>
      <c r="K66" s="156"/>
      <c r="L66" s="160">
        <f>IFERROR(__xludf.DUMMYFUNCTION("""COMPUTED_VALUE"""),10.0)</f>
        <v>10</v>
      </c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53">
        <f>IFERROR(__xludf.DUMMYFUNCTION("""COMPUTED_VALUE"""),51.0)</f>
        <v>51</v>
      </c>
      <c r="B67" s="70" t="str">
        <f>IFERROR(__xludf.DUMMYFUNCTION("""COMPUTED_VALUE"""),"VARGAS")</f>
        <v>VARGAS</v>
      </c>
      <c r="C67" s="53" t="str">
        <f>IFERROR(__xludf.DUMMYFUNCTION("""COMPUTED_VALUE"""),"SANTOS")</f>
        <v>SANTOS</v>
      </c>
      <c r="D67" s="117" t="str">
        <f>IFERROR(__xludf.DUMMYFUNCTION("""COMPUTED_VALUE"""),"JATZIRI VANESSA")</f>
        <v>JATZIRI VANESSA</v>
      </c>
      <c r="E67" s="154">
        <f>IFERROR(__xludf.DUMMYFUNCTION("""COMPUTED_VALUE"""),7.0)</f>
        <v>7</v>
      </c>
      <c r="F67" s="154">
        <f>IFERROR(__xludf.DUMMYFUNCTION("""COMPUTED_VALUE"""),2.0)</f>
        <v>2</v>
      </c>
      <c r="G67" s="154"/>
      <c r="H67" s="155">
        <f>IFERROR(__xludf.DUMMYFUNCTION("""COMPUTED_VALUE"""),9.0)</f>
        <v>9</v>
      </c>
      <c r="I67" s="154">
        <f>IFERROR(__xludf.DUMMYFUNCTION("""COMPUTED_VALUE"""),1.0)</f>
        <v>1</v>
      </c>
      <c r="J67" s="157">
        <f>IFERROR(__xludf.DUMMYFUNCTION("""COMPUTED_VALUE"""),9.0)</f>
        <v>9</v>
      </c>
      <c r="K67" s="156"/>
      <c r="L67" s="160">
        <f>IFERROR(__xludf.DUMMYFUNCTION("""COMPUTED_VALUE"""),9.0)</f>
        <v>9</v>
      </c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53">
        <f>IFERROR(__xludf.DUMMYFUNCTION("""COMPUTED_VALUE"""),52.0)</f>
        <v>52</v>
      </c>
      <c r="B68" s="70" t="str">
        <f>IFERROR(__xludf.DUMMYFUNCTION("""COMPUTED_VALUE"""),"VELAZQUEZ")</f>
        <v>VELAZQUEZ</v>
      </c>
      <c r="C68" s="53" t="str">
        <f>IFERROR(__xludf.DUMMYFUNCTION("""COMPUTED_VALUE"""),"FIGUEROA")</f>
        <v>FIGUEROA</v>
      </c>
      <c r="D68" s="117" t="str">
        <f>IFERROR(__xludf.DUMMYFUNCTION("""COMPUTED_VALUE"""),"DANAE PAOLA")</f>
        <v>DANAE PAOLA</v>
      </c>
      <c r="E68" s="154">
        <f>IFERROR(__xludf.DUMMYFUNCTION("""COMPUTED_VALUE"""),8.0)</f>
        <v>8</v>
      </c>
      <c r="F68" s="154">
        <f>IFERROR(__xludf.DUMMYFUNCTION("""COMPUTED_VALUE"""),2.0)</f>
        <v>2</v>
      </c>
      <c r="G68" s="154"/>
      <c r="H68" s="155">
        <f>IFERROR(__xludf.DUMMYFUNCTION("""COMPUTED_VALUE"""),10.0)</f>
        <v>10</v>
      </c>
      <c r="I68" s="154">
        <f>IFERROR(__xludf.DUMMYFUNCTION("""COMPUTED_VALUE"""),0.0)</f>
        <v>0</v>
      </c>
      <c r="J68" s="157">
        <f>IFERROR(__xludf.DUMMYFUNCTION("""COMPUTED_VALUE"""),10.0)</f>
        <v>10</v>
      </c>
      <c r="K68" s="156"/>
      <c r="L68" s="160">
        <f>IFERROR(__xludf.DUMMYFUNCTION("""COMPUTED_VALUE"""),10.0)</f>
        <v>10</v>
      </c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24.75" customHeight="1">
      <c r="A69" s="153">
        <f>IFERROR(__xludf.DUMMYFUNCTION("""COMPUTED_VALUE"""),53.0)</f>
        <v>53</v>
      </c>
      <c r="B69" s="70" t="str">
        <f>IFERROR(__xludf.DUMMYFUNCTION("""COMPUTED_VALUE"""),"VENEGAS")</f>
        <v>VENEGAS</v>
      </c>
      <c r="C69" s="53" t="str">
        <f>IFERROR(__xludf.DUMMYFUNCTION("""COMPUTED_VALUE"""),"GONZALEZ")</f>
        <v>GONZALEZ</v>
      </c>
      <c r="D69" s="66" t="str">
        <f>IFERROR(__xludf.DUMMYFUNCTION("""COMPUTED_VALUE"""),"SANTIAGO")</f>
        <v>SANTIAGO</v>
      </c>
      <c r="E69" s="154">
        <f>IFERROR(__xludf.DUMMYFUNCTION("""COMPUTED_VALUE"""),8.0)</f>
        <v>8</v>
      </c>
      <c r="F69" s="154">
        <f>IFERROR(__xludf.DUMMYFUNCTION("""COMPUTED_VALUE"""),2.0)</f>
        <v>2</v>
      </c>
      <c r="G69" s="154"/>
      <c r="H69" s="155">
        <f>IFERROR(__xludf.DUMMYFUNCTION("""COMPUTED_VALUE"""),10.0)</f>
        <v>10</v>
      </c>
      <c r="I69" s="161">
        <f>IFERROR(__xludf.DUMMYFUNCTION("""COMPUTED_VALUE"""),0.0)</f>
        <v>0</v>
      </c>
      <c r="J69" s="157">
        <f>IFERROR(__xludf.DUMMYFUNCTION("""COMPUTED_VALUE"""),10.0)</f>
        <v>10</v>
      </c>
      <c r="K69" s="156"/>
      <c r="L69" s="160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4.75" customHeight="1">
      <c r="A70" s="153">
        <f>IFERROR(__xludf.DUMMYFUNCTION("""COMPUTED_VALUE"""),54.0)</f>
        <v>54</v>
      </c>
      <c r="B70" s="70" t="str">
        <f>IFERROR(__xludf.DUMMYFUNCTION("""COMPUTED_VALUE"""),"ZAMORA")</f>
        <v>ZAMORA</v>
      </c>
      <c r="C70" s="53" t="str">
        <f>IFERROR(__xludf.DUMMYFUNCTION("""COMPUTED_VALUE"""),"SEPULVEDA")</f>
        <v>SEPULVEDA</v>
      </c>
      <c r="D70" s="66" t="str">
        <f>IFERROR(__xludf.DUMMYFUNCTION("""COMPUTED_VALUE"""),"SEBASTIAN")</f>
        <v>SEBASTIAN</v>
      </c>
      <c r="E70" s="154">
        <f>IFERROR(__xludf.DUMMYFUNCTION("""COMPUTED_VALUE"""),8.0)</f>
        <v>8</v>
      </c>
      <c r="F70" s="154">
        <f>IFERROR(__xludf.DUMMYFUNCTION("""COMPUTED_VALUE"""),2.0)</f>
        <v>2</v>
      </c>
      <c r="G70" s="154"/>
      <c r="H70" s="155">
        <f>IFERROR(__xludf.DUMMYFUNCTION("""COMPUTED_VALUE"""),10.0)</f>
        <v>10</v>
      </c>
      <c r="I70" s="154">
        <f>IFERROR(__xludf.DUMMYFUNCTION("""COMPUTED_VALUE"""),1.0)</f>
        <v>1</v>
      </c>
      <c r="J70" s="157">
        <f>IFERROR(__xludf.DUMMYFUNCTION("""COMPUTED_VALUE"""),10.0)</f>
        <v>10</v>
      </c>
      <c r="K70" s="156"/>
      <c r="L70" s="162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21.75" customHeight="1">
      <c r="A71" s="163"/>
      <c r="B71" s="132"/>
      <c r="C71" s="132"/>
      <c r="D71" s="127"/>
      <c r="E71" s="127"/>
      <c r="F71" s="127"/>
      <c r="G71" s="127"/>
      <c r="H71" s="127"/>
      <c r="I71" s="127"/>
      <c r="J71" s="121"/>
      <c r="K71" s="128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64"/>
      <c r="B72" s="165" t="str">
        <f>IFERROR(__xludf.DUMMYFUNCTION("""COMPUTED_VALUE"""),"No. DE ALUMNOS INSCRITOS")</f>
        <v>No. DE ALUMNOS INSCRITOS</v>
      </c>
      <c r="C72" s="76"/>
      <c r="D72" s="166">
        <f>IFERROR(__xludf.DUMMYFUNCTION("""COMPUTED_VALUE"""),54.0)</f>
        <v>54</v>
      </c>
      <c r="E72" s="127"/>
      <c r="F72" s="167" t="str">
        <f>IFERROR(__xludf.DUMMYFUNCTION("""COMPUTED_VALUE"""),"FIRMA DEL PROFESOR")</f>
        <v>FIRMA DEL PROFESOR</v>
      </c>
      <c r="G72" s="127"/>
      <c r="H72" s="167" t="str">
        <f>IFERROR(__xludf.DUMMYFUNCTION("""COMPUTED_VALUE"""),"FIRMA DEL ORIENTADOR")</f>
        <v>FIRMA DEL ORIENTADOR</v>
      </c>
      <c r="J72" s="168" t="str">
        <f>IFERROR(__xludf.DUMMYFUNCTION("""COMPUTED_VALUE"""),"Vo. Bo. SUBDIRECCIÓN ESCOLAR")</f>
        <v>Vo. Bo. SUBDIRECCIÓN ESCOLAR</v>
      </c>
      <c r="K72" s="169" t="str">
        <f>IFERROR(__xludf.DUMMYFUNCTION("""COMPUTED_VALUE"""),"REVISADO POR SECRETARIA ESCOLAR ")</f>
        <v>REVISADO POR SECRETARIA ESCOLAR </v>
      </c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64"/>
      <c r="B73" s="170" t="str">
        <f>IFERROR(__xludf.DUMMYFUNCTION("""COMPUTED_VALUE"""),"BAJAS DURANTE EL SEMESTRE")</f>
        <v>BAJAS DURANTE EL SEMESTRE</v>
      </c>
      <c r="C73" s="83"/>
      <c r="D73" s="171">
        <f>IFERROR(__xludf.DUMMYFUNCTION("""COMPUTED_VALUE"""),0.0)</f>
        <v>0</v>
      </c>
      <c r="E73" s="127"/>
      <c r="G73" s="127"/>
      <c r="K73" s="10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64"/>
      <c r="B74" s="170" t="str">
        <f>IFERROR(__xludf.DUMMYFUNCTION("""COMPUTED_VALUE"""),"EXISTENCIA")</f>
        <v>EXISTENCIA</v>
      </c>
      <c r="C74" s="83"/>
      <c r="D74" s="172">
        <f>IFERROR(__xludf.DUMMYFUNCTION("""COMPUTED_VALUE"""),54.0)</f>
        <v>54</v>
      </c>
      <c r="E74" s="127"/>
      <c r="F74" s="127"/>
      <c r="G74" s="127"/>
      <c r="H74" s="127"/>
      <c r="I74" s="127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1.75" customHeight="1">
      <c r="A75" s="164"/>
      <c r="B75" s="170" t="str">
        <f>IFERROR(__xludf.DUMMYFUNCTION("""COMPUTED_VALUE"""),"No. DE ALUMNOS APROBADOS")</f>
        <v>No. DE ALUMNOS APROBADOS</v>
      </c>
      <c r="C75" s="83"/>
      <c r="D75" s="172">
        <f>IFERROR(__xludf.DUMMYFUNCTION("""COMPUTED_VALUE"""),54.0)</f>
        <v>54</v>
      </c>
      <c r="E75" s="127"/>
      <c r="F75" s="127"/>
      <c r="G75" s="127"/>
      <c r="H75" s="127"/>
      <c r="I75" s="127"/>
      <c r="J75" s="121"/>
      <c r="K75" s="128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7.75" customHeight="1">
      <c r="A76" s="164"/>
      <c r="B76" s="170" t="str">
        <f>IFERROR(__xludf.DUMMYFUNCTION("""COMPUTED_VALUE"""),"No. DE ALUMNOS REPROBADOS")</f>
        <v>No. DE ALUMNOS REPROBADOS</v>
      </c>
      <c r="C76" s="83"/>
      <c r="D76" s="172">
        <f>IFERROR(__xludf.DUMMYFUNCTION("""COMPUTED_VALUE"""),0.0)</f>
        <v>0</v>
      </c>
      <c r="E76" s="127"/>
      <c r="F76" s="173"/>
      <c r="G76" s="127"/>
      <c r="H76" s="173"/>
      <c r="I76" s="173"/>
      <c r="J76" s="174"/>
      <c r="K76" s="175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21.75" customHeight="1">
      <c r="A77" s="164"/>
      <c r="B77" s="176" t="str">
        <f>IFERROR(__xludf.DUMMYFUNCTION("""COMPUTED_VALUE"""),"% DE APROBADOS")</f>
        <v>% DE APROBADOS</v>
      </c>
      <c r="C77" s="83"/>
      <c r="D77" s="177">
        <f>IFERROR(__xludf.DUMMYFUNCTION("""COMPUTED_VALUE"""),100.0)</f>
        <v>100</v>
      </c>
      <c r="E77" s="127"/>
      <c r="F77" s="178" t="str">
        <f>IFERROR(__xludf.DUMMYFUNCTION("""COMPUTED_VALUE"""),"PROFR. ")</f>
        <v>PROFR. </v>
      </c>
      <c r="G77" s="130"/>
      <c r="H77" s="96" t="str">
        <f>IFERROR(__xludf.DUMMYFUNCTION("""COMPUTED_VALUE"""),"PROFRA. SANDRA DIAZ CAMARENA")</f>
        <v>PROFRA. SANDRA DIAZ CAMARENA</v>
      </c>
      <c r="J77" s="179" t="str">
        <f>IFERROR(__xludf.DUMMYFUNCTION("""COMPUTED_VALUE"""),"PROFR. OCTAVIO VÁZQUEZ BARRETO")</f>
        <v>PROFR. OCTAVIO VÁZQUEZ BARRETO</v>
      </c>
      <c r="K77" s="180" t="str">
        <f>IFERROR(__xludf.DUMMYFUNCTION("""COMPUTED_VALUE"""),"PROFR. ROBERTO PALOMARES MEJÍA ")</f>
        <v>PROFR. ROBERTO PALOMARES MEJÍA </v>
      </c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13.5" customHeight="1">
      <c r="A78" s="121"/>
      <c r="B78" s="181" t="str">
        <f>IFERROR(__xludf.DUMMYFUNCTION("""COMPUTED_VALUE"""),"PROMEDIO")</f>
        <v>PROMEDIO</v>
      </c>
      <c r="C78" s="100"/>
      <c r="D78" s="182">
        <f>IFERROR(__xludf.DUMMYFUNCTION("""COMPUTED_VALUE"""),9.925925925925926)</f>
        <v>9.925925926</v>
      </c>
      <c r="E78" s="127"/>
      <c r="G78" s="130"/>
      <c r="K78" s="10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6"/>
      <c r="B79" s="121"/>
      <c r="C79" s="121"/>
      <c r="D79" s="121"/>
      <c r="E79" s="121"/>
      <c r="F79" s="121"/>
      <c r="G79" s="121"/>
      <c r="H79" s="121"/>
      <c r="I79" s="121"/>
      <c r="J79" s="121"/>
      <c r="K79" s="128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83"/>
      <c r="B80" s="184"/>
      <c r="C80" s="185"/>
      <c r="D80" s="185"/>
      <c r="E80" s="127"/>
      <c r="G80" s="127"/>
      <c r="H80" s="127"/>
      <c r="I80" s="127"/>
      <c r="J80" s="127"/>
      <c r="K80" s="186"/>
      <c r="L80" s="127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87"/>
      <c r="B81" s="127"/>
      <c r="C81" s="127"/>
      <c r="D81" s="127"/>
      <c r="E81" s="127"/>
      <c r="F81" s="121"/>
      <c r="G81" s="121"/>
      <c r="H81" s="121"/>
      <c r="I81" s="121"/>
      <c r="J81" s="121"/>
      <c r="K81" s="128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3.5" customHeight="1">
      <c r="A82" s="187"/>
      <c r="B82" s="127"/>
      <c r="C82" s="127"/>
      <c r="D82" s="127"/>
      <c r="E82" s="127"/>
      <c r="F82" s="121"/>
      <c r="G82" s="121"/>
      <c r="H82" s="121"/>
      <c r="I82" s="121"/>
      <c r="J82" s="121"/>
      <c r="K82" s="128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4.25" customHeight="1">
      <c r="A83" s="188"/>
      <c r="B83" s="189"/>
      <c r="C83" s="189"/>
      <c r="D83" s="189"/>
      <c r="E83" s="189"/>
      <c r="F83" s="190"/>
      <c r="G83" s="190"/>
      <c r="H83" s="190"/>
      <c r="I83" s="190"/>
      <c r="J83" s="190"/>
      <c r="K83" s="19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30"/>
      <c r="K84" s="130"/>
      <c r="L84" s="130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30"/>
      <c r="K85" s="130"/>
      <c r="L85" s="130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30"/>
      <c r="K86" s="130"/>
      <c r="L86" s="130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30"/>
      <c r="K87" s="130"/>
      <c r="L87" s="130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92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7"/>
      <c r="C89" s="127"/>
      <c r="D89" s="127"/>
      <c r="E89" s="127"/>
      <c r="F89" s="121"/>
      <c r="G89" s="121"/>
      <c r="H89" s="121"/>
      <c r="I89" s="121"/>
      <c r="J89" s="121"/>
      <c r="K89" s="192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7"/>
      <c r="C90" s="127"/>
      <c r="D90" s="127"/>
      <c r="E90" s="127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7"/>
      <c r="C91" s="127"/>
      <c r="D91" s="127"/>
      <c r="E91" s="127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7"/>
      <c r="C92" s="127"/>
      <c r="D92" s="127"/>
      <c r="E92" s="127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7"/>
      <c r="C93" s="127"/>
      <c r="D93" s="127"/>
      <c r="E93" s="127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4.25" customHeight="1">
      <c r="A94" s="121"/>
      <c r="B94" s="127"/>
      <c r="C94" s="127"/>
      <c r="D94" s="127"/>
      <c r="E94" s="127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3.5" customHeight="1">
      <c r="A95" s="121"/>
      <c r="B95" s="127"/>
      <c r="C95" s="127"/>
      <c r="D95" s="127"/>
      <c r="E95" s="127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</row>
    <row r="277" ht="13.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</row>
    <row r="289" ht="15.75" customHeight="1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</row>
    <row r="290" ht="15.75" customHeight="1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</row>
    <row r="291" ht="15.75" customHeight="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</row>
    <row r="292" ht="15.75" customHeight="1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</row>
    <row r="293" ht="15.75" customHeight="1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</row>
    <row r="294" ht="15.75" customHeight="1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</row>
    <row r="295" ht="15.75" customHeight="1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</row>
    <row r="296" ht="15.75" customHeight="1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</row>
    <row r="297" ht="15.75" customHeight="1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</row>
    <row r="298" ht="15.75" customHeight="1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</row>
    <row r="299" ht="15.75" customHeight="1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</row>
    <row r="300" ht="15.75" customHeight="1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</row>
    <row r="301" ht="15.75" customHeight="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</row>
    <row r="302" ht="15.75" customHeight="1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</row>
    <row r="303" ht="15.75" customHeight="1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</row>
    <row r="304" ht="15.75" customHeight="1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</row>
    <row r="305" ht="15.75" customHeight="1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</row>
    <row r="306" ht="15.75" customHeight="1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</row>
    <row r="307" ht="15.75" customHeight="1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</row>
    <row r="308" ht="15.75" customHeight="1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</row>
    <row r="309" ht="15.75" customHeight="1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</row>
    <row r="310" ht="15.75" customHeight="1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</row>
    <row r="311" ht="15.75" customHeight="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</row>
    <row r="312" ht="15.75" customHeight="1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</row>
    <row r="313" ht="15.75" customHeight="1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</row>
    <row r="314" ht="15.75" customHeight="1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</row>
    <row r="315" ht="15.75" customHeight="1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</row>
    <row r="316" ht="15.75" customHeight="1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</row>
    <row r="317" ht="15.75" customHeight="1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</row>
    <row r="318" ht="15.75" customHeight="1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</row>
    <row r="319" ht="15.75" customHeight="1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</row>
    <row r="320" ht="15.75" customHeight="1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</row>
    <row r="321" ht="15.75" customHeight="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</row>
    <row r="322" ht="15.75" customHeight="1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</row>
    <row r="323" ht="15.75" customHeight="1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</row>
    <row r="324" ht="15.75" customHeight="1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</row>
    <row r="325" ht="15.75" customHeight="1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</row>
    <row r="326" ht="15.75" customHeight="1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</row>
    <row r="327" ht="15.75" customHeight="1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</row>
    <row r="328" ht="15.75" customHeight="1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</row>
    <row r="329" ht="15.75" customHeight="1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</row>
    <row r="330" ht="15.75" customHeight="1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</row>
    <row r="331" ht="15.75" customHeight="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</row>
    <row r="332" ht="15.75" customHeight="1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</row>
    <row r="333" ht="15.75" customHeight="1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</row>
    <row r="334" ht="15.75" customHeight="1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</row>
    <row r="335" ht="15.75" customHeight="1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</row>
    <row r="336" ht="15.75" customHeight="1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</row>
    <row r="337" ht="15.75" customHeight="1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</row>
    <row r="338" ht="15.75" customHeight="1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</row>
    <row r="339" ht="15.75" customHeight="1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</row>
    <row r="340" ht="15.75" customHeight="1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</row>
    <row r="341" ht="15.75" customHeight="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</row>
    <row r="342" ht="15.75" customHeight="1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</row>
    <row r="343" ht="15.75" customHeight="1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</row>
    <row r="344" ht="15.75" customHeight="1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</row>
    <row r="345" ht="15.75" customHeight="1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</row>
    <row r="346" ht="15.75" customHeight="1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</row>
    <row r="347" ht="15.75" customHeight="1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</row>
    <row r="348" ht="15.75" customHeight="1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</row>
    <row r="349" ht="15.75" customHeight="1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</row>
    <row r="350" ht="15.75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</row>
    <row r="351" ht="15.75" customHeight="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</row>
    <row r="352" ht="15.75" customHeight="1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</row>
    <row r="353" ht="15.75" customHeight="1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</row>
    <row r="354" ht="15.75" customHeight="1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</row>
    <row r="355" ht="15.75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</row>
    <row r="356" ht="15.75" customHeight="1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</row>
    <row r="357" ht="15.75" customHeight="1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</row>
    <row r="358" ht="15.75" customHeight="1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</row>
    <row r="359" ht="15.75" customHeight="1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</row>
    <row r="360" ht="15.75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</row>
    <row r="361" ht="15.75" customHeight="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</row>
    <row r="362" ht="15.75" customHeight="1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</row>
    <row r="363" ht="15.75" customHeight="1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</row>
    <row r="364" ht="15.75" customHeight="1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</row>
    <row r="365" ht="15.75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</row>
    <row r="366" ht="15.75" customHeight="1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</row>
    <row r="367" ht="15.75" customHeight="1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</row>
    <row r="368" ht="15.75" customHeight="1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</row>
    <row r="369" ht="15.75" customHeight="1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</row>
    <row r="370" ht="15.75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</row>
    <row r="371" ht="15.75" customHeight="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</row>
    <row r="372" ht="15.75" customHeight="1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</row>
    <row r="373" ht="15.75" customHeight="1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</row>
    <row r="374" ht="15.75" customHeight="1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</row>
    <row r="375" ht="15.75" customHeight="1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</row>
    <row r="376" ht="15.75" customHeight="1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</row>
    <row r="377" ht="15.75" customHeight="1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</row>
    <row r="378" ht="15.75" customHeight="1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</row>
    <row r="379" ht="15.75" customHeight="1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</row>
    <row r="380" ht="15.75" customHeight="1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</row>
    <row r="381" ht="15.75" customHeight="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</row>
    <row r="382" ht="15.75" customHeight="1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</row>
    <row r="383" ht="15.75" customHeight="1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</row>
    <row r="384" ht="15.75" customHeight="1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</row>
    <row r="385" ht="15.75" customHeight="1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</row>
    <row r="386" ht="15.75" customHeight="1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</row>
    <row r="387" ht="15.75" customHeight="1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</row>
    <row r="388" ht="15.75" customHeight="1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</row>
    <row r="389" ht="15.75" customHeight="1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</row>
    <row r="390" ht="15.75" customHeight="1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</row>
    <row r="391" ht="15.75" customHeight="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</row>
    <row r="392" ht="15.75" customHeight="1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</row>
    <row r="393" ht="15.75" customHeight="1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</row>
    <row r="394" ht="15.75" customHeight="1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</row>
    <row r="395" ht="15.75" customHeight="1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</row>
    <row r="396" ht="15.75" customHeight="1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</row>
    <row r="397" ht="15.75" customHeight="1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</row>
    <row r="398" ht="15.75" customHeight="1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</row>
    <row r="399" ht="15.75" customHeight="1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</row>
    <row r="400" ht="15.75" customHeight="1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</row>
    <row r="401" ht="15.75" customHeight="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</row>
    <row r="402" ht="15.75" customHeight="1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</row>
    <row r="403" ht="15.75" customHeight="1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</row>
    <row r="404" ht="15.75" customHeight="1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</row>
    <row r="405" ht="15.75" customHeight="1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</row>
    <row r="406" ht="15.75" customHeight="1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</row>
    <row r="407" ht="15.75" customHeight="1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</row>
    <row r="408" ht="15.75" customHeight="1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</row>
    <row r="409" ht="15.75" customHeight="1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</row>
    <row r="410" ht="15.75" customHeight="1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</row>
    <row r="411" ht="15.75" customHeight="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</row>
    <row r="412" ht="15.75" customHeight="1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</row>
    <row r="413" ht="15.75" customHeight="1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</row>
    <row r="414" ht="15.75" customHeight="1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</row>
    <row r="415" ht="15.75" customHeight="1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</row>
    <row r="416" ht="15.75" customHeight="1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</row>
    <row r="417" ht="15.75" customHeight="1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</row>
    <row r="418" ht="15.75" customHeight="1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</row>
    <row r="419" ht="15.75" customHeight="1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</row>
    <row r="420" ht="15.75" customHeight="1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</row>
    <row r="421" ht="15.75" customHeight="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</row>
    <row r="422" ht="15.75" customHeight="1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</row>
    <row r="423" ht="15.75" customHeight="1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</row>
    <row r="424" ht="15.75" customHeight="1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</row>
    <row r="425" ht="15.75" customHeight="1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</row>
    <row r="426" ht="15.75" customHeight="1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</row>
    <row r="427" ht="15.75" customHeight="1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</row>
    <row r="428" ht="15.75" customHeight="1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</row>
    <row r="429" ht="15.75" customHeight="1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</row>
    <row r="430" ht="15.75" customHeight="1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</row>
    <row r="431" ht="15.75" customHeight="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</row>
    <row r="432" ht="15.75" customHeight="1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</row>
    <row r="433" ht="15.75" customHeight="1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</row>
    <row r="434" ht="15.75" customHeight="1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</row>
    <row r="435" ht="15.75" customHeight="1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</row>
    <row r="436" ht="15.75" customHeight="1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</row>
    <row r="437" ht="15.75" customHeight="1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</row>
    <row r="438" ht="15.75" customHeight="1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</row>
    <row r="439" ht="15.75" customHeight="1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</row>
    <row r="440" ht="15.75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</row>
    <row r="441" ht="15.75" customHeight="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</row>
    <row r="442" ht="15.75" customHeight="1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</row>
    <row r="443" ht="15.75" customHeight="1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</row>
    <row r="444" ht="15.75" customHeight="1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</row>
    <row r="445" ht="15.75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</row>
    <row r="446" ht="15.75" customHeight="1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</row>
    <row r="447" ht="15.75" customHeight="1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</row>
    <row r="448" ht="15.75" customHeight="1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</row>
    <row r="449" ht="15.75" customHeight="1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</row>
    <row r="450" ht="15.75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</row>
    <row r="451" ht="15.75" customHeight="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</row>
    <row r="452" ht="15.75" customHeight="1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</row>
    <row r="453" ht="15.75" customHeight="1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</row>
    <row r="454" ht="15.75" customHeight="1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</row>
    <row r="455" ht="15.75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</row>
    <row r="456" ht="15.75" customHeight="1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</row>
    <row r="457" ht="15.75" customHeight="1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</row>
    <row r="458" ht="15.75" customHeight="1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</row>
    <row r="459" ht="15.75" customHeight="1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</row>
    <row r="460" ht="15.75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</row>
    <row r="461" ht="15.75" customHeight="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</row>
    <row r="462" ht="15.75" customHeight="1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</row>
    <row r="463" ht="15.75" customHeight="1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</row>
    <row r="464" ht="15.75" customHeight="1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</row>
    <row r="465" ht="15.75" customHeight="1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</row>
    <row r="466" ht="15.75" customHeight="1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</row>
    <row r="467" ht="15.75" customHeight="1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</row>
    <row r="468" ht="15.75" customHeight="1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</row>
    <row r="469" ht="15.75" customHeight="1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</row>
    <row r="470" ht="15.75" customHeight="1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</row>
    <row r="471" ht="15.75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</row>
    <row r="472" ht="15.75" customHeight="1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</row>
    <row r="473" ht="15.75" customHeight="1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</row>
    <row r="474" ht="15.75" customHeight="1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</row>
    <row r="475" ht="15.75" customHeight="1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</row>
    <row r="476" ht="15.75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</row>
    <row r="477" ht="15.75" customHeight="1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</row>
    <row r="478" ht="15.75" customHeight="1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</row>
    <row r="479" ht="15.75" customHeight="1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</row>
    <row r="480" ht="15.75" customHeight="1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</row>
    <row r="481" ht="15.75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</row>
    <row r="482" ht="15.75" customHeight="1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</row>
    <row r="483" ht="15.75" customHeight="1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</row>
    <row r="484" ht="15.75" customHeight="1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</row>
    <row r="485" ht="15.75" customHeight="1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</row>
    <row r="486" ht="15.75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</row>
    <row r="487" ht="15.75" customHeight="1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</row>
    <row r="488" ht="15.75" customHeight="1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</row>
    <row r="489" ht="15.75" customHeight="1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</row>
    <row r="490" ht="15.75" customHeight="1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</row>
    <row r="491" ht="15.75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</row>
    <row r="492" ht="15.75" customHeight="1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</row>
    <row r="493" ht="15.75" customHeight="1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</row>
    <row r="494" ht="15.75" customHeight="1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</row>
    <row r="495" ht="15.75" customHeight="1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</row>
    <row r="496" ht="15.75" customHeight="1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</row>
    <row r="497" ht="15.75" customHeight="1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</row>
    <row r="498" ht="15.75" customHeight="1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</row>
    <row r="499" ht="15.75" customHeight="1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</row>
    <row r="500" ht="15.75" customHeight="1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</row>
    <row r="501" ht="15.75" customHeight="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</row>
    <row r="502" ht="15.75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</row>
    <row r="503" ht="15.75" customHeight="1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</row>
    <row r="504" ht="15.75" customHeight="1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</row>
    <row r="505" ht="15.75" customHeight="1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</row>
    <row r="506" ht="15.75" customHeight="1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</row>
    <row r="507" ht="15.75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</row>
    <row r="508" ht="15.75" customHeight="1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</row>
    <row r="509" ht="15.75" customHeight="1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</row>
    <row r="510" ht="15.75" customHeight="1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</row>
    <row r="511" ht="15.75" customHeight="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</row>
    <row r="512" ht="15.75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</row>
    <row r="513" ht="15.75" customHeight="1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</row>
    <row r="514" ht="15.75" customHeight="1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</row>
    <row r="515" ht="15.75" customHeight="1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</row>
    <row r="516" ht="15.75" customHeight="1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</row>
    <row r="517" ht="15.75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</row>
    <row r="518" ht="15.75" customHeight="1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</row>
    <row r="519" ht="15.75" customHeight="1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</row>
    <row r="520" ht="15.75" customHeight="1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</row>
    <row r="521" ht="15.75" customHeight="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</row>
    <row r="522" ht="15.75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</row>
    <row r="523" ht="15.75" customHeight="1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</row>
    <row r="524" ht="15.75" customHeight="1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</row>
    <row r="525" ht="15.75" customHeight="1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</row>
    <row r="526" ht="15.75" customHeight="1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</row>
    <row r="527" ht="15.75" customHeight="1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</row>
    <row r="528" ht="15.75" customHeight="1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</row>
    <row r="529" ht="15.75" customHeight="1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</row>
    <row r="530" ht="15.75" customHeight="1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</row>
    <row r="531" ht="15.75" customHeight="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</row>
    <row r="532" ht="15.75" customHeight="1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</row>
    <row r="533" ht="15.75" customHeight="1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</row>
    <row r="534" ht="15.75" customHeight="1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</row>
    <row r="535" ht="15.75" customHeight="1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</row>
    <row r="536" ht="15.75" customHeight="1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</row>
    <row r="537" ht="15.75" customHeight="1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</row>
    <row r="538" ht="15.75" customHeight="1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</row>
    <row r="539" ht="15.75" customHeight="1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</row>
    <row r="540" ht="15.75" customHeight="1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</row>
    <row r="541" ht="15.75" customHeight="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</row>
    <row r="542" ht="15.75" customHeight="1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</row>
    <row r="543" ht="15.75" customHeight="1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</row>
    <row r="544" ht="15.75" customHeight="1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</row>
    <row r="545" ht="15.75" customHeight="1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</row>
    <row r="546" ht="15.75" customHeight="1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</row>
    <row r="547" ht="15.75" customHeight="1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</row>
    <row r="548" ht="15.75" customHeight="1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</row>
    <row r="549" ht="15.75" customHeight="1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</row>
    <row r="550" ht="15.75" customHeight="1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</row>
    <row r="551" ht="15.75" customHeight="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</row>
    <row r="552" ht="15.75" customHeight="1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</row>
    <row r="553" ht="15.75" customHeight="1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</row>
    <row r="554" ht="15.75" customHeight="1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</row>
    <row r="555" ht="15.75" customHeight="1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</row>
    <row r="556" ht="15.75" customHeight="1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</row>
    <row r="557" ht="15.75" customHeight="1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</row>
    <row r="558" ht="15.75" customHeight="1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</row>
    <row r="559" ht="15.75" customHeight="1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</row>
    <row r="560" ht="15.75" customHeight="1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</row>
    <row r="561" ht="15.75" customHeight="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</row>
    <row r="562" ht="15.75" customHeight="1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</row>
    <row r="563" ht="15.75" customHeight="1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</row>
    <row r="564" ht="15.75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</row>
    <row r="565" ht="15.75" customHeight="1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</row>
    <row r="566" ht="15.75" customHeight="1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</row>
    <row r="567" ht="15.75" customHeight="1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</row>
    <row r="568" ht="15.75" customHeight="1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</row>
    <row r="569" ht="15.75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</row>
    <row r="570" ht="15.75" customHeight="1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</row>
    <row r="571" ht="15.75" customHeight="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</row>
    <row r="572" ht="15.75" customHeight="1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</row>
    <row r="573" ht="15.75" customHeight="1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</row>
    <row r="574" ht="15.75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</row>
    <row r="575" ht="15.75" customHeight="1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</row>
    <row r="576" ht="15.75" customHeight="1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</row>
    <row r="577" ht="15.75" customHeight="1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</row>
    <row r="578" ht="15.75" customHeight="1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</row>
    <row r="579" ht="15.75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</row>
    <row r="580" ht="15.75" customHeight="1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</row>
    <row r="581" ht="15.75" customHeight="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</row>
    <row r="582" ht="15.75" customHeight="1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</row>
    <row r="583" ht="15.75" customHeight="1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</row>
    <row r="584" ht="15.75" customHeight="1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</row>
    <row r="585" ht="15.75" customHeight="1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</row>
    <row r="586" ht="15.75" customHeight="1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</row>
    <row r="587" ht="15.75" customHeight="1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</row>
    <row r="588" ht="15.75" customHeight="1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</row>
    <row r="589" ht="15.75" customHeight="1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</row>
    <row r="590" ht="15.75" customHeight="1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</row>
    <row r="591" ht="15.75" customHeight="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</row>
    <row r="592" ht="15.75" customHeight="1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</row>
    <row r="593" ht="15.75" customHeight="1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</row>
    <row r="594" ht="15.75" customHeight="1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</row>
    <row r="595" ht="15.75" customHeight="1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</row>
    <row r="596" ht="15.75" customHeight="1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</row>
    <row r="597" ht="15.75" customHeight="1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</row>
    <row r="598" ht="15.75" customHeight="1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</row>
    <row r="599" ht="15.75" customHeight="1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</row>
    <row r="600" ht="15.75" customHeight="1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</row>
    <row r="601" ht="15.75" customHeight="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</row>
    <row r="602" ht="15.75" customHeight="1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</row>
    <row r="603" ht="15.75" customHeight="1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</row>
    <row r="604" ht="15.75" customHeight="1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</row>
    <row r="605" ht="15.75" customHeight="1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</row>
    <row r="606" ht="15.75" customHeight="1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</row>
    <row r="607" ht="15.75" customHeight="1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</row>
    <row r="608" ht="15.75" customHeight="1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</row>
    <row r="609" ht="15.75" customHeight="1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</row>
    <row r="610" ht="15.75" customHeight="1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</row>
    <row r="611" ht="15.75" customHeight="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</row>
    <row r="612" ht="15.75" customHeight="1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</row>
    <row r="613" ht="15.75" customHeight="1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</row>
    <row r="614" ht="15.75" customHeight="1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</row>
    <row r="615" ht="15.75" customHeight="1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</row>
    <row r="616" ht="15.75" customHeight="1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</row>
    <row r="617" ht="15.75" customHeight="1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</row>
    <row r="618" ht="15.75" customHeight="1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</row>
    <row r="619" ht="15.75" customHeight="1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</row>
    <row r="620" ht="15.75" customHeight="1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</row>
    <row r="621" ht="15.75" customHeight="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</row>
    <row r="622" ht="15.75" customHeight="1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</row>
    <row r="623" ht="15.75" customHeight="1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</row>
    <row r="624" ht="15.75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</row>
    <row r="625" ht="15.75" customHeight="1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</row>
    <row r="626" ht="15.75" customHeight="1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</row>
    <row r="627" ht="15.75" customHeight="1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</row>
    <row r="628" ht="15.75" customHeight="1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</row>
    <row r="629" ht="15.75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</row>
    <row r="630" ht="15.75" customHeight="1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</row>
    <row r="631" ht="15.75" customHeight="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</row>
    <row r="632" ht="15.75" customHeight="1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</row>
    <row r="633" ht="15.75" customHeight="1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</row>
    <row r="634" ht="15.75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</row>
    <row r="635" ht="15.75" customHeight="1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</row>
    <row r="636" ht="15.75" customHeight="1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</row>
    <row r="637" ht="15.75" customHeight="1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</row>
    <row r="638" ht="15.75" customHeight="1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</row>
    <row r="639" ht="15.75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</row>
    <row r="640" ht="15.75" customHeight="1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</row>
    <row r="641" ht="15.75" customHeight="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</row>
    <row r="642" ht="15.75" customHeight="1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</row>
    <row r="643" ht="15.75" customHeight="1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</row>
    <row r="644" ht="15.75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</row>
    <row r="645" ht="15.75" customHeight="1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</row>
    <row r="646" ht="15.75" customHeight="1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</row>
    <row r="647" ht="15.75" customHeight="1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</row>
    <row r="648" ht="15.75" customHeight="1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</row>
    <row r="649" ht="15.75" customHeight="1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</row>
    <row r="650" ht="15.75" customHeight="1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</row>
    <row r="651" ht="15.75" customHeight="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</row>
    <row r="652" ht="15.75" customHeight="1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</row>
    <row r="653" ht="15.75" customHeight="1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</row>
    <row r="654" ht="15.75" customHeight="1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</row>
    <row r="655" ht="15.75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</row>
    <row r="656" ht="15.75" customHeight="1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</row>
    <row r="657" ht="15.75" customHeight="1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</row>
    <row r="658" ht="15.75" customHeight="1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</row>
    <row r="659" ht="15.75" customHeight="1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</row>
    <row r="660" ht="15.75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</row>
    <row r="661" ht="15.75" customHeight="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</row>
    <row r="662" ht="15.75" customHeight="1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</row>
    <row r="663" ht="15.75" customHeight="1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</row>
    <row r="664" ht="15.75" customHeight="1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</row>
    <row r="665" ht="15.75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</row>
    <row r="666" ht="15.75" customHeight="1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</row>
    <row r="667" ht="15.75" customHeight="1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</row>
    <row r="668" ht="15.75" customHeight="1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</row>
    <row r="669" ht="15.75" customHeight="1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</row>
    <row r="670" ht="15.75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</row>
    <row r="671" ht="15.75" customHeight="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</row>
    <row r="672" ht="15.75" customHeight="1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</row>
    <row r="673" ht="15.75" customHeight="1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</row>
    <row r="674" ht="15.75" customHeight="1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</row>
    <row r="675" ht="15.75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</row>
    <row r="676" ht="15.75" customHeight="1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</row>
    <row r="677" ht="15.75" customHeight="1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</row>
    <row r="678" ht="15.75" customHeight="1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</row>
    <row r="679" ht="15.75" customHeight="1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</row>
    <row r="680" ht="15.75" customHeight="1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</row>
    <row r="681" ht="15.75" customHeight="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</row>
    <row r="682" ht="15.75" customHeight="1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</row>
    <row r="683" ht="15.75" customHeight="1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</row>
    <row r="684" ht="15.75" customHeight="1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</row>
    <row r="685" ht="15.75" customHeight="1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</row>
    <row r="686" ht="15.75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</row>
    <row r="687" ht="15.75" customHeight="1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</row>
    <row r="688" ht="15.75" customHeight="1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</row>
    <row r="689" ht="15.75" customHeight="1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</row>
    <row r="690" ht="15.75" customHeight="1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</row>
    <row r="691" ht="15.75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</row>
    <row r="692" ht="15.75" customHeight="1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</row>
    <row r="693" ht="15.75" customHeight="1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</row>
    <row r="694" ht="15.75" customHeight="1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</row>
    <row r="695" ht="15.75" customHeight="1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</row>
    <row r="696" ht="15.75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</row>
    <row r="697" ht="15.75" customHeight="1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</row>
    <row r="698" ht="15.75" customHeight="1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</row>
    <row r="699" ht="15.75" customHeight="1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</row>
    <row r="700" ht="15.75" customHeight="1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</row>
    <row r="701" ht="15.75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</row>
    <row r="702" ht="15.75" customHeight="1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</row>
    <row r="703" ht="15.75" customHeight="1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</row>
    <row r="704" ht="15.75" customHeight="1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</row>
    <row r="705" ht="15.75" customHeight="1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</row>
    <row r="706" ht="15.75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</row>
    <row r="707" ht="15.75" customHeight="1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</row>
    <row r="708" ht="15.75" customHeight="1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</row>
    <row r="709" ht="15.75" customHeight="1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</row>
    <row r="710" ht="15.75" customHeight="1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</row>
    <row r="711" ht="15.75" customHeight="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</row>
    <row r="712" ht="15.75" customHeight="1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</row>
    <row r="713" ht="15.75" customHeight="1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</row>
    <row r="714" ht="15.75" customHeight="1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</row>
    <row r="715" ht="15.75" customHeight="1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</row>
    <row r="716" ht="15.75" customHeight="1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</row>
    <row r="717" ht="15.75" customHeight="1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</row>
    <row r="718" ht="15.75" customHeight="1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</row>
    <row r="719" ht="15.75" customHeight="1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</row>
    <row r="720" ht="15.75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</row>
    <row r="721" ht="15.75" customHeight="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</row>
    <row r="722" ht="15.75" customHeight="1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</row>
    <row r="723" ht="15.75" customHeight="1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</row>
    <row r="724" ht="15.75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</row>
    <row r="725" ht="15.75" customHeight="1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</row>
    <row r="726" ht="15.75" customHeight="1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</row>
    <row r="727" ht="15.75" customHeight="1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</row>
    <row r="728" ht="15.75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</row>
    <row r="729" ht="15.75" customHeight="1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</row>
    <row r="730" ht="15.75" customHeight="1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</row>
    <row r="731" ht="15.75" customHeight="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</row>
    <row r="732" ht="15.75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</row>
    <row r="733" ht="15.75" customHeight="1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</row>
    <row r="734" ht="15.75" customHeight="1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</row>
    <row r="735" ht="15.75" customHeight="1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</row>
    <row r="736" ht="15.75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</row>
    <row r="737" ht="15.75" customHeight="1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</row>
    <row r="738" ht="15.75" customHeight="1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</row>
    <row r="739" ht="15.75" customHeight="1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</row>
    <row r="740" ht="15.75" customHeight="1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</row>
    <row r="741" ht="15.75" customHeight="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</row>
    <row r="742" ht="15.75" customHeight="1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</row>
    <row r="743" ht="15.75" customHeight="1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</row>
    <row r="744" ht="15.75" customHeight="1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</row>
    <row r="745" ht="15.75" customHeight="1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</row>
    <row r="746" ht="15.75" customHeight="1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</row>
    <row r="747" ht="15.75" customHeight="1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</row>
    <row r="748" ht="15.75" customHeight="1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</row>
    <row r="749" ht="15.75" customHeight="1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</row>
    <row r="750" ht="15.75" customHeight="1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</row>
    <row r="751" ht="15.75" customHeight="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</row>
    <row r="752" ht="15.75" customHeight="1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</row>
    <row r="753" ht="15.75" customHeight="1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</row>
    <row r="754" ht="15.75" customHeight="1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</row>
    <row r="755" ht="15.75" customHeight="1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</row>
    <row r="756" ht="15.75" customHeight="1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</row>
    <row r="757" ht="15.75" customHeight="1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</row>
    <row r="758" ht="15.75" customHeight="1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</row>
    <row r="759" ht="15.75" customHeight="1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</row>
    <row r="760" ht="15.75" customHeight="1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</row>
    <row r="761" ht="15.75" customHeight="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</row>
    <row r="762" ht="15.75" customHeight="1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</row>
    <row r="763" ht="15.75" customHeight="1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</row>
    <row r="764" ht="15.75" customHeight="1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</row>
    <row r="765" ht="15.75" customHeight="1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</row>
    <row r="766" ht="15.75" customHeight="1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</row>
    <row r="767" ht="15.75" customHeight="1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</row>
    <row r="768" ht="15.75" customHeight="1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</row>
    <row r="769" ht="15.75" customHeight="1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</row>
    <row r="770" ht="15.75" customHeight="1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</row>
    <row r="771" ht="15.75" customHeight="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</row>
    <row r="772" ht="15.75" customHeight="1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</row>
    <row r="773" ht="15.75" customHeight="1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</row>
    <row r="774" ht="15.75" customHeight="1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</row>
    <row r="775" ht="15.75" customHeight="1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</row>
    <row r="776" ht="15.75" customHeight="1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</row>
    <row r="777" ht="15.75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</row>
    <row r="778" ht="15.75" customHeight="1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</row>
    <row r="779" ht="15.75" customHeight="1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</row>
    <row r="780" ht="15.75" customHeight="1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</row>
    <row r="781" ht="15.75" customHeight="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</row>
    <row r="782" ht="15.75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</row>
    <row r="783" ht="15.75" customHeight="1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</row>
    <row r="784" ht="15.75" customHeight="1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</row>
    <row r="785" ht="15.75" customHeight="1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</row>
    <row r="786" ht="15.75" customHeight="1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</row>
    <row r="787" ht="15.75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</row>
    <row r="788" ht="15.75" customHeight="1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</row>
    <row r="789" ht="15.75" customHeight="1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</row>
    <row r="790" ht="15.75" customHeight="1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</row>
    <row r="791" ht="15.75" customHeight="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</row>
    <row r="792" ht="15.75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</row>
    <row r="793" ht="15.75" customHeight="1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</row>
    <row r="794" ht="15.75" customHeight="1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</row>
    <row r="795" ht="15.75" customHeight="1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</row>
    <row r="796" ht="15.75" customHeight="1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</row>
    <row r="797" ht="15.75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</row>
    <row r="798" ht="15.75" customHeight="1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</row>
    <row r="799" ht="15.75" customHeight="1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</row>
    <row r="800" ht="15.75" customHeight="1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</row>
    <row r="801" ht="15.75" customHeight="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</row>
    <row r="802" ht="15.75" customHeight="1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</row>
    <row r="803" ht="15.75" customHeight="1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</row>
    <row r="804" ht="15.75" customHeight="1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</row>
    <row r="805" ht="15.75" customHeight="1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</row>
    <row r="806" ht="15.75" customHeight="1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</row>
    <row r="807" ht="15.75" customHeight="1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</row>
    <row r="808" ht="15.75" customHeight="1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</row>
    <row r="809" ht="15.75" customHeight="1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</row>
    <row r="810" ht="15.75" customHeight="1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</row>
    <row r="811" ht="15.75" customHeight="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</row>
    <row r="812" ht="15.75" customHeight="1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</row>
    <row r="813" ht="15.75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</row>
    <row r="814" ht="15.75" customHeight="1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</row>
    <row r="815" ht="15.75" customHeight="1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</row>
    <row r="816" ht="15.75" customHeight="1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</row>
    <row r="817" ht="15.75" customHeight="1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</row>
    <row r="818" ht="15.75" customHeight="1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</row>
    <row r="819" ht="15.75" customHeight="1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</row>
    <row r="820" ht="15.75" customHeight="1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</row>
    <row r="821" ht="15.75" customHeight="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</row>
    <row r="822" ht="15.75" customHeight="1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</row>
    <row r="823" ht="15.75" customHeight="1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</row>
    <row r="824" ht="15.75" customHeight="1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</row>
    <row r="825" ht="15.75" customHeight="1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</row>
    <row r="826" ht="15.75" customHeight="1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</row>
    <row r="827" ht="15.75" customHeight="1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</row>
    <row r="828" ht="15.75" customHeight="1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</row>
    <row r="829" ht="15.75" customHeight="1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</row>
    <row r="830" ht="15.75" customHeight="1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</row>
    <row r="831" ht="15.75" customHeight="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</row>
    <row r="832" ht="15.75" customHeight="1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</row>
    <row r="833" ht="15.75" customHeight="1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</row>
    <row r="834" ht="15.75" customHeight="1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</row>
    <row r="835" ht="15.75" customHeight="1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</row>
    <row r="836" ht="15.75" customHeight="1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</row>
    <row r="837" ht="15.75" customHeight="1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</row>
    <row r="838" ht="15.75" customHeight="1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</row>
    <row r="839" ht="15.75" customHeight="1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</row>
    <row r="840" ht="15.75" customHeight="1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</row>
    <row r="841" ht="15.75" customHeight="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</row>
    <row r="842" ht="15.75" customHeight="1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</row>
    <row r="843" ht="15.75" customHeight="1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</row>
    <row r="844" ht="15.75" customHeight="1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</row>
    <row r="845" ht="15.75" customHeight="1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</row>
    <row r="846" ht="15.75" customHeight="1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</row>
    <row r="847" ht="15.75" customHeight="1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</row>
    <row r="848" ht="15.75" customHeight="1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</row>
    <row r="849" ht="15.75" customHeight="1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</row>
    <row r="850" ht="15.75" customHeight="1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</row>
    <row r="851" ht="15.75" customHeight="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</row>
    <row r="852" ht="15.75" customHeight="1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</row>
    <row r="853" ht="15.75" customHeight="1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</row>
    <row r="854" ht="15.75" customHeight="1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</row>
    <row r="855" ht="15.75" customHeight="1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</row>
    <row r="856" ht="15.75" customHeight="1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</row>
    <row r="857" ht="15.75" customHeight="1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</row>
    <row r="858" ht="15.75" customHeight="1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</row>
    <row r="859" ht="15.75" customHeight="1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</row>
    <row r="860" ht="15.75" customHeight="1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</row>
    <row r="861" ht="15.75" customHeight="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</row>
    <row r="862" ht="15.75" customHeight="1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</row>
    <row r="863" ht="15.75" customHeight="1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</row>
    <row r="864" ht="15.75" customHeight="1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</row>
    <row r="865" ht="15.75" customHeight="1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</row>
    <row r="866" ht="15.75" customHeight="1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</row>
    <row r="867" ht="15.75" customHeight="1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</row>
    <row r="868" ht="15.75" customHeight="1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</row>
    <row r="869" ht="15.75" customHeight="1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</row>
    <row r="870" ht="15.75" customHeight="1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</row>
    <row r="871" ht="15.75" customHeight="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</row>
    <row r="872" ht="15.75" customHeight="1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</row>
    <row r="873" ht="15.75" customHeight="1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</row>
    <row r="874" ht="15.75" customHeight="1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</row>
    <row r="875" ht="15.75" customHeight="1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</row>
    <row r="876" ht="15.75" customHeight="1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</row>
    <row r="877" ht="15.75" customHeight="1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</row>
    <row r="878" ht="15.75" customHeight="1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</row>
    <row r="879" ht="15.75" customHeight="1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</row>
    <row r="880" ht="15.75" customHeight="1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</row>
    <row r="881" ht="15.75" customHeight="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</row>
    <row r="882" ht="15.75" customHeight="1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</row>
    <row r="883" ht="15.75" customHeight="1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</row>
    <row r="884" ht="15.75" customHeight="1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</row>
    <row r="885" ht="15.75" customHeight="1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</row>
    <row r="886" ht="15.75" customHeight="1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</row>
    <row r="887" ht="15.75" customHeight="1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</row>
    <row r="888" ht="15.75" customHeight="1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</row>
    <row r="889" ht="15.75" customHeight="1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</row>
    <row r="890" ht="15.75" customHeight="1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</row>
    <row r="891" ht="15.75" customHeight="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</row>
    <row r="892" ht="15.75" customHeight="1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</row>
    <row r="893" ht="15.75" customHeight="1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</row>
    <row r="894" ht="15.75" customHeight="1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</row>
    <row r="895" ht="15.75" customHeight="1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</row>
    <row r="896" ht="15.75" customHeight="1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</row>
    <row r="897" ht="15.75" customHeight="1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</row>
    <row r="898" ht="15.75" customHeight="1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</row>
    <row r="899" ht="15.75" customHeight="1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</row>
    <row r="900" ht="15.75" customHeight="1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</row>
    <row r="901" ht="15.75" customHeight="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</row>
    <row r="902" ht="15.75" customHeight="1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</row>
    <row r="903" ht="15.75" customHeight="1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</row>
    <row r="904" ht="15.75" customHeight="1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</row>
    <row r="905" ht="15.75" customHeight="1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</row>
    <row r="906" ht="15.75" customHeight="1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</row>
    <row r="907" ht="15.75" customHeight="1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</row>
    <row r="908" ht="15.75" customHeight="1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</row>
    <row r="909" ht="15.75" customHeight="1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</row>
    <row r="910" ht="15.75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</row>
    <row r="911" ht="15.75" customHeight="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</row>
    <row r="912" ht="15.75" customHeight="1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</row>
    <row r="913" ht="15.75" customHeight="1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</row>
    <row r="914" ht="15.75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</row>
    <row r="915" ht="15.75" customHeight="1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</row>
    <row r="916" ht="15.75" customHeight="1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</row>
    <row r="917" ht="15.75" customHeight="1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</row>
    <row r="918" ht="15.75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</row>
    <row r="919" ht="15.75" customHeight="1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</row>
    <row r="920" ht="15.75" customHeight="1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</row>
    <row r="921" ht="15.75" customHeight="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</row>
    <row r="922" ht="15.75" customHeight="1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</row>
    <row r="923" ht="15.75" customHeight="1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</row>
    <row r="924" ht="15.75" customHeight="1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</row>
    <row r="925" ht="15.75" customHeight="1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</row>
    <row r="926" ht="15.75" customHeight="1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</row>
    <row r="927" ht="15.75" customHeight="1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</row>
    <row r="928" ht="15.75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</row>
    <row r="929" ht="15.75" customHeight="1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</row>
    <row r="930" ht="15.75" customHeight="1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</row>
    <row r="931" ht="15.75" customHeight="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</row>
    <row r="932" ht="15.75" customHeight="1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</row>
    <row r="933" ht="15.75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</row>
    <row r="934" ht="15.75" customHeight="1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</row>
    <row r="935" ht="15.75" customHeight="1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</row>
    <row r="936" ht="15.75" customHeight="1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</row>
    <row r="937" ht="15.75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</row>
    <row r="938" ht="15.75" customHeight="1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</row>
    <row r="939" ht="15.75" customHeight="1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</row>
    <row r="940" ht="15.75" customHeight="1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</row>
    <row r="941" ht="15.75" customHeight="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</row>
    <row r="942" ht="15.75" customHeight="1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</row>
    <row r="943" ht="15.75" customHeight="1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</row>
    <row r="944" ht="15.75" customHeight="1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</row>
    <row r="945" ht="15.75" customHeight="1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</row>
    <row r="946" ht="15.75" customHeight="1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</row>
    <row r="947" ht="15.75" customHeight="1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</row>
    <row r="948" ht="15.75" customHeight="1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</row>
    <row r="949" ht="15.75" customHeight="1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</row>
    <row r="950" ht="15.75" customHeight="1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</row>
    <row r="951" ht="15.75" customHeight="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</row>
    <row r="952" ht="15.75" customHeight="1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</row>
    <row r="953" ht="15.75" customHeight="1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</row>
    <row r="954" ht="15.75" customHeight="1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</row>
    <row r="955" ht="15.75" customHeight="1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</row>
    <row r="956" ht="15.75" customHeight="1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</row>
    <row r="957" ht="15.75" customHeight="1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</row>
    <row r="958" ht="15.75" customHeight="1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</row>
    <row r="959" ht="15.75" customHeight="1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</row>
    <row r="960" ht="15.75" customHeight="1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</row>
    <row r="961" ht="15.75" customHeight="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</row>
    <row r="962" ht="15.75" customHeight="1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</row>
    <row r="963" ht="15.75" customHeight="1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</row>
    <row r="964" ht="15.75" customHeight="1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</row>
    <row r="965" ht="15.75" customHeight="1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</row>
    <row r="966" ht="15.75" customHeight="1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</row>
    <row r="967" ht="15.75" customHeight="1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</row>
    <row r="968" ht="15.75" customHeight="1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</row>
    <row r="969" ht="15.75" customHeight="1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</row>
    <row r="970" ht="15.75" customHeight="1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</row>
    <row r="971" ht="15.75" customHeight="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</row>
    <row r="972" ht="15.75" customHeight="1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</row>
    <row r="973" ht="15.75" customHeight="1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</row>
    <row r="974" ht="15.75" customHeight="1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</row>
    <row r="975" ht="15.75" customHeight="1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</row>
    <row r="976" ht="15.75" customHeight="1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</row>
    <row r="977" ht="15.75" customHeight="1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</row>
    <row r="978" ht="15.75" customHeight="1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</row>
    <row r="979" ht="15.75" customHeight="1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</row>
    <row r="980" ht="15.75" customHeight="1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</row>
    <row r="981" ht="15.75" customHeight="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</row>
    <row r="982" ht="15.75" customHeight="1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</row>
    <row r="983" ht="15.75" customHeight="1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</row>
    <row r="984" ht="15.75" customHeight="1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</row>
    <row r="985" ht="15.75" customHeight="1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</row>
    <row r="986" ht="15.75" customHeight="1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</row>
    <row r="987" ht="15.75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</row>
    <row r="988" ht="15.75" customHeight="1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</row>
    <row r="989" ht="15.75" customHeight="1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</row>
    <row r="990" ht="15.75" customHeight="1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</row>
    <row r="991" ht="15.75" customHeight="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</row>
    <row r="992" ht="15.75" customHeight="1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</row>
    <row r="993" ht="15.75" customHeight="1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</row>
    <row r="994" ht="15.75" customHeight="1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</row>
    <row r="995" ht="15.75" customHeight="1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</row>
    <row r="996" ht="15.75" customHeight="1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</row>
    <row r="997" ht="15.75" customHeight="1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</row>
    <row r="998" ht="15.75" customHeight="1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</row>
    <row r="999" ht="15.75" customHeight="1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</row>
    <row r="1000" ht="15.75" customHeight="1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</row>
    <row r="1001" ht="15.75" customHeight="1">
      <c r="A1001" s="164"/>
      <c r="B1001" s="164"/>
      <c r="C1001" s="164"/>
      <c r="D1001" s="164"/>
      <c r="E1001" s="164"/>
      <c r="F1001" s="164"/>
      <c r="G1001" s="164"/>
      <c r="H1001" s="164"/>
      <c r="I1001" s="164"/>
      <c r="J1001" s="164"/>
      <c r="K1001" s="164"/>
      <c r="L1001" s="164"/>
      <c r="M1001" s="164"/>
      <c r="N1001" s="164"/>
      <c r="O1001" s="164"/>
      <c r="P1001" s="164"/>
      <c r="Q1001" s="164"/>
      <c r="R1001" s="164"/>
      <c r="S1001" s="164"/>
      <c r="T1001" s="164"/>
      <c r="U1001" s="164"/>
      <c r="V1001" s="164"/>
      <c r="W1001" s="164"/>
      <c r="X1001" s="164"/>
      <c r="Y1001" s="164"/>
    </row>
    <row r="1002" ht="15.75" customHeight="1">
      <c r="A1002" s="164"/>
      <c r="B1002" s="164"/>
      <c r="C1002" s="164"/>
      <c r="D1002" s="164"/>
      <c r="E1002" s="164"/>
      <c r="F1002" s="164"/>
      <c r="G1002" s="164"/>
      <c r="H1002" s="164"/>
      <c r="I1002" s="164"/>
      <c r="J1002" s="164"/>
      <c r="K1002" s="164"/>
      <c r="L1002" s="164"/>
      <c r="M1002" s="164"/>
      <c r="N1002" s="164"/>
      <c r="O1002" s="164"/>
      <c r="P1002" s="164"/>
      <c r="Q1002" s="164"/>
      <c r="R1002" s="164"/>
      <c r="S1002" s="164"/>
      <c r="T1002" s="164"/>
      <c r="U1002" s="164"/>
      <c r="V1002" s="164"/>
      <c r="W1002" s="164"/>
      <c r="X1002" s="164"/>
      <c r="Y1002" s="164"/>
    </row>
    <row r="1003" ht="15.75" customHeight="1">
      <c r="A1003" s="164"/>
      <c r="B1003" s="164"/>
      <c r="C1003" s="164"/>
      <c r="D1003" s="164"/>
      <c r="E1003" s="164"/>
      <c r="F1003" s="164"/>
      <c r="G1003" s="164"/>
      <c r="H1003" s="164"/>
      <c r="I1003" s="164"/>
      <c r="J1003" s="164"/>
      <c r="K1003" s="164"/>
      <c r="L1003" s="164"/>
      <c r="M1003" s="164"/>
      <c r="N1003" s="164"/>
      <c r="O1003" s="164"/>
      <c r="P1003" s="164"/>
      <c r="Q1003" s="164"/>
      <c r="R1003" s="164"/>
      <c r="S1003" s="164"/>
      <c r="T1003" s="164"/>
      <c r="U1003" s="164"/>
      <c r="V1003" s="164"/>
      <c r="W1003" s="164"/>
      <c r="X1003" s="164"/>
      <c r="Y1003" s="164"/>
    </row>
    <row r="1004" ht="15.75" customHeight="1">
      <c r="A1004" s="164"/>
      <c r="B1004" s="164"/>
      <c r="C1004" s="164"/>
      <c r="D1004" s="164"/>
      <c r="E1004" s="164"/>
      <c r="F1004" s="164"/>
      <c r="G1004" s="164"/>
      <c r="H1004" s="164"/>
      <c r="I1004" s="164"/>
      <c r="J1004" s="164"/>
      <c r="K1004" s="164"/>
      <c r="L1004" s="164"/>
      <c r="M1004" s="164"/>
      <c r="N1004" s="164"/>
      <c r="O1004" s="164"/>
      <c r="P1004" s="164"/>
      <c r="Q1004" s="164"/>
      <c r="R1004" s="164"/>
      <c r="S1004" s="164"/>
      <c r="T1004" s="164"/>
      <c r="U1004" s="164"/>
      <c r="V1004" s="164"/>
      <c r="W1004" s="164"/>
      <c r="X1004" s="164"/>
      <c r="Y1004" s="164"/>
    </row>
    <row r="1005" ht="15.75" customHeight="1">
      <c r="A1005" s="164"/>
      <c r="B1005" s="164"/>
      <c r="C1005" s="164"/>
      <c r="D1005" s="164"/>
      <c r="E1005" s="164"/>
      <c r="F1005" s="164"/>
      <c r="G1005" s="164"/>
      <c r="H1005" s="164"/>
      <c r="I1005" s="164"/>
      <c r="J1005" s="164"/>
      <c r="K1005" s="164"/>
      <c r="L1005" s="164"/>
      <c r="M1005" s="164"/>
      <c r="N1005" s="164"/>
      <c r="O1005" s="164"/>
      <c r="P1005" s="164"/>
      <c r="Q1005" s="164"/>
      <c r="R1005" s="164"/>
      <c r="S1005" s="164"/>
      <c r="T1005" s="164"/>
      <c r="U1005" s="164"/>
      <c r="V1005" s="164"/>
      <c r="W1005" s="164"/>
      <c r="X1005" s="164"/>
      <c r="Y1005" s="164"/>
    </row>
    <row r="1006" ht="15.75" customHeight="1">
      <c r="A1006" s="164"/>
      <c r="B1006" s="164"/>
      <c r="C1006" s="164"/>
      <c r="D1006" s="164"/>
      <c r="E1006" s="164"/>
      <c r="F1006" s="164"/>
      <c r="G1006" s="164"/>
      <c r="H1006" s="164"/>
      <c r="I1006" s="164"/>
      <c r="J1006" s="164"/>
      <c r="K1006" s="164"/>
      <c r="L1006" s="164"/>
      <c r="M1006" s="164"/>
      <c r="N1006" s="164"/>
      <c r="O1006" s="164"/>
      <c r="P1006" s="164"/>
      <c r="Q1006" s="164"/>
      <c r="R1006" s="164"/>
      <c r="S1006" s="164"/>
      <c r="T1006" s="164"/>
      <c r="U1006" s="164"/>
      <c r="V1006" s="164"/>
      <c r="W1006" s="164"/>
      <c r="X1006" s="164"/>
      <c r="Y1006" s="164"/>
    </row>
    <row r="1007" ht="15.75" customHeight="1">
      <c r="A1007" s="164"/>
      <c r="B1007" s="164"/>
      <c r="C1007" s="164"/>
      <c r="D1007" s="164"/>
      <c r="E1007" s="164"/>
      <c r="F1007" s="164"/>
      <c r="G1007" s="164"/>
      <c r="H1007" s="164"/>
      <c r="I1007" s="164"/>
      <c r="J1007" s="164"/>
      <c r="K1007" s="164"/>
      <c r="L1007" s="164"/>
      <c r="M1007" s="164"/>
      <c r="N1007" s="164"/>
      <c r="O1007" s="164"/>
      <c r="P1007" s="164"/>
      <c r="Q1007" s="164"/>
      <c r="R1007" s="164"/>
      <c r="S1007" s="164"/>
      <c r="T1007" s="164"/>
      <c r="U1007" s="164"/>
      <c r="V1007" s="164"/>
      <c r="W1007" s="164"/>
      <c r="X1007" s="164"/>
      <c r="Y1007" s="164"/>
    </row>
    <row r="1008" ht="15.75" customHeight="1">
      <c r="A1008" s="164"/>
      <c r="B1008" s="164"/>
      <c r="C1008" s="164"/>
      <c r="D1008" s="164"/>
      <c r="E1008" s="164"/>
      <c r="F1008" s="164"/>
      <c r="G1008" s="164"/>
      <c r="H1008" s="164"/>
      <c r="I1008" s="164"/>
      <c r="J1008" s="164"/>
      <c r="K1008" s="164"/>
      <c r="L1008" s="164"/>
      <c r="M1008" s="164"/>
      <c r="N1008" s="164"/>
      <c r="O1008" s="164"/>
      <c r="P1008" s="164"/>
      <c r="Q1008" s="164"/>
      <c r="R1008" s="164"/>
      <c r="S1008" s="164"/>
      <c r="T1008" s="164"/>
      <c r="U1008" s="164"/>
      <c r="V1008" s="164"/>
      <c r="W1008" s="164"/>
      <c r="X1008" s="164"/>
      <c r="Y1008" s="164"/>
    </row>
    <row r="1009" ht="15.75" customHeight="1">
      <c r="A1009" s="164"/>
      <c r="B1009" s="164"/>
      <c r="C1009" s="164"/>
      <c r="D1009" s="164"/>
      <c r="E1009" s="164"/>
      <c r="F1009" s="164"/>
      <c r="G1009" s="164"/>
      <c r="H1009" s="164"/>
      <c r="I1009" s="164"/>
      <c r="J1009" s="164"/>
      <c r="K1009" s="164"/>
      <c r="L1009" s="164"/>
      <c r="M1009" s="164"/>
      <c r="N1009" s="164"/>
      <c r="O1009" s="164"/>
      <c r="P1009" s="164"/>
      <c r="Q1009" s="164"/>
      <c r="R1009" s="164"/>
      <c r="S1009" s="164"/>
      <c r="T1009" s="164"/>
      <c r="U1009" s="164"/>
      <c r="V1009" s="164"/>
      <c r="W1009" s="164"/>
      <c r="X1009" s="164"/>
      <c r="Y1009" s="164"/>
    </row>
    <row r="1010" ht="15.75" customHeight="1">
      <c r="A1010" s="164"/>
      <c r="B1010" s="164"/>
      <c r="C1010" s="164"/>
      <c r="D1010" s="164"/>
      <c r="E1010" s="164"/>
      <c r="F1010" s="164"/>
      <c r="G1010" s="164"/>
      <c r="H1010" s="164"/>
      <c r="I1010" s="164"/>
      <c r="J1010" s="164"/>
      <c r="K1010" s="164"/>
      <c r="L1010" s="164"/>
      <c r="M1010" s="164"/>
      <c r="N1010" s="164"/>
      <c r="O1010" s="164"/>
      <c r="P1010" s="164"/>
      <c r="Q1010" s="164"/>
      <c r="R1010" s="164"/>
      <c r="S1010" s="164"/>
      <c r="T1010" s="164"/>
      <c r="U1010" s="164"/>
      <c r="V1010" s="164"/>
      <c r="W1010" s="164"/>
      <c r="X1010" s="164"/>
      <c r="Y1010" s="164"/>
    </row>
    <row r="1011" ht="15.75" customHeight="1">
      <c r="A1011" s="164"/>
      <c r="B1011" s="164"/>
      <c r="C1011" s="164"/>
      <c r="D1011" s="164"/>
      <c r="E1011" s="164"/>
      <c r="F1011" s="164"/>
      <c r="G1011" s="164"/>
      <c r="H1011" s="164"/>
      <c r="I1011" s="164"/>
      <c r="J1011" s="164"/>
      <c r="K1011" s="164"/>
      <c r="L1011" s="164"/>
      <c r="M1011" s="164"/>
      <c r="N1011" s="164"/>
      <c r="O1011" s="164"/>
      <c r="P1011" s="164"/>
      <c r="Q1011" s="164"/>
      <c r="R1011" s="164"/>
      <c r="S1011" s="164"/>
      <c r="T1011" s="164"/>
      <c r="U1011" s="164"/>
      <c r="V1011" s="164"/>
      <c r="W1011" s="164"/>
      <c r="X1011" s="164"/>
      <c r="Y1011" s="164"/>
    </row>
    <row r="1012" ht="15.75" customHeight="1">
      <c r="A1012" s="164"/>
      <c r="B1012" s="164"/>
      <c r="C1012" s="164"/>
      <c r="D1012" s="164"/>
      <c r="E1012" s="164"/>
      <c r="F1012" s="164"/>
      <c r="G1012" s="164"/>
      <c r="H1012" s="164"/>
      <c r="I1012" s="164"/>
      <c r="J1012" s="164"/>
      <c r="K1012" s="164"/>
      <c r="L1012" s="164"/>
      <c r="M1012" s="164"/>
      <c r="N1012" s="164"/>
      <c r="O1012" s="164"/>
      <c r="P1012" s="164"/>
      <c r="Q1012" s="164"/>
      <c r="R1012" s="164"/>
      <c r="S1012" s="164"/>
      <c r="T1012" s="164"/>
      <c r="U1012" s="164"/>
      <c r="V1012" s="164"/>
      <c r="W1012" s="164"/>
      <c r="X1012" s="164"/>
      <c r="Y1012" s="164"/>
    </row>
    <row r="1013" ht="15.75" customHeight="1">
      <c r="A1013" s="164"/>
      <c r="B1013" s="164"/>
      <c r="C1013" s="164"/>
      <c r="D1013" s="164"/>
      <c r="E1013" s="164"/>
      <c r="F1013" s="164"/>
      <c r="G1013" s="164"/>
      <c r="H1013" s="164"/>
      <c r="I1013" s="164"/>
      <c r="J1013" s="164"/>
      <c r="K1013" s="164"/>
      <c r="L1013" s="164"/>
      <c r="M1013" s="164"/>
      <c r="N1013" s="164"/>
      <c r="O1013" s="164"/>
      <c r="P1013" s="164"/>
      <c r="Q1013" s="164"/>
      <c r="R1013" s="164"/>
      <c r="S1013" s="164"/>
      <c r="T1013" s="164"/>
      <c r="U1013" s="164"/>
      <c r="V1013" s="164"/>
      <c r="W1013" s="164"/>
      <c r="X1013" s="164"/>
      <c r="Y1013" s="164"/>
    </row>
    <row r="1014" ht="15.75" customHeight="1">
      <c r="A1014" s="164"/>
      <c r="B1014" s="164"/>
      <c r="C1014" s="164"/>
      <c r="D1014" s="164"/>
      <c r="E1014" s="164"/>
      <c r="F1014" s="164"/>
      <c r="G1014" s="164"/>
      <c r="H1014" s="164"/>
      <c r="I1014" s="164"/>
      <c r="J1014" s="164"/>
      <c r="K1014" s="164"/>
      <c r="L1014" s="164"/>
      <c r="M1014" s="164"/>
      <c r="N1014" s="164"/>
      <c r="O1014" s="164"/>
      <c r="P1014" s="164"/>
      <c r="Q1014" s="164"/>
      <c r="R1014" s="164"/>
      <c r="S1014" s="164"/>
      <c r="T1014" s="164"/>
      <c r="U1014" s="164"/>
      <c r="V1014" s="164"/>
      <c r="W1014" s="164"/>
      <c r="X1014" s="164"/>
      <c r="Y1014" s="164"/>
    </row>
    <row r="1015" ht="15.75" customHeight="1">
      <c r="A1015" s="164"/>
      <c r="B1015" s="164"/>
      <c r="C1015" s="164"/>
      <c r="D1015" s="164"/>
      <c r="E1015" s="164"/>
      <c r="F1015" s="164"/>
      <c r="G1015" s="164"/>
      <c r="H1015" s="164"/>
      <c r="I1015" s="164"/>
      <c r="J1015" s="164"/>
      <c r="K1015" s="164"/>
      <c r="L1015" s="164"/>
      <c r="M1015" s="164"/>
      <c r="N1015" s="164"/>
      <c r="O1015" s="164"/>
      <c r="P1015" s="164"/>
      <c r="Q1015" s="164"/>
      <c r="R1015" s="164"/>
      <c r="S1015" s="164"/>
      <c r="T1015" s="164"/>
      <c r="U1015" s="164"/>
      <c r="V1015" s="164"/>
      <c r="W1015" s="164"/>
      <c r="X1015" s="164"/>
      <c r="Y1015" s="164"/>
    </row>
    <row r="1016" ht="15.75" customHeight="1">
      <c r="A1016" s="164"/>
      <c r="B1016" s="164"/>
      <c r="C1016" s="164"/>
      <c r="D1016" s="164"/>
      <c r="E1016" s="164"/>
      <c r="F1016" s="164"/>
      <c r="G1016" s="164"/>
      <c r="H1016" s="164"/>
      <c r="I1016" s="164"/>
      <c r="J1016" s="164"/>
      <c r="K1016" s="164"/>
      <c r="L1016" s="164"/>
      <c r="M1016" s="164"/>
      <c r="N1016" s="164"/>
      <c r="O1016" s="164"/>
      <c r="P1016" s="164"/>
      <c r="Q1016" s="164"/>
      <c r="R1016" s="164"/>
      <c r="S1016" s="164"/>
      <c r="T1016" s="164"/>
      <c r="U1016" s="164"/>
      <c r="V1016" s="164"/>
      <c r="W1016" s="164"/>
      <c r="X1016" s="164"/>
      <c r="Y1016" s="164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IFERROR(__xludf.DUMMYFUNCTION("IMPORTRANGE(""https://docs.google.com/spreadsheets/d/1nD9uWST3bppTVmlWOrMXpAxxcPKaqeIaymVAUHtXDd8/edit?gid=1457885693#gid=1457885693"",""1-3 educacion para la salud ii!A1:Q86"")"),"")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IFERROR(__xludf.DUMMYFUNCTION("""COMPUTED_VALUE"""),"Marlene García Monzalvo")</f>
        <v>Marlene García Monzalvo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IFERROR(__xludf.DUMMYFUNCTION("""COMPUTED_VALUE"""),"EDUCACIÓN PARA LA SALUD")</f>
        <v>EDUCACIÓN PARA LA SALUD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IFERROR(__xludf.DUMMYFUNCTION("""COMPUTED_VALUE"""),"1°")</f>
        <v>1°</v>
      </c>
      <c r="C15" s="144" t="str">
        <f>IFERROR(__xludf.DUMMYFUNCTION("""COMPUTED_VALUE"""),"GRUPO")</f>
        <v>GRUPO</v>
      </c>
      <c r="D15" s="144">
        <f>IFERROR(__xludf.DUMMYFUNCTION("""COMPUTED_VALUE"""),3.0)</f>
        <v>3</v>
      </c>
      <c r="E15" s="32"/>
      <c r="F15" s="32"/>
      <c r="G15" s="39"/>
      <c r="H15" s="145"/>
      <c r="I15" s="146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7" t="str">
        <f>IFERROR(__xludf.DUMMYFUNCTION("""COMPUTED_VALUE"""),"No.")</f>
        <v>No.</v>
      </c>
      <c r="B16" s="148" t="str">
        <f>IFERROR(__xludf.DUMMYFUNCTION("""COMPUTED_VALUE"""),"NOMBRE DEL ALUMNO")</f>
        <v>NOMBRE DEL ALUMNO</v>
      </c>
      <c r="C16" s="27"/>
      <c r="D16" s="28"/>
      <c r="E16" s="46"/>
      <c r="F16" s="46"/>
      <c r="G16" s="149"/>
      <c r="H16" s="150" t="str">
        <f>IFERROR(__xludf.DUMMYFUNCTION("""COMPUTED_VALUE"""),"Suma")</f>
        <v>Suma</v>
      </c>
      <c r="I16" s="151" t="str">
        <f>IFERROR(__xludf.DUMMYFUNCTION("""COMPUTED_VALUE"""),"Faltas")</f>
        <v>Faltas</v>
      </c>
      <c r="J16" s="151" t="str">
        <f>IFERROR(__xludf.DUMMYFUNCTION("""COMPUTED_VALUE"""),"Calificación Definitiva")</f>
        <v>Calificación Definitiva</v>
      </c>
      <c r="K16" s="152" t="str">
        <f>IFERROR(__xludf.DUMMYFUNCTION("""COMPUTED_VALUE"""),"FIRMA")</f>
        <v>FIRMA</v>
      </c>
      <c r="L16" s="151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3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IFERROR(__xludf.DUMMYFUNCTION("""COMPUTED_VALUE"""),"VARELA")</f>
        <v>VARELA</v>
      </c>
      <c r="D17" s="54" t="str">
        <f>IFERROR(__xludf.DUMMYFUNCTION("""COMPUTED_VALUE"""),"ISAIAS HAZAEL")</f>
        <v>ISAIAS HAZAEL</v>
      </c>
      <c r="E17" s="154">
        <f>IFERROR(__xludf.DUMMYFUNCTION("""COMPUTED_VALUE"""),70.0)</f>
        <v>70</v>
      </c>
      <c r="F17" s="154">
        <f>IFERROR(__xludf.DUMMYFUNCTION("""COMPUTED_VALUE"""),20.0)</f>
        <v>20</v>
      </c>
      <c r="G17" s="154"/>
      <c r="H17" s="155">
        <f>IFERROR(__xludf.DUMMYFUNCTION("""COMPUTED_VALUE"""),90.0)</f>
        <v>90</v>
      </c>
      <c r="I17" s="156">
        <f>IFERROR(__xludf.DUMMYFUNCTION("""COMPUTED_VALUE"""),0.0)</f>
        <v>0</v>
      </c>
      <c r="J17" s="157">
        <f>IFERROR(__xludf.DUMMYFUNCTION("""COMPUTED_VALUE"""),9.0)</f>
        <v>9</v>
      </c>
      <c r="K17" s="158"/>
      <c r="L17" s="159">
        <f>IFERROR(__xludf.DUMMYFUNCTION("""COMPUTED_VALUE"""),90.0)</f>
        <v>90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3">
        <f>IFERROR(__xludf.DUMMYFUNCTION("""COMPUTED_VALUE"""),2.0)</f>
        <v>2</v>
      </c>
      <c r="B18" s="52" t="str">
        <f>IFERROR(__xludf.DUMMYFUNCTION("""COMPUTED_VALUE"""),"ANDRADE")</f>
        <v>ANDRADE</v>
      </c>
      <c r="C18" s="53" t="str">
        <f>IFERROR(__xludf.DUMMYFUNCTION("""COMPUTED_VALUE"""),"LOPEZ")</f>
        <v>LOPEZ</v>
      </c>
      <c r="D18" s="54" t="str">
        <f>IFERROR(__xludf.DUMMYFUNCTION("""COMPUTED_VALUE"""),"DAVID EMILIANO")</f>
        <v>DAVID EMILIANO</v>
      </c>
      <c r="E18" s="154">
        <f>IFERROR(__xludf.DUMMYFUNCTION("""COMPUTED_VALUE"""),80.0)</f>
        <v>80</v>
      </c>
      <c r="F18" s="154">
        <f>IFERROR(__xludf.DUMMYFUNCTION("""COMPUTED_VALUE"""),20.0)</f>
        <v>20</v>
      </c>
      <c r="G18" s="154"/>
      <c r="H18" s="155">
        <f>IFERROR(__xludf.DUMMYFUNCTION("""COMPUTED_VALUE"""),100.0)</f>
        <v>100</v>
      </c>
      <c r="I18" s="156">
        <f>IFERROR(__xludf.DUMMYFUNCTION("""COMPUTED_VALUE"""),0.0)</f>
        <v>0</v>
      </c>
      <c r="J18" s="157">
        <f>IFERROR(__xludf.DUMMYFUNCTION("""COMPUTED_VALUE"""),10.0)</f>
        <v>10</v>
      </c>
      <c r="K18" s="156"/>
      <c r="L18" s="159">
        <f>IFERROR(__xludf.DUMMYFUNCTION("""COMPUTED_VALUE"""),100.0)</f>
        <v>100</v>
      </c>
      <c r="M18" s="121" t="str">
        <f>IFERROR(__xludf.DUMMYFUNCTION("""COMPUTED_VALUE"""),"Febrero")</f>
        <v>Febrero</v>
      </c>
      <c r="N18" s="121">
        <f>IFERROR(__xludf.DUMMYFUNCTION("""COMPUTED_VALUE"""),6.0)</f>
        <v>6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3">
        <f>IFERROR(__xludf.DUMMYFUNCTION("""COMPUTED_VALUE"""),3.0)</f>
        <v>3</v>
      </c>
      <c r="B19" s="52" t="str">
        <f>IFERROR(__xludf.DUMMYFUNCTION("""COMPUTED_VALUE"""),"ARELLANO")</f>
        <v>ARELLANO</v>
      </c>
      <c r="C19" s="53" t="str">
        <f>IFERROR(__xludf.DUMMYFUNCTION("""COMPUTED_VALUE"""),"RAMIREZ")</f>
        <v>RAMIREZ</v>
      </c>
      <c r="D19" s="54" t="str">
        <f>IFERROR(__xludf.DUMMYFUNCTION("""COMPUTED_VALUE"""),"ALEJANDRO")</f>
        <v>ALEJANDRO</v>
      </c>
      <c r="E19" s="154">
        <f>IFERROR(__xludf.DUMMYFUNCTION("""COMPUTED_VALUE"""),80.0)</f>
        <v>80</v>
      </c>
      <c r="F19" s="154">
        <f>IFERROR(__xludf.DUMMYFUNCTION("""COMPUTED_VALUE"""),20.0)</f>
        <v>20</v>
      </c>
      <c r="G19" s="154"/>
      <c r="H19" s="155">
        <f>IFERROR(__xludf.DUMMYFUNCTION("""COMPUTED_VALUE"""),100.0)</f>
        <v>100</v>
      </c>
      <c r="I19" s="156">
        <f>IFERROR(__xludf.DUMMYFUNCTION("""COMPUTED_VALUE"""),0.0)</f>
        <v>0</v>
      </c>
      <c r="J19" s="157">
        <f>IFERROR(__xludf.DUMMYFUNCTION("""COMPUTED_VALUE"""),10.0)</f>
        <v>10</v>
      </c>
      <c r="K19" s="156"/>
      <c r="L19" s="159">
        <f>IFERROR(__xludf.DUMMYFUNCTION("""COMPUTED_VALUE"""),100.0)</f>
        <v>100</v>
      </c>
      <c r="M19" s="121" t="str">
        <f>IFERROR(__xludf.DUMMYFUNCTION("""COMPUTED_VALUE"""),"Marzo")</f>
        <v>Marzo</v>
      </c>
      <c r="N19" s="121">
        <f>IFERROR(__xludf.DUMMYFUNCTION("""COMPUTED_VALUE"""),8.0)</f>
        <v>8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3">
        <f>IFERROR(__xludf.DUMMYFUNCTION("""COMPUTED_VALUE"""),4.0)</f>
        <v>4</v>
      </c>
      <c r="B20" s="52" t="str">
        <f>IFERROR(__xludf.DUMMYFUNCTION("""COMPUTED_VALUE"""),"AVILA")</f>
        <v>AVILA</v>
      </c>
      <c r="C20" s="53" t="str">
        <f>IFERROR(__xludf.DUMMYFUNCTION("""COMPUTED_VALUE"""),"GARCIA")</f>
        <v>GARCIA</v>
      </c>
      <c r="D20" s="54" t="str">
        <f>IFERROR(__xludf.DUMMYFUNCTION("""COMPUTED_VALUE"""),"PARIS PAOLETTE")</f>
        <v>PARIS PAOLETTE</v>
      </c>
      <c r="E20" s="154">
        <f>IFERROR(__xludf.DUMMYFUNCTION("""COMPUTED_VALUE"""),80.0)</f>
        <v>80</v>
      </c>
      <c r="F20" s="154">
        <f>IFERROR(__xludf.DUMMYFUNCTION("""COMPUTED_VALUE"""),20.0)</f>
        <v>20</v>
      </c>
      <c r="G20" s="154"/>
      <c r="H20" s="155">
        <f>IFERROR(__xludf.DUMMYFUNCTION("""COMPUTED_VALUE"""),100.0)</f>
        <v>100</v>
      </c>
      <c r="I20" s="156">
        <f>IFERROR(__xludf.DUMMYFUNCTION("""COMPUTED_VALUE"""),0.0)</f>
        <v>0</v>
      </c>
      <c r="J20" s="157">
        <f>IFERROR(__xludf.DUMMYFUNCTION("""COMPUTED_VALUE"""),10.0)</f>
        <v>10</v>
      </c>
      <c r="K20" s="156"/>
      <c r="L20" s="159">
        <f>IFERROR(__xludf.DUMMYFUNCTION("""COMPUTED_VALUE"""),100.0)</f>
        <v>100</v>
      </c>
      <c r="M20" s="121" t="str">
        <f>IFERROR(__xludf.DUMMYFUNCTION("""COMPUTED_VALUE"""),"Abril")</f>
        <v>Abril</v>
      </c>
      <c r="N20" s="121">
        <f>IFERROR(__xludf.DUMMYFUNCTION("""COMPUTED_VALUE"""),4.0)</f>
        <v>4</v>
      </c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3">
        <f>IFERROR(__xludf.DUMMYFUNCTION("""COMPUTED_VALUE"""),5.0)</f>
        <v>5</v>
      </c>
      <c r="B21" s="52" t="str">
        <f>IFERROR(__xludf.DUMMYFUNCTION("""COMPUTED_VALUE"""),"BARRERA")</f>
        <v>BARRERA</v>
      </c>
      <c r="C21" s="62"/>
      <c r="D21" s="54" t="str">
        <f>IFERROR(__xludf.DUMMYFUNCTION("""COMPUTED_VALUE"""),"NAEEM")</f>
        <v>NAEEM</v>
      </c>
      <c r="E21" s="154">
        <f>IFERROR(__xludf.DUMMYFUNCTION("""COMPUTED_VALUE"""),80.0)</f>
        <v>80</v>
      </c>
      <c r="F21" s="154">
        <f>IFERROR(__xludf.DUMMYFUNCTION("""COMPUTED_VALUE"""),20.0)</f>
        <v>20</v>
      </c>
      <c r="G21" s="154"/>
      <c r="H21" s="155">
        <f>IFERROR(__xludf.DUMMYFUNCTION("""COMPUTED_VALUE"""),100.0)</f>
        <v>100</v>
      </c>
      <c r="I21" s="156">
        <f>IFERROR(__xludf.DUMMYFUNCTION("""COMPUTED_VALUE"""),0.0)</f>
        <v>0</v>
      </c>
      <c r="J21" s="157">
        <f>IFERROR(__xludf.DUMMYFUNCTION("""COMPUTED_VALUE"""),10.0)</f>
        <v>10</v>
      </c>
      <c r="K21" s="156"/>
      <c r="L21" s="159">
        <f>IFERROR(__xludf.DUMMYFUNCTION("""COMPUTED_VALUE"""),100.0)</f>
        <v>100</v>
      </c>
      <c r="M21" s="121" t="str">
        <f>IFERROR(__xludf.DUMMYFUNCTION("""COMPUTED_VALUE"""),"Mayo")</f>
        <v>Mayo</v>
      </c>
      <c r="N21" s="121">
        <f>IFERROR(__xludf.DUMMYFUNCTION("""COMPUTED_VALUE"""),6.0)</f>
        <v>6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3">
        <f>IFERROR(__xludf.DUMMYFUNCTION("""COMPUTED_VALUE"""),6.0)</f>
        <v>6</v>
      </c>
      <c r="B22" s="63" t="str">
        <f>IFERROR(__xludf.DUMMYFUNCTION("""COMPUTED_VALUE"""),"BLANCO")</f>
        <v>BLANCO</v>
      </c>
      <c r="C22" s="53" t="str">
        <f>IFERROR(__xludf.DUMMYFUNCTION("""COMPUTED_VALUE"""),"JARAMILLO")</f>
        <v>JARAMILLO</v>
      </c>
      <c r="D22" s="54" t="str">
        <f>IFERROR(__xludf.DUMMYFUNCTION("""COMPUTED_VALUE"""),"INGRID NATALIA")</f>
        <v>INGRID NATALIA</v>
      </c>
      <c r="E22" s="154">
        <f>IFERROR(__xludf.DUMMYFUNCTION("""COMPUTED_VALUE"""),80.0)</f>
        <v>80</v>
      </c>
      <c r="F22" s="154">
        <f>IFERROR(__xludf.DUMMYFUNCTION("""COMPUTED_VALUE"""),20.0)</f>
        <v>20</v>
      </c>
      <c r="G22" s="154"/>
      <c r="H22" s="155">
        <f>IFERROR(__xludf.DUMMYFUNCTION("""COMPUTED_VALUE"""),100.0)</f>
        <v>100</v>
      </c>
      <c r="I22" s="156">
        <f>IFERROR(__xludf.DUMMYFUNCTION("""COMPUTED_VALUE"""),0.0)</f>
        <v>0</v>
      </c>
      <c r="J22" s="157">
        <f>IFERROR(__xludf.DUMMYFUNCTION("""COMPUTED_VALUE"""),10.0)</f>
        <v>10</v>
      </c>
      <c r="K22" s="156"/>
      <c r="L22" s="159">
        <f>IFERROR(__xludf.DUMMYFUNCTION("""COMPUTED_VALUE"""),100.0)</f>
        <v>100</v>
      </c>
      <c r="M22" s="121" t="str">
        <f>IFERROR(__xludf.DUMMYFUNCTION("""COMPUTED_VALUE"""),"Junio")</f>
        <v>Junio</v>
      </c>
      <c r="N22" s="121">
        <f>IFERROR(__xludf.DUMMYFUNCTION("""COMPUTED_VALUE"""),8.0)</f>
        <v>8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3">
        <f>IFERROR(__xludf.DUMMYFUNCTION("""COMPUTED_VALUE"""),7.0)</f>
        <v>7</v>
      </c>
      <c r="B23" s="52" t="str">
        <f>IFERROR(__xludf.DUMMYFUNCTION("""COMPUTED_VALUE"""),"CARLOS")</f>
        <v>CARLOS</v>
      </c>
      <c r="C23" s="53" t="str">
        <f>IFERROR(__xludf.DUMMYFUNCTION("""COMPUTED_VALUE"""),"DE LA CRUZ")</f>
        <v>DE LA CRUZ</v>
      </c>
      <c r="D23" s="54" t="str">
        <f>IFERROR(__xludf.DUMMYFUNCTION("""COMPUTED_VALUE"""),"JAVIER")</f>
        <v>JAVIER</v>
      </c>
      <c r="E23" s="154">
        <f>IFERROR(__xludf.DUMMYFUNCTION("""COMPUTED_VALUE"""),67.0)</f>
        <v>67</v>
      </c>
      <c r="F23" s="154">
        <f>IFERROR(__xludf.DUMMYFUNCTION("""COMPUTED_VALUE"""),20.0)</f>
        <v>20</v>
      </c>
      <c r="G23" s="154"/>
      <c r="H23" s="155">
        <f>IFERROR(__xludf.DUMMYFUNCTION("""COMPUTED_VALUE"""),87.0)</f>
        <v>87</v>
      </c>
      <c r="I23" s="156">
        <f>IFERROR(__xludf.DUMMYFUNCTION("""COMPUTED_VALUE"""),0.0)</f>
        <v>0</v>
      </c>
      <c r="J23" s="157">
        <f>IFERROR(__xludf.DUMMYFUNCTION("""COMPUTED_VALUE"""),9.0)</f>
        <v>9</v>
      </c>
      <c r="K23" s="156"/>
      <c r="L23" s="159">
        <f>IFERROR(__xludf.DUMMYFUNCTION("""COMPUTED_VALUE"""),87.0)</f>
        <v>87</v>
      </c>
      <c r="M23" s="121" t="str">
        <f>IFERROR(__xludf.DUMMYFUNCTION("""COMPUTED_VALUE"""),"Julio")</f>
        <v>Julio</v>
      </c>
      <c r="N23" s="121">
        <f>IFERROR(__xludf.DUMMYFUNCTION("""COMPUTED_VALUE"""),4.0)</f>
        <v>4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3">
        <f>IFERROR(__xludf.DUMMYFUNCTION("""COMPUTED_VALUE"""),8.0)</f>
        <v>8</v>
      </c>
      <c r="B24" s="52" t="str">
        <f>IFERROR(__xludf.DUMMYFUNCTION("""COMPUTED_VALUE"""),"CARRICHE")</f>
        <v>CARRICHE</v>
      </c>
      <c r="C24" s="53" t="str">
        <f>IFERROR(__xludf.DUMMYFUNCTION("""COMPUTED_VALUE"""),"HERNANDEZ")</f>
        <v>HERNANDEZ</v>
      </c>
      <c r="D24" s="54" t="str">
        <f>IFERROR(__xludf.DUMMYFUNCTION("""COMPUTED_VALUE"""),"DIEGO IVAN")</f>
        <v>DIEGO IVAN</v>
      </c>
      <c r="E24" s="154">
        <f>IFERROR(__xludf.DUMMYFUNCTION("""COMPUTED_VALUE"""),67.0)</f>
        <v>67</v>
      </c>
      <c r="F24" s="154">
        <f>IFERROR(__xludf.DUMMYFUNCTION("""COMPUTED_VALUE"""),20.0)</f>
        <v>20</v>
      </c>
      <c r="G24" s="154"/>
      <c r="H24" s="155">
        <f>IFERROR(__xludf.DUMMYFUNCTION("""COMPUTED_VALUE"""),87.0)</f>
        <v>87</v>
      </c>
      <c r="I24" s="156">
        <f>IFERROR(__xludf.DUMMYFUNCTION("""COMPUTED_VALUE"""),0.0)</f>
        <v>0</v>
      </c>
      <c r="J24" s="157">
        <f>IFERROR(__xludf.DUMMYFUNCTION("""COMPUTED_VALUE"""),9.0)</f>
        <v>9</v>
      </c>
      <c r="K24" s="156"/>
      <c r="L24" s="159">
        <f>IFERROR(__xludf.DUMMYFUNCTION("""COMPUTED_VALUE"""),87.0)</f>
        <v>87</v>
      </c>
      <c r="M24" s="121" t="str">
        <f>IFERROR(__xludf.DUMMYFUNCTION("""COMPUTED_VALUE"""),"TOTAL")</f>
        <v>TOTAL</v>
      </c>
      <c r="N24" s="121">
        <f>IFERROR(__xludf.DUMMYFUNCTION("""COMPUTED_VALUE"""),36.0)</f>
        <v>36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3">
        <f>IFERROR(__xludf.DUMMYFUNCTION("""COMPUTED_VALUE"""),9.0)</f>
        <v>9</v>
      </c>
      <c r="B25" s="52" t="str">
        <f>IFERROR(__xludf.DUMMYFUNCTION("""COMPUTED_VALUE"""),"CASTILLO")</f>
        <v>CASTILLO</v>
      </c>
      <c r="C25" s="53" t="str">
        <f>IFERROR(__xludf.DUMMYFUNCTION("""COMPUTED_VALUE"""),"DOMINGUEZ")</f>
        <v>DOMINGUEZ</v>
      </c>
      <c r="D25" s="54" t="str">
        <f>IFERROR(__xludf.DUMMYFUNCTION("""COMPUTED_VALUE"""),"EMANUEL")</f>
        <v>EMANUEL</v>
      </c>
      <c r="E25" s="154">
        <f>IFERROR(__xludf.DUMMYFUNCTION("""COMPUTED_VALUE"""),80.0)</f>
        <v>80</v>
      </c>
      <c r="F25" s="154">
        <f>IFERROR(__xludf.DUMMYFUNCTION("""COMPUTED_VALUE"""),20.0)</f>
        <v>20</v>
      </c>
      <c r="G25" s="154"/>
      <c r="H25" s="155">
        <f>IFERROR(__xludf.DUMMYFUNCTION("""COMPUTED_VALUE"""),100.0)</f>
        <v>100</v>
      </c>
      <c r="I25" s="156">
        <f>IFERROR(__xludf.DUMMYFUNCTION("""COMPUTED_VALUE"""),0.0)</f>
        <v>0</v>
      </c>
      <c r="J25" s="157">
        <f>IFERROR(__xludf.DUMMYFUNCTION("""COMPUTED_VALUE"""),10.0)</f>
        <v>10</v>
      </c>
      <c r="K25" s="156"/>
      <c r="L25" s="159">
        <f>IFERROR(__xludf.DUMMYFUNCTION("""COMPUTED_VALUE"""),100.0)</f>
        <v>100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3">
        <f>IFERROR(__xludf.DUMMYFUNCTION("""COMPUTED_VALUE"""),10.0)</f>
        <v>10</v>
      </c>
      <c r="B26" s="52" t="str">
        <f>IFERROR(__xludf.DUMMYFUNCTION("""COMPUTED_VALUE"""),"COMO")</f>
        <v>COMO</v>
      </c>
      <c r="C26" s="53" t="str">
        <f>IFERROR(__xludf.DUMMYFUNCTION("""COMPUTED_VALUE"""),"MONTOYA")</f>
        <v>MONTOYA</v>
      </c>
      <c r="D26" s="54" t="str">
        <f>IFERROR(__xludf.DUMMYFUNCTION("""COMPUTED_VALUE"""),"ANGEL GIOVANNY")</f>
        <v>ANGEL GIOVANNY</v>
      </c>
      <c r="E26" s="154">
        <f>IFERROR(__xludf.DUMMYFUNCTION("""COMPUTED_VALUE"""),70.0)</f>
        <v>70</v>
      </c>
      <c r="F26" s="154">
        <f>IFERROR(__xludf.DUMMYFUNCTION("""COMPUTED_VALUE"""),20.0)</f>
        <v>20</v>
      </c>
      <c r="G26" s="154"/>
      <c r="H26" s="155">
        <f>IFERROR(__xludf.DUMMYFUNCTION("""COMPUTED_VALUE"""),90.0)</f>
        <v>90</v>
      </c>
      <c r="I26" s="156">
        <f>IFERROR(__xludf.DUMMYFUNCTION("""COMPUTED_VALUE"""),0.0)</f>
        <v>0</v>
      </c>
      <c r="J26" s="157">
        <f>IFERROR(__xludf.DUMMYFUNCTION("""COMPUTED_VALUE"""),9.0)</f>
        <v>9</v>
      </c>
      <c r="K26" s="156"/>
      <c r="L26" s="159">
        <f>IFERROR(__xludf.DUMMYFUNCTION("""COMPUTED_VALUE"""),90.0)</f>
        <v>90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3">
        <f>IFERROR(__xludf.DUMMYFUNCTION("""COMPUTED_VALUE"""),11.0)</f>
        <v>11</v>
      </c>
      <c r="B27" s="52" t="str">
        <f>IFERROR(__xludf.DUMMYFUNCTION("""COMPUTED_VALUE"""),"CORTES")</f>
        <v>CORTES</v>
      </c>
      <c r="C27" s="53" t="str">
        <f>IFERROR(__xludf.DUMMYFUNCTION("""COMPUTED_VALUE"""),"VAZQUEZ")</f>
        <v>VAZQUEZ</v>
      </c>
      <c r="D27" s="53" t="str">
        <f>IFERROR(__xludf.DUMMYFUNCTION("""COMPUTED_VALUE"""),"ZULEIMA")</f>
        <v>ZULEIMA</v>
      </c>
      <c r="E27" s="154">
        <f>IFERROR(__xludf.DUMMYFUNCTION("""COMPUTED_VALUE"""),80.0)</f>
        <v>80</v>
      </c>
      <c r="F27" s="154">
        <f>IFERROR(__xludf.DUMMYFUNCTION("""COMPUTED_VALUE"""),20.0)</f>
        <v>20</v>
      </c>
      <c r="G27" s="154"/>
      <c r="H27" s="155">
        <f>IFERROR(__xludf.DUMMYFUNCTION("""COMPUTED_VALUE"""),100.0)</f>
        <v>100</v>
      </c>
      <c r="I27" s="156">
        <f>IFERROR(__xludf.DUMMYFUNCTION("""COMPUTED_VALUE"""),0.0)</f>
        <v>0</v>
      </c>
      <c r="J27" s="157">
        <f>IFERROR(__xludf.DUMMYFUNCTION("""COMPUTED_VALUE"""),10.0)</f>
        <v>10</v>
      </c>
      <c r="K27" s="156"/>
      <c r="L27" s="159">
        <f>IFERROR(__xludf.DUMMYFUNCTION("""COMPUTED_VALUE"""),100.0)</f>
        <v>100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3">
        <f>IFERROR(__xludf.DUMMYFUNCTION("""COMPUTED_VALUE"""),12.0)</f>
        <v>12</v>
      </c>
      <c r="B28" s="52" t="str">
        <f>IFERROR(__xludf.DUMMYFUNCTION("""COMPUTED_VALUE"""),"CRUZ")</f>
        <v>CRUZ</v>
      </c>
      <c r="C28" s="53" t="str">
        <f>IFERROR(__xludf.DUMMYFUNCTION("""COMPUTED_VALUE"""),"BAUTISTA")</f>
        <v>BAUTISTA</v>
      </c>
      <c r="D28" s="54" t="str">
        <f>IFERROR(__xludf.DUMMYFUNCTION("""COMPUTED_VALUE"""),"YAEL ABDIEL")</f>
        <v>YAEL ABDIEL</v>
      </c>
      <c r="E28" s="154">
        <f>IFERROR(__xludf.DUMMYFUNCTION("""COMPUTED_VALUE"""),80.0)</f>
        <v>80</v>
      </c>
      <c r="F28" s="154">
        <f>IFERROR(__xludf.DUMMYFUNCTION("""COMPUTED_VALUE"""),20.0)</f>
        <v>20</v>
      </c>
      <c r="G28" s="154"/>
      <c r="H28" s="155">
        <f>IFERROR(__xludf.DUMMYFUNCTION("""COMPUTED_VALUE"""),100.0)</f>
        <v>100</v>
      </c>
      <c r="I28" s="156">
        <f>IFERROR(__xludf.DUMMYFUNCTION("""COMPUTED_VALUE"""),0.0)</f>
        <v>0</v>
      </c>
      <c r="J28" s="157">
        <f>IFERROR(__xludf.DUMMYFUNCTION("""COMPUTED_VALUE"""),10.0)</f>
        <v>10</v>
      </c>
      <c r="K28" s="156"/>
      <c r="L28" s="159">
        <f>IFERROR(__xludf.DUMMYFUNCTION("""COMPUTED_VALUE"""),100.0)</f>
        <v>100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3">
        <f>IFERROR(__xludf.DUMMYFUNCTION("""COMPUTED_VALUE"""),13.0)</f>
        <v>13</v>
      </c>
      <c r="B29" s="52" t="str">
        <f>IFERROR(__xludf.DUMMYFUNCTION("""COMPUTED_VALUE"""),"CRUZ")</f>
        <v>CRUZ</v>
      </c>
      <c r="C29" s="53" t="str">
        <f>IFERROR(__xludf.DUMMYFUNCTION("""COMPUTED_VALUE"""),"NUÑEZ")</f>
        <v>NUÑEZ</v>
      </c>
      <c r="D29" s="54" t="str">
        <f>IFERROR(__xludf.DUMMYFUNCTION("""COMPUTED_VALUE"""),"XIMENA LIZVET")</f>
        <v>XIMENA LIZVET</v>
      </c>
      <c r="E29" s="154">
        <f>IFERROR(__xludf.DUMMYFUNCTION("""COMPUTED_VALUE"""),80.0)</f>
        <v>80</v>
      </c>
      <c r="F29" s="154">
        <f>IFERROR(__xludf.DUMMYFUNCTION("""COMPUTED_VALUE"""),20.0)</f>
        <v>20</v>
      </c>
      <c r="G29" s="154"/>
      <c r="H29" s="155">
        <f>IFERROR(__xludf.DUMMYFUNCTION("""COMPUTED_VALUE"""),100.0)</f>
        <v>100</v>
      </c>
      <c r="I29" s="156">
        <f>IFERROR(__xludf.DUMMYFUNCTION("""COMPUTED_VALUE"""),0.0)</f>
        <v>0</v>
      </c>
      <c r="J29" s="157">
        <f>IFERROR(__xludf.DUMMYFUNCTION("""COMPUTED_VALUE"""),10.0)</f>
        <v>10</v>
      </c>
      <c r="K29" s="156"/>
      <c r="L29" s="159">
        <f>IFERROR(__xludf.DUMMYFUNCTION("""COMPUTED_VALUE"""),100.0)</f>
        <v>100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3">
        <f>IFERROR(__xludf.DUMMYFUNCTION("""COMPUTED_VALUE"""),14.0)</f>
        <v>14</v>
      </c>
      <c r="B30" s="52" t="str">
        <f>IFERROR(__xludf.DUMMYFUNCTION("""COMPUTED_VALUE"""),"DE JESUS")</f>
        <v>DE JESUS</v>
      </c>
      <c r="C30" s="53" t="str">
        <f>IFERROR(__xludf.DUMMYFUNCTION("""COMPUTED_VALUE"""),"GONZALEZ")</f>
        <v>GONZALEZ</v>
      </c>
      <c r="D30" s="54" t="str">
        <f>IFERROR(__xludf.DUMMYFUNCTION("""COMPUTED_VALUE"""),"SHARON NOEMI")</f>
        <v>SHARON NOEMI</v>
      </c>
      <c r="E30" s="154">
        <f>IFERROR(__xludf.DUMMYFUNCTION("""COMPUTED_VALUE"""),80.0)</f>
        <v>80</v>
      </c>
      <c r="F30" s="154">
        <f>IFERROR(__xludf.DUMMYFUNCTION("""COMPUTED_VALUE"""),20.0)</f>
        <v>20</v>
      </c>
      <c r="G30" s="154"/>
      <c r="H30" s="155">
        <f>IFERROR(__xludf.DUMMYFUNCTION("""COMPUTED_VALUE"""),100.0)</f>
        <v>100</v>
      </c>
      <c r="I30" s="156">
        <f>IFERROR(__xludf.DUMMYFUNCTION("""COMPUTED_VALUE"""),0.0)</f>
        <v>0</v>
      </c>
      <c r="J30" s="157">
        <f>IFERROR(__xludf.DUMMYFUNCTION("""COMPUTED_VALUE"""),10.0)</f>
        <v>10</v>
      </c>
      <c r="K30" s="156"/>
      <c r="L30" s="159">
        <f>IFERROR(__xludf.DUMMYFUNCTION("""COMPUTED_VALUE"""),100.0)</f>
        <v>100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3">
        <f>IFERROR(__xludf.DUMMYFUNCTION("""COMPUTED_VALUE"""),15.0)</f>
        <v>15</v>
      </c>
      <c r="B31" s="52" t="str">
        <f>IFERROR(__xludf.DUMMYFUNCTION("""COMPUTED_VALUE"""),"DE SANTIAGO")</f>
        <v>DE SANTIAGO</v>
      </c>
      <c r="C31" s="64" t="str">
        <f>IFERROR(__xludf.DUMMYFUNCTION("""COMPUTED_VALUE"""),"SANCHEZ")</f>
        <v>SANCHEZ</v>
      </c>
      <c r="D31" s="54" t="str">
        <f>IFERROR(__xludf.DUMMYFUNCTION("""COMPUTED_VALUE"""),"OSCAR")</f>
        <v>OSCAR</v>
      </c>
      <c r="E31" s="154">
        <f>IFERROR(__xludf.DUMMYFUNCTION("""COMPUTED_VALUE"""),80.0)</f>
        <v>80</v>
      </c>
      <c r="F31" s="154">
        <f>IFERROR(__xludf.DUMMYFUNCTION("""COMPUTED_VALUE"""),20.0)</f>
        <v>20</v>
      </c>
      <c r="G31" s="154"/>
      <c r="H31" s="155">
        <f>IFERROR(__xludf.DUMMYFUNCTION("""COMPUTED_VALUE"""),100.0)</f>
        <v>100</v>
      </c>
      <c r="I31" s="156">
        <f>IFERROR(__xludf.DUMMYFUNCTION("""COMPUTED_VALUE"""),0.0)</f>
        <v>0</v>
      </c>
      <c r="J31" s="157">
        <f>IFERROR(__xludf.DUMMYFUNCTION("""COMPUTED_VALUE"""),10.0)</f>
        <v>10</v>
      </c>
      <c r="K31" s="156"/>
      <c r="L31" s="159">
        <f>IFERROR(__xludf.DUMMYFUNCTION("""COMPUTED_VALUE"""),100.0)</f>
        <v>100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3">
        <f>IFERROR(__xludf.DUMMYFUNCTION("""COMPUTED_VALUE"""),16.0)</f>
        <v>16</v>
      </c>
      <c r="B32" s="52" t="str">
        <f>IFERROR(__xludf.DUMMYFUNCTION("""COMPUTED_VALUE"""),"DOMINGUEZ")</f>
        <v>DOMINGUEZ</v>
      </c>
      <c r="C32" s="53" t="str">
        <f>IFERROR(__xludf.DUMMYFUNCTION("""COMPUTED_VALUE"""),"RODRIGUEZ")</f>
        <v>RODRIGUEZ</v>
      </c>
      <c r="D32" s="54" t="str">
        <f>IFERROR(__xludf.DUMMYFUNCTION("""COMPUTED_VALUE"""),"ISABELLA VICTORIA")</f>
        <v>ISABELLA VICTORIA</v>
      </c>
      <c r="E32" s="154">
        <f>IFERROR(__xludf.DUMMYFUNCTION("""COMPUTED_VALUE"""),80.0)</f>
        <v>80</v>
      </c>
      <c r="F32" s="154">
        <f>IFERROR(__xludf.DUMMYFUNCTION("""COMPUTED_VALUE"""),20.0)</f>
        <v>20</v>
      </c>
      <c r="G32" s="154"/>
      <c r="H32" s="155">
        <f>IFERROR(__xludf.DUMMYFUNCTION("""COMPUTED_VALUE"""),100.0)</f>
        <v>100</v>
      </c>
      <c r="I32" s="156">
        <f>IFERROR(__xludf.DUMMYFUNCTION("""COMPUTED_VALUE"""),0.0)</f>
        <v>0</v>
      </c>
      <c r="J32" s="157">
        <f>IFERROR(__xludf.DUMMYFUNCTION("""COMPUTED_VALUE"""),10.0)</f>
        <v>10</v>
      </c>
      <c r="K32" s="156"/>
      <c r="L32" s="159">
        <f>IFERROR(__xludf.DUMMYFUNCTION("""COMPUTED_VALUE"""),100.0)</f>
        <v>100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3">
        <f>IFERROR(__xludf.DUMMYFUNCTION("""COMPUTED_VALUE"""),17.0)</f>
        <v>17</v>
      </c>
      <c r="B33" s="52" t="str">
        <f>IFERROR(__xludf.DUMMYFUNCTION("""COMPUTED_VALUE"""),"ESLAVA")</f>
        <v>ESLAVA</v>
      </c>
      <c r="C33" s="53" t="str">
        <f>IFERROR(__xludf.DUMMYFUNCTION("""COMPUTED_VALUE"""),"CEDILLO")</f>
        <v>CEDILLO</v>
      </c>
      <c r="D33" s="54" t="str">
        <f>IFERROR(__xludf.DUMMYFUNCTION("""COMPUTED_VALUE"""),"DIEGO EVERARDO")</f>
        <v>DIEGO EVERARDO</v>
      </c>
      <c r="E33" s="154">
        <f>IFERROR(__xludf.DUMMYFUNCTION("""COMPUTED_VALUE"""),54.0)</f>
        <v>54</v>
      </c>
      <c r="F33" s="154">
        <f>IFERROR(__xludf.DUMMYFUNCTION("""COMPUTED_VALUE"""),20.0)</f>
        <v>20</v>
      </c>
      <c r="G33" s="154"/>
      <c r="H33" s="155">
        <f>IFERROR(__xludf.DUMMYFUNCTION("""COMPUTED_VALUE"""),74.0)</f>
        <v>74</v>
      </c>
      <c r="I33" s="156">
        <f>IFERROR(__xludf.DUMMYFUNCTION("""COMPUTED_VALUE"""),0.0)</f>
        <v>0</v>
      </c>
      <c r="J33" s="157">
        <f>IFERROR(__xludf.DUMMYFUNCTION("""COMPUTED_VALUE"""),7.0)</f>
        <v>7</v>
      </c>
      <c r="K33" s="156"/>
      <c r="L33" s="159">
        <f>IFERROR(__xludf.DUMMYFUNCTION("""COMPUTED_VALUE"""),74.0)</f>
        <v>74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3">
        <f>IFERROR(__xludf.DUMMYFUNCTION("""COMPUTED_VALUE"""),18.0)</f>
        <v>18</v>
      </c>
      <c r="B34" s="52" t="str">
        <f>IFERROR(__xludf.DUMMYFUNCTION("""COMPUTED_VALUE"""),"FLORES")</f>
        <v>FLORES</v>
      </c>
      <c r="C34" s="53" t="str">
        <f>IFERROR(__xludf.DUMMYFUNCTION("""COMPUTED_VALUE"""),"GARCIA")</f>
        <v>GARCIA</v>
      </c>
      <c r="D34" s="54" t="str">
        <f>IFERROR(__xludf.DUMMYFUNCTION("""COMPUTED_VALUE"""),"BYRON ALBERTO")</f>
        <v>BYRON ALBERTO</v>
      </c>
      <c r="E34" s="154">
        <f>IFERROR(__xludf.DUMMYFUNCTION("""COMPUTED_VALUE"""),80.0)</f>
        <v>80</v>
      </c>
      <c r="F34" s="154">
        <f>IFERROR(__xludf.DUMMYFUNCTION("""COMPUTED_VALUE"""),20.0)</f>
        <v>20</v>
      </c>
      <c r="G34" s="154"/>
      <c r="H34" s="155">
        <f>IFERROR(__xludf.DUMMYFUNCTION("""COMPUTED_VALUE"""),100.0)</f>
        <v>100</v>
      </c>
      <c r="I34" s="156">
        <f>IFERROR(__xludf.DUMMYFUNCTION("""COMPUTED_VALUE"""),0.0)</f>
        <v>0</v>
      </c>
      <c r="J34" s="157">
        <f>IFERROR(__xludf.DUMMYFUNCTION("""COMPUTED_VALUE"""),10.0)</f>
        <v>10</v>
      </c>
      <c r="K34" s="156"/>
      <c r="L34" s="159">
        <f>IFERROR(__xludf.DUMMYFUNCTION("""COMPUTED_VALUE"""),100.0)</f>
        <v>100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3">
        <f>IFERROR(__xludf.DUMMYFUNCTION("""COMPUTED_VALUE"""),19.0)</f>
        <v>19</v>
      </c>
      <c r="B35" s="52" t="str">
        <f>IFERROR(__xludf.DUMMYFUNCTION("""COMPUTED_VALUE"""),"GARCIA")</f>
        <v>GARCIA</v>
      </c>
      <c r="C35" s="53" t="str">
        <f>IFERROR(__xludf.DUMMYFUNCTION("""COMPUTED_VALUE"""),"ESCOBAR")</f>
        <v>ESCOBAR</v>
      </c>
      <c r="D35" s="54" t="str">
        <f>IFERROR(__xludf.DUMMYFUNCTION("""COMPUTED_VALUE"""),"DALIA ANGELINA")</f>
        <v>DALIA ANGELINA</v>
      </c>
      <c r="E35" s="154">
        <f>IFERROR(__xludf.DUMMYFUNCTION("""COMPUTED_VALUE"""),80.0)</f>
        <v>80</v>
      </c>
      <c r="F35" s="154">
        <f>IFERROR(__xludf.DUMMYFUNCTION("""COMPUTED_VALUE"""),20.0)</f>
        <v>20</v>
      </c>
      <c r="G35" s="154"/>
      <c r="H35" s="155">
        <f>IFERROR(__xludf.DUMMYFUNCTION("""COMPUTED_VALUE"""),100.0)</f>
        <v>100</v>
      </c>
      <c r="I35" s="156">
        <f>IFERROR(__xludf.DUMMYFUNCTION("""COMPUTED_VALUE"""),0.0)</f>
        <v>0</v>
      </c>
      <c r="J35" s="157">
        <f>IFERROR(__xludf.DUMMYFUNCTION("""COMPUTED_VALUE"""),10.0)</f>
        <v>10</v>
      </c>
      <c r="K35" s="156"/>
      <c r="L35" s="159">
        <f>IFERROR(__xludf.DUMMYFUNCTION("""COMPUTED_VALUE"""),100.0)</f>
        <v>100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3">
        <f>IFERROR(__xludf.DUMMYFUNCTION("""COMPUTED_VALUE"""),20.0)</f>
        <v>20</v>
      </c>
      <c r="B36" s="52" t="str">
        <f>IFERROR(__xludf.DUMMYFUNCTION("""COMPUTED_VALUE"""),"GONZALEZ")</f>
        <v>GONZALEZ</v>
      </c>
      <c r="C36" s="53" t="str">
        <f>IFERROR(__xludf.DUMMYFUNCTION("""COMPUTED_VALUE"""),"BAÑOS")</f>
        <v>BAÑOS</v>
      </c>
      <c r="D36" s="54" t="str">
        <f>IFERROR(__xludf.DUMMYFUNCTION("""COMPUTED_VALUE"""),"DAVID EDUARDO")</f>
        <v>DAVID EDUARDO</v>
      </c>
      <c r="E36" s="154">
        <f>IFERROR(__xludf.DUMMYFUNCTION("""COMPUTED_VALUE"""),80.0)</f>
        <v>80</v>
      </c>
      <c r="F36" s="154">
        <f>IFERROR(__xludf.DUMMYFUNCTION("""COMPUTED_VALUE"""),20.0)</f>
        <v>20</v>
      </c>
      <c r="G36" s="154"/>
      <c r="H36" s="155">
        <f>IFERROR(__xludf.DUMMYFUNCTION("""COMPUTED_VALUE"""),100.0)</f>
        <v>100</v>
      </c>
      <c r="I36" s="156">
        <f>IFERROR(__xludf.DUMMYFUNCTION("""COMPUTED_VALUE"""),0.0)</f>
        <v>0</v>
      </c>
      <c r="J36" s="157">
        <f>IFERROR(__xludf.DUMMYFUNCTION("""COMPUTED_VALUE"""),10.0)</f>
        <v>10</v>
      </c>
      <c r="K36" s="156"/>
      <c r="L36" s="159">
        <f>IFERROR(__xludf.DUMMYFUNCTION("""COMPUTED_VALUE"""),100.0)</f>
        <v>100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3">
        <f>IFERROR(__xludf.DUMMYFUNCTION("""COMPUTED_VALUE"""),21.0)</f>
        <v>21</v>
      </c>
      <c r="B37" s="52" t="str">
        <f>IFERROR(__xludf.DUMMYFUNCTION("""COMPUTED_VALUE"""),"GONZALEZ")</f>
        <v>GONZALEZ</v>
      </c>
      <c r="C37" s="53" t="str">
        <f>IFERROR(__xludf.DUMMYFUNCTION("""COMPUTED_VALUE"""),"CAZARES")</f>
        <v>CAZARES</v>
      </c>
      <c r="D37" s="65" t="str">
        <f>IFERROR(__xludf.DUMMYFUNCTION("""COMPUTED_VALUE"""),"CRISTHIAN")</f>
        <v>CRISTHIAN</v>
      </c>
      <c r="E37" s="154">
        <f>IFERROR(__xludf.DUMMYFUNCTION("""COMPUTED_VALUE"""),50.0)</f>
        <v>50</v>
      </c>
      <c r="F37" s="154">
        <f>IFERROR(__xludf.DUMMYFUNCTION("""COMPUTED_VALUE"""),20.0)</f>
        <v>20</v>
      </c>
      <c r="G37" s="154"/>
      <c r="H37" s="155">
        <f>IFERROR(__xludf.DUMMYFUNCTION("""COMPUTED_VALUE"""),70.0)</f>
        <v>70</v>
      </c>
      <c r="I37" s="156">
        <f>IFERROR(__xludf.DUMMYFUNCTION("""COMPUTED_VALUE"""),0.0)</f>
        <v>0</v>
      </c>
      <c r="J37" s="157">
        <f>IFERROR(__xludf.DUMMYFUNCTION("""COMPUTED_VALUE"""),7.0)</f>
        <v>7</v>
      </c>
      <c r="K37" s="156"/>
      <c r="L37" s="159">
        <f>IFERROR(__xludf.DUMMYFUNCTION("""COMPUTED_VALUE"""),70.0)</f>
        <v>70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3">
        <f>IFERROR(__xludf.DUMMYFUNCTION("""COMPUTED_VALUE"""),22.0)</f>
        <v>22</v>
      </c>
      <c r="B38" s="52" t="str">
        <f>IFERROR(__xludf.DUMMYFUNCTION("""COMPUTED_VALUE"""),"GRANADOS")</f>
        <v>GRANADOS</v>
      </c>
      <c r="C38" s="53" t="str">
        <f>IFERROR(__xludf.DUMMYFUNCTION("""COMPUTED_VALUE"""),"GUERRERO")</f>
        <v>GUERRERO</v>
      </c>
      <c r="D38" s="54" t="str">
        <f>IFERROR(__xludf.DUMMYFUNCTION("""COMPUTED_VALUE"""),"ZARA")</f>
        <v>ZARA</v>
      </c>
      <c r="E38" s="154">
        <f>IFERROR(__xludf.DUMMYFUNCTION("""COMPUTED_VALUE"""),67.0)</f>
        <v>67</v>
      </c>
      <c r="F38" s="154">
        <f>IFERROR(__xludf.DUMMYFUNCTION("""COMPUTED_VALUE"""),20.0)</f>
        <v>20</v>
      </c>
      <c r="G38" s="154"/>
      <c r="H38" s="155">
        <f>IFERROR(__xludf.DUMMYFUNCTION("""COMPUTED_VALUE"""),87.0)</f>
        <v>87</v>
      </c>
      <c r="I38" s="156">
        <f>IFERROR(__xludf.DUMMYFUNCTION("""COMPUTED_VALUE"""),0.0)</f>
        <v>0</v>
      </c>
      <c r="J38" s="157">
        <f>IFERROR(__xludf.DUMMYFUNCTION("""COMPUTED_VALUE"""),9.0)</f>
        <v>9</v>
      </c>
      <c r="K38" s="156"/>
      <c r="L38" s="159">
        <f>IFERROR(__xludf.DUMMYFUNCTION("""COMPUTED_VALUE"""),87.0)</f>
        <v>87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3">
        <f>IFERROR(__xludf.DUMMYFUNCTION("""COMPUTED_VALUE"""),23.0)</f>
        <v>23</v>
      </c>
      <c r="B39" s="52" t="str">
        <f>IFERROR(__xludf.DUMMYFUNCTION("""COMPUTED_VALUE"""),"HERNANDEZ")</f>
        <v>HERNANDEZ</v>
      </c>
      <c r="C39" s="53" t="str">
        <f>IFERROR(__xludf.DUMMYFUNCTION("""COMPUTED_VALUE"""),"CANCHOLA")</f>
        <v>CANCHOLA</v>
      </c>
      <c r="D39" s="65" t="str">
        <f>IFERROR(__xludf.DUMMYFUNCTION("""COMPUTED_VALUE"""),"MELANIE")</f>
        <v>MELANIE</v>
      </c>
      <c r="E39" s="154">
        <f>IFERROR(__xludf.DUMMYFUNCTION("""COMPUTED_VALUE"""),80.0)</f>
        <v>80</v>
      </c>
      <c r="F39" s="154">
        <f>IFERROR(__xludf.DUMMYFUNCTION("""COMPUTED_VALUE"""),20.0)</f>
        <v>20</v>
      </c>
      <c r="G39" s="154"/>
      <c r="H39" s="155">
        <f>IFERROR(__xludf.DUMMYFUNCTION("""COMPUTED_VALUE"""),100.0)</f>
        <v>100</v>
      </c>
      <c r="I39" s="156">
        <f>IFERROR(__xludf.DUMMYFUNCTION("""COMPUTED_VALUE"""),0.0)</f>
        <v>0</v>
      </c>
      <c r="J39" s="157">
        <f>IFERROR(__xludf.DUMMYFUNCTION("""COMPUTED_VALUE"""),10.0)</f>
        <v>10</v>
      </c>
      <c r="K39" s="156"/>
      <c r="L39" s="159">
        <f>IFERROR(__xludf.DUMMYFUNCTION("""COMPUTED_VALUE"""),100.0)</f>
        <v>100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3">
        <f>IFERROR(__xludf.DUMMYFUNCTION("""COMPUTED_VALUE"""),24.0)</f>
        <v>24</v>
      </c>
      <c r="B40" s="66" t="str">
        <f>IFERROR(__xludf.DUMMYFUNCTION("""COMPUTED_VALUE"""),"HERNANDEZ")</f>
        <v>HERNANDEZ</v>
      </c>
      <c r="C40" s="67" t="str">
        <f>IFERROR(__xludf.DUMMYFUNCTION("""COMPUTED_VALUE"""),"ESPARRAGOZA")</f>
        <v>ESPARRAGOZA</v>
      </c>
      <c r="D40" s="54" t="str">
        <f>IFERROR(__xludf.DUMMYFUNCTION("""COMPUTED_VALUE"""),"DANTE ALEXANDER")</f>
        <v>DANTE ALEXANDER</v>
      </c>
      <c r="E40" s="154">
        <f>IFERROR(__xludf.DUMMYFUNCTION("""COMPUTED_VALUE"""),80.0)</f>
        <v>80</v>
      </c>
      <c r="F40" s="154">
        <f>IFERROR(__xludf.DUMMYFUNCTION("""COMPUTED_VALUE"""),20.0)</f>
        <v>20</v>
      </c>
      <c r="G40" s="154"/>
      <c r="H40" s="155">
        <f>IFERROR(__xludf.DUMMYFUNCTION("""COMPUTED_VALUE"""),100.0)</f>
        <v>100</v>
      </c>
      <c r="I40" s="156">
        <f>IFERROR(__xludf.DUMMYFUNCTION("""COMPUTED_VALUE"""),0.0)</f>
        <v>0</v>
      </c>
      <c r="J40" s="157">
        <f>IFERROR(__xludf.DUMMYFUNCTION("""COMPUTED_VALUE"""),10.0)</f>
        <v>10</v>
      </c>
      <c r="K40" s="156"/>
      <c r="L40" s="159">
        <f>IFERROR(__xludf.DUMMYFUNCTION("""COMPUTED_VALUE"""),100.0)</f>
        <v>100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3">
        <f>IFERROR(__xludf.DUMMYFUNCTION("""COMPUTED_VALUE"""),25.0)</f>
        <v>25</v>
      </c>
      <c r="B41" s="52" t="str">
        <f>IFERROR(__xludf.DUMMYFUNCTION("""COMPUTED_VALUE"""),"HERNANDEZ")</f>
        <v>HERNANDEZ</v>
      </c>
      <c r="C41" s="53" t="str">
        <f>IFERROR(__xludf.DUMMYFUNCTION("""COMPUTED_VALUE"""),"MUÑOZ")</f>
        <v>MUÑOZ</v>
      </c>
      <c r="D41" s="54" t="str">
        <f>IFERROR(__xludf.DUMMYFUNCTION("""COMPUTED_VALUE"""),"MARIA JOSE")</f>
        <v>MARIA JOSE</v>
      </c>
      <c r="E41" s="154">
        <f>IFERROR(__xludf.DUMMYFUNCTION("""COMPUTED_VALUE"""),80.0)</f>
        <v>80</v>
      </c>
      <c r="F41" s="154">
        <f>IFERROR(__xludf.DUMMYFUNCTION("""COMPUTED_VALUE"""),20.0)</f>
        <v>20</v>
      </c>
      <c r="G41" s="154"/>
      <c r="H41" s="155">
        <f>IFERROR(__xludf.DUMMYFUNCTION("""COMPUTED_VALUE"""),100.0)</f>
        <v>100</v>
      </c>
      <c r="I41" s="156">
        <f>IFERROR(__xludf.DUMMYFUNCTION("""COMPUTED_VALUE"""),0.0)</f>
        <v>0</v>
      </c>
      <c r="J41" s="157">
        <f>IFERROR(__xludf.DUMMYFUNCTION("""COMPUTED_VALUE"""),10.0)</f>
        <v>10</v>
      </c>
      <c r="K41" s="156"/>
      <c r="L41" s="159">
        <f>IFERROR(__xludf.DUMMYFUNCTION("""COMPUTED_VALUE"""),100.0)</f>
        <v>100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3">
        <f>IFERROR(__xludf.DUMMYFUNCTION("""COMPUTED_VALUE"""),26.0)</f>
        <v>26</v>
      </c>
      <c r="B42" s="52" t="str">
        <f>IFERROR(__xludf.DUMMYFUNCTION("""COMPUTED_VALUE"""),"JARAMILLO")</f>
        <v>JARAMILLO</v>
      </c>
      <c r="C42" s="53" t="str">
        <f>IFERROR(__xludf.DUMMYFUNCTION("""COMPUTED_VALUE"""),"SANDOVAL")</f>
        <v>SANDOVAL</v>
      </c>
      <c r="D42" s="54" t="str">
        <f>IFERROR(__xludf.DUMMYFUNCTION("""COMPUTED_VALUE"""),"MELANI JEREDIT")</f>
        <v>MELANI JEREDIT</v>
      </c>
      <c r="E42" s="154">
        <f>IFERROR(__xludf.DUMMYFUNCTION("""COMPUTED_VALUE"""),70.0)</f>
        <v>70</v>
      </c>
      <c r="F42" s="154">
        <f>IFERROR(__xludf.DUMMYFUNCTION("""COMPUTED_VALUE"""),20.0)</f>
        <v>20</v>
      </c>
      <c r="G42" s="154"/>
      <c r="H42" s="155">
        <f>IFERROR(__xludf.DUMMYFUNCTION("""COMPUTED_VALUE"""),90.0)</f>
        <v>90</v>
      </c>
      <c r="I42" s="156">
        <f>IFERROR(__xludf.DUMMYFUNCTION("""COMPUTED_VALUE"""),0.0)</f>
        <v>0</v>
      </c>
      <c r="J42" s="157">
        <f>IFERROR(__xludf.DUMMYFUNCTION("""COMPUTED_VALUE"""),9.0)</f>
        <v>9</v>
      </c>
      <c r="K42" s="156"/>
      <c r="L42" s="159">
        <f>IFERROR(__xludf.DUMMYFUNCTION("""COMPUTED_VALUE"""),90.0)</f>
        <v>90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3">
        <f>IFERROR(__xludf.DUMMYFUNCTION("""COMPUTED_VALUE"""),27.0)</f>
        <v>27</v>
      </c>
      <c r="B43" s="52" t="str">
        <f>IFERROR(__xludf.DUMMYFUNCTION("""COMPUTED_VALUE"""),"LEMUS")</f>
        <v>LEMUS</v>
      </c>
      <c r="C43" s="53" t="str">
        <f>IFERROR(__xludf.DUMMYFUNCTION("""COMPUTED_VALUE"""),"AVILA")</f>
        <v>AVILA</v>
      </c>
      <c r="D43" s="54" t="str">
        <f>IFERROR(__xludf.DUMMYFUNCTION("""COMPUTED_VALUE"""),"ANA GABRIELA")</f>
        <v>ANA GABRIELA</v>
      </c>
      <c r="E43" s="154">
        <f>IFERROR(__xludf.DUMMYFUNCTION("""COMPUTED_VALUE"""),80.0)</f>
        <v>80</v>
      </c>
      <c r="F43" s="154">
        <f>IFERROR(__xludf.DUMMYFUNCTION("""COMPUTED_VALUE"""),20.0)</f>
        <v>20</v>
      </c>
      <c r="G43" s="154"/>
      <c r="H43" s="155">
        <f>IFERROR(__xludf.DUMMYFUNCTION("""COMPUTED_VALUE"""),100.0)</f>
        <v>100</v>
      </c>
      <c r="I43" s="156">
        <f>IFERROR(__xludf.DUMMYFUNCTION("""COMPUTED_VALUE"""),0.0)</f>
        <v>0</v>
      </c>
      <c r="J43" s="157">
        <f>IFERROR(__xludf.DUMMYFUNCTION("""COMPUTED_VALUE"""),10.0)</f>
        <v>10</v>
      </c>
      <c r="K43" s="156"/>
      <c r="L43" s="159">
        <f>IFERROR(__xludf.DUMMYFUNCTION("""COMPUTED_VALUE"""),100.0)</f>
        <v>100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3">
        <f>IFERROR(__xludf.DUMMYFUNCTION("""COMPUTED_VALUE"""),28.0)</f>
        <v>28</v>
      </c>
      <c r="B44" s="52" t="str">
        <f>IFERROR(__xludf.DUMMYFUNCTION("""COMPUTED_VALUE"""),"LOPEZ")</f>
        <v>LOPEZ</v>
      </c>
      <c r="C44" s="53" t="str">
        <f>IFERROR(__xludf.DUMMYFUNCTION("""COMPUTED_VALUE"""),"OLVERA")</f>
        <v>OLVERA</v>
      </c>
      <c r="D44" s="54" t="str">
        <f>IFERROR(__xludf.DUMMYFUNCTION("""COMPUTED_VALUE"""),"GABRIELA LIZETH")</f>
        <v>GABRIELA LIZETH</v>
      </c>
      <c r="E44" s="154">
        <f>IFERROR(__xludf.DUMMYFUNCTION("""COMPUTED_VALUE"""),80.0)</f>
        <v>80</v>
      </c>
      <c r="F44" s="154">
        <f>IFERROR(__xludf.DUMMYFUNCTION("""COMPUTED_VALUE"""),20.0)</f>
        <v>20</v>
      </c>
      <c r="G44" s="154"/>
      <c r="H44" s="155">
        <f>IFERROR(__xludf.DUMMYFUNCTION("""COMPUTED_VALUE"""),100.0)</f>
        <v>100</v>
      </c>
      <c r="I44" s="156">
        <f>IFERROR(__xludf.DUMMYFUNCTION("""COMPUTED_VALUE"""),0.0)</f>
        <v>0</v>
      </c>
      <c r="J44" s="157">
        <f>IFERROR(__xludf.DUMMYFUNCTION("""COMPUTED_VALUE"""),10.0)</f>
        <v>10</v>
      </c>
      <c r="K44" s="156"/>
      <c r="L44" s="159">
        <f>IFERROR(__xludf.DUMMYFUNCTION("""COMPUTED_VALUE"""),100.0)</f>
        <v>100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3">
        <f>IFERROR(__xludf.DUMMYFUNCTION("""COMPUTED_VALUE"""),29.0)</f>
        <v>29</v>
      </c>
      <c r="B45" s="52" t="str">
        <f>IFERROR(__xludf.DUMMYFUNCTION("""COMPUTED_VALUE"""),"LOPEZ")</f>
        <v>LOPEZ</v>
      </c>
      <c r="C45" s="53" t="str">
        <f>IFERROR(__xludf.DUMMYFUNCTION("""COMPUTED_VALUE"""),"PANIAGÚA")</f>
        <v>PANIAGÚA</v>
      </c>
      <c r="D45" s="54" t="str">
        <f>IFERROR(__xludf.DUMMYFUNCTION("""COMPUTED_VALUE"""),"ANGEL GIOVANNI")</f>
        <v>ANGEL GIOVANNI</v>
      </c>
      <c r="E45" s="154">
        <f>IFERROR(__xludf.DUMMYFUNCTION("""COMPUTED_VALUE"""),80.0)</f>
        <v>80</v>
      </c>
      <c r="F45" s="154">
        <f>IFERROR(__xludf.DUMMYFUNCTION("""COMPUTED_VALUE"""),20.0)</f>
        <v>20</v>
      </c>
      <c r="G45" s="154"/>
      <c r="H45" s="155">
        <f>IFERROR(__xludf.DUMMYFUNCTION("""COMPUTED_VALUE"""),100.0)</f>
        <v>100</v>
      </c>
      <c r="I45" s="156">
        <f>IFERROR(__xludf.DUMMYFUNCTION("""COMPUTED_VALUE"""),0.0)</f>
        <v>0</v>
      </c>
      <c r="J45" s="157">
        <f>IFERROR(__xludf.DUMMYFUNCTION("""COMPUTED_VALUE"""),10.0)</f>
        <v>10</v>
      </c>
      <c r="K45" s="156"/>
      <c r="L45" s="159">
        <f>IFERROR(__xludf.DUMMYFUNCTION("""COMPUTED_VALUE"""),100.0)</f>
        <v>100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3">
        <f>IFERROR(__xludf.DUMMYFUNCTION("""COMPUTED_VALUE"""),30.0)</f>
        <v>30</v>
      </c>
      <c r="B46" s="52" t="str">
        <f>IFERROR(__xludf.DUMMYFUNCTION("""COMPUTED_VALUE"""),"LUNA")</f>
        <v>LUNA</v>
      </c>
      <c r="C46" s="53" t="str">
        <f>IFERROR(__xludf.DUMMYFUNCTION("""COMPUTED_VALUE"""),"HERNANDEZ")</f>
        <v>HERNANDEZ</v>
      </c>
      <c r="D46" s="54" t="str">
        <f>IFERROR(__xludf.DUMMYFUNCTION("""COMPUTED_VALUE"""),"DEA ISABELLA")</f>
        <v>DEA ISABELLA</v>
      </c>
      <c r="E46" s="154">
        <f>IFERROR(__xludf.DUMMYFUNCTION("""COMPUTED_VALUE"""),80.0)</f>
        <v>80</v>
      </c>
      <c r="F46" s="154">
        <f>IFERROR(__xludf.DUMMYFUNCTION("""COMPUTED_VALUE"""),20.0)</f>
        <v>20</v>
      </c>
      <c r="G46" s="154"/>
      <c r="H46" s="155">
        <f>IFERROR(__xludf.DUMMYFUNCTION("""COMPUTED_VALUE"""),100.0)</f>
        <v>100</v>
      </c>
      <c r="I46" s="156">
        <f>IFERROR(__xludf.DUMMYFUNCTION("""COMPUTED_VALUE"""),0.0)</f>
        <v>0</v>
      </c>
      <c r="J46" s="157">
        <f>IFERROR(__xludf.DUMMYFUNCTION("""COMPUTED_VALUE"""),10.0)</f>
        <v>10</v>
      </c>
      <c r="K46" s="156"/>
      <c r="L46" s="159">
        <f>IFERROR(__xludf.DUMMYFUNCTION("""COMPUTED_VALUE"""),100.0)</f>
        <v>100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3">
        <f>IFERROR(__xludf.DUMMYFUNCTION("""COMPUTED_VALUE"""),31.0)</f>
        <v>31</v>
      </c>
      <c r="B47" s="52" t="str">
        <f>IFERROR(__xludf.DUMMYFUNCTION("""COMPUTED_VALUE"""),"MARES")</f>
        <v>MARES</v>
      </c>
      <c r="C47" s="53" t="str">
        <f>IFERROR(__xludf.DUMMYFUNCTION("""COMPUTED_VALUE"""),"GONZALEZ")</f>
        <v>GONZALEZ</v>
      </c>
      <c r="D47" s="54" t="str">
        <f>IFERROR(__xludf.DUMMYFUNCTION("""COMPUTED_VALUE"""),"JOSE CARLOS")</f>
        <v>JOSE CARLOS</v>
      </c>
      <c r="E47" s="154">
        <f>IFERROR(__xludf.DUMMYFUNCTION("""COMPUTED_VALUE"""),80.0)</f>
        <v>80</v>
      </c>
      <c r="F47" s="154">
        <f>IFERROR(__xludf.DUMMYFUNCTION("""COMPUTED_VALUE"""),20.0)</f>
        <v>20</v>
      </c>
      <c r="G47" s="154"/>
      <c r="H47" s="155">
        <f>IFERROR(__xludf.DUMMYFUNCTION("""COMPUTED_VALUE"""),100.0)</f>
        <v>100</v>
      </c>
      <c r="I47" s="156">
        <f>IFERROR(__xludf.DUMMYFUNCTION("""COMPUTED_VALUE"""),1.0)</f>
        <v>1</v>
      </c>
      <c r="J47" s="157">
        <f>IFERROR(__xludf.DUMMYFUNCTION("""COMPUTED_VALUE"""),10.0)</f>
        <v>10</v>
      </c>
      <c r="K47" s="156"/>
      <c r="L47" s="159">
        <f>IFERROR(__xludf.DUMMYFUNCTION("""COMPUTED_VALUE"""),100.0)</f>
        <v>100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3">
        <f>IFERROR(__xludf.DUMMYFUNCTION("""COMPUTED_VALUE"""),32.0)</f>
        <v>32</v>
      </c>
      <c r="B48" s="52" t="str">
        <f>IFERROR(__xludf.DUMMYFUNCTION("""COMPUTED_VALUE"""),"MARTINEZ")</f>
        <v>MARTINEZ</v>
      </c>
      <c r="C48" s="53" t="str">
        <f>IFERROR(__xludf.DUMMYFUNCTION("""COMPUTED_VALUE"""),"REYES")</f>
        <v>REYES</v>
      </c>
      <c r="D48" s="54" t="str">
        <f>IFERROR(__xludf.DUMMYFUNCTION("""COMPUTED_VALUE"""),"JACQUELINE ANDREA")</f>
        <v>JACQUELINE ANDREA</v>
      </c>
      <c r="E48" s="154">
        <f>IFERROR(__xludf.DUMMYFUNCTION("""COMPUTED_VALUE"""),80.0)</f>
        <v>80</v>
      </c>
      <c r="F48" s="154">
        <f>IFERROR(__xludf.DUMMYFUNCTION("""COMPUTED_VALUE"""),20.0)</f>
        <v>20</v>
      </c>
      <c r="G48" s="154"/>
      <c r="H48" s="155">
        <f>IFERROR(__xludf.DUMMYFUNCTION("""COMPUTED_VALUE"""),100.0)</f>
        <v>100</v>
      </c>
      <c r="I48" s="156">
        <f>IFERROR(__xludf.DUMMYFUNCTION("""COMPUTED_VALUE"""),0.0)</f>
        <v>0</v>
      </c>
      <c r="J48" s="157">
        <f>IFERROR(__xludf.DUMMYFUNCTION("""COMPUTED_VALUE"""),10.0)</f>
        <v>10</v>
      </c>
      <c r="K48" s="156"/>
      <c r="L48" s="159">
        <f>IFERROR(__xludf.DUMMYFUNCTION("""COMPUTED_VALUE"""),100.0)</f>
        <v>100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3">
        <f>IFERROR(__xludf.DUMMYFUNCTION("""COMPUTED_VALUE"""),33.0)</f>
        <v>33</v>
      </c>
      <c r="B49" s="52" t="str">
        <f>IFERROR(__xludf.DUMMYFUNCTION("""COMPUTED_VALUE"""),"MARTINEZ")</f>
        <v>MARTINEZ</v>
      </c>
      <c r="C49" s="53" t="str">
        <f>IFERROR(__xludf.DUMMYFUNCTION("""COMPUTED_VALUE"""),"VELAZQUEZ")</f>
        <v>VELAZQUEZ</v>
      </c>
      <c r="D49" s="65" t="str">
        <f>IFERROR(__xludf.DUMMYFUNCTION("""COMPUTED_VALUE"""),"OSCAR ZADKIEL")</f>
        <v>OSCAR ZADKIEL</v>
      </c>
      <c r="E49" s="154">
        <f>IFERROR(__xludf.DUMMYFUNCTION("""COMPUTED_VALUE"""),80.0)</f>
        <v>80</v>
      </c>
      <c r="F49" s="154">
        <f>IFERROR(__xludf.DUMMYFUNCTION("""COMPUTED_VALUE"""),20.0)</f>
        <v>20</v>
      </c>
      <c r="G49" s="154"/>
      <c r="H49" s="155">
        <f>IFERROR(__xludf.DUMMYFUNCTION("""COMPUTED_VALUE"""),100.0)</f>
        <v>100</v>
      </c>
      <c r="I49" s="156">
        <f>IFERROR(__xludf.DUMMYFUNCTION("""COMPUTED_VALUE"""),0.0)</f>
        <v>0</v>
      </c>
      <c r="J49" s="157">
        <f>IFERROR(__xludf.DUMMYFUNCTION("""COMPUTED_VALUE"""),10.0)</f>
        <v>10</v>
      </c>
      <c r="K49" s="156"/>
      <c r="L49" s="159">
        <f>IFERROR(__xludf.DUMMYFUNCTION("""COMPUTED_VALUE"""),100.0)</f>
        <v>100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3">
        <f>IFERROR(__xludf.DUMMYFUNCTION("""COMPUTED_VALUE"""),34.0)</f>
        <v>34</v>
      </c>
      <c r="B50" s="52" t="str">
        <f>IFERROR(__xludf.DUMMYFUNCTION("""COMPUTED_VALUE"""),"MORAN")</f>
        <v>MORAN</v>
      </c>
      <c r="C50" s="53" t="str">
        <f>IFERROR(__xludf.DUMMYFUNCTION("""COMPUTED_VALUE"""),"ALMAGUER")</f>
        <v>ALMAGUER</v>
      </c>
      <c r="D50" s="54" t="str">
        <f>IFERROR(__xludf.DUMMYFUNCTION("""COMPUTED_VALUE"""),"LEYLANI")</f>
        <v>LEYLANI</v>
      </c>
      <c r="E50" s="154">
        <f>IFERROR(__xludf.DUMMYFUNCTION("""COMPUTED_VALUE"""),80.0)</f>
        <v>80</v>
      </c>
      <c r="F50" s="154">
        <f>IFERROR(__xludf.DUMMYFUNCTION("""COMPUTED_VALUE"""),20.0)</f>
        <v>20</v>
      </c>
      <c r="G50" s="154"/>
      <c r="H50" s="155">
        <f>IFERROR(__xludf.DUMMYFUNCTION("""COMPUTED_VALUE"""),100.0)</f>
        <v>100</v>
      </c>
      <c r="I50" s="156">
        <f>IFERROR(__xludf.DUMMYFUNCTION("""COMPUTED_VALUE"""),0.0)</f>
        <v>0</v>
      </c>
      <c r="J50" s="157">
        <f>IFERROR(__xludf.DUMMYFUNCTION("""COMPUTED_VALUE"""),10.0)</f>
        <v>10</v>
      </c>
      <c r="K50" s="156"/>
      <c r="L50" s="159">
        <f>IFERROR(__xludf.DUMMYFUNCTION("""COMPUTED_VALUE"""),100.0)</f>
        <v>100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3">
        <f>IFERROR(__xludf.DUMMYFUNCTION("""COMPUTED_VALUE"""),35.0)</f>
        <v>35</v>
      </c>
      <c r="B51" s="52" t="str">
        <f>IFERROR(__xludf.DUMMYFUNCTION("""COMPUTED_VALUE"""),"MORENO")</f>
        <v>MORENO</v>
      </c>
      <c r="C51" s="53" t="str">
        <f>IFERROR(__xludf.DUMMYFUNCTION("""COMPUTED_VALUE"""),"VALENZUELA")</f>
        <v>VALENZUELA</v>
      </c>
      <c r="D51" s="54" t="str">
        <f>IFERROR(__xludf.DUMMYFUNCTION("""COMPUTED_VALUE"""),"SANTIAGO ISMAEL")</f>
        <v>SANTIAGO ISMAEL</v>
      </c>
      <c r="E51" s="154">
        <f>IFERROR(__xludf.DUMMYFUNCTION("""COMPUTED_VALUE"""),80.0)</f>
        <v>80</v>
      </c>
      <c r="F51" s="154">
        <f>IFERROR(__xludf.DUMMYFUNCTION("""COMPUTED_VALUE"""),20.0)</f>
        <v>20</v>
      </c>
      <c r="G51" s="154"/>
      <c r="H51" s="155">
        <f>IFERROR(__xludf.DUMMYFUNCTION("""COMPUTED_VALUE"""),100.0)</f>
        <v>100</v>
      </c>
      <c r="I51" s="156">
        <f>IFERROR(__xludf.DUMMYFUNCTION("""COMPUTED_VALUE"""),0.0)</f>
        <v>0</v>
      </c>
      <c r="J51" s="157">
        <f>IFERROR(__xludf.DUMMYFUNCTION("""COMPUTED_VALUE"""),10.0)</f>
        <v>10</v>
      </c>
      <c r="K51" s="156"/>
      <c r="L51" s="159">
        <f>IFERROR(__xludf.DUMMYFUNCTION("""COMPUTED_VALUE"""),100.0)</f>
        <v>100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3">
        <f>IFERROR(__xludf.DUMMYFUNCTION("""COMPUTED_VALUE"""),36.0)</f>
        <v>36</v>
      </c>
      <c r="B52" s="52" t="str">
        <f>IFERROR(__xludf.DUMMYFUNCTION("""COMPUTED_VALUE"""),"NUÑEZ")</f>
        <v>NUÑEZ</v>
      </c>
      <c r="C52" s="53" t="str">
        <f>IFERROR(__xludf.DUMMYFUNCTION("""COMPUTED_VALUE"""),"FLORES")</f>
        <v>FLORES</v>
      </c>
      <c r="D52" s="54" t="str">
        <f>IFERROR(__xludf.DUMMYFUNCTION("""COMPUTED_VALUE"""),"ANDREA MAYARI")</f>
        <v>ANDREA MAYARI</v>
      </c>
      <c r="E52" s="154">
        <f>IFERROR(__xludf.DUMMYFUNCTION("""COMPUTED_VALUE"""),80.0)</f>
        <v>80</v>
      </c>
      <c r="F52" s="154">
        <f>IFERROR(__xludf.DUMMYFUNCTION("""COMPUTED_VALUE"""),20.0)</f>
        <v>20</v>
      </c>
      <c r="G52" s="154"/>
      <c r="H52" s="155">
        <f>IFERROR(__xludf.DUMMYFUNCTION("""COMPUTED_VALUE"""),100.0)</f>
        <v>100</v>
      </c>
      <c r="I52" s="156">
        <f>IFERROR(__xludf.DUMMYFUNCTION("""COMPUTED_VALUE"""),0.0)</f>
        <v>0</v>
      </c>
      <c r="J52" s="157">
        <f>IFERROR(__xludf.DUMMYFUNCTION("""COMPUTED_VALUE"""),10.0)</f>
        <v>10</v>
      </c>
      <c r="K52" s="156"/>
      <c r="L52" s="160">
        <f>IFERROR(__xludf.DUMMYFUNCTION("""COMPUTED_VALUE"""),100.0)</f>
        <v>100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3">
        <f>IFERROR(__xludf.DUMMYFUNCTION("""COMPUTED_VALUE"""),37.0)</f>
        <v>37</v>
      </c>
      <c r="B53" s="52" t="str">
        <f>IFERROR(__xludf.DUMMYFUNCTION("""COMPUTED_VALUE"""),"ORNELAS")</f>
        <v>ORNELAS</v>
      </c>
      <c r="C53" s="53" t="str">
        <f>IFERROR(__xludf.DUMMYFUNCTION("""COMPUTED_VALUE"""),"LOPEZ")</f>
        <v>LOPEZ</v>
      </c>
      <c r="D53" s="54" t="str">
        <f>IFERROR(__xludf.DUMMYFUNCTION("""COMPUTED_VALUE"""),"LENA VIKTORIA")</f>
        <v>LENA VIKTORIA</v>
      </c>
      <c r="E53" s="154">
        <f>IFERROR(__xludf.DUMMYFUNCTION("""COMPUTED_VALUE"""),80.0)</f>
        <v>80</v>
      </c>
      <c r="F53" s="154">
        <f>IFERROR(__xludf.DUMMYFUNCTION("""COMPUTED_VALUE"""),20.0)</f>
        <v>20</v>
      </c>
      <c r="G53" s="154"/>
      <c r="H53" s="155">
        <f>IFERROR(__xludf.DUMMYFUNCTION("""COMPUTED_VALUE"""),100.0)</f>
        <v>100</v>
      </c>
      <c r="I53" s="156">
        <f>IFERROR(__xludf.DUMMYFUNCTION("""COMPUTED_VALUE"""),0.0)</f>
        <v>0</v>
      </c>
      <c r="J53" s="157">
        <f>IFERROR(__xludf.DUMMYFUNCTION("""COMPUTED_VALUE"""),10.0)</f>
        <v>10</v>
      </c>
      <c r="K53" s="156"/>
      <c r="L53" s="160">
        <f>IFERROR(__xludf.DUMMYFUNCTION("""COMPUTED_VALUE"""),100.0)</f>
        <v>100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3">
        <f>IFERROR(__xludf.DUMMYFUNCTION("""COMPUTED_VALUE"""),38.0)</f>
        <v>38</v>
      </c>
      <c r="B54" s="52" t="str">
        <f>IFERROR(__xludf.DUMMYFUNCTION("""COMPUTED_VALUE"""),"ORTIZ")</f>
        <v>ORTIZ</v>
      </c>
      <c r="C54" s="53" t="str">
        <f>IFERROR(__xludf.DUMMYFUNCTION("""COMPUTED_VALUE"""),"RODRIGUEZ")</f>
        <v>RODRIGUEZ</v>
      </c>
      <c r="D54" s="68" t="str">
        <f>IFERROR(__xludf.DUMMYFUNCTION("""COMPUTED_VALUE"""),"GUILLERMO")</f>
        <v>GUILLERMO</v>
      </c>
      <c r="E54" s="154">
        <f>IFERROR(__xludf.DUMMYFUNCTION("""COMPUTED_VALUE"""),80.0)</f>
        <v>80</v>
      </c>
      <c r="F54" s="154">
        <f>IFERROR(__xludf.DUMMYFUNCTION("""COMPUTED_VALUE"""),20.0)</f>
        <v>20</v>
      </c>
      <c r="G54" s="154"/>
      <c r="H54" s="155">
        <f>IFERROR(__xludf.DUMMYFUNCTION("""COMPUTED_VALUE"""),100.0)</f>
        <v>100</v>
      </c>
      <c r="I54" s="156">
        <f>IFERROR(__xludf.DUMMYFUNCTION("""COMPUTED_VALUE"""),0.0)</f>
        <v>0</v>
      </c>
      <c r="J54" s="157">
        <f>IFERROR(__xludf.DUMMYFUNCTION("""COMPUTED_VALUE"""),10.0)</f>
        <v>10</v>
      </c>
      <c r="K54" s="156"/>
      <c r="L54" s="160">
        <f>IFERROR(__xludf.DUMMYFUNCTION("""COMPUTED_VALUE"""),100.0)</f>
        <v>100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3">
        <f>IFERROR(__xludf.DUMMYFUNCTION("""COMPUTED_VALUE"""),39.0)</f>
        <v>39</v>
      </c>
      <c r="B55" s="52" t="str">
        <f>IFERROR(__xludf.DUMMYFUNCTION("""COMPUTED_VALUE"""),"PACHECO")</f>
        <v>PACHECO</v>
      </c>
      <c r="C55" s="53" t="str">
        <f>IFERROR(__xludf.DUMMYFUNCTION("""COMPUTED_VALUE"""),"OLIVARES")</f>
        <v>OLIVARES</v>
      </c>
      <c r="D55" s="54" t="str">
        <f>IFERROR(__xludf.DUMMYFUNCTION("""COMPUTED_VALUE"""),"ANDRES")</f>
        <v>ANDRES</v>
      </c>
      <c r="E55" s="154">
        <f>IFERROR(__xludf.DUMMYFUNCTION("""COMPUTED_VALUE"""),80.0)</f>
        <v>80</v>
      </c>
      <c r="F55" s="154">
        <f>IFERROR(__xludf.DUMMYFUNCTION("""COMPUTED_VALUE"""),20.0)</f>
        <v>20</v>
      </c>
      <c r="G55" s="154"/>
      <c r="H55" s="155">
        <f>IFERROR(__xludf.DUMMYFUNCTION("""COMPUTED_VALUE"""),100.0)</f>
        <v>100</v>
      </c>
      <c r="I55" s="161">
        <f>IFERROR(__xludf.DUMMYFUNCTION("""COMPUTED_VALUE"""),0.0)</f>
        <v>0</v>
      </c>
      <c r="J55" s="157">
        <f>IFERROR(__xludf.DUMMYFUNCTION("""COMPUTED_VALUE"""),10.0)</f>
        <v>10</v>
      </c>
      <c r="K55" s="156"/>
      <c r="L55" s="160">
        <f>IFERROR(__xludf.DUMMYFUNCTION("""COMPUTED_VALUE"""),100.0)</f>
        <v>100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3">
        <f>IFERROR(__xludf.DUMMYFUNCTION("""COMPUTED_VALUE"""),40.0)</f>
        <v>40</v>
      </c>
      <c r="B56" s="52" t="str">
        <f>IFERROR(__xludf.DUMMYFUNCTION("""COMPUTED_VALUE"""),"PEREZ")</f>
        <v>PEREZ</v>
      </c>
      <c r="C56" s="53" t="str">
        <f>IFERROR(__xludf.DUMMYFUNCTION("""COMPUTED_VALUE"""),"SUAREZ")</f>
        <v>SUAREZ</v>
      </c>
      <c r="D56" s="54" t="str">
        <f>IFERROR(__xludf.DUMMYFUNCTION("""COMPUTED_VALUE"""),"DAVETH OSIEL")</f>
        <v>DAVETH OSIEL</v>
      </c>
      <c r="E56" s="154">
        <f>IFERROR(__xludf.DUMMYFUNCTION("""COMPUTED_VALUE"""),80.0)</f>
        <v>80</v>
      </c>
      <c r="F56" s="154">
        <f>IFERROR(__xludf.DUMMYFUNCTION("""COMPUTED_VALUE"""),20.0)</f>
        <v>20</v>
      </c>
      <c r="G56" s="154"/>
      <c r="H56" s="155">
        <f>IFERROR(__xludf.DUMMYFUNCTION("""COMPUTED_VALUE"""),100.0)</f>
        <v>100</v>
      </c>
      <c r="I56" s="161">
        <f>IFERROR(__xludf.DUMMYFUNCTION("""COMPUTED_VALUE"""),0.0)</f>
        <v>0</v>
      </c>
      <c r="J56" s="157">
        <f>IFERROR(__xludf.DUMMYFUNCTION("""COMPUTED_VALUE"""),10.0)</f>
        <v>10</v>
      </c>
      <c r="K56" s="156"/>
      <c r="L56" s="160">
        <f>IFERROR(__xludf.DUMMYFUNCTION("""COMPUTED_VALUE"""),100.0)</f>
        <v>100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3">
        <f>IFERROR(__xludf.DUMMYFUNCTION("""COMPUTED_VALUE"""),41.0)</f>
        <v>41</v>
      </c>
      <c r="B57" s="52" t="str">
        <f>IFERROR(__xludf.DUMMYFUNCTION("""COMPUTED_VALUE"""),"PUC")</f>
        <v>PUC</v>
      </c>
      <c r="C57" s="53" t="str">
        <f>IFERROR(__xludf.DUMMYFUNCTION("""COMPUTED_VALUE"""),"JIMENEZ")</f>
        <v>JIMENEZ</v>
      </c>
      <c r="D57" s="54" t="str">
        <f>IFERROR(__xludf.DUMMYFUNCTION("""COMPUTED_VALUE"""),"XIMENA DANIELA")</f>
        <v>XIMENA DANIELA</v>
      </c>
      <c r="E57" s="154">
        <f>IFERROR(__xludf.DUMMYFUNCTION("""COMPUTED_VALUE"""),80.0)</f>
        <v>80</v>
      </c>
      <c r="F57" s="154">
        <f>IFERROR(__xludf.DUMMYFUNCTION("""COMPUTED_VALUE"""),20.0)</f>
        <v>20</v>
      </c>
      <c r="G57" s="154"/>
      <c r="H57" s="155">
        <f>IFERROR(__xludf.DUMMYFUNCTION("""COMPUTED_VALUE"""),100.0)</f>
        <v>100</v>
      </c>
      <c r="I57" s="161">
        <f>IFERROR(__xludf.DUMMYFUNCTION("""COMPUTED_VALUE"""),0.0)</f>
        <v>0</v>
      </c>
      <c r="J57" s="157">
        <f>IFERROR(__xludf.DUMMYFUNCTION("""COMPUTED_VALUE"""),10.0)</f>
        <v>10</v>
      </c>
      <c r="K57" s="156"/>
      <c r="L57" s="160">
        <f>IFERROR(__xludf.DUMMYFUNCTION("""COMPUTED_VALUE"""),100.0)</f>
        <v>100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3">
        <f>IFERROR(__xludf.DUMMYFUNCTION("""COMPUTED_VALUE"""),42.0)</f>
        <v>42</v>
      </c>
      <c r="B58" s="52" t="str">
        <f>IFERROR(__xludf.DUMMYFUNCTION("""COMPUTED_VALUE"""),"RAMIREZ")</f>
        <v>RAMIREZ</v>
      </c>
      <c r="C58" s="53" t="str">
        <f>IFERROR(__xludf.DUMMYFUNCTION("""COMPUTED_VALUE"""),"ROMAN")</f>
        <v>ROMAN</v>
      </c>
      <c r="D58" s="54" t="str">
        <f>IFERROR(__xludf.DUMMYFUNCTION("""COMPUTED_VALUE"""),"XIMENA")</f>
        <v>XIMENA</v>
      </c>
      <c r="E58" s="154">
        <f>IFERROR(__xludf.DUMMYFUNCTION("""COMPUTED_VALUE"""),80.0)</f>
        <v>80</v>
      </c>
      <c r="F58" s="154">
        <f>IFERROR(__xludf.DUMMYFUNCTION("""COMPUTED_VALUE"""),20.0)</f>
        <v>20</v>
      </c>
      <c r="G58" s="154"/>
      <c r="H58" s="155">
        <f>IFERROR(__xludf.DUMMYFUNCTION("""COMPUTED_VALUE"""),100.0)</f>
        <v>100</v>
      </c>
      <c r="I58" s="161">
        <f>IFERROR(__xludf.DUMMYFUNCTION("""COMPUTED_VALUE"""),0.0)</f>
        <v>0</v>
      </c>
      <c r="J58" s="157">
        <f>IFERROR(__xludf.DUMMYFUNCTION("""COMPUTED_VALUE"""),10.0)</f>
        <v>10</v>
      </c>
      <c r="K58" s="156"/>
      <c r="L58" s="160">
        <f>IFERROR(__xludf.DUMMYFUNCTION("""COMPUTED_VALUE"""),100.0)</f>
        <v>100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3">
        <f>IFERROR(__xludf.DUMMYFUNCTION("""COMPUTED_VALUE"""),43.0)</f>
        <v>43</v>
      </c>
      <c r="B59" s="66" t="str">
        <f>IFERROR(__xludf.DUMMYFUNCTION("""COMPUTED_VALUE"""),"REYES")</f>
        <v>REYES</v>
      </c>
      <c r="C59" s="67" t="str">
        <f>IFERROR(__xludf.DUMMYFUNCTION("""COMPUTED_VALUE"""),"TREJO")</f>
        <v>TREJO</v>
      </c>
      <c r="D59" s="54" t="str">
        <f>IFERROR(__xludf.DUMMYFUNCTION("""COMPUTED_VALUE"""),"HUGO DASTAN")</f>
        <v>HUGO DASTAN</v>
      </c>
      <c r="E59" s="154">
        <f>IFERROR(__xludf.DUMMYFUNCTION("""COMPUTED_VALUE"""),80.0)</f>
        <v>80</v>
      </c>
      <c r="F59" s="154">
        <f>IFERROR(__xludf.DUMMYFUNCTION("""COMPUTED_VALUE"""),20.0)</f>
        <v>20</v>
      </c>
      <c r="G59" s="154"/>
      <c r="H59" s="155">
        <f>IFERROR(__xludf.DUMMYFUNCTION("""COMPUTED_VALUE"""),100.0)</f>
        <v>100</v>
      </c>
      <c r="I59" s="161">
        <f>IFERROR(__xludf.DUMMYFUNCTION("""COMPUTED_VALUE"""),0.0)</f>
        <v>0</v>
      </c>
      <c r="J59" s="157">
        <f>IFERROR(__xludf.DUMMYFUNCTION("""COMPUTED_VALUE"""),10.0)</f>
        <v>10</v>
      </c>
      <c r="K59" s="156"/>
      <c r="L59" s="160">
        <f>IFERROR(__xludf.DUMMYFUNCTION("""COMPUTED_VALUE"""),100.0)</f>
        <v>100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3">
        <f>IFERROR(__xludf.DUMMYFUNCTION("""COMPUTED_VALUE"""),44.0)</f>
        <v>44</v>
      </c>
      <c r="B60" s="70" t="str">
        <f>IFERROR(__xludf.DUMMYFUNCTION("""COMPUTED_VALUE"""),"RODRIGUEZ")</f>
        <v>RODRIGUEZ</v>
      </c>
      <c r="C60" s="53" t="str">
        <f>IFERROR(__xludf.DUMMYFUNCTION("""COMPUTED_VALUE"""),"ROSAS")</f>
        <v>ROSAS</v>
      </c>
      <c r="D60" s="54" t="str">
        <f>IFERROR(__xludf.DUMMYFUNCTION("""COMPUTED_VALUE"""),"XOCHITL")</f>
        <v>XOCHITL</v>
      </c>
      <c r="E60" s="154">
        <f>IFERROR(__xludf.DUMMYFUNCTION("""COMPUTED_VALUE"""),80.0)</f>
        <v>80</v>
      </c>
      <c r="F60" s="154">
        <f>IFERROR(__xludf.DUMMYFUNCTION("""COMPUTED_VALUE"""),20.0)</f>
        <v>20</v>
      </c>
      <c r="G60" s="154"/>
      <c r="H60" s="155">
        <f>IFERROR(__xludf.DUMMYFUNCTION("""COMPUTED_VALUE"""),100.0)</f>
        <v>100</v>
      </c>
      <c r="I60" s="161">
        <f>IFERROR(__xludf.DUMMYFUNCTION("""COMPUTED_VALUE"""),0.0)</f>
        <v>0</v>
      </c>
      <c r="J60" s="157">
        <f>IFERROR(__xludf.DUMMYFUNCTION("""COMPUTED_VALUE"""),10.0)</f>
        <v>10</v>
      </c>
      <c r="K60" s="156"/>
      <c r="L60" s="160">
        <f>IFERROR(__xludf.DUMMYFUNCTION("""COMPUTED_VALUE"""),100.0)</f>
        <v>100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3">
        <f>IFERROR(__xludf.DUMMYFUNCTION("""COMPUTED_VALUE"""),45.0)</f>
        <v>45</v>
      </c>
      <c r="B61" s="52" t="str">
        <f>IFERROR(__xludf.DUMMYFUNCTION("""COMPUTED_VALUE"""),"RUBIO")</f>
        <v>RUBIO</v>
      </c>
      <c r="C61" s="53" t="str">
        <f>IFERROR(__xludf.DUMMYFUNCTION("""COMPUTED_VALUE"""),"HERNANDEZ")</f>
        <v>HERNANDEZ</v>
      </c>
      <c r="D61" s="54" t="str">
        <f>IFERROR(__xludf.DUMMYFUNCTION("""COMPUTED_VALUE"""),"MACIEL ALEJANDRA")</f>
        <v>MACIEL ALEJANDRA</v>
      </c>
      <c r="E61" s="154">
        <f>IFERROR(__xludf.DUMMYFUNCTION("""COMPUTED_VALUE"""),80.0)</f>
        <v>80</v>
      </c>
      <c r="F61" s="154">
        <f>IFERROR(__xludf.DUMMYFUNCTION("""COMPUTED_VALUE"""),20.0)</f>
        <v>20</v>
      </c>
      <c r="G61" s="154"/>
      <c r="H61" s="155">
        <f>IFERROR(__xludf.DUMMYFUNCTION("""COMPUTED_VALUE"""),100.0)</f>
        <v>100</v>
      </c>
      <c r="I61" s="161">
        <f>IFERROR(__xludf.DUMMYFUNCTION("""COMPUTED_VALUE"""),0.0)</f>
        <v>0</v>
      </c>
      <c r="J61" s="157">
        <f>IFERROR(__xludf.DUMMYFUNCTION("""COMPUTED_VALUE"""),10.0)</f>
        <v>10</v>
      </c>
      <c r="K61" s="156"/>
      <c r="L61" s="160">
        <f>IFERROR(__xludf.DUMMYFUNCTION("""COMPUTED_VALUE"""),100.0)</f>
        <v>100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3">
        <f>IFERROR(__xludf.DUMMYFUNCTION("""COMPUTED_VALUE"""),46.0)</f>
        <v>46</v>
      </c>
      <c r="B62" s="70" t="str">
        <f>IFERROR(__xludf.DUMMYFUNCTION("""COMPUTED_VALUE"""),"SANTANA")</f>
        <v>SANTANA</v>
      </c>
      <c r="C62" s="53" t="str">
        <f>IFERROR(__xludf.DUMMYFUNCTION("""COMPUTED_VALUE"""),"LARA")</f>
        <v>LARA</v>
      </c>
      <c r="D62" s="54" t="str">
        <f>IFERROR(__xludf.DUMMYFUNCTION("""COMPUTED_VALUE"""),"IRVING WILLIAM")</f>
        <v>IRVING WILLIAM</v>
      </c>
      <c r="E62" s="154">
        <f>IFERROR(__xludf.DUMMYFUNCTION("""COMPUTED_VALUE"""),70.0)</f>
        <v>70</v>
      </c>
      <c r="F62" s="154">
        <f>IFERROR(__xludf.DUMMYFUNCTION("""COMPUTED_VALUE"""),20.0)</f>
        <v>20</v>
      </c>
      <c r="G62" s="154"/>
      <c r="H62" s="155">
        <f>IFERROR(__xludf.DUMMYFUNCTION("""COMPUTED_VALUE"""),90.0)</f>
        <v>90</v>
      </c>
      <c r="I62" s="154">
        <f>IFERROR(__xludf.DUMMYFUNCTION("""COMPUTED_VALUE"""),0.0)</f>
        <v>0</v>
      </c>
      <c r="J62" s="157">
        <f>IFERROR(__xludf.DUMMYFUNCTION("""COMPUTED_VALUE"""),9.0)</f>
        <v>9</v>
      </c>
      <c r="K62" s="156"/>
      <c r="L62" s="160">
        <f>IFERROR(__xludf.DUMMYFUNCTION("""COMPUTED_VALUE"""),90.0)</f>
        <v>90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3">
        <f>IFERROR(__xludf.DUMMYFUNCTION("""COMPUTED_VALUE"""),47.0)</f>
        <v>47</v>
      </c>
      <c r="B63" s="70" t="str">
        <f>IFERROR(__xludf.DUMMYFUNCTION("""COMPUTED_VALUE"""),"SANTILLAN")</f>
        <v>SANTILLAN</v>
      </c>
      <c r="C63" s="53" t="str">
        <f>IFERROR(__xludf.DUMMYFUNCTION("""COMPUTED_VALUE"""),"GONZALEZ")</f>
        <v>GONZALEZ</v>
      </c>
      <c r="D63" s="54" t="str">
        <f>IFERROR(__xludf.DUMMYFUNCTION("""COMPUTED_VALUE"""),"JAZMIN")</f>
        <v>JAZMIN</v>
      </c>
      <c r="E63" s="154">
        <f>IFERROR(__xludf.DUMMYFUNCTION("""COMPUTED_VALUE"""),80.0)</f>
        <v>80</v>
      </c>
      <c r="F63" s="154">
        <f>IFERROR(__xludf.DUMMYFUNCTION("""COMPUTED_VALUE"""),20.0)</f>
        <v>20</v>
      </c>
      <c r="G63" s="154"/>
      <c r="H63" s="155">
        <f>IFERROR(__xludf.DUMMYFUNCTION("""COMPUTED_VALUE"""),100.0)</f>
        <v>100</v>
      </c>
      <c r="I63" s="154">
        <f>IFERROR(__xludf.DUMMYFUNCTION("""COMPUTED_VALUE"""),0.0)</f>
        <v>0</v>
      </c>
      <c r="J63" s="157">
        <f>IFERROR(__xludf.DUMMYFUNCTION("""COMPUTED_VALUE"""),10.0)</f>
        <v>10</v>
      </c>
      <c r="K63" s="156"/>
      <c r="L63" s="160">
        <f>IFERROR(__xludf.DUMMYFUNCTION("""COMPUTED_VALUE"""),100.0)</f>
        <v>100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53">
        <f>IFERROR(__xludf.DUMMYFUNCTION("""COMPUTED_VALUE"""),48.0)</f>
        <v>48</v>
      </c>
      <c r="B64" s="70" t="str">
        <f>IFERROR(__xludf.DUMMYFUNCTION("""COMPUTED_VALUE"""),"SUAREZ")</f>
        <v>SUAREZ</v>
      </c>
      <c r="C64" s="53" t="str">
        <f>IFERROR(__xludf.DUMMYFUNCTION("""COMPUTED_VALUE"""),"MUÑOZ")</f>
        <v>MUÑOZ</v>
      </c>
      <c r="D64" s="54" t="str">
        <f>IFERROR(__xludf.DUMMYFUNCTION("""COMPUTED_VALUE"""),"ALDO YAEL")</f>
        <v>ALDO YAEL</v>
      </c>
      <c r="E64" s="154">
        <f>IFERROR(__xludf.DUMMYFUNCTION("""COMPUTED_VALUE"""),80.0)</f>
        <v>80</v>
      </c>
      <c r="F64" s="154">
        <f>IFERROR(__xludf.DUMMYFUNCTION("""COMPUTED_VALUE"""),20.0)</f>
        <v>20</v>
      </c>
      <c r="G64" s="154"/>
      <c r="H64" s="155">
        <f>IFERROR(__xludf.DUMMYFUNCTION("""COMPUTED_VALUE"""),100.0)</f>
        <v>100</v>
      </c>
      <c r="I64" s="161">
        <f>IFERROR(__xludf.DUMMYFUNCTION("""COMPUTED_VALUE"""),0.0)</f>
        <v>0</v>
      </c>
      <c r="J64" s="157">
        <f>IFERROR(__xludf.DUMMYFUNCTION("""COMPUTED_VALUE"""),10.0)</f>
        <v>10</v>
      </c>
      <c r="K64" s="156"/>
      <c r="L64" s="160">
        <f>IFERROR(__xludf.DUMMYFUNCTION("""COMPUTED_VALUE"""),100.0)</f>
        <v>100</v>
      </c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53">
        <f>IFERROR(__xludf.DUMMYFUNCTION("""COMPUTED_VALUE"""),49.0)</f>
        <v>49</v>
      </c>
      <c r="B65" s="70" t="str">
        <f>IFERROR(__xludf.DUMMYFUNCTION("""COMPUTED_VALUE"""),"TORRES")</f>
        <v>TORRES</v>
      </c>
      <c r="C65" s="53" t="str">
        <f>IFERROR(__xludf.DUMMYFUNCTION("""COMPUTED_VALUE"""),"DE LEON")</f>
        <v>DE LEON</v>
      </c>
      <c r="D65" s="66" t="str">
        <f>IFERROR(__xludf.DUMMYFUNCTION("""COMPUTED_VALUE"""),"AMAIRANI")</f>
        <v>AMAIRANI</v>
      </c>
      <c r="E65" s="154">
        <f>IFERROR(__xludf.DUMMYFUNCTION("""COMPUTED_VALUE"""),80.0)</f>
        <v>80</v>
      </c>
      <c r="F65" s="154">
        <f>IFERROR(__xludf.DUMMYFUNCTION("""COMPUTED_VALUE"""),20.0)</f>
        <v>20</v>
      </c>
      <c r="G65" s="154"/>
      <c r="H65" s="155">
        <f>IFERROR(__xludf.DUMMYFUNCTION("""COMPUTED_VALUE"""),100.0)</f>
        <v>100</v>
      </c>
      <c r="I65" s="154">
        <f>IFERROR(__xludf.DUMMYFUNCTION("""COMPUTED_VALUE"""),0.0)</f>
        <v>0</v>
      </c>
      <c r="J65" s="157">
        <f>IFERROR(__xludf.DUMMYFUNCTION("""COMPUTED_VALUE"""),10.0)</f>
        <v>10</v>
      </c>
      <c r="K65" s="156"/>
      <c r="L65" s="160">
        <f>IFERROR(__xludf.DUMMYFUNCTION("""COMPUTED_VALUE"""),100.0)</f>
        <v>100</v>
      </c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53">
        <f>IFERROR(__xludf.DUMMYFUNCTION("""COMPUTED_VALUE"""),50.0)</f>
        <v>50</v>
      </c>
      <c r="B66" s="70" t="str">
        <f>IFERROR(__xludf.DUMMYFUNCTION("""COMPUTED_VALUE"""),"VALDEZ")</f>
        <v>VALDEZ</v>
      </c>
      <c r="C66" s="53" t="str">
        <f>IFERROR(__xludf.DUMMYFUNCTION("""COMPUTED_VALUE"""),"ROBLES")</f>
        <v>ROBLES</v>
      </c>
      <c r="D66" s="66" t="str">
        <f>IFERROR(__xludf.DUMMYFUNCTION("""COMPUTED_VALUE"""),"OSCAR YAEL")</f>
        <v>OSCAR YAEL</v>
      </c>
      <c r="E66" s="154">
        <f>IFERROR(__xludf.DUMMYFUNCTION("""COMPUTED_VALUE"""),70.0)</f>
        <v>70</v>
      </c>
      <c r="F66" s="154">
        <f>IFERROR(__xludf.DUMMYFUNCTION("""COMPUTED_VALUE"""),20.0)</f>
        <v>20</v>
      </c>
      <c r="G66" s="154"/>
      <c r="H66" s="155">
        <f>IFERROR(__xludf.DUMMYFUNCTION("""COMPUTED_VALUE"""),90.0)</f>
        <v>90</v>
      </c>
      <c r="I66" s="154">
        <f>IFERROR(__xludf.DUMMYFUNCTION("""COMPUTED_VALUE"""),0.0)</f>
        <v>0</v>
      </c>
      <c r="J66" s="157">
        <f>IFERROR(__xludf.DUMMYFUNCTION("""COMPUTED_VALUE"""),9.0)</f>
        <v>9</v>
      </c>
      <c r="K66" s="156"/>
      <c r="L66" s="160">
        <f>IFERROR(__xludf.DUMMYFUNCTION("""COMPUTED_VALUE"""),90.0)</f>
        <v>90</v>
      </c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53">
        <f>IFERROR(__xludf.DUMMYFUNCTION("""COMPUTED_VALUE"""),51.0)</f>
        <v>51</v>
      </c>
      <c r="B67" s="70" t="str">
        <f>IFERROR(__xludf.DUMMYFUNCTION("""COMPUTED_VALUE"""),"VARGAS")</f>
        <v>VARGAS</v>
      </c>
      <c r="C67" s="53" t="str">
        <f>IFERROR(__xludf.DUMMYFUNCTION("""COMPUTED_VALUE"""),"SANTOS")</f>
        <v>SANTOS</v>
      </c>
      <c r="D67" s="117" t="str">
        <f>IFERROR(__xludf.DUMMYFUNCTION("""COMPUTED_VALUE"""),"JATZIRI VANESSA")</f>
        <v>JATZIRI VANESSA</v>
      </c>
      <c r="E67" s="154">
        <f>IFERROR(__xludf.DUMMYFUNCTION("""COMPUTED_VALUE"""),80.0)</f>
        <v>80</v>
      </c>
      <c r="F67" s="154">
        <f>IFERROR(__xludf.DUMMYFUNCTION("""COMPUTED_VALUE"""),20.0)</f>
        <v>20</v>
      </c>
      <c r="G67" s="154"/>
      <c r="H67" s="155">
        <f>IFERROR(__xludf.DUMMYFUNCTION("""COMPUTED_VALUE"""),100.0)</f>
        <v>100</v>
      </c>
      <c r="I67" s="154">
        <f>IFERROR(__xludf.DUMMYFUNCTION("""COMPUTED_VALUE"""),0.0)</f>
        <v>0</v>
      </c>
      <c r="J67" s="157">
        <f>IFERROR(__xludf.DUMMYFUNCTION("""COMPUTED_VALUE"""),10.0)</f>
        <v>10</v>
      </c>
      <c r="K67" s="156"/>
      <c r="L67" s="160">
        <f>IFERROR(__xludf.DUMMYFUNCTION("""COMPUTED_VALUE"""),100.0)</f>
        <v>100</v>
      </c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53">
        <f>IFERROR(__xludf.DUMMYFUNCTION("""COMPUTED_VALUE"""),52.0)</f>
        <v>52</v>
      </c>
      <c r="B68" s="70" t="str">
        <f>IFERROR(__xludf.DUMMYFUNCTION("""COMPUTED_VALUE"""),"VELAZQUEZ")</f>
        <v>VELAZQUEZ</v>
      </c>
      <c r="C68" s="53" t="str">
        <f>IFERROR(__xludf.DUMMYFUNCTION("""COMPUTED_VALUE"""),"FIGUEROA")</f>
        <v>FIGUEROA</v>
      </c>
      <c r="D68" s="117" t="str">
        <f>IFERROR(__xludf.DUMMYFUNCTION("""COMPUTED_VALUE"""),"DANAE PAOLA")</f>
        <v>DANAE PAOLA</v>
      </c>
      <c r="E68" s="154">
        <f>IFERROR(__xludf.DUMMYFUNCTION("""COMPUTED_VALUE"""),80.0)</f>
        <v>80</v>
      </c>
      <c r="F68" s="154">
        <f>IFERROR(__xludf.DUMMYFUNCTION("""COMPUTED_VALUE"""),20.0)</f>
        <v>20</v>
      </c>
      <c r="G68" s="154"/>
      <c r="H68" s="155">
        <f>IFERROR(__xludf.DUMMYFUNCTION("""COMPUTED_VALUE"""),100.0)</f>
        <v>100</v>
      </c>
      <c r="I68" s="154">
        <f>IFERROR(__xludf.DUMMYFUNCTION("""COMPUTED_VALUE"""),0.0)</f>
        <v>0</v>
      </c>
      <c r="J68" s="157">
        <f>IFERROR(__xludf.DUMMYFUNCTION("""COMPUTED_VALUE"""),10.0)</f>
        <v>10</v>
      </c>
      <c r="K68" s="156"/>
      <c r="L68" s="160">
        <f>IFERROR(__xludf.DUMMYFUNCTION("""COMPUTED_VALUE"""),100.0)</f>
        <v>100</v>
      </c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24.75" customHeight="1">
      <c r="A69" s="153">
        <f>IFERROR(__xludf.DUMMYFUNCTION("""COMPUTED_VALUE"""),53.0)</f>
        <v>53</v>
      </c>
      <c r="B69" s="70" t="str">
        <f>IFERROR(__xludf.DUMMYFUNCTION("""COMPUTED_VALUE"""),"VENEGAS")</f>
        <v>VENEGAS</v>
      </c>
      <c r="C69" s="53" t="str">
        <f>IFERROR(__xludf.DUMMYFUNCTION("""COMPUTED_VALUE"""),"GONZALEZ")</f>
        <v>GONZALEZ</v>
      </c>
      <c r="D69" s="66" t="str">
        <f>IFERROR(__xludf.DUMMYFUNCTION("""COMPUTED_VALUE"""),"SANTIAGO")</f>
        <v>SANTIAGO</v>
      </c>
      <c r="E69" s="154">
        <f>IFERROR(__xludf.DUMMYFUNCTION("""COMPUTED_VALUE"""),80.0)</f>
        <v>80</v>
      </c>
      <c r="F69" s="154">
        <f>IFERROR(__xludf.DUMMYFUNCTION("""COMPUTED_VALUE"""),20.0)</f>
        <v>20</v>
      </c>
      <c r="G69" s="154"/>
      <c r="H69" s="155">
        <f>IFERROR(__xludf.DUMMYFUNCTION("""COMPUTED_VALUE"""),100.0)</f>
        <v>100</v>
      </c>
      <c r="I69" s="161">
        <f>IFERROR(__xludf.DUMMYFUNCTION("""COMPUTED_VALUE"""),0.0)</f>
        <v>0</v>
      </c>
      <c r="J69" s="157">
        <f>IFERROR(__xludf.DUMMYFUNCTION("""COMPUTED_VALUE"""),10.0)</f>
        <v>10</v>
      </c>
      <c r="K69" s="156"/>
      <c r="L69" s="160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4.75" customHeight="1">
      <c r="A70" s="153">
        <f>IFERROR(__xludf.DUMMYFUNCTION("""COMPUTED_VALUE"""),54.0)</f>
        <v>54</v>
      </c>
      <c r="B70" s="70" t="str">
        <f>IFERROR(__xludf.DUMMYFUNCTION("""COMPUTED_VALUE"""),"ZAMORA")</f>
        <v>ZAMORA</v>
      </c>
      <c r="C70" s="53" t="str">
        <f>IFERROR(__xludf.DUMMYFUNCTION("""COMPUTED_VALUE"""),"SEPULVEDA")</f>
        <v>SEPULVEDA</v>
      </c>
      <c r="D70" s="66" t="str">
        <f>IFERROR(__xludf.DUMMYFUNCTION("""COMPUTED_VALUE"""),"SEBASTIAN")</f>
        <v>SEBASTIAN</v>
      </c>
      <c r="E70" s="154">
        <f>IFERROR(__xludf.DUMMYFUNCTION("""COMPUTED_VALUE"""),80.0)</f>
        <v>80</v>
      </c>
      <c r="F70" s="154">
        <f>IFERROR(__xludf.DUMMYFUNCTION("""COMPUTED_VALUE"""),20.0)</f>
        <v>20</v>
      </c>
      <c r="G70" s="154"/>
      <c r="H70" s="155">
        <f>IFERROR(__xludf.DUMMYFUNCTION("""COMPUTED_VALUE"""),100.0)</f>
        <v>100</v>
      </c>
      <c r="I70" s="154">
        <f>IFERROR(__xludf.DUMMYFUNCTION("""COMPUTED_VALUE"""),0.0)</f>
        <v>0</v>
      </c>
      <c r="J70" s="157">
        <f>IFERROR(__xludf.DUMMYFUNCTION("""COMPUTED_VALUE"""),10.0)</f>
        <v>10</v>
      </c>
      <c r="K70" s="156"/>
      <c r="L70" s="162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21.75" customHeight="1">
      <c r="A71" s="163"/>
      <c r="B71" s="132"/>
      <c r="C71" s="132"/>
      <c r="D71" s="127"/>
      <c r="E71" s="127"/>
      <c r="F71" s="127"/>
      <c r="G71" s="127"/>
      <c r="H71" s="127"/>
      <c r="I71" s="127"/>
      <c r="J71" s="121"/>
      <c r="K71" s="128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64"/>
      <c r="B72" s="165" t="str">
        <f>IFERROR(__xludf.DUMMYFUNCTION("""COMPUTED_VALUE"""),"No. DE ALUMNOS INSCRITOS")</f>
        <v>No. DE ALUMNOS INSCRITOS</v>
      </c>
      <c r="C72" s="76"/>
      <c r="D72" s="166">
        <f>IFERROR(__xludf.DUMMYFUNCTION("""COMPUTED_VALUE"""),54.0)</f>
        <v>54</v>
      </c>
      <c r="E72" s="127"/>
      <c r="F72" s="167" t="str">
        <f>IFERROR(__xludf.DUMMYFUNCTION("""COMPUTED_VALUE"""),"FIRMA DEL PROFESOR")</f>
        <v>FIRMA DEL PROFESOR</v>
      </c>
      <c r="G72" s="127"/>
      <c r="H72" s="167" t="str">
        <f>IFERROR(__xludf.DUMMYFUNCTION("""COMPUTED_VALUE"""),"FIRMA DEL ORIENTADOR")</f>
        <v>FIRMA DEL ORIENTADOR</v>
      </c>
      <c r="J72" s="168" t="str">
        <f>IFERROR(__xludf.DUMMYFUNCTION("""COMPUTED_VALUE"""),"Vo. Bo. SUBDIRECCIÓN ESCOLAR")</f>
        <v>Vo. Bo. SUBDIRECCIÓN ESCOLAR</v>
      </c>
      <c r="K72" s="169" t="str">
        <f>IFERROR(__xludf.DUMMYFUNCTION("""COMPUTED_VALUE"""),"REVISADO POR SECRETARIA ESCOLAR ")</f>
        <v>REVISADO POR SECRETARIA ESCOLAR </v>
      </c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64"/>
      <c r="B73" s="170" t="str">
        <f>IFERROR(__xludf.DUMMYFUNCTION("""COMPUTED_VALUE"""),"BAJAS DURANTE EL SEMESTRE")</f>
        <v>BAJAS DURANTE EL SEMESTRE</v>
      </c>
      <c r="C73" s="83"/>
      <c r="D73" s="171">
        <f>IFERROR(__xludf.DUMMYFUNCTION("""COMPUTED_VALUE"""),0.0)</f>
        <v>0</v>
      </c>
      <c r="E73" s="127"/>
      <c r="G73" s="127"/>
      <c r="K73" s="10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64"/>
      <c r="B74" s="170" t="str">
        <f>IFERROR(__xludf.DUMMYFUNCTION("""COMPUTED_VALUE"""),"EXISTENCIA")</f>
        <v>EXISTENCIA</v>
      </c>
      <c r="C74" s="83"/>
      <c r="D74" s="172">
        <f>IFERROR(__xludf.DUMMYFUNCTION("""COMPUTED_VALUE"""),54.0)</f>
        <v>54</v>
      </c>
      <c r="E74" s="127"/>
      <c r="F74" s="127"/>
      <c r="G74" s="127"/>
      <c r="H74" s="127"/>
      <c r="I74" s="127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1.75" customHeight="1">
      <c r="A75" s="164"/>
      <c r="B75" s="170" t="str">
        <f>IFERROR(__xludf.DUMMYFUNCTION("""COMPUTED_VALUE"""),"No. DE ALUMNOS APROBADOS")</f>
        <v>No. DE ALUMNOS APROBADOS</v>
      </c>
      <c r="C75" s="83"/>
      <c r="D75" s="172">
        <f>IFERROR(__xludf.DUMMYFUNCTION("""COMPUTED_VALUE"""),54.0)</f>
        <v>54</v>
      </c>
      <c r="E75" s="127"/>
      <c r="F75" s="127"/>
      <c r="G75" s="127"/>
      <c r="H75" s="127"/>
      <c r="I75" s="127"/>
      <c r="J75" s="121"/>
      <c r="K75" s="128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7.75" customHeight="1">
      <c r="A76" s="164"/>
      <c r="B76" s="170" t="str">
        <f>IFERROR(__xludf.DUMMYFUNCTION("""COMPUTED_VALUE"""),"No. DE ALUMNOS REPROBADOS")</f>
        <v>No. DE ALUMNOS REPROBADOS</v>
      </c>
      <c r="C76" s="83"/>
      <c r="D76" s="172">
        <f>IFERROR(__xludf.DUMMYFUNCTION("""COMPUTED_VALUE"""),0.0)</f>
        <v>0</v>
      </c>
      <c r="E76" s="127"/>
      <c r="F76" s="173"/>
      <c r="G76" s="127"/>
      <c r="H76" s="173"/>
      <c r="I76" s="173"/>
      <c r="J76" s="174"/>
      <c r="K76" s="175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21.75" customHeight="1">
      <c r="A77" s="164"/>
      <c r="B77" s="176" t="str">
        <f>IFERROR(__xludf.DUMMYFUNCTION("""COMPUTED_VALUE"""),"% DE APROBADOS")</f>
        <v>% DE APROBADOS</v>
      </c>
      <c r="C77" s="83"/>
      <c r="D77" s="177">
        <f>IFERROR(__xludf.DUMMYFUNCTION("""COMPUTED_VALUE"""),100.0)</f>
        <v>100</v>
      </c>
      <c r="E77" s="127"/>
      <c r="F77" s="178" t="str">
        <f>IFERROR(__xludf.DUMMYFUNCTION("""COMPUTED_VALUE"""),"PROFR. MARLENE GARCÌA MONZALVO")</f>
        <v>PROFR. MARLENE GARCÌA MONZALVO</v>
      </c>
      <c r="G77" s="130"/>
      <c r="H77" s="96" t="str">
        <f>IFERROR(__xludf.DUMMYFUNCTION("""COMPUTED_VALUE"""),"PROFRA. SANDRA DIAZ CAMARENA")</f>
        <v>PROFRA. SANDRA DIAZ CAMARENA</v>
      </c>
      <c r="J77" s="179" t="str">
        <f>IFERROR(__xludf.DUMMYFUNCTION("""COMPUTED_VALUE"""),"PROFR. OCTAVIO VÁZQUEZ BARRETO")</f>
        <v>PROFR. OCTAVIO VÁZQUEZ BARRETO</v>
      </c>
      <c r="K77" s="180" t="str">
        <f>IFERROR(__xludf.DUMMYFUNCTION("""COMPUTED_VALUE"""),"PROFR. ROBERTO PALOMARES MEJÍA ")</f>
        <v>PROFR. ROBERTO PALOMARES MEJÍA </v>
      </c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13.5" customHeight="1">
      <c r="A78" s="121"/>
      <c r="B78" s="181" t="str">
        <f>IFERROR(__xludf.DUMMYFUNCTION("""COMPUTED_VALUE"""),"PROMEDIO")</f>
        <v>PROMEDIO</v>
      </c>
      <c r="C78" s="100"/>
      <c r="D78" s="182">
        <f>IFERROR(__xludf.DUMMYFUNCTION("""COMPUTED_VALUE"""),9.74074074074074)</f>
        <v>9.740740741</v>
      </c>
      <c r="E78" s="127"/>
      <c r="G78" s="130"/>
      <c r="K78" s="10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6"/>
      <c r="B79" s="121"/>
      <c r="C79" s="121"/>
      <c r="D79" s="121"/>
      <c r="E79" s="121"/>
      <c r="F79" s="121"/>
      <c r="G79" s="121"/>
      <c r="H79" s="121"/>
      <c r="I79" s="121"/>
      <c r="J79" s="121"/>
      <c r="K79" s="128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83"/>
      <c r="B80" s="184"/>
      <c r="C80" s="185"/>
      <c r="D80" s="185"/>
      <c r="E80" s="127"/>
      <c r="G80" s="127"/>
      <c r="H80" s="127"/>
      <c r="I80" s="127"/>
      <c r="J80" s="127"/>
      <c r="K80" s="186"/>
      <c r="L80" s="127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87"/>
      <c r="B81" s="127"/>
      <c r="C81" s="127"/>
      <c r="D81" s="127"/>
      <c r="E81" s="127"/>
      <c r="F81" s="121"/>
      <c r="G81" s="121"/>
      <c r="H81" s="121"/>
      <c r="I81" s="121"/>
      <c r="J81" s="121"/>
      <c r="K81" s="128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3.5" customHeight="1">
      <c r="A82" s="187"/>
      <c r="B82" s="127"/>
      <c r="C82" s="127"/>
      <c r="D82" s="127"/>
      <c r="E82" s="127"/>
      <c r="F82" s="121"/>
      <c r="G82" s="121"/>
      <c r="H82" s="121"/>
      <c r="I82" s="121"/>
      <c r="J82" s="121"/>
      <c r="K82" s="128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4.25" customHeight="1">
      <c r="A83" s="188"/>
      <c r="B83" s="189"/>
      <c r="C83" s="189"/>
      <c r="D83" s="189"/>
      <c r="E83" s="189"/>
      <c r="F83" s="190"/>
      <c r="G83" s="190"/>
      <c r="H83" s="190"/>
      <c r="I83" s="190"/>
      <c r="J83" s="190"/>
      <c r="K83" s="19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30"/>
      <c r="K84" s="130"/>
      <c r="L84" s="130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30"/>
      <c r="K85" s="130"/>
      <c r="L85" s="130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30"/>
      <c r="K86" s="130"/>
      <c r="L86" s="130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30"/>
      <c r="K87" s="130"/>
      <c r="L87" s="130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92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7"/>
      <c r="C89" s="127"/>
      <c r="D89" s="127"/>
      <c r="E89" s="127"/>
      <c r="F89" s="121"/>
      <c r="G89" s="121"/>
      <c r="H89" s="121"/>
      <c r="I89" s="121"/>
      <c r="J89" s="121"/>
      <c r="K89" s="192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7"/>
      <c r="C90" s="127"/>
      <c r="D90" s="127"/>
      <c r="E90" s="127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7"/>
      <c r="C91" s="127"/>
      <c r="D91" s="127"/>
      <c r="E91" s="127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7"/>
      <c r="C92" s="127"/>
      <c r="D92" s="127"/>
      <c r="E92" s="127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7"/>
      <c r="C93" s="127"/>
      <c r="D93" s="127"/>
      <c r="E93" s="127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4.25" customHeight="1">
      <c r="A94" s="121"/>
      <c r="B94" s="127"/>
      <c r="C94" s="127"/>
      <c r="D94" s="127"/>
      <c r="E94" s="127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3.5" customHeight="1">
      <c r="A95" s="121"/>
      <c r="B95" s="127"/>
      <c r="C95" s="127"/>
      <c r="D95" s="127"/>
      <c r="E95" s="127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"/>
    </row>
    <row r="277" ht="13.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</row>
    <row r="289" ht="15.75" customHeight="1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</row>
    <row r="290" ht="15.75" customHeight="1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</row>
    <row r="291" ht="15.75" customHeight="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</row>
    <row r="292" ht="15.75" customHeight="1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</row>
    <row r="293" ht="15.75" customHeight="1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</row>
    <row r="294" ht="15.75" customHeight="1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</row>
    <row r="295" ht="15.75" customHeight="1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</row>
    <row r="296" ht="15.75" customHeight="1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</row>
    <row r="297" ht="15.75" customHeight="1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</row>
    <row r="298" ht="15.75" customHeight="1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</row>
    <row r="299" ht="15.75" customHeight="1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</row>
    <row r="300" ht="15.75" customHeight="1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</row>
    <row r="301" ht="15.75" customHeight="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</row>
    <row r="302" ht="15.75" customHeight="1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</row>
    <row r="303" ht="15.75" customHeight="1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</row>
    <row r="304" ht="15.75" customHeight="1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</row>
    <row r="305" ht="15.75" customHeight="1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</row>
    <row r="306" ht="15.75" customHeight="1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</row>
    <row r="307" ht="15.75" customHeight="1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</row>
    <row r="308" ht="15.75" customHeight="1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</row>
    <row r="309" ht="15.75" customHeight="1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</row>
    <row r="310" ht="15.75" customHeight="1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</row>
    <row r="311" ht="15.75" customHeight="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</row>
    <row r="312" ht="15.75" customHeight="1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</row>
    <row r="313" ht="15.75" customHeight="1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</row>
    <row r="314" ht="15.75" customHeight="1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</row>
    <row r="315" ht="15.75" customHeight="1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</row>
    <row r="316" ht="15.75" customHeight="1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</row>
    <row r="317" ht="15.75" customHeight="1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</row>
    <row r="318" ht="15.75" customHeight="1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</row>
    <row r="319" ht="15.75" customHeight="1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</row>
    <row r="320" ht="15.75" customHeight="1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</row>
    <row r="321" ht="15.75" customHeight="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</row>
    <row r="322" ht="15.75" customHeight="1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</row>
    <row r="323" ht="15.75" customHeight="1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</row>
    <row r="324" ht="15.75" customHeight="1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</row>
    <row r="325" ht="15.75" customHeight="1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</row>
    <row r="326" ht="15.75" customHeight="1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</row>
    <row r="327" ht="15.75" customHeight="1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</row>
    <row r="328" ht="15.75" customHeight="1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</row>
    <row r="329" ht="15.75" customHeight="1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</row>
    <row r="330" ht="15.75" customHeight="1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</row>
    <row r="331" ht="15.75" customHeight="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</row>
    <row r="332" ht="15.75" customHeight="1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</row>
    <row r="333" ht="15.75" customHeight="1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</row>
    <row r="334" ht="15.75" customHeight="1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</row>
    <row r="335" ht="15.75" customHeight="1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</row>
    <row r="336" ht="15.75" customHeight="1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</row>
    <row r="337" ht="15.75" customHeight="1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</row>
    <row r="338" ht="15.75" customHeight="1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</row>
    <row r="339" ht="15.75" customHeight="1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</row>
    <row r="340" ht="15.75" customHeight="1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</row>
    <row r="341" ht="15.75" customHeight="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</row>
    <row r="342" ht="15.75" customHeight="1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</row>
    <row r="343" ht="15.75" customHeight="1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</row>
    <row r="344" ht="15.75" customHeight="1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</row>
    <row r="345" ht="15.75" customHeight="1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</row>
    <row r="346" ht="15.75" customHeight="1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</row>
    <row r="347" ht="15.75" customHeight="1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</row>
    <row r="348" ht="15.75" customHeight="1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</row>
    <row r="349" ht="15.75" customHeight="1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</row>
    <row r="350" ht="15.75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</row>
    <row r="351" ht="15.75" customHeight="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</row>
    <row r="352" ht="15.75" customHeight="1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</row>
    <row r="353" ht="15.75" customHeight="1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</row>
    <row r="354" ht="15.75" customHeight="1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</row>
    <row r="355" ht="15.75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</row>
    <row r="356" ht="15.75" customHeight="1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</row>
    <row r="357" ht="15.75" customHeight="1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</row>
    <row r="358" ht="15.75" customHeight="1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</row>
    <row r="359" ht="15.75" customHeight="1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</row>
    <row r="360" ht="15.75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</row>
    <row r="361" ht="15.75" customHeight="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</row>
    <row r="362" ht="15.75" customHeight="1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</row>
    <row r="363" ht="15.75" customHeight="1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</row>
    <row r="364" ht="15.75" customHeight="1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</row>
    <row r="365" ht="15.75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</row>
    <row r="366" ht="15.75" customHeight="1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</row>
    <row r="367" ht="15.75" customHeight="1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</row>
    <row r="368" ht="15.75" customHeight="1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</row>
    <row r="369" ht="15.75" customHeight="1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</row>
    <row r="370" ht="15.75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</row>
    <row r="371" ht="15.75" customHeight="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</row>
    <row r="372" ht="15.75" customHeight="1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</row>
    <row r="373" ht="15.75" customHeight="1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</row>
    <row r="374" ht="15.75" customHeight="1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</row>
    <row r="375" ht="15.75" customHeight="1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</row>
    <row r="376" ht="15.75" customHeight="1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</row>
    <row r="377" ht="15.75" customHeight="1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</row>
    <row r="378" ht="15.75" customHeight="1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</row>
    <row r="379" ht="15.75" customHeight="1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</row>
    <row r="380" ht="15.75" customHeight="1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</row>
    <row r="381" ht="15.75" customHeight="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</row>
    <row r="382" ht="15.75" customHeight="1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</row>
    <row r="383" ht="15.75" customHeight="1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</row>
    <row r="384" ht="15.75" customHeight="1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</row>
    <row r="385" ht="15.75" customHeight="1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</row>
    <row r="386" ht="15.75" customHeight="1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</row>
    <row r="387" ht="15.75" customHeight="1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</row>
    <row r="388" ht="15.75" customHeight="1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</row>
    <row r="389" ht="15.75" customHeight="1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</row>
    <row r="390" ht="15.75" customHeight="1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</row>
    <row r="391" ht="15.75" customHeight="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</row>
    <row r="392" ht="15.75" customHeight="1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</row>
    <row r="393" ht="15.75" customHeight="1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</row>
    <row r="394" ht="15.75" customHeight="1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</row>
    <row r="395" ht="15.75" customHeight="1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</row>
    <row r="396" ht="15.75" customHeight="1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</row>
    <row r="397" ht="15.75" customHeight="1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</row>
    <row r="398" ht="15.75" customHeight="1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</row>
    <row r="399" ht="15.75" customHeight="1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</row>
    <row r="400" ht="15.75" customHeight="1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</row>
    <row r="401" ht="15.75" customHeight="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</row>
    <row r="402" ht="15.75" customHeight="1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</row>
    <row r="403" ht="15.75" customHeight="1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</row>
    <row r="404" ht="15.75" customHeight="1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</row>
    <row r="405" ht="15.75" customHeight="1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</row>
    <row r="406" ht="15.75" customHeight="1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</row>
    <row r="407" ht="15.75" customHeight="1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</row>
    <row r="408" ht="15.75" customHeight="1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</row>
    <row r="409" ht="15.75" customHeight="1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</row>
    <row r="410" ht="15.75" customHeight="1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</row>
    <row r="411" ht="15.75" customHeight="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</row>
    <row r="412" ht="15.75" customHeight="1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</row>
    <row r="413" ht="15.75" customHeight="1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</row>
    <row r="414" ht="15.75" customHeight="1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</row>
    <row r="415" ht="15.75" customHeight="1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</row>
    <row r="416" ht="15.75" customHeight="1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</row>
    <row r="417" ht="15.75" customHeight="1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</row>
    <row r="418" ht="15.75" customHeight="1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</row>
    <row r="419" ht="15.75" customHeight="1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</row>
    <row r="420" ht="15.75" customHeight="1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</row>
    <row r="421" ht="15.75" customHeight="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</row>
    <row r="422" ht="15.75" customHeight="1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</row>
    <row r="423" ht="15.75" customHeight="1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</row>
    <row r="424" ht="15.75" customHeight="1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</row>
    <row r="425" ht="15.75" customHeight="1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</row>
    <row r="426" ht="15.75" customHeight="1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</row>
    <row r="427" ht="15.75" customHeight="1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</row>
    <row r="428" ht="15.75" customHeight="1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</row>
    <row r="429" ht="15.75" customHeight="1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</row>
    <row r="430" ht="15.75" customHeight="1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</row>
    <row r="431" ht="15.75" customHeight="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</row>
    <row r="432" ht="15.75" customHeight="1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</row>
    <row r="433" ht="15.75" customHeight="1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</row>
    <row r="434" ht="15.75" customHeight="1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</row>
    <row r="435" ht="15.75" customHeight="1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</row>
    <row r="436" ht="15.75" customHeight="1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</row>
    <row r="437" ht="15.75" customHeight="1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</row>
    <row r="438" ht="15.75" customHeight="1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</row>
    <row r="439" ht="15.75" customHeight="1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</row>
    <row r="440" ht="15.75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</row>
    <row r="441" ht="15.75" customHeight="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</row>
    <row r="442" ht="15.75" customHeight="1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</row>
    <row r="443" ht="15.75" customHeight="1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</row>
    <row r="444" ht="15.75" customHeight="1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</row>
    <row r="445" ht="15.75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</row>
    <row r="446" ht="15.75" customHeight="1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</row>
    <row r="447" ht="15.75" customHeight="1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</row>
    <row r="448" ht="15.75" customHeight="1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</row>
    <row r="449" ht="15.75" customHeight="1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</row>
    <row r="450" ht="15.75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</row>
    <row r="451" ht="15.75" customHeight="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</row>
    <row r="452" ht="15.75" customHeight="1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</row>
    <row r="453" ht="15.75" customHeight="1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</row>
    <row r="454" ht="15.75" customHeight="1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</row>
    <row r="455" ht="15.75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</row>
    <row r="456" ht="15.75" customHeight="1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</row>
    <row r="457" ht="15.75" customHeight="1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</row>
    <row r="458" ht="15.75" customHeight="1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</row>
    <row r="459" ht="15.75" customHeight="1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</row>
    <row r="460" ht="15.75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</row>
    <row r="461" ht="15.75" customHeight="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</row>
    <row r="462" ht="15.75" customHeight="1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</row>
    <row r="463" ht="15.75" customHeight="1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</row>
    <row r="464" ht="15.75" customHeight="1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</row>
    <row r="465" ht="15.75" customHeight="1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</row>
    <row r="466" ht="15.75" customHeight="1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</row>
    <row r="467" ht="15.75" customHeight="1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</row>
    <row r="468" ht="15.75" customHeight="1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</row>
    <row r="469" ht="15.75" customHeight="1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</row>
    <row r="470" ht="15.75" customHeight="1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</row>
    <row r="471" ht="15.75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</row>
    <row r="472" ht="15.75" customHeight="1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</row>
    <row r="473" ht="15.75" customHeight="1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</row>
    <row r="474" ht="15.75" customHeight="1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</row>
    <row r="475" ht="15.75" customHeight="1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</row>
    <row r="476" ht="15.75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</row>
    <row r="477" ht="15.75" customHeight="1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</row>
    <row r="478" ht="15.75" customHeight="1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</row>
    <row r="479" ht="15.75" customHeight="1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</row>
    <row r="480" ht="15.75" customHeight="1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</row>
    <row r="481" ht="15.75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</row>
    <row r="482" ht="15.75" customHeight="1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</row>
    <row r="483" ht="15.75" customHeight="1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</row>
    <row r="484" ht="15.75" customHeight="1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</row>
    <row r="485" ht="15.75" customHeight="1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</row>
    <row r="486" ht="15.75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</row>
    <row r="487" ht="15.75" customHeight="1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</row>
    <row r="488" ht="15.75" customHeight="1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</row>
    <row r="489" ht="15.75" customHeight="1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</row>
    <row r="490" ht="15.75" customHeight="1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</row>
    <row r="491" ht="15.75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</row>
    <row r="492" ht="15.75" customHeight="1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</row>
    <row r="493" ht="15.75" customHeight="1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</row>
    <row r="494" ht="15.75" customHeight="1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</row>
    <row r="495" ht="15.75" customHeight="1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</row>
    <row r="496" ht="15.75" customHeight="1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</row>
    <row r="497" ht="15.75" customHeight="1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</row>
    <row r="498" ht="15.75" customHeight="1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</row>
    <row r="499" ht="15.75" customHeight="1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</row>
    <row r="500" ht="15.75" customHeight="1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</row>
    <row r="501" ht="15.75" customHeight="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</row>
    <row r="502" ht="15.75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</row>
    <row r="503" ht="15.75" customHeight="1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</row>
    <row r="504" ht="15.75" customHeight="1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</row>
    <row r="505" ht="15.75" customHeight="1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</row>
    <row r="506" ht="15.75" customHeight="1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</row>
    <row r="507" ht="15.75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</row>
    <row r="508" ht="15.75" customHeight="1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</row>
    <row r="509" ht="15.75" customHeight="1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</row>
    <row r="510" ht="15.75" customHeight="1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</row>
    <row r="511" ht="15.75" customHeight="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</row>
    <row r="512" ht="15.75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</row>
    <row r="513" ht="15.75" customHeight="1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</row>
    <row r="514" ht="15.75" customHeight="1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</row>
    <row r="515" ht="15.75" customHeight="1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</row>
    <row r="516" ht="15.75" customHeight="1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</row>
    <row r="517" ht="15.75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</row>
    <row r="518" ht="15.75" customHeight="1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</row>
    <row r="519" ht="15.75" customHeight="1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</row>
    <row r="520" ht="15.75" customHeight="1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</row>
    <row r="521" ht="15.75" customHeight="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</row>
    <row r="522" ht="15.75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</row>
    <row r="523" ht="15.75" customHeight="1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</row>
    <row r="524" ht="15.75" customHeight="1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</row>
    <row r="525" ht="15.75" customHeight="1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</row>
    <row r="526" ht="15.75" customHeight="1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</row>
    <row r="527" ht="15.75" customHeight="1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</row>
    <row r="528" ht="15.75" customHeight="1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</row>
    <row r="529" ht="15.75" customHeight="1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</row>
    <row r="530" ht="15.75" customHeight="1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</row>
    <row r="531" ht="15.75" customHeight="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</row>
    <row r="532" ht="15.75" customHeight="1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</row>
    <row r="533" ht="15.75" customHeight="1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</row>
    <row r="534" ht="15.75" customHeight="1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</row>
    <row r="535" ht="15.75" customHeight="1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</row>
    <row r="536" ht="15.75" customHeight="1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</row>
    <row r="537" ht="15.75" customHeight="1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</row>
    <row r="538" ht="15.75" customHeight="1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</row>
    <row r="539" ht="15.75" customHeight="1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</row>
    <row r="540" ht="15.75" customHeight="1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</row>
    <row r="541" ht="15.75" customHeight="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</row>
    <row r="542" ht="15.75" customHeight="1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</row>
    <row r="543" ht="15.75" customHeight="1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</row>
    <row r="544" ht="15.75" customHeight="1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</row>
    <row r="545" ht="15.75" customHeight="1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</row>
    <row r="546" ht="15.75" customHeight="1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</row>
    <row r="547" ht="15.75" customHeight="1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</row>
    <row r="548" ht="15.75" customHeight="1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</row>
    <row r="549" ht="15.75" customHeight="1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</row>
    <row r="550" ht="15.75" customHeight="1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</row>
    <row r="551" ht="15.75" customHeight="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</row>
    <row r="552" ht="15.75" customHeight="1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</row>
    <row r="553" ht="15.75" customHeight="1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</row>
    <row r="554" ht="15.75" customHeight="1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</row>
    <row r="555" ht="15.75" customHeight="1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</row>
    <row r="556" ht="15.75" customHeight="1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</row>
    <row r="557" ht="15.75" customHeight="1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</row>
    <row r="558" ht="15.75" customHeight="1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</row>
    <row r="559" ht="15.75" customHeight="1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</row>
    <row r="560" ht="15.75" customHeight="1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</row>
    <row r="561" ht="15.75" customHeight="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</row>
    <row r="562" ht="15.75" customHeight="1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</row>
    <row r="563" ht="15.75" customHeight="1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</row>
    <row r="564" ht="15.75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</row>
    <row r="565" ht="15.75" customHeight="1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</row>
    <row r="566" ht="15.75" customHeight="1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</row>
    <row r="567" ht="15.75" customHeight="1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</row>
    <row r="568" ht="15.75" customHeight="1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</row>
    <row r="569" ht="15.75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</row>
    <row r="570" ht="15.75" customHeight="1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</row>
    <row r="571" ht="15.75" customHeight="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</row>
    <row r="572" ht="15.75" customHeight="1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</row>
    <row r="573" ht="15.75" customHeight="1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</row>
    <row r="574" ht="15.75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</row>
    <row r="575" ht="15.75" customHeight="1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</row>
    <row r="576" ht="15.75" customHeight="1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</row>
    <row r="577" ht="15.75" customHeight="1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</row>
    <row r="578" ht="15.75" customHeight="1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</row>
    <row r="579" ht="15.75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</row>
    <row r="580" ht="15.75" customHeight="1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</row>
    <row r="581" ht="15.75" customHeight="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</row>
    <row r="582" ht="15.75" customHeight="1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</row>
    <row r="583" ht="15.75" customHeight="1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</row>
    <row r="584" ht="15.75" customHeight="1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</row>
    <row r="585" ht="15.75" customHeight="1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</row>
    <row r="586" ht="15.75" customHeight="1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</row>
    <row r="587" ht="15.75" customHeight="1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</row>
    <row r="588" ht="15.75" customHeight="1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</row>
    <row r="589" ht="15.75" customHeight="1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</row>
    <row r="590" ht="15.75" customHeight="1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</row>
    <row r="591" ht="15.75" customHeight="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</row>
    <row r="592" ht="15.75" customHeight="1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</row>
    <row r="593" ht="15.75" customHeight="1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</row>
    <row r="594" ht="15.75" customHeight="1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</row>
    <row r="595" ht="15.75" customHeight="1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</row>
    <row r="596" ht="15.75" customHeight="1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</row>
    <row r="597" ht="15.75" customHeight="1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</row>
    <row r="598" ht="15.75" customHeight="1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</row>
    <row r="599" ht="15.75" customHeight="1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</row>
    <row r="600" ht="15.75" customHeight="1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</row>
    <row r="601" ht="15.75" customHeight="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</row>
    <row r="602" ht="15.75" customHeight="1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</row>
    <row r="603" ht="15.75" customHeight="1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</row>
    <row r="604" ht="15.75" customHeight="1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</row>
    <row r="605" ht="15.75" customHeight="1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</row>
    <row r="606" ht="15.75" customHeight="1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</row>
    <row r="607" ht="15.75" customHeight="1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</row>
    <row r="608" ht="15.75" customHeight="1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</row>
    <row r="609" ht="15.75" customHeight="1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</row>
    <row r="610" ht="15.75" customHeight="1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</row>
    <row r="611" ht="15.75" customHeight="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</row>
    <row r="612" ht="15.75" customHeight="1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</row>
    <row r="613" ht="15.75" customHeight="1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</row>
    <row r="614" ht="15.75" customHeight="1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</row>
    <row r="615" ht="15.75" customHeight="1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</row>
    <row r="616" ht="15.75" customHeight="1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</row>
    <row r="617" ht="15.75" customHeight="1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</row>
    <row r="618" ht="15.75" customHeight="1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</row>
    <row r="619" ht="15.75" customHeight="1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</row>
    <row r="620" ht="15.75" customHeight="1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</row>
    <row r="621" ht="15.75" customHeight="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</row>
    <row r="622" ht="15.75" customHeight="1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</row>
    <row r="623" ht="15.75" customHeight="1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</row>
    <row r="624" ht="15.75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</row>
    <row r="625" ht="15.75" customHeight="1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</row>
    <row r="626" ht="15.75" customHeight="1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</row>
    <row r="627" ht="15.75" customHeight="1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</row>
    <row r="628" ht="15.75" customHeight="1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</row>
    <row r="629" ht="15.75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</row>
    <row r="630" ht="15.75" customHeight="1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</row>
    <row r="631" ht="15.75" customHeight="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</row>
    <row r="632" ht="15.75" customHeight="1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</row>
    <row r="633" ht="15.75" customHeight="1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</row>
    <row r="634" ht="15.75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</row>
    <row r="635" ht="15.75" customHeight="1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</row>
    <row r="636" ht="15.75" customHeight="1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</row>
    <row r="637" ht="15.75" customHeight="1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</row>
    <row r="638" ht="15.75" customHeight="1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</row>
    <row r="639" ht="15.75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</row>
    <row r="640" ht="15.75" customHeight="1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</row>
    <row r="641" ht="15.75" customHeight="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</row>
    <row r="642" ht="15.75" customHeight="1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</row>
    <row r="643" ht="15.75" customHeight="1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</row>
    <row r="644" ht="15.75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</row>
    <row r="645" ht="15.75" customHeight="1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</row>
    <row r="646" ht="15.75" customHeight="1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</row>
    <row r="647" ht="15.75" customHeight="1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</row>
    <row r="648" ht="15.75" customHeight="1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</row>
    <row r="649" ht="15.75" customHeight="1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</row>
    <row r="650" ht="15.75" customHeight="1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</row>
    <row r="651" ht="15.75" customHeight="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</row>
    <row r="652" ht="15.75" customHeight="1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</row>
    <row r="653" ht="15.75" customHeight="1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</row>
    <row r="654" ht="15.75" customHeight="1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</row>
    <row r="655" ht="15.75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</row>
    <row r="656" ht="15.75" customHeight="1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</row>
    <row r="657" ht="15.75" customHeight="1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</row>
    <row r="658" ht="15.75" customHeight="1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</row>
    <row r="659" ht="15.75" customHeight="1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</row>
    <row r="660" ht="15.75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</row>
    <row r="661" ht="15.75" customHeight="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</row>
    <row r="662" ht="15.75" customHeight="1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</row>
    <row r="663" ht="15.75" customHeight="1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</row>
    <row r="664" ht="15.75" customHeight="1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</row>
    <row r="665" ht="15.75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</row>
    <row r="666" ht="15.75" customHeight="1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</row>
    <row r="667" ht="15.75" customHeight="1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</row>
    <row r="668" ht="15.75" customHeight="1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</row>
    <row r="669" ht="15.75" customHeight="1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</row>
    <row r="670" ht="15.75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</row>
    <row r="671" ht="15.75" customHeight="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</row>
    <row r="672" ht="15.75" customHeight="1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</row>
    <row r="673" ht="15.75" customHeight="1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</row>
    <row r="674" ht="15.75" customHeight="1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</row>
    <row r="675" ht="15.75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</row>
    <row r="676" ht="15.75" customHeight="1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</row>
    <row r="677" ht="15.75" customHeight="1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</row>
    <row r="678" ht="15.75" customHeight="1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</row>
    <row r="679" ht="15.75" customHeight="1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</row>
    <row r="680" ht="15.75" customHeight="1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</row>
    <row r="681" ht="15.75" customHeight="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</row>
    <row r="682" ht="15.75" customHeight="1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</row>
    <row r="683" ht="15.75" customHeight="1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</row>
    <row r="684" ht="15.75" customHeight="1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</row>
    <row r="685" ht="15.75" customHeight="1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</row>
    <row r="686" ht="15.75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</row>
    <row r="687" ht="15.75" customHeight="1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</row>
    <row r="688" ht="15.75" customHeight="1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</row>
    <row r="689" ht="15.75" customHeight="1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</row>
    <row r="690" ht="15.75" customHeight="1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</row>
    <row r="691" ht="15.75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</row>
    <row r="692" ht="15.75" customHeight="1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</row>
    <row r="693" ht="15.75" customHeight="1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</row>
    <row r="694" ht="15.75" customHeight="1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</row>
    <row r="695" ht="15.75" customHeight="1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</row>
    <row r="696" ht="15.75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</row>
    <row r="697" ht="15.75" customHeight="1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</row>
    <row r="698" ht="15.75" customHeight="1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</row>
    <row r="699" ht="15.75" customHeight="1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</row>
    <row r="700" ht="15.75" customHeight="1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</row>
    <row r="701" ht="15.75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</row>
    <row r="702" ht="15.75" customHeight="1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</row>
    <row r="703" ht="15.75" customHeight="1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</row>
    <row r="704" ht="15.75" customHeight="1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</row>
    <row r="705" ht="15.75" customHeight="1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</row>
    <row r="706" ht="15.75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</row>
    <row r="707" ht="15.75" customHeight="1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</row>
    <row r="708" ht="15.75" customHeight="1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</row>
    <row r="709" ht="15.75" customHeight="1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</row>
    <row r="710" ht="15.75" customHeight="1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</row>
    <row r="711" ht="15.75" customHeight="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</row>
    <row r="712" ht="15.75" customHeight="1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</row>
    <row r="713" ht="15.75" customHeight="1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</row>
    <row r="714" ht="15.75" customHeight="1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</row>
    <row r="715" ht="15.75" customHeight="1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</row>
    <row r="716" ht="15.75" customHeight="1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</row>
    <row r="717" ht="15.75" customHeight="1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</row>
    <row r="718" ht="15.75" customHeight="1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</row>
    <row r="719" ht="15.75" customHeight="1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</row>
    <row r="720" ht="15.75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</row>
    <row r="721" ht="15.75" customHeight="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</row>
    <row r="722" ht="15.75" customHeight="1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</row>
    <row r="723" ht="15.75" customHeight="1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</row>
    <row r="724" ht="15.75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</row>
    <row r="725" ht="15.75" customHeight="1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</row>
    <row r="726" ht="15.75" customHeight="1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</row>
    <row r="727" ht="15.75" customHeight="1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</row>
    <row r="728" ht="15.75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</row>
    <row r="729" ht="15.75" customHeight="1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</row>
    <row r="730" ht="15.75" customHeight="1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</row>
    <row r="731" ht="15.75" customHeight="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</row>
    <row r="732" ht="15.75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</row>
    <row r="733" ht="15.75" customHeight="1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</row>
    <row r="734" ht="15.75" customHeight="1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</row>
    <row r="735" ht="15.75" customHeight="1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</row>
    <row r="736" ht="15.75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</row>
    <row r="737" ht="15.75" customHeight="1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</row>
    <row r="738" ht="15.75" customHeight="1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</row>
    <row r="739" ht="15.75" customHeight="1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</row>
    <row r="740" ht="15.75" customHeight="1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</row>
    <row r="741" ht="15.75" customHeight="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</row>
    <row r="742" ht="15.75" customHeight="1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</row>
    <row r="743" ht="15.75" customHeight="1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</row>
    <row r="744" ht="15.75" customHeight="1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</row>
    <row r="745" ht="15.75" customHeight="1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</row>
    <row r="746" ht="15.75" customHeight="1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</row>
    <row r="747" ht="15.75" customHeight="1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</row>
    <row r="748" ht="15.75" customHeight="1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</row>
    <row r="749" ht="15.75" customHeight="1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</row>
    <row r="750" ht="15.75" customHeight="1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</row>
    <row r="751" ht="15.75" customHeight="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</row>
    <row r="752" ht="15.75" customHeight="1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</row>
    <row r="753" ht="15.75" customHeight="1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</row>
    <row r="754" ht="15.75" customHeight="1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</row>
    <row r="755" ht="15.75" customHeight="1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</row>
    <row r="756" ht="15.75" customHeight="1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</row>
    <row r="757" ht="15.75" customHeight="1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</row>
    <row r="758" ht="15.75" customHeight="1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</row>
    <row r="759" ht="15.75" customHeight="1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</row>
    <row r="760" ht="15.75" customHeight="1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</row>
    <row r="761" ht="15.75" customHeight="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</row>
    <row r="762" ht="15.75" customHeight="1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</row>
    <row r="763" ht="15.75" customHeight="1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</row>
    <row r="764" ht="15.75" customHeight="1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</row>
    <row r="765" ht="15.75" customHeight="1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</row>
    <row r="766" ht="15.75" customHeight="1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</row>
    <row r="767" ht="15.75" customHeight="1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</row>
    <row r="768" ht="15.75" customHeight="1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</row>
    <row r="769" ht="15.75" customHeight="1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</row>
    <row r="770" ht="15.75" customHeight="1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</row>
    <row r="771" ht="15.75" customHeight="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</row>
    <row r="772" ht="15.75" customHeight="1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</row>
    <row r="773" ht="15.75" customHeight="1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</row>
    <row r="774" ht="15.75" customHeight="1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</row>
    <row r="775" ht="15.75" customHeight="1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</row>
    <row r="776" ht="15.75" customHeight="1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</row>
    <row r="777" ht="15.75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</row>
    <row r="778" ht="15.75" customHeight="1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</row>
    <row r="779" ht="15.75" customHeight="1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</row>
    <row r="780" ht="15.75" customHeight="1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</row>
    <row r="781" ht="15.75" customHeight="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</row>
    <row r="782" ht="15.75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</row>
    <row r="783" ht="15.75" customHeight="1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</row>
    <row r="784" ht="15.75" customHeight="1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</row>
    <row r="785" ht="15.75" customHeight="1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</row>
    <row r="786" ht="15.75" customHeight="1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</row>
    <row r="787" ht="15.75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</row>
    <row r="788" ht="15.75" customHeight="1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</row>
    <row r="789" ht="15.75" customHeight="1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</row>
    <row r="790" ht="15.75" customHeight="1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</row>
    <row r="791" ht="15.75" customHeight="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</row>
    <row r="792" ht="15.75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</row>
    <row r="793" ht="15.75" customHeight="1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</row>
    <row r="794" ht="15.75" customHeight="1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</row>
    <row r="795" ht="15.75" customHeight="1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</row>
    <row r="796" ht="15.75" customHeight="1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</row>
    <row r="797" ht="15.75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</row>
    <row r="798" ht="15.75" customHeight="1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</row>
    <row r="799" ht="15.75" customHeight="1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</row>
    <row r="800" ht="15.75" customHeight="1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</row>
    <row r="801" ht="15.75" customHeight="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</row>
    <row r="802" ht="15.75" customHeight="1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</row>
    <row r="803" ht="15.75" customHeight="1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</row>
    <row r="804" ht="15.75" customHeight="1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</row>
    <row r="805" ht="15.75" customHeight="1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</row>
    <row r="806" ht="15.75" customHeight="1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</row>
    <row r="807" ht="15.75" customHeight="1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</row>
    <row r="808" ht="15.75" customHeight="1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</row>
    <row r="809" ht="15.75" customHeight="1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</row>
    <row r="810" ht="15.75" customHeight="1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</row>
    <row r="811" ht="15.75" customHeight="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</row>
    <row r="812" ht="15.75" customHeight="1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</row>
    <row r="813" ht="15.75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</row>
    <row r="814" ht="15.75" customHeight="1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</row>
    <row r="815" ht="15.75" customHeight="1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</row>
    <row r="816" ht="15.75" customHeight="1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</row>
    <row r="817" ht="15.75" customHeight="1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</row>
    <row r="818" ht="15.75" customHeight="1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</row>
    <row r="819" ht="15.75" customHeight="1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</row>
    <row r="820" ht="15.75" customHeight="1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</row>
    <row r="821" ht="15.75" customHeight="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</row>
    <row r="822" ht="15.75" customHeight="1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</row>
    <row r="823" ht="15.75" customHeight="1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</row>
    <row r="824" ht="15.75" customHeight="1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</row>
    <row r="825" ht="15.75" customHeight="1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</row>
    <row r="826" ht="15.75" customHeight="1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</row>
    <row r="827" ht="15.75" customHeight="1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</row>
    <row r="828" ht="15.75" customHeight="1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</row>
    <row r="829" ht="15.75" customHeight="1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</row>
    <row r="830" ht="15.75" customHeight="1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</row>
    <row r="831" ht="15.75" customHeight="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</row>
    <row r="832" ht="15.75" customHeight="1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</row>
    <row r="833" ht="15.75" customHeight="1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</row>
    <row r="834" ht="15.75" customHeight="1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</row>
    <row r="835" ht="15.75" customHeight="1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</row>
    <row r="836" ht="15.75" customHeight="1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</row>
    <row r="837" ht="15.75" customHeight="1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</row>
    <row r="838" ht="15.75" customHeight="1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</row>
    <row r="839" ht="15.75" customHeight="1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</row>
    <row r="840" ht="15.75" customHeight="1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</row>
    <row r="841" ht="15.75" customHeight="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</row>
    <row r="842" ht="15.75" customHeight="1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</row>
    <row r="843" ht="15.75" customHeight="1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</row>
    <row r="844" ht="15.75" customHeight="1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</row>
    <row r="845" ht="15.75" customHeight="1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</row>
    <row r="846" ht="15.75" customHeight="1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</row>
    <row r="847" ht="15.75" customHeight="1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</row>
    <row r="848" ht="15.75" customHeight="1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</row>
    <row r="849" ht="15.75" customHeight="1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</row>
    <row r="850" ht="15.75" customHeight="1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</row>
    <row r="851" ht="15.75" customHeight="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</row>
    <row r="852" ht="15.75" customHeight="1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</row>
    <row r="853" ht="15.75" customHeight="1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</row>
    <row r="854" ht="15.75" customHeight="1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</row>
    <row r="855" ht="15.75" customHeight="1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</row>
    <row r="856" ht="15.75" customHeight="1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</row>
    <row r="857" ht="15.75" customHeight="1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</row>
    <row r="858" ht="15.75" customHeight="1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</row>
    <row r="859" ht="15.75" customHeight="1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</row>
    <row r="860" ht="15.75" customHeight="1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</row>
    <row r="861" ht="15.75" customHeight="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</row>
    <row r="862" ht="15.75" customHeight="1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</row>
    <row r="863" ht="15.75" customHeight="1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</row>
    <row r="864" ht="15.75" customHeight="1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</row>
    <row r="865" ht="15.75" customHeight="1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</row>
    <row r="866" ht="15.75" customHeight="1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</row>
    <row r="867" ht="15.75" customHeight="1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</row>
    <row r="868" ht="15.75" customHeight="1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</row>
    <row r="869" ht="15.75" customHeight="1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</row>
    <row r="870" ht="15.75" customHeight="1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</row>
    <row r="871" ht="15.75" customHeight="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</row>
    <row r="872" ht="15.75" customHeight="1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</row>
    <row r="873" ht="15.75" customHeight="1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</row>
    <row r="874" ht="15.75" customHeight="1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</row>
    <row r="875" ht="15.75" customHeight="1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</row>
    <row r="876" ht="15.75" customHeight="1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</row>
    <row r="877" ht="15.75" customHeight="1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</row>
    <row r="878" ht="15.75" customHeight="1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</row>
    <row r="879" ht="15.75" customHeight="1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</row>
    <row r="880" ht="15.75" customHeight="1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</row>
    <row r="881" ht="15.75" customHeight="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</row>
    <row r="882" ht="15.75" customHeight="1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</row>
    <row r="883" ht="15.75" customHeight="1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</row>
    <row r="884" ht="15.75" customHeight="1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</row>
    <row r="885" ht="15.75" customHeight="1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</row>
    <row r="886" ht="15.75" customHeight="1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</row>
    <row r="887" ht="15.75" customHeight="1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</row>
    <row r="888" ht="15.75" customHeight="1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</row>
    <row r="889" ht="15.75" customHeight="1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</row>
    <row r="890" ht="15.75" customHeight="1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</row>
    <row r="891" ht="15.75" customHeight="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</row>
    <row r="892" ht="15.75" customHeight="1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</row>
    <row r="893" ht="15.75" customHeight="1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</row>
    <row r="894" ht="15.75" customHeight="1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</row>
    <row r="895" ht="15.75" customHeight="1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</row>
    <row r="896" ht="15.75" customHeight="1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</row>
    <row r="897" ht="15.75" customHeight="1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</row>
    <row r="898" ht="15.75" customHeight="1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</row>
    <row r="899" ht="15.75" customHeight="1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</row>
    <row r="900" ht="15.75" customHeight="1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</row>
    <row r="901" ht="15.75" customHeight="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</row>
    <row r="902" ht="15.75" customHeight="1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</row>
    <row r="903" ht="15.75" customHeight="1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</row>
    <row r="904" ht="15.75" customHeight="1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</row>
    <row r="905" ht="15.75" customHeight="1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</row>
    <row r="906" ht="15.75" customHeight="1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</row>
    <row r="907" ht="15.75" customHeight="1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</row>
    <row r="908" ht="15.75" customHeight="1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</row>
    <row r="909" ht="15.75" customHeight="1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</row>
    <row r="910" ht="15.75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</row>
    <row r="911" ht="15.75" customHeight="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</row>
    <row r="912" ht="15.75" customHeight="1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</row>
    <row r="913" ht="15.75" customHeight="1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</row>
    <row r="914" ht="15.75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</row>
    <row r="915" ht="15.75" customHeight="1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</row>
    <row r="916" ht="15.75" customHeight="1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</row>
    <row r="917" ht="15.75" customHeight="1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</row>
    <row r="918" ht="15.75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</row>
    <row r="919" ht="15.75" customHeight="1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</row>
    <row r="920" ht="15.75" customHeight="1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</row>
    <row r="921" ht="15.75" customHeight="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</row>
    <row r="922" ht="15.75" customHeight="1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</row>
    <row r="923" ht="15.75" customHeight="1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</row>
    <row r="924" ht="15.75" customHeight="1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</row>
    <row r="925" ht="15.75" customHeight="1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</row>
    <row r="926" ht="15.75" customHeight="1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</row>
    <row r="927" ht="15.75" customHeight="1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</row>
    <row r="928" ht="15.75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</row>
    <row r="929" ht="15.75" customHeight="1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</row>
    <row r="930" ht="15.75" customHeight="1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</row>
    <row r="931" ht="15.75" customHeight="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</row>
    <row r="932" ht="15.75" customHeight="1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</row>
    <row r="933" ht="15.75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</row>
    <row r="934" ht="15.75" customHeight="1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</row>
    <row r="935" ht="15.75" customHeight="1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</row>
    <row r="936" ht="15.75" customHeight="1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</row>
    <row r="937" ht="15.75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</row>
    <row r="938" ht="15.75" customHeight="1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</row>
    <row r="939" ht="15.75" customHeight="1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</row>
    <row r="940" ht="15.75" customHeight="1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</row>
    <row r="941" ht="15.75" customHeight="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</row>
    <row r="942" ht="15.75" customHeight="1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</row>
    <row r="943" ht="15.75" customHeight="1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</row>
    <row r="944" ht="15.75" customHeight="1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</row>
    <row r="945" ht="15.75" customHeight="1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</row>
    <row r="946" ht="15.75" customHeight="1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</row>
    <row r="947" ht="15.75" customHeight="1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</row>
    <row r="948" ht="15.75" customHeight="1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</row>
    <row r="949" ht="15.75" customHeight="1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</row>
    <row r="950" ht="15.75" customHeight="1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</row>
    <row r="951" ht="15.75" customHeight="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</row>
    <row r="952" ht="15.75" customHeight="1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</row>
    <row r="953" ht="15.75" customHeight="1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</row>
    <row r="954" ht="15.75" customHeight="1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</row>
    <row r="955" ht="15.75" customHeight="1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</row>
    <row r="956" ht="15.75" customHeight="1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</row>
    <row r="957" ht="15.75" customHeight="1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</row>
    <row r="958" ht="15.75" customHeight="1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</row>
    <row r="959" ht="15.75" customHeight="1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</row>
    <row r="960" ht="15.75" customHeight="1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</row>
    <row r="961" ht="15.75" customHeight="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</row>
    <row r="962" ht="15.75" customHeight="1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</row>
    <row r="963" ht="15.75" customHeight="1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</row>
    <row r="964" ht="15.75" customHeight="1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</row>
    <row r="965" ht="15.75" customHeight="1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</row>
    <row r="966" ht="15.75" customHeight="1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</row>
    <row r="967" ht="15.75" customHeight="1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</row>
    <row r="968" ht="15.75" customHeight="1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</row>
    <row r="969" ht="15.75" customHeight="1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</row>
    <row r="970" ht="15.75" customHeight="1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</row>
    <row r="971" ht="15.75" customHeight="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</row>
    <row r="972" ht="15.75" customHeight="1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</row>
    <row r="973" ht="15.75" customHeight="1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</row>
    <row r="974" ht="15.75" customHeight="1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</row>
    <row r="975" ht="15.75" customHeight="1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</row>
    <row r="976" ht="15.75" customHeight="1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</row>
    <row r="977" ht="15.75" customHeight="1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</row>
    <row r="978" ht="15.75" customHeight="1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</row>
    <row r="979" ht="15.75" customHeight="1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</row>
    <row r="980" ht="15.75" customHeight="1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</row>
    <row r="981" ht="15.75" customHeight="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</row>
    <row r="982" ht="15.75" customHeight="1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</row>
    <row r="983" ht="15.75" customHeight="1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</row>
    <row r="984" ht="15.75" customHeight="1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</row>
    <row r="985" ht="15.75" customHeight="1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</row>
    <row r="986" ht="15.75" customHeight="1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</row>
    <row r="987" ht="15.75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</row>
    <row r="988" ht="15.75" customHeight="1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</row>
    <row r="989" ht="15.75" customHeight="1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</row>
    <row r="990" ht="15.75" customHeight="1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</row>
    <row r="991" ht="15.75" customHeight="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</row>
    <row r="992" ht="15.75" customHeight="1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</row>
    <row r="993" ht="15.75" customHeight="1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</row>
    <row r="994" ht="15.75" customHeight="1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</row>
    <row r="995" ht="15.75" customHeight="1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</row>
    <row r="996" ht="15.75" customHeight="1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</row>
    <row r="997" ht="15.75" customHeight="1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</row>
    <row r="998" ht="15.75" customHeight="1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</row>
    <row r="999" ht="15.75" customHeight="1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</row>
    <row r="1000" ht="15.75" customHeight="1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</row>
    <row r="1001" ht="15.75" customHeight="1">
      <c r="A1001" s="164"/>
      <c r="B1001" s="164"/>
      <c r="C1001" s="164"/>
      <c r="D1001" s="164"/>
      <c r="E1001" s="164"/>
      <c r="F1001" s="164"/>
      <c r="G1001" s="164"/>
      <c r="H1001" s="164"/>
      <c r="I1001" s="164"/>
      <c r="J1001" s="164"/>
      <c r="K1001" s="164"/>
      <c r="L1001" s="164"/>
      <c r="M1001" s="164"/>
      <c r="N1001" s="164"/>
      <c r="O1001" s="164"/>
      <c r="P1001" s="164"/>
      <c r="Q1001" s="164"/>
      <c r="R1001" s="164"/>
      <c r="S1001" s="164"/>
      <c r="T1001" s="164"/>
      <c r="U1001" s="164"/>
      <c r="V1001" s="164"/>
      <c r="W1001" s="164"/>
      <c r="X1001" s="164"/>
      <c r="Y1001" s="164"/>
    </row>
    <row r="1002" ht="15.75" customHeight="1">
      <c r="A1002" s="164"/>
      <c r="B1002" s="164"/>
      <c r="C1002" s="164"/>
      <c r="D1002" s="164"/>
      <c r="E1002" s="164"/>
      <c r="F1002" s="164"/>
      <c r="G1002" s="164"/>
      <c r="H1002" s="164"/>
      <c r="I1002" s="164"/>
      <c r="J1002" s="164"/>
      <c r="K1002" s="164"/>
      <c r="L1002" s="164"/>
      <c r="M1002" s="164"/>
      <c r="N1002" s="164"/>
      <c r="O1002" s="164"/>
      <c r="P1002" s="164"/>
      <c r="Q1002" s="164"/>
      <c r="R1002" s="164"/>
      <c r="S1002" s="164"/>
      <c r="T1002" s="164"/>
      <c r="U1002" s="164"/>
      <c r="V1002" s="164"/>
      <c r="W1002" s="164"/>
      <c r="X1002" s="164"/>
      <c r="Y1002" s="164"/>
    </row>
    <row r="1003" ht="15.75" customHeight="1">
      <c r="A1003" s="164"/>
      <c r="B1003" s="164"/>
      <c r="C1003" s="164"/>
      <c r="D1003" s="164"/>
      <c r="E1003" s="164"/>
      <c r="F1003" s="164"/>
      <c r="G1003" s="164"/>
      <c r="H1003" s="164"/>
      <c r="I1003" s="164"/>
      <c r="J1003" s="164"/>
      <c r="K1003" s="164"/>
      <c r="L1003" s="164"/>
      <c r="M1003" s="164"/>
      <c r="N1003" s="164"/>
      <c r="O1003" s="164"/>
      <c r="P1003" s="164"/>
      <c r="Q1003" s="164"/>
      <c r="R1003" s="164"/>
      <c r="S1003" s="164"/>
      <c r="T1003" s="164"/>
      <c r="U1003" s="164"/>
      <c r="V1003" s="164"/>
      <c r="W1003" s="164"/>
      <c r="X1003" s="164"/>
      <c r="Y1003" s="164"/>
    </row>
    <row r="1004" ht="15.75" customHeight="1">
      <c r="A1004" s="164"/>
      <c r="B1004" s="164"/>
      <c r="C1004" s="164"/>
      <c r="D1004" s="164"/>
      <c r="E1004" s="164"/>
      <c r="F1004" s="164"/>
      <c r="G1004" s="164"/>
      <c r="H1004" s="164"/>
      <c r="I1004" s="164"/>
      <c r="J1004" s="164"/>
      <c r="K1004" s="164"/>
      <c r="L1004" s="164"/>
      <c r="M1004" s="164"/>
      <c r="N1004" s="164"/>
      <c r="O1004" s="164"/>
      <c r="P1004" s="164"/>
      <c r="Q1004" s="164"/>
      <c r="R1004" s="164"/>
      <c r="S1004" s="164"/>
      <c r="T1004" s="164"/>
      <c r="U1004" s="164"/>
      <c r="V1004" s="164"/>
      <c r="W1004" s="164"/>
      <c r="X1004" s="164"/>
      <c r="Y1004" s="164"/>
    </row>
    <row r="1005" ht="15.75" customHeight="1">
      <c r="A1005" s="164"/>
      <c r="B1005" s="164"/>
      <c r="C1005" s="164"/>
      <c r="D1005" s="164"/>
      <c r="E1005" s="164"/>
      <c r="F1005" s="164"/>
      <c r="G1005" s="164"/>
      <c r="H1005" s="164"/>
      <c r="I1005" s="164"/>
      <c r="J1005" s="164"/>
      <c r="K1005" s="164"/>
      <c r="L1005" s="164"/>
      <c r="M1005" s="164"/>
      <c r="N1005" s="164"/>
      <c r="O1005" s="164"/>
      <c r="P1005" s="164"/>
      <c r="Q1005" s="164"/>
      <c r="R1005" s="164"/>
      <c r="S1005" s="164"/>
      <c r="T1005" s="164"/>
      <c r="U1005" s="164"/>
      <c r="V1005" s="164"/>
      <c r="W1005" s="164"/>
      <c r="X1005" s="164"/>
      <c r="Y1005" s="164"/>
    </row>
    <row r="1006" ht="15.75" customHeight="1">
      <c r="A1006" s="164"/>
      <c r="B1006" s="164"/>
      <c r="C1006" s="164"/>
      <c r="D1006" s="164"/>
      <c r="E1006" s="164"/>
      <c r="F1006" s="164"/>
      <c r="G1006" s="164"/>
      <c r="H1006" s="164"/>
      <c r="I1006" s="164"/>
      <c r="J1006" s="164"/>
      <c r="K1006" s="164"/>
      <c r="L1006" s="164"/>
      <c r="M1006" s="164"/>
      <c r="N1006" s="164"/>
      <c r="O1006" s="164"/>
      <c r="P1006" s="164"/>
      <c r="Q1006" s="164"/>
      <c r="R1006" s="164"/>
      <c r="S1006" s="164"/>
      <c r="T1006" s="164"/>
      <c r="U1006" s="164"/>
      <c r="V1006" s="164"/>
      <c r="W1006" s="164"/>
      <c r="X1006" s="164"/>
      <c r="Y1006" s="164"/>
    </row>
    <row r="1007" ht="15.75" customHeight="1">
      <c r="A1007" s="164"/>
      <c r="B1007" s="164"/>
      <c r="C1007" s="164"/>
      <c r="D1007" s="164"/>
      <c r="E1007" s="164"/>
      <c r="F1007" s="164"/>
      <c r="G1007" s="164"/>
      <c r="H1007" s="164"/>
      <c r="I1007" s="164"/>
      <c r="J1007" s="164"/>
      <c r="K1007" s="164"/>
      <c r="L1007" s="164"/>
      <c r="M1007" s="164"/>
      <c r="N1007" s="164"/>
      <c r="O1007" s="164"/>
      <c r="P1007" s="164"/>
      <c r="Q1007" s="164"/>
      <c r="R1007" s="164"/>
      <c r="S1007" s="164"/>
      <c r="T1007" s="164"/>
      <c r="U1007" s="164"/>
      <c r="V1007" s="164"/>
      <c r="W1007" s="164"/>
      <c r="X1007" s="164"/>
      <c r="Y1007" s="164"/>
    </row>
    <row r="1008" ht="15.75" customHeight="1">
      <c r="A1008" s="164"/>
      <c r="B1008" s="164"/>
      <c r="C1008" s="164"/>
      <c r="D1008" s="164"/>
      <c r="E1008" s="164"/>
      <c r="F1008" s="164"/>
      <c r="G1008" s="164"/>
      <c r="H1008" s="164"/>
      <c r="I1008" s="164"/>
      <c r="J1008" s="164"/>
      <c r="K1008" s="164"/>
      <c r="L1008" s="164"/>
      <c r="M1008" s="164"/>
      <c r="N1008" s="164"/>
      <c r="O1008" s="164"/>
      <c r="P1008" s="164"/>
      <c r="Q1008" s="164"/>
      <c r="R1008" s="164"/>
      <c r="S1008" s="164"/>
      <c r="T1008" s="164"/>
      <c r="U1008" s="164"/>
      <c r="V1008" s="164"/>
      <c r="W1008" s="164"/>
      <c r="X1008" s="164"/>
      <c r="Y1008" s="164"/>
    </row>
    <row r="1009" ht="15.75" customHeight="1">
      <c r="A1009" s="164"/>
      <c r="B1009" s="164"/>
      <c r="C1009" s="164"/>
      <c r="D1009" s="164"/>
      <c r="E1009" s="164"/>
      <c r="F1009" s="164"/>
      <c r="G1009" s="164"/>
      <c r="H1009" s="164"/>
      <c r="I1009" s="164"/>
      <c r="J1009" s="164"/>
      <c r="K1009" s="164"/>
      <c r="L1009" s="164"/>
      <c r="M1009" s="164"/>
      <c r="N1009" s="164"/>
      <c r="O1009" s="164"/>
      <c r="P1009" s="164"/>
      <c r="Q1009" s="164"/>
      <c r="R1009" s="164"/>
      <c r="S1009" s="164"/>
      <c r="T1009" s="164"/>
      <c r="U1009" s="164"/>
      <c r="V1009" s="164"/>
      <c r="W1009" s="164"/>
      <c r="X1009" s="164"/>
      <c r="Y1009" s="164"/>
    </row>
    <row r="1010" ht="15.75" customHeight="1">
      <c r="A1010" s="164"/>
      <c r="B1010" s="164"/>
      <c r="C1010" s="164"/>
      <c r="D1010" s="164"/>
      <c r="E1010" s="164"/>
      <c r="F1010" s="164"/>
      <c r="G1010" s="164"/>
      <c r="H1010" s="164"/>
      <c r="I1010" s="164"/>
      <c r="J1010" s="164"/>
      <c r="K1010" s="164"/>
      <c r="L1010" s="164"/>
      <c r="M1010" s="164"/>
      <c r="N1010" s="164"/>
      <c r="O1010" s="164"/>
      <c r="P1010" s="164"/>
      <c r="Q1010" s="164"/>
      <c r="R1010" s="164"/>
      <c r="S1010" s="164"/>
      <c r="T1010" s="164"/>
      <c r="U1010" s="164"/>
      <c r="V1010" s="164"/>
      <c r="W1010" s="164"/>
      <c r="X1010" s="164"/>
      <c r="Y1010" s="164"/>
    </row>
    <row r="1011" ht="15.75" customHeight="1">
      <c r="A1011" s="164"/>
      <c r="B1011" s="164"/>
      <c r="C1011" s="164"/>
      <c r="D1011" s="164"/>
      <c r="E1011" s="164"/>
      <c r="F1011" s="164"/>
      <c r="G1011" s="164"/>
      <c r="H1011" s="164"/>
      <c r="I1011" s="164"/>
      <c r="J1011" s="164"/>
      <c r="K1011" s="164"/>
      <c r="L1011" s="164"/>
      <c r="M1011" s="164"/>
      <c r="N1011" s="164"/>
      <c r="O1011" s="164"/>
      <c r="P1011" s="164"/>
      <c r="Q1011" s="164"/>
      <c r="R1011" s="164"/>
      <c r="S1011" s="164"/>
      <c r="T1011" s="164"/>
      <c r="U1011" s="164"/>
      <c r="V1011" s="164"/>
      <c r="W1011" s="164"/>
      <c r="X1011" s="164"/>
      <c r="Y1011" s="164"/>
    </row>
    <row r="1012" ht="15.75" customHeight="1">
      <c r="A1012" s="164"/>
      <c r="B1012" s="164"/>
      <c r="C1012" s="164"/>
      <c r="D1012" s="164"/>
      <c r="E1012" s="164"/>
      <c r="F1012" s="164"/>
      <c r="G1012" s="164"/>
      <c r="H1012" s="164"/>
      <c r="I1012" s="164"/>
      <c r="J1012" s="164"/>
      <c r="K1012" s="164"/>
      <c r="L1012" s="164"/>
      <c r="M1012" s="164"/>
      <c r="N1012" s="164"/>
      <c r="O1012" s="164"/>
      <c r="P1012" s="164"/>
      <c r="Q1012" s="164"/>
      <c r="R1012" s="164"/>
      <c r="S1012" s="164"/>
      <c r="T1012" s="164"/>
      <c r="U1012" s="164"/>
      <c r="V1012" s="164"/>
      <c r="W1012" s="164"/>
      <c r="X1012" s="164"/>
      <c r="Y1012" s="164"/>
    </row>
    <row r="1013" ht="15.75" customHeight="1">
      <c r="A1013" s="164"/>
      <c r="B1013" s="164"/>
      <c r="C1013" s="164"/>
      <c r="D1013" s="164"/>
      <c r="E1013" s="164"/>
      <c r="F1013" s="164"/>
      <c r="G1013" s="164"/>
      <c r="H1013" s="164"/>
      <c r="I1013" s="164"/>
      <c r="J1013" s="164"/>
      <c r="K1013" s="164"/>
      <c r="L1013" s="164"/>
      <c r="M1013" s="164"/>
      <c r="N1013" s="164"/>
      <c r="O1013" s="164"/>
      <c r="P1013" s="164"/>
      <c r="Q1013" s="164"/>
      <c r="R1013" s="164"/>
      <c r="S1013" s="164"/>
      <c r="T1013" s="164"/>
      <c r="U1013" s="164"/>
      <c r="V1013" s="164"/>
      <c r="W1013" s="164"/>
      <c r="X1013" s="164"/>
      <c r="Y1013" s="164"/>
    </row>
    <row r="1014" ht="15.75" customHeight="1">
      <c r="A1014" s="164"/>
      <c r="B1014" s="164"/>
      <c r="C1014" s="164"/>
      <c r="D1014" s="164"/>
      <c r="E1014" s="164"/>
      <c r="F1014" s="164"/>
      <c r="G1014" s="164"/>
      <c r="H1014" s="164"/>
      <c r="I1014" s="164"/>
      <c r="J1014" s="164"/>
      <c r="K1014" s="164"/>
      <c r="L1014" s="164"/>
      <c r="M1014" s="164"/>
      <c r="N1014" s="164"/>
      <c r="O1014" s="164"/>
      <c r="P1014" s="164"/>
      <c r="Q1014" s="164"/>
      <c r="R1014" s="164"/>
      <c r="S1014" s="164"/>
      <c r="T1014" s="164"/>
      <c r="U1014" s="164"/>
      <c r="V1014" s="164"/>
      <c r="W1014" s="164"/>
      <c r="X1014" s="164"/>
      <c r="Y1014" s="164"/>
    </row>
    <row r="1015" ht="15.75" customHeight="1">
      <c r="A1015" s="164"/>
      <c r="B1015" s="164"/>
      <c r="C1015" s="164"/>
      <c r="D1015" s="164"/>
      <c r="E1015" s="164"/>
      <c r="F1015" s="164"/>
      <c r="G1015" s="164"/>
      <c r="H1015" s="164"/>
      <c r="I1015" s="164"/>
      <c r="J1015" s="164"/>
      <c r="K1015" s="164"/>
      <c r="L1015" s="164"/>
      <c r="M1015" s="164"/>
      <c r="N1015" s="164"/>
      <c r="O1015" s="164"/>
      <c r="P1015" s="164"/>
      <c r="Q1015" s="164"/>
      <c r="R1015" s="164"/>
      <c r="S1015" s="164"/>
      <c r="T1015" s="164"/>
      <c r="U1015" s="164"/>
      <c r="V1015" s="164"/>
      <c r="W1015" s="164"/>
      <c r="X1015" s="164"/>
      <c r="Y1015" s="164"/>
    </row>
    <row r="1016" ht="15.75" customHeight="1">
      <c r="A1016" s="164"/>
      <c r="B1016" s="164"/>
      <c r="C1016" s="164"/>
      <c r="D1016" s="164"/>
      <c r="E1016" s="164"/>
      <c r="F1016" s="164"/>
      <c r="G1016" s="164"/>
      <c r="H1016" s="164"/>
      <c r="I1016" s="164"/>
      <c r="J1016" s="164"/>
      <c r="K1016" s="164"/>
      <c r="L1016" s="164"/>
      <c r="M1016" s="164"/>
      <c r="N1016" s="164"/>
      <c r="O1016" s="164"/>
      <c r="P1016" s="164"/>
      <c r="Q1016" s="164"/>
      <c r="R1016" s="164"/>
      <c r="S1016" s="164"/>
      <c r="T1016" s="164"/>
      <c r="U1016" s="164"/>
      <c r="V1016" s="164"/>
      <c r="W1016" s="164"/>
      <c r="X1016" s="164"/>
      <c r="Y1016" s="164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70 K18:K70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IFERROR(__xludf.DUMMYFUNCTION("IMPORTRANGE(""https://docs.google.com/spreadsheets/d/19tMSH2UXNSY1VoWpC5BT8xRWr5RVfNGLLZNe6BC1dj4/edit?gid=868681460#gid=868681460"",""1-3 temas selectos de igualdad y derechos humanos!A1:Q86"")"),"")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IFERROR(__xludf.DUMMYFUNCTION("""COMPUTED_VALUE"""),"ALEJANDRA GONZÁLEZ CORTÉS")</f>
        <v>ALEJANDRA GONZÁLEZ CORTÉS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22" t="str">
        <f>IFERROR(__xludf.DUMMYFUNCTION("""COMPUTED_VALUE"""),"SEGUNDO SEMESTRE
MATUTINO")</f>
        <v>SEGUNDO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IFERROR(__xludf.DUMMYFUNCTION("""COMPUTED_VALUE"""),"TEMAS SELECTOS DE IGUALDAD Y DERECHOS HUMANOS II")</f>
        <v>TEMAS SELECTOS DE IGUALDAD Y DERECHOS HUMANOS II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IFERROR(__xludf.DUMMYFUNCTION("""COMPUTED_VALUE"""),"1°")</f>
        <v>1°</v>
      </c>
      <c r="C15" s="144" t="str">
        <f>IFERROR(__xludf.DUMMYFUNCTION("""COMPUTED_VALUE"""),"GRUPO")</f>
        <v>GRUPO</v>
      </c>
      <c r="D15" s="144">
        <f>IFERROR(__xludf.DUMMYFUNCTION("""COMPUTED_VALUE"""),3.0)</f>
        <v>3</v>
      </c>
      <c r="E15" s="32"/>
      <c r="F15" s="32"/>
      <c r="G15" s="39"/>
      <c r="H15" s="145"/>
      <c r="I15" s="146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7" t="str">
        <f>IFERROR(__xludf.DUMMYFUNCTION("""COMPUTED_VALUE"""),"No.")</f>
        <v>No.</v>
      </c>
      <c r="B16" s="148" t="str">
        <f>IFERROR(__xludf.DUMMYFUNCTION("""COMPUTED_VALUE"""),"NOMBRE DEL ALUMNO")</f>
        <v>NOMBRE DEL ALUMNO</v>
      </c>
      <c r="C16" s="27"/>
      <c r="D16" s="28"/>
      <c r="E16" s="46"/>
      <c r="F16" s="46"/>
      <c r="G16" s="149"/>
      <c r="H16" s="150" t="str">
        <f>IFERROR(__xludf.DUMMYFUNCTION("""COMPUTED_VALUE"""),"Suma")</f>
        <v>Suma</v>
      </c>
      <c r="I16" s="151" t="str">
        <f>IFERROR(__xludf.DUMMYFUNCTION("""COMPUTED_VALUE"""),"Faltas")</f>
        <v>Faltas</v>
      </c>
      <c r="J16" s="151" t="str">
        <f>IFERROR(__xludf.DUMMYFUNCTION("""COMPUTED_VALUE"""),"Calificación Definitiva")</f>
        <v>Calificación Definitiva</v>
      </c>
      <c r="K16" s="152" t="str">
        <f>IFERROR(__xludf.DUMMYFUNCTION("""COMPUTED_VALUE"""),"FIRMA")</f>
        <v>FIRMA</v>
      </c>
      <c r="L16" s="151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3">
        <f>IFERROR(__xludf.DUMMYFUNCTION("""COMPUTED_VALUE"""),1.0)</f>
        <v>1</v>
      </c>
      <c r="B17" s="52" t="str">
        <f>IFERROR(__xludf.DUMMYFUNCTION("""COMPUTED_VALUE"""),"ALVAREZ")</f>
        <v>ALVAREZ</v>
      </c>
      <c r="C17" s="53" t="str">
        <f>IFERROR(__xludf.DUMMYFUNCTION("""COMPUTED_VALUE"""),"VARELA")</f>
        <v>VARELA</v>
      </c>
      <c r="D17" s="54" t="str">
        <f>IFERROR(__xludf.DUMMYFUNCTION("""COMPUTED_VALUE"""),"ISAIAS HAZAEL")</f>
        <v>ISAIAS HAZAEL</v>
      </c>
      <c r="E17" s="154">
        <f>IFERROR(__xludf.DUMMYFUNCTION("""COMPUTED_VALUE"""),8.0)</f>
        <v>8</v>
      </c>
      <c r="F17" s="154">
        <f>IFERROR(__xludf.DUMMYFUNCTION("""COMPUTED_VALUE"""),2.0)</f>
        <v>2</v>
      </c>
      <c r="G17" s="154"/>
      <c r="H17" s="155">
        <f>IFERROR(__xludf.DUMMYFUNCTION("""COMPUTED_VALUE"""),10.0)</f>
        <v>10</v>
      </c>
      <c r="I17" s="156">
        <f>IFERROR(__xludf.DUMMYFUNCTION("""COMPUTED_VALUE"""),0.0)</f>
        <v>0</v>
      </c>
      <c r="J17" s="157">
        <f>IFERROR(__xludf.DUMMYFUNCTION("""COMPUTED_VALUE"""),10.0)</f>
        <v>10</v>
      </c>
      <c r="K17" s="158"/>
      <c r="L17" s="159">
        <f>IFERROR(__xludf.DUMMYFUNCTION("""COMPUTED_VALUE"""),10.0)</f>
        <v>10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3">
        <f>IFERROR(__xludf.DUMMYFUNCTION("""COMPUTED_VALUE"""),2.0)</f>
        <v>2</v>
      </c>
      <c r="B18" s="52" t="str">
        <f>IFERROR(__xludf.DUMMYFUNCTION("""COMPUTED_VALUE"""),"ANDRADE")</f>
        <v>ANDRADE</v>
      </c>
      <c r="C18" s="53" t="str">
        <f>IFERROR(__xludf.DUMMYFUNCTION("""COMPUTED_VALUE"""),"LOPEZ")</f>
        <v>LOPEZ</v>
      </c>
      <c r="D18" s="54" t="str">
        <f>IFERROR(__xludf.DUMMYFUNCTION("""COMPUTED_VALUE"""),"DAVID EMILIANO")</f>
        <v>DAVID EMILIANO</v>
      </c>
      <c r="E18" s="154">
        <f>IFERROR(__xludf.DUMMYFUNCTION("""COMPUTED_VALUE"""),8.0)</f>
        <v>8</v>
      </c>
      <c r="F18" s="154">
        <f>IFERROR(__xludf.DUMMYFUNCTION("""COMPUTED_VALUE"""),2.0)</f>
        <v>2</v>
      </c>
      <c r="G18" s="154"/>
      <c r="H18" s="155">
        <f>IFERROR(__xludf.DUMMYFUNCTION("""COMPUTED_VALUE"""),10.0)</f>
        <v>10</v>
      </c>
      <c r="I18" s="156">
        <f>IFERROR(__xludf.DUMMYFUNCTION("""COMPUTED_VALUE"""),0.0)</f>
        <v>0</v>
      </c>
      <c r="J18" s="157">
        <f>IFERROR(__xludf.DUMMYFUNCTION("""COMPUTED_VALUE"""),10.0)</f>
        <v>10</v>
      </c>
      <c r="K18" s="156"/>
      <c r="L18" s="159">
        <f>IFERROR(__xludf.DUMMYFUNCTION("""COMPUTED_VALUE"""),10.0)</f>
        <v>10</v>
      </c>
      <c r="M18" s="121" t="str">
        <f>IFERROR(__xludf.DUMMYFUNCTION("""COMPUTED_VALUE"""),"Febrero")</f>
        <v>Febrero</v>
      </c>
      <c r="N18" s="121">
        <f>IFERROR(__xludf.DUMMYFUNCTION("""COMPUTED_VALUE"""),2.0)</f>
        <v>2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3">
        <f>IFERROR(__xludf.DUMMYFUNCTION("""COMPUTED_VALUE"""),3.0)</f>
        <v>3</v>
      </c>
      <c r="B19" s="52" t="str">
        <f>IFERROR(__xludf.DUMMYFUNCTION("""COMPUTED_VALUE"""),"ARELLANO")</f>
        <v>ARELLANO</v>
      </c>
      <c r="C19" s="53" t="str">
        <f>IFERROR(__xludf.DUMMYFUNCTION("""COMPUTED_VALUE"""),"RAMIREZ")</f>
        <v>RAMIREZ</v>
      </c>
      <c r="D19" s="54" t="str">
        <f>IFERROR(__xludf.DUMMYFUNCTION("""COMPUTED_VALUE"""),"ALEJANDRO")</f>
        <v>ALEJANDRO</v>
      </c>
      <c r="E19" s="154">
        <f>IFERROR(__xludf.DUMMYFUNCTION("""COMPUTED_VALUE"""),7.2)</f>
        <v>7.2</v>
      </c>
      <c r="F19" s="154">
        <f>IFERROR(__xludf.DUMMYFUNCTION("""COMPUTED_VALUE"""),2.0)</f>
        <v>2</v>
      </c>
      <c r="G19" s="154"/>
      <c r="H19" s="155">
        <f>IFERROR(__xludf.DUMMYFUNCTION("""COMPUTED_VALUE"""),9.2)</f>
        <v>9.2</v>
      </c>
      <c r="I19" s="156">
        <f>IFERROR(__xludf.DUMMYFUNCTION("""COMPUTED_VALUE"""),0.0)</f>
        <v>0</v>
      </c>
      <c r="J19" s="157">
        <f>IFERROR(__xludf.DUMMYFUNCTION("""COMPUTED_VALUE"""),9.0)</f>
        <v>9</v>
      </c>
      <c r="K19" s="156"/>
      <c r="L19" s="159">
        <f>IFERROR(__xludf.DUMMYFUNCTION("""COMPUTED_VALUE"""),9.0)</f>
        <v>9</v>
      </c>
      <c r="M19" s="121" t="str">
        <f>IFERROR(__xludf.DUMMYFUNCTION("""COMPUTED_VALUE"""),"Marzo")</f>
        <v>Marzo</v>
      </c>
      <c r="N19" s="121">
        <f>IFERROR(__xludf.DUMMYFUNCTION("""COMPUTED_VALUE"""),3.0)</f>
        <v>3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3">
        <f>IFERROR(__xludf.DUMMYFUNCTION("""COMPUTED_VALUE"""),4.0)</f>
        <v>4</v>
      </c>
      <c r="B20" s="52" t="str">
        <f>IFERROR(__xludf.DUMMYFUNCTION("""COMPUTED_VALUE"""),"AVILA")</f>
        <v>AVILA</v>
      </c>
      <c r="C20" s="53" t="str">
        <f>IFERROR(__xludf.DUMMYFUNCTION("""COMPUTED_VALUE"""),"GARCIA")</f>
        <v>GARCIA</v>
      </c>
      <c r="D20" s="54" t="str">
        <f>IFERROR(__xludf.DUMMYFUNCTION("""COMPUTED_VALUE"""),"PARIS PAOLETTE")</f>
        <v>PARIS PAOLETTE</v>
      </c>
      <c r="E20" s="154">
        <f>IFERROR(__xludf.DUMMYFUNCTION("""COMPUTED_VALUE"""),8.0)</f>
        <v>8</v>
      </c>
      <c r="F20" s="154">
        <f>IFERROR(__xludf.DUMMYFUNCTION("""COMPUTED_VALUE"""),2.0)</f>
        <v>2</v>
      </c>
      <c r="G20" s="154"/>
      <c r="H20" s="155">
        <f>IFERROR(__xludf.DUMMYFUNCTION("""COMPUTED_VALUE"""),10.0)</f>
        <v>10</v>
      </c>
      <c r="I20" s="156">
        <f>IFERROR(__xludf.DUMMYFUNCTION("""COMPUTED_VALUE"""),0.0)</f>
        <v>0</v>
      </c>
      <c r="J20" s="157">
        <f>IFERROR(__xludf.DUMMYFUNCTION("""COMPUTED_VALUE"""),10.0)</f>
        <v>10</v>
      </c>
      <c r="K20" s="156"/>
      <c r="L20" s="159">
        <f>IFERROR(__xludf.DUMMYFUNCTION("""COMPUTED_VALUE"""),10.0)</f>
        <v>10</v>
      </c>
      <c r="M20" s="121" t="str">
        <f>IFERROR(__xludf.DUMMYFUNCTION("""COMPUTED_VALUE"""),"Abril")</f>
        <v>Abril</v>
      </c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3">
        <f>IFERROR(__xludf.DUMMYFUNCTION("""COMPUTED_VALUE"""),5.0)</f>
        <v>5</v>
      </c>
      <c r="B21" s="52" t="str">
        <f>IFERROR(__xludf.DUMMYFUNCTION("""COMPUTED_VALUE"""),"BARRERA")</f>
        <v>BARRERA</v>
      </c>
      <c r="C21" s="62"/>
      <c r="D21" s="54" t="str">
        <f>IFERROR(__xludf.DUMMYFUNCTION("""COMPUTED_VALUE"""),"NAEEM")</f>
        <v>NAEEM</v>
      </c>
      <c r="E21" s="154">
        <f>IFERROR(__xludf.DUMMYFUNCTION("""COMPUTED_VALUE"""),8.0)</f>
        <v>8</v>
      </c>
      <c r="F21" s="154">
        <f>IFERROR(__xludf.DUMMYFUNCTION("""COMPUTED_VALUE"""),2.0)</f>
        <v>2</v>
      </c>
      <c r="G21" s="154"/>
      <c r="H21" s="155">
        <f>IFERROR(__xludf.DUMMYFUNCTION("""COMPUTED_VALUE"""),10.0)</f>
        <v>10</v>
      </c>
      <c r="I21" s="156">
        <f>IFERROR(__xludf.DUMMYFUNCTION("""COMPUTED_VALUE"""),0.0)</f>
        <v>0</v>
      </c>
      <c r="J21" s="157">
        <f>IFERROR(__xludf.DUMMYFUNCTION("""COMPUTED_VALUE"""),10.0)</f>
        <v>10</v>
      </c>
      <c r="K21" s="156"/>
      <c r="L21" s="159">
        <f>IFERROR(__xludf.DUMMYFUNCTION("""COMPUTED_VALUE"""),10.0)</f>
        <v>10</v>
      </c>
      <c r="M21" s="121" t="str">
        <f>IFERROR(__xludf.DUMMYFUNCTION("""COMPUTED_VALUE"""),"Mayo")</f>
        <v>Mayo</v>
      </c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3">
        <f>IFERROR(__xludf.DUMMYFUNCTION("""COMPUTED_VALUE"""),6.0)</f>
        <v>6</v>
      </c>
      <c r="B22" s="63" t="str">
        <f>IFERROR(__xludf.DUMMYFUNCTION("""COMPUTED_VALUE"""),"BLANCO")</f>
        <v>BLANCO</v>
      </c>
      <c r="C22" s="53" t="str">
        <f>IFERROR(__xludf.DUMMYFUNCTION("""COMPUTED_VALUE"""),"JARAMILLO")</f>
        <v>JARAMILLO</v>
      </c>
      <c r="D22" s="54" t="str">
        <f>IFERROR(__xludf.DUMMYFUNCTION("""COMPUTED_VALUE"""),"INGRID NATALIA")</f>
        <v>INGRID NATALIA</v>
      </c>
      <c r="E22" s="154">
        <f>IFERROR(__xludf.DUMMYFUNCTION("""COMPUTED_VALUE"""),8.0)</f>
        <v>8</v>
      </c>
      <c r="F22" s="154">
        <f>IFERROR(__xludf.DUMMYFUNCTION("""COMPUTED_VALUE"""),2.0)</f>
        <v>2</v>
      </c>
      <c r="G22" s="154"/>
      <c r="H22" s="155">
        <f>IFERROR(__xludf.DUMMYFUNCTION("""COMPUTED_VALUE"""),10.0)</f>
        <v>10</v>
      </c>
      <c r="I22" s="156">
        <f>IFERROR(__xludf.DUMMYFUNCTION("""COMPUTED_VALUE"""),0.0)</f>
        <v>0</v>
      </c>
      <c r="J22" s="157">
        <f>IFERROR(__xludf.DUMMYFUNCTION("""COMPUTED_VALUE"""),10.0)</f>
        <v>10</v>
      </c>
      <c r="K22" s="156"/>
      <c r="L22" s="159">
        <f>IFERROR(__xludf.DUMMYFUNCTION("""COMPUTED_VALUE"""),10.0)</f>
        <v>10</v>
      </c>
      <c r="M22" s="121" t="str">
        <f>IFERROR(__xludf.DUMMYFUNCTION("""COMPUTED_VALUE"""),"Junio")</f>
        <v>Junio</v>
      </c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3">
        <f>IFERROR(__xludf.DUMMYFUNCTION("""COMPUTED_VALUE"""),7.0)</f>
        <v>7</v>
      </c>
      <c r="B23" s="52" t="str">
        <f>IFERROR(__xludf.DUMMYFUNCTION("""COMPUTED_VALUE"""),"CARLOS")</f>
        <v>CARLOS</v>
      </c>
      <c r="C23" s="53" t="str">
        <f>IFERROR(__xludf.DUMMYFUNCTION("""COMPUTED_VALUE"""),"DE LA CRUZ")</f>
        <v>DE LA CRUZ</v>
      </c>
      <c r="D23" s="54" t="str">
        <f>IFERROR(__xludf.DUMMYFUNCTION("""COMPUTED_VALUE"""),"JAVIER")</f>
        <v>JAVIER</v>
      </c>
      <c r="E23" s="154">
        <f>IFERROR(__xludf.DUMMYFUNCTION("""COMPUTED_VALUE"""),7.2)</f>
        <v>7.2</v>
      </c>
      <c r="F23" s="154">
        <f>IFERROR(__xludf.DUMMYFUNCTION("""COMPUTED_VALUE"""),2.0)</f>
        <v>2</v>
      </c>
      <c r="G23" s="154"/>
      <c r="H23" s="155">
        <f>IFERROR(__xludf.DUMMYFUNCTION("""COMPUTED_VALUE"""),9.2)</f>
        <v>9.2</v>
      </c>
      <c r="I23" s="156">
        <f>IFERROR(__xludf.DUMMYFUNCTION("""COMPUTED_VALUE"""),0.0)</f>
        <v>0</v>
      </c>
      <c r="J23" s="157">
        <f>IFERROR(__xludf.DUMMYFUNCTION("""COMPUTED_VALUE"""),9.0)</f>
        <v>9</v>
      </c>
      <c r="K23" s="156"/>
      <c r="L23" s="159">
        <f>IFERROR(__xludf.DUMMYFUNCTION("""COMPUTED_VALUE"""),9.0)</f>
        <v>9</v>
      </c>
      <c r="M23" s="121" t="str">
        <f>IFERROR(__xludf.DUMMYFUNCTION("""COMPUTED_VALUE"""),"Julio")</f>
        <v>Julio</v>
      </c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3">
        <f>IFERROR(__xludf.DUMMYFUNCTION("""COMPUTED_VALUE"""),8.0)</f>
        <v>8</v>
      </c>
      <c r="B24" s="52" t="str">
        <f>IFERROR(__xludf.DUMMYFUNCTION("""COMPUTED_VALUE"""),"CARRICHE")</f>
        <v>CARRICHE</v>
      </c>
      <c r="C24" s="53" t="str">
        <f>IFERROR(__xludf.DUMMYFUNCTION("""COMPUTED_VALUE"""),"HERNANDEZ")</f>
        <v>HERNANDEZ</v>
      </c>
      <c r="D24" s="54" t="str">
        <f>IFERROR(__xludf.DUMMYFUNCTION("""COMPUTED_VALUE"""),"DIEGO IVAN")</f>
        <v>DIEGO IVAN</v>
      </c>
      <c r="E24" s="154">
        <f>IFERROR(__xludf.DUMMYFUNCTION("""COMPUTED_VALUE"""),8.0)</f>
        <v>8</v>
      </c>
      <c r="F24" s="154">
        <f>IFERROR(__xludf.DUMMYFUNCTION("""COMPUTED_VALUE"""),2.0)</f>
        <v>2</v>
      </c>
      <c r="G24" s="154"/>
      <c r="H24" s="155">
        <f>IFERROR(__xludf.DUMMYFUNCTION("""COMPUTED_VALUE"""),10.0)</f>
        <v>10</v>
      </c>
      <c r="I24" s="156">
        <f>IFERROR(__xludf.DUMMYFUNCTION("""COMPUTED_VALUE"""),0.0)</f>
        <v>0</v>
      </c>
      <c r="J24" s="157">
        <f>IFERROR(__xludf.DUMMYFUNCTION("""COMPUTED_VALUE"""),10.0)</f>
        <v>10</v>
      </c>
      <c r="K24" s="156"/>
      <c r="L24" s="159">
        <f>IFERROR(__xludf.DUMMYFUNCTION("""COMPUTED_VALUE"""),10.0)</f>
        <v>10</v>
      </c>
      <c r="M24" s="121" t="str">
        <f>IFERROR(__xludf.DUMMYFUNCTION("""COMPUTED_VALUE"""),"TOTAL")</f>
        <v>TOTAL</v>
      </c>
      <c r="N24" s="121">
        <f>IFERROR(__xludf.DUMMYFUNCTION("""COMPUTED_VALUE"""),5.0)</f>
        <v>5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3">
        <f>IFERROR(__xludf.DUMMYFUNCTION("""COMPUTED_VALUE"""),9.0)</f>
        <v>9</v>
      </c>
      <c r="B25" s="52" t="str">
        <f>IFERROR(__xludf.DUMMYFUNCTION("""COMPUTED_VALUE"""),"CASTILLO")</f>
        <v>CASTILLO</v>
      </c>
      <c r="C25" s="53" t="str">
        <f>IFERROR(__xludf.DUMMYFUNCTION("""COMPUTED_VALUE"""),"DOMINGUEZ")</f>
        <v>DOMINGUEZ</v>
      </c>
      <c r="D25" s="54" t="str">
        <f>IFERROR(__xludf.DUMMYFUNCTION("""COMPUTED_VALUE"""),"EMANUEL")</f>
        <v>EMANUEL</v>
      </c>
      <c r="E25" s="154">
        <f>IFERROR(__xludf.DUMMYFUNCTION("""COMPUTED_VALUE"""),8.0)</f>
        <v>8</v>
      </c>
      <c r="F25" s="154">
        <f>IFERROR(__xludf.DUMMYFUNCTION("""COMPUTED_VALUE"""),2.0)</f>
        <v>2</v>
      </c>
      <c r="G25" s="154"/>
      <c r="H25" s="155">
        <f>IFERROR(__xludf.DUMMYFUNCTION("""COMPUTED_VALUE"""),10.0)</f>
        <v>10</v>
      </c>
      <c r="I25" s="156">
        <f>IFERROR(__xludf.DUMMYFUNCTION("""COMPUTED_VALUE"""),0.0)</f>
        <v>0</v>
      </c>
      <c r="J25" s="157">
        <f>IFERROR(__xludf.DUMMYFUNCTION("""COMPUTED_VALUE"""),10.0)</f>
        <v>10</v>
      </c>
      <c r="K25" s="156"/>
      <c r="L25" s="159">
        <f>IFERROR(__xludf.DUMMYFUNCTION("""COMPUTED_VALUE"""),10.0)</f>
        <v>10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3">
        <f>IFERROR(__xludf.DUMMYFUNCTION("""COMPUTED_VALUE"""),10.0)</f>
        <v>10</v>
      </c>
      <c r="B26" s="52" t="str">
        <f>IFERROR(__xludf.DUMMYFUNCTION("""COMPUTED_VALUE"""),"COMO")</f>
        <v>COMO</v>
      </c>
      <c r="C26" s="53" t="str">
        <f>IFERROR(__xludf.DUMMYFUNCTION("""COMPUTED_VALUE"""),"MONTOYA")</f>
        <v>MONTOYA</v>
      </c>
      <c r="D26" s="54" t="str">
        <f>IFERROR(__xludf.DUMMYFUNCTION("""COMPUTED_VALUE"""),"ANGEL GIOVANNY")</f>
        <v>ANGEL GIOVANNY</v>
      </c>
      <c r="E26" s="154">
        <f>IFERROR(__xludf.DUMMYFUNCTION("""COMPUTED_VALUE"""),6.4)</f>
        <v>6.4</v>
      </c>
      <c r="F26" s="154">
        <f>IFERROR(__xludf.DUMMYFUNCTION("""COMPUTED_VALUE"""),2.0)</f>
        <v>2</v>
      </c>
      <c r="G26" s="154"/>
      <c r="H26" s="155">
        <f>IFERROR(__xludf.DUMMYFUNCTION("""COMPUTED_VALUE"""),8.4)</f>
        <v>8.4</v>
      </c>
      <c r="I26" s="156">
        <f>IFERROR(__xludf.DUMMYFUNCTION("""COMPUTED_VALUE"""),0.0)</f>
        <v>0</v>
      </c>
      <c r="J26" s="157">
        <f>IFERROR(__xludf.DUMMYFUNCTION("""COMPUTED_VALUE"""),8.0)</f>
        <v>8</v>
      </c>
      <c r="K26" s="156"/>
      <c r="L26" s="159">
        <f>IFERROR(__xludf.DUMMYFUNCTION("""COMPUTED_VALUE"""),8.0)</f>
        <v>8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3">
        <f>IFERROR(__xludf.DUMMYFUNCTION("""COMPUTED_VALUE"""),11.0)</f>
        <v>11</v>
      </c>
      <c r="B27" s="52" t="str">
        <f>IFERROR(__xludf.DUMMYFUNCTION("""COMPUTED_VALUE"""),"CORTES")</f>
        <v>CORTES</v>
      </c>
      <c r="C27" s="53" t="str">
        <f>IFERROR(__xludf.DUMMYFUNCTION("""COMPUTED_VALUE"""),"VAZQUEZ")</f>
        <v>VAZQUEZ</v>
      </c>
      <c r="D27" s="53" t="str">
        <f>IFERROR(__xludf.DUMMYFUNCTION("""COMPUTED_VALUE"""),"ZULEIMA")</f>
        <v>ZULEIMA</v>
      </c>
      <c r="E27" s="154">
        <f>IFERROR(__xludf.DUMMYFUNCTION("""COMPUTED_VALUE"""),8.0)</f>
        <v>8</v>
      </c>
      <c r="F27" s="154">
        <f>IFERROR(__xludf.DUMMYFUNCTION("""COMPUTED_VALUE"""),2.0)</f>
        <v>2</v>
      </c>
      <c r="G27" s="154"/>
      <c r="H27" s="155">
        <f>IFERROR(__xludf.DUMMYFUNCTION("""COMPUTED_VALUE"""),10.0)</f>
        <v>10</v>
      </c>
      <c r="I27" s="156">
        <f>IFERROR(__xludf.DUMMYFUNCTION("""COMPUTED_VALUE"""),0.0)</f>
        <v>0</v>
      </c>
      <c r="J27" s="157">
        <f>IFERROR(__xludf.DUMMYFUNCTION("""COMPUTED_VALUE"""),10.0)</f>
        <v>10</v>
      </c>
      <c r="K27" s="156"/>
      <c r="L27" s="159">
        <f>IFERROR(__xludf.DUMMYFUNCTION("""COMPUTED_VALUE"""),10.0)</f>
        <v>10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3">
        <f>IFERROR(__xludf.DUMMYFUNCTION("""COMPUTED_VALUE"""),12.0)</f>
        <v>12</v>
      </c>
      <c r="B28" s="52" t="str">
        <f>IFERROR(__xludf.DUMMYFUNCTION("""COMPUTED_VALUE"""),"CRUZ")</f>
        <v>CRUZ</v>
      </c>
      <c r="C28" s="53" t="str">
        <f>IFERROR(__xludf.DUMMYFUNCTION("""COMPUTED_VALUE"""),"BAUTISTA")</f>
        <v>BAUTISTA</v>
      </c>
      <c r="D28" s="54" t="str">
        <f>IFERROR(__xludf.DUMMYFUNCTION("""COMPUTED_VALUE"""),"YAEL ABDIEL")</f>
        <v>YAEL ABDIEL</v>
      </c>
      <c r="E28" s="154">
        <f>IFERROR(__xludf.DUMMYFUNCTION("""COMPUTED_VALUE"""),8.0)</f>
        <v>8</v>
      </c>
      <c r="F28" s="154">
        <f>IFERROR(__xludf.DUMMYFUNCTION("""COMPUTED_VALUE"""),2.0)</f>
        <v>2</v>
      </c>
      <c r="G28" s="154"/>
      <c r="H28" s="155">
        <f>IFERROR(__xludf.DUMMYFUNCTION("""COMPUTED_VALUE"""),10.0)</f>
        <v>10</v>
      </c>
      <c r="I28" s="156">
        <f>IFERROR(__xludf.DUMMYFUNCTION("""COMPUTED_VALUE"""),0.0)</f>
        <v>0</v>
      </c>
      <c r="J28" s="157">
        <f>IFERROR(__xludf.DUMMYFUNCTION("""COMPUTED_VALUE"""),10.0)</f>
        <v>10</v>
      </c>
      <c r="K28" s="156"/>
      <c r="L28" s="159">
        <f>IFERROR(__xludf.DUMMYFUNCTION("""COMPUTED_VALUE"""),10.0)</f>
        <v>10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3">
        <f>IFERROR(__xludf.DUMMYFUNCTION("""COMPUTED_VALUE"""),13.0)</f>
        <v>13</v>
      </c>
      <c r="B29" s="52" t="str">
        <f>IFERROR(__xludf.DUMMYFUNCTION("""COMPUTED_VALUE"""),"CRUZ")</f>
        <v>CRUZ</v>
      </c>
      <c r="C29" s="53" t="str">
        <f>IFERROR(__xludf.DUMMYFUNCTION("""COMPUTED_VALUE"""),"NUÑEZ")</f>
        <v>NUÑEZ</v>
      </c>
      <c r="D29" s="54" t="str">
        <f>IFERROR(__xludf.DUMMYFUNCTION("""COMPUTED_VALUE"""),"XIMENA LIZVET")</f>
        <v>XIMENA LIZVET</v>
      </c>
      <c r="E29" s="154">
        <f>IFERROR(__xludf.DUMMYFUNCTION("""COMPUTED_VALUE"""),8.0)</f>
        <v>8</v>
      </c>
      <c r="F29" s="154">
        <f>IFERROR(__xludf.DUMMYFUNCTION("""COMPUTED_VALUE"""),2.0)</f>
        <v>2</v>
      </c>
      <c r="G29" s="154"/>
      <c r="H29" s="155">
        <f>IFERROR(__xludf.DUMMYFUNCTION("""COMPUTED_VALUE"""),10.0)</f>
        <v>10</v>
      </c>
      <c r="I29" s="156">
        <f>IFERROR(__xludf.DUMMYFUNCTION("""COMPUTED_VALUE"""),0.0)</f>
        <v>0</v>
      </c>
      <c r="J29" s="157">
        <f>IFERROR(__xludf.DUMMYFUNCTION("""COMPUTED_VALUE"""),10.0)</f>
        <v>10</v>
      </c>
      <c r="K29" s="156"/>
      <c r="L29" s="159">
        <f>IFERROR(__xludf.DUMMYFUNCTION("""COMPUTED_VALUE"""),10.0)</f>
        <v>10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3">
        <f>IFERROR(__xludf.DUMMYFUNCTION("""COMPUTED_VALUE"""),14.0)</f>
        <v>14</v>
      </c>
      <c r="B30" s="52" t="str">
        <f>IFERROR(__xludf.DUMMYFUNCTION("""COMPUTED_VALUE"""),"DE JESUS")</f>
        <v>DE JESUS</v>
      </c>
      <c r="C30" s="53" t="str">
        <f>IFERROR(__xludf.DUMMYFUNCTION("""COMPUTED_VALUE"""),"GONZALEZ")</f>
        <v>GONZALEZ</v>
      </c>
      <c r="D30" s="54" t="str">
        <f>IFERROR(__xludf.DUMMYFUNCTION("""COMPUTED_VALUE"""),"SHARON NOEMI")</f>
        <v>SHARON NOEMI</v>
      </c>
      <c r="E30" s="154">
        <f>IFERROR(__xludf.DUMMYFUNCTION("""COMPUTED_VALUE"""),8.0)</f>
        <v>8</v>
      </c>
      <c r="F30" s="154">
        <f>IFERROR(__xludf.DUMMYFUNCTION("""COMPUTED_VALUE"""),2.0)</f>
        <v>2</v>
      </c>
      <c r="G30" s="154"/>
      <c r="H30" s="155">
        <f>IFERROR(__xludf.DUMMYFUNCTION("""COMPUTED_VALUE"""),10.0)</f>
        <v>10</v>
      </c>
      <c r="I30" s="156">
        <f>IFERROR(__xludf.DUMMYFUNCTION("""COMPUTED_VALUE"""),0.0)</f>
        <v>0</v>
      </c>
      <c r="J30" s="157">
        <f>IFERROR(__xludf.DUMMYFUNCTION("""COMPUTED_VALUE"""),10.0)</f>
        <v>10</v>
      </c>
      <c r="K30" s="156"/>
      <c r="L30" s="159">
        <f>IFERROR(__xludf.DUMMYFUNCTION("""COMPUTED_VALUE"""),10.0)</f>
        <v>10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3">
        <f>IFERROR(__xludf.DUMMYFUNCTION("""COMPUTED_VALUE"""),15.0)</f>
        <v>15</v>
      </c>
      <c r="B31" s="52" t="str">
        <f>IFERROR(__xludf.DUMMYFUNCTION("""COMPUTED_VALUE"""),"DE SANTIAGO")</f>
        <v>DE SANTIAGO</v>
      </c>
      <c r="C31" s="64" t="str">
        <f>IFERROR(__xludf.DUMMYFUNCTION("""COMPUTED_VALUE"""),"SANCHEZ")</f>
        <v>SANCHEZ</v>
      </c>
      <c r="D31" s="54" t="str">
        <f>IFERROR(__xludf.DUMMYFUNCTION("""COMPUTED_VALUE"""),"OSCAR")</f>
        <v>OSCAR</v>
      </c>
      <c r="E31" s="154">
        <f>IFERROR(__xludf.DUMMYFUNCTION("""COMPUTED_VALUE"""),8.0)</f>
        <v>8</v>
      </c>
      <c r="F31" s="154">
        <f>IFERROR(__xludf.DUMMYFUNCTION("""COMPUTED_VALUE"""),2.0)</f>
        <v>2</v>
      </c>
      <c r="G31" s="154"/>
      <c r="H31" s="155">
        <f>IFERROR(__xludf.DUMMYFUNCTION("""COMPUTED_VALUE"""),10.0)</f>
        <v>10</v>
      </c>
      <c r="I31" s="156">
        <f>IFERROR(__xludf.DUMMYFUNCTION("""COMPUTED_VALUE"""),0.0)</f>
        <v>0</v>
      </c>
      <c r="J31" s="157">
        <f>IFERROR(__xludf.DUMMYFUNCTION("""COMPUTED_VALUE"""),10.0)</f>
        <v>10</v>
      </c>
      <c r="K31" s="156"/>
      <c r="L31" s="159">
        <f>IFERROR(__xludf.DUMMYFUNCTION("""COMPUTED_VALUE"""),10.0)</f>
        <v>10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3">
        <f>IFERROR(__xludf.DUMMYFUNCTION("""COMPUTED_VALUE"""),16.0)</f>
        <v>16</v>
      </c>
      <c r="B32" s="52" t="str">
        <f>IFERROR(__xludf.DUMMYFUNCTION("""COMPUTED_VALUE"""),"DOMINGUEZ")</f>
        <v>DOMINGUEZ</v>
      </c>
      <c r="C32" s="53" t="str">
        <f>IFERROR(__xludf.DUMMYFUNCTION("""COMPUTED_VALUE"""),"RODRIGUEZ")</f>
        <v>RODRIGUEZ</v>
      </c>
      <c r="D32" s="54" t="str">
        <f>IFERROR(__xludf.DUMMYFUNCTION("""COMPUTED_VALUE"""),"ISABELLA VICTORIA")</f>
        <v>ISABELLA VICTORIA</v>
      </c>
      <c r="E32" s="154">
        <f>IFERROR(__xludf.DUMMYFUNCTION("""COMPUTED_VALUE"""),8.0)</f>
        <v>8</v>
      </c>
      <c r="F32" s="154">
        <f>IFERROR(__xludf.DUMMYFUNCTION("""COMPUTED_VALUE"""),2.0)</f>
        <v>2</v>
      </c>
      <c r="G32" s="154"/>
      <c r="H32" s="155">
        <f>IFERROR(__xludf.DUMMYFUNCTION("""COMPUTED_VALUE"""),10.0)</f>
        <v>10</v>
      </c>
      <c r="I32" s="156">
        <f>IFERROR(__xludf.DUMMYFUNCTION("""COMPUTED_VALUE"""),0.0)</f>
        <v>0</v>
      </c>
      <c r="J32" s="157">
        <f>IFERROR(__xludf.DUMMYFUNCTION("""COMPUTED_VALUE"""),10.0)</f>
        <v>10</v>
      </c>
      <c r="K32" s="156"/>
      <c r="L32" s="159">
        <f>IFERROR(__xludf.DUMMYFUNCTION("""COMPUTED_VALUE"""),10.0)</f>
        <v>10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3">
        <f>IFERROR(__xludf.DUMMYFUNCTION("""COMPUTED_VALUE"""),17.0)</f>
        <v>17</v>
      </c>
      <c r="B33" s="52" t="str">
        <f>IFERROR(__xludf.DUMMYFUNCTION("""COMPUTED_VALUE"""),"ESLAVA")</f>
        <v>ESLAVA</v>
      </c>
      <c r="C33" s="53" t="str">
        <f>IFERROR(__xludf.DUMMYFUNCTION("""COMPUTED_VALUE"""),"CEDILLO")</f>
        <v>CEDILLO</v>
      </c>
      <c r="D33" s="54" t="str">
        <f>IFERROR(__xludf.DUMMYFUNCTION("""COMPUTED_VALUE"""),"DIEGO EVERARDO")</f>
        <v>DIEGO EVERARDO</v>
      </c>
      <c r="E33" s="154">
        <f>IFERROR(__xludf.DUMMYFUNCTION("""COMPUTED_VALUE"""),7.2)</f>
        <v>7.2</v>
      </c>
      <c r="F33" s="154">
        <f>IFERROR(__xludf.DUMMYFUNCTION("""COMPUTED_VALUE"""),2.0)</f>
        <v>2</v>
      </c>
      <c r="G33" s="154"/>
      <c r="H33" s="155">
        <f>IFERROR(__xludf.DUMMYFUNCTION("""COMPUTED_VALUE"""),9.2)</f>
        <v>9.2</v>
      </c>
      <c r="I33" s="156">
        <f>IFERROR(__xludf.DUMMYFUNCTION("""COMPUTED_VALUE"""),0.0)</f>
        <v>0</v>
      </c>
      <c r="J33" s="157">
        <f>IFERROR(__xludf.DUMMYFUNCTION("""COMPUTED_VALUE"""),9.0)</f>
        <v>9</v>
      </c>
      <c r="K33" s="156"/>
      <c r="L33" s="159">
        <f>IFERROR(__xludf.DUMMYFUNCTION("""COMPUTED_VALUE"""),9.0)</f>
        <v>9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3">
        <f>IFERROR(__xludf.DUMMYFUNCTION("""COMPUTED_VALUE"""),18.0)</f>
        <v>18</v>
      </c>
      <c r="B34" s="52" t="str">
        <f>IFERROR(__xludf.DUMMYFUNCTION("""COMPUTED_VALUE"""),"FLORES")</f>
        <v>FLORES</v>
      </c>
      <c r="C34" s="53" t="str">
        <f>IFERROR(__xludf.DUMMYFUNCTION("""COMPUTED_VALUE"""),"GARCIA")</f>
        <v>GARCIA</v>
      </c>
      <c r="D34" s="54" t="str">
        <f>IFERROR(__xludf.DUMMYFUNCTION("""COMPUTED_VALUE"""),"BYRON ALBERTO")</f>
        <v>BYRON ALBERTO</v>
      </c>
      <c r="E34" s="154">
        <f>IFERROR(__xludf.DUMMYFUNCTION("""COMPUTED_VALUE"""),8.0)</f>
        <v>8</v>
      </c>
      <c r="F34" s="154">
        <f>IFERROR(__xludf.DUMMYFUNCTION("""COMPUTED_VALUE"""),2.0)</f>
        <v>2</v>
      </c>
      <c r="G34" s="154"/>
      <c r="H34" s="155">
        <f>IFERROR(__xludf.DUMMYFUNCTION("""COMPUTED_VALUE"""),10.0)</f>
        <v>10</v>
      </c>
      <c r="I34" s="156">
        <f>IFERROR(__xludf.DUMMYFUNCTION("""COMPUTED_VALUE"""),0.0)</f>
        <v>0</v>
      </c>
      <c r="J34" s="157">
        <f>IFERROR(__xludf.DUMMYFUNCTION("""COMPUTED_VALUE"""),10.0)</f>
        <v>10</v>
      </c>
      <c r="K34" s="156"/>
      <c r="L34" s="159">
        <f>IFERROR(__xludf.DUMMYFUNCTION("""COMPUTED_VALUE"""),10.0)</f>
        <v>10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3">
        <f>IFERROR(__xludf.DUMMYFUNCTION("""COMPUTED_VALUE"""),19.0)</f>
        <v>19</v>
      </c>
      <c r="B35" s="52" t="str">
        <f>IFERROR(__xludf.DUMMYFUNCTION("""COMPUTED_VALUE"""),"GARCIA")</f>
        <v>GARCIA</v>
      </c>
      <c r="C35" s="53" t="str">
        <f>IFERROR(__xludf.DUMMYFUNCTION("""COMPUTED_VALUE"""),"ESCOBAR")</f>
        <v>ESCOBAR</v>
      </c>
      <c r="D35" s="54" t="str">
        <f>IFERROR(__xludf.DUMMYFUNCTION("""COMPUTED_VALUE"""),"DALIA ANGELINA")</f>
        <v>DALIA ANGELINA</v>
      </c>
      <c r="E35" s="154">
        <f>IFERROR(__xludf.DUMMYFUNCTION("""COMPUTED_VALUE"""),8.0)</f>
        <v>8</v>
      </c>
      <c r="F35" s="154">
        <f>IFERROR(__xludf.DUMMYFUNCTION("""COMPUTED_VALUE"""),2.0)</f>
        <v>2</v>
      </c>
      <c r="G35" s="154"/>
      <c r="H35" s="155">
        <f>IFERROR(__xludf.DUMMYFUNCTION("""COMPUTED_VALUE"""),10.0)</f>
        <v>10</v>
      </c>
      <c r="I35" s="156">
        <f>IFERROR(__xludf.DUMMYFUNCTION("""COMPUTED_VALUE"""),0.0)</f>
        <v>0</v>
      </c>
      <c r="J35" s="157">
        <f>IFERROR(__xludf.DUMMYFUNCTION("""COMPUTED_VALUE"""),10.0)</f>
        <v>10</v>
      </c>
      <c r="K35" s="156"/>
      <c r="L35" s="159">
        <f>IFERROR(__xludf.DUMMYFUNCTION("""COMPUTED_VALUE"""),10.0)</f>
        <v>10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3">
        <f>IFERROR(__xludf.DUMMYFUNCTION("""COMPUTED_VALUE"""),20.0)</f>
        <v>20</v>
      </c>
      <c r="B36" s="52" t="str">
        <f>IFERROR(__xludf.DUMMYFUNCTION("""COMPUTED_VALUE"""),"GONZALEZ")</f>
        <v>GONZALEZ</v>
      </c>
      <c r="C36" s="53" t="str">
        <f>IFERROR(__xludf.DUMMYFUNCTION("""COMPUTED_VALUE"""),"BAÑOS")</f>
        <v>BAÑOS</v>
      </c>
      <c r="D36" s="54" t="str">
        <f>IFERROR(__xludf.DUMMYFUNCTION("""COMPUTED_VALUE"""),"DAVID EDUARDO")</f>
        <v>DAVID EDUARDO</v>
      </c>
      <c r="E36" s="154">
        <f>IFERROR(__xludf.DUMMYFUNCTION("""COMPUTED_VALUE"""),7.2)</f>
        <v>7.2</v>
      </c>
      <c r="F36" s="154">
        <f>IFERROR(__xludf.DUMMYFUNCTION("""COMPUTED_VALUE"""),2.0)</f>
        <v>2</v>
      </c>
      <c r="G36" s="154"/>
      <c r="H36" s="155">
        <f>IFERROR(__xludf.DUMMYFUNCTION("""COMPUTED_VALUE"""),9.2)</f>
        <v>9.2</v>
      </c>
      <c r="I36" s="156">
        <f>IFERROR(__xludf.DUMMYFUNCTION("""COMPUTED_VALUE"""),0.0)</f>
        <v>0</v>
      </c>
      <c r="J36" s="157">
        <f>IFERROR(__xludf.DUMMYFUNCTION("""COMPUTED_VALUE"""),9.0)</f>
        <v>9</v>
      </c>
      <c r="K36" s="156"/>
      <c r="L36" s="159">
        <f>IFERROR(__xludf.DUMMYFUNCTION("""COMPUTED_VALUE"""),9.0)</f>
        <v>9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3">
        <f>IFERROR(__xludf.DUMMYFUNCTION("""COMPUTED_VALUE"""),21.0)</f>
        <v>21</v>
      </c>
      <c r="B37" s="52" t="str">
        <f>IFERROR(__xludf.DUMMYFUNCTION("""COMPUTED_VALUE"""),"GONZALEZ")</f>
        <v>GONZALEZ</v>
      </c>
      <c r="C37" s="53" t="str">
        <f>IFERROR(__xludf.DUMMYFUNCTION("""COMPUTED_VALUE"""),"CAZARES")</f>
        <v>CAZARES</v>
      </c>
      <c r="D37" s="65" t="str">
        <f>IFERROR(__xludf.DUMMYFUNCTION("""COMPUTED_VALUE"""),"CRISTHIAN")</f>
        <v>CRISTHIAN</v>
      </c>
      <c r="E37" s="154">
        <f>IFERROR(__xludf.DUMMYFUNCTION("""COMPUTED_VALUE"""),7.2)</f>
        <v>7.2</v>
      </c>
      <c r="F37" s="154">
        <f>IFERROR(__xludf.DUMMYFUNCTION("""COMPUTED_VALUE"""),2.0)</f>
        <v>2</v>
      </c>
      <c r="G37" s="154"/>
      <c r="H37" s="155">
        <f>IFERROR(__xludf.DUMMYFUNCTION("""COMPUTED_VALUE"""),9.2)</f>
        <v>9.2</v>
      </c>
      <c r="I37" s="156">
        <f>IFERROR(__xludf.DUMMYFUNCTION("""COMPUTED_VALUE"""),0.0)</f>
        <v>0</v>
      </c>
      <c r="J37" s="157">
        <f>IFERROR(__xludf.DUMMYFUNCTION("""COMPUTED_VALUE"""),9.0)</f>
        <v>9</v>
      </c>
      <c r="K37" s="156"/>
      <c r="L37" s="159">
        <f>IFERROR(__xludf.DUMMYFUNCTION("""COMPUTED_VALUE"""),9.0)</f>
        <v>9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3">
        <f>IFERROR(__xludf.DUMMYFUNCTION("""COMPUTED_VALUE"""),22.0)</f>
        <v>22</v>
      </c>
      <c r="B38" s="52" t="str">
        <f>IFERROR(__xludf.DUMMYFUNCTION("""COMPUTED_VALUE"""),"GRANADOS")</f>
        <v>GRANADOS</v>
      </c>
      <c r="C38" s="53" t="str">
        <f>IFERROR(__xludf.DUMMYFUNCTION("""COMPUTED_VALUE"""),"GUERRERO")</f>
        <v>GUERRERO</v>
      </c>
      <c r="D38" s="54" t="str">
        <f>IFERROR(__xludf.DUMMYFUNCTION("""COMPUTED_VALUE"""),"ZARA")</f>
        <v>ZARA</v>
      </c>
      <c r="E38" s="154">
        <f>IFERROR(__xludf.DUMMYFUNCTION("""COMPUTED_VALUE"""),8.0)</f>
        <v>8</v>
      </c>
      <c r="F38" s="154">
        <f>IFERROR(__xludf.DUMMYFUNCTION("""COMPUTED_VALUE"""),2.0)</f>
        <v>2</v>
      </c>
      <c r="G38" s="154"/>
      <c r="H38" s="155">
        <f>IFERROR(__xludf.DUMMYFUNCTION("""COMPUTED_VALUE"""),10.0)</f>
        <v>10</v>
      </c>
      <c r="I38" s="156">
        <f>IFERROR(__xludf.DUMMYFUNCTION("""COMPUTED_VALUE"""),0.0)</f>
        <v>0</v>
      </c>
      <c r="J38" s="157">
        <f>IFERROR(__xludf.DUMMYFUNCTION("""COMPUTED_VALUE"""),10.0)</f>
        <v>10</v>
      </c>
      <c r="K38" s="156"/>
      <c r="L38" s="159">
        <f>IFERROR(__xludf.DUMMYFUNCTION("""COMPUTED_VALUE"""),10.0)</f>
        <v>10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3">
        <f>IFERROR(__xludf.DUMMYFUNCTION("""COMPUTED_VALUE"""),23.0)</f>
        <v>23</v>
      </c>
      <c r="B39" s="52" t="str">
        <f>IFERROR(__xludf.DUMMYFUNCTION("""COMPUTED_VALUE"""),"HERNANDEZ")</f>
        <v>HERNANDEZ</v>
      </c>
      <c r="C39" s="53" t="str">
        <f>IFERROR(__xludf.DUMMYFUNCTION("""COMPUTED_VALUE"""),"CANCHOLA")</f>
        <v>CANCHOLA</v>
      </c>
      <c r="D39" s="65" t="str">
        <f>IFERROR(__xludf.DUMMYFUNCTION("""COMPUTED_VALUE"""),"MELANIE")</f>
        <v>MELANIE</v>
      </c>
      <c r="E39" s="154">
        <f>IFERROR(__xludf.DUMMYFUNCTION("""COMPUTED_VALUE"""),7.2)</f>
        <v>7.2</v>
      </c>
      <c r="F39" s="154">
        <f>IFERROR(__xludf.DUMMYFUNCTION("""COMPUTED_VALUE"""),2.0)</f>
        <v>2</v>
      </c>
      <c r="G39" s="154"/>
      <c r="H39" s="155">
        <f>IFERROR(__xludf.DUMMYFUNCTION("""COMPUTED_VALUE"""),9.2)</f>
        <v>9.2</v>
      </c>
      <c r="I39" s="156">
        <f>IFERROR(__xludf.DUMMYFUNCTION("""COMPUTED_VALUE"""),0.0)</f>
        <v>0</v>
      </c>
      <c r="J39" s="157">
        <f>IFERROR(__xludf.DUMMYFUNCTION("""COMPUTED_VALUE"""),9.0)</f>
        <v>9</v>
      </c>
      <c r="K39" s="156"/>
      <c r="L39" s="159">
        <f>IFERROR(__xludf.DUMMYFUNCTION("""COMPUTED_VALUE"""),9.0)</f>
        <v>9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3">
        <f>IFERROR(__xludf.DUMMYFUNCTION("""COMPUTED_VALUE"""),24.0)</f>
        <v>24</v>
      </c>
      <c r="B40" s="66" t="str">
        <f>IFERROR(__xludf.DUMMYFUNCTION("""COMPUTED_VALUE"""),"HERNANDEZ")</f>
        <v>HERNANDEZ</v>
      </c>
      <c r="C40" s="67" t="str">
        <f>IFERROR(__xludf.DUMMYFUNCTION("""COMPUTED_VALUE"""),"ESPARRAGOZA")</f>
        <v>ESPARRAGOZA</v>
      </c>
      <c r="D40" s="54" t="str">
        <f>IFERROR(__xludf.DUMMYFUNCTION("""COMPUTED_VALUE"""),"DANTE ALEXANDER")</f>
        <v>DANTE ALEXANDER</v>
      </c>
      <c r="E40" s="154">
        <f>IFERROR(__xludf.DUMMYFUNCTION("""COMPUTED_VALUE"""),8.0)</f>
        <v>8</v>
      </c>
      <c r="F40" s="154">
        <f>IFERROR(__xludf.DUMMYFUNCTION("""COMPUTED_VALUE"""),2.0)</f>
        <v>2</v>
      </c>
      <c r="G40" s="154"/>
      <c r="H40" s="155">
        <f>IFERROR(__xludf.DUMMYFUNCTION("""COMPUTED_VALUE"""),10.0)</f>
        <v>10</v>
      </c>
      <c r="I40" s="156">
        <f>IFERROR(__xludf.DUMMYFUNCTION("""COMPUTED_VALUE"""),0.0)</f>
        <v>0</v>
      </c>
      <c r="J40" s="157">
        <f>IFERROR(__xludf.DUMMYFUNCTION("""COMPUTED_VALUE"""),10.0)</f>
        <v>10</v>
      </c>
      <c r="K40" s="156"/>
      <c r="L40" s="159">
        <f>IFERROR(__xludf.DUMMYFUNCTION("""COMPUTED_VALUE"""),10.0)</f>
        <v>10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3">
        <f>IFERROR(__xludf.DUMMYFUNCTION("""COMPUTED_VALUE"""),25.0)</f>
        <v>25</v>
      </c>
      <c r="B41" s="52" t="str">
        <f>IFERROR(__xludf.DUMMYFUNCTION("""COMPUTED_VALUE"""),"HERNANDEZ")</f>
        <v>HERNANDEZ</v>
      </c>
      <c r="C41" s="53" t="str">
        <f>IFERROR(__xludf.DUMMYFUNCTION("""COMPUTED_VALUE"""),"MUÑOZ")</f>
        <v>MUÑOZ</v>
      </c>
      <c r="D41" s="54" t="str">
        <f>IFERROR(__xludf.DUMMYFUNCTION("""COMPUTED_VALUE"""),"MARIA JOSE")</f>
        <v>MARIA JOSE</v>
      </c>
      <c r="E41" s="154">
        <f>IFERROR(__xludf.DUMMYFUNCTION("""COMPUTED_VALUE"""),8.0)</f>
        <v>8</v>
      </c>
      <c r="F41" s="154">
        <f>IFERROR(__xludf.DUMMYFUNCTION("""COMPUTED_VALUE"""),2.0)</f>
        <v>2</v>
      </c>
      <c r="G41" s="154"/>
      <c r="H41" s="155">
        <f>IFERROR(__xludf.DUMMYFUNCTION("""COMPUTED_VALUE"""),10.0)</f>
        <v>10</v>
      </c>
      <c r="I41" s="156">
        <f>IFERROR(__xludf.DUMMYFUNCTION("""COMPUTED_VALUE"""),0.0)</f>
        <v>0</v>
      </c>
      <c r="J41" s="157">
        <f>IFERROR(__xludf.DUMMYFUNCTION("""COMPUTED_VALUE"""),10.0)</f>
        <v>10</v>
      </c>
      <c r="K41" s="156"/>
      <c r="L41" s="159">
        <f>IFERROR(__xludf.DUMMYFUNCTION("""COMPUTED_VALUE"""),10.0)</f>
        <v>10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3">
        <f>IFERROR(__xludf.DUMMYFUNCTION("""COMPUTED_VALUE"""),26.0)</f>
        <v>26</v>
      </c>
      <c r="B42" s="52" t="str">
        <f>IFERROR(__xludf.DUMMYFUNCTION("""COMPUTED_VALUE"""),"JARAMILLO")</f>
        <v>JARAMILLO</v>
      </c>
      <c r="C42" s="53" t="str">
        <f>IFERROR(__xludf.DUMMYFUNCTION("""COMPUTED_VALUE"""),"SANDOVAL")</f>
        <v>SANDOVAL</v>
      </c>
      <c r="D42" s="54" t="str">
        <f>IFERROR(__xludf.DUMMYFUNCTION("""COMPUTED_VALUE"""),"MELANI JEREDIT")</f>
        <v>MELANI JEREDIT</v>
      </c>
      <c r="E42" s="154">
        <f>IFERROR(__xludf.DUMMYFUNCTION("""COMPUTED_VALUE"""),7.2)</f>
        <v>7.2</v>
      </c>
      <c r="F42" s="154">
        <f>IFERROR(__xludf.DUMMYFUNCTION("""COMPUTED_VALUE"""),2.0)</f>
        <v>2</v>
      </c>
      <c r="G42" s="154"/>
      <c r="H42" s="155">
        <f>IFERROR(__xludf.DUMMYFUNCTION("""COMPUTED_VALUE"""),9.2)</f>
        <v>9.2</v>
      </c>
      <c r="I42" s="156">
        <f>IFERROR(__xludf.DUMMYFUNCTION("""COMPUTED_VALUE"""),0.0)</f>
        <v>0</v>
      </c>
      <c r="J42" s="157">
        <f>IFERROR(__xludf.DUMMYFUNCTION("""COMPUTED_VALUE"""),9.0)</f>
        <v>9</v>
      </c>
      <c r="K42" s="156"/>
      <c r="L42" s="159">
        <f>IFERROR(__xludf.DUMMYFUNCTION("""COMPUTED_VALUE"""),9.0)</f>
        <v>9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3">
        <f>IFERROR(__xludf.DUMMYFUNCTION("""COMPUTED_VALUE"""),27.0)</f>
        <v>27</v>
      </c>
      <c r="B43" s="52" t="str">
        <f>IFERROR(__xludf.DUMMYFUNCTION("""COMPUTED_VALUE"""),"LEMUS")</f>
        <v>LEMUS</v>
      </c>
      <c r="C43" s="53" t="str">
        <f>IFERROR(__xludf.DUMMYFUNCTION("""COMPUTED_VALUE"""),"AVILA")</f>
        <v>AVILA</v>
      </c>
      <c r="D43" s="54" t="str">
        <f>IFERROR(__xludf.DUMMYFUNCTION("""COMPUTED_VALUE"""),"ANA GABRIELA")</f>
        <v>ANA GABRIELA</v>
      </c>
      <c r="E43" s="154">
        <f>IFERROR(__xludf.DUMMYFUNCTION("""COMPUTED_VALUE"""),8.0)</f>
        <v>8</v>
      </c>
      <c r="F43" s="154">
        <f>IFERROR(__xludf.DUMMYFUNCTION("""COMPUTED_VALUE"""),2.0)</f>
        <v>2</v>
      </c>
      <c r="G43" s="154"/>
      <c r="H43" s="155">
        <f>IFERROR(__xludf.DUMMYFUNCTION("""COMPUTED_VALUE"""),10.0)</f>
        <v>10</v>
      </c>
      <c r="I43" s="156">
        <f>IFERROR(__xludf.DUMMYFUNCTION("""COMPUTED_VALUE"""),0.0)</f>
        <v>0</v>
      </c>
      <c r="J43" s="157">
        <f>IFERROR(__xludf.DUMMYFUNCTION("""COMPUTED_VALUE"""),10.0)</f>
        <v>10</v>
      </c>
      <c r="K43" s="156"/>
      <c r="L43" s="159">
        <f>IFERROR(__xludf.DUMMYFUNCTION("""COMPUTED_VALUE"""),10.0)</f>
        <v>10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3">
        <f>IFERROR(__xludf.DUMMYFUNCTION("""COMPUTED_VALUE"""),28.0)</f>
        <v>28</v>
      </c>
      <c r="B44" s="52" t="str">
        <f>IFERROR(__xludf.DUMMYFUNCTION("""COMPUTED_VALUE"""),"LOPEZ")</f>
        <v>LOPEZ</v>
      </c>
      <c r="C44" s="53" t="str">
        <f>IFERROR(__xludf.DUMMYFUNCTION("""COMPUTED_VALUE"""),"OLVERA")</f>
        <v>OLVERA</v>
      </c>
      <c r="D44" s="54" t="str">
        <f>IFERROR(__xludf.DUMMYFUNCTION("""COMPUTED_VALUE"""),"GABRIELA LIZETH")</f>
        <v>GABRIELA LIZETH</v>
      </c>
      <c r="E44" s="154">
        <f>IFERROR(__xludf.DUMMYFUNCTION("""COMPUTED_VALUE"""),7.2)</f>
        <v>7.2</v>
      </c>
      <c r="F44" s="154">
        <f>IFERROR(__xludf.DUMMYFUNCTION("""COMPUTED_VALUE"""),2.0)</f>
        <v>2</v>
      </c>
      <c r="G44" s="154"/>
      <c r="H44" s="155">
        <f>IFERROR(__xludf.DUMMYFUNCTION("""COMPUTED_VALUE"""),9.2)</f>
        <v>9.2</v>
      </c>
      <c r="I44" s="156">
        <f>IFERROR(__xludf.DUMMYFUNCTION("""COMPUTED_VALUE"""),0.0)</f>
        <v>0</v>
      </c>
      <c r="J44" s="157">
        <f>IFERROR(__xludf.DUMMYFUNCTION("""COMPUTED_VALUE"""),9.0)</f>
        <v>9</v>
      </c>
      <c r="K44" s="156"/>
      <c r="L44" s="159">
        <f>IFERROR(__xludf.DUMMYFUNCTION("""COMPUTED_VALUE"""),9.0)</f>
        <v>9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3">
        <f>IFERROR(__xludf.DUMMYFUNCTION("""COMPUTED_VALUE"""),29.0)</f>
        <v>29</v>
      </c>
      <c r="B45" s="52" t="str">
        <f>IFERROR(__xludf.DUMMYFUNCTION("""COMPUTED_VALUE"""),"LOPEZ")</f>
        <v>LOPEZ</v>
      </c>
      <c r="C45" s="53" t="str">
        <f>IFERROR(__xludf.DUMMYFUNCTION("""COMPUTED_VALUE"""),"PANIAGÚA")</f>
        <v>PANIAGÚA</v>
      </c>
      <c r="D45" s="54" t="str">
        <f>IFERROR(__xludf.DUMMYFUNCTION("""COMPUTED_VALUE"""),"ANGEL GIOVANNI")</f>
        <v>ANGEL GIOVANNI</v>
      </c>
      <c r="E45" s="154">
        <f>IFERROR(__xludf.DUMMYFUNCTION("""COMPUTED_VALUE"""),8.0)</f>
        <v>8</v>
      </c>
      <c r="F45" s="154">
        <f>IFERROR(__xludf.DUMMYFUNCTION("""COMPUTED_VALUE"""),2.0)</f>
        <v>2</v>
      </c>
      <c r="G45" s="154"/>
      <c r="H45" s="155">
        <f>IFERROR(__xludf.DUMMYFUNCTION("""COMPUTED_VALUE"""),10.0)</f>
        <v>10</v>
      </c>
      <c r="I45" s="156">
        <f>IFERROR(__xludf.DUMMYFUNCTION("""COMPUTED_VALUE"""),0.0)</f>
        <v>0</v>
      </c>
      <c r="J45" s="157">
        <f>IFERROR(__xludf.DUMMYFUNCTION("""COMPUTED_VALUE"""),10.0)</f>
        <v>10</v>
      </c>
      <c r="K45" s="156"/>
      <c r="L45" s="159">
        <f>IFERROR(__xludf.DUMMYFUNCTION("""COMPUTED_VALUE"""),10.0)</f>
        <v>10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3">
        <f>IFERROR(__xludf.DUMMYFUNCTION("""COMPUTED_VALUE"""),30.0)</f>
        <v>30</v>
      </c>
      <c r="B46" s="52" t="str">
        <f>IFERROR(__xludf.DUMMYFUNCTION("""COMPUTED_VALUE"""),"LUNA")</f>
        <v>LUNA</v>
      </c>
      <c r="C46" s="53" t="str">
        <f>IFERROR(__xludf.DUMMYFUNCTION("""COMPUTED_VALUE"""),"HERNANDEZ")</f>
        <v>HERNANDEZ</v>
      </c>
      <c r="D46" s="54" t="str">
        <f>IFERROR(__xludf.DUMMYFUNCTION("""COMPUTED_VALUE"""),"DEA ISABELLA")</f>
        <v>DEA ISABELLA</v>
      </c>
      <c r="E46" s="154">
        <f>IFERROR(__xludf.DUMMYFUNCTION("""COMPUTED_VALUE"""),8.0)</f>
        <v>8</v>
      </c>
      <c r="F46" s="154">
        <f>IFERROR(__xludf.DUMMYFUNCTION("""COMPUTED_VALUE"""),2.0)</f>
        <v>2</v>
      </c>
      <c r="G46" s="154"/>
      <c r="H46" s="155">
        <f>IFERROR(__xludf.DUMMYFUNCTION("""COMPUTED_VALUE"""),10.0)</f>
        <v>10</v>
      </c>
      <c r="I46" s="156">
        <f>IFERROR(__xludf.DUMMYFUNCTION("""COMPUTED_VALUE"""),0.0)</f>
        <v>0</v>
      </c>
      <c r="J46" s="157">
        <f>IFERROR(__xludf.DUMMYFUNCTION("""COMPUTED_VALUE"""),10.0)</f>
        <v>10</v>
      </c>
      <c r="K46" s="156"/>
      <c r="L46" s="159">
        <f>IFERROR(__xludf.DUMMYFUNCTION("""COMPUTED_VALUE"""),10.0)</f>
        <v>10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3">
        <f>IFERROR(__xludf.DUMMYFUNCTION("""COMPUTED_VALUE"""),31.0)</f>
        <v>31</v>
      </c>
      <c r="B47" s="52" t="str">
        <f>IFERROR(__xludf.DUMMYFUNCTION("""COMPUTED_VALUE"""),"MARES")</f>
        <v>MARES</v>
      </c>
      <c r="C47" s="53" t="str">
        <f>IFERROR(__xludf.DUMMYFUNCTION("""COMPUTED_VALUE"""),"GONZALEZ")</f>
        <v>GONZALEZ</v>
      </c>
      <c r="D47" s="54" t="str">
        <f>IFERROR(__xludf.DUMMYFUNCTION("""COMPUTED_VALUE"""),"JOSE CARLOS")</f>
        <v>JOSE CARLOS</v>
      </c>
      <c r="E47" s="154">
        <f>IFERROR(__xludf.DUMMYFUNCTION("""COMPUTED_VALUE"""),8.0)</f>
        <v>8</v>
      </c>
      <c r="F47" s="154">
        <f>IFERROR(__xludf.DUMMYFUNCTION("""COMPUTED_VALUE"""),2.0)</f>
        <v>2</v>
      </c>
      <c r="G47" s="154"/>
      <c r="H47" s="155">
        <f>IFERROR(__xludf.DUMMYFUNCTION("""COMPUTED_VALUE"""),10.0)</f>
        <v>10</v>
      </c>
      <c r="I47" s="156">
        <f>IFERROR(__xludf.DUMMYFUNCTION("""COMPUTED_VALUE"""),0.0)</f>
        <v>0</v>
      </c>
      <c r="J47" s="157">
        <f>IFERROR(__xludf.DUMMYFUNCTION("""COMPUTED_VALUE"""),10.0)</f>
        <v>10</v>
      </c>
      <c r="K47" s="156"/>
      <c r="L47" s="159">
        <f>IFERROR(__xludf.DUMMYFUNCTION("""COMPUTED_VALUE"""),10.0)</f>
        <v>10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3">
        <f>IFERROR(__xludf.DUMMYFUNCTION("""COMPUTED_VALUE"""),32.0)</f>
        <v>32</v>
      </c>
      <c r="B48" s="52" t="str">
        <f>IFERROR(__xludf.DUMMYFUNCTION("""COMPUTED_VALUE"""),"MARTINEZ")</f>
        <v>MARTINEZ</v>
      </c>
      <c r="C48" s="53" t="str">
        <f>IFERROR(__xludf.DUMMYFUNCTION("""COMPUTED_VALUE"""),"REYES")</f>
        <v>REYES</v>
      </c>
      <c r="D48" s="54" t="str">
        <f>IFERROR(__xludf.DUMMYFUNCTION("""COMPUTED_VALUE"""),"JACQUELINE ANDREA")</f>
        <v>JACQUELINE ANDREA</v>
      </c>
      <c r="E48" s="154">
        <f>IFERROR(__xludf.DUMMYFUNCTION("""COMPUTED_VALUE"""),8.0)</f>
        <v>8</v>
      </c>
      <c r="F48" s="154">
        <f>IFERROR(__xludf.DUMMYFUNCTION("""COMPUTED_VALUE"""),2.0)</f>
        <v>2</v>
      </c>
      <c r="G48" s="154"/>
      <c r="H48" s="155">
        <f>IFERROR(__xludf.DUMMYFUNCTION("""COMPUTED_VALUE"""),10.0)</f>
        <v>10</v>
      </c>
      <c r="I48" s="156">
        <f>IFERROR(__xludf.DUMMYFUNCTION("""COMPUTED_VALUE"""),0.0)</f>
        <v>0</v>
      </c>
      <c r="J48" s="157">
        <f>IFERROR(__xludf.DUMMYFUNCTION("""COMPUTED_VALUE"""),10.0)</f>
        <v>10</v>
      </c>
      <c r="K48" s="156"/>
      <c r="L48" s="159">
        <f>IFERROR(__xludf.DUMMYFUNCTION("""COMPUTED_VALUE"""),10.0)</f>
        <v>10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3">
        <f>IFERROR(__xludf.DUMMYFUNCTION("""COMPUTED_VALUE"""),33.0)</f>
        <v>33</v>
      </c>
      <c r="B49" s="52" t="str">
        <f>IFERROR(__xludf.DUMMYFUNCTION("""COMPUTED_VALUE"""),"MARTINEZ")</f>
        <v>MARTINEZ</v>
      </c>
      <c r="C49" s="53" t="str">
        <f>IFERROR(__xludf.DUMMYFUNCTION("""COMPUTED_VALUE"""),"VELAZQUEZ")</f>
        <v>VELAZQUEZ</v>
      </c>
      <c r="D49" s="65" t="str">
        <f>IFERROR(__xludf.DUMMYFUNCTION("""COMPUTED_VALUE"""),"OSCAR ZADKIEL")</f>
        <v>OSCAR ZADKIEL</v>
      </c>
      <c r="E49" s="154">
        <f>IFERROR(__xludf.DUMMYFUNCTION("""COMPUTED_VALUE"""),8.0)</f>
        <v>8</v>
      </c>
      <c r="F49" s="154">
        <f>IFERROR(__xludf.DUMMYFUNCTION("""COMPUTED_VALUE"""),2.0)</f>
        <v>2</v>
      </c>
      <c r="G49" s="154"/>
      <c r="H49" s="155">
        <f>IFERROR(__xludf.DUMMYFUNCTION("""COMPUTED_VALUE"""),10.0)</f>
        <v>10</v>
      </c>
      <c r="I49" s="156">
        <f>IFERROR(__xludf.DUMMYFUNCTION("""COMPUTED_VALUE"""),0.0)</f>
        <v>0</v>
      </c>
      <c r="J49" s="157">
        <f>IFERROR(__xludf.DUMMYFUNCTION("""COMPUTED_VALUE"""),10.0)</f>
        <v>10</v>
      </c>
      <c r="K49" s="156"/>
      <c r="L49" s="159">
        <f>IFERROR(__xludf.DUMMYFUNCTION("""COMPUTED_VALUE"""),10.0)</f>
        <v>10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3">
        <f>IFERROR(__xludf.DUMMYFUNCTION("""COMPUTED_VALUE"""),34.0)</f>
        <v>34</v>
      </c>
      <c r="B50" s="52" t="str">
        <f>IFERROR(__xludf.DUMMYFUNCTION("""COMPUTED_VALUE"""),"MORAN")</f>
        <v>MORAN</v>
      </c>
      <c r="C50" s="53" t="str">
        <f>IFERROR(__xludf.DUMMYFUNCTION("""COMPUTED_VALUE"""),"ALMAGUER")</f>
        <v>ALMAGUER</v>
      </c>
      <c r="D50" s="54" t="str">
        <f>IFERROR(__xludf.DUMMYFUNCTION("""COMPUTED_VALUE"""),"LEYLANI")</f>
        <v>LEYLANI</v>
      </c>
      <c r="E50" s="154">
        <f>IFERROR(__xludf.DUMMYFUNCTION("""COMPUTED_VALUE"""),8.0)</f>
        <v>8</v>
      </c>
      <c r="F50" s="154">
        <f>IFERROR(__xludf.DUMMYFUNCTION("""COMPUTED_VALUE"""),2.0)</f>
        <v>2</v>
      </c>
      <c r="G50" s="154"/>
      <c r="H50" s="155">
        <f>IFERROR(__xludf.DUMMYFUNCTION("""COMPUTED_VALUE"""),10.0)</f>
        <v>10</v>
      </c>
      <c r="I50" s="156">
        <f>IFERROR(__xludf.DUMMYFUNCTION("""COMPUTED_VALUE"""),0.0)</f>
        <v>0</v>
      </c>
      <c r="J50" s="157">
        <f>IFERROR(__xludf.DUMMYFUNCTION("""COMPUTED_VALUE"""),10.0)</f>
        <v>10</v>
      </c>
      <c r="K50" s="156"/>
      <c r="L50" s="159">
        <f>IFERROR(__xludf.DUMMYFUNCTION("""COMPUTED_VALUE"""),10.0)</f>
        <v>10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3">
        <f>IFERROR(__xludf.DUMMYFUNCTION("""COMPUTED_VALUE"""),35.0)</f>
        <v>35</v>
      </c>
      <c r="B51" s="52" t="str">
        <f>IFERROR(__xludf.DUMMYFUNCTION("""COMPUTED_VALUE"""),"MORENO")</f>
        <v>MORENO</v>
      </c>
      <c r="C51" s="53" t="str">
        <f>IFERROR(__xludf.DUMMYFUNCTION("""COMPUTED_VALUE"""),"VALENZUELA")</f>
        <v>VALENZUELA</v>
      </c>
      <c r="D51" s="54" t="str">
        <f>IFERROR(__xludf.DUMMYFUNCTION("""COMPUTED_VALUE"""),"SANTIAGO ISMAEL")</f>
        <v>SANTIAGO ISMAEL</v>
      </c>
      <c r="E51" s="154">
        <f>IFERROR(__xludf.DUMMYFUNCTION("""COMPUTED_VALUE"""),8.0)</f>
        <v>8</v>
      </c>
      <c r="F51" s="154">
        <f>IFERROR(__xludf.DUMMYFUNCTION("""COMPUTED_VALUE"""),2.0)</f>
        <v>2</v>
      </c>
      <c r="G51" s="154"/>
      <c r="H51" s="155">
        <f>IFERROR(__xludf.DUMMYFUNCTION("""COMPUTED_VALUE"""),10.0)</f>
        <v>10</v>
      </c>
      <c r="I51" s="156">
        <f>IFERROR(__xludf.DUMMYFUNCTION("""COMPUTED_VALUE"""),0.0)</f>
        <v>0</v>
      </c>
      <c r="J51" s="157">
        <f>IFERROR(__xludf.DUMMYFUNCTION("""COMPUTED_VALUE"""),10.0)</f>
        <v>10</v>
      </c>
      <c r="K51" s="156"/>
      <c r="L51" s="159">
        <f>IFERROR(__xludf.DUMMYFUNCTION("""COMPUTED_VALUE"""),10.0)</f>
        <v>10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3">
        <f>IFERROR(__xludf.DUMMYFUNCTION("""COMPUTED_VALUE"""),36.0)</f>
        <v>36</v>
      </c>
      <c r="B52" s="52" t="str">
        <f>IFERROR(__xludf.DUMMYFUNCTION("""COMPUTED_VALUE"""),"NUÑEZ")</f>
        <v>NUÑEZ</v>
      </c>
      <c r="C52" s="53" t="str">
        <f>IFERROR(__xludf.DUMMYFUNCTION("""COMPUTED_VALUE"""),"FLORES")</f>
        <v>FLORES</v>
      </c>
      <c r="D52" s="54" t="str">
        <f>IFERROR(__xludf.DUMMYFUNCTION("""COMPUTED_VALUE"""),"ANDREA MAYARI")</f>
        <v>ANDREA MAYARI</v>
      </c>
      <c r="E52" s="154">
        <f>IFERROR(__xludf.DUMMYFUNCTION("""COMPUTED_VALUE"""),7.2)</f>
        <v>7.2</v>
      </c>
      <c r="F52" s="154">
        <f>IFERROR(__xludf.DUMMYFUNCTION("""COMPUTED_VALUE"""),2.0)</f>
        <v>2</v>
      </c>
      <c r="G52" s="154"/>
      <c r="H52" s="155">
        <f>IFERROR(__xludf.DUMMYFUNCTION("""COMPUTED_VALUE"""),9.2)</f>
        <v>9.2</v>
      </c>
      <c r="I52" s="156">
        <f>IFERROR(__xludf.DUMMYFUNCTION("""COMPUTED_VALUE"""),0.0)</f>
        <v>0</v>
      </c>
      <c r="J52" s="157">
        <f>IFERROR(__xludf.DUMMYFUNCTION("""COMPUTED_VALUE"""),9.0)</f>
        <v>9</v>
      </c>
      <c r="K52" s="156"/>
      <c r="L52" s="160">
        <f>IFERROR(__xludf.DUMMYFUNCTION("""COMPUTED_VALUE"""),9.0)</f>
        <v>9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3">
        <f>IFERROR(__xludf.DUMMYFUNCTION("""COMPUTED_VALUE"""),37.0)</f>
        <v>37</v>
      </c>
      <c r="B53" s="52" t="str">
        <f>IFERROR(__xludf.DUMMYFUNCTION("""COMPUTED_VALUE"""),"ORNELAS")</f>
        <v>ORNELAS</v>
      </c>
      <c r="C53" s="53" t="str">
        <f>IFERROR(__xludf.DUMMYFUNCTION("""COMPUTED_VALUE"""),"LOPEZ")</f>
        <v>LOPEZ</v>
      </c>
      <c r="D53" s="54" t="str">
        <f>IFERROR(__xludf.DUMMYFUNCTION("""COMPUTED_VALUE"""),"LENA VIKTORIA")</f>
        <v>LENA VIKTORIA</v>
      </c>
      <c r="E53" s="154">
        <f>IFERROR(__xludf.DUMMYFUNCTION("""COMPUTED_VALUE"""),8.0)</f>
        <v>8</v>
      </c>
      <c r="F53" s="154">
        <f>IFERROR(__xludf.DUMMYFUNCTION("""COMPUTED_VALUE"""),2.0)</f>
        <v>2</v>
      </c>
      <c r="G53" s="154"/>
      <c r="H53" s="155">
        <f>IFERROR(__xludf.DUMMYFUNCTION("""COMPUTED_VALUE"""),10.0)</f>
        <v>10</v>
      </c>
      <c r="I53" s="156">
        <f>IFERROR(__xludf.DUMMYFUNCTION("""COMPUTED_VALUE"""),0.0)</f>
        <v>0</v>
      </c>
      <c r="J53" s="157">
        <f>IFERROR(__xludf.DUMMYFUNCTION("""COMPUTED_VALUE"""),10.0)</f>
        <v>10</v>
      </c>
      <c r="K53" s="156"/>
      <c r="L53" s="160">
        <f>IFERROR(__xludf.DUMMYFUNCTION("""COMPUTED_VALUE"""),10.0)</f>
        <v>10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3">
        <f>IFERROR(__xludf.DUMMYFUNCTION("""COMPUTED_VALUE"""),38.0)</f>
        <v>38</v>
      </c>
      <c r="B54" s="52" t="str">
        <f>IFERROR(__xludf.DUMMYFUNCTION("""COMPUTED_VALUE"""),"ORTIZ")</f>
        <v>ORTIZ</v>
      </c>
      <c r="C54" s="53" t="str">
        <f>IFERROR(__xludf.DUMMYFUNCTION("""COMPUTED_VALUE"""),"RODRIGUEZ")</f>
        <v>RODRIGUEZ</v>
      </c>
      <c r="D54" s="68" t="str">
        <f>IFERROR(__xludf.DUMMYFUNCTION("""COMPUTED_VALUE"""),"GUILLERMO")</f>
        <v>GUILLERMO</v>
      </c>
      <c r="E54" s="154">
        <f>IFERROR(__xludf.DUMMYFUNCTION("""COMPUTED_VALUE"""),7.2)</f>
        <v>7.2</v>
      </c>
      <c r="F54" s="154">
        <f>IFERROR(__xludf.DUMMYFUNCTION("""COMPUTED_VALUE"""),2.0)</f>
        <v>2</v>
      </c>
      <c r="G54" s="154"/>
      <c r="H54" s="155">
        <f>IFERROR(__xludf.DUMMYFUNCTION("""COMPUTED_VALUE"""),9.2)</f>
        <v>9.2</v>
      </c>
      <c r="I54" s="156">
        <f>IFERROR(__xludf.DUMMYFUNCTION("""COMPUTED_VALUE"""),0.0)</f>
        <v>0</v>
      </c>
      <c r="J54" s="157">
        <f>IFERROR(__xludf.DUMMYFUNCTION("""COMPUTED_VALUE"""),9.0)</f>
        <v>9</v>
      </c>
      <c r="K54" s="156"/>
      <c r="L54" s="160">
        <f>IFERROR(__xludf.DUMMYFUNCTION("""COMPUTED_VALUE"""),9.0)</f>
        <v>9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3">
        <f>IFERROR(__xludf.DUMMYFUNCTION("""COMPUTED_VALUE"""),39.0)</f>
        <v>39</v>
      </c>
      <c r="B55" s="52" t="str">
        <f>IFERROR(__xludf.DUMMYFUNCTION("""COMPUTED_VALUE"""),"PACHECO")</f>
        <v>PACHECO</v>
      </c>
      <c r="C55" s="53" t="str">
        <f>IFERROR(__xludf.DUMMYFUNCTION("""COMPUTED_VALUE"""),"OLIVARES")</f>
        <v>OLIVARES</v>
      </c>
      <c r="D55" s="54" t="str">
        <f>IFERROR(__xludf.DUMMYFUNCTION("""COMPUTED_VALUE"""),"ANDRES")</f>
        <v>ANDRES</v>
      </c>
      <c r="E55" s="154">
        <f>IFERROR(__xludf.DUMMYFUNCTION("""COMPUTED_VALUE"""),7.2)</f>
        <v>7.2</v>
      </c>
      <c r="F55" s="154">
        <f>IFERROR(__xludf.DUMMYFUNCTION("""COMPUTED_VALUE"""),2.0)</f>
        <v>2</v>
      </c>
      <c r="G55" s="154"/>
      <c r="H55" s="155">
        <f>IFERROR(__xludf.DUMMYFUNCTION("""COMPUTED_VALUE"""),9.2)</f>
        <v>9.2</v>
      </c>
      <c r="I55" s="161">
        <f>IFERROR(__xludf.DUMMYFUNCTION("""COMPUTED_VALUE"""),0.0)</f>
        <v>0</v>
      </c>
      <c r="J55" s="157">
        <f>IFERROR(__xludf.DUMMYFUNCTION("""COMPUTED_VALUE"""),9.0)</f>
        <v>9</v>
      </c>
      <c r="K55" s="156"/>
      <c r="L55" s="160">
        <f>IFERROR(__xludf.DUMMYFUNCTION("""COMPUTED_VALUE"""),9.0)</f>
        <v>9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3">
        <f>IFERROR(__xludf.DUMMYFUNCTION("""COMPUTED_VALUE"""),40.0)</f>
        <v>40</v>
      </c>
      <c r="B56" s="52" t="str">
        <f>IFERROR(__xludf.DUMMYFUNCTION("""COMPUTED_VALUE"""),"PEREZ")</f>
        <v>PEREZ</v>
      </c>
      <c r="C56" s="53" t="str">
        <f>IFERROR(__xludf.DUMMYFUNCTION("""COMPUTED_VALUE"""),"SUAREZ")</f>
        <v>SUAREZ</v>
      </c>
      <c r="D56" s="54" t="str">
        <f>IFERROR(__xludf.DUMMYFUNCTION("""COMPUTED_VALUE"""),"DAVETH OSIEL")</f>
        <v>DAVETH OSIEL</v>
      </c>
      <c r="E56" s="154">
        <f>IFERROR(__xludf.DUMMYFUNCTION("""COMPUTED_VALUE"""),8.0)</f>
        <v>8</v>
      </c>
      <c r="F56" s="154">
        <f>IFERROR(__xludf.DUMMYFUNCTION("""COMPUTED_VALUE"""),2.0)</f>
        <v>2</v>
      </c>
      <c r="G56" s="154"/>
      <c r="H56" s="155">
        <f>IFERROR(__xludf.DUMMYFUNCTION("""COMPUTED_VALUE"""),10.0)</f>
        <v>10</v>
      </c>
      <c r="I56" s="161">
        <f>IFERROR(__xludf.DUMMYFUNCTION("""COMPUTED_VALUE"""),0.0)</f>
        <v>0</v>
      </c>
      <c r="J56" s="157">
        <f>IFERROR(__xludf.DUMMYFUNCTION("""COMPUTED_VALUE"""),10.0)</f>
        <v>10</v>
      </c>
      <c r="K56" s="156"/>
      <c r="L56" s="160">
        <f>IFERROR(__xludf.DUMMYFUNCTION("""COMPUTED_VALUE"""),10.0)</f>
        <v>10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3">
        <f>IFERROR(__xludf.DUMMYFUNCTION("""COMPUTED_VALUE"""),41.0)</f>
        <v>41</v>
      </c>
      <c r="B57" s="52" t="str">
        <f>IFERROR(__xludf.DUMMYFUNCTION("""COMPUTED_VALUE"""),"PUC")</f>
        <v>PUC</v>
      </c>
      <c r="C57" s="53" t="str">
        <f>IFERROR(__xludf.DUMMYFUNCTION("""COMPUTED_VALUE"""),"JIMENEZ")</f>
        <v>JIMENEZ</v>
      </c>
      <c r="D57" s="54" t="str">
        <f>IFERROR(__xludf.DUMMYFUNCTION("""COMPUTED_VALUE"""),"XIMENA DANIELA")</f>
        <v>XIMENA DANIELA</v>
      </c>
      <c r="E57" s="154">
        <f>IFERROR(__xludf.DUMMYFUNCTION("""COMPUTED_VALUE"""),8.0)</f>
        <v>8</v>
      </c>
      <c r="F57" s="154">
        <f>IFERROR(__xludf.DUMMYFUNCTION("""COMPUTED_VALUE"""),2.0)</f>
        <v>2</v>
      </c>
      <c r="G57" s="154"/>
      <c r="H57" s="155">
        <f>IFERROR(__xludf.DUMMYFUNCTION("""COMPUTED_VALUE"""),10.0)</f>
        <v>10</v>
      </c>
      <c r="I57" s="161">
        <f>IFERROR(__xludf.DUMMYFUNCTION("""COMPUTED_VALUE"""),0.0)</f>
        <v>0</v>
      </c>
      <c r="J57" s="157">
        <f>IFERROR(__xludf.DUMMYFUNCTION("""COMPUTED_VALUE"""),10.0)</f>
        <v>10</v>
      </c>
      <c r="K57" s="156"/>
      <c r="L57" s="160">
        <f>IFERROR(__xludf.DUMMYFUNCTION("""COMPUTED_VALUE"""),10.0)</f>
        <v>10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3">
        <f>IFERROR(__xludf.DUMMYFUNCTION("""COMPUTED_VALUE"""),42.0)</f>
        <v>42</v>
      </c>
      <c r="B58" s="52" t="str">
        <f>IFERROR(__xludf.DUMMYFUNCTION("""COMPUTED_VALUE"""),"RAMIREZ")</f>
        <v>RAMIREZ</v>
      </c>
      <c r="C58" s="53" t="str">
        <f>IFERROR(__xludf.DUMMYFUNCTION("""COMPUTED_VALUE"""),"ROMAN")</f>
        <v>ROMAN</v>
      </c>
      <c r="D58" s="54" t="str">
        <f>IFERROR(__xludf.DUMMYFUNCTION("""COMPUTED_VALUE"""),"XIMENA")</f>
        <v>XIMENA</v>
      </c>
      <c r="E58" s="154">
        <f>IFERROR(__xludf.DUMMYFUNCTION("""COMPUTED_VALUE"""),8.0)</f>
        <v>8</v>
      </c>
      <c r="F58" s="154">
        <f>IFERROR(__xludf.DUMMYFUNCTION("""COMPUTED_VALUE"""),2.0)</f>
        <v>2</v>
      </c>
      <c r="G58" s="154"/>
      <c r="H58" s="155">
        <f>IFERROR(__xludf.DUMMYFUNCTION("""COMPUTED_VALUE"""),10.0)</f>
        <v>10</v>
      </c>
      <c r="I58" s="161">
        <f>IFERROR(__xludf.DUMMYFUNCTION("""COMPUTED_VALUE"""),0.0)</f>
        <v>0</v>
      </c>
      <c r="J58" s="157">
        <f>IFERROR(__xludf.DUMMYFUNCTION("""COMPUTED_VALUE"""),10.0)</f>
        <v>10</v>
      </c>
      <c r="K58" s="156"/>
      <c r="L58" s="160">
        <f>IFERROR(__xludf.DUMMYFUNCTION("""COMPUTED_VALUE"""),10.0)</f>
        <v>10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3">
        <f>IFERROR(__xludf.DUMMYFUNCTION("""COMPUTED_VALUE"""),43.0)</f>
        <v>43</v>
      </c>
      <c r="B59" s="66" t="str">
        <f>IFERROR(__xludf.DUMMYFUNCTION("""COMPUTED_VALUE"""),"REYES")</f>
        <v>REYES</v>
      </c>
      <c r="C59" s="67" t="str">
        <f>IFERROR(__xludf.DUMMYFUNCTION("""COMPUTED_VALUE"""),"TREJO")</f>
        <v>TREJO</v>
      </c>
      <c r="D59" s="54" t="str">
        <f>IFERROR(__xludf.DUMMYFUNCTION("""COMPUTED_VALUE"""),"HUGO DASTAN")</f>
        <v>HUGO DASTAN</v>
      </c>
      <c r="E59" s="154">
        <f>IFERROR(__xludf.DUMMYFUNCTION("""COMPUTED_VALUE"""),7.2)</f>
        <v>7.2</v>
      </c>
      <c r="F59" s="154">
        <f>IFERROR(__xludf.DUMMYFUNCTION("""COMPUTED_VALUE"""),2.0)</f>
        <v>2</v>
      </c>
      <c r="G59" s="154"/>
      <c r="H59" s="155">
        <f>IFERROR(__xludf.DUMMYFUNCTION("""COMPUTED_VALUE"""),9.2)</f>
        <v>9.2</v>
      </c>
      <c r="I59" s="161">
        <f>IFERROR(__xludf.DUMMYFUNCTION("""COMPUTED_VALUE"""),0.0)</f>
        <v>0</v>
      </c>
      <c r="J59" s="157">
        <f>IFERROR(__xludf.DUMMYFUNCTION("""COMPUTED_VALUE"""),9.0)</f>
        <v>9</v>
      </c>
      <c r="K59" s="156"/>
      <c r="L59" s="160">
        <f>IFERROR(__xludf.DUMMYFUNCTION("""COMPUTED_VALUE"""),9.0)</f>
        <v>9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3">
        <f>IFERROR(__xludf.DUMMYFUNCTION("""COMPUTED_VALUE"""),44.0)</f>
        <v>44</v>
      </c>
      <c r="B60" s="70" t="str">
        <f>IFERROR(__xludf.DUMMYFUNCTION("""COMPUTED_VALUE"""),"RODRIGUEZ")</f>
        <v>RODRIGUEZ</v>
      </c>
      <c r="C60" s="53" t="str">
        <f>IFERROR(__xludf.DUMMYFUNCTION("""COMPUTED_VALUE"""),"ROSAS")</f>
        <v>ROSAS</v>
      </c>
      <c r="D60" s="54" t="str">
        <f>IFERROR(__xludf.DUMMYFUNCTION("""COMPUTED_VALUE"""),"XOCHITL")</f>
        <v>XOCHITL</v>
      </c>
      <c r="E60" s="154">
        <f>IFERROR(__xludf.DUMMYFUNCTION("""COMPUTED_VALUE"""),8.0)</f>
        <v>8</v>
      </c>
      <c r="F60" s="154">
        <f>IFERROR(__xludf.DUMMYFUNCTION("""COMPUTED_VALUE"""),2.0)</f>
        <v>2</v>
      </c>
      <c r="G60" s="154"/>
      <c r="H60" s="155">
        <f>IFERROR(__xludf.DUMMYFUNCTION("""COMPUTED_VALUE"""),10.0)</f>
        <v>10</v>
      </c>
      <c r="I60" s="161">
        <f>IFERROR(__xludf.DUMMYFUNCTION("""COMPUTED_VALUE"""),0.0)</f>
        <v>0</v>
      </c>
      <c r="J60" s="157">
        <f>IFERROR(__xludf.DUMMYFUNCTION("""COMPUTED_VALUE"""),10.0)</f>
        <v>10</v>
      </c>
      <c r="K60" s="156"/>
      <c r="L60" s="160">
        <f>IFERROR(__xludf.DUMMYFUNCTION("""COMPUTED_VALUE"""),10.0)</f>
        <v>10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3">
        <f>IFERROR(__xludf.DUMMYFUNCTION("""COMPUTED_VALUE"""),45.0)</f>
        <v>45</v>
      </c>
      <c r="B61" s="52" t="str">
        <f>IFERROR(__xludf.DUMMYFUNCTION("""COMPUTED_VALUE"""),"RUBIO")</f>
        <v>RUBIO</v>
      </c>
      <c r="C61" s="53" t="str">
        <f>IFERROR(__xludf.DUMMYFUNCTION("""COMPUTED_VALUE"""),"HERNANDEZ")</f>
        <v>HERNANDEZ</v>
      </c>
      <c r="D61" s="54" t="str">
        <f>IFERROR(__xludf.DUMMYFUNCTION("""COMPUTED_VALUE"""),"MACIEL ALEJANDRA")</f>
        <v>MACIEL ALEJANDRA</v>
      </c>
      <c r="E61" s="154">
        <f>IFERROR(__xludf.DUMMYFUNCTION("""COMPUTED_VALUE"""),8.0)</f>
        <v>8</v>
      </c>
      <c r="F61" s="154">
        <f>IFERROR(__xludf.DUMMYFUNCTION("""COMPUTED_VALUE"""),2.0)</f>
        <v>2</v>
      </c>
      <c r="G61" s="154"/>
      <c r="H61" s="155">
        <f>IFERROR(__xludf.DUMMYFUNCTION("""COMPUTED_VALUE"""),10.0)</f>
        <v>10</v>
      </c>
      <c r="I61" s="161">
        <f>IFERROR(__xludf.DUMMYFUNCTION("""COMPUTED_VALUE"""),0.0)</f>
        <v>0</v>
      </c>
      <c r="J61" s="157">
        <f>IFERROR(__xludf.DUMMYFUNCTION("""COMPUTED_VALUE"""),10.0)</f>
        <v>10</v>
      </c>
      <c r="K61" s="156"/>
      <c r="L61" s="160">
        <f>IFERROR(__xludf.DUMMYFUNCTION("""COMPUTED_VALUE"""),10.0)</f>
        <v>10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3">
        <f>IFERROR(__xludf.DUMMYFUNCTION("""COMPUTED_VALUE"""),46.0)</f>
        <v>46</v>
      </c>
      <c r="B62" s="70" t="str">
        <f>IFERROR(__xludf.DUMMYFUNCTION("""COMPUTED_VALUE"""),"SANTANA")</f>
        <v>SANTANA</v>
      </c>
      <c r="C62" s="53" t="str">
        <f>IFERROR(__xludf.DUMMYFUNCTION("""COMPUTED_VALUE"""),"LARA")</f>
        <v>LARA</v>
      </c>
      <c r="D62" s="54" t="str">
        <f>IFERROR(__xludf.DUMMYFUNCTION("""COMPUTED_VALUE"""),"IRVING WILLIAM")</f>
        <v>IRVING WILLIAM</v>
      </c>
      <c r="E62" s="154">
        <f>IFERROR(__xludf.DUMMYFUNCTION("""COMPUTED_VALUE"""),7.2)</f>
        <v>7.2</v>
      </c>
      <c r="F62" s="154">
        <f>IFERROR(__xludf.DUMMYFUNCTION("""COMPUTED_VALUE"""),2.0)</f>
        <v>2</v>
      </c>
      <c r="G62" s="154"/>
      <c r="H62" s="155">
        <f>IFERROR(__xludf.DUMMYFUNCTION("""COMPUTED_VALUE"""),9.2)</f>
        <v>9.2</v>
      </c>
      <c r="I62" s="161">
        <f>IFERROR(__xludf.DUMMYFUNCTION("""COMPUTED_VALUE"""),0.0)</f>
        <v>0</v>
      </c>
      <c r="J62" s="157">
        <f>IFERROR(__xludf.DUMMYFUNCTION("""COMPUTED_VALUE"""),9.0)</f>
        <v>9</v>
      </c>
      <c r="K62" s="156"/>
      <c r="L62" s="160">
        <f>IFERROR(__xludf.DUMMYFUNCTION("""COMPUTED_VALUE"""),9.0)</f>
        <v>9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3">
        <f>IFERROR(__xludf.DUMMYFUNCTION("""COMPUTED_VALUE"""),47.0)</f>
        <v>47</v>
      </c>
      <c r="B63" s="70" t="str">
        <f>IFERROR(__xludf.DUMMYFUNCTION("""COMPUTED_VALUE"""),"SANTILLAN")</f>
        <v>SANTILLAN</v>
      </c>
      <c r="C63" s="53" t="str">
        <f>IFERROR(__xludf.DUMMYFUNCTION("""COMPUTED_VALUE"""),"GONZALEZ")</f>
        <v>GONZALEZ</v>
      </c>
      <c r="D63" s="54" t="str">
        <f>IFERROR(__xludf.DUMMYFUNCTION("""COMPUTED_VALUE"""),"JAZMIN")</f>
        <v>JAZMIN</v>
      </c>
      <c r="E63" s="154">
        <f>IFERROR(__xludf.DUMMYFUNCTION("""COMPUTED_VALUE"""),8.0)</f>
        <v>8</v>
      </c>
      <c r="F63" s="154">
        <f>IFERROR(__xludf.DUMMYFUNCTION("""COMPUTED_VALUE"""),2.0)</f>
        <v>2</v>
      </c>
      <c r="G63" s="154"/>
      <c r="H63" s="155">
        <f>IFERROR(__xludf.DUMMYFUNCTION("""COMPUTED_VALUE"""),10.0)</f>
        <v>10</v>
      </c>
      <c r="I63" s="161">
        <f>IFERROR(__xludf.DUMMYFUNCTION("""COMPUTED_VALUE"""),0.0)</f>
        <v>0</v>
      </c>
      <c r="J63" s="157">
        <f>IFERROR(__xludf.DUMMYFUNCTION("""COMPUTED_VALUE"""),10.0)</f>
        <v>10</v>
      </c>
      <c r="K63" s="156"/>
      <c r="L63" s="160">
        <f>IFERROR(__xludf.DUMMYFUNCTION("""COMPUTED_VALUE"""),10.0)</f>
        <v>10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53">
        <f>IFERROR(__xludf.DUMMYFUNCTION("""COMPUTED_VALUE"""),48.0)</f>
        <v>48</v>
      </c>
      <c r="B64" s="70" t="str">
        <f>IFERROR(__xludf.DUMMYFUNCTION("""COMPUTED_VALUE"""),"SUAREZ")</f>
        <v>SUAREZ</v>
      </c>
      <c r="C64" s="53" t="str">
        <f>IFERROR(__xludf.DUMMYFUNCTION("""COMPUTED_VALUE"""),"MUÑOZ")</f>
        <v>MUÑOZ</v>
      </c>
      <c r="D64" s="54" t="str">
        <f>IFERROR(__xludf.DUMMYFUNCTION("""COMPUTED_VALUE"""),"ALDO YAEL")</f>
        <v>ALDO YAEL</v>
      </c>
      <c r="E64" s="154">
        <f>IFERROR(__xludf.DUMMYFUNCTION("""COMPUTED_VALUE"""),8.0)</f>
        <v>8</v>
      </c>
      <c r="F64" s="154">
        <f>IFERROR(__xludf.DUMMYFUNCTION("""COMPUTED_VALUE"""),2.0)</f>
        <v>2</v>
      </c>
      <c r="G64" s="154"/>
      <c r="H64" s="155">
        <f>IFERROR(__xludf.DUMMYFUNCTION("""COMPUTED_VALUE"""),10.0)</f>
        <v>10</v>
      </c>
      <c r="I64" s="161">
        <f>IFERROR(__xludf.DUMMYFUNCTION("""COMPUTED_VALUE"""),0.0)</f>
        <v>0</v>
      </c>
      <c r="J64" s="157">
        <f>IFERROR(__xludf.DUMMYFUNCTION("""COMPUTED_VALUE"""),10.0)</f>
        <v>10</v>
      </c>
      <c r="K64" s="156"/>
      <c r="L64" s="160">
        <f>IFERROR(__xludf.DUMMYFUNCTION("""COMPUTED_VALUE"""),10.0)</f>
        <v>10</v>
      </c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53">
        <f>IFERROR(__xludf.DUMMYFUNCTION("""COMPUTED_VALUE"""),49.0)</f>
        <v>49</v>
      </c>
      <c r="B65" s="70" t="str">
        <f>IFERROR(__xludf.DUMMYFUNCTION("""COMPUTED_VALUE"""),"TORRES")</f>
        <v>TORRES</v>
      </c>
      <c r="C65" s="53" t="str">
        <f>IFERROR(__xludf.DUMMYFUNCTION("""COMPUTED_VALUE"""),"DE LEON")</f>
        <v>DE LEON</v>
      </c>
      <c r="D65" s="54" t="str">
        <f>IFERROR(__xludf.DUMMYFUNCTION("""COMPUTED_VALUE"""),"AMAIRANI")</f>
        <v>AMAIRANI</v>
      </c>
      <c r="E65" s="154">
        <f>IFERROR(__xludf.DUMMYFUNCTION("""COMPUTED_VALUE"""),8.0)</f>
        <v>8</v>
      </c>
      <c r="F65" s="154">
        <f>IFERROR(__xludf.DUMMYFUNCTION("""COMPUTED_VALUE"""),2.0)</f>
        <v>2</v>
      </c>
      <c r="G65" s="154"/>
      <c r="H65" s="155">
        <f>IFERROR(__xludf.DUMMYFUNCTION("""COMPUTED_VALUE"""),10.0)</f>
        <v>10</v>
      </c>
      <c r="I65" s="161">
        <f>IFERROR(__xludf.DUMMYFUNCTION("""COMPUTED_VALUE"""),0.0)</f>
        <v>0</v>
      </c>
      <c r="J65" s="157">
        <f>IFERROR(__xludf.DUMMYFUNCTION("""COMPUTED_VALUE"""),10.0)</f>
        <v>10</v>
      </c>
      <c r="K65" s="156"/>
      <c r="L65" s="160">
        <f>IFERROR(__xludf.DUMMYFUNCTION("""COMPUTED_VALUE"""),10.0)</f>
        <v>10</v>
      </c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53">
        <f>IFERROR(__xludf.DUMMYFUNCTION("""COMPUTED_VALUE"""),50.0)</f>
        <v>50</v>
      </c>
      <c r="B66" s="70" t="str">
        <f>IFERROR(__xludf.DUMMYFUNCTION("""COMPUTED_VALUE"""),"VALDEZ")</f>
        <v>VALDEZ</v>
      </c>
      <c r="C66" s="53" t="str">
        <f>IFERROR(__xludf.DUMMYFUNCTION("""COMPUTED_VALUE"""),"ROBLES")</f>
        <v>ROBLES</v>
      </c>
      <c r="D66" s="54" t="str">
        <f>IFERROR(__xludf.DUMMYFUNCTION("""COMPUTED_VALUE"""),"OSCAR YAEL")</f>
        <v>OSCAR YAEL</v>
      </c>
      <c r="E66" s="154">
        <f>IFERROR(__xludf.DUMMYFUNCTION("""COMPUTED_VALUE"""),6.4)</f>
        <v>6.4</v>
      </c>
      <c r="F66" s="154">
        <f>IFERROR(__xludf.DUMMYFUNCTION("""COMPUTED_VALUE"""),2.0)</f>
        <v>2</v>
      </c>
      <c r="G66" s="154"/>
      <c r="H66" s="155">
        <f>IFERROR(__xludf.DUMMYFUNCTION("""COMPUTED_VALUE"""),8.4)</f>
        <v>8.4</v>
      </c>
      <c r="I66" s="161">
        <f>IFERROR(__xludf.DUMMYFUNCTION("""COMPUTED_VALUE"""),0.0)</f>
        <v>0</v>
      </c>
      <c r="J66" s="157">
        <f>IFERROR(__xludf.DUMMYFUNCTION("""COMPUTED_VALUE"""),8.0)</f>
        <v>8</v>
      </c>
      <c r="K66" s="156"/>
      <c r="L66" s="160">
        <f>IFERROR(__xludf.DUMMYFUNCTION("""COMPUTED_VALUE"""),8.0)</f>
        <v>8</v>
      </c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53">
        <f>IFERROR(__xludf.DUMMYFUNCTION("""COMPUTED_VALUE"""),51.0)</f>
        <v>51</v>
      </c>
      <c r="B67" s="70" t="str">
        <f>IFERROR(__xludf.DUMMYFUNCTION("""COMPUTED_VALUE"""),"VARGAS")</f>
        <v>VARGAS</v>
      </c>
      <c r="C67" s="53" t="str">
        <f>IFERROR(__xludf.DUMMYFUNCTION("""COMPUTED_VALUE"""),"SANTOS")</f>
        <v>SANTOS</v>
      </c>
      <c r="D67" s="54" t="str">
        <f>IFERROR(__xludf.DUMMYFUNCTION("""COMPUTED_VALUE"""),"JATZIRI VANESSA")</f>
        <v>JATZIRI VANESSA</v>
      </c>
      <c r="E67" s="154">
        <f>IFERROR(__xludf.DUMMYFUNCTION("""COMPUTED_VALUE"""),7.2)</f>
        <v>7.2</v>
      </c>
      <c r="F67" s="154">
        <f>IFERROR(__xludf.DUMMYFUNCTION("""COMPUTED_VALUE"""),2.0)</f>
        <v>2</v>
      </c>
      <c r="G67" s="154"/>
      <c r="H67" s="155">
        <f>IFERROR(__xludf.DUMMYFUNCTION("""COMPUTED_VALUE"""),9.2)</f>
        <v>9.2</v>
      </c>
      <c r="I67" s="161">
        <f>IFERROR(__xludf.DUMMYFUNCTION("""COMPUTED_VALUE"""),0.0)</f>
        <v>0</v>
      </c>
      <c r="J67" s="157">
        <f>IFERROR(__xludf.DUMMYFUNCTION("""COMPUTED_VALUE"""),9.0)</f>
        <v>9</v>
      </c>
      <c r="K67" s="156"/>
      <c r="L67" s="160">
        <f>IFERROR(__xludf.DUMMYFUNCTION("""COMPUTED_VALUE"""),9.0)</f>
        <v>9</v>
      </c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53">
        <f>IFERROR(__xludf.DUMMYFUNCTION("""COMPUTED_VALUE"""),52.0)</f>
        <v>52</v>
      </c>
      <c r="B68" s="70" t="str">
        <f>IFERROR(__xludf.DUMMYFUNCTION("""COMPUTED_VALUE"""),"VELAZQUEZ")</f>
        <v>VELAZQUEZ</v>
      </c>
      <c r="C68" s="53" t="str">
        <f>IFERROR(__xludf.DUMMYFUNCTION("""COMPUTED_VALUE"""),"FIGUEROA")</f>
        <v>FIGUEROA</v>
      </c>
      <c r="D68" s="54" t="str">
        <f>IFERROR(__xludf.DUMMYFUNCTION("""COMPUTED_VALUE"""),"DANAE PAOLA")</f>
        <v>DANAE PAOLA</v>
      </c>
      <c r="E68" s="154">
        <f>IFERROR(__xludf.DUMMYFUNCTION("""COMPUTED_VALUE"""),8.0)</f>
        <v>8</v>
      </c>
      <c r="F68" s="154">
        <f>IFERROR(__xludf.DUMMYFUNCTION("""COMPUTED_VALUE"""),2.0)</f>
        <v>2</v>
      </c>
      <c r="G68" s="154"/>
      <c r="H68" s="155">
        <f>IFERROR(__xludf.DUMMYFUNCTION("""COMPUTED_VALUE"""),10.0)</f>
        <v>10</v>
      </c>
      <c r="I68" s="161">
        <f>IFERROR(__xludf.DUMMYFUNCTION("""COMPUTED_VALUE"""),0.0)</f>
        <v>0</v>
      </c>
      <c r="J68" s="157">
        <f>IFERROR(__xludf.DUMMYFUNCTION("""COMPUTED_VALUE"""),10.0)</f>
        <v>10</v>
      </c>
      <c r="K68" s="156"/>
      <c r="L68" s="160">
        <f>IFERROR(__xludf.DUMMYFUNCTION("""COMPUTED_VALUE"""),10.0)</f>
        <v>10</v>
      </c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24.75" customHeight="1">
      <c r="A69" s="153">
        <f>IFERROR(__xludf.DUMMYFUNCTION("""COMPUTED_VALUE"""),53.0)</f>
        <v>53</v>
      </c>
      <c r="B69" s="70" t="str">
        <f>IFERROR(__xludf.DUMMYFUNCTION("""COMPUTED_VALUE"""),"VENEGAS")</f>
        <v>VENEGAS</v>
      </c>
      <c r="C69" s="53" t="str">
        <f>IFERROR(__xludf.DUMMYFUNCTION("""COMPUTED_VALUE"""),"GONZALEZ")</f>
        <v>GONZALEZ</v>
      </c>
      <c r="D69" s="54" t="str">
        <f>IFERROR(__xludf.DUMMYFUNCTION("""COMPUTED_VALUE"""),"SANTIAGO")</f>
        <v>SANTIAGO</v>
      </c>
      <c r="E69" s="154">
        <f>IFERROR(__xludf.DUMMYFUNCTION("""COMPUTED_VALUE"""),7.2)</f>
        <v>7.2</v>
      </c>
      <c r="F69" s="154">
        <f>IFERROR(__xludf.DUMMYFUNCTION("""COMPUTED_VALUE"""),2.0)</f>
        <v>2</v>
      </c>
      <c r="G69" s="154"/>
      <c r="H69" s="155">
        <f>IFERROR(__xludf.DUMMYFUNCTION("""COMPUTED_VALUE"""),9.2)</f>
        <v>9.2</v>
      </c>
      <c r="I69" s="161">
        <f>IFERROR(__xludf.DUMMYFUNCTION("""COMPUTED_VALUE"""),0.0)</f>
        <v>0</v>
      </c>
      <c r="J69" s="157">
        <f>IFERROR(__xludf.DUMMYFUNCTION("""COMPUTED_VALUE"""),9.0)</f>
        <v>9</v>
      </c>
      <c r="K69" s="156"/>
      <c r="L69" s="160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4.75" customHeight="1">
      <c r="A70" s="153">
        <f>IFERROR(__xludf.DUMMYFUNCTION("""COMPUTED_VALUE"""),54.0)</f>
        <v>54</v>
      </c>
      <c r="B70" s="70" t="str">
        <f>IFERROR(__xludf.DUMMYFUNCTION("""COMPUTED_VALUE"""),"ZAMORA")</f>
        <v>ZAMORA</v>
      </c>
      <c r="C70" s="53" t="str">
        <f>IFERROR(__xludf.DUMMYFUNCTION("""COMPUTED_VALUE"""),"SEPULVEDA")</f>
        <v>SEPULVEDA</v>
      </c>
      <c r="D70" s="54" t="str">
        <f>IFERROR(__xludf.DUMMYFUNCTION("""COMPUTED_VALUE"""),"SEBASTIAN")</f>
        <v>SEBASTIAN</v>
      </c>
      <c r="E70" s="154">
        <f>IFERROR(__xludf.DUMMYFUNCTION("""COMPUTED_VALUE"""),8.0)</f>
        <v>8</v>
      </c>
      <c r="F70" s="154">
        <f>IFERROR(__xludf.DUMMYFUNCTION("""COMPUTED_VALUE"""),2.0)</f>
        <v>2</v>
      </c>
      <c r="G70" s="154"/>
      <c r="H70" s="155">
        <f>IFERROR(__xludf.DUMMYFUNCTION("""COMPUTED_VALUE"""),10.0)</f>
        <v>10</v>
      </c>
      <c r="I70" s="161">
        <f>IFERROR(__xludf.DUMMYFUNCTION("""COMPUTED_VALUE"""),0.0)</f>
        <v>0</v>
      </c>
      <c r="J70" s="157">
        <f>IFERROR(__xludf.DUMMYFUNCTION("""COMPUTED_VALUE"""),10.0)</f>
        <v>10</v>
      </c>
      <c r="K70" s="156"/>
      <c r="L70" s="162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21.75" customHeight="1">
      <c r="A71" s="163"/>
      <c r="B71" s="132"/>
      <c r="C71" s="132"/>
      <c r="D71" s="127"/>
      <c r="E71" s="127"/>
      <c r="F71" s="127"/>
      <c r="G71" s="127"/>
      <c r="H71" s="127"/>
      <c r="I71" s="127"/>
      <c r="J71" s="121"/>
      <c r="K71" s="128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64"/>
      <c r="B72" s="165" t="str">
        <f>IFERROR(__xludf.DUMMYFUNCTION("""COMPUTED_VALUE"""),"No. DE ALUMNOS INSCRITOS")</f>
        <v>No. DE ALUMNOS INSCRITOS</v>
      </c>
      <c r="C72" s="76"/>
      <c r="D72" s="193">
        <f>IFERROR(__xludf.DUMMYFUNCTION("""COMPUTED_VALUE"""),54.0)</f>
        <v>54</v>
      </c>
      <c r="E72" s="127"/>
      <c r="F72" s="194" t="str">
        <f>IFERROR(__xludf.DUMMYFUNCTION("""COMPUTED_VALUE"""),"FIRMA DEL PROFESOR")</f>
        <v>FIRMA DEL PROFESOR</v>
      </c>
      <c r="G72" s="127"/>
      <c r="H72" s="194" t="str">
        <f>IFERROR(__xludf.DUMMYFUNCTION("""COMPUTED_VALUE"""),"FIRMA DEL ORIENTADOR")</f>
        <v>FIRMA DEL ORIENTADOR</v>
      </c>
      <c r="J72" s="195" t="str">
        <f>IFERROR(__xludf.DUMMYFUNCTION("""COMPUTED_VALUE"""),"Vo. Bo. SUBDIRECCIÓN ESCOLAR")</f>
        <v>Vo. Bo. SUBDIRECCIÓN ESCOLAR</v>
      </c>
      <c r="K72" s="169" t="str">
        <f>IFERROR(__xludf.DUMMYFUNCTION("""COMPUTED_VALUE"""),"REVISADO POR SECRETARIA ESCOLAR ")</f>
        <v>REVISADO POR SECRETARIA ESCOLAR </v>
      </c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64"/>
      <c r="B73" s="170" t="str">
        <f>IFERROR(__xludf.DUMMYFUNCTION("""COMPUTED_VALUE"""),"BAJAS DURANTE EL SEMESTRE")</f>
        <v>BAJAS DURANTE EL SEMESTRE</v>
      </c>
      <c r="C73" s="83"/>
      <c r="D73" s="196">
        <f>IFERROR(__xludf.DUMMYFUNCTION("""COMPUTED_VALUE"""),0.0)</f>
        <v>0</v>
      </c>
      <c r="E73" s="127"/>
      <c r="G73" s="127"/>
      <c r="K73" s="10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64"/>
      <c r="B74" s="170" t="str">
        <f>IFERROR(__xludf.DUMMYFUNCTION("""COMPUTED_VALUE"""),"EXISTENCIA")</f>
        <v>EXISTENCIA</v>
      </c>
      <c r="C74" s="83"/>
      <c r="D74" s="172">
        <f>IFERROR(__xludf.DUMMYFUNCTION("""COMPUTED_VALUE"""),54.0)</f>
        <v>54</v>
      </c>
      <c r="E74" s="127"/>
      <c r="F74" s="127"/>
      <c r="G74" s="127"/>
      <c r="H74" s="127"/>
      <c r="I74" s="127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1.75" customHeight="1">
      <c r="A75" s="164"/>
      <c r="B75" s="170" t="str">
        <f>IFERROR(__xludf.DUMMYFUNCTION("""COMPUTED_VALUE"""),"No. DE ALUMNOS APROBADOS")</f>
        <v>No. DE ALUMNOS APROBADOS</v>
      </c>
      <c r="C75" s="83"/>
      <c r="D75" s="172">
        <f>IFERROR(__xludf.DUMMYFUNCTION("""COMPUTED_VALUE"""),54.0)</f>
        <v>54</v>
      </c>
      <c r="E75" s="127"/>
      <c r="F75" s="127"/>
      <c r="G75" s="127"/>
      <c r="H75" s="127"/>
      <c r="I75" s="127"/>
      <c r="J75" s="121"/>
      <c r="K75" s="128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7.75" customHeight="1">
      <c r="A76" s="164"/>
      <c r="B76" s="170" t="str">
        <f>IFERROR(__xludf.DUMMYFUNCTION("""COMPUTED_VALUE"""),"No. DE ALUMNOS REPROBADOS")</f>
        <v>No. DE ALUMNOS REPROBADOS</v>
      </c>
      <c r="C76" s="83"/>
      <c r="D76" s="172">
        <f>IFERROR(__xludf.DUMMYFUNCTION("""COMPUTED_VALUE"""),0.0)</f>
        <v>0</v>
      </c>
      <c r="E76" s="127"/>
      <c r="F76" s="173"/>
      <c r="G76" s="127"/>
      <c r="H76" s="173"/>
      <c r="I76" s="173"/>
      <c r="J76" s="174"/>
      <c r="K76" s="175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21.75" customHeight="1">
      <c r="A77" s="164"/>
      <c r="B77" s="176" t="str">
        <f>IFERROR(__xludf.DUMMYFUNCTION("""COMPUTED_VALUE"""),"% DE APROBADOS")</f>
        <v>% DE APROBADOS</v>
      </c>
      <c r="C77" s="83"/>
      <c r="D77" s="177">
        <f>IFERROR(__xludf.DUMMYFUNCTION("""COMPUTED_VALUE"""),100.0)</f>
        <v>100</v>
      </c>
      <c r="E77" s="127"/>
      <c r="F77" s="178" t="str">
        <f>IFERROR(__xludf.DUMMYFUNCTION("""COMPUTED_VALUE"""),"PROFR. ")</f>
        <v>PROFR. </v>
      </c>
      <c r="G77" s="130"/>
      <c r="H77" s="96" t="str">
        <f>IFERROR(__xludf.DUMMYFUNCTION("""COMPUTED_VALUE"""),"PROFRA. SANDRA DIAZ CAMARENA")</f>
        <v>PROFRA. SANDRA DIAZ CAMARENA</v>
      </c>
      <c r="J77" s="179" t="str">
        <f>IFERROR(__xludf.DUMMYFUNCTION("""COMPUTED_VALUE"""),"PROFR. OCTAVIO VÁZQUEZ BARRETO")</f>
        <v>PROFR. OCTAVIO VÁZQUEZ BARRETO</v>
      </c>
      <c r="K77" s="180" t="str">
        <f>IFERROR(__xludf.DUMMYFUNCTION("""COMPUTED_VALUE"""),"PROFR. ROBERTO PALOMARES MEJÍA ")</f>
        <v>PROFR. ROBERTO PALOMARES MEJÍA </v>
      </c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13.5" customHeight="1">
      <c r="A78" s="121"/>
      <c r="B78" s="181" t="str">
        <f>IFERROR(__xludf.DUMMYFUNCTION("""COMPUTED_VALUE"""),"PROMEDIO")</f>
        <v>PROMEDIO</v>
      </c>
      <c r="C78" s="100"/>
      <c r="D78" s="182">
        <f>IFERROR(__xludf.DUMMYFUNCTION("""COMPUTED_VALUE"""),9.648148148148149)</f>
        <v>9.648148148</v>
      </c>
      <c r="E78" s="127"/>
      <c r="G78" s="130"/>
      <c r="K78" s="10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6"/>
      <c r="B79" s="121"/>
      <c r="C79" s="121"/>
      <c r="D79" s="121"/>
      <c r="E79" s="121"/>
      <c r="F79" s="121"/>
      <c r="G79" s="121"/>
      <c r="H79" s="121"/>
      <c r="I79" s="121"/>
      <c r="J79" s="121"/>
      <c r="K79" s="128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83"/>
      <c r="B80" s="184"/>
      <c r="C80" s="185"/>
      <c r="D80" s="185"/>
      <c r="E80" s="127"/>
      <c r="G80" s="127"/>
      <c r="H80" s="127"/>
      <c r="I80" s="127"/>
      <c r="J80" s="127"/>
      <c r="K80" s="186"/>
      <c r="L80" s="127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87"/>
      <c r="B81" s="127"/>
      <c r="C81" s="127"/>
      <c r="D81" s="127"/>
      <c r="E81" s="127"/>
      <c r="F81" s="121"/>
      <c r="G81" s="121"/>
      <c r="H81" s="121"/>
      <c r="I81" s="121"/>
      <c r="J81" s="121"/>
      <c r="K81" s="128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3.5" customHeight="1">
      <c r="A82" s="187"/>
      <c r="B82" s="127"/>
      <c r="C82" s="127"/>
      <c r="D82" s="127"/>
      <c r="E82" s="127"/>
      <c r="F82" s="121"/>
      <c r="G82" s="121"/>
      <c r="H82" s="121"/>
      <c r="I82" s="121"/>
      <c r="J82" s="121"/>
      <c r="K82" s="128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4.25" customHeight="1">
      <c r="A83" s="188"/>
      <c r="B83" s="189"/>
      <c r="C83" s="189"/>
      <c r="D83" s="189"/>
      <c r="E83" s="189"/>
      <c r="F83" s="190"/>
      <c r="G83" s="190"/>
      <c r="H83" s="190"/>
      <c r="I83" s="190"/>
      <c r="J83" s="190"/>
      <c r="K83" s="19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30"/>
      <c r="K84" s="130"/>
      <c r="L84" s="130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30"/>
      <c r="K85" s="130"/>
      <c r="L85" s="130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30"/>
      <c r="K86" s="130"/>
      <c r="L86" s="130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30"/>
      <c r="K87" s="130"/>
      <c r="L87" s="130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92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7"/>
      <c r="C89" s="127"/>
      <c r="D89" s="127"/>
      <c r="E89" s="127"/>
      <c r="F89" s="121"/>
      <c r="G89" s="121"/>
      <c r="H89" s="121"/>
      <c r="I89" s="121"/>
      <c r="J89" s="121"/>
      <c r="K89" s="192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7"/>
      <c r="C90" s="127"/>
      <c r="D90" s="127"/>
      <c r="E90" s="127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7"/>
      <c r="C91" s="127"/>
      <c r="D91" s="127"/>
      <c r="E91" s="127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7"/>
      <c r="C92" s="127"/>
      <c r="D92" s="127"/>
      <c r="E92" s="127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7"/>
      <c r="C93" s="127"/>
      <c r="D93" s="127"/>
      <c r="E93" s="127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4.25" customHeight="1">
      <c r="A94" s="121"/>
      <c r="B94" s="127"/>
      <c r="C94" s="127"/>
      <c r="D94" s="127"/>
      <c r="E94" s="127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3.5" customHeight="1">
      <c r="A95" s="121"/>
      <c r="B95" s="127"/>
      <c r="C95" s="127"/>
      <c r="D95" s="127"/>
      <c r="E95" s="127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"/>
    </row>
    <row r="277" ht="13.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</row>
    <row r="289" ht="15.75" customHeight="1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</row>
    <row r="290" ht="15.75" customHeight="1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</row>
    <row r="291" ht="15.75" customHeight="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</row>
    <row r="292" ht="15.75" customHeight="1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</row>
    <row r="293" ht="15.75" customHeight="1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</row>
    <row r="294" ht="15.75" customHeight="1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</row>
    <row r="295" ht="15.75" customHeight="1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</row>
    <row r="296" ht="15.75" customHeight="1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</row>
    <row r="297" ht="15.75" customHeight="1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</row>
    <row r="298" ht="15.75" customHeight="1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</row>
    <row r="299" ht="15.75" customHeight="1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</row>
    <row r="300" ht="15.75" customHeight="1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</row>
    <row r="301" ht="15.75" customHeight="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</row>
    <row r="302" ht="15.75" customHeight="1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</row>
    <row r="303" ht="15.75" customHeight="1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</row>
    <row r="304" ht="15.75" customHeight="1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</row>
    <row r="305" ht="15.75" customHeight="1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</row>
    <row r="306" ht="15.75" customHeight="1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</row>
    <row r="307" ht="15.75" customHeight="1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</row>
    <row r="308" ht="15.75" customHeight="1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</row>
    <row r="309" ht="15.75" customHeight="1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</row>
    <row r="310" ht="15.75" customHeight="1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</row>
    <row r="311" ht="15.75" customHeight="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</row>
    <row r="312" ht="15.75" customHeight="1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</row>
    <row r="313" ht="15.75" customHeight="1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</row>
    <row r="314" ht="15.75" customHeight="1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</row>
    <row r="315" ht="15.75" customHeight="1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</row>
    <row r="316" ht="15.75" customHeight="1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</row>
    <row r="317" ht="15.75" customHeight="1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</row>
    <row r="318" ht="15.75" customHeight="1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</row>
    <row r="319" ht="15.75" customHeight="1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</row>
    <row r="320" ht="15.75" customHeight="1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</row>
    <row r="321" ht="15.75" customHeight="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</row>
    <row r="322" ht="15.75" customHeight="1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</row>
    <row r="323" ht="15.75" customHeight="1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</row>
    <row r="324" ht="15.75" customHeight="1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</row>
    <row r="325" ht="15.75" customHeight="1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</row>
    <row r="326" ht="15.75" customHeight="1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</row>
    <row r="327" ht="15.75" customHeight="1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</row>
    <row r="328" ht="15.75" customHeight="1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</row>
    <row r="329" ht="15.75" customHeight="1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</row>
    <row r="330" ht="15.75" customHeight="1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</row>
    <row r="331" ht="15.75" customHeight="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</row>
    <row r="332" ht="15.75" customHeight="1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</row>
    <row r="333" ht="15.75" customHeight="1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</row>
    <row r="334" ht="15.75" customHeight="1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</row>
    <row r="335" ht="15.75" customHeight="1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</row>
    <row r="336" ht="15.75" customHeight="1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</row>
    <row r="337" ht="15.75" customHeight="1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</row>
    <row r="338" ht="15.75" customHeight="1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</row>
    <row r="339" ht="15.75" customHeight="1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</row>
    <row r="340" ht="15.75" customHeight="1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</row>
    <row r="341" ht="15.75" customHeight="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</row>
    <row r="342" ht="15.75" customHeight="1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</row>
    <row r="343" ht="15.75" customHeight="1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</row>
    <row r="344" ht="15.75" customHeight="1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</row>
    <row r="345" ht="15.75" customHeight="1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</row>
    <row r="346" ht="15.75" customHeight="1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</row>
    <row r="347" ht="15.75" customHeight="1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</row>
    <row r="348" ht="15.75" customHeight="1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</row>
    <row r="349" ht="15.75" customHeight="1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</row>
    <row r="350" ht="15.75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</row>
    <row r="351" ht="15.75" customHeight="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</row>
    <row r="352" ht="15.75" customHeight="1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</row>
    <row r="353" ht="15.75" customHeight="1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</row>
    <row r="354" ht="15.75" customHeight="1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</row>
    <row r="355" ht="15.75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</row>
    <row r="356" ht="15.75" customHeight="1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</row>
    <row r="357" ht="15.75" customHeight="1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</row>
    <row r="358" ht="15.75" customHeight="1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</row>
    <row r="359" ht="15.75" customHeight="1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</row>
    <row r="360" ht="15.75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</row>
    <row r="361" ht="15.75" customHeight="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</row>
    <row r="362" ht="15.75" customHeight="1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</row>
    <row r="363" ht="15.75" customHeight="1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</row>
    <row r="364" ht="15.75" customHeight="1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</row>
    <row r="365" ht="15.75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</row>
    <row r="366" ht="15.75" customHeight="1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</row>
    <row r="367" ht="15.75" customHeight="1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</row>
    <row r="368" ht="15.75" customHeight="1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</row>
    <row r="369" ht="15.75" customHeight="1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</row>
    <row r="370" ht="15.75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</row>
    <row r="371" ht="15.75" customHeight="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</row>
    <row r="372" ht="15.75" customHeight="1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</row>
    <row r="373" ht="15.75" customHeight="1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</row>
    <row r="374" ht="15.75" customHeight="1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</row>
    <row r="375" ht="15.75" customHeight="1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</row>
    <row r="376" ht="15.75" customHeight="1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</row>
    <row r="377" ht="15.75" customHeight="1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</row>
    <row r="378" ht="15.75" customHeight="1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</row>
    <row r="379" ht="15.75" customHeight="1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</row>
    <row r="380" ht="15.75" customHeight="1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</row>
    <row r="381" ht="15.75" customHeight="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</row>
    <row r="382" ht="15.75" customHeight="1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</row>
    <row r="383" ht="15.75" customHeight="1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</row>
    <row r="384" ht="15.75" customHeight="1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</row>
    <row r="385" ht="15.75" customHeight="1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</row>
    <row r="386" ht="15.75" customHeight="1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</row>
    <row r="387" ht="15.75" customHeight="1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</row>
    <row r="388" ht="15.75" customHeight="1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</row>
    <row r="389" ht="15.75" customHeight="1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</row>
    <row r="390" ht="15.75" customHeight="1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</row>
    <row r="391" ht="15.75" customHeight="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</row>
    <row r="392" ht="15.75" customHeight="1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</row>
    <row r="393" ht="15.75" customHeight="1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</row>
    <row r="394" ht="15.75" customHeight="1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</row>
    <row r="395" ht="15.75" customHeight="1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</row>
    <row r="396" ht="15.75" customHeight="1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</row>
    <row r="397" ht="15.75" customHeight="1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</row>
    <row r="398" ht="15.75" customHeight="1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</row>
    <row r="399" ht="15.75" customHeight="1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</row>
    <row r="400" ht="15.75" customHeight="1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</row>
    <row r="401" ht="15.75" customHeight="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</row>
    <row r="402" ht="15.75" customHeight="1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</row>
    <row r="403" ht="15.75" customHeight="1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</row>
    <row r="404" ht="15.75" customHeight="1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</row>
    <row r="405" ht="15.75" customHeight="1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</row>
    <row r="406" ht="15.75" customHeight="1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</row>
    <row r="407" ht="15.75" customHeight="1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</row>
    <row r="408" ht="15.75" customHeight="1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</row>
    <row r="409" ht="15.75" customHeight="1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</row>
    <row r="410" ht="15.75" customHeight="1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</row>
    <row r="411" ht="15.75" customHeight="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</row>
    <row r="412" ht="15.75" customHeight="1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</row>
    <row r="413" ht="15.75" customHeight="1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</row>
    <row r="414" ht="15.75" customHeight="1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</row>
    <row r="415" ht="15.75" customHeight="1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</row>
    <row r="416" ht="15.75" customHeight="1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</row>
    <row r="417" ht="15.75" customHeight="1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</row>
    <row r="418" ht="15.75" customHeight="1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</row>
    <row r="419" ht="15.75" customHeight="1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</row>
    <row r="420" ht="15.75" customHeight="1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</row>
    <row r="421" ht="15.75" customHeight="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</row>
    <row r="422" ht="15.75" customHeight="1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</row>
    <row r="423" ht="15.75" customHeight="1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</row>
    <row r="424" ht="15.75" customHeight="1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</row>
    <row r="425" ht="15.75" customHeight="1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</row>
    <row r="426" ht="15.75" customHeight="1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</row>
    <row r="427" ht="15.75" customHeight="1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</row>
    <row r="428" ht="15.75" customHeight="1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</row>
    <row r="429" ht="15.75" customHeight="1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</row>
    <row r="430" ht="15.75" customHeight="1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</row>
    <row r="431" ht="15.75" customHeight="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</row>
    <row r="432" ht="15.75" customHeight="1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</row>
    <row r="433" ht="15.75" customHeight="1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</row>
    <row r="434" ht="15.75" customHeight="1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</row>
    <row r="435" ht="15.75" customHeight="1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</row>
    <row r="436" ht="15.75" customHeight="1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</row>
    <row r="437" ht="15.75" customHeight="1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</row>
    <row r="438" ht="15.75" customHeight="1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</row>
    <row r="439" ht="15.75" customHeight="1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</row>
    <row r="440" ht="15.75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</row>
    <row r="441" ht="15.75" customHeight="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</row>
    <row r="442" ht="15.75" customHeight="1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</row>
    <row r="443" ht="15.75" customHeight="1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</row>
    <row r="444" ht="15.75" customHeight="1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</row>
    <row r="445" ht="15.75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</row>
    <row r="446" ht="15.75" customHeight="1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</row>
    <row r="447" ht="15.75" customHeight="1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</row>
    <row r="448" ht="15.75" customHeight="1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</row>
    <row r="449" ht="15.75" customHeight="1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</row>
    <row r="450" ht="15.75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</row>
    <row r="451" ht="15.75" customHeight="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</row>
    <row r="452" ht="15.75" customHeight="1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</row>
    <row r="453" ht="15.75" customHeight="1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</row>
    <row r="454" ht="15.75" customHeight="1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</row>
    <row r="455" ht="15.75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</row>
    <row r="456" ht="15.75" customHeight="1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</row>
    <row r="457" ht="15.75" customHeight="1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</row>
    <row r="458" ht="15.75" customHeight="1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</row>
    <row r="459" ht="15.75" customHeight="1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</row>
    <row r="460" ht="15.75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</row>
    <row r="461" ht="15.75" customHeight="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</row>
    <row r="462" ht="15.75" customHeight="1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</row>
    <row r="463" ht="15.75" customHeight="1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</row>
    <row r="464" ht="15.75" customHeight="1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</row>
    <row r="465" ht="15.75" customHeight="1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</row>
    <row r="466" ht="15.75" customHeight="1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</row>
    <row r="467" ht="15.75" customHeight="1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</row>
    <row r="468" ht="15.75" customHeight="1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</row>
    <row r="469" ht="15.75" customHeight="1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</row>
    <row r="470" ht="15.75" customHeight="1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</row>
    <row r="471" ht="15.75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</row>
    <row r="472" ht="15.75" customHeight="1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</row>
    <row r="473" ht="15.75" customHeight="1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</row>
    <row r="474" ht="15.75" customHeight="1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</row>
    <row r="475" ht="15.75" customHeight="1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</row>
    <row r="476" ht="15.75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</row>
    <row r="477" ht="15.75" customHeight="1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</row>
    <row r="478" ht="15.75" customHeight="1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</row>
    <row r="479" ht="15.75" customHeight="1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</row>
    <row r="480" ht="15.75" customHeight="1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</row>
    <row r="481" ht="15.75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</row>
    <row r="482" ht="15.75" customHeight="1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</row>
    <row r="483" ht="15.75" customHeight="1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</row>
    <row r="484" ht="15.75" customHeight="1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</row>
    <row r="485" ht="15.75" customHeight="1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</row>
    <row r="486" ht="15.75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</row>
    <row r="487" ht="15.75" customHeight="1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</row>
    <row r="488" ht="15.75" customHeight="1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</row>
    <row r="489" ht="15.75" customHeight="1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</row>
    <row r="490" ht="15.75" customHeight="1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</row>
    <row r="491" ht="15.75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</row>
    <row r="492" ht="15.75" customHeight="1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</row>
    <row r="493" ht="15.75" customHeight="1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</row>
    <row r="494" ht="15.75" customHeight="1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</row>
    <row r="495" ht="15.75" customHeight="1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</row>
    <row r="496" ht="15.75" customHeight="1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</row>
    <row r="497" ht="15.75" customHeight="1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</row>
    <row r="498" ht="15.75" customHeight="1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</row>
    <row r="499" ht="15.75" customHeight="1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</row>
    <row r="500" ht="15.75" customHeight="1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</row>
    <row r="501" ht="15.75" customHeight="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</row>
    <row r="502" ht="15.75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</row>
    <row r="503" ht="15.75" customHeight="1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</row>
    <row r="504" ht="15.75" customHeight="1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</row>
    <row r="505" ht="15.75" customHeight="1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</row>
    <row r="506" ht="15.75" customHeight="1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</row>
    <row r="507" ht="15.75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</row>
    <row r="508" ht="15.75" customHeight="1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</row>
    <row r="509" ht="15.75" customHeight="1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</row>
    <row r="510" ht="15.75" customHeight="1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</row>
    <row r="511" ht="15.75" customHeight="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</row>
    <row r="512" ht="15.75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</row>
    <row r="513" ht="15.75" customHeight="1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</row>
    <row r="514" ht="15.75" customHeight="1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</row>
    <row r="515" ht="15.75" customHeight="1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</row>
    <row r="516" ht="15.75" customHeight="1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</row>
    <row r="517" ht="15.75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</row>
    <row r="518" ht="15.75" customHeight="1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</row>
    <row r="519" ht="15.75" customHeight="1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</row>
    <row r="520" ht="15.75" customHeight="1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</row>
    <row r="521" ht="15.75" customHeight="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</row>
    <row r="522" ht="15.75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</row>
    <row r="523" ht="15.75" customHeight="1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</row>
    <row r="524" ht="15.75" customHeight="1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</row>
    <row r="525" ht="15.75" customHeight="1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</row>
    <row r="526" ht="15.75" customHeight="1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</row>
    <row r="527" ht="15.75" customHeight="1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</row>
    <row r="528" ht="15.75" customHeight="1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</row>
    <row r="529" ht="15.75" customHeight="1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</row>
    <row r="530" ht="15.75" customHeight="1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</row>
    <row r="531" ht="15.75" customHeight="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</row>
    <row r="532" ht="15.75" customHeight="1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</row>
    <row r="533" ht="15.75" customHeight="1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</row>
    <row r="534" ht="15.75" customHeight="1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</row>
    <row r="535" ht="15.75" customHeight="1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</row>
    <row r="536" ht="15.75" customHeight="1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</row>
    <row r="537" ht="15.75" customHeight="1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</row>
    <row r="538" ht="15.75" customHeight="1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</row>
    <row r="539" ht="15.75" customHeight="1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</row>
    <row r="540" ht="15.75" customHeight="1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</row>
    <row r="541" ht="15.75" customHeight="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</row>
    <row r="542" ht="15.75" customHeight="1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</row>
    <row r="543" ht="15.75" customHeight="1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</row>
    <row r="544" ht="15.75" customHeight="1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</row>
    <row r="545" ht="15.75" customHeight="1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</row>
    <row r="546" ht="15.75" customHeight="1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</row>
    <row r="547" ht="15.75" customHeight="1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</row>
    <row r="548" ht="15.75" customHeight="1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</row>
    <row r="549" ht="15.75" customHeight="1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</row>
    <row r="550" ht="15.75" customHeight="1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</row>
    <row r="551" ht="15.75" customHeight="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</row>
    <row r="552" ht="15.75" customHeight="1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</row>
    <row r="553" ht="15.75" customHeight="1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</row>
    <row r="554" ht="15.75" customHeight="1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</row>
    <row r="555" ht="15.75" customHeight="1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</row>
    <row r="556" ht="15.75" customHeight="1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</row>
    <row r="557" ht="15.75" customHeight="1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</row>
    <row r="558" ht="15.75" customHeight="1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</row>
    <row r="559" ht="15.75" customHeight="1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</row>
    <row r="560" ht="15.75" customHeight="1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</row>
    <row r="561" ht="15.75" customHeight="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</row>
    <row r="562" ht="15.75" customHeight="1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</row>
    <row r="563" ht="15.75" customHeight="1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</row>
    <row r="564" ht="15.75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</row>
    <row r="565" ht="15.75" customHeight="1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</row>
    <row r="566" ht="15.75" customHeight="1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</row>
    <row r="567" ht="15.75" customHeight="1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</row>
    <row r="568" ht="15.75" customHeight="1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</row>
    <row r="569" ht="15.75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</row>
    <row r="570" ht="15.75" customHeight="1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</row>
    <row r="571" ht="15.75" customHeight="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</row>
    <row r="572" ht="15.75" customHeight="1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</row>
    <row r="573" ht="15.75" customHeight="1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</row>
    <row r="574" ht="15.75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</row>
    <row r="575" ht="15.75" customHeight="1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</row>
    <row r="576" ht="15.75" customHeight="1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</row>
    <row r="577" ht="15.75" customHeight="1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</row>
    <row r="578" ht="15.75" customHeight="1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</row>
    <row r="579" ht="15.75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</row>
    <row r="580" ht="15.75" customHeight="1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</row>
    <row r="581" ht="15.75" customHeight="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</row>
    <row r="582" ht="15.75" customHeight="1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</row>
    <row r="583" ht="15.75" customHeight="1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</row>
    <row r="584" ht="15.75" customHeight="1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</row>
    <row r="585" ht="15.75" customHeight="1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</row>
    <row r="586" ht="15.75" customHeight="1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</row>
    <row r="587" ht="15.75" customHeight="1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</row>
    <row r="588" ht="15.75" customHeight="1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</row>
    <row r="589" ht="15.75" customHeight="1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</row>
    <row r="590" ht="15.75" customHeight="1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</row>
    <row r="591" ht="15.75" customHeight="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</row>
    <row r="592" ht="15.75" customHeight="1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</row>
    <row r="593" ht="15.75" customHeight="1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</row>
    <row r="594" ht="15.75" customHeight="1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</row>
    <row r="595" ht="15.75" customHeight="1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</row>
    <row r="596" ht="15.75" customHeight="1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</row>
    <row r="597" ht="15.75" customHeight="1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</row>
    <row r="598" ht="15.75" customHeight="1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</row>
    <row r="599" ht="15.75" customHeight="1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</row>
    <row r="600" ht="15.75" customHeight="1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</row>
    <row r="601" ht="15.75" customHeight="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</row>
    <row r="602" ht="15.75" customHeight="1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</row>
    <row r="603" ht="15.75" customHeight="1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</row>
    <row r="604" ht="15.75" customHeight="1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</row>
    <row r="605" ht="15.75" customHeight="1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</row>
    <row r="606" ht="15.75" customHeight="1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</row>
    <row r="607" ht="15.75" customHeight="1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</row>
    <row r="608" ht="15.75" customHeight="1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</row>
    <row r="609" ht="15.75" customHeight="1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</row>
    <row r="610" ht="15.75" customHeight="1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</row>
    <row r="611" ht="15.75" customHeight="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</row>
    <row r="612" ht="15.75" customHeight="1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</row>
    <row r="613" ht="15.75" customHeight="1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</row>
    <row r="614" ht="15.75" customHeight="1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</row>
    <row r="615" ht="15.75" customHeight="1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</row>
    <row r="616" ht="15.75" customHeight="1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</row>
    <row r="617" ht="15.75" customHeight="1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</row>
    <row r="618" ht="15.75" customHeight="1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</row>
    <row r="619" ht="15.75" customHeight="1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</row>
    <row r="620" ht="15.75" customHeight="1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</row>
    <row r="621" ht="15.75" customHeight="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</row>
    <row r="622" ht="15.75" customHeight="1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</row>
    <row r="623" ht="15.75" customHeight="1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</row>
    <row r="624" ht="15.75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</row>
    <row r="625" ht="15.75" customHeight="1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</row>
    <row r="626" ht="15.75" customHeight="1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</row>
    <row r="627" ht="15.75" customHeight="1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</row>
    <row r="628" ht="15.75" customHeight="1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</row>
    <row r="629" ht="15.75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</row>
    <row r="630" ht="15.75" customHeight="1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</row>
    <row r="631" ht="15.75" customHeight="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</row>
    <row r="632" ht="15.75" customHeight="1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</row>
    <row r="633" ht="15.75" customHeight="1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</row>
    <row r="634" ht="15.75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</row>
    <row r="635" ht="15.75" customHeight="1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</row>
    <row r="636" ht="15.75" customHeight="1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</row>
    <row r="637" ht="15.75" customHeight="1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</row>
    <row r="638" ht="15.75" customHeight="1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</row>
    <row r="639" ht="15.75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</row>
    <row r="640" ht="15.75" customHeight="1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</row>
    <row r="641" ht="15.75" customHeight="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</row>
    <row r="642" ht="15.75" customHeight="1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</row>
    <row r="643" ht="15.75" customHeight="1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</row>
    <row r="644" ht="15.75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</row>
    <row r="645" ht="15.75" customHeight="1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</row>
    <row r="646" ht="15.75" customHeight="1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</row>
    <row r="647" ht="15.75" customHeight="1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</row>
    <row r="648" ht="15.75" customHeight="1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</row>
    <row r="649" ht="15.75" customHeight="1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</row>
    <row r="650" ht="15.75" customHeight="1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</row>
    <row r="651" ht="15.75" customHeight="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</row>
    <row r="652" ht="15.75" customHeight="1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</row>
    <row r="653" ht="15.75" customHeight="1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</row>
    <row r="654" ht="15.75" customHeight="1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</row>
    <row r="655" ht="15.75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</row>
    <row r="656" ht="15.75" customHeight="1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</row>
    <row r="657" ht="15.75" customHeight="1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</row>
    <row r="658" ht="15.75" customHeight="1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</row>
    <row r="659" ht="15.75" customHeight="1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</row>
    <row r="660" ht="15.75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</row>
    <row r="661" ht="15.75" customHeight="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</row>
    <row r="662" ht="15.75" customHeight="1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</row>
    <row r="663" ht="15.75" customHeight="1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</row>
    <row r="664" ht="15.75" customHeight="1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</row>
    <row r="665" ht="15.75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</row>
    <row r="666" ht="15.75" customHeight="1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</row>
    <row r="667" ht="15.75" customHeight="1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</row>
    <row r="668" ht="15.75" customHeight="1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</row>
    <row r="669" ht="15.75" customHeight="1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</row>
    <row r="670" ht="15.75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</row>
    <row r="671" ht="15.75" customHeight="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</row>
    <row r="672" ht="15.75" customHeight="1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</row>
    <row r="673" ht="15.75" customHeight="1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</row>
    <row r="674" ht="15.75" customHeight="1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</row>
    <row r="675" ht="15.75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</row>
    <row r="676" ht="15.75" customHeight="1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</row>
    <row r="677" ht="15.75" customHeight="1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</row>
    <row r="678" ht="15.75" customHeight="1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</row>
    <row r="679" ht="15.75" customHeight="1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</row>
    <row r="680" ht="15.75" customHeight="1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</row>
    <row r="681" ht="15.75" customHeight="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</row>
    <row r="682" ht="15.75" customHeight="1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</row>
    <row r="683" ht="15.75" customHeight="1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</row>
    <row r="684" ht="15.75" customHeight="1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</row>
    <row r="685" ht="15.75" customHeight="1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</row>
    <row r="686" ht="15.75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</row>
    <row r="687" ht="15.75" customHeight="1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</row>
    <row r="688" ht="15.75" customHeight="1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</row>
    <row r="689" ht="15.75" customHeight="1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</row>
    <row r="690" ht="15.75" customHeight="1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</row>
    <row r="691" ht="15.75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</row>
    <row r="692" ht="15.75" customHeight="1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</row>
    <row r="693" ht="15.75" customHeight="1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</row>
    <row r="694" ht="15.75" customHeight="1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</row>
    <row r="695" ht="15.75" customHeight="1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</row>
    <row r="696" ht="15.75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</row>
    <row r="697" ht="15.75" customHeight="1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</row>
    <row r="698" ht="15.75" customHeight="1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</row>
    <row r="699" ht="15.75" customHeight="1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</row>
    <row r="700" ht="15.75" customHeight="1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</row>
    <row r="701" ht="15.75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</row>
    <row r="702" ht="15.75" customHeight="1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</row>
    <row r="703" ht="15.75" customHeight="1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</row>
    <row r="704" ht="15.75" customHeight="1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</row>
    <row r="705" ht="15.75" customHeight="1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</row>
    <row r="706" ht="15.75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</row>
    <row r="707" ht="15.75" customHeight="1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</row>
    <row r="708" ht="15.75" customHeight="1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</row>
    <row r="709" ht="15.75" customHeight="1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</row>
    <row r="710" ht="15.75" customHeight="1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</row>
    <row r="711" ht="15.75" customHeight="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</row>
    <row r="712" ht="15.75" customHeight="1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</row>
    <row r="713" ht="15.75" customHeight="1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</row>
    <row r="714" ht="15.75" customHeight="1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</row>
    <row r="715" ht="15.75" customHeight="1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</row>
    <row r="716" ht="15.75" customHeight="1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</row>
    <row r="717" ht="15.75" customHeight="1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</row>
    <row r="718" ht="15.75" customHeight="1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</row>
    <row r="719" ht="15.75" customHeight="1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</row>
    <row r="720" ht="15.75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</row>
    <row r="721" ht="15.75" customHeight="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</row>
    <row r="722" ht="15.75" customHeight="1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</row>
    <row r="723" ht="15.75" customHeight="1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</row>
    <row r="724" ht="15.75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</row>
    <row r="725" ht="15.75" customHeight="1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</row>
    <row r="726" ht="15.75" customHeight="1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</row>
    <row r="727" ht="15.75" customHeight="1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</row>
    <row r="728" ht="15.75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</row>
    <row r="729" ht="15.75" customHeight="1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</row>
    <row r="730" ht="15.75" customHeight="1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</row>
    <row r="731" ht="15.75" customHeight="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</row>
    <row r="732" ht="15.75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</row>
    <row r="733" ht="15.75" customHeight="1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</row>
    <row r="734" ht="15.75" customHeight="1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</row>
    <row r="735" ht="15.75" customHeight="1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</row>
    <row r="736" ht="15.75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</row>
    <row r="737" ht="15.75" customHeight="1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</row>
    <row r="738" ht="15.75" customHeight="1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</row>
    <row r="739" ht="15.75" customHeight="1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</row>
    <row r="740" ht="15.75" customHeight="1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</row>
    <row r="741" ht="15.75" customHeight="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</row>
    <row r="742" ht="15.75" customHeight="1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</row>
    <row r="743" ht="15.75" customHeight="1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</row>
    <row r="744" ht="15.75" customHeight="1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</row>
    <row r="745" ht="15.75" customHeight="1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</row>
    <row r="746" ht="15.75" customHeight="1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</row>
    <row r="747" ht="15.75" customHeight="1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</row>
    <row r="748" ht="15.75" customHeight="1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</row>
    <row r="749" ht="15.75" customHeight="1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</row>
    <row r="750" ht="15.75" customHeight="1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</row>
    <row r="751" ht="15.75" customHeight="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</row>
    <row r="752" ht="15.75" customHeight="1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</row>
    <row r="753" ht="15.75" customHeight="1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</row>
    <row r="754" ht="15.75" customHeight="1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</row>
    <row r="755" ht="15.75" customHeight="1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</row>
    <row r="756" ht="15.75" customHeight="1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</row>
    <row r="757" ht="15.75" customHeight="1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</row>
    <row r="758" ht="15.75" customHeight="1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</row>
    <row r="759" ht="15.75" customHeight="1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</row>
    <row r="760" ht="15.75" customHeight="1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</row>
    <row r="761" ht="15.75" customHeight="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</row>
    <row r="762" ht="15.75" customHeight="1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</row>
    <row r="763" ht="15.75" customHeight="1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</row>
    <row r="764" ht="15.75" customHeight="1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</row>
    <row r="765" ht="15.75" customHeight="1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</row>
    <row r="766" ht="15.75" customHeight="1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</row>
    <row r="767" ht="15.75" customHeight="1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</row>
    <row r="768" ht="15.75" customHeight="1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</row>
    <row r="769" ht="15.75" customHeight="1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</row>
    <row r="770" ht="15.75" customHeight="1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</row>
    <row r="771" ht="15.75" customHeight="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</row>
    <row r="772" ht="15.75" customHeight="1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</row>
    <row r="773" ht="15.75" customHeight="1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</row>
    <row r="774" ht="15.75" customHeight="1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</row>
    <row r="775" ht="15.75" customHeight="1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</row>
    <row r="776" ht="15.75" customHeight="1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</row>
    <row r="777" ht="15.75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</row>
    <row r="778" ht="15.75" customHeight="1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</row>
    <row r="779" ht="15.75" customHeight="1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</row>
    <row r="780" ht="15.75" customHeight="1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</row>
    <row r="781" ht="15.75" customHeight="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</row>
    <row r="782" ht="15.75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</row>
    <row r="783" ht="15.75" customHeight="1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</row>
    <row r="784" ht="15.75" customHeight="1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</row>
    <row r="785" ht="15.75" customHeight="1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</row>
    <row r="786" ht="15.75" customHeight="1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</row>
    <row r="787" ht="15.75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</row>
    <row r="788" ht="15.75" customHeight="1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</row>
    <row r="789" ht="15.75" customHeight="1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</row>
    <row r="790" ht="15.75" customHeight="1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</row>
    <row r="791" ht="15.75" customHeight="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</row>
    <row r="792" ht="15.75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</row>
    <row r="793" ht="15.75" customHeight="1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</row>
    <row r="794" ht="15.75" customHeight="1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</row>
    <row r="795" ht="15.75" customHeight="1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</row>
    <row r="796" ht="15.75" customHeight="1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</row>
    <row r="797" ht="15.75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</row>
    <row r="798" ht="15.75" customHeight="1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</row>
    <row r="799" ht="15.75" customHeight="1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</row>
    <row r="800" ht="15.75" customHeight="1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</row>
    <row r="801" ht="15.75" customHeight="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</row>
    <row r="802" ht="15.75" customHeight="1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</row>
    <row r="803" ht="15.75" customHeight="1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</row>
    <row r="804" ht="15.75" customHeight="1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</row>
    <row r="805" ht="15.75" customHeight="1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</row>
    <row r="806" ht="15.75" customHeight="1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</row>
    <row r="807" ht="15.75" customHeight="1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</row>
    <row r="808" ht="15.75" customHeight="1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</row>
    <row r="809" ht="15.75" customHeight="1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</row>
    <row r="810" ht="15.75" customHeight="1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</row>
    <row r="811" ht="15.75" customHeight="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</row>
    <row r="812" ht="15.75" customHeight="1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</row>
    <row r="813" ht="15.75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</row>
    <row r="814" ht="15.75" customHeight="1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</row>
    <row r="815" ht="15.75" customHeight="1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</row>
    <row r="816" ht="15.75" customHeight="1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</row>
    <row r="817" ht="15.75" customHeight="1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</row>
    <row r="818" ht="15.75" customHeight="1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</row>
    <row r="819" ht="15.75" customHeight="1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</row>
    <row r="820" ht="15.75" customHeight="1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</row>
    <row r="821" ht="15.75" customHeight="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</row>
    <row r="822" ht="15.75" customHeight="1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</row>
    <row r="823" ht="15.75" customHeight="1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</row>
    <row r="824" ht="15.75" customHeight="1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</row>
    <row r="825" ht="15.75" customHeight="1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</row>
    <row r="826" ht="15.75" customHeight="1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</row>
    <row r="827" ht="15.75" customHeight="1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</row>
    <row r="828" ht="15.75" customHeight="1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</row>
    <row r="829" ht="15.75" customHeight="1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</row>
    <row r="830" ht="15.75" customHeight="1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</row>
    <row r="831" ht="15.75" customHeight="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</row>
    <row r="832" ht="15.75" customHeight="1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</row>
    <row r="833" ht="15.75" customHeight="1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</row>
    <row r="834" ht="15.75" customHeight="1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</row>
    <row r="835" ht="15.75" customHeight="1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</row>
    <row r="836" ht="15.75" customHeight="1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</row>
    <row r="837" ht="15.75" customHeight="1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</row>
    <row r="838" ht="15.75" customHeight="1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</row>
    <row r="839" ht="15.75" customHeight="1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</row>
    <row r="840" ht="15.75" customHeight="1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</row>
    <row r="841" ht="15.75" customHeight="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</row>
    <row r="842" ht="15.75" customHeight="1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</row>
    <row r="843" ht="15.75" customHeight="1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</row>
    <row r="844" ht="15.75" customHeight="1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</row>
    <row r="845" ht="15.75" customHeight="1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</row>
    <row r="846" ht="15.75" customHeight="1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</row>
    <row r="847" ht="15.75" customHeight="1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</row>
    <row r="848" ht="15.75" customHeight="1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</row>
    <row r="849" ht="15.75" customHeight="1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</row>
    <row r="850" ht="15.75" customHeight="1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</row>
    <row r="851" ht="15.75" customHeight="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</row>
    <row r="852" ht="15.75" customHeight="1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</row>
    <row r="853" ht="15.75" customHeight="1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</row>
    <row r="854" ht="15.75" customHeight="1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</row>
    <row r="855" ht="15.75" customHeight="1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</row>
    <row r="856" ht="15.75" customHeight="1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</row>
    <row r="857" ht="15.75" customHeight="1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</row>
    <row r="858" ht="15.75" customHeight="1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</row>
    <row r="859" ht="15.75" customHeight="1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</row>
    <row r="860" ht="15.75" customHeight="1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</row>
    <row r="861" ht="15.75" customHeight="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</row>
    <row r="862" ht="15.75" customHeight="1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</row>
    <row r="863" ht="15.75" customHeight="1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</row>
    <row r="864" ht="15.75" customHeight="1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</row>
    <row r="865" ht="15.75" customHeight="1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</row>
    <row r="866" ht="15.75" customHeight="1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</row>
    <row r="867" ht="15.75" customHeight="1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</row>
    <row r="868" ht="15.75" customHeight="1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</row>
    <row r="869" ht="15.75" customHeight="1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</row>
    <row r="870" ht="15.75" customHeight="1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</row>
    <row r="871" ht="15.75" customHeight="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</row>
    <row r="872" ht="15.75" customHeight="1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</row>
    <row r="873" ht="15.75" customHeight="1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</row>
    <row r="874" ht="15.75" customHeight="1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</row>
    <row r="875" ht="15.75" customHeight="1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</row>
    <row r="876" ht="15.75" customHeight="1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</row>
    <row r="877" ht="15.75" customHeight="1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</row>
    <row r="878" ht="15.75" customHeight="1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</row>
    <row r="879" ht="15.75" customHeight="1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</row>
    <row r="880" ht="15.75" customHeight="1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</row>
    <row r="881" ht="15.75" customHeight="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</row>
    <row r="882" ht="15.75" customHeight="1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</row>
    <row r="883" ht="15.75" customHeight="1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</row>
    <row r="884" ht="15.75" customHeight="1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</row>
    <row r="885" ht="15.75" customHeight="1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</row>
    <row r="886" ht="15.75" customHeight="1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</row>
    <row r="887" ht="15.75" customHeight="1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</row>
    <row r="888" ht="15.75" customHeight="1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</row>
    <row r="889" ht="15.75" customHeight="1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</row>
    <row r="890" ht="15.75" customHeight="1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</row>
    <row r="891" ht="15.75" customHeight="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</row>
    <row r="892" ht="15.75" customHeight="1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</row>
    <row r="893" ht="15.75" customHeight="1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</row>
    <row r="894" ht="15.75" customHeight="1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</row>
    <row r="895" ht="15.75" customHeight="1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</row>
    <row r="896" ht="15.75" customHeight="1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</row>
    <row r="897" ht="15.75" customHeight="1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</row>
    <row r="898" ht="15.75" customHeight="1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</row>
    <row r="899" ht="15.75" customHeight="1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</row>
    <row r="900" ht="15.75" customHeight="1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</row>
    <row r="901" ht="15.75" customHeight="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</row>
    <row r="902" ht="15.75" customHeight="1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</row>
    <row r="903" ht="15.75" customHeight="1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</row>
    <row r="904" ht="15.75" customHeight="1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</row>
    <row r="905" ht="15.75" customHeight="1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</row>
    <row r="906" ht="15.75" customHeight="1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</row>
    <row r="907" ht="15.75" customHeight="1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</row>
    <row r="908" ht="15.75" customHeight="1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</row>
    <row r="909" ht="15.75" customHeight="1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</row>
    <row r="910" ht="15.75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</row>
    <row r="911" ht="15.75" customHeight="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</row>
    <row r="912" ht="15.75" customHeight="1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</row>
    <row r="913" ht="15.75" customHeight="1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</row>
    <row r="914" ht="15.75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</row>
    <row r="915" ht="15.75" customHeight="1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</row>
    <row r="916" ht="15.75" customHeight="1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</row>
    <row r="917" ht="15.75" customHeight="1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</row>
    <row r="918" ht="15.75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</row>
    <row r="919" ht="15.75" customHeight="1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</row>
    <row r="920" ht="15.75" customHeight="1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</row>
    <row r="921" ht="15.75" customHeight="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</row>
    <row r="922" ht="15.75" customHeight="1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</row>
    <row r="923" ht="15.75" customHeight="1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</row>
    <row r="924" ht="15.75" customHeight="1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</row>
    <row r="925" ht="15.75" customHeight="1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</row>
    <row r="926" ht="15.75" customHeight="1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</row>
    <row r="927" ht="15.75" customHeight="1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</row>
    <row r="928" ht="15.75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</row>
    <row r="929" ht="15.75" customHeight="1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</row>
    <row r="930" ht="15.75" customHeight="1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</row>
    <row r="931" ht="15.75" customHeight="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</row>
    <row r="932" ht="15.75" customHeight="1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</row>
    <row r="933" ht="15.75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</row>
    <row r="934" ht="15.75" customHeight="1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</row>
    <row r="935" ht="15.75" customHeight="1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</row>
    <row r="936" ht="15.75" customHeight="1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</row>
    <row r="937" ht="15.75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</row>
    <row r="938" ht="15.75" customHeight="1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</row>
    <row r="939" ht="15.75" customHeight="1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</row>
    <row r="940" ht="15.75" customHeight="1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</row>
    <row r="941" ht="15.75" customHeight="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</row>
    <row r="942" ht="15.75" customHeight="1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</row>
    <row r="943" ht="15.75" customHeight="1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</row>
    <row r="944" ht="15.75" customHeight="1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</row>
    <row r="945" ht="15.75" customHeight="1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</row>
    <row r="946" ht="15.75" customHeight="1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</row>
    <row r="947" ht="15.75" customHeight="1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</row>
    <row r="948" ht="15.75" customHeight="1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</row>
    <row r="949" ht="15.75" customHeight="1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</row>
    <row r="950" ht="15.75" customHeight="1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</row>
    <row r="951" ht="15.75" customHeight="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</row>
    <row r="952" ht="15.75" customHeight="1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</row>
    <row r="953" ht="15.75" customHeight="1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</row>
    <row r="954" ht="15.75" customHeight="1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</row>
    <row r="955" ht="15.75" customHeight="1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</row>
    <row r="956" ht="15.75" customHeight="1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</row>
    <row r="957" ht="15.75" customHeight="1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</row>
    <row r="958" ht="15.75" customHeight="1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</row>
    <row r="959" ht="15.75" customHeight="1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</row>
    <row r="960" ht="15.75" customHeight="1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</row>
    <row r="961" ht="15.75" customHeight="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</row>
    <row r="962" ht="15.75" customHeight="1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</row>
    <row r="963" ht="15.75" customHeight="1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</row>
    <row r="964" ht="15.75" customHeight="1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</row>
    <row r="965" ht="15.75" customHeight="1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</row>
    <row r="966" ht="15.75" customHeight="1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</row>
    <row r="967" ht="15.75" customHeight="1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</row>
    <row r="968" ht="15.75" customHeight="1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</row>
    <row r="969" ht="15.75" customHeight="1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</row>
    <row r="970" ht="15.75" customHeight="1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</row>
    <row r="971" ht="15.75" customHeight="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</row>
    <row r="972" ht="15.75" customHeight="1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</row>
    <row r="973" ht="15.75" customHeight="1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</row>
    <row r="974" ht="15.75" customHeight="1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</row>
    <row r="975" ht="15.75" customHeight="1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</row>
    <row r="976" ht="15.75" customHeight="1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</row>
    <row r="977" ht="15.75" customHeight="1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</row>
    <row r="978" ht="15.75" customHeight="1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</row>
    <row r="979" ht="15.75" customHeight="1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</row>
    <row r="980" ht="15.75" customHeight="1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</row>
    <row r="981" ht="15.75" customHeight="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</row>
    <row r="982" ht="15.75" customHeight="1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</row>
    <row r="983" ht="15.75" customHeight="1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</row>
    <row r="984" ht="15.75" customHeight="1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</row>
    <row r="985" ht="15.75" customHeight="1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</row>
    <row r="986" ht="15.75" customHeight="1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</row>
    <row r="987" ht="15.75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</row>
    <row r="988" ht="15.75" customHeight="1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</row>
    <row r="989" ht="15.75" customHeight="1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</row>
    <row r="990" ht="15.75" customHeight="1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</row>
    <row r="991" ht="15.75" customHeight="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</row>
    <row r="992" ht="15.75" customHeight="1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</row>
    <row r="993" ht="15.75" customHeight="1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</row>
    <row r="994" ht="15.75" customHeight="1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</row>
    <row r="995" ht="15.75" customHeight="1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</row>
    <row r="996" ht="15.75" customHeight="1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</row>
    <row r="997" ht="15.75" customHeight="1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</row>
    <row r="998" ht="15.75" customHeight="1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</row>
    <row r="999" ht="15.75" customHeight="1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</row>
    <row r="1000" ht="15.75" customHeight="1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</row>
    <row r="1001" ht="15.75" customHeight="1">
      <c r="A1001" s="164"/>
      <c r="B1001" s="164"/>
      <c r="C1001" s="164"/>
      <c r="D1001" s="164"/>
      <c r="E1001" s="164"/>
      <c r="F1001" s="164"/>
      <c r="G1001" s="164"/>
      <c r="H1001" s="164"/>
      <c r="I1001" s="164"/>
      <c r="J1001" s="164"/>
      <c r="K1001" s="164"/>
      <c r="L1001" s="164"/>
      <c r="M1001" s="164"/>
      <c r="N1001" s="164"/>
      <c r="O1001" s="164"/>
      <c r="P1001" s="164"/>
      <c r="Q1001" s="164"/>
      <c r="R1001" s="164"/>
      <c r="S1001" s="164"/>
      <c r="T1001" s="164"/>
      <c r="U1001" s="164"/>
      <c r="V1001" s="164"/>
      <c r="W1001" s="164"/>
      <c r="X1001" s="164"/>
      <c r="Y1001" s="164"/>
    </row>
    <row r="1002" ht="15.75" customHeight="1">
      <c r="A1002" s="164"/>
      <c r="B1002" s="164"/>
      <c r="C1002" s="164"/>
      <c r="D1002" s="164"/>
      <c r="E1002" s="164"/>
      <c r="F1002" s="164"/>
      <c r="G1002" s="164"/>
      <c r="H1002" s="164"/>
      <c r="I1002" s="164"/>
      <c r="J1002" s="164"/>
      <c r="K1002" s="164"/>
      <c r="L1002" s="164"/>
      <c r="M1002" s="164"/>
      <c r="N1002" s="164"/>
      <c r="O1002" s="164"/>
      <c r="P1002" s="164"/>
      <c r="Q1002" s="164"/>
      <c r="R1002" s="164"/>
      <c r="S1002" s="164"/>
      <c r="T1002" s="164"/>
      <c r="U1002" s="164"/>
      <c r="V1002" s="164"/>
      <c r="W1002" s="164"/>
      <c r="X1002" s="164"/>
      <c r="Y1002" s="164"/>
    </row>
    <row r="1003" ht="15.75" customHeight="1">
      <c r="A1003" s="164"/>
      <c r="B1003" s="164"/>
      <c r="C1003" s="164"/>
      <c r="D1003" s="164"/>
      <c r="E1003" s="164"/>
      <c r="F1003" s="164"/>
      <c r="G1003" s="164"/>
      <c r="H1003" s="164"/>
      <c r="I1003" s="164"/>
      <c r="J1003" s="164"/>
      <c r="K1003" s="164"/>
      <c r="L1003" s="164"/>
      <c r="M1003" s="164"/>
      <c r="N1003" s="164"/>
      <c r="O1003" s="164"/>
      <c r="P1003" s="164"/>
      <c r="Q1003" s="164"/>
      <c r="R1003" s="164"/>
      <c r="S1003" s="164"/>
      <c r="T1003" s="164"/>
      <c r="U1003" s="164"/>
      <c r="V1003" s="164"/>
      <c r="W1003" s="164"/>
      <c r="X1003" s="164"/>
      <c r="Y1003" s="164"/>
    </row>
    <row r="1004" ht="15.75" customHeight="1">
      <c r="A1004" s="164"/>
      <c r="B1004" s="164"/>
      <c r="C1004" s="164"/>
      <c r="D1004" s="164"/>
      <c r="E1004" s="164"/>
      <c r="F1004" s="164"/>
      <c r="G1004" s="164"/>
      <c r="H1004" s="164"/>
      <c r="I1004" s="164"/>
      <c r="J1004" s="164"/>
      <c r="K1004" s="164"/>
      <c r="L1004" s="164"/>
      <c r="M1004" s="164"/>
      <c r="N1004" s="164"/>
      <c r="O1004" s="164"/>
      <c r="P1004" s="164"/>
      <c r="Q1004" s="164"/>
      <c r="R1004" s="164"/>
      <c r="S1004" s="164"/>
      <c r="T1004" s="164"/>
      <c r="U1004" s="164"/>
      <c r="V1004" s="164"/>
      <c r="W1004" s="164"/>
      <c r="X1004" s="164"/>
      <c r="Y1004" s="164"/>
    </row>
    <row r="1005" ht="15.75" customHeight="1">
      <c r="A1005" s="164"/>
      <c r="B1005" s="164"/>
      <c r="C1005" s="164"/>
      <c r="D1005" s="164"/>
      <c r="E1005" s="164"/>
      <c r="F1005" s="164"/>
      <c r="G1005" s="164"/>
      <c r="H1005" s="164"/>
      <c r="I1005" s="164"/>
      <c r="J1005" s="164"/>
      <c r="K1005" s="164"/>
      <c r="L1005" s="164"/>
      <c r="M1005" s="164"/>
      <c r="N1005" s="164"/>
      <c r="O1005" s="164"/>
      <c r="P1005" s="164"/>
      <c r="Q1005" s="164"/>
      <c r="R1005" s="164"/>
      <c r="S1005" s="164"/>
      <c r="T1005" s="164"/>
      <c r="U1005" s="164"/>
      <c r="V1005" s="164"/>
      <c r="W1005" s="164"/>
      <c r="X1005" s="164"/>
      <c r="Y1005" s="164"/>
    </row>
    <row r="1006" ht="15.75" customHeight="1">
      <c r="A1006" s="164"/>
      <c r="B1006" s="164"/>
      <c r="C1006" s="164"/>
      <c r="D1006" s="164"/>
      <c r="E1006" s="164"/>
      <c r="F1006" s="164"/>
      <c r="G1006" s="164"/>
      <c r="H1006" s="164"/>
      <c r="I1006" s="164"/>
      <c r="J1006" s="164"/>
      <c r="K1006" s="164"/>
      <c r="L1006" s="164"/>
      <c r="M1006" s="164"/>
      <c r="N1006" s="164"/>
      <c r="O1006" s="164"/>
      <c r="P1006" s="164"/>
      <c r="Q1006" s="164"/>
      <c r="R1006" s="164"/>
      <c r="S1006" s="164"/>
      <c r="T1006" s="164"/>
      <c r="U1006" s="164"/>
      <c r="V1006" s="164"/>
      <c r="W1006" s="164"/>
      <c r="X1006" s="164"/>
      <c r="Y1006" s="164"/>
    </row>
    <row r="1007" ht="15.75" customHeight="1">
      <c r="A1007" s="164"/>
      <c r="B1007" s="164"/>
      <c r="C1007" s="164"/>
      <c r="D1007" s="164"/>
      <c r="E1007" s="164"/>
      <c r="F1007" s="164"/>
      <c r="G1007" s="164"/>
      <c r="H1007" s="164"/>
      <c r="I1007" s="164"/>
      <c r="J1007" s="164"/>
      <c r="K1007" s="164"/>
      <c r="L1007" s="164"/>
      <c r="M1007" s="164"/>
      <c r="N1007" s="164"/>
      <c r="O1007" s="164"/>
      <c r="P1007" s="164"/>
      <c r="Q1007" s="164"/>
      <c r="R1007" s="164"/>
      <c r="S1007" s="164"/>
      <c r="T1007" s="164"/>
      <c r="U1007" s="164"/>
      <c r="V1007" s="164"/>
      <c r="W1007" s="164"/>
      <c r="X1007" s="164"/>
      <c r="Y1007" s="164"/>
    </row>
    <row r="1008" ht="15.75" customHeight="1">
      <c r="A1008" s="164"/>
      <c r="B1008" s="164"/>
      <c r="C1008" s="164"/>
      <c r="D1008" s="164"/>
      <c r="E1008" s="164"/>
      <c r="F1008" s="164"/>
      <c r="G1008" s="164"/>
      <c r="H1008" s="164"/>
      <c r="I1008" s="164"/>
      <c r="J1008" s="164"/>
      <c r="K1008" s="164"/>
      <c r="L1008" s="164"/>
      <c r="M1008" s="164"/>
      <c r="N1008" s="164"/>
      <c r="O1008" s="164"/>
      <c r="P1008" s="164"/>
      <c r="Q1008" s="164"/>
      <c r="R1008" s="164"/>
      <c r="S1008" s="164"/>
      <c r="T1008" s="164"/>
      <c r="U1008" s="164"/>
      <c r="V1008" s="164"/>
      <c r="W1008" s="164"/>
      <c r="X1008" s="164"/>
      <c r="Y1008" s="164"/>
    </row>
    <row r="1009" ht="15.75" customHeight="1">
      <c r="A1009" s="164"/>
      <c r="B1009" s="164"/>
      <c r="C1009" s="164"/>
      <c r="D1009" s="164"/>
      <c r="E1009" s="164"/>
      <c r="F1009" s="164"/>
      <c r="G1009" s="164"/>
      <c r="H1009" s="164"/>
      <c r="I1009" s="164"/>
      <c r="J1009" s="164"/>
      <c r="K1009" s="164"/>
      <c r="L1009" s="164"/>
      <c r="M1009" s="164"/>
      <c r="N1009" s="164"/>
      <c r="O1009" s="164"/>
      <c r="P1009" s="164"/>
      <c r="Q1009" s="164"/>
      <c r="R1009" s="164"/>
      <c r="S1009" s="164"/>
      <c r="T1009" s="164"/>
      <c r="U1009" s="164"/>
      <c r="V1009" s="164"/>
      <c r="W1009" s="164"/>
      <c r="X1009" s="164"/>
      <c r="Y1009" s="164"/>
    </row>
    <row r="1010" ht="15.75" customHeight="1">
      <c r="A1010" s="164"/>
      <c r="B1010" s="164"/>
      <c r="C1010" s="164"/>
      <c r="D1010" s="164"/>
      <c r="E1010" s="164"/>
      <c r="F1010" s="164"/>
      <c r="G1010" s="164"/>
      <c r="H1010" s="164"/>
      <c r="I1010" s="164"/>
      <c r="J1010" s="164"/>
      <c r="K1010" s="164"/>
      <c r="L1010" s="164"/>
      <c r="M1010" s="164"/>
      <c r="N1010" s="164"/>
      <c r="O1010" s="164"/>
      <c r="P1010" s="164"/>
      <c r="Q1010" s="164"/>
      <c r="R1010" s="164"/>
      <c r="S1010" s="164"/>
      <c r="T1010" s="164"/>
      <c r="U1010" s="164"/>
      <c r="V1010" s="164"/>
      <c r="W1010" s="164"/>
      <c r="X1010" s="164"/>
      <c r="Y1010" s="164"/>
    </row>
    <row r="1011" ht="15.75" customHeight="1">
      <c r="A1011" s="164"/>
      <c r="B1011" s="164"/>
      <c r="C1011" s="164"/>
      <c r="D1011" s="164"/>
      <c r="E1011" s="164"/>
      <c r="F1011" s="164"/>
      <c r="G1011" s="164"/>
      <c r="H1011" s="164"/>
      <c r="I1011" s="164"/>
      <c r="J1011" s="164"/>
      <c r="K1011" s="164"/>
      <c r="L1011" s="164"/>
      <c r="M1011" s="164"/>
      <c r="N1011" s="164"/>
      <c r="O1011" s="164"/>
      <c r="P1011" s="164"/>
      <c r="Q1011" s="164"/>
      <c r="R1011" s="164"/>
      <c r="S1011" s="164"/>
      <c r="T1011" s="164"/>
      <c r="U1011" s="164"/>
      <c r="V1011" s="164"/>
      <c r="W1011" s="164"/>
      <c r="X1011" s="164"/>
      <c r="Y1011" s="164"/>
    </row>
    <row r="1012" ht="15.75" customHeight="1">
      <c r="A1012" s="164"/>
      <c r="B1012" s="164"/>
      <c r="C1012" s="164"/>
      <c r="D1012" s="164"/>
      <c r="E1012" s="164"/>
      <c r="F1012" s="164"/>
      <c r="G1012" s="164"/>
      <c r="H1012" s="164"/>
      <c r="I1012" s="164"/>
      <c r="J1012" s="164"/>
      <c r="K1012" s="164"/>
      <c r="L1012" s="164"/>
      <c r="M1012" s="164"/>
      <c r="N1012" s="164"/>
      <c r="O1012" s="164"/>
      <c r="P1012" s="164"/>
      <c r="Q1012" s="164"/>
      <c r="R1012" s="164"/>
      <c r="S1012" s="164"/>
      <c r="T1012" s="164"/>
      <c r="U1012" s="164"/>
      <c r="V1012" s="164"/>
      <c r="W1012" s="164"/>
      <c r="X1012" s="164"/>
      <c r="Y1012" s="164"/>
    </row>
    <row r="1013" ht="15.75" customHeight="1">
      <c r="A1013" s="164"/>
      <c r="B1013" s="164"/>
      <c r="C1013" s="164"/>
      <c r="D1013" s="164"/>
      <c r="E1013" s="164"/>
      <c r="F1013" s="164"/>
      <c r="G1013" s="164"/>
      <c r="H1013" s="164"/>
      <c r="I1013" s="164"/>
      <c r="J1013" s="164"/>
      <c r="K1013" s="164"/>
      <c r="L1013" s="164"/>
      <c r="M1013" s="164"/>
      <c r="N1013" s="164"/>
      <c r="O1013" s="164"/>
      <c r="P1013" s="164"/>
      <c r="Q1013" s="164"/>
      <c r="R1013" s="164"/>
      <c r="S1013" s="164"/>
      <c r="T1013" s="164"/>
      <c r="U1013" s="164"/>
      <c r="V1013" s="164"/>
      <c r="W1013" s="164"/>
      <c r="X1013" s="164"/>
      <c r="Y1013" s="164"/>
    </row>
    <row r="1014" ht="15.75" customHeight="1">
      <c r="A1014" s="164"/>
      <c r="B1014" s="164"/>
      <c r="C1014" s="164"/>
      <c r="D1014" s="164"/>
      <c r="E1014" s="164"/>
      <c r="F1014" s="164"/>
      <c r="G1014" s="164"/>
      <c r="H1014" s="164"/>
      <c r="I1014" s="164"/>
      <c r="J1014" s="164"/>
      <c r="K1014" s="164"/>
      <c r="L1014" s="164"/>
      <c r="M1014" s="164"/>
      <c r="N1014" s="164"/>
      <c r="O1014" s="164"/>
      <c r="P1014" s="164"/>
      <c r="Q1014" s="164"/>
      <c r="R1014" s="164"/>
      <c r="S1014" s="164"/>
      <c r="T1014" s="164"/>
      <c r="U1014" s="164"/>
      <c r="V1014" s="164"/>
      <c r="W1014" s="164"/>
      <c r="X1014" s="164"/>
      <c r="Y1014" s="164"/>
    </row>
    <row r="1015" ht="15.75" customHeight="1">
      <c r="A1015" s="164"/>
      <c r="B1015" s="164"/>
      <c r="C1015" s="164"/>
      <c r="D1015" s="164"/>
      <c r="E1015" s="164"/>
      <c r="F1015" s="164"/>
      <c r="G1015" s="164"/>
      <c r="H1015" s="164"/>
      <c r="I1015" s="164"/>
      <c r="J1015" s="164"/>
      <c r="K1015" s="164"/>
      <c r="L1015" s="164"/>
      <c r="M1015" s="164"/>
      <c r="N1015" s="164"/>
      <c r="O1015" s="164"/>
      <c r="P1015" s="164"/>
      <c r="Q1015" s="164"/>
      <c r="R1015" s="164"/>
      <c r="S1015" s="164"/>
      <c r="T1015" s="164"/>
      <c r="U1015" s="164"/>
      <c r="V1015" s="164"/>
      <c r="W1015" s="164"/>
      <c r="X1015" s="164"/>
      <c r="Y1015" s="164"/>
    </row>
    <row r="1016" ht="15.75" customHeight="1">
      <c r="A1016" s="164"/>
      <c r="B1016" s="164"/>
      <c r="C1016" s="164"/>
      <c r="D1016" s="164"/>
      <c r="E1016" s="164"/>
      <c r="F1016" s="164"/>
      <c r="G1016" s="164"/>
      <c r="H1016" s="164"/>
      <c r="I1016" s="164"/>
      <c r="J1016" s="164"/>
      <c r="K1016" s="164"/>
      <c r="L1016" s="164"/>
      <c r="M1016" s="164"/>
      <c r="N1016" s="164"/>
      <c r="O1016" s="164"/>
      <c r="P1016" s="164"/>
      <c r="Q1016" s="164"/>
      <c r="R1016" s="164"/>
      <c r="S1016" s="164"/>
      <c r="T1016" s="164"/>
      <c r="U1016" s="164"/>
      <c r="V1016" s="164"/>
      <c r="W1016" s="164"/>
      <c r="X1016" s="164"/>
      <c r="Y1016" s="164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70 K18:K70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