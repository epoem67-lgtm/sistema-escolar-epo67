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ciencias de la comunicacion" sheetId="1" r:id="rId5"/>
    <sheet state="visible" name="3-1 temas selectos de ingles ii" sheetId="2" r:id="rId6"/>
    <sheet state="visible" name="3-1 temas selectos de matematic" sheetId="3" r:id="rId7"/>
    <sheet state="visible" name="3-1 conciencia historica iii" sheetId="4" r:id="rId8"/>
    <sheet state="visible" name="3-1 organismos" sheetId="5" r:id="rId9"/>
    <sheet state="visible" name="3-1 temas selectos de filosofia" sheetId="6" r:id="rId10"/>
    <sheet state="visible" name="3-1 diseño digital" sheetId="7" r:id="rId11"/>
    <sheet state="visible" name="3-1 economia i" sheetId="8" r:id="rId12"/>
    <sheet state="visible" name="3-1 paginas web" sheetId="9" r:id="rId13"/>
    <sheet state="visible" name="3-1 actividades artisticas y cu" sheetId="10" r:id="rId14"/>
    <sheet state="visible" name="3-1 practica y colaboracion ciu" sheetId="11" r:id="rId15"/>
    <sheet state="visible" name="3-1 temas selectos de igualdad " sheetId="12" r:id="rId16"/>
    <sheet state="visible" name="INDICADORES" sheetId="13" r:id="rId17"/>
  </sheets>
  <definedNames>
    <definedName localSheetId="3" name="Excel_BuiltIn_Print_Area">'3-1 conciencia historica iii'!$A$6:$O$62</definedName>
    <definedName localSheetId="7" name="Excel_BuiltIn_Print_Area">'3-1 economia i'!$A$6:$O$62</definedName>
    <definedName localSheetId="11" name="Excel_BuiltIn_Print_Area">'3-1 temas selectos de igualdad '!$A$6:$O$62</definedName>
    <definedName localSheetId="6" name="Excel_BuiltIn_Print_Area">'3-1 diseño digital'!$A$6:$O$62</definedName>
    <definedName localSheetId="0" name="Excel_BuiltIn_Print_Area">'3-1 ciencias de la comunicacion'!$A$6:$O$60</definedName>
    <definedName localSheetId="4" name="Excel_BuiltIn_Print_Area">'3-1 organismos'!$A$6:$O$62</definedName>
    <definedName localSheetId="2" name="Excel_BuiltIn_Print_Area">'3-1 temas selectos de matematic'!$A$6:$O$62</definedName>
    <definedName localSheetId="1" name="Excel_BuiltIn_Print_Area">'3-1 temas selectos de ingles ii'!$A$6:$O$62</definedName>
    <definedName localSheetId="8" name="Excel_BuiltIn_Print_Area">'3-1 paginas web'!$A$6:$O$62</definedName>
    <definedName localSheetId="9" name="Excel_BuiltIn_Print_Area">'3-1 actividades artisticas y cu'!$A$6:$O$62</definedName>
    <definedName localSheetId="10" name="Excel_BuiltIn_Print_Area">'3-1 practica y colaboracion ciu'!$A$6:$O$62</definedName>
    <definedName localSheetId="5" name="Excel_BuiltIn_Print_Area">'3-1 temas selectos de filosofia'!$A$6:$O$62</definedName>
    <definedName hidden="1" localSheetId="0" name="_xlnm._FilterDatabase">'3-1 ciencias de la comunicacion'!$S$1:$S$88</definedName>
    <definedName hidden="1" localSheetId="1" name="_xlnm._FilterDatabase">'3-1 temas selectos de ingles ii'!$S$1:$S$84</definedName>
    <definedName hidden="1" localSheetId="2" name="_xlnm._FilterDatabase">'3-1 temas selectos de matematic'!$S$1:$S$86</definedName>
    <definedName hidden="1" localSheetId="3" name="_xlnm._FilterDatabase">'3-1 conciencia historica iii'!$S$1:$S$88</definedName>
    <definedName hidden="1" localSheetId="4" name="_xlnm._FilterDatabase">'3-1 organismos'!$S$1:$S$86</definedName>
    <definedName hidden="1" localSheetId="5" name="_xlnm._FilterDatabase">'3-1 temas selectos de filosofia'!$S$1:$S$85</definedName>
    <definedName hidden="1" localSheetId="6" name="_xlnm._FilterDatabase">'3-1 diseño digital'!$S$1:$S$83</definedName>
    <definedName hidden="1" localSheetId="7" name="_xlnm._FilterDatabase">'3-1 economia i'!$S$1:$S$85</definedName>
    <definedName hidden="1" localSheetId="8" name="_xlnm._FilterDatabase">'3-1 paginas web'!$S$1:$S$88</definedName>
    <definedName hidden="1" localSheetId="9" name="_xlnm._FilterDatabase">'3-1 actividades artisticas y cu'!$S$1:$S$88</definedName>
    <definedName hidden="1" localSheetId="10" name="_xlnm._FilterDatabase">'3-1 practica y colaboracion ciu'!$S$1:$S$86</definedName>
    <definedName hidden="1" localSheetId="11" name="_xlnm._FilterDatabase">'3-1 temas selectos de igualdad '!$S$1:$S$88</definedName>
  </definedNames>
  <calcPr/>
</workbook>
</file>

<file path=xl/sharedStrings.xml><?xml version="1.0" encoding="utf-8"?>
<sst xmlns="http://schemas.openxmlformats.org/spreadsheetml/2006/main" count="2397" uniqueCount="208">
  <si>
    <t>HORAS IMPARTIDAS</t>
  </si>
  <si>
    <t>ORIENTADORA</t>
  </si>
  <si>
    <t>NEFATLÍ MARGARITA MORLÁN ORTÍZ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</si>
  <si>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</si>
  <si>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</si>
  <si>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</si>
  <si>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</si>
  <si>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</si>
  <si>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</si>
  <si>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</si>
  <si>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</si>
  <si>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</si>
  <si>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3°</t>
  </si>
  <si>
    <t>Grupo</t>
  </si>
  <si>
    <t>Mayo</t>
  </si>
  <si>
    <t>PROFESOR(A):</t>
  </si>
  <si>
    <t>UAC</t>
  </si>
  <si>
    <t>CIENCIAS DE LA COMUNICACIÓN 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</si>
  <si>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</si>
  <si>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</si>
  <si>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</si>
  <si>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</si>
  <si>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</si>
  <si>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</si>
  <si>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</si>
  <si>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</si>
  <si>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</si>
  <si>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</si>
  <si>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</si>
  <si>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</si>
  <si>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</si>
  <si>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</si>
  <si>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</si>
  <si>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</si>
  <si>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</si>
  <si>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</si>
  <si>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</si>
  <si>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</si>
  <si>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</si>
  <si>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</si>
  <si>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ABARCA</t>
  </si>
  <si>
    <t>MELENDEZ</t>
  </si>
  <si>
    <t>ANDRES SAID</t>
  </si>
  <si>
    <t>ALCANTARA</t>
  </si>
  <si>
    <t>BELTRAN</t>
  </si>
  <si>
    <t>JESSICA</t>
  </si>
  <si>
    <t>ALVAREZ</t>
  </si>
  <si>
    <t>BERNALDO</t>
  </si>
  <si>
    <t>ANGEL ALBERTO</t>
  </si>
  <si>
    <t>GONZALEZ</t>
  </si>
  <si>
    <t>ALLISON JADE</t>
  </si>
  <si>
    <t>ANZALDO</t>
  </si>
  <si>
    <t>MARTINEZ</t>
  </si>
  <si>
    <t>NAYONEL YAEL</t>
  </si>
  <si>
    <t>AVILA</t>
  </si>
  <si>
    <t>ESCAMILLA</t>
  </si>
  <si>
    <t>JUSTIN YAHEL</t>
  </si>
  <si>
    <t>AYALA</t>
  </si>
  <si>
    <t>LARA</t>
  </si>
  <si>
    <t>ISAAC</t>
  </si>
  <si>
    <t>BATRES</t>
  </si>
  <si>
    <t>CERDA</t>
  </si>
  <si>
    <t>MARIA DEL PILAR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</si>
  <si>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</si>
  <si>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</si>
  <si>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</si>
  <si>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</si>
  <si>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</si>
  <si>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</si>
  <si>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</si>
  <si>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</si>
  <si>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</si>
  <si>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</si>
  <si>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</si>
  <si>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</si>
  <si>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</si>
  <si>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</si>
  <si>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</si>
  <si>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</si>
  <si>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</si>
  <si>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</si>
  <si>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</si>
  <si>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</si>
  <si>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</si>
  <si>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</si>
  <si>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</si>
  <si>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</si>
  <si>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</si>
  <si>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</si>
  <si>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</si>
  <si>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</si>
  <si>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</si>
  <si>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</si>
  <si>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</si>
  <si>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</si>
  <si>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</si>
  <si>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</si>
  <si>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</si>
  <si>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</si>
  <si>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</si>
  <si>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</si>
  <si>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</si>
  <si>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</si>
  <si>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</si>
  <si>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</si>
  <si>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</si>
  <si>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</si>
  <si>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</si>
  <si>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</si>
  <si>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</si>
  <si>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</si>
  <si>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</si>
  <si>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</si>
  <si>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</si>
  <si>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</si>
  <si>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</si>
  <si>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</si>
  <si>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</si>
  <si>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</si>
  <si>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</si>
  <si>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</si>
  <si>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</si>
  <si>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</si>
  <si>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</si>
  <si>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</si>
  <si>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</si>
  <si>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</si>
  <si>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</si>
  <si>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</si>
  <si>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</si>
  <si>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</si>
  <si>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</si>
  <si>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</si>
  <si>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</si>
  <si>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</si>
  <si>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</si>
  <si>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</si>
  <si>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</si>
  <si>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</si>
  <si>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</si>
  <si>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</si>
  <si>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</si>
  <si>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</si>
  <si>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</si>
  <si>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</si>
  <si>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</si>
  <si>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</si>
  <si>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</si>
  <si>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</si>
  <si>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</si>
  <si>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</si>
  <si>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</si>
  <si>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</si>
  <si>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</si>
  <si>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</si>
  <si>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</si>
  <si>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</si>
  <si>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</si>
  <si>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</si>
  <si>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</si>
  <si>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</si>
  <si>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</si>
  <si>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</si>
  <si>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</si>
  <si>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</si>
  <si>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</si>
  <si>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</si>
  <si>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TEMAS SELECTOS DE INGLÉS II</t>
  </si>
  <si>
    <t>TEMAS SELECTOS DE MATEMÁTICAS II</t>
  </si>
  <si>
    <t>CONCIENCIA HISTÓRICA III</t>
  </si>
  <si>
    <t>ORGANISMOS</t>
  </si>
  <si>
    <t>TEMAS SELECTOS DE FILOSOFÍA</t>
  </si>
  <si>
    <t>DISEÑO DIGITAL</t>
  </si>
  <si>
    <t>ECONOMÍA I</t>
  </si>
  <si>
    <t>PÁGINAS WEB</t>
  </si>
  <si>
    <t>ACTIVIDADES ARTÍSTICAS Y CULTURALES III</t>
  </si>
  <si>
    <t>PRÁCTICA Y COLABORACIÓN CIUDADANA II</t>
  </si>
  <si>
    <t>TEMAS SELECTOS DE IGUALDAD Y DERECHOS HUMANOS VI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</si>
  <si>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</si>
  <si>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</si>
  <si>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</si>
  <si>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</si>
  <si>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</si>
  <si>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</si>
  <si>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</si>
  <si>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</si>
  <si>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</si>
  <si>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</si>
  <si>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</si>
  <si>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</si>
  <si>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</si>
  <si>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III</t>
  </si>
  <si>
    <t xml:space="preserve">DISEÑO DIGITAL </t>
  </si>
  <si>
    <t xml:space="preserve">TEMAS SELECTOS DE IGUALDAD Y DERECHOS HUMANOS VI </t>
  </si>
  <si>
    <t>PARCIAL II</t>
  </si>
  <si>
    <t xml:space="preserve">INDICADORES FINALES </t>
  </si>
  <si>
    <t>PENSAMIENTO LITERARIO</t>
  </si>
  <si>
    <t>INGLÉS IV</t>
  </si>
  <si>
    <t>TEMAS SELECTOS DE MATEMÁTICAS I</t>
  </si>
  <si>
    <t>CONCIENCIA HISTORICA I</t>
  </si>
  <si>
    <t>TALLER DE CULTURA DIGITAL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</si>
  <si>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</si>
  <si>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</si>
  <si>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</si>
  <si>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</si>
  <si>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</si>
  <si>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ARTÍSTICAS Y CULTURALES I </t>
  </si>
  <si>
    <t>EDUCACIÓN INTEGRAL EN SEXUALIDAD Y GÉNERO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</si>
</sst>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4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&quot;Century Gothic&quot;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b/>
      <sz val="8.0"/>
      <color theme="1"/>
      <name val="Arial"/>
    </font>
    <font>
      <sz val="9.0"/>
      <color theme="1"/>
      <name val="Century Gothic"/>
    </font>
    <font>
      <b/>
      <sz val="14.0"/>
      <color theme="1"/>
      <name val="Arial"/>
      <scheme val="minor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readingOrder="0" shrinkToFit="0" vertical="bottom" wrapText="0"/>
    </xf>
    <xf borderId="21" fillId="2" fontId="13" numFmtId="0" xfId="0" applyAlignment="1" applyBorder="1" applyFont="1">
      <alignment horizontal="center" shrinkToFit="0" vertical="bottom" wrapText="0"/>
    </xf>
    <xf borderId="3" fillId="2" fontId="13" numFmtId="0" xfId="0" applyAlignment="1" applyBorder="1" applyFont="1">
      <alignment readingOrder="0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2" numFmtId="0" xfId="0" applyAlignment="1" applyBorder="1" applyFont="1">
      <alignment horizontal="center"/>
    </xf>
    <xf borderId="3" fillId="2" fontId="13" numFmtId="0" xfId="0" applyAlignment="1" applyBorder="1" applyFont="1">
      <alignment horizontal="center" shrinkToFit="0" vertical="bottom" wrapText="0"/>
    </xf>
    <xf borderId="4" fillId="2" fontId="1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4" numFmtId="0" xfId="0" applyFont="1"/>
    <xf borderId="4" fillId="2" fontId="13" numFmtId="0" xfId="0" applyAlignment="1" applyBorder="1" applyFont="1">
      <alignment horizontal="center" shrinkToFit="0" vertical="bottom" wrapText="0"/>
    </xf>
    <xf borderId="22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bottom" wrapText="0"/>
    </xf>
    <xf borderId="28" fillId="3" fontId="1" numFmtId="0" xfId="0" applyAlignment="1" applyBorder="1" applyFill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4" numFmtId="0" xfId="0" applyBorder="1" applyFont="1"/>
    <xf borderId="29" fillId="3" fontId="14" numFmtId="0" xfId="0" applyBorder="1" applyFont="1"/>
    <xf borderId="4" fillId="2" fontId="13" numFmtId="0" xfId="0" applyAlignment="1" applyBorder="1" applyFont="1">
      <alignment readingOrder="0" shrinkToFit="0" vertical="bottom" wrapText="0"/>
    </xf>
    <xf borderId="5" fillId="2" fontId="13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/>
    </xf>
    <xf borderId="29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shrinkToFit="0" vertical="bottom" wrapText="0"/>
    </xf>
    <xf borderId="21" fillId="4" fontId="16" numFmtId="0" xfId="0" applyAlignment="1" applyBorder="1" applyFill="1" applyFont="1">
      <alignment horizontal="right" readingOrder="0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 readingOrder="0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2" fontId="19" numFmtId="0" xfId="0" applyAlignment="1" applyBorder="1" applyFont="1">
      <alignment horizontal="center" vertical="bottom"/>
    </xf>
    <xf borderId="21" fillId="2" fontId="12" numFmtId="0" xfId="0" applyAlignment="1" applyBorder="1" applyFont="1">
      <alignment vertical="bottom"/>
    </xf>
    <xf borderId="3" fillId="2" fontId="19" numFmtId="0" xfId="0" applyAlignment="1" applyBorder="1" applyFont="1">
      <alignment vertical="bottom"/>
    </xf>
    <xf borderId="3" fillId="2" fontId="12" numFmtId="0" xfId="0" applyAlignment="1" applyBorder="1" applyFont="1">
      <alignment vertical="bottom"/>
    </xf>
    <xf borderId="4" fillId="2" fontId="19" numFmtId="0" xfId="0" applyAlignment="1" applyBorder="1" applyFont="1">
      <alignment horizontal="center" vertical="bottom"/>
    </xf>
    <xf borderId="4" fillId="2" fontId="12" numFmtId="0" xfId="0" applyAlignment="1" applyBorder="1" applyFont="1">
      <alignment vertical="bottom"/>
    </xf>
    <xf borderId="4" fillId="2" fontId="19" numFmtId="0" xfId="0" applyAlignment="1" applyBorder="1" applyFont="1">
      <alignment horizontal="center" vertical="bottom"/>
    </xf>
    <xf borderId="3" fillId="2" fontId="12" numFmtId="0" xfId="0" applyAlignment="1" applyBorder="1" applyFont="1">
      <alignment vertical="bottom"/>
    </xf>
    <xf borderId="3" fillId="2" fontId="19" numFmtId="0" xfId="0" applyAlignment="1" applyBorder="1" applyFont="1">
      <alignment horizontal="center" vertical="bottom"/>
    </xf>
    <xf borderId="4" fillId="2" fontId="19" numFmtId="0" xfId="0" applyAlignment="1" applyBorder="1" applyFont="1">
      <alignment vertical="bottom"/>
    </xf>
    <xf borderId="5" fillId="2" fontId="19" numFmtId="0" xfId="0" applyAlignment="1" applyBorder="1" applyFont="1">
      <alignment vertical="bottom"/>
    </xf>
    <xf borderId="4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37" fillId="0" fontId="3" numFmtId="0" xfId="0" applyBorder="1" applyFont="1"/>
    <xf borderId="0" fillId="0" fontId="20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  <xf borderId="3" fillId="0" fontId="10" numFmtId="0" xfId="0" applyAlignment="1" applyBorder="1" applyFont="1">
      <alignment readingOrder="0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10" fontId="10" numFmtId="0" xfId="0" applyAlignment="1" applyBorder="1" applyFill="1" applyFont="1">
      <alignment readingOrder="0"/>
    </xf>
    <xf borderId="3" fillId="10" fontId="10" numFmtId="0" xfId="0" applyBorder="1" applyFont="1"/>
    <xf borderId="3" fillId="10" fontId="10" numFmtId="164" xfId="0" applyBorder="1" applyFont="1" applyNumberFormat="1"/>
    <xf borderId="3" fillId="10" fontId="10" numFmtId="1" xfId="0" applyBorder="1" applyFont="1" applyNumberFormat="1"/>
    <xf borderId="3" fillId="10" fontId="10" numFmtId="165" xfId="0" applyAlignment="1" applyBorder="1" applyFont="1" applyNumberFormat="1">
      <alignment readingOrder="0"/>
    </xf>
    <xf borderId="3" fillId="10" fontId="8" numFmtId="0" xfId="0" applyAlignment="1" applyBorder="1" applyFont="1">
      <alignment horizontal="center" readingOrder="0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21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21" numFmtId="0" xfId="0" applyAlignment="1" applyBorder="1" applyFont="1">
      <alignment horizontal="center" readingOrder="0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21" numFmtId="0" xfId="0" applyAlignment="1" applyBorder="1" applyFont="1">
      <alignment horizontal="center" readingOrder="0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10" numFmtId="164" xfId="0" applyBorder="1" applyFont="1" applyNumberFormat="1"/>
    <xf borderId="3" fillId="0" fontId="10" numFmtId="1" xfId="0" applyBorder="1" applyFont="1" applyNumberFormat="1"/>
    <xf borderId="3" fillId="0" fontId="10" numFmtId="165" xfId="0" applyAlignment="1" applyBorder="1" applyFont="1" applyNumberFormat="1">
      <alignment readingOrder="0"/>
    </xf>
    <xf borderId="16" fillId="0" fontId="21" numFmtId="0" xfId="0" applyAlignment="1" applyBorder="1" applyFont="1">
      <alignment horizontal="center" readingOrder="0"/>
    </xf>
    <xf borderId="16" fillId="0" fontId="22" numFmtId="164" xfId="0" applyAlignment="1" applyBorder="1" applyFont="1" applyNumberFormat="1">
      <alignment horizontal="center" vertical="bottom"/>
    </xf>
    <xf borderId="16" fillId="0" fontId="22" numFmtId="1" xfId="0" applyAlignment="1" applyBorder="1" applyFont="1" applyNumberFormat="1">
      <alignment horizontal="center" vertical="bottom"/>
    </xf>
    <xf borderId="3" fillId="10" fontId="10" numFmtId="164" xfId="0" applyAlignment="1" applyBorder="1" applyFont="1" applyNumberFormat="1">
      <alignment readingOrder="0"/>
    </xf>
    <xf borderId="0" fillId="0" fontId="8" numFmtId="0" xfId="0" applyFont="1"/>
    <xf borderId="0" fillId="0" fontId="23" numFmtId="164" xfId="0" applyAlignment="1" applyFont="1" applyNumberFormat="1">
      <alignment horizontal="center"/>
    </xf>
    <xf borderId="0" fillId="0" fontId="23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>
        <v>12.0</v>
      </c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0"/>
      <c r="H6" s="21"/>
      <c r="I6" s="21"/>
      <c r="J6" s="21"/>
      <c r="K6" s="7" t="s">
        <v>16</v>
      </c>
      <c r="L6" s="22" t="s">
        <v>17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62"/>
      <c r="B13" s="63">
        <v>2.0</v>
      </c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51">
        <v>3.0</v>
      </c>
      <c r="B14" s="67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62"/>
      <c r="B15" s="63">
        <v>4.0</v>
      </c>
      <c r="C15" s="53" t="s">
        <v>46</v>
      </c>
      <c r="D15" s="53" t="s">
        <v>49</v>
      </c>
      <c r="E15" s="53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>
        <v>5.0</v>
      </c>
      <c r="B16" s="67"/>
      <c r="C16" s="53" t="s">
        <v>51</v>
      </c>
      <c r="D16" s="53" t="s">
        <v>52</v>
      </c>
      <c r="E16" s="53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51">
        <v>6.0</v>
      </c>
      <c r="B17" s="67"/>
      <c r="C17" s="53" t="s">
        <v>54</v>
      </c>
      <c r="D17" s="53" t="s">
        <v>55</v>
      </c>
      <c r="E17" s="53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>
        <v>7.0</v>
      </c>
      <c r="B18" s="67"/>
      <c r="C18" s="53" t="s">
        <v>57</v>
      </c>
      <c r="D18" s="53" t="s">
        <v>58</v>
      </c>
      <c r="E18" s="53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/>
      <c r="B19" s="63">
        <v>8.0</v>
      </c>
      <c r="C19" s="53" t="s">
        <v>60</v>
      </c>
      <c r="D19" s="53" t="s">
        <v>61</v>
      </c>
      <c r="E19" s="53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>
        <v>9.0</v>
      </c>
      <c r="B20" s="67"/>
      <c r="C20" s="53" t="s">
        <v>63</v>
      </c>
      <c r="D20" s="53" t="s">
        <v>64</v>
      </c>
      <c r="E20" s="53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>
        <v>10.0</v>
      </c>
      <c r="B21" s="67"/>
      <c r="C21" s="53" t="s">
        <v>66</v>
      </c>
      <c r="D21" s="53" t="s">
        <v>52</v>
      </c>
      <c r="E21" s="53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62"/>
      <c r="B22" s="63">
        <v>11.0</v>
      </c>
      <c r="C22" s="53" t="s">
        <v>68</v>
      </c>
      <c r="D22" s="53" t="s">
        <v>69</v>
      </c>
      <c r="E22" s="53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>
        <v>12.0</v>
      </c>
      <c r="B23" s="67"/>
      <c r="C23" s="53" t="s">
        <v>71</v>
      </c>
      <c r="D23" s="53" t="s">
        <v>72</v>
      </c>
      <c r="E23" s="53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51">
        <v>13.0</v>
      </c>
      <c r="B24" s="67"/>
      <c r="C24" s="53" t="s">
        <v>74</v>
      </c>
      <c r="D24" s="53" t="s">
        <v>75</v>
      </c>
      <c r="E24" s="53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/>
      <c r="B25" s="63">
        <v>14.0</v>
      </c>
      <c r="C25" s="53" t="s">
        <v>77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51">
        <v>15.0</v>
      </c>
      <c r="B26" s="67"/>
      <c r="C26" s="53" t="s">
        <v>80</v>
      </c>
      <c r="D26" s="53" t="s">
        <v>81</v>
      </c>
      <c r="E26" s="53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/>
      <c r="B27" s="63">
        <v>16.0</v>
      </c>
      <c r="C27" s="53" t="s">
        <v>83</v>
      </c>
      <c r="D27" s="53" t="s">
        <v>84</v>
      </c>
      <c r="E27" s="53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70"/>
      <c r="B28" s="63">
        <v>17.0</v>
      </c>
      <c r="C28" s="53" t="s">
        <v>83</v>
      </c>
      <c r="D28" s="53" t="s">
        <v>86</v>
      </c>
      <c r="E28" s="53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/>
      <c r="B29" s="63">
        <v>18.0</v>
      </c>
      <c r="C29" s="53" t="s">
        <v>49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51">
        <v>19.0</v>
      </c>
      <c r="B30" s="67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70"/>
      <c r="B31" s="63">
        <v>20.0</v>
      </c>
      <c r="C31" s="53" t="s">
        <v>90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>
        <v>21.0</v>
      </c>
      <c r="B32" s="67"/>
      <c r="C32" s="53" t="s">
        <v>95</v>
      </c>
      <c r="D32" s="53" t="s">
        <v>96</v>
      </c>
      <c r="E32" s="53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62"/>
      <c r="B33" s="63">
        <v>22.0</v>
      </c>
      <c r="C33" s="53" t="s">
        <v>98</v>
      </c>
      <c r="D33" s="53" t="s">
        <v>99</v>
      </c>
      <c r="E33" s="53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62"/>
      <c r="B34" s="63">
        <v>23.0</v>
      </c>
      <c r="C34" s="53" t="s">
        <v>101</v>
      </c>
      <c r="D34" s="53" t="s">
        <v>102</v>
      </c>
      <c r="E34" s="53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51">
        <v>24.0</v>
      </c>
      <c r="B35" s="67"/>
      <c r="C35" s="53" t="s">
        <v>104</v>
      </c>
      <c r="D35" s="53" t="s">
        <v>49</v>
      </c>
      <c r="E35" s="53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>
        <v>25.0</v>
      </c>
      <c r="B36" s="67"/>
      <c r="C36" s="53" t="s">
        <v>106</v>
      </c>
      <c r="D36" s="53" t="s">
        <v>107</v>
      </c>
      <c r="E36" s="53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51">
        <v>26.0</v>
      </c>
      <c r="B37" s="67"/>
      <c r="C37" s="53" t="s">
        <v>52</v>
      </c>
      <c r="D37" s="53" t="s">
        <v>109</v>
      </c>
      <c r="E37" s="53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>
        <v>27.0</v>
      </c>
      <c r="B38" s="67"/>
      <c r="C38" s="53" t="s">
        <v>111</v>
      </c>
      <c r="D38" s="53" t="s">
        <v>74</v>
      </c>
      <c r="E38" s="53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62"/>
      <c r="B39" s="63">
        <v>28.0</v>
      </c>
      <c r="C39" s="53" t="s">
        <v>113</v>
      </c>
      <c r="D39" s="53" t="s">
        <v>101</v>
      </c>
      <c r="E39" s="53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62"/>
      <c r="B40" s="63">
        <v>29.0</v>
      </c>
      <c r="C40" s="53" t="s">
        <v>115</v>
      </c>
      <c r="D40" s="53" t="s">
        <v>116</v>
      </c>
      <c r="E40" s="53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62"/>
      <c r="B41" s="63">
        <v>30.0</v>
      </c>
      <c r="C41" s="53" t="s">
        <v>118</v>
      </c>
      <c r="D41" s="53" t="s">
        <v>119</v>
      </c>
      <c r="E41" s="53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62"/>
      <c r="B42" s="63">
        <v>31.0</v>
      </c>
      <c r="C42" s="53" t="s">
        <v>121</v>
      </c>
      <c r="D42" s="53" t="s">
        <v>122</v>
      </c>
      <c r="E42" s="53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51">
        <v>32.0</v>
      </c>
      <c r="B43" s="67"/>
      <c r="C43" s="53" t="s">
        <v>124</v>
      </c>
      <c r="D43" s="53" t="s">
        <v>125</v>
      </c>
      <c r="E43" s="53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51">
        <v>33.0</v>
      </c>
      <c r="B44" s="67"/>
      <c r="C44" s="53" t="s">
        <v>127</v>
      </c>
      <c r="D44" s="53" t="s">
        <v>102</v>
      </c>
      <c r="E44" s="53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/>
      <c r="B45" s="63">
        <v>34.0</v>
      </c>
      <c r="C45" s="53" t="s">
        <v>129</v>
      </c>
      <c r="D45" s="53" t="s">
        <v>130</v>
      </c>
      <c r="E45" s="53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3.333333333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4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3">
        <v>35.0</v>
      </c>
      <c r="C46" s="53" t="s">
        <v>129</v>
      </c>
      <c r="D46" s="53" t="s">
        <v>77</v>
      </c>
      <c r="E46" s="53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62"/>
      <c r="B47" s="63">
        <v>36.0</v>
      </c>
      <c r="C47" s="53" t="s">
        <v>133</v>
      </c>
      <c r="D47" s="53" t="s">
        <v>41</v>
      </c>
      <c r="E47" s="53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51">
        <v>37.0</v>
      </c>
      <c r="B48" s="67"/>
      <c r="C48" s="53" t="s">
        <v>135</v>
      </c>
      <c r="D48" s="53" t="s">
        <v>136</v>
      </c>
      <c r="E48" s="53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51">
        <v>38.0</v>
      </c>
      <c r="B49" s="67"/>
      <c r="C49" s="53" t="s">
        <v>138</v>
      </c>
      <c r="D49" s="53" t="s">
        <v>43</v>
      </c>
      <c r="E49" s="53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51">
        <v>39.0</v>
      </c>
      <c r="B50" s="67"/>
      <c r="C50" s="53" t="s">
        <v>140</v>
      </c>
      <c r="D50" s="53" t="s">
        <v>141</v>
      </c>
      <c r="E50" s="53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51">
        <v>40.0</v>
      </c>
      <c r="B51" s="67"/>
      <c r="C51" s="53" t="s">
        <v>143</v>
      </c>
      <c r="D51" s="53" t="s">
        <v>49</v>
      </c>
      <c r="E51" s="53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62"/>
      <c r="B52" s="63">
        <v>41.0</v>
      </c>
      <c r="C52" s="76" t="s">
        <v>145</v>
      </c>
      <c r="D52" s="53" t="s">
        <v>101</v>
      </c>
      <c r="E52" s="77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51">
        <v>42.0</v>
      </c>
      <c r="B53" s="67"/>
      <c r="C53" s="76" t="s">
        <v>147</v>
      </c>
      <c r="D53" s="53" t="s">
        <v>148</v>
      </c>
      <c r="E53" s="76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62"/>
      <c r="B54" s="63">
        <v>43.0</v>
      </c>
      <c r="C54" s="76" t="s">
        <v>147</v>
      </c>
      <c r="D54" s="53" t="s">
        <v>150</v>
      </c>
      <c r="E54" s="76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62"/>
      <c r="B55" s="63">
        <v>44.0</v>
      </c>
      <c r="C55" s="76" t="s">
        <v>152</v>
      </c>
      <c r="D55" s="53" t="s">
        <v>153</v>
      </c>
      <c r="E55" s="76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62"/>
      <c r="B56" s="63">
        <v>45.0</v>
      </c>
      <c r="C56" s="76" t="s">
        <v>155</v>
      </c>
      <c r="D56" s="53" t="s">
        <v>156</v>
      </c>
      <c r="E56" s="76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3.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8.833333333</v>
      </c>
      <c r="Q57" s="1"/>
      <c r="R57" s="10"/>
    </row>
    <row r="58" ht="13.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</row>
    <row r="60" ht="12.7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2.7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1</v>
      </c>
      <c r="Q61" s="1"/>
    </row>
    <row r="62" ht="12.7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J12:J56 L12:L56">
    <cfRule type="cellIs" dxfId="0" priority="1" operator="equal">
      <formula>5</formula>
    </cfRule>
  </conditionalFormatting>
  <conditionalFormatting sqref="J59">
    <cfRule type="cellIs" dxfId="0" priority="2" operator="equal">
      <formula>5</formula>
    </cfRule>
  </conditionalFormatting>
  <conditionalFormatting sqref="P12:P56">
    <cfRule type="cellIs" dxfId="0" priority="3" operator="equal">
      <formula>5</formula>
    </cfRule>
  </conditionalFormatting>
  <conditionalFormatting sqref="H12:H57 J12:J657 L12:L56 P12:P56">
    <cfRule type="cellIs" dxfId="0" priority="4" operator="equal">
      <formula>5</formula>
    </cfRule>
  </conditionalFormatting>
  <conditionalFormatting sqref="R12:R56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>
        <v>12.0</v>
      </c>
      <c r="Q2" s="113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113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113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62"/>
      <c r="B13" s="63">
        <v>2.0</v>
      </c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51">
        <v>3.0</v>
      </c>
      <c r="B14" s="67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62"/>
      <c r="B15" s="63">
        <v>4.0</v>
      </c>
      <c r="C15" s="53" t="s">
        <v>46</v>
      </c>
      <c r="D15" s="53" t="s">
        <v>49</v>
      </c>
      <c r="E15" s="53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>
        <v>5.0</v>
      </c>
      <c r="B16" s="67"/>
      <c r="C16" s="53" t="s">
        <v>51</v>
      </c>
      <c r="D16" s="53" t="s">
        <v>52</v>
      </c>
      <c r="E16" s="53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51">
        <v>6.0</v>
      </c>
      <c r="B17" s="67"/>
      <c r="C17" s="53" t="s">
        <v>54</v>
      </c>
      <c r="D17" s="53" t="s">
        <v>55</v>
      </c>
      <c r="E17" s="53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>
        <v>7.0</v>
      </c>
      <c r="B18" s="67"/>
      <c r="C18" s="53" t="s">
        <v>57</v>
      </c>
      <c r="D18" s="53" t="s">
        <v>58</v>
      </c>
      <c r="E18" s="53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/>
      <c r="B19" s="63">
        <v>8.0</v>
      </c>
      <c r="C19" s="53" t="s">
        <v>60</v>
      </c>
      <c r="D19" s="53" t="s">
        <v>61</v>
      </c>
      <c r="E19" s="53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>
        <v>9.0</v>
      </c>
      <c r="B20" s="67"/>
      <c r="C20" s="53" t="s">
        <v>63</v>
      </c>
      <c r="D20" s="53" t="s">
        <v>64</v>
      </c>
      <c r="E20" s="53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>
        <v>10.0</v>
      </c>
      <c r="B21" s="67"/>
      <c r="C21" s="53" t="s">
        <v>66</v>
      </c>
      <c r="D21" s="53" t="s">
        <v>52</v>
      </c>
      <c r="E21" s="53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62"/>
      <c r="B22" s="63">
        <v>11.0</v>
      </c>
      <c r="C22" s="53" t="s">
        <v>68</v>
      </c>
      <c r="D22" s="53" t="s">
        <v>69</v>
      </c>
      <c r="E22" s="53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>
        <v>12.0</v>
      </c>
      <c r="B23" s="67"/>
      <c r="C23" s="53" t="s">
        <v>71</v>
      </c>
      <c r="D23" s="53" t="s">
        <v>72</v>
      </c>
      <c r="E23" s="53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51">
        <v>13.0</v>
      </c>
      <c r="B24" s="67"/>
      <c r="C24" s="53" t="s">
        <v>74</v>
      </c>
      <c r="D24" s="53" t="s">
        <v>75</v>
      </c>
      <c r="E24" s="53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/>
      <c r="B25" s="63">
        <v>14.0</v>
      </c>
      <c r="C25" s="53" t="s">
        <v>77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51">
        <v>15.0</v>
      </c>
      <c r="B26" s="67"/>
      <c r="C26" s="53" t="s">
        <v>80</v>
      </c>
      <c r="D26" s="53" t="s">
        <v>81</v>
      </c>
      <c r="E26" s="53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/>
      <c r="B27" s="63">
        <v>16.0</v>
      </c>
      <c r="C27" s="53" t="s">
        <v>83</v>
      </c>
      <c r="D27" s="53" t="s">
        <v>84</v>
      </c>
      <c r="E27" s="53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70"/>
      <c r="B28" s="63">
        <v>17.0</v>
      </c>
      <c r="C28" s="53" t="s">
        <v>83</v>
      </c>
      <c r="D28" s="53" t="s">
        <v>86</v>
      </c>
      <c r="E28" s="53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/>
      <c r="B29" s="63">
        <v>18.0</v>
      </c>
      <c r="C29" s="53" t="s">
        <v>49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51">
        <v>19.0</v>
      </c>
      <c r="B30" s="67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70"/>
      <c r="B31" s="63">
        <v>20.0</v>
      </c>
      <c r="C31" s="53" t="s">
        <v>90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>
        <v>21.0</v>
      </c>
      <c r="B32" s="67"/>
      <c r="C32" s="53" t="s">
        <v>95</v>
      </c>
      <c r="D32" s="53" t="s">
        <v>96</v>
      </c>
      <c r="E32" s="53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62"/>
      <c r="B33" s="63">
        <v>22.0</v>
      </c>
      <c r="C33" s="53" t="s">
        <v>98</v>
      </c>
      <c r="D33" s="53" t="s">
        <v>99</v>
      </c>
      <c r="E33" s="53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62"/>
      <c r="B34" s="63">
        <v>23.0</v>
      </c>
      <c r="C34" s="53" t="s">
        <v>101</v>
      </c>
      <c r="D34" s="53" t="s">
        <v>102</v>
      </c>
      <c r="E34" s="53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51">
        <v>24.0</v>
      </c>
      <c r="B35" s="67"/>
      <c r="C35" s="53" t="s">
        <v>104</v>
      </c>
      <c r="D35" s="53" t="s">
        <v>49</v>
      </c>
      <c r="E35" s="53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>
        <v>25.0</v>
      </c>
      <c r="B36" s="67"/>
      <c r="C36" s="53" t="s">
        <v>106</v>
      </c>
      <c r="D36" s="53" t="s">
        <v>107</v>
      </c>
      <c r="E36" s="53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51">
        <v>26.0</v>
      </c>
      <c r="B37" s="67"/>
      <c r="C37" s="53" t="s">
        <v>52</v>
      </c>
      <c r="D37" s="53" t="s">
        <v>109</v>
      </c>
      <c r="E37" s="53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>
        <v>27.0</v>
      </c>
      <c r="B38" s="67"/>
      <c r="C38" s="53" t="s">
        <v>111</v>
      </c>
      <c r="D38" s="53" t="s">
        <v>74</v>
      </c>
      <c r="E38" s="53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62"/>
      <c r="B39" s="63">
        <v>28.0</v>
      </c>
      <c r="C39" s="53" t="s">
        <v>113</v>
      </c>
      <c r="D39" s="53" t="s">
        <v>101</v>
      </c>
      <c r="E39" s="53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62"/>
      <c r="B40" s="63">
        <v>29.0</v>
      </c>
      <c r="C40" s="53" t="s">
        <v>115</v>
      </c>
      <c r="D40" s="53" t="s">
        <v>116</v>
      </c>
      <c r="E40" s="53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62"/>
      <c r="B41" s="63">
        <v>30.0</v>
      </c>
      <c r="C41" s="53" t="s">
        <v>118</v>
      </c>
      <c r="D41" s="53" t="s">
        <v>119</v>
      </c>
      <c r="E41" s="53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62"/>
      <c r="B42" s="63">
        <v>31.0</v>
      </c>
      <c r="C42" s="53" t="s">
        <v>121</v>
      </c>
      <c r="D42" s="53" t="s">
        <v>122</v>
      </c>
      <c r="E42" s="53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51">
        <v>32.0</v>
      </c>
      <c r="B43" s="67"/>
      <c r="C43" s="53" t="s">
        <v>124</v>
      </c>
      <c r="D43" s="53" t="s">
        <v>125</v>
      </c>
      <c r="E43" s="53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51">
        <v>33.0</v>
      </c>
      <c r="B44" s="67"/>
      <c r="C44" s="53" t="s">
        <v>127</v>
      </c>
      <c r="D44" s="53" t="s">
        <v>102</v>
      </c>
      <c r="E44" s="53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/>
      <c r="B45" s="63">
        <v>34.0</v>
      </c>
      <c r="C45" s="53" t="s">
        <v>129</v>
      </c>
      <c r="D45" s="53" t="s">
        <v>130</v>
      </c>
      <c r="E45" s="53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3.333333333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3">
        <v>35.0</v>
      </c>
      <c r="C46" s="53" t="s">
        <v>129</v>
      </c>
      <c r="D46" s="53" t="s">
        <v>77</v>
      </c>
      <c r="E46" s="53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62"/>
      <c r="B47" s="63">
        <v>36.0</v>
      </c>
      <c r="C47" s="53" t="s">
        <v>133</v>
      </c>
      <c r="D47" s="53" t="s">
        <v>41</v>
      </c>
      <c r="E47" s="53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51">
        <v>37.0</v>
      </c>
      <c r="B48" s="67"/>
      <c r="C48" s="53" t="s">
        <v>135</v>
      </c>
      <c r="D48" s="53" t="s">
        <v>136</v>
      </c>
      <c r="E48" s="53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51">
        <v>38.0</v>
      </c>
      <c r="B49" s="67"/>
      <c r="C49" s="53" t="s">
        <v>138</v>
      </c>
      <c r="D49" s="53" t="s">
        <v>43</v>
      </c>
      <c r="E49" s="53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51">
        <v>39.0</v>
      </c>
      <c r="B50" s="67"/>
      <c r="C50" s="53" t="s">
        <v>140</v>
      </c>
      <c r="D50" s="53" t="s">
        <v>141</v>
      </c>
      <c r="E50" s="53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51">
        <v>40.0</v>
      </c>
      <c r="B51" s="67"/>
      <c r="C51" s="53" t="s">
        <v>143</v>
      </c>
      <c r="D51" s="53" t="s">
        <v>49</v>
      </c>
      <c r="E51" s="53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62"/>
      <c r="B52" s="63">
        <v>41.0</v>
      </c>
      <c r="C52" s="76" t="s">
        <v>145</v>
      </c>
      <c r="D52" s="53" t="s">
        <v>101</v>
      </c>
      <c r="E52" s="77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51">
        <v>42.0</v>
      </c>
      <c r="B53" s="67"/>
      <c r="C53" s="76" t="s">
        <v>147</v>
      </c>
      <c r="D53" s="53" t="s">
        <v>148</v>
      </c>
      <c r="E53" s="76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62"/>
      <c r="B54" s="63">
        <v>43.0</v>
      </c>
      <c r="C54" s="76" t="s">
        <v>147</v>
      </c>
      <c r="D54" s="53" t="s">
        <v>150</v>
      </c>
      <c r="E54" s="76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62"/>
      <c r="B55" s="63">
        <v>44.0</v>
      </c>
      <c r="C55" s="76" t="s">
        <v>152</v>
      </c>
      <c r="D55" s="53" t="s">
        <v>153</v>
      </c>
      <c r="E55" s="76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62"/>
      <c r="B56" s="63">
        <v>45.0</v>
      </c>
      <c r="C56" s="76" t="s">
        <v>155</v>
      </c>
      <c r="D56" s="53" t="s">
        <v>156</v>
      </c>
      <c r="E56" s="76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8.833333333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1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autoFilter ref="$S$1:$S$84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56 P12:P56">
    <cfRule type="cellIs" dxfId="0" priority="3" operator="equal">
      <formula>5</formula>
    </cfRule>
  </conditionalFormatting>
  <conditionalFormatting sqref="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>
        <v>12.0</v>
      </c>
      <c r="Q2" s="113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4">
        <v>15.0</v>
      </c>
      <c r="Q3" s="113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>
        <v>5.0</v>
      </c>
      <c r="Q4" s="113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4" t="s">
        <v>168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62"/>
      <c r="B13" s="63">
        <v>2.0</v>
      </c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51">
        <v>3.0</v>
      </c>
      <c r="B14" s="67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62"/>
      <c r="B15" s="63">
        <v>4.0</v>
      </c>
      <c r="C15" s="53" t="s">
        <v>46</v>
      </c>
      <c r="D15" s="53" t="s">
        <v>49</v>
      </c>
      <c r="E15" s="53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>
        <v>5.0</v>
      </c>
      <c r="B16" s="67"/>
      <c r="C16" s="53" t="s">
        <v>51</v>
      </c>
      <c r="D16" s="53" t="s">
        <v>52</v>
      </c>
      <c r="E16" s="53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51">
        <v>6.0</v>
      </c>
      <c r="B17" s="67"/>
      <c r="C17" s="53" t="s">
        <v>54</v>
      </c>
      <c r="D17" s="53" t="s">
        <v>55</v>
      </c>
      <c r="E17" s="53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>
        <v>7.0</v>
      </c>
      <c r="B18" s="67"/>
      <c r="C18" s="53" t="s">
        <v>57</v>
      </c>
      <c r="D18" s="53" t="s">
        <v>58</v>
      </c>
      <c r="E18" s="53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/>
      <c r="B19" s="63">
        <v>8.0</v>
      </c>
      <c r="C19" s="53" t="s">
        <v>60</v>
      </c>
      <c r="D19" s="53" t="s">
        <v>61</v>
      </c>
      <c r="E19" s="53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>
        <v>9.0</v>
      </c>
      <c r="B20" s="67"/>
      <c r="C20" s="53" t="s">
        <v>63</v>
      </c>
      <c r="D20" s="53" t="s">
        <v>64</v>
      </c>
      <c r="E20" s="53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>
        <v>10.0</v>
      </c>
      <c r="B21" s="67"/>
      <c r="C21" s="53" t="s">
        <v>66</v>
      </c>
      <c r="D21" s="53" t="s">
        <v>52</v>
      </c>
      <c r="E21" s="53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62"/>
      <c r="B22" s="63">
        <v>11.0</v>
      </c>
      <c r="C22" s="53" t="s">
        <v>68</v>
      </c>
      <c r="D22" s="53" t="s">
        <v>69</v>
      </c>
      <c r="E22" s="53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>
        <v>12.0</v>
      </c>
      <c r="B23" s="67"/>
      <c r="C23" s="53" t="s">
        <v>71</v>
      </c>
      <c r="D23" s="53" t="s">
        <v>72</v>
      </c>
      <c r="E23" s="53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51">
        <v>13.0</v>
      </c>
      <c r="B24" s="67"/>
      <c r="C24" s="53" t="s">
        <v>74</v>
      </c>
      <c r="D24" s="53" t="s">
        <v>75</v>
      </c>
      <c r="E24" s="53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/>
      <c r="B25" s="63">
        <v>14.0</v>
      </c>
      <c r="C25" s="53" t="s">
        <v>77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51">
        <v>15.0</v>
      </c>
      <c r="B26" s="67"/>
      <c r="C26" s="53" t="s">
        <v>80</v>
      </c>
      <c r="D26" s="53" t="s">
        <v>81</v>
      </c>
      <c r="E26" s="53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/>
      <c r="B27" s="63">
        <v>16.0</v>
      </c>
      <c r="C27" s="53" t="s">
        <v>83</v>
      </c>
      <c r="D27" s="53" t="s">
        <v>84</v>
      </c>
      <c r="E27" s="53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70"/>
      <c r="B28" s="63">
        <v>17.0</v>
      </c>
      <c r="C28" s="53" t="s">
        <v>83</v>
      </c>
      <c r="D28" s="53" t="s">
        <v>86</v>
      </c>
      <c r="E28" s="53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/>
      <c r="B29" s="63">
        <v>18.0</v>
      </c>
      <c r="C29" s="53" t="s">
        <v>49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51">
        <v>19.0</v>
      </c>
      <c r="B30" s="67"/>
      <c r="C30" s="53" t="s">
        <v>90</v>
      </c>
      <c r="D30" s="53" t="s">
        <v>91</v>
      </c>
      <c r="E30" s="53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70"/>
      <c r="B31" s="63">
        <v>20.0</v>
      </c>
      <c r="C31" s="53" t="s">
        <v>90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>
        <v>21.0</v>
      </c>
      <c r="B32" s="67"/>
      <c r="C32" s="53" t="s">
        <v>95</v>
      </c>
      <c r="D32" s="53" t="s">
        <v>96</v>
      </c>
      <c r="E32" s="53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62"/>
      <c r="B33" s="63">
        <v>22.0</v>
      </c>
      <c r="C33" s="53" t="s">
        <v>98</v>
      </c>
      <c r="D33" s="53" t="s">
        <v>99</v>
      </c>
      <c r="E33" s="53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62"/>
      <c r="B34" s="63">
        <v>23.0</v>
      </c>
      <c r="C34" s="53" t="s">
        <v>101</v>
      </c>
      <c r="D34" s="53" t="s">
        <v>102</v>
      </c>
      <c r="E34" s="53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51">
        <v>24.0</v>
      </c>
      <c r="B35" s="67"/>
      <c r="C35" s="53" t="s">
        <v>104</v>
      </c>
      <c r="D35" s="53" t="s">
        <v>49</v>
      </c>
      <c r="E35" s="53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>
        <v>25.0</v>
      </c>
      <c r="B36" s="67"/>
      <c r="C36" s="53" t="s">
        <v>106</v>
      </c>
      <c r="D36" s="53" t="s">
        <v>107</v>
      </c>
      <c r="E36" s="53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51">
        <v>26.0</v>
      </c>
      <c r="B37" s="67"/>
      <c r="C37" s="53" t="s">
        <v>52</v>
      </c>
      <c r="D37" s="53" t="s">
        <v>109</v>
      </c>
      <c r="E37" s="53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>
        <v>27.0</v>
      </c>
      <c r="B38" s="67"/>
      <c r="C38" s="53" t="s">
        <v>111</v>
      </c>
      <c r="D38" s="53" t="s">
        <v>74</v>
      </c>
      <c r="E38" s="53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62"/>
      <c r="B39" s="63">
        <v>28.0</v>
      </c>
      <c r="C39" s="53" t="s">
        <v>113</v>
      </c>
      <c r="D39" s="53" t="s">
        <v>101</v>
      </c>
      <c r="E39" s="53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62"/>
      <c r="B40" s="63">
        <v>29.0</v>
      </c>
      <c r="C40" s="53" t="s">
        <v>115</v>
      </c>
      <c r="D40" s="53" t="s">
        <v>116</v>
      </c>
      <c r="E40" s="53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62"/>
      <c r="B41" s="63">
        <v>30.0</v>
      </c>
      <c r="C41" s="53" t="s">
        <v>118</v>
      </c>
      <c r="D41" s="53" t="s">
        <v>119</v>
      </c>
      <c r="E41" s="53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62"/>
      <c r="B42" s="63">
        <v>31.0</v>
      </c>
      <c r="C42" s="53" t="s">
        <v>121</v>
      </c>
      <c r="D42" s="53" t="s">
        <v>122</v>
      </c>
      <c r="E42" s="53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51">
        <v>32.0</v>
      </c>
      <c r="B43" s="67"/>
      <c r="C43" s="53" t="s">
        <v>124</v>
      </c>
      <c r="D43" s="53" t="s">
        <v>125</v>
      </c>
      <c r="E43" s="53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51">
        <v>33.0</v>
      </c>
      <c r="B44" s="67"/>
      <c r="C44" s="53" t="s">
        <v>127</v>
      </c>
      <c r="D44" s="53" t="s">
        <v>102</v>
      </c>
      <c r="E44" s="53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/>
      <c r="B45" s="63">
        <v>34.0</v>
      </c>
      <c r="C45" s="53" t="s">
        <v>129</v>
      </c>
      <c r="D45" s="53" t="s">
        <v>130</v>
      </c>
      <c r="E45" s="53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3.333333333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0"/>
      <c r="B46" s="63">
        <v>35.0</v>
      </c>
      <c r="C46" s="53" t="s">
        <v>129</v>
      </c>
      <c r="D46" s="53" t="s">
        <v>77</v>
      </c>
      <c r="E46" s="53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62"/>
      <c r="B47" s="63">
        <v>36.0</v>
      </c>
      <c r="C47" s="53" t="s">
        <v>133</v>
      </c>
      <c r="D47" s="53" t="s">
        <v>41</v>
      </c>
      <c r="E47" s="53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51">
        <v>37.0</v>
      </c>
      <c r="B48" s="67"/>
      <c r="C48" s="53" t="s">
        <v>135</v>
      </c>
      <c r="D48" s="53" t="s">
        <v>136</v>
      </c>
      <c r="E48" s="53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51">
        <v>38.0</v>
      </c>
      <c r="B49" s="67"/>
      <c r="C49" s="53" t="s">
        <v>138</v>
      </c>
      <c r="D49" s="53" t="s">
        <v>43</v>
      </c>
      <c r="E49" s="53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51">
        <v>39.0</v>
      </c>
      <c r="B50" s="67"/>
      <c r="C50" s="53" t="s">
        <v>140</v>
      </c>
      <c r="D50" s="53" t="s">
        <v>141</v>
      </c>
      <c r="E50" s="53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51">
        <v>40.0</v>
      </c>
      <c r="B51" s="67"/>
      <c r="C51" s="53" t="s">
        <v>143</v>
      </c>
      <c r="D51" s="53" t="s">
        <v>49</v>
      </c>
      <c r="E51" s="53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62"/>
      <c r="B52" s="63">
        <v>41.0</v>
      </c>
      <c r="C52" s="76" t="s">
        <v>145</v>
      </c>
      <c r="D52" s="53" t="s">
        <v>101</v>
      </c>
      <c r="E52" s="77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51">
        <v>42.0</v>
      </c>
      <c r="B53" s="67"/>
      <c r="C53" s="76" t="s">
        <v>147</v>
      </c>
      <c r="D53" s="53" t="s">
        <v>148</v>
      </c>
      <c r="E53" s="76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62"/>
      <c r="B54" s="63">
        <v>43.0</v>
      </c>
      <c r="C54" s="76" t="s">
        <v>147</v>
      </c>
      <c r="D54" s="53" t="s">
        <v>150</v>
      </c>
      <c r="E54" s="76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62"/>
      <c r="B55" s="63">
        <v>44.0</v>
      </c>
      <c r="C55" s="76" t="s">
        <v>152</v>
      </c>
      <c r="D55" s="53" t="s">
        <v>153</v>
      </c>
      <c r="E55" s="76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62"/>
      <c r="B56" s="63">
        <v>45.0</v>
      </c>
      <c r="C56" s="76" t="s">
        <v>155</v>
      </c>
      <c r="D56" s="53" t="s">
        <v>156</v>
      </c>
      <c r="E56" s="76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8.833333333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1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115">
        <v>15.0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169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116.6666667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5.555555556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5.555555556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11.11111111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11.11111111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7.829787234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3.333333333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96.66666667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/>
      <c r="Q2" s="113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4"/>
      <c r="Q3" s="113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/>
      <c r="Q4" s="113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115">
        <v>9.0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7" t="s">
        <v>170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175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8.333333333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8.333333333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16.66666667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16.66666667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7.70212766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/>
      <c r="Q2" s="113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28">
        <v>12.0</v>
      </c>
      <c r="Q3" s="113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/>
      <c r="Q4" s="113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9" t="s">
        <v>171</v>
      </c>
      <c r="M6" s="130"/>
      <c r="N6" s="131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140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6.666666667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6.666666667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13.33333333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13.33333333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7.765957447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4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96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S$1:$S$85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5">
        <v>7.0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172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210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10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10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20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20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7.659574468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6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94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5">
        <v>9.0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173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175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8.333333333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8.333333333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16.66666667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16.66666667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7.70212766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S$1:$S$85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5">
        <v>8.0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174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11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190.9090909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9.090909091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9.090909091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18.18181818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18.18181818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ORD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7.680851064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5.454545455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94.54545455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6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/>
      <c r="Q2" s="113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4"/>
      <c r="Q3" s="113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/>
      <c r="Q4" s="113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32" t="s">
        <v>175</v>
      </c>
      <c r="N6" s="133"/>
      <c r="O6" s="8" t="s">
        <v>18</v>
      </c>
      <c r="P6" s="115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25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EXTRA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7.5625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7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32" t="s">
        <v>176</v>
      </c>
      <c r="N6" s="133"/>
      <c r="O6" s="8" t="s">
        <v>18</v>
      </c>
      <c r="P6" s="115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25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EXTRA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7.5625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7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32" t="s">
        <v>177</v>
      </c>
      <c r="N6" s="133"/>
      <c r="O6" s="8" t="s">
        <v>18</v>
      </c>
      <c r="P6" s="115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23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22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116">
        <v>1.0</v>
      </c>
      <c r="B12" s="117"/>
      <c r="C12" s="118" t="s">
        <v>40</v>
      </c>
      <c r="D12" s="118" t="s">
        <v>41</v>
      </c>
      <c r="E12" s="118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6" si="1">G12+I12+K12</f>
        <v>0</v>
      </c>
      <c r="N12" s="57">
        <f t="shared" ref="N12:N56" si="2">(M12*100)/$P$8</f>
        <v>0</v>
      </c>
      <c r="O12" s="58">
        <f t="shared" ref="O12:O56" si="3">H12+J12+L12</f>
        <v>7</v>
      </c>
      <c r="P12" s="59">
        <f t="shared" ref="P12:P56" si="4">IF(AVERAGE(H12,J12,L12)&lt;6,(5),(ROUND(AVERAGE(H12,J12,L12),0)))</f>
        <v>7</v>
      </c>
      <c r="Q12" s="60"/>
      <c r="R12" s="61" t="str">
        <f t="shared" ref="R12:R56" si="5">IF(N12&gt;20,"EXTRA","ORD")</f>
        <v>ORD</v>
      </c>
    </row>
    <row r="13" ht="12.75" customHeight="1">
      <c r="A13" s="119"/>
      <c r="B13" s="120">
        <v>2.0</v>
      </c>
      <c r="C13" s="118" t="s">
        <v>43</v>
      </c>
      <c r="D13" s="118" t="s">
        <v>44</v>
      </c>
      <c r="E13" s="118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116">
        <v>3.0</v>
      </c>
      <c r="B14" s="121"/>
      <c r="C14" s="118" t="s">
        <v>46</v>
      </c>
      <c r="D14" s="118" t="s">
        <v>47</v>
      </c>
      <c r="E14" s="118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119"/>
      <c r="B15" s="120">
        <v>4.0</v>
      </c>
      <c r="C15" s="118" t="s">
        <v>46</v>
      </c>
      <c r="D15" s="118" t="s">
        <v>49</v>
      </c>
      <c r="E15" s="118" t="s">
        <v>50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116">
        <v>5.0</v>
      </c>
      <c r="B16" s="121"/>
      <c r="C16" s="118" t="s">
        <v>51</v>
      </c>
      <c r="D16" s="118" t="s">
        <v>52</v>
      </c>
      <c r="E16" s="118" t="s">
        <v>53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116">
        <v>6.0</v>
      </c>
      <c r="B17" s="121"/>
      <c r="C17" s="118" t="s">
        <v>54</v>
      </c>
      <c r="D17" s="118" t="s">
        <v>55</v>
      </c>
      <c r="E17" s="118" t="s">
        <v>56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116">
        <v>7.0</v>
      </c>
      <c r="B18" s="121"/>
      <c r="C18" s="118" t="s">
        <v>57</v>
      </c>
      <c r="D18" s="118" t="s">
        <v>58</v>
      </c>
      <c r="E18" s="118" t="s">
        <v>59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119"/>
      <c r="B19" s="120">
        <v>8.0</v>
      </c>
      <c r="C19" s="118" t="s">
        <v>60</v>
      </c>
      <c r="D19" s="118" t="s">
        <v>61</v>
      </c>
      <c r="E19" s="118" t="s">
        <v>62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116">
        <v>9.0</v>
      </c>
      <c r="B20" s="121"/>
      <c r="C20" s="118" t="s">
        <v>63</v>
      </c>
      <c r="D20" s="118" t="s">
        <v>64</v>
      </c>
      <c r="E20" s="118" t="s">
        <v>65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116">
        <v>10.0</v>
      </c>
      <c r="B21" s="121"/>
      <c r="C21" s="118" t="s">
        <v>66</v>
      </c>
      <c r="D21" s="118" t="s">
        <v>52</v>
      </c>
      <c r="E21" s="118" t="s">
        <v>67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119"/>
      <c r="B22" s="120">
        <v>11.0</v>
      </c>
      <c r="C22" s="118" t="s">
        <v>68</v>
      </c>
      <c r="D22" s="118" t="s">
        <v>69</v>
      </c>
      <c r="E22" s="118" t="s">
        <v>70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116">
        <v>12.0</v>
      </c>
      <c r="B23" s="121"/>
      <c r="C23" s="118" t="s">
        <v>71</v>
      </c>
      <c r="D23" s="118" t="s">
        <v>72</v>
      </c>
      <c r="E23" s="118" t="s">
        <v>73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116">
        <v>13.0</v>
      </c>
      <c r="B24" s="121"/>
      <c r="C24" s="118" t="s">
        <v>74</v>
      </c>
      <c r="D24" s="118" t="s">
        <v>75</v>
      </c>
      <c r="E24" s="118" t="s">
        <v>76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119"/>
      <c r="B25" s="120">
        <v>14.0</v>
      </c>
      <c r="C25" s="118" t="s">
        <v>77</v>
      </c>
      <c r="D25" s="118" t="s">
        <v>78</v>
      </c>
      <c r="E25" s="118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116">
        <v>15.0</v>
      </c>
      <c r="B26" s="121"/>
      <c r="C26" s="118" t="s">
        <v>80</v>
      </c>
      <c r="D26" s="118" t="s">
        <v>81</v>
      </c>
      <c r="E26" s="118" t="s">
        <v>82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119"/>
      <c r="B27" s="122">
        <v>16.0</v>
      </c>
      <c r="C27" s="118" t="s">
        <v>83</v>
      </c>
      <c r="D27" s="118" t="s">
        <v>84</v>
      </c>
      <c r="E27" s="118" t="s">
        <v>85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123"/>
      <c r="B28" s="120">
        <v>17.0</v>
      </c>
      <c r="C28" s="118" t="s">
        <v>83</v>
      </c>
      <c r="D28" s="118" t="s">
        <v>86</v>
      </c>
      <c r="E28" s="118" t="s">
        <v>87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119"/>
      <c r="B29" s="122">
        <v>18.0</v>
      </c>
      <c r="C29" s="118" t="s">
        <v>49</v>
      </c>
      <c r="D29" s="118" t="s">
        <v>88</v>
      </c>
      <c r="E29" s="118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116">
        <v>19.0</v>
      </c>
      <c r="B30" s="121"/>
      <c r="C30" s="118" t="s">
        <v>90</v>
      </c>
      <c r="D30" s="118" t="s">
        <v>91</v>
      </c>
      <c r="E30" s="118" t="s">
        <v>92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123"/>
      <c r="B31" s="120">
        <v>20.0</v>
      </c>
      <c r="C31" s="118" t="s">
        <v>90</v>
      </c>
      <c r="D31" s="118" t="s">
        <v>93</v>
      </c>
      <c r="E31" s="118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116">
        <v>21.0</v>
      </c>
      <c r="B32" s="121"/>
      <c r="C32" s="118" t="s">
        <v>95</v>
      </c>
      <c r="D32" s="118" t="s">
        <v>96</v>
      </c>
      <c r="E32" s="118" t="s">
        <v>97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119"/>
      <c r="B33" s="122">
        <v>22.0</v>
      </c>
      <c r="C33" s="118" t="s">
        <v>98</v>
      </c>
      <c r="D33" s="118" t="s">
        <v>99</v>
      </c>
      <c r="E33" s="118" t="s">
        <v>100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119"/>
      <c r="B34" s="120">
        <v>23.0</v>
      </c>
      <c r="C34" s="118" t="s">
        <v>101</v>
      </c>
      <c r="D34" s="118" t="s">
        <v>102</v>
      </c>
      <c r="E34" s="118" t="s">
        <v>103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116">
        <v>24.0</v>
      </c>
      <c r="B35" s="121"/>
      <c r="C35" s="118" t="s">
        <v>104</v>
      </c>
      <c r="D35" s="118" t="s">
        <v>49</v>
      </c>
      <c r="E35" s="118" t="s">
        <v>105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6"/>
    </row>
    <row r="36" ht="12.75" customHeight="1">
      <c r="A36" s="116">
        <v>25.0</v>
      </c>
      <c r="B36" s="121"/>
      <c r="C36" s="118" t="s">
        <v>106</v>
      </c>
      <c r="D36" s="118" t="s">
        <v>107</v>
      </c>
      <c r="E36" s="118" t="s">
        <v>108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116">
        <v>26.0</v>
      </c>
      <c r="B37" s="121"/>
      <c r="C37" s="118" t="s">
        <v>52</v>
      </c>
      <c r="D37" s="118" t="s">
        <v>109</v>
      </c>
      <c r="E37" s="118" t="s">
        <v>110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116">
        <v>27.0</v>
      </c>
      <c r="B38" s="121"/>
      <c r="C38" s="118" t="s">
        <v>111</v>
      </c>
      <c r="D38" s="118" t="s">
        <v>74</v>
      </c>
      <c r="E38" s="118" t="s">
        <v>112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119"/>
      <c r="B39" s="120">
        <v>28.0</v>
      </c>
      <c r="C39" s="118" t="s">
        <v>113</v>
      </c>
      <c r="D39" s="118" t="s">
        <v>101</v>
      </c>
      <c r="E39" s="118" t="s">
        <v>114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119"/>
      <c r="B40" s="120">
        <v>29.0</v>
      </c>
      <c r="C40" s="118" t="s">
        <v>115</v>
      </c>
      <c r="D40" s="118" t="s">
        <v>116</v>
      </c>
      <c r="E40" s="118" t="s">
        <v>117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119"/>
      <c r="B41" s="120">
        <v>30.0</v>
      </c>
      <c r="C41" s="118" t="s">
        <v>118</v>
      </c>
      <c r="D41" s="118" t="s">
        <v>119</v>
      </c>
      <c r="E41" s="118" t="s">
        <v>120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119"/>
      <c r="B42" s="120">
        <v>31.0</v>
      </c>
      <c r="C42" s="118" t="s">
        <v>121</v>
      </c>
      <c r="D42" s="118" t="s">
        <v>122</v>
      </c>
      <c r="E42" s="118" t="s">
        <v>123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124">
        <v>32.0</v>
      </c>
      <c r="B43" s="121"/>
      <c r="C43" s="118" t="s">
        <v>124</v>
      </c>
      <c r="D43" s="118" t="s">
        <v>125</v>
      </c>
      <c r="E43" s="118" t="s">
        <v>126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116">
        <v>33.0</v>
      </c>
      <c r="B44" s="121"/>
      <c r="C44" s="118" t="s">
        <v>127</v>
      </c>
      <c r="D44" s="118" t="s">
        <v>102</v>
      </c>
      <c r="E44" s="118" t="s">
        <v>128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119"/>
      <c r="B45" s="120">
        <v>34.0</v>
      </c>
      <c r="C45" s="118" t="s">
        <v>129</v>
      </c>
      <c r="D45" s="118" t="s">
        <v>130</v>
      </c>
      <c r="E45" s="118" t="s">
        <v>131</v>
      </c>
      <c r="F45" s="72"/>
      <c r="G45" s="54">
        <v>2.0</v>
      </c>
      <c r="H45" s="71">
        <v>5.0</v>
      </c>
      <c r="I45" s="73"/>
      <c r="J45" s="71"/>
      <c r="K45" s="73"/>
      <c r="L45" s="71"/>
      <c r="M45" s="56">
        <f t="shared" si="1"/>
        <v>2</v>
      </c>
      <c r="N45" s="57">
        <f t="shared" si="2"/>
        <v>25</v>
      </c>
      <c r="O45" s="58">
        <f t="shared" si="3"/>
        <v>5</v>
      </c>
      <c r="P45" s="59">
        <f t="shared" si="4"/>
        <v>5</v>
      </c>
      <c r="Q45" s="60"/>
      <c r="R45" s="61" t="str">
        <f t="shared" si="5"/>
        <v>EXTRA</v>
      </c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123"/>
      <c r="B46" s="120">
        <v>35.0</v>
      </c>
      <c r="C46" s="118" t="s">
        <v>129</v>
      </c>
      <c r="D46" s="118" t="s">
        <v>77</v>
      </c>
      <c r="E46" s="118" t="s">
        <v>132</v>
      </c>
      <c r="F46" s="1"/>
      <c r="G46" s="54">
        <v>0.0</v>
      </c>
      <c r="H46" s="64">
        <v>9.0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9</v>
      </c>
      <c r="P46" s="59">
        <f t="shared" si="4"/>
        <v>9</v>
      </c>
      <c r="Q46" s="60"/>
      <c r="R46" s="61" t="str">
        <f t="shared" si="5"/>
        <v>ORD</v>
      </c>
      <c r="S46" s="66"/>
    </row>
    <row r="47" ht="12.75" customHeight="1">
      <c r="A47" s="119"/>
      <c r="B47" s="120">
        <v>36.0</v>
      </c>
      <c r="C47" s="118" t="s">
        <v>133</v>
      </c>
      <c r="D47" s="118" t="s">
        <v>41</v>
      </c>
      <c r="E47" s="118" t="s">
        <v>134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116">
        <v>37.0</v>
      </c>
      <c r="B48" s="121"/>
      <c r="C48" s="118" t="s">
        <v>135</v>
      </c>
      <c r="D48" s="118" t="s">
        <v>136</v>
      </c>
      <c r="E48" s="118" t="s">
        <v>137</v>
      </c>
      <c r="F48" s="1"/>
      <c r="G48" s="54">
        <v>0.0</v>
      </c>
      <c r="H48" s="64">
        <v>10.0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10</v>
      </c>
      <c r="P48" s="59">
        <f t="shared" si="4"/>
        <v>10</v>
      </c>
      <c r="Q48" s="60"/>
      <c r="R48" s="61" t="str">
        <f t="shared" si="5"/>
        <v>ORD</v>
      </c>
      <c r="S48" s="66"/>
    </row>
    <row r="49" ht="12.75" customHeight="1">
      <c r="A49" s="116">
        <v>38.0</v>
      </c>
      <c r="B49" s="121"/>
      <c r="C49" s="118" t="s">
        <v>138</v>
      </c>
      <c r="D49" s="118" t="s">
        <v>43</v>
      </c>
      <c r="E49" s="118" t="s">
        <v>139</v>
      </c>
      <c r="F49" s="1"/>
      <c r="G49" s="54">
        <v>0.0</v>
      </c>
      <c r="H49" s="64">
        <v>7.0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7</v>
      </c>
      <c r="P49" s="59">
        <f t="shared" si="4"/>
        <v>7</v>
      </c>
      <c r="Q49" s="60"/>
      <c r="R49" s="61" t="str">
        <f t="shared" si="5"/>
        <v>ORD</v>
      </c>
      <c r="S49" s="66"/>
    </row>
    <row r="50" ht="12.75" customHeight="1">
      <c r="A50" s="116">
        <v>39.0</v>
      </c>
      <c r="B50" s="121"/>
      <c r="C50" s="118" t="s">
        <v>140</v>
      </c>
      <c r="D50" s="118" t="s">
        <v>141</v>
      </c>
      <c r="E50" s="118" t="s">
        <v>142</v>
      </c>
      <c r="F50" s="1"/>
      <c r="G50" s="54">
        <v>0.0</v>
      </c>
      <c r="H50" s="64">
        <v>10.0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10</v>
      </c>
      <c r="P50" s="59">
        <f t="shared" si="4"/>
        <v>10</v>
      </c>
      <c r="Q50" s="60"/>
      <c r="R50" s="61" t="str">
        <f t="shared" si="5"/>
        <v>ORD</v>
      </c>
      <c r="S50" s="66"/>
    </row>
    <row r="51" ht="12.75" customHeight="1">
      <c r="A51" s="116">
        <v>40.0</v>
      </c>
      <c r="B51" s="121"/>
      <c r="C51" s="118" t="s">
        <v>143</v>
      </c>
      <c r="D51" s="118" t="s">
        <v>49</v>
      </c>
      <c r="E51" s="118" t="s">
        <v>144</v>
      </c>
      <c r="F51" s="1"/>
      <c r="G51" s="54">
        <v>0.0</v>
      </c>
      <c r="H51" s="64">
        <v>7.0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7</v>
      </c>
      <c r="P51" s="59">
        <f t="shared" si="4"/>
        <v>7</v>
      </c>
      <c r="Q51" s="60"/>
      <c r="R51" s="61" t="str">
        <f t="shared" si="5"/>
        <v>ORD</v>
      </c>
      <c r="S51" s="66"/>
    </row>
    <row r="52" ht="12.75" customHeight="1">
      <c r="A52" s="119"/>
      <c r="B52" s="120">
        <v>41.0</v>
      </c>
      <c r="C52" s="125" t="s">
        <v>145</v>
      </c>
      <c r="D52" s="118" t="s">
        <v>101</v>
      </c>
      <c r="E52" s="126" t="s">
        <v>146</v>
      </c>
      <c r="F52" s="1"/>
      <c r="G52" s="54">
        <v>0.0</v>
      </c>
      <c r="H52" s="64">
        <v>7.0</v>
      </c>
      <c r="I52" s="65"/>
      <c r="J52" s="64"/>
      <c r="K52" s="65"/>
      <c r="L52" s="64"/>
      <c r="M52" s="56">
        <f t="shared" si="1"/>
        <v>0</v>
      </c>
      <c r="N52" s="57">
        <f t="shared" si="2"/>
        <v>0</v>
      </c>
      <c r="O52" s="58">
        <f t="shared" si="3"/>
        <v>7</v>
      </c>
      <c r="P52" s="59">
        <f t="shared" si="4"/>
        <v>7</v>
      </c>
      <c r="Q52" s="60"/>
      <c r="R52" s="61" t="str">
        <f t="shared" si="5"/>
        <v>ORD</v>
      </c>
      <c r="S52" s="66"/>
    </row>
    <row r="53" ht="12.75" customHeight="1">
      <c r="A53" s="116">
        <v>42.0</v>
      </c>
      <c r="B53" s="121"/>
      <c r="C53" s="125" t="s">
        <v>147</v>
      </c>
      <c r="D53" s="118" t="s">
        <v>148</v>
      </c>
      <c r="E53" s="125" t="s">
        <v>149</v>
      </c>
      <c r="F53" s="1"/>
      <c r="G53" s="54">
        <v>0.0</v>
      </c>
      <c r="H53" s="64">
        <v>8.0</v>
      </c>
      <c r="I53" s="65"/>
      <c r="J53" s="64"/>
      <c r="K53" s="65"/>
      <c r="L53" s="64"/>
      <c r="M53" s="56">
        <f t="shared" si="1"/>
        <v>0</v>
      </c>
      <c r="N53" s="57">
        <f t="shared" si="2"/>
        <v>0</v>
      </c>
      <c r="O53" s="58">
        <f t="shared" si="3"/>
        <v>8</v>
      </c>
      <c r="P53" s="59">
        <f t="shared" si="4"/>
        <v>8</v>
      </c>
      <c r="Q53" s="60"/>
      <c r="R53" s="61" t="str">
        <f t="shared" si="5"/>
        <v>ORD</v>
      </c>
      <c r="S53" s="66"/>
    </row>
    <row r="54" ht="12.75" customHeight="1">
      <c r="A54" s="119"/>
      <c r="B54" s="122">
        <v>43.0</v>
      </c>
      <c r="C54" s="125" t="s">
        <v>147</v>
      </c>
      <c r="D54" s="118" t="s">
        <v>150</v>
      </c>
      <c r="E54" s="125" t="s">
        <v>151</v>
      </c>
      <c r="F54" s="1"/>
      <c r="G54" s="54">
        <v>0.0</v>
      </c>
      <c r="H54" s="64">
        <v>10.0</v>
      </c>
      <c r="I54" s="65"/>
      <c r="J54" s="64"/>
      <c r="K54" s="65"/>
      <c r="L54" s="64"/>
      <c r="M54" s="56">
        <f t="shared" si="1"/>
        <v>0</v>
      </c>
      <c r="N54" s="57">
        <f t="shared" si="2"/>
        <v>0</v>
      </c>
      <c r="O54" s="58">
        <f t="shared" si="3"/>
        <v>10</v>
      </c>
      <c r="P54" s="59">
        <f t="shared" si="4"/>
        <v>10</v>
      </c>
      <c r="Q54" s="60"/>
      <c r="R54" s="61" t="str">
        <f t="shared" si="5"/>
        <v>ORD</v>
      </c>
      <c r="S54" s="66"/>
    </row>
    <row r="55" ht="12.75" customHeight="1">
      <c r="A55" s="119"/>
      <c r="B55" s="120">
        <v>44.0</v>
      </c>
      <c r="C55" s="125" t="s">
        <v>152</v>
      </c>
      <c r="D55" s="118" t="s">
        <v>153</v>
      </c>
      <c r="E55" s="125" t="s">
        <v>154</v>
      </c>
      <c r="F55" s="1"/>
      <c r="G55" s="54">
        <v>0.0</v>
      </c>
      <c r="H55" s="64">
        <v>10.0</v>
      </c>
      <c r="I55" s="65"/>
      <c r="J55" s="64"/>
      <c r="K55" s="65"/>
      <c r="L55" s="64"/>
      <c r="M55" s="56">
        <f t="shared" si="1"/>
        <v>0</v>
      </c>
      <c r="N55" s="57">
        <f t="shared" si="2"/>
        <v>0</v>
      </c>
      <c r="O55" s="58">
        <f t="shared" si="3"/>
        <v>10</v>
      </c>
      <c r="P55" s="59">
        <f t="shared" si="4"/>
        <v>10</v>
      </c>
      <c r="Q55" s="60"/>
      <c r="R55" s="61" t="str">
        <f t="shared" si="5"/>
        <v>ORD</v>
      </c>
      <c r="S55" s="66"/>
    </row>
    <row r="56" ht="12.75" customHeight="1">
      <c r="A56" s="119"/>
      <c r="B56" s="122">
        <v>45.0</v>
      </c>
      <c r="C56" s="125" t="s">
        <v>155</v>
      </c>
      <c r="D56" s="118" t="s">
        <v>156</v>
      </c>
      <c r="E56" s="125" t="s">
        <v>157</v>
      </c>
      <c r="F56" s="1"/>
      <c r="G56" s="54">
        <v>0.0</v>
      </c>
      <c r="H56" s="64">
        <v>7.0</v>
      </c>
      <c r="I56" s="65"/>
      <c r="J56" s="64"/>
      <c r="K56" s="65"/>
      <c r="L56" s="64"/>
      <c r="M56" s="56">
        <f t="shared" si="1"/>
        <v>0</v>
      </c>
      <c r="N56" s="57">
        <f t="shared" si="2"/>
        <v>0</v>
      </c>
      <c r="O56" s="58">
        <f t="shared" si="3"/>
        <v>7</v>
      </c>
      <c r="P56" s="59">
        <f t="shared" si="4"/>
        <v>7</v>
      </c>
      <c r="Q56" s="60"/>
      <c r="R56" s="61" t="str">
        <f t="shared" si="5"/>
        <v>ORD</v>
      </c>
      <c r="S56" s="66"/>
    </row>
    <row r="57" ht="12.75" customHeight="1">
      <c r="E57" s="78" t="s">
        <v>158</v>
      </c>
      <c r="F57" s="79"/>
      <c r="G57" s="80">
        <f>SUM(G12:G56)</f>
        <v>27</v>
      </c>
      <c r="H57" s="81">
        <f>AVERAGE(H12:H56)</f>
        <v>7.711111111</v>
      </c>
      <c r="I57" s="80">
        <f>SUM(I12:I56)</f>
        <v>0</v>
      </c>
      <c r="J57" s="82" t="str">
        <f>AVERAGE(J12:J56)</f>
        <v>#DIV/0!</v>
      </c>
      <c r="K57" s="80">
        <f>SUM(K12:K56)</f>
        <v>0</v>
      </c>
      <c r="L57" s="82" t="str">
        <f>AVERAGE(L12:L56)</f>
        <v>#DIV/0!</v>
      </c>
      <c r="M57" s="83">
        <f>SUM(M12:M56)</f>
        <v>27</v>
      </c>
      <c r="N57" s="84" t="s">
        <v>159</v>
      </c>
      <c r="O57" s="85"/>
      <c r="P57" s="86">
        <f>AVERAGE(P6:P56)</f>
        <v>7.5625</v>
      </c>
      <c r="Q57" s="1"/>
      <c r="R57" s="10"/>
      <c r="S57" s="66"/>
    </row>
    <row r="58" ht="12.75" customHeight="1">
      <c r="A58" s="87" t="s">
        <v>30</v>
      </c>
      <c r="B58" s="87" t="s">
        <v>31</v>
      </c>
      <c r="C58" s="88"/>
      <c r="D58" s="88"/>
      <c r="E58" s="89" t="s">
        <v>160</v>
      </c>
      <c r="F58" s="1"/>
      <c r="G58" s="90"/>
      <c r="H58" s="91">
        <f>COUNTIF(H12:H56,"&gt;5")</f>
        <v>40</v>
      </c>
      <c r="I58" s="90"/>
      <c r="J58" s="91">
        <f>COUNTIF(J12:J56,"&gt;5")</f>
        <v>0</v>
      </c>
      <c r="K58" s="90"/>
      <c r="L58" s="91">
        <f>COUNTIF(L12:L56,"&gt;5")</f>
        <v>0</v>
      </c>
      <c r="N58" s="92" t="s">
        <v>161</v>
      </c>
      <c r="O58" s="85"/>
      <c r="P58" s="93">
        <f>COUNTIF(P12:P56,"&gt;5")</f>
        <v>40</v>
      </c>
      <c r="Q58" s="1"/>
      <c r="R58" s="10"/>
      <c r="S58" s="66"/>
    </row>
    <row r="59" ht="12.75" customHeight="1">
      <c r="A59" s="94">
        <f t="shared" ref="A59:B59" si="6">COUNT(A12:A56)</f>
        <v>23</v>
      </c>
      <c r="B59" s="94">
        <f t="shared" si="6"/>
        <v>22</v>
      </c>
      <c r="C59" s="95"/>
      <c r="D59" s="95"/>
      <c r="E59" s="96" t="s">
        <v>162</v>
      </c>
      <c r="F59" s="1"/>
      <c r="G59" s="97"/>
      <c r="H59" s="98">
        <f>COUNTIF(H12:H56,5)</f>
        <v>5</v>
      </c>
      <c r="I59" s="97"/>
      <c r="J59" s="98">
        <f>COUNTIF(J12:J56,5)</f>
        <v>0</v>
      </c>
      <c r="K59" s="97"/>
      <c r="L59" s="98">
        <f>COUNTIF(L12:L56,5)</f>
        <v>0</v>
      </c>
      <c r="N59" s="99" t="s">
        <v>163</v>
      </c>
      <c r="O59" s="85"/>
      <c r="P59" s="100">
        <f>COUNTIF(P12:P56,5)</f>
        <v>5</v>
      </c>
      <c r="Q59" s="1"/>
      <c r="R59" s="10"/>
      <c r="S59" s="66"/>
    </row>
    <row r="60" ht="13.5" customHeight="1">
      <c r="A60" s="1"/>
      <c r="B60" s="1"/>
      <c r="C60" s="1"/>
      <c r="D60" s="1"/>
      <c r="E60" s="101" t="s">
        <v>164</v>
      </c>
      <c r="F60" s="1"/>
      <c r="G60" s="102"/>
      <c r="H60" s="103">
        <f>H58*100/H9</f>
        <v>88.88888889</v>
      </c>
      <c r="I60" s="102"/>
      <c r="J60" s="104">
        <f>J58*100/H9</f>
        <v>0</v>
      </c>
      <c r="K60" s="102"/>
      <c r="L60" s="104">
        <f>L58*100/H9</f>
        <v>0</v>
      </c>
      <c r="N60" s="105" t="s">
        <v>165</v>
      </c>
      <c r="O60" s="106"/>
      <c r="P60" s="107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08" t="s">
        <v>35</v>
      </c>
      <c r="O61" s="34"/>
      <c r="P61" s="109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0" t="s">
        <v>166</v>
      </c>
      <c r="O62" s="34"/>
      <c r="P62" s="111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20">
    <mergeCell ref="O1:P1"/>
    <mergeCell ref="Q1:R1"/>
    <mergeCell ref="D2:E2"/>
    <mergeCell ref="H2:M2"/>
    <mergeCell ref="H3:M3"/>
    <mergeCell ref="H4:M4"/>
    <mergeCell ref="G5:H5"/>
    <mergeCell ref="N57:O57"/>
    <mergeCell ref="N58:O58"/>
    <mergeCell ref="N59:O59"/>
    <mergeCell ref="N60:O60"/>
    <mergeCell ref="N61:O61"/>
    <mergeCell ref="N62:O62"/>
    <mergeCell ref="G6:J6"/>
    <mergeCell ref="L6:N7"/>
    <mergeCell ref="C10:E11"/>
    <mergeCell ref="G10:H10"/>
    <mergeCell ref="I10:J10"/>
    <mergeCell ref="K10:L10"/>
    <mergeCell ref="M10:P10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  <col customWidth="1" min="15" max="15" width="50.75"/>
  </cols>
  <sheetData>
    <row r="1">
      <c r="B1" s="134" t="s">
        <v>178</v>
      </c>
      <c r="C1" s="135" t="s">
        <v>179</v>
      </c>
      <c r="D1" s="38">
        <f>'3-1 ciencias de la comunicacion'!H9</f>
        <v>45</v>
      </c>
      <c r="H1" s="136"/>
      <c r="N1" s="137" t="s">
        <v>180</v>
      </c>
      <c r="O1" s="137" t="s">
        <v>181</v>
      </c>
      <c r="P1" s="137" t="s">
        <v>182</v>
      </c>
      <c r="Q1" s="137" t="s">
        <v>183</v>
      </c>
      <c r="R1" s="137" t="s">
        <v>184</v>
      </c>
      <c r="S1" s="138" t="s">
        <v>185</v>
      </c>
      <c r="T1" s="138" t="s">
        <v>186</v>
      </c>
      <c r="U1" s="137" t="s">
        <v>187</v>
      </c>
      <c r="V1" s="137" t="s">
        <v>13</v>
      </c>
    </row>
    <row r="2">
      <c r="B2" s="139" t="s">
        <v>16</v>
      </c>
      <c r="C2" s="139" t="s">
        <v>188</v>
      </c>
      <c r="D2" s="139" t="s">
        <v>160</v>
      </c>
      <c r="E2" s="140" t="s">
        <v>162</v>
      </c>
      <c r="F2" s="139" t="s">
        <v>189</v>
      </c>
      <c r="G2" s="139" t="s">
        <v>190</v>
      </c>
      <c r="H2" s="141" t="s">
        <v>166</v>
      </c>
      <c r="N2" s="142">
        <v>1.0</v>
      </c>
      <c r="O2" s="143" t="str">
        <f t="shared" ref="O2:O13" si="2">B3</f>
        <v>CIENCIAS DE LA COMUNICACIÓN I</v>
      </c>
      <c r="P2" s="144">
        <f t="shared" ref="P2:P13" si="3">H3</f>
        <v>99</v>
      </c>
      <c r="Q2" s="144">
        <f t="shared" ref="Q2:Q13" si="4">C3</f>
        <v>7.711111111</v>
      </c>
      <c r="R2" s="144">
        <f t="shared" ref="R2:R13" si="5">G3</f>
        <v>11.11111111</v>
      </c>
      <c r="S2" s="145">
        <f t="shared" ref="S2:T2" si="1">E3</f>
        <v>5</v>
      </c>
      <c r="T2" s="144">
        <f t="shared" si="1"/>
        <v>88.88888889</v>
      </c>
      <c r="U2" s="143">
        <f>3</f>
        <v>3</v>
      </c>
      <c r="V2" s="146">
        <v>46025.0</v>
      </c>
    </row>
    <row r="3">
      <c r="B3" s="147" t="s">
        <v>17</v>
      </c>
      <c r="C3" s="148">
        <f>'3-1 ciencias de la comunicacion'!H57</f>
        <v>7.711111111</v>
      </c>
      <c r="D3" s="149">
        <f>'3-1 ciencias de la comunicacion'!H58</f>
        <v>40</v>
      </c>
      <c r="E3" s="149">
        <f>'3-1 ciencias de la comunicacion'!H59</f>
        <v>5</v>
      </c>
      <c r="F3" s="148">
        <f>'3-1 ciencias de la comunicacion'!H60</f>
        <v>88.88888889</v>
      </c>
      <c r="G3" s="148">
        <f t="shared" ref="G3:G14" si="7">(E3*100)/$D$1</f>
        <v>11.11111111</v>
      </c>
      <c r="H3" s="148">
        <f>'3-1 ciencias de la comunicacion'!P62</f>
        <v>99</v>
      </c>
      <c r="N3" s="142">
        <v>1.0</v>
      </c>
      <c r="O3" s="143" t="str">
        <f t="shared" si="2"/>
        <v>TEMAS SELECTOS DE INGLÉS II</v>
      </c>
      <c r="P3" s="144">
        <f t="shared" si="3"/>
        <v>99</v>
      </c>
      <c r="Q3" s="144">
        <f t="shared" si="4"/>
        <v>7.711111111</v>
      </c>
      <c r="R3" s="144">
        <f t="shared" si="5"/>
        <v>11.11111111</v>
      </c>
      <c r="S3" s="145">
        <f t="shared" ref="S3:T3" si="6">E4</f>
        <v>5</v>
      </c>
      <c r="T3" s="144">
        <f t="shared" si="6"/>
        <v>88.88888889</v>
      </c>
      <c r="U3" s="142">
        <v>3.0</v>
      </c>
      <c r="V3" s="146">
        <v>46025.0</v>
      </c>
    </row>
    <row r="4">
      <c r="B4" s="150" t="s">
        <v>167</v>
      </c>
      <c r="C4" s="151">
        <f>'3-1 temas selectos de ingles ii'!H57</f>
        <v>7.711111111</v>
      </c>
      <c r="D4" s="152">
        <f>'3-1 temas selectos de ingles ii'!H58</f>
        <v>40</v>
      </c>
      <c r="E4" s="152">
        <f>'3-1 temas selectos de ingles ii'!H59</f>
        <v>5</v>
      </c>
      <c r="F4" s="151">
        <f>'3-1 temas selectos de ingles ii'!H60</f>
        <v>88.88888889</v>
      </c>
      <c r="G4" s="148">
        <f t="shared" si="7"/>
        <v>11.11111111</v>
      </c>
      <c r="H4" s="151">
        <f>'3-1 temas selectos de ingles ii'!P62</f>
        <v>99</v>
      </c>
      <c r="N4" s="142">
        <v>1.0</v>
      </c>
      <c r="O4" s="143" t="str">
        <f t="shared" si="2"/>
        <v>TEMAS SELECTOS DE MATEMÁTICAS II</v>
      </c>
      <c r="P4" s="144">
        <f t="shared" si="3"/>
        <v>99</v>
      </c>
      <c r="Q4" s="144">
        <f t="shared" si="4"/>
        <v>7.711111111</v>
      </c>
      <c r="R4" s="144">
        <f t="shared" si="5"/>
        <v>11.11111111</v>
      </c>
      <c r="S4" s="145">
        <f t="shared" ref="S4:T4" si="8">E5</f>
        <v>5</v>
      </c>
      <c r="T4" s="144">
        <f t="shared" si="8"/>
        <v>88.88888889</v>
      </c>
      <c r="U4" s="142">
        <v>3.0</v>
      </c>
      <c r="V4" s="146">
        <v>46025.0</v>
      </c>
    </row>
    <row r="5">
      <c r="B5" s="153" t="s">
        <v>168</v>
      </c>
      <c r="C5" s="154">
        <f>'3-1 temas selectos de matematic'!H57</f>
        <v>7.711111111</v>
      </c>
      <c r="D5" s="155">
        <f>'3-1 temas selectos de matematic'!H58</f>
        <v>40</v>
      </c>
      <c r="E5" s="155">
        <f>'3-1 temas selectos de matematic'!H59</f>
        <v>5</v>
      </c>
      <c r="F5" s="154">
        <f>'3-1 temas selectos de matematic'!H60</f>
        <v>88.88888889</v>
      </c>
      <c r="G5" s="148">
        <f t="shared" si="7"/>
        <v>11.11111111</v>
      </c>
      <c r="H5" s="154">
        <f>'3-1 temas selectos de matematic'!P62</f>
        <v>99</v>
      </c>
      <c r="N5" s="142">
        <v>1.0</v>
      </c>
      <c r="O5" s="143" t="str">
        <f t="shared" si="2"/>
        <v>CONCIENCIA HISTORICA III</v>
      </c>
      <c r="P5" s="144">
        <f t="shared" si="3"/>
        <v>96.66666667</v>
      </c>
      <c r="Q5" s="144">
        <f t="shared" si="4"/>
        <v>7.711111111</v>
      </c>
      <c r="R5" s="144">
        <f t="shared" si="5"/>
        <v>11.11111111</v>
      </c>
      <c r="S5" s="145">
        <f t="shared" ref="S5:T5" si="9">E6</f>
        <v>5</v>
      </c>
      <c r="T5" s="144">
        <f t="shared" si="9"/>
        <v>88.88888889</v>
      </c>
      <c r="U5" s="142">
        <v>3.0</v>
      </c>
      <c r="V5" s="146">
        <v>46025.0</v>
      </c>
    </row>
    <row r="6">
      <c r="B6" s="150" t="s">
        <v>191</v>
      </c>
      <c r="C6" s="156">
        <f>'3-1 conciencia historica iii'!H57</f>
        <v>7.711111111</v>
      </c>
      <c r="D6" s="157">
        <f>'3-1 conciencia historica iii'!H58</f>
        <v>40</v>
      </c>
      <c r="E6" s="157">
        <f>'3-1 conciencia historica iii'!H59</f>
        <v>5</v>
      </c>
      <c r="F6" s="156">
        <f>'3-1 conciencia historica iii'!H60</f>
        <v>88.88888889</v>
      </c>
      <c r="G6" s="148">
        <f t="shared" si="7"/>
        <v>11.11111111</v>
      </c>
      <c r="H6" s="156">
        <f>'3-1 conciencia historica iii'!P62</f>
        <v>96.66666667</v>
      </c>
      <c r="N6" s="142">
        <v>1.0</v>
      </c>
      <c r="O6" s="143" t="str">
        <f t="shared" si="2"/>
        <v>ORGANISMOS</v>
      </c>
      <c r="P6" s="144">
        <f t="shared" si="3"/>
        <v>95</v>
      </c>
      <c r="Q6" s="144">
        <f t="shared" si="4"/>
        <v>7.711111111</v>
      </c>
      <c r="R6" s="144">
        <f t="shared" si="5"/>
        <v>11.11111111</v>
      </c>
      <c r="S6" s="145">
        <f t="shared" ref="S6:T6" si="10">E7</f>
        <v>5</v>
      </c>
      <c r="T6" s="144">
        <f t="shared" si="10"/>
        <v>88.88888889</v>
      </c>
      <c r="U6" s="142">
        <v>3.0</v>
      </c>
      <c r="V6" s="146">
        <v>46025.0</v>
      </c>
    </row>
    <row r="7">
      <c r="B7" s="153" t="s">
        <v>170</v>
      </c>
      <c r="C7" s="154">
        <f>'3-1 organismos'!H57</f>
        <v>7.711111111</v>
      </c>
      <c r="D7" s="155">
        <f>'3-1 organismos'!H58</f>
        <v>40</v>
      </c>
      <c r="E7" s="155">
        <f>'3-1 organismos'!H59</f>
        <v>5</v>
      </c>
      <c r="F7" s="154">
        <f>'3-1 organismos'!H60</f>
        <v>88.88888889</v>
      </c>
      <c r="G7" s="148">
        <f t="shared" si="7"/>
        <v>11.11111111</v>
      </c>
      <c r="H7" s="154">
        <f>'3-1 organismos'!P62</f>
        <v>95</v>
      </c>
      <c r="N7" s="142">
        <v>1.0</v>
      </c>
      <c r="O7" s="143" t="str">
        <f t="shared" si="2"/>
        <v>TEMAS SELECTOS DE FILOSOFÍA</v>
      </c>
      <c r="P7" s="144">
        <f t="shared" si="3"/>
        <v>96</v>
      </c>
      <c r="Q7" s="144">
        <f t="shared" si="4"/>
        <v>7.711111111</v>
      </c>
      <c r="R7" s="144">
        <f t="shared" si="5"/>
        <v>11.11111111</v>
      </c>
      <c r="S7" s="145">
        <f t="shared" ref="S7:T7" si="11">E8</f>
        <v>5</v>
      </c>
      <c r="T7" s="144">
        <f t="shared" si="11"/>
        <v>88.88888889</v>
      </c>
      <c r="U7" s="142">
        <v>3.0</v>
      </c>
      <c r="V7" s="146">
        <v>46025.0</v>
      </c>
    </row>
    <row r="8">
      <c r="B8" s="150" t="s">
        <v>171</v>
      </c>
      <c r="C8" s="156">
        <f>'3-1 temas selectos de filosofia'!H57</f>
        <v>7.711111111</v>
      </c>
      <c r="D8" s="157">
        <f>'3-1 temas selectos de filosofia'!H58</f>
        <v>40</v>
      </c>
      <c r="E8" s="157">
        <f>'3-1 temas selectos de filosofia'!H59</f>
        <v>5</v>
      </c>
      <c r="F8" s="156">
        <f>'3-1 temas selectos de filosofia'!H60</f>
        <v>88.88888889</v>
      </c>
      <c r="G8" s="148">
        <f t="shared" si="7"/>
        <v>11.11111111</v>
      </c>
      <c r="H8" s="156">
        <f>'3-1 temas selectos de filosofia'!P62</f>
        <v>96</v>
      </c>
      <c r="N8" s="142">
        <v>1.0</v>
      </c>
      <c r="O8" s="143" t="str">
        <f t="shared" si="2"/>
        <v>DISEÑO DIGITAL </v>
      </c>
      <c r="P8" s="144">
        <f t="shared" si="3"/>
        <v>94</v>
      </c>
      <c r="Q8" s="144">
        <f t="shared" si="4"/>
        <v>7.711111111</v>
      </c>
      <c r="R8" s="144">
        <f t="shared" si="5"/>
        <v>11.11111111</v>
      </c>
      <c r="S8" s="145">
        <f t="shared" ref="S8:T8" si="12">E9</f>
        <v>5</v>
      </c>
      <c r="T8" s="144">
        <f t="shared" si="12"/>
        <v>88.88888889</v>
      </c>
      <c r="U8" s="142">
        <v>3.0</v>
      </c>
      <c r="V8" s="146">
        <v>46025.0</v>
      </c>
    </row>
    <row r="9">
      <c r="B9" s="153" t="s">
        <v>192</v>
      </c>
      <c r="C9" s="154">
        <f>'3-1 diseño digital'!H57</f>
        <v>7.711111111</v>
      </c>
      <c r="D9" s="155">
        <f>'3-1 diseño digital'!H58</f>
        <v>40</v>
      </c>
      <c r="E9" s="155">
        <f>'3-1 diseño digital'!H59</f>
        <v>5</v>
      </c>
      <c r="F9" s="154">
        <f>'3-1 diseño digital'!H60</f>
        <v>88.88888889</v>
      </c>
      <c r="G9" s="148">
        <f t="shared" si="7"/>
        <v>11.11111111</v>
      </c>
      <c r="H9" s="154">
        <f>'3-1 diseño digital'!P62</f>
        <v>94</v>
      </c>
      <c r="N9" s="142">
        <v>1.0</v>
      </c>
      <c r="O9" s="143" t="str">
        <f t="shared" si="2"/>
        <v>ECONOMÍA I</v>
      </c>
      <c r="P9" s="144">
        <f t="shared" si="3"/>
        <v>95</v>
      </c>
      <c r="Q9" s="144">
        <f t="shared" si="4"/>
        <v>7.711111111</v>
      </c>
      <c r="R9" s="144">
        <f t="shared" si="5"/>
        <v>11.11111111</v>
      </c>
      <c r="S9" s="145">
        <f t="shared" ref="S9:T9" si="13">E10</f>
        <v>5</v>
      </c>
      <c r="T9" s="144">
        <f t="shared" si="13"/>
        <v>88.88888889</v>
      </c>
      <c r="U9" s="142">
        <v>3.0</v>
      </c>
      <c r="V9" s="146">
        <v>46025.0</v>
      </c>
    </row>
    <row r="10">
      <c r="B10" s="150" t="s">
        <v>173</v>
      </c>
      <c r="C10" s="156">
        <f>'3-1 economia i'!H57</f>
        <v>7.711111111</v>
      </c>
      <c r="D10" s="157">
        <f>'3-1 economia i'!H58</f>
        <v>40</v>
      </c>
      <c r="E10" s="157">
        <f>'3-1 economia i'!H59</f>
        <v>5</v>
      </c>
      <c r="F10" s="156">
        <f>'3-1 economia i'!H60</f>
        <v>88.88888889</v>
      </c>
      <c r="G10" s="148">
        <f t="shared" si="7"/>
        <v>11.11111111</v>
      </c>
      <c r="H10" s="156">
        <f>'3-1 economia i'!P62</f>
        <v>95</v>
      </c>
      <c r="N10" s="142">
        <v>1.0</v>
      </c>
      <c r="O10" s="143" t="str">
        <f t="shared" si="2"/>
        <v>PÁGINAS WEB</v>
      </c>
      <c r="P10" s="144">
        <f t="shared" si="3"/>
        <v>94.54545455</v>
      </c>
      <c r="Q10" s="144">
        <f t="shared" si="4"/>
        <v>7.711111111</v>
      </c>
      <c r="R10" s="144">
        <f t="shared" si="5"/>
        <v>11.11111111</v>
      </c>
      <c r="S10" s="145">
        <f t="shared" ref="S10:T10" si="14">E11</f>
        <v>5</v>
      </c>
      <c r="T10" s="144">
        <f t="shared" si="14"/>
        <v>88.88888889</v>
      </c>
      <c r="U10" s="142">
        <v>3.0</v>
      </c>
      <c r="V10" s="146">
        <v>46025.0</v>
      </c>
    </row>
    <row r="11">
      <c r="B11" s="153" t="s">
        <v>174</v>
      </c>
      <c r="C11" s="154">
        <f>'3-1 paginas web'!H57</f>
        <v>7.711111111</v>
      </c>
      <c r="D11" s="155">
        <f>'3-1 paginas web'!H58</f>
        <v>40</v>
      </c>
      <c r="E11" s="155">
        <f>'3-1 paginas web'!H59</f>
        <v>5</v>
      </c>
      <c r="F11" s="154">
        <f>'3-1 paginas web'!H60</f>
        <v>88.88888889</v>
      </c>
      <c r="G11" s="148">
        <f t="shared" si="7"/>
        <v>11.11111111</v>
      </c>
      <c r="H11" s="154">
        <f>'3-1 paginas web'!P62</f>
        <v>94.54545455</v>
      </c>
      <c r="N11" s="142">
        <v>1.0</v>
      </c>
      <c r="O11" s="143" t="str">
        <f t="shared" si="2"/>
        <v>ACTIVIDADES ARTÍSTICAS Y CULTURALES III</v>
      </c>
      <c r="P11" s="144">
        <f t="shared" si="3"/>
        <v>92.5</v>
      </c>
      <c r="Q11" s="144">
        <f t="shared" si="4"/>
        <v>7.711111111</v>
      </c>
      <c r="R11" s="144">
        <f t="shared" si="5"/>
        <v>11.11111111</v>
      </c>
      <c r="S11" s="145">
        <f t="shared" ref="S11:T11" si="15">E12</f>
        <v>5</v>
      </c>
      <c r="T11" s="144">
        <f t="shared" si="15"/>
        <v>88.88888889</v>
      </c>
      <c r="U11" s="142">
        <v>3.0</v>
      </c>
      <c r="V11" s="146">
        <v>46025.0</v>
      </c>
    </row>
    <row r="12">
      <c r="B12" s="150" t="s">
        <v>175</v>
      </c>
      <c r="C12" s="156">
        <f>'3-1 actividades artisticas y cu'!H57</f>
        <v>7.711111111</v>
      </c>
      <c r="D12" s="157">
        <f>'3-1 actividades artisticas y cu'!H58</f>
        <v>40</v>
      </c>
      <c r="E12" s="157">
        <f>'3-1 actividades artisticas y cu'!H59</f>
        <v>5</v>
      </c>
      <c r="F12" s="156">
        <f>'3-1 actividades artisticas y cu'!H60</f>
        <v>88.88888889</v>
      </c>
      <c r="G12" s="148">
        <f t="shared" si="7"/>
        <v>11.11111111</v>
      </c>
      <c r="H12" s="156">
        <f>'3-1 actividades artisticas y cu'!P62</f>
        <v>92.5</v>
      </c>
      <c r="N12" s="142">
        <v>1.0</v>
      </c>
      <c r="O12" s="143" t="str">
        <f t="shared" si="2"/>
        <v>PRÁCTICA Y COLABORACIÓN CIUDADANA II</v>
      </c>
      <c r="P12" s="144">
        <f t="shared" si="3"/>
        <v>92.5</v>
      </c>
      <c r="Q12" s="144">
        <f t="shared" si="4"/>
        <v>7.711111111</v>
      </c>
      <c r="R12" s="144">
        <f t="shared" si="5"/>
        <v>11.11111111</v>
      </c>
      <c r="S12" s="145">
        <f t="shared" ref="S12:T12" si="16">E13</f>
        <v>5</v>
      </c>
      <c r="T12" s="144">
        <f t="shared" si="16"/>
        <v>88.88888889</v>
      </c>
      <c r="U12" s="142">
        <v>3.0</v>
      </c>
      <c r="V12" s="146">
        <v>46025.0</v>
      </c>
    </row>
    <row r="13">
      <c r="B13" s="158" t="s">
        <v>176</v>
      </c>
      <c r="C13" s="159">
        <f>'3-1 practica y colaboracion ciu'!H57</f>
        <v>7.711111111</v>
      </c>
      <c r="D13" s="160">
        <f>'3-1 practica y colaboracion ciu'!H58</f>
        <v>40</v>
      </c>
      <c r="E13" s="160">
        <f>'3-1 practica y colaboracion ciu'!H59</f>
        <v>5</v>
      </c>
      <c r="F13" s="159">
        <f>'3-1 practica y colaboracion ciu'!H60</f>
        <v>88.88888889</v>
      </c>
      <c r="G13" s="148">
        <f t="shared" si="7"/>
        <v>11.11111111</v>
      </c>
      <c r="H13" s="159">
        <f>'3-1 practica y colaboracion ciu'!P62</f>
        <v>92.5</v>
      </c>
      <c r="N13" s="142">
        <v>1.0</v>
      </c>
      <c r="O13" s="143" t="str">
        <f t="shared" si="2"/>
        <v>TEMAS SELECTOS DE IGUALDAD Y DERECHOS HUMANOS VI </v>
      </c>
      <c r="P13" s="144">
        <f t="shared" si="3"/>
        <v>92.5</v>
      </c>
      <c r="Q13" s="144">
        <f t="shared" si="4"/>
        <v>7.711111111</v>
      </c>
      <c r="R13" s="144">
        <f t="shared" si="5"/>
        <v>11.11111111</v>
      </c>
      <c r="S13" s="145">
        <f t="shared" ref="S13:T13" si="17">E14</f>
        <v>5</v>
      </c>
      <c r="T13" s="144">
        <f t="shared" si="17"/>
        <v>88.88888889</v>
      </c>
      <c r="U13" s="142">
        <v>3.0</v>
      </c>
      <c r="V13" s="146">
        <v>46025.0</v>
      </c>
    </row>
    <row r="14">
      <c r="B14" s="150" t="s">
        <v>193</v>
      </c>
      <c r="C14" s="156">
        <f>'3-1 temas selectos de igualdad '!H57</f>
        <v>7.711111111</v>
      </c>
      <c r="D14" s="157">
        <f>'3-1 temas selectos de igualdad '!H58</f>
        <v>40</v>
      </c>
      <c r="E14" s="157">
        <f>'3-1 temas selectos de igualdad '!H59</f>
        <v>5</v>
      </c>
      <c r="F14" s="156">
        <f>'3-1 temas selectos de igualdad '!H60</f>
        <v>88.88888889</v>
      </c>
      <c r="G14" s="148">
        <f t="shared" si="7"/>
        <v>11.11111111</v>
      </c>
      <c r="H14" s="156">
        <f>'3-1 temas selectos de igualdad '!P62</f>
        <v>92.5</v>
      </c>
      <c r="N14" s="137">
        <v>2.0</v>
      </c>
      <c r="O14" s="38" t="str">
        <f t="shared" ref="O14:O25" si="20">B19</f>
        <v>CIENCIAS DE LA COMUNICACIÓN I</v>
      </c>
      <c r="P14" s="161">
        <f t="shared" ref="P14:P25" si="21">H19</f>
        <v>99</v>
      </c>
      <c r="Q14" s="161" t="str">
        <f t="shared" ref="Q14:Q25" si="22">C19</f>
        <v>#DIV/0!</v>
      </c>
      <c r="R14" s="161">
        <f t="shared" ref="R14:R25" si="23">G19</f>
        <v>0</v>
      </c>
      <c r="S14" s="162">
        <f t="shared" ref="S14:T14" si="18">E19</f>
        <v>0</v>
      </c>
      <c r="T14" s="161">
        <f t="shared" si="18"/>
        <v>0</v>
      </c>
      <c r="U14" s="137">
        <v>3.0</v>
      </c>
      <c r="V14" s="163">
        <v>46025.0</v>
      </c>
    </row>
    <row r="15">
      <c r="B15" s="164"/>
      <c r="C15" s="165">
        <f t="shared" ref="C15:G15" si="19">AVERAGE(C3:C13)</f>
        <v>7.711111111</v>
      </c>
      <c r="D15" s="166">
        <f t="shared" si="19"/>
        <v>40</v>
      </c>
      <c r="E15" s="166">
        <f t="shared" si="19"/>
        <v>5</v>
      </c>
      <c r="F15" s="165">
        <f t="shared" si="19"/>
        <v>88.88888889</v>
      </c>
      <c r="G15" s="165">
        <f t="shared" si="19"/>
        <v>11.11111111</v>
      </c>
      <c r="H15" s="165">
        <f>AVERAGE(H2:H13)</f>
        <v>95.74655647</v>
      </c>
      <c r="N15" s="137">
        <v>2.0</v>
      </c>
      <c r="O15" s="38" t="str">
        <f t="shared" si="20"/>
        <v>TEMAS SELECTOS DE INGLÉS II</v>
      </c>
      <c r="P15" s="161">
        <f t="shared" si="21"/>
        <v>99</v>
      </c>
      <c r="Q15" s="161" t="str">
        <f t="shared" si="22"/>
        <v>#DIV/0!</v>
      </c>
      <c r="R15" s="161">
        <f t="shared" si="23"/>
        <v>0</v>
      </c>
      <c r="S15" s="162">
        <f t="shared" ref="S15:T15" si="24">E20</f>
        <v>0</v>
      </c>
      <c r="T15" s="161">
        <f t="shared" si="24"/>
        <v>0</v>
      </c>
      <c r="U15" s="137">
        <v>3.0</v>
      </c>
      <c r="V15" s="163">
        <v>46025.0</v>
      </c>
    </row>
    <row r="16">
      <c r="H16" s="136"/>
      <c r="N16" s="137">
        <v>2.0</v>
      </c>
      <c r="O16" s="38" t="str">
        <f t="shared" si="20"/>
        <v>TEMAS SELECTOS DE MATEMÁTICAS II</v>
      </c>
      <c r="P16" s="161">
        <f t="shared" si="21"/>
        <v>99</v>
      </c>
      <c r="Q16" s="161" t="str">
        <f t="shared" si="22"/>
        <v>#DIV/0!</v>
      </c>
      <c r="R16" s="161">
        <f t="shared" si="23"/>
        <v>0</v>
      </c>
      <c r="S16" s="162">
        <f t="shared" ref="S16:T16" si="25">E21</f>
        <v>0</v>
      </c>
      <c r="T16" s="161">
        <f t="shared" si="25"/>
        <v>0</v>
      </c>
      <c r="U16" s="137">
        <v>3.0</v>
      </c>
      <c r="V16" s="163">
        <v>46025.0</v>
      </c>
    </row>
    <row r="17">
      <c r="B17" s="134" t="s">
        <v>194</v>
      </c>
      <c r="C17" s="135" t="s">
        <v>179</v>
      </c>
      <c r="D17" s="38">
        <f>'3-1 ciencias de la comunicacion'!H9</f>
        <v>45</v>
      </c>
      <c r="H17" s="136"/>
      <c r="N17" s="137">
        <v>2.0</v>
      </c>
      <c r="O17" s="38" t="str">
        <f t="shared" si="20"/>
        <v>CONCIENCIA HISTORICA III</v>
      </c>
      <c r="P17" s="161">
        <f t="shared" si="21"/>
        <v>96.66666667</v>
      </c>
      <c r="Q17" s="161" t="str">
        <f t="shared" si="22"/>
        <v>#DIV/0!</v>
      </c>
      <c r="R17" s="161">
        <f t="shared" si="23"/>
        <v>0</v>
      </c>
      <c r="S17" s="162">
        <f t="shared" ref="S17:T17" si="26">E22</f>
        <v>0</v>
      </c>
      <c r="T17" s="161">
        <f t="shared" si="26"/>
        <v>0</v>
      </c>
      <c r="U17" s="137">
        <v>3.0</v>
      </c>
      <c r="V17" s="163">
        <v>46025.0</v>
      </c>
    </row>
    <row r="18">
      <c r="B18" s="139" t="s">
        <v>16</v>
      </c>
      <c r="C18" s="139" t="s">
        <v>188</v>
      </c>
      <c r="D18" s="139" t="s">
        <v>160</v>
      </c>
      <c r="E18" s="140" t="s">
        <v>162</v>
      </c>
      <c r="F18" s="139" t="s">
        <v>189</v>
      </c>
      <c r="G18" s="139" t="s">
        <v>190</v>
      </c>
      <c r="H18" s="141" t="s">
        <v>166</v>
      </c>
      <c r="N18" s="137">
        <v>2.0</v>
      </c>
      <c r="O18" s="38" t="str">
        <f t="shared" si="20"/>
        <v>ORGANISMOS</v>
      </c>
      <c r="P18" s="161">
        <f t="shared" si="21"/>
        <v>95</v>
      </c>
      <c r="Q18" s="161" t="str">
        <f t="shared" si="22"/>
        <v>#DIV/0!</v>
      </c>
      <c r="R18" s="161">
        <f t="shared" si="23"/>
        <v>0</v>
      </c>
      <c r="S18" s="162">
        <f t="shared" ref="S18:T18" si="27">E23</f>
        <v>0</v>
      </c>
      <c r="T18" s="161">
        <f t="shared" si="27"/>
        <v>0</v>
      </c>
      <c r="U18" s="137">
        <v>3.0</v>
      </c>
      <c r="V18" s="163">
        <v>46025.0</v>
      </c>
    </row>
    <row r="19">
      <c r="B19" s="147" t="s">
        <v>17</v>
      </c>
      <c r="C19" s="148" t="str">
        <f>'3-1 ciencias de la comunicacion'!J57</f>
        <v>#DIV/0!</v>
      </c>
      <c r="D19" s="149">
        <f>'3-1 ciencias de la comunicacion'!J58</f>
        <v>0</v>
      </c>
      <c r="E19" s="149">
        <f>'3-1 ciencias de la comunicacion'!J59</f>
        <v>0</v>
      </c>
      <c r="F19" s="148">
        <f>'3-1 ciencias de la comunicacion'!J60</f>
        <v>0</v>
      </c>
      <c r="G19" s="148">
        <f t="shared" ref="G19:G30" si="29">(E19*100)/$D$1</f>
        <v>0</v>
      </c>
      <c r="H19" s="148">
        <f>'3-1 ciencias de la comunicacion'!P62</f>
        <v>99</v>
      </c>
      <c r="N19" s="137">
        <v>2.0</v>
      </c>
      <c r="O19" s="38" t="str">
        <f t="shared" si="20"/>
        <v>TEMAS SELECTOS DE FILOSOFÍA</v>
      </c>
      <c r="P19" s="161">
        <f t="shared" si="21"/>
        <v>96</v>
      </c>
      <c r="Q19" s="161" t="str">
        <f t="shared" si="22"/>
        <v>#DIV/0!</v>
      </c>
      <c r="R19" s="161">
        <f t="shared" si="23"/>
        <v>0</v>
      </c>
      <c r="S19" s="162">
        <f t="shared" ref="S19:T19" si="28">E24</f>
        <v>0</v>
      </c>
      <c r="T19" s="161">
        <f t="shared" si="28"/>
        <v>0</v>
      </c>
      <c r="U19" s="137">
        <v>3.0</v>
      </c>
      <c r="V19" s="163">
        <v>46025.0</v>
      </c>
    </row>
    <row r="20">
      <c r="B20" s="150" t="s">
        <v>167</v>
      </c>
      <c r="C20" s="151" t="str">
        <f>'3-1 temas selectos de ingles ii'!J57</f>
        <v>#DIV/0!</v>
      </c>
      <c r="D20" s="152">
        <f>'3-1 temas selectos de ingles ii'!J58</f>
        <v>0</v>
      </c>
      <c r="E20" s="152">
        <f>'3-1 temas selectos de ingles ii'!J59</f>
        <v>0</v>
      </c>
      <c r="F20" s="151">
        <f>'3-1 temas selectos de ingles ii'!J60</f>
        <v>0</v>
      </c>
      <c r="G20" s="148">
        <f t="shared" si="29"/>
        <v>0</v>
      </c>
      <c r="H20" s="151">
        <f>'3-1 temas selectos de ingles ii'!P62</f>
        <v>99</v>
      </c>
      <c r="N20" s="137">
        <v>2.0</v>
      </c>
      <c r="O20" s="38" t="str">
        <f t="shared" si="20"/>
        <v>DISEÑO DIGITAL </v>
      </c>
      <c r="P20" s="161">
        <f t="shared" si="21"/>
        <v>94</v>
      </c>
      <c r="Q20" s="161" t="str">
        <f t="shared" si="22"/>
        <v>#DIV/0!</v>
      </c>
      <c r="R20" s="161">
        <f t="shared" si="23"/>
        <v>0</v>
      </c>
      <c r="S20" s="162">
        <f t="shared" ref="S20:T20" si="30">E25</f>
        <v>0</v>
      </c>
      <c r="T20" s="161">
        <f t="shared" si="30"/>
        <v>0</v>
      </c>
      <c r="U20" s="137">
        <v>3.0</v>
      </c>
      <c r="V20" s="163">
        <v>46025.0</v>
      </c>
    </row>
    <row r="21">
      <c r="B21" s="153" t="s">
        <v>168</v>
      </c>
      <c r="C21" s="154" t="str">
        <f>'3-1 temas selectos de matematic'!J57</f>
        <v>#DIV/0!</v>
      </c>
      <c r="D21" s="155">
        <f>'3-1 temas selectos de matematic'!J58</f>
        <v>0</v>
      </c>
      <c r="E21" s="155">
        <f>'3-1 temas selectos de matematic'!J59</f>
        <v>0</v>
      </c>
      <c r="F21" s="154">
        <f>'3-1 temas selectos de matematic'!J60</f>
        <v>0</v>
      </c>
      <c r="G21" s="148">
        <f t="shared" si="29"/>
        <v>0</v>
      </c>
      <c r="H21" s="154">
        <f>'3-1 temas selectos de matematic'!P62</f>
        <v>99</v>
      </c>
      <c r="N21" s="137">
        <v>2.0</v>
      </c>
      <c r="O21" s="38" t="str">
        <f t="shared" si="20"/>
        <v>ECONOMÍA I</v>
      </c>
      <c r="P21" s="161">
        <f t="shared" si="21"/>
        <v>95</v>
      </c>
      <c r="Q21" s="161" t="str">
        <f t="shared" si="22"/>
        <v>#DIV/0!</v>
      </c>
      <c r="R21" s="161">
        <f t="shared" si="23"/>
        <v>0</v>
      </c>
      <c r="S21" s="162">
        <f t="shared" ref="S21:T21" si="31">E26</f>
        <v>0</v>
      </c>
      <c r="T21" s="161">
        <f t="shared" si="31"/>
        <v>0</v>
      </c>
      <c r="U21" s="137">
        <v>3.0</v>
      </c>
      <c r="V21" s="163">
        <v>46025.0</v>
      </c>
    </row>
    <row r="22">
      <c r="B22" s="150" t="s">
        <v>191</v>
      </c>
      <c r="C22" s="156" t="str">
        <f>'3-1 conciencia historica iii'!J57</f>
        <v>#DIV/0!</v>
      </c>
      <c r="D22" s="157">
        <f>'3-1 conciencia historica iii'!J58</f>
        <v>0</v>
      </c>
      <c r="E22" s="157">
        <f>'3-1 conciencia historica iii'!J59</f>
        <v>0</v>
      </c>
      <c r="F22" s="156">
        <f>'3-1 conciencia historica iii'!J60</f>
        <v>0</v>
      </c>
      <c r="G22" s="148">
        <f t="shared" si="29"/>
        <v>0</v>
      </c>
      <c r="H22" s="156">
        <f>'3-1 conciencia historica iii'!P62</f>
        <v>96.66666667</v>
      </c>
      <c r="N22" s="137">
        <v>2.0</v>
      </c>
      <c r="O22" s="38" t="str">
        <f t="shared" si="20"/>
        <v>PÁGINAS WEB</v>
      </c>
      <c r="P22" s="161">
        <f t="shared" si="21"/>
        <v>94.54545455</v>
      </c>
      <c r="Q22" s="161" t="str">
        <f t="shared" si="22"/>
        <v>#DIV/0!</v>
      </c>
      <c r="R22" s="161">
        <f t="shared" si="23"/>
        <v>0</v>
      </c>
      <c r="S22" s="162">
        <f t="shared" ref="S22:T22" si="32">E27</f>
        <v>0</v>
      </c>
      <c r="T22" s="161">
        <f t="shared" si="32"/>
        <v>0</v>
      </c>
      <c r="U22" s="137">
        <v>3.0</v>
      </c>
      <c r="V22" s="163">
        <v>46025.0</v>
      </c>
    </row>
    <row r="23">
      <c r="B23" s="153" t="s">
        <v>170</v>
      </c>
      <c r="C23" s="154" t="str">
        <f>'3-1 organismos'!J57</f>
        <v>#DIV/0!</v>
      </c>
      <c r="D23" s="155">
        <f>'3-1 organismos'!J58</f>
        <v>0</v>
      </c>
      <c r="E23" s="155">
        <f>'3-1 organismos'!J59</f>
        <v>0</v>
      </c>
      <c r="F23" s="154">
        <f>'3-1 organismos'!J60</f>
        <v>0</v>
      </c>
      <c r="G23" s="148">
        <f t="shared" si="29"/>
        <v>0</v>
      </c>
      <c r="H23" s="154">
        <f>'3-1 organismos'!P62</f>
        <v>95</v>
      </c>
      <c r="N23" s="137">
        <v>2.0</v>
      </c>
      <c r="O23" s="38" t="str">
        <f t="shared" si="20"/>
        <v>ACTIVIDADES ARTÍSTICAS Y CULTURALES III</v>
      </c>
      <c r="P23" s="161">
        <f t="shared" si="21"/>
        <v>92.5</v>
      </c>
      <c r="Q23" s="161" t="str">
        <f t="shared" si="22"/>
        <v>#DIV/0!</v>
      </c>
      <c r="R23" s="161">
        <f t="shared" si="23"/>
        <v>0</v>
      </c>
      <c r="S23" s="162">
        <f t="shared" ref="S23:T23" si="33">E28</f>
        <v>0</v>
      </c>
      <c r="T23" s="161">
        <f t="shared" si="33"/>
        <v>0</v>
      </c>
      <c r="U23" s="137">
        <v>3.0</v>
      </c>
      <c r="V23" s="163">
        <v>46025.0</v>
      </c>
    </row>
    <row r="24">
      <c r="B24" s="150" t="s">
        <v>171</v>
      </c>
      <c r="C24" s="156" t="str">
        <f>'3-1 temas selectos de filosofia'!J57</f>
        <v>#DIV/0!</v>
      </c>
      <c r="D24" s="157">
        <f>'3-1 temas selectos de filosofia'!J58</f>
        <v>0</v>
      </c>
      <c r="E24" s="157">
        <f>'3-1 temas selectos de filosofia'!J59</f>
        <v>0</v>
      </c>
      <c r="F24" s="156">
        <f>'3-1 temas selectos de filosofia'!J60</f>
        <v>0</v>
      </c>
      <c r="G24" s="148">
        <f t="shared" si="29"/>
        <v>0</v>
      </c>
      <c r="H24" s="156">
        <f>'3-1 temas selectos de filosofia'!P62</f>
        <v>96</v>
      </c>
      <c r="N24" s="137">
        <v>2.0</v>
      </c>
      <c r="O24" s="38" t="str">
        <f t="shared" si="20"/>
        <v>PRÁCTICA Y COLABORACIÓN CIUDADANA II</v>
      </c>
      <c r="P24" s="161">
        <f t="shared" si="21"/>
        <v>92.5</v>
      </c>
      <c r="Q24" s="161" t="str">
        <f t="shared" si="22"/>
        <v>#DIV/0!</v>
      </c>
      <c r="R24" s="161">
        <f t="shared" si="23"/>
        <v>0</v>
      </c>
      <c r="S24" s="162">
        <f t="shared" ref="S24:T24" si="34">E29</f>
        <v>0</v>
      </c>
      <c r="T24" s="161">
        <f t="shared" si="34"/>
        <v>0</v>
      </c>
      <c r="U24" s="137">
        <v>3.0</v>
      </c>
      <c r="V24" s="163">
        <v>46025.0</v>
      </c>
    </row>
    <row r="25">
      <c r="B25" s="153" t="s">
        <v>192</v>
      </c>
      <c r="C25" s="154" t="str">
        <f>'3-1 diseño digital'!J57</f>
        <v>#DIV/0!</v>
      </c>
      <c r="D25" s="155">
        <f>'3-1 diseño digital'!J58</f>
        <v>0</v>
      </c>
      <c r="E25" s="155">
        <f>'3-1 diseño digital'!J59</f>
        <v>0</v>
      </c>
      <c r="F25" s="154">
        <f>'3-1 diseño digital'!J60</f>
        <v>0</v>
      </c>
      <c r="G25" s="148">
        <f t="shared" si="29"/>
        <v>0</v>
      </c>
      <c r="H25" s="154">
        <f>'3-1 diseño digital'!P62</f>
        <v>94</v>
      </c>
      <c r="N25" s="137">
        <v>2.0</v>
      </c>
      <c r="O25" s="38" t="str">
        <f t="shared" si="20"/>
        <v>TEMAS SELECTOS DE IGUALDAD Y DERECHOS HUMANOS VI </v>
      </c>
      <c r="P25" s="161">
        <f t="shared" si="21"/>
        <v>92.5</v>
      </c>
      <c r="Q25" s="161" t="str">
        <f t="shared" si="22"/>
        <v>#DIV/0!</v>
      </c>
      <c r="R25" s="161">
        <f t="shared" si="23"/>
        <v>0</v>
      </c>
      <c r="S25" s="162">
        <f t="shared" ref="S25:T25" si="35">E30</f>
        <v>0</v>
      </c>
      <c r="T25" s="161">
        <f t="shared" si="35"/>
        <v>0</v>
      </c>
      <c r="U25" s="137">
        <v>3.0</v>
      </c>
      <c r="V25" s="163">
        <v>46025.0</v>
      </c>
    </row>
    <row r="26">
      <c r="B26" s="150" t="s">
        <v>173</v>
      </c>
      <c r="C26" s="156" t="str">
        <f>'3-1 economia i'!J57</f>
        <v>#DIV/0!</v>
      </c>
      <c r="D26" s="157">
        <f>'3-1 economia i'!J58</f>
        <v>0</v>
      </c>
      <c r="E26" s="157">
        <f>'3-1 economia i'!J59</f>
        <v>0</v>
      </c>
      <c r="F26" s="156">
        <f>'3-1 economia i'!J60</f>
        <v>0</v>
      </c>
      <c r="G26" s="148">
        <f t="shared" si="29"/>
        <v>0</v>
      </c>
      <c r="H26" s="156">
        <f>'3-1 economia i'!P62</f>
        <v>95</v>
      </c>
      <c r="N26" s="142">
        <v>3.0</v>
      </c>
      <c r="O26" s="143" t="str">
        <f t="shared" ref="O26:O37" si="37">B36</f>
        <v>CIENCIAS DE LA COMUNICACIÓN I</v>
      </c>
      <c r="P26" s="144">
        <f t="shared" ref="P26:P37" si="38">H36</f>
        <v>99</v>
      </c>
      <c r="Q26" s="144" t="str">
        <f t="shared" ref="Q26:Q37" si="39">C36</f>
        <v>#DIV/0!</v>
      </c>
      <c r="R26" s="144">
        <f t="shared" ref="R26:R37" si="40">G36</f>
        <v>0</v>
      </c>
      <c r="S26" s="145">
        <f t="shared" ref="S26:T26" si="36">E36</f>
        <v>0</v>
      </c>
      <c r="T26" s="167">
        <f t="shared" si="36"/>
        <v>0</v>
      </c>
      <c r="U26" s="142">
        <v>3.0</v>
      </c>
      <c r="V26" s="146">
        <v>46025.0</v>
      </c>
    </row>
    <row r="27">
      <c r="B27" s="153" t="s">
        <v>174</v>
      </c>
      <c r="C27" s="154" t="str">
        <f>'3-1 paginas web'!J57</f>
        <v>#DIV/0!</v>
      </c>
      <c r="D27" s="155">
        <f>'3-1 paginas web'!J58</f>
        <v>0</v>
      </c>
      <c r="E27" s="155">
        <f>'3-1 paginas web'!J59</f>
        <v>0</v>
      </c>
      <c r="F27" s="154">
        <f>'3-1 paginas web'!J60</f>
        <v>0</v>
      </c>
      <c r="G27" s="148">
        <f t="shared" si="29"/>
        <v>0</v>
      </c>
      <c r="H27" s="154">
        <f>'3-1 paginas web'!P62</f>
        <v>94.54545455</v>
      </c>
      <c r="N27" s="142">
        <v>3.0</v>
      </c>
      <c r="O27" s="143" t="str">
        <f t="shared" si="37"/>
        <v>TEMAS SELECTOS DE INGLÉS II</v>
      </c>
      <c r="P27" s="144">
        <f t="shared" si="38"/>
        <v>99</v>
      </c>
      <c r="Q27" s="144" t="str">
        <f t="shared" si="39"/>
        <v>#DIV/0!</v>
      </c>
      <c r="R27" s="144">
        <f t="shared" si="40"/>
        <v>0</v>
      </c>
      <c r="S27" s="145">
        <f t="shared" ref="S27:T27" si="41">E37</f>
        <v>0</v>
      </c>
      <c r="T27" s="167">
        <f t="shared" si="41"/>
        <v>0</v>
      </c>
      <c r="U27" s="142">
        <v>3.0</v>
      </c>
      <c r="V27" s="146">
        <v>46025.0</v>
      </c>
    </row>
    <row r="28">
      <c r="B28" s="150" t="s">
        <v>175</v>
      </c>
      <c r="C28" s="156" t="str">
        <f>'3-1 actividades artisticas y cu'!J57</f>
        <v>#DIV/0!</v>
      </c>
      <c r="D28" s="157">
        <f>'3-1 actividades artisticas y cu'!J58</f>
        <v>0</v>
      </c>
      <c r="E28" s="157">
        <f>'3-1 actividades artisticas y cu'!J59</f>
        <v>0</v>
      </c>
      <c r="F28" s="156">
        <f>'3-1 actividades artisticas y cu'!J60</f>
        <v>0</v>
      </c>
      <c r="G28" s="148">
        <f t="shared" si="29"/>
        <v>0</v>
      </c>
      <c r="H28" s="156">
        <f>'3-1 actividades artisticas y cu'!P62</f>
        <v>92.5</v>
      </c>
      <c r="N28" s="142">
        <v>3.0</v>
      </c>
      <c r="O28" s="143" t="str">
        <f t="shared" si="37"/>
        <v>TEMAS SELECTOS DE MATEMÁTICAS II</v>
      </c>
      <c r="P28" s="144">
        <f t="shared" si="38"/>
        <v>99</v>
      </c>
      <c r="Q28" s="144" t="str">
        <f t="shared" si="39"/>
        <v>#DIV/0!</v>
      </c>
      <c r="R28" s="144">
        <f t="shared" si="40"/>
        <v>0</v>
      </c>
      <c r="S28" s="145">
        <f t="shared" ref="S28:T28" si="42">E38</f>
        <v>0</v>
      </c>
      <c r="T28" s="167">
        <f t="shared" si="42"/>
        <v>0</v>
      </c>
      <c r="U28" s="142">
        <v>3.0</v>
      </c>
      <c r="V28" s="146">
        <v>46025.0</v>
      </c>
    </row>
    <row r="29">
      <c r="B29" s="158" t="s">
        <v>176</v>
      </c>
      <c r="C29" s="159" t="str">
        <f>'3-1 practica y colaboracion ciu'!J57</f>
        <v>#DIV/0!</v>
      </c>
      <c r="D29" s="160">
        <f>'3-1 practica y colaboracion ciu'!J58</f>
        <v>0</v>
      </c>
      <c r="E29" s="160">
        <f>'3-1 practica y colaboracion ciu'!J59</f>
        <v>0</v>
      </c>
      <c r="F29" s="159">
        <f>'3-1 practica y colaboracion ciu'!J60</f>
        <v>0</v>
      </c>
      <c r="G29" s="148">
        <f t="shared" si="29"/>
        <v>0</v>
      </c>
      <c r="H29" s="159">
        <f>'3-1 practica y colaboracion ciu'!P62</f>
        <v>92.5</v>
      </c>
      <c r="N29" s="142">
        <v>3.0</v>
      </c>
      <c r="O29" s="143" t="str">
        <f t="shared" si="37"/>
        <v>CONCIENCIA HISTORICA III</v>
      </c>
      <c r="P29" s="144">
        <f t="shared" si="38"/>
        <v>96.66666667</v>
      </c>
      <c r="Q29" s="144" t="str">
        <f t="shared" si="39"/>
        <v>#DIV/0!</v>
      </c>
      <c r="R29" s="144">
        <f t="shared" si="40"/>
        <v>0</v>
      </c>
      <c r="S29" s="145">
        <f t="shared" ref="S29:T29" si="43">E39</f>
        <v>0</v>
      </c>
      <c r="T29" s="167">
        <f t="shared" si="43"/>
        <v>0</v>
      </c>
      <c r="U29" s="142">
        <v>3.0</v>
      </c>
      <c r="V29" s="146">
        <v>46025.0</v>
      </c>
    </row>
    <row r="30">
      <c r="B30" s="150" t="s">
        <v>193</v>
      </c>
      <c r="C30" s="156" t="str">
        <f>'3-1 temas selectos de igualdad '!J57</f>
        <v>#DIV/0!</v>
      </c>
      <c r="D30" s="157">
        <f>'3-1 temas selectos de igualdad '!J58</f>
        <v>0</v>
      </c>
      <c r="E30" s="157">
        <f>'3-1 temas selectos de igualdad '!J59</f>
        <v>0</v>
      </c>
      <c r="F30" s="156">
        <f>'3-1 temas selectos de igualdad '!J60</f>
        <v>0</v>
      </c>
      <c r="G30" s="148">
        <f t="shared" si="29"/>
        <v>0</v>
      </c>
      <c r="H30" s="156">
        <f>'3-1 temas selectos de igualdad '!P62</f>
        <v>92.5</v>
      </c>
      <c r="N30" s="142">
        <v>3.0</v>
      </c>
      <c r="O30" s="143" t="str">
        <f t="shared" si="37"/>
        <v>ORGANISMOS</v>
      </c>
      <c r="P30" s="144">
        <f t="shared" si="38"/>
        <v>95</v>
      </c>
      <c r="Q30" s="144" t="str">
        <f t="shared" si="39"/>
        <v>#DIV/0!</v>
      </c>
      <c r="R30" s="144">
        <f t="shared" si="40"/>
        <v>0</v>
      </c>
      <c r="S30" s="145">
        <f t="shared" ref="S30:T30" si="44">E40</f>
        <v>0</v>
      </c>
      <c r="T30" s="167">
        <f t="shared" si="44"/>
        <v>0</v>
      </c>
      <c r="U30" s="142">
        <v>3.0</v>
      </c>
      <c r="V30" s="146">
        <v>46025.0</v>
      </c>
    </row>
    <row r="31">
      <c r="B31" s="164"/>
      <c r="C31" s="165" t="str">
        <f t="shared" ref="C31:G31" si="45">AVERAGE(C19:C29)</f>
        <v>#DIV/0!</v>
      </c>
      <c r="D31" s="166">
        <f t="shared" si="45"/>
        <v>0</v>
      </c>
      <c r="E31" s="166">
        <f t="shared" si="45"/>
        <v>0</v>
      </c>
      <c r="F31" s="165">
        <f t="shared" si="45"/>
        <v>0</v>
      </c>
      <c r="G31" s="165">
        <f t="shared" si="45"/>
        <v>0</v>
      </c>
      <c r="H31" s="165">
        <f>AVERAGE(H18:H29)</f>
        <v>95.74655647</v>
      </c>
      <c r="N31" s="142">
        <v>3.0</v>
      </c>
      <c r="O31" s="143" t="str">
        <f t="shared" si="37"/>
        <v>TEMAS SELECTOS DE FILOSOFÍA</v>
      </c>
      <c r="P31" s="144">
        <f t="shared" si="38"/>
        <v>96</v>
      </c>
      <c r="Q31" s="144" t="str">
        <f t="shared" si="39"/>
        <v>#DIV/0!</v>
      </c>
      <c r="R31" s="144">
        <f t="shared" si="40"/>
        <v>0</v>
      </c>
      <c r="S31" s="145">
        <f t="shared" ref="S31:T31" si="46">E41</f>
        <v>0</v>
      </c>
      <c r="T31" s="167">
        <f t="shared" si="46"/>
        <v>0</v>
      </c>
      <c r="U31" s="142">
        <v>3.0</v>
      </c>
      <c r="V31" s="146">
        <v>46025.0</v>
      </c>
    </row>
    <row r="32">
      <c r="B32" s="168"/>
      <c r="C32" s="169" t="str">
        <f t="shared" ref="C32:E32" si="47">AVERAGE(C20:C31)</f>
        <v>#DIV/0!</v>
      </c>
      <c r="D32" s="170">
        <f t="shared" si="47"/>
        <v>0</v>
      </c>
      <c r="E32" s="169">
        <f t="shared" si="47"/>
        <v>0</v>
      </c>
      <c r="F32" s="168"/>
      <c r="G32" s="168"/>
      <c r="H32" s="136"/>
      <c r="N32" s="142">
        <v>3.0</v>
      </c>
      <c r="O32" s="143" t="str">
        <f t="shared" si="37"/>
        <v>DISEÑO DIGITAL </v>
      </c>
      <c r="P32" s="144">
        <f t="shared" si="38"/>
        <v>94</v>
      </c>
      <c r="Q32" s="144" t="str">
        <f t="shared" si="39"/>
        <v>#DIV/0!</v>
      </c>
      <c r="R32" s="144">
        <f t="shared" si="40"/>
        <v>0</v>
      </c>
      <c r="S32" s="145">
        <f t="shared" ref="S32:T32" si="48">E42</f>
        <v>0</v>
      </c>
      <c r="T32" s="167">
        <f t="shared" si="48"/>
        <v>0</v>
      </c>
      <c r="U32" s="142">
        <v>3.0</v>
      </c>
      <c r="V32" s="146">
        <v>46025.0</v>
      </c>
    </row>
    <row r="33">
      <c r="H33" s="136"/>
      <c r="N33" s="142">
        <v>3.0</v>
      </c>
      <c r="O33" s="143" t="str">
        <f t="shared" si="37"/>
        <v>ECONOMÍA I</v>
      </c>
      <c r="P33" s="144">
        <f t="shared" si="38"/>
        <v>95</v>
      </c>
      <c r="Q33" s="144" t="str">
        <f t="shared" si="39"/>
        <v>#DIV/0!</v>
      </c>
      <c r="R33" s="144">
        <f t="shared" si="40"/>
        <v>0</v>
      </c>
      <c r="S33" s="145">
        <f t="shared" ref="S33:T33" si="49">E43</f>
        <v>0</v>
      </c>
      <c r="T33" s="167">
        <f t="shared" si="49"/>
        <v>0</v>
      </c>
      <c r="U33" s="142">
        <v>3.0</v>
      </c>
      <c r="V33" s="146">
        <v>46025.0</v>
      </c>
    </row>
    <row r="34">
      <c r="B34" s="134" t="s">
        <v>194</v>
      </c>
      <c r="C34" s="135" t="s">
        <v>179</v>
      </c>
      <c r="D34" s="38">
        <f>'3-1 ciencias de la comunicacion'!H9</f>
        <v>45</v>
      </c>
      <c r="H34" s="136"/>
      <c r="N34" s="142">
        <v>3.0</v>
      </c>
      <c r="O34" s="143" t="str">
        <f t="shared" si="37"/>
        <v>PÁGINAS WEB</v>
      </c>
      <c r="P34" s="144">
        <f t="shared" si="38"/>
        <v>94.54545455</v>
      </c>
      <c r="Q34" s="144" t="str">
        <f t="shared" si="39"/>
        <v>#DIV/0!</v>
      </c>
      <c r="R34" s="144">
        <f t="shared" si="40"/>
        <v>0</v>
      </c>
      <c r="S34" s="145">
        <f t="shared" ref="S34:T34" si="50">E44</f>
        <v>0</v>
      </c>
      <c r="T34" s="167">
        <f t="shared" si="50"/>
        <v>0</v>
      </c>
      <c r="U34" s="142">
        <v>3.0</v>
      </c>
      <c r="V34" s="146">
        <v>46025.0</v>
      </c>
    </row>
    <row r="35">
      <c r="B35" s="139" t="s">
        <v>16</v>
      </c>
      <c r="C35" s="139" t="s">
        <v>188</v>
      </c>
      <c r="D35" s="139" t="s">
        <v>160</v>
      </c>
      <c r="E35" s="140" t="s">
        <v>162</v>
      </c>
      <c r="F35" s="139" t="s">
        <v>189</v>
      </c>
      <c r="G35" s="139" t="s">
        <v>190</v>
      </c>
      <c r="H35" s="141" t="s">
        <v>166</v>
      </c>
      <c r="N35" s="142">
        <v>3.0</v>
      </c>
      <c r="O35" s="143" t="str">
        <f t="shared" si="37"/>
        <v>ACTIVIDADES ARTÍSTICAS Y CULTURALES III</v>
      </c>
      <c r="P35" s="144">
        <f t="shared" si="38"/>
        <v>92.5</v>
      </c>
      <c r="Q35" s="144" t="str">
        <f t="shared" si="39"/>
        <v>#DIV/0!</v>
      </c>
      <c r="R35" s="144">
        <f t="shared" si="40"/>
        <v>0</v>
      </c>
      <c r="S35" s="145">
        <f t="shared" ref="S35:T35" si="51">E45</f>
        <v>0</v>
      </c>
      <c r="T35" s="167">
        <f t="shared" si="51"/>
        <v>0</v>
      </c>
      <c r="U35" s="142">
        <v>3.0</v>
      </c>
      <c r="V35" s="146">
        <v>46025.0</v>
      </c>
    </row>
    <row r="36">
      <c r="B36" s="147" t="s">
        <v>17</v>
      </c>
      <c r="C36" s="148" t="str">
        <f>'3-1 ciencias de la comunicacion'!L57</f>
        <v>#DIV/0!</v>
      </c>
      <c r="D36" s="149">
        <f>'3-1 ciencias de la comunicacion'!L58</f>
        <v>0</v>
      </c>
      <c r="E36" s="149">
        <f>'3-1 ciencias de la comunicacion'!L59</f>
        <v>0</v>
      </c>
      <c r="F36" s="148">
        <f>'3-1 ciencias de la comunicacion'!L60</f>
        <v>0</v>
      </c>
      <c r="G36" s="148">
        <f t="shared" ref="G36:G47" si="53">(E36*100)/$D$1</f>
        <v>0</v>
      </c>
      <c r="H36" s="148">
        <f>'3-1 ciencias de la comunicacion'!P62</f>
        <v>99</v>
      </c>
      <c r="N36" s="142">
        <v>3.0</v>
      </c>
      <c r="O36" s="143" t="str">
        <f t="shared" si="37"/>
        <v>PRÁCTICA Y COLABORACIÓN CIUDADANA II</v>
      </c>
      <c r="P36" s="144">
        <f t="shared" si="38"/>
        <v>92.5</v>
      </c>
      <c r="Q36" s="144" t="str">
        <f t="shared" si="39"/>
        <v>#DIV/0!</v>
      </c>
      <c r="R36" s="144">
        <f t="shared" si="40"/>
        <v>0</v>
      </c>
      <c r="S36" s="145">
        <f t="shared" ref="S36:T36" si="52">E46</f>
        <v>0</v>
      </c>
      <c r="T36" s="167">
        <f t="shared" si="52"/>
        <v>0</v>
      </c>
      <c r="U36" s="142">
        <v>3.0</v>
      </c>
      <c r="V36" s="146">
        <v>46025.0</v>
      </c>
    </row>
    <row r="37">
      <c r="B37" s="150" t="s">
        <v>167</v>
      </c>
      <c r="C37" s="151" t="str">
        <f>'3-1 temas selectos de ingles ii'!L57</f>
        <v>#DIV/0!</v>
      </c>
      <c r="D37" s="152">
        <f>'3-1 temas selectos de ingles ii'!L58</f>
        <v>0</v>
      </c>
      <c r="E37" s="152">
        <f>'3-1 temas selectos de ingles ii'!L59</f>
        <v>0</v>
      </c>
      <c r="F37" s="151">
        <f>'3-1 temas selectos de ingles ii'!L60</f>
        <v>0</v>
      </c>
      <c r="G37" s="148">
        <f t="shared" si="53"/>
        <v>0</v>
      </c>
      <c r="H37" s="151">
        <f>'3-1 temas selectos de ingles ii'!P62</f>
        <v>99</v>
      </c>
      <c r="N37" s="142">
        <v>3.0</v>
      </c>
      <c r="O37" s="143" t="str">
        <f t="shared" si="37"/>
        <v>TEMAS SELECTOS DE IGUALDAD Y DERECHOS HUMANOS VI </v>
      </c>
      <c r="P37" s="144">
        <f t="shared" si="38"/>
        <v>92.5</v>
      </c>
      <c r="Q37" s="144" t="str">
        <f t="shared" si="39"/>
        <v>#DIV/0!</v>
      </c>
      <c r="R37" s="144">
        <f t="shared" si="40"/>
        <v>0</v>
      </c>
      <c r="S37" s="145">
        <f t="shared" ref="S37:T37" si="54">E47</f>
        <v>0</v>
      </c>
      <c r="T37" s="167">
        <f t="shared" si="54"/>
        <v>0</v>
      </c>
      <c r="U37" s="142">
        <v>3.0</v>
      </c>
      <c r="V37" s="146">
        <v>46025.0</v>
      </c>
    </row>
    <row r="38">
      <c r="B38" s="153" t="s">
        <v>168</v>
      </c>
      <c r="C38" s="154" t="str">
        <f>'3-1 temas selectos de matematic'!L57</f>
        <v>#DIV/0!</v>
      </c>
      <c r="D38" s="155">
        <f>'3-1 temas selectos de matematic'!L58</f>
        <v>0</v>
      </c>
      <c r="E38" s="155">
        <f>'3-1 temas selectos de matematic'!L59</f>
        <v>0</v>
      </c>
      <c r="F38" s="154">
        <f>'3-1 temas selectos de matematic'!L60</f>
        <v>0</v>
      </c>
      <c r="G38" s="148">
        <f t="shared" si="53"/>
        <v>0</v>
      </c>
      <c r="H38" s="154">
        <f>'3-1 temas selectos de matematic'!P62</f>
        <v>99</v>
      </c>
    </row>
    <row r="39">
      <c r="B39" s="150" t="s">
        <v>191</v>
      </c>
      <c r="C39" s="156" t="str">
        <f>'3-1 conciencia historica iii'!L57</f>
        <v>#DIV/0!</v>
      </c>
      <c r="D39" s="157">
        <f>'3-1 conciencia historica iii'!L58</f>
        <v>0</v>
      </c>
      <c r="E39" s="157">
        <f>'3-1 conciencia historica iii'!L59</f>
        <v>0</v>
      </c>
      <c r="F39" s="156">
        <f>'3-1 conciencia historica iii'!L60</f>
        <v>0</v>
      </c>
      <c r="G39" s="148">
        <f t="shared" si="53"/>
        <v>0</v>
      </c>
      <c r="H39" s="156">
        <f>'3-1 conciencia historica iii'!P62</f>
        <v>96.66666667</v>
      </c>
    </row>
    <row r="40">
      <c r="B40" s="153" t="s">
        <v>170</v>
      </c>
      <c r="C40" s="154" t="str">
        <f>'3-1 organismos'!L57</f>
        <v>#DIV/0!</v>
      </c>
      <c r="D40" s="155">
        <f>'3-1 organismos'!L58</f>
        <v>0</v>
      </c>
      <c r="E40" s="155">
        <f>'3-1 organismos'!L59</f>
        <v>0</v>
      </c>
      <c r="F40" s="154">
        <f>'3-1 organismos'!L60</f>
        <v>0</v>
      </c>
      <c r="G40" s="148">
        <f t="shared" si="53"/>
        <v>0</v>
      </c>
      <c r="H40" s="154">
        <f>'3-1 organismos'!P62</f>
        <v>95</v>
      </c>
    </row>
    <row r="41">
      <c r="B41" s="150" t="s">
        <v>171</v>
      </c>
      <c r="C41" s="156" t="str">
        <f>'3-1 temas selectos de filosofia'!L57</f>
        <v>#DIV/0!</v>
      </c>
      <c r="D41" s="157">
        <f>'3-1 temas selectos de filosofia'!L58</f>
        <v>0</v>
      </c>
      <c r="E41" s="157">
        <f>'3-1 temas selectos de filosofia'!L59</f>
        <v>0</v>
      </c>
      <c r="F41" s="156">
        <f>'3-1 temas selectos de filosofia'!L60</f>
        <v>0</v>
      </c>
      <c r="G41" s="148">
        <f t="shared" si="53"/>
        <v>0</v>
      </c>
      <c r="H41" s="156">
        <f>'3-1 temas selectos de filosofia'!P62</f>
        <v>96</v>
      </c>
    </row>
    <row r="42">
      <c r="B42" s="153" t="s">
        <v>192</v>
      </c>
      <c r="C42" s="154" t="str">
        <f>'3-1 diseño digital'!L57</f>
        <v>#DIV/0!</v>
      </c>
      <c r="D42" s="155">
        <f>'3-1 diseño digital'!L58</f>
        <v>0</v>
      </c>
      <c r="E42" s="155">
        <f>'3-1 diseño digital'!L59</f>
        <v>0</v>
      </c>
      <c r="F42" s="154">
        <f>'3-1 diseño digital'!L60</f>
        <v>0</v>
      </c>
      <c r="G42" s="148">
        <f t="shared" si="53"/>
        <v>0</v>
      </c>
      <c r="H42" s="154">
        <f>'3-1 diseño digital'!P62</f>
        <v>94</v>
      </c>
    </row>
    <row r="43">
      <c r="B43" s="150" t="s">
        <v>173</v>
      </c>
      <c r="C43" s="156" t="str">
        <f>'3-1 economia i'!L57</f>
        <v>#DIV/0!</v>
      </c>
      <c r="D43" s="157">
        <f>'3-1 economia i'!L58</f>
        <v>0</v>
      </c>
      <c r="E43" s="157">
        <f>'3-1 economia i'!L59</f>
        <v>0</v>
      </c>
      <c r="F43" s="156">
        <f>'3-1 economia i'!L60</f>
        <v>0</v>
      </c>
      <c r="G43" s="148">
        <f t="shared" si="53"/>
        <v>0</v>
      </c>
      <c r="H43" s="156">
        <f>'3-1 economia i'!P62</f>
        <v>95</v>
      </c>
    </row>
    <row r="44">
      <c r="B44" s="153" t="s">
        <v>174</v>
      </c>
      <c r="C44" s="154" t="str">
        <f>'3-1 paginas web'!L57</f>
        <v>#DIV/0!</v>
      </c>
      <c r="D44" s="155">
        <f>'3-1 paginas web'!L58</f>
        <v>0</v>
      </c>
      <c r="E44" s="155">
        <f>'3-1 paginas web'!L59</f>
        <v>0</v>
      </c>
      <c r="F44" s="154">
        <f>'3-1 paginas web'!L60</f>
        <v>0</v>
      </c>
      <c r="G44" s="148">
        <f t="shared" si="53"/>
        <v>0</v>
      </c>
      <c r="H44" s="154">
        <f>'3-1 paginas web'!P62</f>
        <v>94.54545455</v>
      </c>
    </row>
    <row r="45">
      <c r="B45" s="150" t="s">
        <v>175</v>
      </c>
      <c r="C45" s="156" t="str">
        <f>'3-1 actividades artisticas y cu'!L57</f>
        <v>#DIV/0!</v>
      </c>
      <c r="D45" s="157">
        <f>'3-1 actividades artisticas y cu'!L58</f>
        <v>0</v>
      </c>
      <c r="E45" s="157">
        <f>'3-1 actividades artisticas y cu'!L59</f>
        <v>0</v>
      </c>
      <c r="F45" s="156">
        <f>'3-1 actividades artisticas y cu'!L60</f>
        <v>0</v>
      </c>
      <c r="G45" s="148">
        <f t="shared" si="53"/>
        <v>0</v>
      </c>
      <c r="H45" s="156">
        <f>'3-1 actividades artisticas y cu'!P62</f>
        <v>92.5</v>
      </c>
    </row>
    <row r="46">
      <c r="B46" s="158" t="s">
        <v>176</v>
      </c>
      <c r="C46" s="159" t="str">
        <f>'3-1 practica y colaboracion ciu'!L57</f>
        <v>#DIV/0!</v>
      </c>
      <c r="D46" s="160">
        <f>'3-1 practica y colaboracion ciu'!L58</f>
        <v>0</v>
      </c>
      <c r="E46" s="160">
        <f>'3-1 practica y colaboracion ciu'!L59</f>
        <v>0</v>
      </c>
      <c r="F46" s="159">
        <f>'3-1 practica y colaboracion ciu'!L60</f>
        <v>0</v>
      </c>
      <c r="G46" s="148">
        <f t="shared" si="53"/>
        <v>0</v>
      </c>
      <c r="H46" s="159">
        <f>'3-1 practica y colaboracion ciu'!P62</f>
        <v>92.5</v>
      </c>
    </row>
    <row r="47">
      <c r="B47" s="150" t="s">
        <v>193</v>
      </c>
      <c r="C47" s="156" t="str">
        <f>'3-1 temas selectos de igualdad '!L57</f>
        <v>#DIV/0!</v>
      </c>
      <c r="D47" s="157">
        <f>'3-1 temas selectos de igualdad '!L58</f>
        <v>0</v>
      </c>
      <c r="E47" s="157">
        <f>'3-1 temas selectos de igualdad '!L59</f>
        <v>0</v>
      </c>
      <c r="F47" s="156">
        <f>'3-1 temas selectos de igualdad '!L60</f>
        <v>0</v>
      </c>
      <c r="G47" s="148">
        <f t="shared" si="53"/>
        <v>0</v>
      </c>
      <c r="H47" s="156">
        <f>'3-1 temas selectos de igualdad '!P62</f>
        <v>92.5</v>
      </c>
    </row>
    <row r="48">
      <c r="B48" s="164"/>
      <c r="C48" s="165" t="str">
        <f t="shared" ref="C48:G48" si="55">AVERAGE(C36:C46)</f>
        <v>#DIV/0!</v>
      </c>
      <c r="D48" s="166">
        <f t="shared" si="55"/>
        <v>0</v>
      </c>
      <c r="E48" s="166">
        <f t="shared" si="55"/>
        <v>0</v>
      </c>
      <c r="F48" s="165">
        <f t="shared" si="55"/>
        <v>0</v>
      </c>
      <c r="G48" s="165">
        <f t="shared" si="55"/>
        <v>0</v>
      </c>
      <c r="H48" s="165">
        <f>AVERAGE(H35:H46)</f>
        <v>95.74655647</v>
      </c>
    </row>
    <row r="49">
      <c r="H49" s="136"/>
    </row>
    <row r="50">
      <c r="B50" s="134" t="s">
        <v>195</v>
      </c>
      <c r="C50" s="135" t="s">
        <v>179</v>
      </c>
      <c r="D50" s="38">
        <f>'3-1 ciencias de la comunicacion'!H9</f>
        <v>45</v>
      </c>
      <c r="H50" s="136"/>
    </row>
    <row r="51">
      <c r="B51" s="139" t="s">
        <v>16</v>
      </c>
      <c r="C51" s="139" t="s">
        <v>188</v>
      </c>
      <c r="D51" s="139" t="s">
        <v>160</v>
      </c>
      <c r="E51" s="140" t="s">
        <v>162</v>
      </c>
      <c r="F51" s="139" t="s">
        <v>189</v>
      </c>
      <c r="G51" s="139" t="s">
        <v>190</v>
      </c>
      <c r="H51" s="141" t="s">
        <v>166</v>
      </c>
    </row>
    <row r="52">
      <c r="B52" s="147" t="s">
        <v>196</v>
      </c>
      <c r="C52" s="148">
        <f>'3-1 ciencias de la comunicacion'!P57</f>
        <v>8.833333333</v>
      </c>
      <c r="D52" s="149">
        <f>'3-1 ciencias de la comunicacion'!P58</f>
        <v>40</v>
      </c>
      <c r="E52" s="149">
        <f>'3-1 ciencias de la comunicacion'!P59</f>
        <v>5</v>
      </c>
      <c r="F52" s="148">
        <f>'3-1 ciencias de la comunicacion'!P60</f>
        <v>88.88888889</v>
      </c>
      <c r="G52" s="148">
        <f t="shared" ref="G52:G63" si="56">(E52*100)/$D$1</f>
        <v>11.11111111</v>
      </c>
      <c r="H52" s="148">
        <f>'3-1 ciencias de la comunicacion'!P62</f>
        <v>99</v>
      </c>
    </row>
    <row r="53">
      <c r="B53" s="150" t="s">
        <v>197</v>
      </c>
      <c r="C53" s="151">
        <f>'3-1 temas selectos de ingles ii'!P57</f>
        <v>8.833333333</v>
      </c>
      <c r="D53" s="152">
        <f>'3-1 temas selectos de ingles ii'!P58</f>
        <v>40</v>
      </c>
      <c r="E53" s="152">
        <f>'3-1 temas selectos de ingles ii'!P59</f>
        <v>5</v>
      </c>
      <c r="F53" s="151">
        <f>'3-1 temas selectos de ingles ii'!P60</f>
        <v>88.88888889</v>
      </c>
      <c r="G53" s="148">
        <f t="shared" si="56"/>
        <v>11.11111111</v>
      </c>
      <c r="H53" s="151">
        <f>'3-1 temas selectos de ingles ii'!P62</f>
        <v>99</v>
      </c>
    </row>
    <row r="54">
      <c r="B54" s="153" t="s">
        <v>198</v>
      </c>
      <c r="C54" s="154">
        <f>'3-1 temas selectos de matematic'!P57</f>
        <v>8.833333333</v>
      </c>
      <c r="D54" s="155">
        <f>'3-1 temas selectos de matematic'!P58</f>
        <v>40</v>
      </c>
      <c r="E54" s="155">
        <f>'3-1 temas selectos de matematic'!P59</f>
        <v>5</v>
      </c>
      <c r="F54" s="154">
        <f>'3-1 temas selectos de matematic'!P60</f>
        <v>88.88888889</v>
      </c>
      <c r="G54" s="148">
        <f t="shared" si="56"/>
        <v>11.11111111</v>
      </c>
      <c r="H54" s="154">
        <f>'3-1 temas selectos de matematic'!P62</f>
        <v>99</v>
      </c>
    </row>
    <row r="55">
      <c r="B55" s="150" t="s">
        <v>199</v>
      </c>
      <c r="C55" s="156">
        <f>'3-1 conciencia historica iii'!P57</f>
        <v>7.829787234</v>
      </c>
      <c r="D55" s="157">
        <f>'3-1 conciencia historica iii'!P58</f>
        <v>40</v>
      </c>
      <c r="E55" s="157">
        <f>'3-1 conciencia historica iii'!P59</f>
        <v>5</v>
      </c>
      <c r="F55" s="156">
        <f>'3-1 conciencia historica iii'!P60</f>
        <v>88.88888889</v>
      </c>
      <c r="G55" s="148">
        <f t="shared" si="56"/>
        <v>11.11111111</v>
      </c>
      <c r="H55" s="156">
        <f>'3-1 conciencia historica iii'!P62</f>
        <v>96.66666667</v>
      </c>
    </row>
    <row r="56">
      <c r="B56" s="153" t="s">
        <v>200</v>
      </c>
      <c r="C56" s="154">
        <f>'3-1 organismos'!P57</f>
        <v>7.70212766</v>
      </c>
      <c r="D56" s="155">
        <f>'3-1 organismos'!P58</f>
        <v>40</v>
      </c>
      <c r="E56" s="155">
        <f>'3-1 organismos'!P59</f>
        <v>5</v>
      </c>
      <c r="F56" s="154">
        <f>'3-1 organismos'!P60</f>
        <v>88.88888889</v>
      </c>
      <c r="G56" s="148">
        <f t="shared" si="56"/>
        <v>11.11111111</v>
      </c>
      <c r="H56" s="154">
        <f>'3-1 organismos'!P62</f>
        <v>95</v>
      </c>
    </row>
    <row r="57">
      <c r="B57" s="150" t="s">
        <v>201</v>
      </c>
      <c r="C57" s="156">
        <f>'3-1 temas selectos de filosofia'!P57</f>
        <v>7.765957447</v>
      </c>
      <c r="D57" s="157">
        <f>'3-1 temas selectos de filosofia'!P58</f>
        <v>40</v>
      </c>
      <c r="E57" s="157">
        <f>'3-1 temas selectos de filosofia'!P59</f>
        <v>5</v>
      </c>
      <c r="F57" s="156">
        <f>'3-1 temas selectos de filosofia'!P60</f>
        <v>88.88888889</v>
      </c>
      <c r="G57" s="148">
        <f t="shared" si="56"/>
        <v>11.11111111</v>
      </c>
      <c r="H57" s="156">
        <f>'3-1 temas selectos de filosofia'!P62</f>
        <v>96</v>
      </c>
    </row>
    <row r="58">
      <c r="B58" s="153" t="s">
        <v>202</v>
      </c>
      <c r="C58" s="154">
        <f>'3-1 diseño digital'!P57</f>
        <v>7.659574468</v>
      </c>
      <c r="D58" s="155">
        <f>'3-1 diseño digital'!P58</f>
        <v>40</v>
      </c>
      <c r="E58" s="155">
        <f>'3-1 diseño digital'!P59</f>
        <v>5</v>
      </c>
      <c r="F58" s="154">
        <f>'3-1 diseño digital'!P60</f>
        <v>88.88888889</v>
      </c>
      <c r="G58" s="148">
        <f t="shared" si="56"/>
        <v>11.11111111</v>
      </c>
      <c r="H58" s="154">
        <f>'3-1 diseño digital'!P62</f>
        <v>94</v>
      </c>
    </row>
    <row r="59">
      <c r="B59" s="150" t="s">
        <v>203</v>
      </c>
      <c r="C59" s="156">
        <f>'3-1 economia i'!P57</f>
        <v>7.70212766</v>
      </c>
      <c r="D59" s="157">
        <f>'3-1 economia i'!P58</f>
        <v>40</v>
      </c>
      <c r="E59" s="157">
        <f>'3-1 economia i'!P59</f>
        <v>5</v>
      </c>
      <c r="F59" s="156">
        <f>'3-1 economia i'!P60</f>
        <v>88.88888889</v>
      </c>
      <c r="G59" s="148">
        <f t="shared" si="56"/>
        <v>11.11111111</v>
      </c>
      <c r="H59" s="156">
        <f>'3-1 economia i'!P62</f>
        <v>95</v>
      </c>
    </row>
    <row r="60">
      <c r="B60" s="153" t="s">
        <v>204</v>
      </c>
      <c r="C60" s="154">
        <f>'3-1 paginas web'!P57</f>
        <v>7.680851064</v>
      </c>
      <c r="D60" s="155">
        <f>'3-1 paginas web'!P58</f>
        <v>40</v>
      </c>
      <c r="E60" s="155">
        <f>'3-1 paginas web'!P59</f>
        <v>5</v>
      </c>
      <c r="F60" s="154">
        <f>'3-1 paginas web'!P60</f>
        <v>88.88888889</v>
      </c>
      <c r="G60" s="148">
        <f t="shared" si="56"/>
        <v>11.11111111</v>
      </c>
      <c r="H60" s="154">
        <f>'3-1 paginas web'!P62</f>
        <v>94.54545455</v>
      </c>
    </row>
    <row r="61">
      <c r="B61" s="150" t="s">
        <v>205</v>
      </c>
      <c r="C61" s="156">
        <f>'3-1 actividades artisticas y cu'!P57</f>
        <v>7.5625</v>
      </c>
      <c r="D61" s="157">
        <f>'3-1 actividades artisticas y cu'!P58</f>
        <v>40</v>
      </c>
      <c r="E61" s="157">
        <f>'3-1 actividades artisticas y cu'!P59</f>
        <v>5</v>
      </c>
      <c r="F61" s="156">
        <f>'3-1 actividades artisticas y cu'!P60</f>
        <v>88.88888889</v>
      </c>
      <c r="G61" s="148">
        <f t="shared" si="56"/>
        <v>11.11111111</v>
      </c>
      <c r="H61" s="156">
        <f>'3-1 actividades artisticas y cu'!P62</f>
        <v>92.5</v>
      </c>
    </row>
    <row r="62">
      <c r="B62" s="158" t="s">
        <v>206</v>
      </c>
      <c r="C62" s="159">
        <f>'3-1 practica y colaboracion ciu'!P57</f>
        <v>7.5625</v>
      </c>
      <c r="D62" s="160">
        <f>'3-1 practica y colaboracion ciu'!P58</f>
        <v>40</v>
      </c>
      <c r="E62" s="160">
        <f>'3-1 practica y colaboracion ciu'!P59</f>
        <v>5</v>
      </c>
      <c r="F62" s="159">
        <f>'3-1 practica y colaboracion ciu'!P60</f>
        <v>88.88888889</v>
      </c>
      <c r="G62" s="148">
        <f t="shared" si="56"/>
        <v>11.11111111</v>
      </c>
      <c r="H62" s="159">
        <f>'3-1 practica y colaboracion ciu'!P62</f>
        <v>92.5</v>
      </c>
    </row>
    <row r="63">
      <c r="B63" s="150" t="s">
        <v>207</v>
      </c>
      <c r="C63" s="156">
        <f>'3-1 temas selectos de igualdad '!P57</f>
        <v>7.5625</v>
      </c>
      <c r="D63" s="157">
        <f>'3-1 temas selectos de igualdad '!P58</f>
        <v>40</v>
      </c>
      <c r="E63" s="157">
        <f>'3-1 temas selectos de igualdad '!P59</f>
        <v>5</v>
      </c>
      <c r="F63" s="156">
        <f>'3-1 temas selectos de igualdad '!P60</f>
        <v>88.88888889</v>
      </c>
      <c r="G63" s="148">
        <f t="shared" si="56"/>
        <v>11.11111111</v>
      </c>
      <c r="H63" s="156">
        <f>'3-1 temas selectos de igualdad '!P62</f>
        <v>92.5</v>
      </c>
    </row>
    <row r="64">
      <c r="B64" s="164"/>
      <c r="C64" s="165">
        <f t="shared" ref="C64:G64" si="57">AVERAGE(C52:C62)</f>
        <v>7.996856867</v>
      </c>
      <c r="D64" s="166">
        <f t="shared" si="57"/>
        <v>40</v>
      </c>
      <c r="E64" s="166">
        <f t="shared" si="57"/>
        <v>5</v>
      </c>
      <c r="F64" s="165">
        <f t="shared" si="57"/>
        <v>88.88888889</v>
      </c>
      <c r="G64" s="165">
        <f t="shared" si="57"/>
        <v>11.11111111</v>
      </c>
      <c r="H64" s="165">
        <f>AVERAGE(H51:H62)</f>
        <v>95.74655647</v>
      </c>
    </row>
  </sheetData>
  <conditionalFormatting sqref="C3:C15 D3:H14 C19:C31 D19:H30 C36:C48 D36:H47 C51:C64 D52:H63">
    <cfRule type="cellIs" dxfId="0" priority="1" operator="lessThan">
      <formula>8.3</formula>
    </cfRule>
  </conditionalFormatting>
  <conditionalFormatting sqref="F3:F15 F19:F31 F36:F48 F51:F64 H51:H61">
    <cfRule type="cellIs" dxfId="0" priority="2" operator="lessThan">
      <formula>86</formula>
    </cfRule>
  </conditionalFormatting>
  <conditionalFormatting sqref="G3:G15 G19:G31 G36:G48 G51:G64">
    <cfRule type="cellIs" dxfId="0" priority="3" operator="greaterThanOrEqual">
      <formula>14</formula>
    </cfRule>
  </conditionalFormatting>
  <drawing r:id="rId1"/>
</worksheet>
</file>