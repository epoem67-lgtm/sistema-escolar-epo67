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-1 pensamiento literario" sheetId="1" r:id="rId5"/>
    <sheet state="visible" name="2-2 pensamiento literario" sheetId="2" r:id="rId6"/>
    <sheet state="visible" name="2-3 pensamiento literario" sheetId="3" r:id="rId7"/>
  </sheets>
  <definedNames/>
  <calcPr/>
</workbook>
</file>

<file path=xl/sharedStrings.xml><?xml version="1.0" encoding="utf-8"?>
<sst xmlns="http://schemas.openxmlformats.org/spreadsheetml/2006/main" count="567" uniqueCount="345">
  <si>
    <t>ESCUELA PREPARATORIA OFICIAL NÚM. 67</t>
  </si>
  <si>
    <t xml:space="preserve">CONTROL PRIMER PARCIAL </t>
  </si>
  <si>
    <t xml:space="preserve">PROFESOR (A): </t>
  </si>
  <si>
    <t>IVONNEGABRIELA CEDILLO POLO</t>
  </si>
  <si>
    <t>II</t>
  </si>
  <si>
    <t>III</t>
  </si>
  <si>
    <t>PUNTAJE EXTRA</t>
  </si>
  <si>
    <t>CUARTO SEMESTRE
MATUTINO</t>
  </si>
  <si>
    <t>UAC</t>
  </si>
  <si>
    <t>PENSAMIENTO LITERARIO</t>
  </si>
  <si>
    <t>Evaluación continua 80%</t>
  </si>
  <si>
    <t>Transversal 20%</t>
  </si>
  <si>
    <t>GRADO</t>
  </si>
  <si>
    <t>2°</t>
  </si>
  <si>
    <t>GRUPO</t>
  </si>
  <si>
    <t>No.</t>
  </si>
  <si>
    <t>NOMBRE DEL ALUMNO</t>
  </si>
  <si>
    <t>Suma</t>
  </si>
  <si>
    <t>Faltas</t>
  </si>
  <si>
    <t>Calificación Definitiva</t>
  </si>
  <si>
    <t>FIRMA</t>
  </si>
  <si>
    <t>ALONSO</t>
  </si>
  <si>
    <t>GARCIA</t>
  </si>
  <si>
    <t>PALOMA</t>
  </si>
  <si>
    <t>HORAS IMPARTIDAS</t>
  </si>
  <si>
    <t>ALVARADO</t>
  </si>
  <si>
    <t>TORRES</t>
  </si>
  <si>
    <t>VALERIA</t>
  </si>
  <si>
    <t>Febrero</t>
  </si>
  <si>
    <t>BAZA</t>
  </si>
  <si>
    <t>FLORES</t>
  </si>
  <si>
    <t>LANDER</t>
  </si>
  <si>
    <t>Marzo</t>
  </si>
  <si>
    <t>BENITEZ</t>
  </si>
  <si>
    <t>LUCIA CAROLINA</t>
  </si>
  <si>
    <t>Abril</t>
  </si>
  <si>
    <t>CALLEJAS</t>
  </si>
  <si>
    <t>HERNANDEZ</t>
  </si>
  <si>
    <t>ARANZA MONSERRAT</t>
  </si>
  <si>
    <t>Mayo</t>
  </si>
  <si>
    <t>CANO</t>
  </si>
  <si>
    <t>LOPEZ</t>
  </si>
  <si>
    <t>GIOVANNI</t>
  </si>
  <si>
    <t>Junio</t>
  </si>
  <si>
    <t>CERVANTES</t>
  </si>
  <si>
    <t>GARCÍA</t>
  </si>
  <si>
    <t>AURA FERNADA</t>
  </si>
  <si>
    <t>Julio</t>
  </si>
  <si>
    <t>CHACALCO</t>
  </si>
  <si>
    <t>TREJO</t>
  </si>
  <si>
    <t>FRANCISCO RENEE</t>
  </si>
  <si>
    <t>TOTAL</t>
  </si>
  <si>
    <t>CONTRERAS</t>
  </si>
  <si>
    <t>NATALIA</t>
  </si>
  <si>
    <t>DIAZ</t>
  </si>
  <si>
    <t>SANCHEZ</t>
  </si>
  <si>
    <t>CHRISTIAN OMAR</t>
  </si>
  <si>
    <t>MONZALVO</t>
  </si>
  <si>
    <t>LEONARDO DAVID</t>
  </si>
  <si>
    <t>CERINO</t>
  </si>
  <si>
    <t>RODRIGO EMMANUEL</t>
  </si>
  <si>
    <t>GONZALEZ</t>
  </si>
  <si>
    <t>MAURICIO</t>
  </si>
  <si>
    <t>RUIZ</t>
  </si>
  <si>
    <t>ALISSON AILEEN</t>
  </si>
  <si>
    <t>SORIA</t>
  </si>
  <si>
    <t>GUEVARA</t>
  </si>
  <si>
    <t>MOJICA</t>
  </si>
  <si>
    <t>CARLO YESHUA</t>
  </si>
  <si>
    <t>LIAHUT</t>
  </si>
  <si>
    <t>TINAJERO</t>
  </si>
  <si>
    <t>INGRID MAYTHE</t>
  </si>
  <si>
    <t>PADILLA</t>
  </si>
  <si>
    <t>BENJAMIN</t>
  </si>
  <si>
    <t>SANTOS</t>
  </si>
  <si>
    <t>CAROLINA</t>
  </si>
  <si>
    <t>MACIAS</t>
  </si>
  <si>
    <t>CORONA</t>
  </si>
  <si>
    <t>MONICA REGINA</t>
  </si>
  <si>
    <t>MARTINEZ</t>
  </si>
  <si>
    <t>ALDO KARIM</t>
  </si>
  <si>
    <t>PEREZ</t>
  </si>
  <si>
    <t>SANTIAGO ALDHAIR</t>
  </si>
  <si>
    <t>SALGADO</t>
  </si>
  <si>
    <t>LUIS ALBERTO</t>
  </si>
  <si>
    <t>MATA</t>
  </si>
  <si>
    <t>SANTIAGO</t>
  </si>
  <si>
    <t>MONDRAGON</t>
  </si>
  <si>
    <t>ALVAREZ</t>
  </si>
  <si>
    <t>EDUARDO FELIPE</t>
  </si>
  <si>
    <t>MORALES</t>
  </si>
  <si>
    <t>BARRAGAN</t>
  </si>
  <si>
    <t>REYES</t>
  </si>
  <si>
    <t>FRIDA NAOMY</t>
  </si>
  <si>
    <t>MUÑOZ</t>
  </si>
  <si>
    <t>HERIBERTO</t>
  </si>
  <si>
    <t>PLATA</t>
  </si>
  <si>
    <t>CLAUDIO</t>
  </si>
  <si>
    <t>EMILIANO</t>
  </si>
  <si>
    <t>RAMOS</t>
  </si>
  <si>
    <t>ALEXA SOFIA</t>
  </si>
  <si>
    <t>ALLENDE</t>
  </si>
  <si>
    <t>ELIZABETH</t>
  </si>
  <si>
    <t>RODRIGUEZ</t>
  </si>
  <si>
    <t>CAMARENA</t>
  </si>
  <si>
    <t>ALONDRA KARIME</t>
  </si>
  <si>
    <t>ORTIZ</t>
  </si>
  <si>
    <t>AITANA YATZIRI</t>
  </si>
  <si>
    <t>TIRADO</t>
  </si>
  <si>
    <t>ROMERO</t>
  </si>
  <si>
    <t>CAMACHO</t>
  </si>
  <si>
    <t>DIANA LAURA</t>
  </si>
  <si>
    <t>JIMENEZ</t>
  </si>
  <si>
    <t>ANA KAREN</t>
  </si>
  <si>
    <t>SALAS</t>
  </si>
  <si>
    <t>ESTEFANIA</t>
  </si>
  <si>
    <t>ASHLEY GUADALUPE</t>
  </si>
  <si>
    <t>RESENDIZ</t>
  </si>
  <si>
    <t>AISLINN REBECA</t>
  </si>
  <si>
    <t>ANGEL EMMANUEL</t>
  </si>
  <si>
    <t>SANTAMARIA</t>
  </si>
  <si>
    <t>OSORIO</t>
  </si>
  <si>
    <t>SILVA</t>
  </si>
  <si>
    <t>RAMIREZ</t>
  </si>
  <si>
    <t>FERNANDA CAMILA</t>
  </si>
  <si>
    <t>DE LEON</t>
  </si>
  <si>
    <t>EVAN AMANI</t>
  </si>
  <si>
    <t>FERNANDO ALEXANDER</t>
  </si>
  <si>
    <t>URIBE</t>
  </si>
  <si>
    <t>CHAVEZ</t>
  </si>
  <si>
    <t>YOHAN YAMIL</t>
  </si>
  <si>
    <t>VILORIO</t>
  </si>
  <si>
    <t>VALLECILLO</t>
  </si>
  <si>
    <t>KARLA IVETH</t>
  </si>
  <si>
    <t>ZAMUDIO</t>
  </si>
  <si>
    <t>No. DE ALUMNOS INSCRITOS</t>
  </si>
  <si>
    <t>FIRMA DEL PROFESOR</t>
  </si>
  <si>
    <t>FIRMA DEL ORIENTADOR</t>
  </si>
  <si>
    <t>Vo. Bo. SUBDIRECCIÓN ESCOLAR</t>
  </si>
  <si>
    <t xml:space="preserve">REVISADO POR SECRETARIA ESCOLAR </t>
  </si>
  <si>
    <t>BAJAS DURANTE EL SEMESTRE</t>
  </si>
  <si>
    <t>EXISTENCIA</t>
  </si>
  <si>
    <t>No. DE ALUMNOS APROBADOS</t>
  </si>
  <si>
    <t>No. DE ALUMNOS REPROBADOS</t>
  </si>
  <si>
    <t>% DE APROBADOS</t>
  </si>
  <si>
    <t xml:space="preserve">PROFR. </t>
  </si>
  <si>
    <t>PROFRA. ANA ISABEL CORREA SALGADO</t>
  </si>
  <si>
    <t>PROFR. OCTAVIO VÁZQUEZ BARRETO</t>
  </si>
  <si>
    <t xml:space="preserve">PROFR. ROBERTO PALOMARES MEJÍA </t>
  </si>
  <si>
    <t>PROMEDIO</t>
  </si>
  <si>
    <t>IVONNE GABRIELA CEDILLO POLO</t>
  </si>
  <si>
    <t>ALDANA</t>
  </si>
  <si>
    <t>CASTILLO</t>
  </si>
  <si>
    <t>AMANDA</t>
  </si>
  <si>
    <t>ALTAMIRANO</t>
  </si>
  <si>
    <t>PACHECO</t>
  </si>
  <si>
    <t>JONATHAN JESUS</t>
  </si>
  <si>
    <t>ARREOLA</t>
  </si>
  <si>
    <t>CORONADO</t>
  </si>
  <si>
    <t>BARCENAS</t>
  </si>
  <si>
    <t>ERICK SANTIAGO</t>
  </si>
  <si>
    <t>BERNABE</t>
  </si>
  <si>
    <t>GABRIEL</t>
  </si>
  <si>
    <t>GAMEZ</t>
  </si>
  <si>
    <t>VANIA ELI</t>
  </si>
  <si>
    <t>CARMONA</t>
  </si>
  <si>
    <t>PAOLA MONTSERRAT</t>
  </si>
  <si>
    <t>CASTAÑEDA</t>
  </si>
  <si>
    <t>SELENE AGUSTINA</t>
  </si>
  <si>
    <t>YOHAN ZAID</t>
  </si>
  <si>
    <t>DE HOYOS</t>
  </si>
  <si>
    <t>MANCILLA</t>
  </si>
  <si>
    <t>JESUS EMILIANO</t>
  </si>
  <si>
    <t>DE SANTIAGO</t>
  </si>
  <si>
    <t>OMAR</t>
  </si>
  <si>
    <t>DEL OLMO</t>
  </si>
  <si>
    <t>LARA</t>
  </si>
  <si>
    <t>ISAAC URIEL</t>
  </si>
  <si>
    <t>FUENTES</t>
  </si>
  <si>
    <t>JOHANN DONOVAN</t>
  </si>
  <si>
    <t>GALICIA</t>
  </si>
  <si>
    <t>IRMA JOSELINE</t>
  </si>
  <si>
    <t>GALINDO</t>
  </si>
  <si>
    <t>DIEGO ARAM</t>
  </si>
  <si>
    <t>GOMEZ</t>
  </si>
  <si>
    <t>LIZCANO</t>
  </si>
  <si>
    <t>SARA VALENTINA</t>
  </si>
  <si>
    <t>SERGIO</t>
  </si>
  <si>
    <t>GUTIERREZ</t>
  </si>
  <si>
    <t>BASURTO</t>
  </si>
  <si>
    <t>ANGEL IVAN</t>
  </si>
  <si>
    <t>RIVERA</t>
  </si>
  <si>
    <t>PAULINA ZOE</t>
  </si>
  <si>
    <t>ZAVALA</t>
  </si>
  <si>
    <t>ERICK DANIEL</t>
  </si>
  <si>
    <t>HUGO CALEB</t>
  </si>
  <si>
    <t>CORIA</t>
  </si>
  <si>
    <t>LILY EDITH</t>
  </si>
  <si>
    <t>MIGUEL ANGEL</t>
  </si>
  <si>
    <t>MARQUEZ</t>
  </si>
  <si>
    <t>ARRATIA</t>
  </si>
  <si>
    <t>MARIEL AMERICA</t>
  </si>
  <si>
    <t>BRUNO</t>
  </si>
  <si>
    <t>MAXIMO</t>
  </si>
  <si>
    <t>SOFIA NAOMY</t>
  </si>
  <si>
    <t>MEDINA</t>
  </si>
  <si>
    <t>PAMELA FERNANDA</t>
  </si>
  <si>
    <t>BACA</t>
  </si>
  <si>
    <t>JUANA DULEYN</t>
  </si>
  <si>
    <t>MORENO</t>
  </si>
  <si>
    <t>NAVARRO</t>
  </si>
  <si>
    <t>KAREN</t>
  </si>
  <si>
    <t>NICOLETTI</t>
  </si>
  <si>
    <t>VANESSA YADIRA</t>
  </si>
  <si>
    <t>OROZCO</t>
  </si>
  <si>
    <t>JUAN DIEGO</t>
  </si>
  <si>
    <t>ARMIJO</t>
  </si>
  <si>
    <t>AARON</t>
  </si>
  <si>
    <t>MARIN</t>
  </si>
  <si>
    <t>XAVIER FAHRID</t>
  </si>
  <si>
    <t>ERENDY ISABELLA</t>
  </si>
  <si>
    <t>PALACIOS</t>
  </si>
  <si>
    <t>HAZAEL EMILIANO</t>
  </si>
  <si>
    <t>ADONA</t>
  </si>
  <si>
    <t>HANNA ZOE</t>
  </si>
  <si>
    <t>ALFONSO</t>
  </si>
  <si>
    <t>STEPHANIE</t>
  </si>
  <si>
    <t>NAHOMI</t>
  </si>
  <si>
    <t>ROJAS</t>
  </si>
  <si>
    <t>ALCANTARA</t>
  </si>
  <si>
    <t>DANIEL EMILIANO</t>
  </si>
  <si>
    <t>BANDIN</t>
  </si>
  <si>
    <t>TABATHA MICHELLE</t>
  </si>
  <si>
    <t>ROSAS</t>
  </si>
  <si>
    <t>MONTOYA</t>
  </si>
  <si>
    <t>MISAEL ALEXANDER</t>
  </si>
  <si>
    <t>CARRASCO</t>
  </si>
  <si>
    <t>CHRISTOPHER OMSARE</t>
  </si>
  <si>
    <t>CARREÑO</t>
  </si>
  <si>
    <t>DANIELA TONANTZIN</t>
  </si>
  <si>
    <t>LAZARO</t>
  </si>
  <si>
    <t>VALERIA ALEXA</t>
  </si>
  <si>
    <t>DANIELA</t>
  </si>
  <si>
    <t>VALDEZ</t>
  </si>
  <si>
    <t>NAVARRETE</t>
  </si>
  <si>
    <t>PAOLA QUETZAL</t>
  </si>
  <si>
    <t>VALENCIA</t>
  </si>
  <si>
    <t>TRINIDAD</t>
  </si>
  <si>
    <t>CINTHYA XIMENA</t>
  </si>
  <si>
    <t>VARGAS</t>
  </si>
  <si>
    <t>MANZANARES</t>
  </si>
  <si>
    <t>DANIEL</t>
  </si>
  <si>
    <t>TOLEDO</t>
  </si>
  <si>
    <t>YOAV EMMANUEL</t>
  </si>
  <si>
    <t>ACUÑA</t>
  </si>
  <si>
    <t>ALLISON MALILLANY</t>
  </si>
  <si>
    <t>SANTIAGO EFRAIN</t>
  </si>
  <si>
    <t>ALEMAN</t>
  </si>
  <si>
    <t>JAIME</t>
  </si>
  <si>
    <t>ANAYA</t>
  </si>
  <si>
    <t>ESPINOZA</t>
  </si>
  <si>
    <t>VICTOR SANTIAGO</t>
  </si>
  <si>
    <t>ANGELES</t>
  </si>
  <si>
    <t>RODRIGO HABBIBE</t>
  </si>
  <si>
    <t>ARECHAVALA</t>
  </si>
  <si>
    <t>ESPARZA</t>
  </si>
  <si>
    <t>REGINA</t>
  </si>
  <si>
    <t>BOSQUES</t>
  </si>
  <si>
    <t>CONDE</t>
  </si>
  <si>
    <t>LUIS ABRAHAM</t>
  </si>
  <si>
    <t>CARRILLO</t>
  </si>
  <si>
    <t>CARBAJAL</t>
  </si>
  <si>
    <t>DANIEL ALEXIS</t>
  </si>
  <si>
    <t>GUSTAVO JULIAN</t>
  </si>
  <si>
    <t>CERDA</t>
  </si>
  <si>
    <t>TOVAR</t>
  </si>
  <si>
    <t>ANGEL JORELL</t>
  </si>
  <si>
    <t>CRISOSTOMO</t>
  </si>
  <si>
    <t>SANTIAGO DAVID</t>
  </si>
  <si>
    <t>CORTEZ</t>
  </si>
  <si>
    <t>BAUTISTA</t>
  </si>
  <si>
    <t>DALVEZ</t>
  </si>
  <si>
    <t>PEÑA</t>
  </si>
  <si>
    <t>ESCAMILLA</t>
  </si>
  <si>
    <t>ESTRADA</t>
  </si>
  <si>
    <t>JOSUE ALEJANDRO</t>
  </si>
  <si>
    <t>YESID XIMENA</t>
  </si>
  <si>
    <t>LEONARDO</t>
  </si>
  <si>
    <t>MENESES</t>
  </si>
  <si>
    <t>SAMANTHA MABEL</t>
  </si>
  <si>
    <t>PAREDES</t>
  </si>
  <si>
    <t>URIEL</t>
  </si>
  <si>
    <t>FERNANDA ANTONIETA</t>
  </si>
  <si>
    <t>GUERRERO</t>
  </si>
  <si>
    <t>MELINA MONSERRAT</t>
  </si>
  <si>
    <t>CHIMAL</t>
  </si>
  <si>
    <t>SAYURI DENISSE</t>
  </si>
  <si>
    <t>XIMENA</t>
  </si>
  <si>
    <t>BOLAÑOS</t>
  </si>
  <si>
    <t>CAMILA</t>
  </si>
  <si>
    <t>LAURA REGINA</t>
  </si>
  <si>
    <t>HECTOR DANIEL</t>
  </si>
  <si>
    <t>NAXHELI</t>
  </si>
  <si>
    <t>SILVIA ANAHI</t>
  </si>
  <si>
    <t>MENDEZ</t>
  </si>
  <si>
    <t>LUNA YHOALIBETH</t>
  </si>
  <si>
    <t>MIRANDA</t>
  </si>
  <si>
    <t>VEGA</t>
  </si>
  <si>
    <t>MARCUS JOSHEP</t>
  </si>
  <si>
    <t>ERICK IVAN</t>
  </si>
  <si>
    <t>MURILLO</t>
  </si>
  <si>
    <t>JULIA IVETTE</t>
  </si>
  <si>
    <t>NICOLAS</t>
  </si>
  <si>
    <t>KAREN JIMENA</t>
  </si>
  <si>
    <t>ANDREA</t>
  </si>
  <si>
    <t>PUGA</t>
  </si>
  <si>
    <t>ANUAR LEONARDO</t>
  </si>
  <si>
    <t>FERNANDA</t>
  </si>
  <si>
    <t>EDRYK JOSAFATH</t>
  </si>
  <si>
    <t>VERDIGUEL</t>
  </si>
  <si>
    <t>ROBERTO</t>
  </si>
  <si>
    <t>ANA FERNANDA</t>
  </si>
  <si>
    <t>JESUS ALEXANDER</t>
  </si>
  <si>
    <t>SANTANA</t>
  </si>
  <si>
    <t>RAZO</t>
  </si>
  <si>
    <t>IVAN EMMANUEL</t>
  </si>
  <si>
    <t>SANTILLAN</t>
  </si>
  <si>
    <t>JULIAN</t>
  </si>
  <si>
    <t>JUAN ALBERTO</t>
  </si>
  <si>
    <t>SOLIS</t>
  </si>
  <si>
    <t>ISAIAS</t>
  </si>
  <si>
    <t>SUAREZ</t>
  </si>
  <si>
    <t>ZAID MANUEL</t>
  </si>
  <si>
    <t>VALLEJO</t>
  </si>
  <si>
    <t>ALEJANDRO</t>
  </si>
  <si>
    <t>VELEZ</t>
  </si>
  <si>
    <t>PAULA VALERIA</t>
  </si>
  <si>
    <t>YAÑEZ</t>
  </si>
  <si>
    <t>MERCADO</t>
  </si>
  <si>
    <t>HANNA AYELET</t>
  </si>
  <si>
    <t>ZUÑIGA</t>
  </si>
  <si>
    <t>ARIZAGA</t>
  </si>
  <si>
    <t>ISRAEL</t>
  </si>
  <si>
    <t>IRVING</t>
  </si>
  <si>
    <t>PROFA. JUANA RANGEL PALACIOS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</si>
</sst>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"/>
  </numFmts>
  <fonts count="7">
    <font>
      <sz val="11.0"/>
      <color theme="1"/>
      <name val="Calibri"/>
      <scheme val="minor"/>
    </font>
    <font>
      <sz val="12.0"/>
      <color theme="1"/>
      <name val="Arial"/>
    </font>
    <font>
      <sz val="11.0"/>
      <color theme="1"/>
      <name val="Calibri"/>
    </font>
    <font>
      <b/>
      <sz val="12.0"/>
      <color theme="1"/>
      <name val="Arial"/>
    </font>
    <font/>
    <font>
      <color theme="1"/>
      <name val="Arial"/>
    </font>
    <font>
      <b/>
      <sz val="10.0"/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BFBFBF"/>
        <bgColor rgb="FFBFBFBF"/>
      </patternFill>
    </fill>
    <fill>
      <patternFill patternType="solid">
        <fgColor rgb="FFFFFFFF"/>
        <bgColor rgb="FFFFFFFF"/>
      </patternFill>
    </fill>
  </fills>
  <borders count="46">
    <border/>
    <border>
      <left style="double">
        <color rgb="FF000000"/>
      </left>
      <top style="double">
        <color rgb="FF000000"/>
      </top>
    </border>
    <border>
      <top style="double">
        <color rgb="FF000000"/>
      </top>
    </border>
    <border>
      <right style="double">
        <color rgb="FF000000"/>
      </right>
      <top style="double">
        <color rgb="FF000000"/>
      </top>
    </border>
    <border>
      <left style="double">
        <color rgb="FF000000"/>
      </left>
    </border>
    <border>
      <right style="double">
        <color rgb="FF000000"/>
      </right>
    </border>
    <border>
      <left style="double">
        <color rgb="FF000000"/>
      </left>
      <top style="double">
        <color rgb="FF000000"/>
      </top>
      <bottom style="thin">
        <color rgb="FF000000"/>
      </bottom>
    </border>
    <border>
      <right style="thin">
        <color rgb="FF000000"/>
      </right>
      <top style="double">
        <color rgb="FF000000"/>
      </top>
      <bottom style="thin">
        <color rgb="FF000000"/>
      </bottom>
    </border>
    <border>
      <top style="double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double">
        <color rgb="FF000000"/>
      </top>
      <bottom style="thin">
        <color rgb="FF000000"/>
      </bottom>
    </border>
    <border>
      <left style="thin">
        <color rgb="FF000000"/>
      </left>
      <right/>
      <top style="double">
        <color rgb="FF000000"/>
      </top>
    </border>
    <border>
      <left style="thin">
        <color rgb="FF000000"/>
      </left>
      <right style="thin">
        <color rgb="FF000000"/>
      </right>
      <top style="double">
        <color rgb="FF000000"/>
      </top>
    </border>
    <border>
      <left style="thin">
        <color rgb="FF000000"/>
      </left>
      <top style="double">
        <color rgb="FF000000"/>
      </top>
    </border>
    <border>
      <left style="double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/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double">
        <color rgb="FF000000"/>
      </right>
      <bottom style="thin">
        <color rgb="FF000000"/>
      </bottom>
    </border>
    <border>
      <left style="double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bottom style="thin">
        <color rgb="FF000000"/>
      </bottom>
    </border>
    <border>
      <left/>
      <top style="thin">
        <color rgb="FF000000"/>
      </top>
      <bottom style="thin">
        <color rgb="FF000000"/>
      </bottom>
    </border>
    <border>
      <right style="double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double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double">
        <color rgb="FF000000"/>
      </left>
      <right/>
      <top/>
      <bottom/>
    </border>
    <border>
      <left/>
      <right/>
      <top/>
      <bottom/>
    </border>
    <border>
      <left style="double">
        <color rgb="FF000000"/>
      </left>
      <bottom style="double">
        <color rgb="FF000000"/>
      </bottom>
    </border>
    <border>
      <bottom style="double">
        <color rgb="FF000000"/>
      </bottom>
    </border>
    <border>
      <right style="double">
        <color rgb="FF000000"/>
      </right>
      <bottom style="double">
        <color rgb="FF000000"/>
      </bottom>
    </border>
  </borders>
  <cellStyleXfs count="1">
    <xf borderId="0" fillId="0" fontId="0" numFmtId="0" applyAlignment="1" applyFont="1"/>
  </cellStyleXfs>
  <cellXfs count="12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0" fillId="0" fontId="2" numFmtId="0" xfId="0" applyAlignment="1" applyFont="1">
      <alignment vertical="bottom"/>
    </xf>
    <xf borderId="1" fillId="0" fontId="1" numFmtId="0" xfId="0" applyAlignment="1" applyBorder="1" applyFont="1">
      <alignment horizontal="center" vertical="center"/>
    </xf>
    <xf borderId="2" fillId="0" fontId="1" numFmtId="0" xfId="0" applyAlignment="1" applyBorder="1" applyFont="1">
      <alignment horizontal="center" vertical="center"/>
    </xf>
    <xf borderId="3" fillId="0" fontId="1" numFmtId="0" xfId="0" applyAlignment="1" applyBorder="1" applyFont="1">
      <alignment horizontal="center" vertical="center"/>
    </xf>
    <xf borderId="4" fillId="0" fontId="1" numFmtId="0" xfId="0" applyAlignment="1" applyBorder="1" applyFont="1">
      <alignment horizontal="center" vertical="center"/>
    </xf>
    <xf borderId="5" fillId="0" fontId="1" numFmtId="0" xfId="0" applyAlignment="1" applyBorder="1" applyFont="1">
      <alignment horizontal="center" vertical="center"/>
    </xf>
    <xf borderId="4" fillId="0" fontId="3" numFmtId="0" xfId="0" applyAlignment="1" applyBorder="1" applyFont="1">
      <alignment horizontal="center" shrinkToFit="0" vertical="center" wrapText="1"/>
    </xf>
    <xf borderId="5" fillId="0" fontId="4" numFmtId="0" xfId="0" applyBorder="1" applyFont="1"/>
    <xf borderId="0" fillId="0" fontId="3" numFmtId="0" xfId="0" applyAlignment="1" applyFont="1">
      <alignment horizontal="center" vertical="center"/>
    </xf>
    <xf borderId="0" fillId="0" fontId="1" numFmtId="0" xfId="0" applyAlignment="1" applyFont="1">
      <alignment horizontal="center" vertical="center"/>
    </xf>
    <xf borderId="6" fillId="2" fontId="3" numFmtId="0" xfId="0" applyAlignment="1" applyBorder="1" applyFill="1" applyFont="1">
      <alignment horizontal="center" vertical="center"/>
    </xf>
    <xf borderId="7" fillId="0" fontId="4" numFmtId="0" xfId="0" applyBorder="1" applyFont="1"/>
    <xf borderId="8" fillId="2" fontId="1" numFmtId="0" xfId="0" applyAlignment="1" applyBorder="1" applyFont="1">
      <alignment horizontal="center" readingOrder="0" vertical="center"/>
    </xf>
    <xf borderId="9" fillId="2" fontId="3" numFmtId="0" xfId="0" applyAlignment="1" applyBorder="1" applyFont="1">
      <alignment horizontal="center" vertical="center"/>
    </xf>
    <xf borderId="10" fillId="2" fontId="3" numFmtId="0" xfId="0" applyAlignment="1" applyBorder="1" applyFont="1">
      <alignment horizontal="center" shrinkToFit="0" vertical="center" wrapText="1"/>
    </xf>
    <xf borderId="11" fillId="2" fontId="3" numFmtId="9" xfId="0" applyAlignment="1" applyBorder="1" applyFont="1" applyNumberFormat="1">
      <alignment horizontal="center" vertical="center"/>
    </xf>
    <xf borderId="12" fillId="2" fontId="3" numFmtId="0" xfId="0" applyAlignment="1" applyBorder="1" applyFont="1">
      <alignment horizontal="center" shrinkToFit="0" vertical="center" wrapText="1"/>
    </xf>
    <xf borderId="2" fillId="0" fontId="4" numFmtId="0" xfId="0" applyBorder="1" applyFont="1"/>
    <xf borderId="3" fillId="0" fontId="4" numFmtId="0" xfId="0" applyBorder="1" applyFont="1"/>
    <xf borderId="13" fillId="2" fontId="3" numFmtId="0" xfId="0" applyAlignment="1" applyBorder="1" applyFont="1">
      <alignment horizontal="center" shrinkToFit="0" vertical="center" wrapText="1"/>
    </xf>
    <xf borderId="14" fillId="2" fontId="3" numFmtId="0" xfId="0" applyAlignment="1" applyBorder="1" applyFont="1">
      <alignment horizontal="center" shrinkToFit="0" vertical="center" wrapText="1"/>
    </xf>
    <xf borderId="14" fillId="0" fontId="4" numFmtId="0" xfId="0" applyBorder="1" applyFont="1"/>
    <xf borderId="15" fillId="0" fontId="4" numFmtId="0" xfId="0" applyBorder="1" applyFont="1"/>
    <xf borderId="16" fillId="2" fontId="3" numFmtId="0" xfId="0" applyAlignment="1" applyBorder="1" applyFont="1">
      <alignment horizontal="center" shrinkToFit="0" vertical="center" wrapText="1"/>
    </xf>
    <xf borderId="17" fillId="0" fontId="4" numFmtId="0" xfId="0" applyBorder="1" applyFont="1"/>
    <xf borderId="18" fillId="0" fontId="4" numFmtId="0" xfId="0" applyBorder="1" applyFont="1"/>
    <xf borderId="19" fillId="0" fontId="4" numFmtId="0" xfId="0" applyBorder="1" applyFont="1"/>
    <xf borderId="20" fillId="0" fontId="4" numFmtId="0" xfId="0" applyBorder="1" applyFont="1"/>
    <xf borderId="21" fillId="0" fontId="4" numFmtId="0" xfId="0" applyBorder="1" applyFont="1"/>
    <xf borderId="22" fillId="2" fontId="3" numFmtId="0" xfId="0" applyAlignment="1" applyBorder="1" applyFont="1">
      <alignment horizontal="center" vertical="center"/>
    </xf>
    <xf borderId="23" fillId="2" fontId="3" numFmtId="0" xfId="0" applyAlignment="1" applyBorder="1" applyFont="1">
      <alignment horizontal="center" vertical="center"/>
    </xf>
    <xf borderId="15" fillId="2" fontId="3" numFmtId="0" xfId="0" applyAlignment="1" applyBorder="1" applyFont="1">
      <alignment horizontal="center" vertical="center"/>
    </xf>
    <xf borderId="24" fillId="0" fontId="4" numFmtId="0" xfId="0" applyBorder="1" applyFont="1"/>
    <xf borderId="18" fillId="2" fontId="1" numFmtId="0" xfId="0" applyAlignment="1" applyBorder="1" applyFont="1">
      <alignment horizontal="center" vertical="center"/>
    </xf>
    <xf borderId="25" fillId="2" fontId="1" numFmtId="0" xfId="0" applyAlignment="1" applyBorder="1" applyFont="1">
      <alignment horizontal="center" vertical="center"/>
    </xf>
    <xf borderId="26" fillId="0" fontId="4" numFmtId="0" xfId="0" applyBorder="1" applyFont="1"/>
    <xf borderId="22" fillId="2" fontId="3" numFmtId="0" xfId="0" applyAlignment="1" applyBorder="1" applyFont="1">
      <alignment horizontal="center" vertical="center"/>
    </xf>
    <xf borderId="27" fillId="2" fontId="3" numFmtId="0" xfId="0" applyAlignment="1" applyBorder="1" applyFont="1">
      <alignment horizontal="center" vertical="center"/>
    </xf>
    <xf borderId="23" fillId="2" fontId="1" numFmtId="0" xfId="0" applyAlignment="1" applyBorder="1" applyFont="1">
      <alignment horizontal="center" vertical="center"/>
    </xf>
    <xf borderId="23" fillId="2" fontId="3" numFmtId="0" xfId="0" applyAlignment="1" applyBorder="1" applyFont="1">
      <alignment horizontal="center" shrinkToFit="0" vertical="center" wrapText="1"/>
    </xf>
    <xf borderId="23" fillId="2" fontId="3" numFmtId="0" xfId="0" applyAlignment="1" applyBorder="1" applyFont="1">
      <alignment horizontal="center" shrinkToFit="0" vertical="center" wrapText="1"/>
    </xf>
    <xf borderId="28" fillId="2" fontId="3" numFmtId="0" xfId="0" applyAlignment="1" applyBorder="1" applyFont="1">
      <alignment horizontal="center" vertical="center"/>
    </xf>
    <xf borderId="23" fillId="0" fontId="1" numFmtId="0" xfId="0" applyAlignment="1" applyBorder="1" applyFont="1">
      <alignment horizontal="center" vertical="center"/>
    </xf>
    <xf borderId="15" fillId="0" fontId="1" numFmtId="1" xfId="0" applyAlignment="1" applyBorder="1" applyFont="1" applyNumberFormat="1">
      <alignment horizontal="center" vertical="center"/>
    </xf>
    <xf borderId="23" fillId="3" fontId="1" numFmtId="1" xfId="0" applyAlignment="1" applyBorder="1" applyFill="1" applyFont="1" applyNumberFormat="1">
      <alignment horizontal="center" vertical="center"/>
    </xf>
    <xf borderId="14" fillId="3" fontId="1" numFmtId="0" xfId="0" applyAlignment="1" applyBorder="1" applyFont="1">
      <alignment horizontal="center" vertical="center"/>
    </xf>
    <xf borderId="23" fillId="3" fontId="5" numFmtId="164" xfId="0" applyAlignment="1" applyBorder="1" applyFont="1" applyNumberFormat="1">
      <alignment horizontal="center" readingOrder="0" shrinkToFit="0" vertical="bottom" wrapText="0"/>
    </xf>
    <xf borderId="23" fillId="0" fontId="1" numFmtId="164" xfId="0" applyAlignment="1" applyBorder="1" applyFont="1" applyNumberFormat="1">
      <alignment horizontal="center" vertical="center"/>
    </xf>
    <xf borderId="23" fillId="3" fontId="5" numFmtId="0" xfId="0" applyAlignment="1" applyBorder="1" applyFont="1">
      <alignment horizontal="center" readingOrder="0" shrinkToFit="0" vertical="bottom" wrapText="0"/>
    </xf>
    <xf borderId="23" fillId="2" fontId="3" numFmtId="1" xfId="0" applyAlignment="1" applyBorder="1" applyFont="1" applyNumberFormat="1">
      <alignment horizontal="center" vertical="center"/>
    </xf>
    <xf borderId="23" fillId="0" fontId="1" numFmtId="1" xfId="0" applyAlignment="1" applyBorder="1" applyFont="1" applyNumberFormat="1">
      <alignment horizontal="center" vertical="center"/>
    </xf>
    <xf borderId="18" fillId="0" fontId="1" numFmtId="1" xfId="0" applyAlignment="1" applyBorder="1" applyFont="1" applyNumberFormat="1">
      <alignment horizontal="center" vertical="center"/>
    </xf>
    <xf borderId="27" fillId="0" fontId="1" numFmtId="0" xfId="0" applyAlignment="1" applyBorder="1" applyFont="1">
      <alignment horizontal="center" shrinkToFit="0" vertical="center" wrapText="1"/>
    </xf>
    <xf borderId="29" fillId="0" fontId="1" numFmtId="1" xfId="0" applyAlignment="1" applyBorder="1" applyFont="1" applyNumberFormat="1">
      <alignment horizontal="center" vertical="center"/>
    </xf>
    <xf borderId="23" fillId="3" fontId="1" numFmtId="0" xfId="0" applyAlignment="1" applyBorder="1" applyFont="1">
      <alignment horizontal="center" vertical="center"/>
    </xf>
    <xf borderId="23" fillId="0" fontId="1" numFmtId="0" xfId="0" applyAlignment="1" applyBorder="1" applyFont="1">
      <alignment horizontal="center" shrinkToFit="0" vertical="center" wrapText="1"/>
    </xf>
    <xf borderId="23" fillId="0" fontId="1" numFmtId="0" xfId="0" applyAlignment="1" applyBorder="1" applyFont="1">
      <alignment horizontal="center" readingOrder="0" vertical="center"/>
    </xf>
    <xf borderId="23" fillId="0" fontId="1" numFmtId="164" xfId="0" applyAlignment="1" applyBorder="1" applyFont="1" applyNumberFormat="1">
      <alignment horizontal="center" readingOrder="0" vertical="center"/>
    </xf>
    <xf borderId="23" fillId="0" fontId="5" numFmtId="0" xfId="0" applyAlignment="1" applyBorder="1" applyFont="1">
      <alignment horizontal="center" readingOrder="0" shrinkToFit="0" vertical="bottom" wrapText="0"/>
    </xf>
    <xf borderId="23" fillId="0" fontId="5" numFmtId="164" xfId="0" applyAlignment="1" applyBorder="1" applyFont="1" applyNumberFormat="1">
      <alignment horizontal="center" readingOrder="0" shrinkToFit="0" vertical="bottom" wrapText="0"/>
    </xf>
    <xf borderId="0" fillId="0" fontId="1" numFmtId="1" xfId="0" applyAlignment="1" applyFont="1" applyNumberFormat="1">
      <alignment horizontal="center" vertical="center"/>
    </xf>
    <xf borderId="0" fillId="0" fontId="1" numFmtId="164" xfId="0" applyAlignment="1" applyFont="1" applyNumberFormat="1">
      <alignment horizontal="center" vertical="center"/>
    </xf>
    <xf borderId="30" fillId="0" fontId="1" numFmtId="1" xfId="0" applyAlignment="1" applyBorder="1" applyFont="1" applyNumberFormat="1">
      <alignment horizontal="center" vertical="center"/>
    </xf>
    <xf borderId="31" fillId="0" fontId="4" numFmtId="0" xfId="0" applyBorder="1" applyFont="1"/>
    <xf borderId="32" fillId="0" fontId="1" numFmtId="0" xfId="0" applyAlignment="1" applyBorder="1" applyFont="1">
      <alignment horizontal="center" vertical="center"/>
    </xf>
    <xf borderId="0" fillId="0" fontId="1" numFmtId="164" xfId="0" applyAlignment="1" applyFont="1" applyNumberFormat="1">
      <alignment horizontal="center" shrinkToFit="0" vertical="center" wrapText="1"/>
    </xf>
    <xf borderId="0" fillId="0" fontId="1" numFmtId="1" xfId="0" applyAlignment="1" applyFont="1" applyNumberFormat="1">
      <alignment horizontal="center" shrinkToFit="0" vertical="center" wrapText="1"/>
    </xf>
    <xf borderId="5" fillId="0" fontId="1" numFmtId="0" xfId="0" applyAlignment="1" applyBorder="1" applyFont="1">
      <alignment horizontal="center" shrinkToFit="0" vertical="center" wrapText="1"/>
    </xf>
    <xf borderId="33" fillId="0" fontId="1" numFmtId="1" xfId="0" applyAlignment="1" applyBorder="1" applyFont="1" applyNumberFormat="1">
      <alignment horizontal="center" vertical="center"/>
    </xf>
    <xf borderId="34" fillId="0" fontId="4" numFmtId="0" xfId="0" applyBorder="1" applyFont="1"/>
    <xf borderId="35" fillId="0" fontId="1" numFmtId="0" xfId="0" applyAlignment="1" applyBorder="1" applyFont="1">
      <alignment horizontal="center" vertical="center"/>
    </xf>
    <xf borderId="36" fillId="0" fontId="1" numFmtId="0" xfId="0" applyAlignment="1" applyBorder="1" applyFont="1">
      <alignment horizontal="center" vertical="center"/>
    </xf>
    <xf borderId="36" fillId="0" fontId="1" numFmtId="1" xfId="0" applyAlignment="1" applyBorder="1" applyFont="1" applyNumberFormat="1">
      <alignment horizontal="center" vertical="center"/>
    </xf>
    <xf borderId="20" fillId="0" fontId="1" numFmtId="164" xfId="0" applyAlignment="1" applyBorder="1" applyFont="1" applyNumberFormat="1">
      <alignment horizontal="center" vertical="center"/>
    </xf>
    <xf borderId="20" fillId="0" fontId="1" numFmtId="0" xfId="0" applyAlignment="1" applyBorder="1" applyFont="1">
      <alignment horizontal="center" vertical="center"/>
    </xf>
    <xf borderId="20" fillId="0" fontId="1" numFmtId="1" xfId="0" applyAlignment="1" applyBorder="1" applyFont="1" applyNumberFormat="1">
      <alignment horizontal="center" vertical="center"/>
    </xf>
    <xf borderId="21" fillId="0" fontId="1" numFmtId="0" xfId="0" applyAlignment="1" applyBorder="1" applyFont="1">
      <alignment horizontal="center" vertical="center"/>
    </xf>
    <xf borderId="36" fillId="0" fontId="1" numFmtId="2" xfId="0" applyAlignment="1" applyBorder="1" applyFont="1" applyNumberFormat="1">
      <alignment horizontal="center" vertical="center"/>
    </xf>
    <xf borderId="37" fillId="0" fontId="3" numFmtId="164" xfId="0" applyAlignment="1" applyBorder="1" applyFont="1" applyNumberFormat="1">
      <alignment horizontal="center" shrinkToFit="0" vertical="center" wrapText="1"/>
    </xf>
    <xf borderId="0" fillId="0" fontId="3" numFmtId="164" xfId="0" applyAlignment="1" applyFont="1" applyNumberFormat="1">
      <alignment horizontal="center" shrinkToFit="0" vertical="center" wrapText="1"/>
    </xf>
    <xf borderId="0" fillId="0" fontId="6" numFmtId="1" xfId="0" applyAlignment="1" applyFont="1" applyNumberFormat="1">
      <alignment horizontal="center" shrinkToFit="0" vertical="top" wrapText="1"/>
    </xf>
    <xf borderId="5" fillId="0" fontId="3" numFmtId="0" xfId="0" applyAlignment="1" applyBorder="1" applyFont="1">
      <alignment horizontal="center" shrinkToFit="0" vertical="center" wrapText="1"/>
    </xf>
    <xf borderId="0" fillId="0" fontId="1" numFmtId="0" xfId="0" applyAlignment="1" applyFont="1">
      <alignment horizontal="center" vertical="center"/>
    </xf>
    <xf borderId="38" fillId="0" fontId="1" numFmtId="0" xfId="0" applyAlignment="1" applyBorder="1" applyFont="1">
      <alignment horizontal="center" vertical="center"/>
    </xf>
    <xf borderId="39" fillId="0" fontId="4" numFmtId="0" xfId="0" applyBorder="1" applyFont="1"/>
    <xf borderId="40" fillId="0" fontId="3" numFmtId="2" xfId="0" applyAlignment="1" applyBorder="1" applyFont="1" applyNumberFormat="1">
      <alignment horizontal="center" vertical="center"/>
    </xf>
    <xf borderId="4" fillId="0" fontId="2" numFmtId="0" xfId="0" applyAlignment="1" applyBorder="1" applyFont="1">
      <alignment vertical="bottom"/>
    </xf>
    <xf borderId="5" fillId="0" fontId="2" numFmtId="0" xfId="0" applyAlignment="1" applyBorder="1" applyFont="1">
      <alignment vertical="bottom"/>
    </xf>
    <xf borderId="41" fillId="3" fontId="2" numFmtId="0" xfId="0" applyBorder="1" applyFont="1"/>
    <xf borderId="42" fillId="3" fontId="2" numFmtId="0" xfId="0" applyBorder="1" applyFont="1"/>
    <xf borderId="0" fillId="3" fontId="2" numFmtId="0" xfId="0" applyFont="1"/>
    <xf borderId="0" fillId="3" fontId="2" numFmtId="1" xfId="0" applyFont="1" applyNumberFormat="1"/>
    <xf borderId="0" fillId="0" fontId="2" numFmtId="0" xfId="0" applyFont="1"/>
    <xf borderId="5" fillId="0" fontId="2" numFmtId="0" xfId="0" applyBorder="1" applyFont="1"/>
    <xf borderId="4" fillId="0" fontId="2" numFmtId="0" xfId="0" applyBorder="1" applyFont="1"/>
    <xf borderId="0" fillId="0" fontId="2" numFmtId="1" xfId="0" applyFont="1" applyNumberFormat="1"/>
    <xf borderId="0" fillId="0" fontId="2" numFmtId="2" xfId="0" applyFont="1" applyNumberFormat="1"/>
    <xf borderId="43" fillId="0" fontId="2" numFmtId="0" xfId="0" applyBorder="1" applyFont="1"/>
    <xf borderId="44" fillId="0" fontId="2" numFmtId="0" xfId="0" applyBorder="1" applyFont="1"/>
    <xf borderId="44" fillId="0" fontId="2" numFmtId="2" xfId="0" applyBorder="1" applyFont="1" applyNumberFormat="1"/>
    <xf borderId="44" fillId="0" fontId="2" numFmtId="0" xfId="0" applyAlignment="1" applyBorder="1" applyFont="1">
      <alignment vertical="bottom"/>
    </xf>
    <xf borderId="44" fillId="0" fontId="2" numFmtId="0" xfId="0" applyAlignment="1" applyBorder="1" applyFont="1">
      <alignment vertical="bottom"/>
    </xf>
    <xf borderId="45" fillId="0" fontId="2" numFmtId="0" xfId="0" applyAlignment="1" applyBorder="1" applyFont="1">
      <alignment vertical="bottom"/>
    </xf>
    <xf borderId="0" fillId="0" fontId="2" numFmtId="0" xfId="0" applyAlignment="1" applyFont="1">
      <alignment vertical="bottom"/>
    </xf>
    <xf borderId="0" fillId="0" fontId="2" numFmtId="0" xfId="0" applyFont="1"/>
    <xf borderId="0" fillId="0" fontId="2" numFmtId="0" xfId="0" applyAlignment="1" applyFont="1">
      <alignment vertical="bottom"/>
    </xf>
    <xf borderId="0" fillId="0" fontId="2" numFmtId="0" xfId="0" applyAlignment="1" applyFont="1">
      <alignment vertical="top"/>
    </xf>
    <xf borderId="0" fillId="0" fontId="2" numFmtId="0" xfId="0" applyAlignment="1" applyFont="1">
      <alignment vertical="top"/>
    </xf>
    <xf borderId="23" fillId="0" fontId="1" numFmtId="0" xfId="0" applyAlignment="1" applyBorder="1" applyFont="1">
      <alignment horizontal="center" vertical="center"/>
    </xf>
    <xf borderId="23" fillId="3" fontId="5" numFmtId="1" xfId="0" applyAlignment="1" applyBorder="1" applyFont="1" applyNumberFormat="1">
      <alignment horizontal="center" readingOrder="0" shrinkToFit="0" vertical="bottom" wrapText="0"/>
    </xf>
    <xf borderId="32" fillId="0" fontId="1" numFmtId="1" xfId="0" applyAlignment="1" applyBorder="1" applyFont="1" applyNumberFormat="1">
      <alignment horizontal="center" vertical="center"/>
    </xf>
    <xf borderId="35" fillId="0" fontId="1" numFmtId="2" xfId="0" applyAlignment="1" applyBorder="1" applyFont="1" applyNumberFormat="1">
      <alignment horizontal="center" vertical="center"/>
    </xf>
    <xf borderId="33" fillId="0" fontId="1" numFmtId="0" xfId="0" applyAlignment="1" applyBorder="1" applyFont="1">
      <alignment horizontal="center" vertical="center"/>
    </xf>
    <xf borderId="38" fillId="0" fontId="1" numFmtId="0" xfId="0" applyAlignment="1" applyBorder="1" applyFont="1">
      <alignment horizontal="center" vertical="center"/>
    </xf>
    <xf borderId="0" fillId="0" fontId="2" numFmtId="1" xfId="0" applyAlignment="1" applyFont="1" applyNumberFormat="1">
      <alignment vertical="bottom"/>
    </xf>
    <xf borderId="5" fillId="0" fontId="2" numFmtId="0" xfId="0" applyAlignment="1" applyBorder="1" applyFont="1">
      <alignment vertical="bottom"/>
    </xf>
    <xf borderId="44" fillId="0" fontId="2" numFmtId="0" xfId="0" applyBorder="1" applyFont="1"/>
    <xf borderId="0" fillId="0" fontId="2" numFmtId="1" xfId="0" applyAlignment="1" applyFont="1" applyNumberFormat="1">
      <alignment vertical="top"/>
    </xf>
    <xf borderId="23" fillId="3" fontId="5" numFmtId="164" xfId="0" applyAlignment="1" applyBorder="1" applyFont="1" applyNumberFormat="1">
      <alignment horizontal="center" shrinkToFit="0" vertical="bottom" wrapText="0"/>
    </xf>
    <xf borderId="35" fillId="0" fontId="1" numFmtId="1" xfId="0" applyAlignment="1" applyBorder="1" applyFont="1" applyNumberFormat="1">
      <alignment horizontal="center" vertical="center"/>
    </xf>
  </cellXfs>
  <cellStyles count="1">
    <cellStyle xfId="0" name="Normal" builtinId="0"/>
  </cellStyles>
  <dxfs count="4"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B7B7B7"/>
          <bgColor rgb="FFB7B7B7"/>
        </patternFill>
      </fill>
      <border/>
    </dxf>
    <dxf>
      <font/>
      <fill>
        <patternFill patternType="solid">
          <fgColor rgb="FFFFFF00"/>
          <bgColor rgb="FFFFFF00"/>
        </patternFill>
      </fill>
      <border/>
    </dxf>
    <dxf>
      <font/>
      <fill>
        <patternFill patternType="solid">
          <fgColor rgb="FFBFBFBF"/>
          <bgColor rgb="FFBFBFBF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466725</xdr:colOff>
      <xdr:row>1</xdr:row>
      <xdr:rowOff>161925</xdr:rowOff>
    </xdr:from>
    <xdr:ext cx="6772275" cy="1038225"/>
    <xdr:sp>
      <xdr:nvSpPr>
        <xdr:cNvPr id="3" name="Shape 3"/>
        <xdr:cNvSpPr txBox="1"/>
      </xdr:nvSpPr>
      <xdr:spPr>
        <a:xfrm>
          <a:off x="1969388" y="3270413"/>
          <a:ext cx="6753225" cy="101917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GENERAL DE EDUCACIÓN MEDIA SUPERIOR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DE BACHILLERATO GENERAL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ZONA ESCOLAR NÚM. 031 BG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ESCUELA PREPARATORIA OFICIAL NÚM. 67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15EBH0134D- 15EBH0168U</a:t>
          </a:r>
          <a:endParaRPr sz="9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</xdr:col>
      <xdr:colOff>533400</xdr:colOff>
      <xdr:row>72</xdr:row>
      <xdr:rowOff>257175</xdr:rowOff>
    </xdr:from>
    <xdr:ext cx="10696575" cy="447675"/>
    <xdr:sp>
      <xdr:nvSpPr>
        <xdr:cNvPr id="4" name="Shape 4"/>
        <xdr:cNvSpPr txBox="1"/>
      </xdr:nvSpPr>
      <xdr:spPr>
        <a:xfrm>
          <a:off x="0" y="3603788"/>
          <a:ext cx="10692000" cy="3524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Av de los Astros, 11  Cuautitlán Izcalli, Estado de México, México CP 54710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Tels. 55 5817 0231 e-mail: epo67@edugem.gob.mx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0</xdr:col>
      <xdr:colOff>85725</xdr:colOff>
      <xdr:row>1</xdr:row>
      <xdr:rowOff>85725</xdr:rowOff>
    </xdr:from>
    <xdr:ext cx="8867775" cy="990600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400050</xdr:colOff>
      <xdr:row>71</xdr:row>
      <xdr:rowOff>247650</xdr:rowOff>
    </xdr:from>
    <xdr:ext cx="13087350" cy="28575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466725</xdr:colOff>
      <xdr:row>1</xdr:row>
      <xdr:rowOff>161925</xdr:rowOff>
    </xdr:from>
    <xdr:ext cx="6772275" cy="1038225"/>
    <xdr:sp>
      <xdr:nvSpPr>
        <xdr:cNvPr id="3" name="Shape 3"/>
        <xdr:cNvSpPr txBox="1"/>
      </xdr:nvSpPr>
      <xdr:spPr>
        <a:xfrm>
          <a:off x="1969388" y="3270413"/>
          <a:ext cx="6753225" cy="101917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GENERAL DE EDUCACIÓN MEDIA SUPERIOR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DE BACHILLERATO GENERAL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ZONA ESCOLAR NÚM. 031 BG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ESCUELA PREPARATORIA OFICIAL NÚM. 67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15EBH0134D- 15EBH0168U</a:t>
          </a:r>
          <a:endParaRPr sz="9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</xdr:col>
      <xdr:colOff>523875</xdr:colOff>
      <xdr:row>74</xdr:row>
      <xdr:rowOff>266700</xdr:rowOff>
    </xdr:from>
    <xdr:ext cx="10696575" cy="371475"/>
    <xdr:sp>
      <xdr:nvSpPr>
        <xdr:cNvPr id="4" name="Shape 4"/>
        <xdr:cNvSpPr txBox="1"/>
      </xdr:nvSpPr>
      <xdr:spPr>
        <a:xfrm>
          <a:off x="0" y="3603788"/>
          <a:ext cx="10692000" cy="3524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Av de los Astros, 11  Cuautitlán Izcalli, Estado de México, México CP 54710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Tels. 55 5817 0231 e-mail: epo67@edugem.gob.mx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0</xdr:col>
      <xdr:colOff>85725</xdr:colOff>
      <xdr:row>1</xdr:row>
      <xdr:rowOff>85725</xdr:rowOff>
    </xdr:from>
    <xdr:ext cx="8867775" cy="990600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390525</xdr:colOff>
      <xdr:row>74</xdr:row>
      <xdr:rowOff>28575</xdr:rowOff>
    </xdr:from>
    <xdr:ext cx="13087350" cy="238125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466725</xdr:colOff>
      <xdr:row>1</xdr:row>
      <xdr:rowOff>161925</xdr:rowOff>
    </xdr:from>
    <xdr:ext cx="6772275" cy="1038225"/>
    <xdr:sp>
      <xdr:nvSpPr>
        <xdr:cNvPr id="3" name="Shape 3"/>
        <xdr:cNvSpPr txBox="1"/>
      </xdr:nvSpPr>
      <xdr:spPr>
        <a:xfrm>
          <a:off x="1969388" y="3270413"/>
          <a:ext cx="6753225" cy="101917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GENERAL DE EDUCACIÓN MEDIA SUPERIOR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DE BACHILLERATO GENERAL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ZONA ESCOLAR NÚM. 031 BG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ESCUELA PREPARATORIA OFICIAL NÚM. 67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15EBH0134D- 15EBH0168U</a:t>
          </a:r>
          <a:endParaRPr sz="9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</xdr:col>
      <xdr:colOff>533400</xdr:colOff>
      <xdr:row>73</xdr:row>
      <xdr:rowOff>266700</xdr:rowOff>
    </xdr:from>
    <xdr:ext cx="10696575" cy="371475"/>
    <xdr:sp>
      <xdr:nvSpPr>
        <xdr:cNvPr id="4" name="Shape 4"/>
        <xdr:cNvSpPr txBox="1"/>
      </xdr:nvSpPr>
      <xdr:spPr>
        <a:xfrm>
          <a:off x="0" y="3603788"/>
          <a:ext cx="10692000" cy="3524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Av de los Astros, 11  Cuautitlán Izcalli, Estado de México, México CP 54710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Tels. 55 5817 0231 e-mail: epo67@edugem.gob.mx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0</xdr:col>
      <xdr:colOff>85725</xdr:colOff>
      <xdr:row>1</xdr:row>
      <xdr:rowOff>85725</xdr:rowOff>
    </xdr:from>
    <xdr:ext cx="8867775" cy="990600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400050</xdr:colOff>
      <xdr:row>73</xdr:row>
      <xdr:rowOff>28575</xdr:rowOff>
    </xdr:from>
    <xdr:ext cx="13087350" cy="238125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14"/>
    <col customWidth="1" min="2" max="2" width="28.14"/>
    <col customWidth="1" min="3" max="3" width="25.43"/>
    <col customWidth="1" min="4" max="4" width="28.14"/>
    <col customWidth="1" min="5" max="5" width="16.71"/>
    <col customWidth="1" min="6" max="6" width="14.57"/>
    <col customWidth="1" min="7" max="9" width="13.71"/>
    <col customWidth="1" min="10" max="10" width="19.71"/>
    <col customWidth="1" min="11" max="11" width="36.43"/>
    <col customWidth="1" min="12" max="12" width="0.43"/>
    <col customWidth="1" min="13" max="17" width="10.71"/>
  </cols>
  <sheetData>
    <row r="1" ht="13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2"/>
      <c r="P1" s="2"/>
      <c r="Q1" s="2"/>
    </row>
    <row r="2" ht="15.0" customHeight="1">
      <c r="A2" s="3"/>
      <c r="B2" s="4"/>
      <c r="C2" s="4"/>
      <c r="D2" s="4"/>
      <c r="E2" s="4"/>
      <c r="F2" s="4"/>
      <c r="G2" s="4"/>
      <c r="H2" s="4"/>
      <c r="I2" s="4"/>
      <c r="J2" s="4"/>
      <c r="K2" s="5"/>
      <c r="L2" s="1"/>
      <c r="M2" s="1"/>
      <c r="N2" s="1"/>
      <c r="O2" s="2"/>
      <c r="P2" s="2"/>
      <c r="Q2" s="2"/>
    </row>
    <row r="3" ht="15.0" customHeight="1">
      <c r="A3" s="6"/>
      <c r="B3" s="1"/>
      <c r="C3" s="1"/>
      <c r="D3" s="1"/>
      <c r="E3" s="1"/>
      <c r="F3" s="1"/>
      <c r="G3" s="1"/>
      <c r="H3" s="1"/>
      <c r="I3" s="1"/>
      <c r="J3" s="1"/>
      <c r="K3" s="7"/>
      <c r="L3" s="1"/>
      <c r="M3" s="1"/>
      <c r="N3" s="1"/>
      <c r="O3" s="2"/>
      <c r="P3" s="2"/>
      <c r="Q3" s="2"/>
    </row>
    <row r="4" ht="15.0" customHeight="1">
      <c r="A4" s="6"/>
      <c r="B4" s="1"/>
      <c r="C4" s="1"/>
      <c r="D4" s="1"/>
      <c r="E4" s="1"/>
      <c r="F4" s="1"/>
      <c r="G4" s="1"/>
      <c r="H4" s="1"/>
      <c r="I4" s="1"/>
      <c r="J4" s="1"/>
      <c r="K4" s="7"/>
      <c r="L4" s="1"/>
      <c r="M4" s="1"/>
      <c r="N4" s="1"/>
      <c r="O4" s="2"/>
      <c r="P4" s="2"/>
      <c r="Q4" s="2"/>
    </row>
    <row r="5" ht="15.0" customHeight="1">
      <c r="A5" s="6"/>
      <c r="B5" s="1"/>
      <c r="C5" s="1"/>
      <c r="D5" s="1"/>
      <c r="E5" s="1"/>
      <c r="F5" s="1"/>
      <c r="G5" s="1"/>
      <c r="H5" s="1"/>
      <c r="I5" s="1"/>
      <c r="J5" s="1"/>
      <c r="K5" s="7"/>
      <c r="L5" s="1"/>
      <c r="M5" s="1"/>
      <c r="N5" s="1"/>
      <c r="O5" s="2"/>
      <c r="P5" s="2"/>
      <c r="Q5" s="2"/>
    </row>
    <row r="6" ht="15.0" customHeight="1">
      <c r="A6" s="6"/>
      <c r="B6" s="1"/>
      <c r="C6" s="1"/>
      <c r="D6" s="1"/>
      <c r="E6" s="1"/>
      <c r="F6" s="1"/>
      <c r="G6" s="1"/>
      <c r="H6" s="1"/>
      <c r="I6" s="1"/>
      <c r="J6" s="1"/>
      <c r="K6" s="7"/>
      <c r="L6" s="1"/>
      <c r="M6" s="1"/>
      <c r="N6" s="1"/>
      <c r="O6" s="2"/>
      <c r="P6" s="2"/>
      <c r="Q6" s="2"/>
    </row>
    <row r="7" ht="15.0" customHeight="1">
      <c r="A7" s="6"/>
      <c r="B7" s="1"/>
      <c r="C7" s="1"/>
      <c r="D7" s="1"/>
      <c r="E7" s="1"/>
      <c r="F7" s="1"/>
      <c r="G7" s="1"/>
      <c r="H7" s="1"/>
      <c r="I7" s="1"/>
      <c r="J7" s="1"/>
      <c r="K7" s="7"/>
      <c r="L7" s="1"/>
      <c r="M7" s="1"/>
      <c r="N7" s="1"/>
      <c r="O7" s="2"/>
      <c r="P7" s="2"/>
      <c r="Q7" s="2"/>
    </row>
    <row r="8" ht="9.75" customHeight="1">
      <c r="A8" s="6"/>
      <c r="B8" s="1"/>
      <c r="C8" s="1"/>
      <c r="D8" s="1"/>
      <c r="E8" s="1"/>
      <c r="F8" s="1"/>
      <c r="G8" s="1"/>
      <c r="H8" s="1"/>
      <c r="I8" s="1"/>
      <c r="J8" s="1"/>
      <c r="K8" s="7"/>
      <c r="L8" s="1"/>
      <c r="M8" s="1"/>
      <c r="N8" s="1"/>
      <c r="O8" s="2"/>
      <c r="P8" s="2"/>
      <c r="Q8" s="2"/>
    </row>
    <row r="9" ht="23.25" customHeight="1">
      <c r="A9" s="8" t="s">
        <v>0</v>
      </c>
      <c r="K9" s="9"/>
      <c r="L9" s="1"/>
      <c r="M9" s="1"/>
      <c r="N9" s="1"/>
      <c r="O9" s="2"/>
      <c r="P9" s="2"/>
      <c r="Q9" s="2"/>
    </row>
    <row r="10" ht="9.75" customHeight="1">
      <c r="A10" s="6"/>
      <c r="B10" s="1"/>
      <c r="C10" s="1"/>
      <c r="D10" s="1"/>
      <c r="E10" s="1"/>
      <c r="K10" s="9"/>
      <c r="L10" s="1"/>
      <c r="M10" s="1"/>
      <c r="N10" s="1"/>
      <c r="O10" s="2"/>
      <c r="P10" s="2"/>
      <c r="Q10" s="2"/>
    </row>
    <row r="11" ht="19.5" customHeight="1">
      <c r="A11" s="6"/>
      <c r="B11" s="10" t="s">
        <v>1</v>
      </c>
      <c r="C11" s="11"/>
      <c r="D11" s="11"/>
      <c r="E11" s="1"/>
      <c r="F11" s="1"/>
      <c r="G11" s="1"/>
      <c r="H11" s="1"/>
      <c r="I11" s="1"/>
      <c r="J11" s="1"/>
      <c r="K11" s="7"/>
      <c r="L11" s="1"/>
      <c r="M11" s="1"/>
      <c r="N11" s="1"/>
      <c r="O11" s="2"/>
      <c r="P11" s="2"/>
      <c r="Q11" s="2"/>
    </row>
    <row r="12" ht="12.75" customHeight="1">
      <c r="A12" s="6"/>
      <c r="B12" s="1"/>
      <c r="C12" s="1"/>
      <c r="D12" s="1"/>
      <c r="E12" s="1"/>
      <c r="F12" s="1"/>
      <c r="G12" s="1"/>
      <c r="H12" s="1"/>
      <c r="I12" s="1"/>
      <c r="J12" s="1"/>
      <c r="K12" s="7"/>
      <c r="L12" s="1"/>
      <c r="M12" s="1"/>
      <c r="N12" s="1"/>
      <c r="O12" s="2"/>
      <c r="P12" s="2"/>
      <c r="Q12" s="2"/>
    </row>
    <row r="13" ht="32.25" customHeight="1">
      <c r="A13" s="12" t="s">
        <v>2</v>
      </c>
      <c r="B13" s="13"/>
      <c r="C13" s="14" t="s">
        <v>3</v>
      </c>
      <c r="D13" s="13"/>
      <c r="E13" s="15" t="s">
        <v>4</v>
      </c>
      <c r="F13" s="15" t="s">
        <v>5</v>
      </c>
      <c r="G13" s="16" t="s">
        <v>6</v>
      </c>
      <c r="H13" s="17">
        <v>1.0</v>
      </c>
      <c r="I13" s="18" t="s">
        <v>7</v>
      </c>
      <c r="J13" s="19"/>
      <c r="K13" s="20"/>
      <c r="L13" s="1"/>
      <c r="M13" s="1"/>
      <c r="N13" s="1"/>
      <c r="O13" s="2"/>
      <c r="P13" s="2"/>
      <c r="Q13" s="2"/>
    </row>
    <row r="14" ht="35.25" customHeight="1">
      <c r="A14" s="21" t="s">
        <v>8</v>
      </c>
      <c r="B14" s="22" t="s">
        <v>9</v>
      </c>
      <c r="C14" s="23"/>
      <c r="D14" s="24"/>
      <c r="E14" s="25" t="s">
        <v>10</v>
      </c>
      <c r="F14" s="25" t="s">
        <v>11</v>
      </c>
      <c r="G14" s="26"/>
      <c r="H14" s="27"/>
      <c r="I14" s="28"/>
      <c r="J14" s="29"/>
      <c r="K14" s="30"/>
      <c r="L14" s="1"/>
      <c r="M14" s="1"/>
      <c r="N14" s="1"/>
      <c r="O14" s="2"/>
      <c r="P14" s="2"/>
      <c r="Q14" s="2"/>
    </row>
    <row r="15" ht="24.75" customHeight="1">
      <c r="A15" s="31" t="s">
        <v>12</v>
      </c>
      <c r="B15" s="32" t="s">
        <v>13</v>
      </c>
      <c r="C15" s="33" t="s">
        <v>14</v>
      </c>
      <c r="D15" s="33">
        <v>1.0</v>
      </c>
      <c r="E15" s="27"/>
      <c r="F15" s="27"/>
      <c r="G15" s="34"/>
      <c r="H15" s="35"/>
      <c r="I15" s="36"/>
      <c r="J15" s="23"/>
      <c r="K15" s="37"/>
      <c r="L15" s="1"/>
      <c r="M15" s="1"/>
      <c r="N15" s="1"/>
      <c r="O15" s="2"/>
      <c r="P15" s="2"/>
      <c r="Q15" s="2"/>
    </row>
    <row r="16" ht="40.5" customHeight="1">
      <c r="A16" s="38" t="s">
        <v>15</v>
      </c>
      <c r="B16" s="39" t="s">
        <v>16</v>
      </c>
      <c r="C16" s="23"/>
      <c r="D16" s="24"/>
      <c r="E16" s="40"/>
      <c r="F16" s="40"/>
      <c r="G16" s="40"/>
      <c r="H16" s="41" t="s">
        <v>17</v>
      </c>
      <c r="I16" s="42" t="s">
        <v>18</v>
      </c>
      <c r="J16" s="42" t="s">
        <v>19</v>
      </c>
      <c r="K16" s="43" t="s">
        <v>20</v>
      </c>
      <c r="L16" s="42" t="s">
        <v>19</v>
      </c>
      <c r="M16" s="1"/>
      <c r="N16" s="1"/>
      <c r="O16" s="2"/>
      <c r="P16" s="2"/>
      <c r="Q16" s="2"/>
    </row>
    <row r="17" ht="24.75" customHeight="1">
      <c r="A17" s="44">
        <v>1.0</v>
      </c>
      <c r="B17" s="45" t="s">
        <v>21</v>
      </c>
      <c r="C17" s="46" t="s">
        <v>22</v>
      </c>
      <c r="D17" s="47" t="s">
        <v>23</v>
      </c>
      <c r="E17" s="48">
        <v>7.3</v>
      </c>
      <c r="F17" s="48">
        <v>1.4</v>
      </c>
      <c r="G17" s="49"/>
      <c r="H17" s="49">
        <f t="shared" ref="H17:H63" si="1">SUM(E17:G17)</f>
        <v>8.7</v>
      </c>
      <c r="I17" s="50">
        <v>0.0</v>
      </c>
      <c r="J17" s="51">
        <f t="shared" ref="J17:J63" si="2">IF(H17&lt;6, 5, MIN(10, ROUND(H17, 0)))</f>
        <v>9</v>
      </c>
      <c r="K17" s="52"/>
      <c r="L17" s="53">
        <f t="shared" ref="L17:L63" si="3">IF(H17&gt;=6,ROUND(H17,0),TRUNC(H17,0))</f>
        <v>9</v>
      </c>
      <c r="M17" s="54" t="s">
        <v>24</v>
      </c>
      <c r="N17" s="24"/>
      <c r="O17" s="2"/>
      <c r="P17" s="2"/>
      <c r="Q17" s="2"/>
    </row>
    <row r="18" ht="24.75" customHeight="1">
      <c r="A18" s="44">
        <v>2.0</v>
      </c>
      <c r="B18" s="55" t="s">
        <v>25</v>
      </c>
      <c r="C18" s="46" t="s">
        <v>26</v>
      </c>
      <c r="D18" s="56" t="s">
        <v>27</v>
      </c>
      <c r="E18" s="48">
        <v>5.4</v>
      </c>
      <c r="F18" s="48">
        <v>1.4</v>
      </c>
      <c r="G18" s="49"/>
      <c r="H18" s="49">
        <f t="shared" si="1"/>
        <v>6.8</v>
      </c>
      <c r="I18" s="50">
        <v>2.0</v>
      </c>
      <c r="J18" s="51">
        <f t="shared" si="2"/>
        <v>7</v>
      </c>
      <c r="K18" s="44"/>
      <c r="L18" s="53">
        <f t="shared" si="3"/>
        <v>7</v>
      </c>
      <c r="M18" s="57" t="s">
        <v>28</v>
      </c>
      <c r="N18" s="58">
        <v>7.0</v>
      </c>
      <c r="O18" s="2"/>
      <c r="P18" s="2"/>
      <c r="Q18" s="2"/>
    </row>
    <row r="19" ht="24.75" customHeight="1">
      <c r="A19" s="44">
        <v>3.0</v>
      </c>
      <c r="B19" s="55" t="s">
        <v>29</v>
      </c>
      <c r="C19" s="46" t="s">
        <v>30</v>
      </c>
      <c r="D19" s="56" t="s">
        <v>31</v>
      </c>
      <c r="E19" s="48">
        <v>7.3</v>
      </c>
      <c r="F19" s="48">
        <v>2.0</v>
      </c>
      <c r="G19" s="49"/>
      <c r="H19" s="49">
        <f t="shared" si="1"/>
        <v>9.3</v>
      </c>
      <c r="I19" s="50">
        <v>0.0</v>
      </c>
      <c r="J19" s="51">
        <f t="shared" si="2"/>
        <v>9</v>
      </c>
      <c r="K19" s="44"/>
      <c r="L19" s="53">
        <f t="shared" si="3"/>
        <v>9</v>
      </c>
      <c r="M19" s="57" t="s">
        <v>32</v>
      </c>
      <c r="N19" s="58">
        <v>12.0</v>
      </c>
      <c r="O19" s="2"/>
      <c r="P19" s="2"/>
      <c r="Q19" s="2"/>
    </row>
    <row r="20" ht="24.75" customHeight="1">
      <c r="A20" s="44">
        <v>4.0</v>
      </c>
      <c r="B20" s="55" t="s">
        <v>33</v>
      </c>
      <c r="C20" s="46" t="s">
        <v>26</v>
      </c>
      <c r="D20" s="56" t="s">
        <v>34</v>
      </c>
      <c r="E20" s="48">
        <v>6.8</v>
      </c>
      <c r="F20" s="48">
        <v>2.0</v>
      </c>
      <c r="G20" s="59">
        <v>1.0</v>
      </c>
      <c r="H20" s="49">
        <f t="shared" si="1"/>
        <v>9.8</v>
      </c>
      <c r="I20" s="50">
        <v>0.0</v>
      </c>
      <c r="J20" s="51">
        <f t="shared" si="2"/>
        <v>10</v>
      </c>
      <c r="K20" s="44"/>
      <c r="L20" s="53">
        <f t="shared" si="3"/>
        <v>10</v>
      </c>
      <c r="M20" s="57" t="s">
        <v>35</v>
      </c>
      <c r="N20" s="58">
        <v>9.0</v>
      </c>
      <c r="O20" s="2"/>
      <c r="P20" s="2"/>
      <c r="Q20" s="2"/>
    </row>
    <row r="21" ht="24.75" customHeight="1">
      <c r="A21" s="44">
        <v>5.0</v>
      </c>
      <c r="B21" s="55" t="s">
        <v>36</v>
      </c>
      <c r="C21" s="46" t="s">
        <v>37</v>
      </c>
      <c r="D21" s="56" t="s">
        <v>38</v>
      </c>
      <c r="E21" s="48">
        <v>7.8</v>
      </c>
      <c r="F21" s="48">
        <v>1.8</v>
      </c>
      <c r="G21" s="49"/>
      <c r="H21" s="49">
        <f t="shared" si="1"/>
        <v>9.6</v>
      </c>
      <c r="I21" s="50">
        <v>0.0</v>
      </c>
      <c r="J21" s="51">
        <f t="shared" si="2"/>
        <v>10</v>
      </c>
      <c r="K21" s="44"/>
      <c r="L21" s="53">
        <f t="shared" si="3"/>
        <v>10</v>
      </c>
      <c r="M21" s="57" t="s">
        <v>39</v>
      </c>
      <c r="N21" s="58">
        <v>10.0</v>
      </c>
      <c r="O21" s="2"/>
      <c r="P21" s="2"/>
      <c r="Q21" s="2"/>
    </row>
    <row r="22" ht="24.75" customHeight="1">
      <c r="A22" s="44">
        <v>6.0</v>
      </c>
      <c r="B22" s="55" t="s">
        <v>40</v>
      </c>
      <c r="C22" s="46" t="s">
        <v>41</v>
      </c>
      <c r="D22" s="56" t="s">
        <v>42</v>
      </c>
      <c r="E22" s="48">
        <v>7.9</v>
      </c>
      <c r="F22" s="48">
        <v>1.9</v>
      </c>
      <c r="G22" s="49"/>
      <c r="H22" s="49">
        <f t="shared" si="1"/>
        <v>9.8</v>
      </c>
      <c r="I22" s="50">
        <v>0.0</v>
      </c>
      <c r="J22" s="51">
        <f t="shared" si="2"/>
        <v>10</v>
      </c>
      <c r="K22" s="44"/>
      <c r="L22" s="53">
        <f t="shared" si="3"/>
        <v>10</v>
      </c>
      <c r="M22" s="57" t="s">
        <v>43</v>
      </c>
      <c r="N22" s="58">
        <v>14.0</v>
      </c>
      <c r="O22" s="2"/>
      <c r="P22" s="2"/>
      <c r="Q22" s="2"/>
    </row>
    <row r="23" ht="24.75" customHeight="1">
      <c r="A23" s="44">
        <v>7.0</v>
      </c>
      <c r="B23" s="55" t="s">
        <v>44</v>
      </c>
      <c r="C23" s="46" t="s">
        <v>45</v>
      </c>
      <c r="D23" s="56" t="s">
        <v>46</v>
      </c>
      <c r="E23" s="48">
        <v>2.3</v>
      </c>
      <c r="F23" s="48">
        <v>0.0</v>
      </c>
      <c r="G23" s="49"/>
      <c r="H23" s="49">
        <f t="shared" si="1"/>
        <v>2.3</v>
      </c>
      <c r="I23" s="60">
        <v>0.0</v>
      </c>
      <c r="J23" s="51">
        <f t="shared" si="2"/>
        <v>5</v>
      </c>
      <c r="K23" s="44"/>
      <c r="L23" s="53">
        <f t="shared" si="3"/>
        <v>2</v>
      </c>
      <c r="M23" s="57" t="s">
        <v>47</v>
      </c>
      <c r="N23" s="58">
        <v>6.0</v>
      </c>
      <c r="O23" s="2"/>
      <c r="P23" s="2"/>
      <c r="Q23" s="2"/>
    </row>
    <row r="24" ht="24.75" customHeight="1">
      <c r="A24" s="44">
        <v>8.0</v>
      </c>
      <c r="B24" s="55" t="s">
        <v>48</v>
      </c>
      <c r="C24" s="46" t="s">
        <v>49</v>
      </c>
      <c r="D24" s="56" t="s">
        <v>50</v>
      </c>
      <c r="E24" s="48">
        <v>3.8</v>
      </c>
      <c r="F24" s="61">
        <v>1.8</v>
      </c>
      <c r="G24" s="49"/>
      <c r="H24" s="49">
        <f t="shared" si="1"/>
        <v>5.6</v>
      </c>
      <c r="I24" s="60">
        <v>1.0</v>
      </c>
      <c r="J24" s="51">
        <f t="shared" si="2"/>
        <v>5</v>
      </c>
      <c r="K24" s="44"/>
      <c r="L24" s="53">
        <f t="shared" si="3"/>
        <v>5</v>
      </c>
      <c r="M24" s="57" t="s">
        <v>51</v>
      </c>
      <c r="N24" s="57">
        <f>SUM(N18:N23)</f>
        <v>58</v>
      </c>
      <c r="O24" s="2"/>
      <c r="P24" s="2"/>
      <c r="Q24" s="2"/>
    </row>
    <row r="25" ht="24.75" customHeight="1">
      <c r="A25" s="44">
        <v>9.0</v>
      </c>
      <c r="B25" s="55" t="s">
        <v>52</v>
      </c>
      <c r="C25" s="46" t="s">
        <v>30</v>
      </c>
      <c r="D25" s="56" t="s">
        <v>53</v>
      </c>
      <c r="E25" s="48">
        <v>7.9</v>
      </c>
      <c r="F25" s="48">
        <v>2.0</v>
      </c>
      <c r="G25" s="49"/>
      <c r="H25" s="49">
        <f t="shared" si="1"/>
        <v>9.9</v>
      </c>
      <c r="I25" s="60">
        <v>0.0</v>
      </c>
      <c r="J25" s="51">
        <f t="shared" si="2"/>
        <v>10</v>
      </c>
      <c r="K25" s="44"/>
      <c r="L25" s="53">
        <f t="shared" si="3"/>
        <v>10</v>
      </c>
      <c r="M25" s="1"/>
      <c r="N25" s="1"/>
      <c r="O25" s="2"/>
      <c r="P25" s="2"/>
      <c r="Q25" s="2"/>
    </row>
    <row r="26" ht="24.75" customHeight="1">
      <c r="A26" s="44">
        <v>10.0</v>
      </c>
      <c r="B26" s="55" t="s">
        <v>54</v>
      </c>
      <c r="C26" s="46" t="s">
        <v>55</v>
      </c>
      <c r="D26" s="56" t="s">
        <v>56</v>
      </c>
      <c r="E26" s="48">
        <v>4.7</v>
      </c>
      <c r="F26" s="48">
        <v>1.9</v>
      </c>
      <c r="G26" s="49"/>
      <c r="H26" s="49">
        <f t="shared" si="1"/>
        <v>6.6</v>
      </c>
      <c r="I26" s="60">
        <v>4.0</v>
      </c>
      <c r="J26" s="51">
        <f t="shared" si="2"/>
        <v>7</v>
      </c>
      <c r="K26" s="44"/>
      <c r="L26" s="53">
        <f t="shared" si="3"/>
        <v>7</v>
      </c>
      <c r="M26" s="1"/>
      <c r="N26" s="1"/>
      <c r="O26" s="2"/>
      <c r="P26" s="2"/>
      <c r="Q26" s="2"/>
    </row>
    <row r="27" ht="24.75" customHeight="1">
      <c r="A27" s="44">
        <v>11.0</v>
      </c>
      <c r="B27" s="55" t="s">
        <v>30</v>
      </c>
      <c r="C27" s="46" t="s">
        <v>57</v>
      </c>
      <c r="D27" s="46" t="s">
        <v>58</v>
      </c>
      <c r="E27" s="48">
        <v>7.3</v>
      </c>
      <c r="F27" s="48">
        <v>2.0</v>
      </c>
      <c r="G27" s="49"/>
      <c r="H27" s="49">
        <f t="shared" si="1"/>
        <v>9.3</v>
      </c>
      <c r="I27" s="60">
        <v>0.0</v>
      </c>
      <c r="J27" s="51">
        <f t="shared" si="2"/>
        <v>9</v>
      </c>
      <c r="K27" s="44"/>
      <c r="L27" s="53">
        <f t="shared" si="3"/>
        <v>9</v>
      </c>
      <c r="M27" s="1"/>
      <c r="N27" s="1"/>
      <c r="O27" s="2"/>
      <c r="P27" s="2"/>
      <c r="Q27" s="2"/>
    </row>
    <row r="28" ht="24.75" customHeight="1">
      <c r="A28" s="44">
        <v>12.0</v>
      </c>
      <c r="B28" s="55" t="s">
        <v>22</v>
      </c>
      <c r="C28" s="46" t="s">
        <v>59</v>
      </c>
      <c r="D28" s="56" t="s">
        <v>60</v>
      </c>
      <c r="E28" s="48">
        <v>6.4</v>
      </c>
      <c r="F28" s="48">
        <v>2.0</v>
      </c>
      <c r="G28" s="49"/>
      <c r="H28" s="49">
        <f t="shared" si="1"/>
        <v>8.4</v>
      </c>
      <c r="I28" s="60">
        <v>0.0</v>
      </c>
      <c r="J28" s="51">
        <f t="shared" si="2"/>
        <v>8</v>
      </c>
      <c r="K28" s="44"/>
      <c r="L28" s="53">
        <f t="shared" si="3"/>
        <v>8</v>
      </c>
      <c r="M28" s="1"/>
      <c r="N28" s="1"/>
      <c r="O28" s="2"/>
      <c r="P28" s="2"/>
      <c r="Q28" s="2"/>
    </row>
    <row r="29" ht="24.75" customHeight="1">
      <c r="A29" s="44">
        <v>13.0</v>
      </c>
      <c r="B29" s="55" t="s">
        <v>61</v>
      </c>
      <c r="C29" s="46" t="s">
        <v>22</v>
      </c>
      <c r="D29" s="56" t="s">
        <v>62</v>
      </c>
      <c r="E29" s="48">
        <v>7.0</v>
      </c>
      <c r="F29" s="48">
        <v>1.4</v>
      </c>
      <c r="G29" s="49"/>
      <c r="H29" s="49">
        <f t="shared" si="1"/>
        <v>8.4</v>
      </c>
      <c r="I29" s="60">
        <v>0.0</v>
      </c>
      <c r="J29" s="51">
        <f t="shared" si="2"/>
        <v>8</v>
      </c>
      <c r="K29" s="44"/>
      <c r="L29" s="53">
        <f t="shared" si="3"/>
        <v>8</v>
      </c>
      <c r="M29" s="1"/>
      <c r="N29" s="1"/>
      <c r="O29" s="2"/>
      <c r="P29" s="2"/>
      <c r="Q29" s="2"/>
    </row>
    <row r="30" ht="24.75" customHeight="1">
      <c r="A30" s="44">
        <v>14.0</v>
      </c>
      <c r="B30" s="55" t="s">
        <v>61</v>
      </c>
      <c r="C30" s="46" t="s">
        <v>63</v>
      </c>
      <c r="D30" s="56" t="s">
        <v>64</v>
      </c>
      <c r="E30" s="48">
        <v>1.8</v>
      </c>
      <c r="F30" s="48">
        <v>1.9</v>
      </c>
      <c r="G30" s="49"/>
      <c r="H30" s="49">
        <f t="shared" si="1"/>
        <v>3.7</v>
      </c>
      <c r="I30" s="60">
        <v>4.0</v>
      </c>
      <c r="J30" s="51">
        <f t="shared" si="2"/>
        <v>5</v>
      </c>
      <c r="K30" s="44"/>
      <c r="L30" s="53">
        <f t="shared" si="3"/>
        <v>3</v>
      </c>
      <c r="M30" s="1"/>
      <c r="N30" s="1"/>
      <c r="O30" s="2"/>
      <c r="P30" s="2"/>
      <c r="Q30" s="2"/>
    </row>
    <row r="31" ht="24.75" customHeight="1">
      <c r="A31" s="44">
        <v>15.0</v>
      </c>
      <c r="B31" s="55" t="s">
        <v>61</v>
      </c>
      <c r="C31" s="46" t="s">
        <v>65</v>
      </c>
      <c r="D31" s="56" t="s">
        <v>27</v>
      </c>
      <c r="E31" s="48">
        <v>7.5</v>
      </c>
      <c r="F31" s="48">
        <v>1.8</v>
      </c>
      <c r="G31" s="59">
        <v>1.0</v>
      </c>
      <c r="H31" s="49">
        <f t="shared" si="1"/>
        <v>10.3</v>
      </c>
      <c r="I31" s="60">
        <v>0.0</v>
      </c>
      <c r="J31" s="51">
        <f t="shared" si="2"/>
        <v>10</v>
      </c>
      <c r="K31" s="44"/>
      <c r="L31" s="53">
        <f t="shared" si="3"/>
        <v>10</v>
      </c>
      <c r="M31" s="1"/>
      <c r="N31" s="1"/>
      <c r="O31" s="2"/>
      <c r="P31" s="2"/>
      <c r="Q31" s="2"/>
    </row>
    <row r="32" ht="24.75" customHeight="1">
      <c r="A32" s="44">
        <v>16.0</v>
      </c>
      <c r="B32" s="55" t="s">
        <v>66</v>
      </c>
      <c r="C32" s="46" t="s">
        <v>67</v>
      </c>
      <c r="D32" s="56" t="s">
        <v>68</v>
      </c>
      <c r="E32" s="48">
        <v>5.8</v>
      </c>
      <c r="F32" s="48">
        <v>1.9</v>
      </c>
      <c r="G32" s="49"/>
      <c r="H32" s="49">
        <f t="shared" si="1"/>
        <v>7.7</v>
      </c>
      <c r="I32" s="60">
        <v>0.0</v>
      </c>
      <c r="J32" s="51">
        <f t="shared" si="2"/>
        <v>8</v>
      </c>
      <c r="K32" s="44"/>
      <c r="L32" s="53">
        <f t="shared" si="3"/>
        <v>8</v>
      </c>
      <c r="M32" s="1"/>
      <c r="N32" s="1"/>
      <c r="O32" s="2"/>
      <c r="P32" s="2"/>
      <c r="Q32" s="2"/>
    </row>
    <row r="33" ht="24.75" customHeight="1">
      <c r="A33" s="44">
        <v>17.0</v>
      </c>
      <c r="B33" s="55" t="s">
        <v>69</v>
      </c>
      <c r="C33" s="46" t="s">
        <v>70</v>
      </c>
      <c r="D33" s="56" t="s">
        <v>71</v>
      </c>
      <c r="E33" s="48">
        <v>7.8</v>
      </c>
      <c r="F33" s="48">
        <v>2.0</v>
      </c>
      <c r="G33" s="59">
        <v>1.0</v>
      </c>
      <c r="H33" s="49">
        <f t="shared" si="1"/>
        <v>10.8</v>
      </c>
      <c r="I33" s="60">
        <v>0.0</v>
      </c>
      <c r="J33" s="51">
        <f t="shared" si="2"/>
        <v>10</v>
      </c>
      <c r="K33" s="44"/>
      <c r="L33" s="53">
        <f t="shared" si="3"/>
        <v>11</v>
      </c>
      <c r="M33" s="1"/>
      <c r="N33" s="1"/>
      <c r="O33" s="2"/>
      <c r="P33" s="2"/>
      <c r="Q33" s="2"/>
    </row>
    <row r="34" ht="24.75" customHeight="1">
      <c r="A34" s="44">
        <v>18.0</v>
      </c>
      <c r="B34" s="55" t="s">
        <v>41</v>
      </c>
      <c r="C34" s="46" t="s">
        <v>72</v>
      </c>
      <c r="D34" s="56" t="s">
        <v>73</v>
      </c>
      <c r="E34" s="48">
        <v>2.2</v>
      </c>
      <c r="F34" s="48">
        <v>1.5</v>
      </c>
      <c r="G34" s="49"/>
      <c r="H34" s="49">
        <f t="shared" si="1"/>
        <v>3.7</v>
      </c>
      <c r="I34" s="60">
        <v>6.0</v>
      </c>
      <c r="J34" s="51">
        <f t="shared" si="2"/>
        <v>5</v>
      </c>
      <c r="K34" s="44"/>
      <c r="L34" s="53">
        <f t="shared" si="3"/>
        <v>3</v>
      </c>
      <c r="M34" s="1"/>
      <c r="N34" s="1"/>
      <c r="O34" s="2"/>
      <c r="P34" s="2"/>
      <c r="Q34" s="2"/>
    </row>
    <row r="35" ht="24.75" customHeight="1">
      <c r="A35" s="44">
        <v>19.0</v>
      </c>
      <c r="B35" s="55" t="s">
        <v>41</v>
      </c>
      <c r="C35" s="46" t="s">
        <v>74</v>
      </c>
      <c r="D35" s="56" t="s">
        <v>75</v>
      </c>
      <c r="E35" s="48">
        <v>6.6</v>
      </c>
      <c r="F35" s="48">
        <v>1.4</v>
      </c>
      <c r="G35" s="59">
        <v>1.0</v>
      </c>
      <c r="H35" s="49">
        <f t="shared" si="1"/>
        <v>9</v>
      </c>
      <c r="I35" s="60">
        <v>0.0</v>
      </c>
      <c r="J35" s="51">
        <f t="shared" si="2"/>
        <v>9</v>
      </c>
      <c r="K35" s="44"/>
      <c r="L35" s="53">
        <f t="shared" si="3"/>
        <v>9</v>
      </c>
      <c r="M35" s="1"/>
      <c r="N35" s="1"/>
      <c r="O35" s="2"/>
      <c r="P35" s="2"/>
      <c r="Q35" s="2"/>
    </row>
    <row r="36" ht="24.75" customHeight="1">
      <c r="A36" s="44">
        <v>20.0</v>
      </c>
      <c r="B36" s="55" t="s">
        <v>76</v>
      </c>
      <c r="C36" s="46" t="s">
        <v>77</v>
      </c>
      <c r="D36" s="56" t="s">
        <v>78</v>
      </c>
      <c r="E36" s="48">
        <v>7.2</v>
      </c>
      <c r="F36" s="48">
        <v>1.4</v>
      </c>
      <c r="G36" s="59">
        <v>1.0</v>
      </c>
      <c r="H36" s="49">
        <f t="shared" si="1"/>
        <v>9.6</v>
      </c>
      <c r="I36" s="60">
        <v>0.0</v>
      </c>
      <c r="J36" s="51">
        <f t="shared" si="2"/>
        <v>10</v>
      </c>
      <c r="K36" s="44"/>
      <c r="L36" s="53">
        <f t="shared" si="3"/>
        <v>10</v>
      </c>
      <c r="M36" s="1"/>
      <c r="N36" s="1"/>
      <c r="O36" s="2"/>
      <c r="P36" s="2"/>
      <c r="Q36" s="2"/>
    </row>
    <row r="37" ht="24.75" customHeight="1">
      <c r="A37" s="44">
        <v>21.0</v>
      </c>
      <c r="B37" s="55" t="s">
        <v>79</v>
      </c>
      <c r="C37" s="46" t="s">
        <v>22</v>
      </c>
      <c r="D37" s="56" t="s">
        <v>80</v>
      </c>
      <c r="E37" s="48">
        <v>6.5</v>
      </c>
      <c r="F37" s="48">
        <v>1.6</v>
      </c>
      <c r="G37" s="59">
        <v>1.0</v>
      </c>
      <c r="H37" s="49">
        <f t="shared" si="1"/>
        <v>9.1</v>
      </c>
      <c r="I37" s="60">
        <v>0.0</v>
      </c>
      <c r="J37" s="51">
        <f t="shared" si="2"/>
        <v>9</v>
      </c>
      <c r="K37" s="44"/>
      <c r="L37" s="53">
        <f t="shared" si="3"/>
        <v>9</v>
      </c>
      <c r="M37" s="1"/>
      <c r="N37" s="1"/>
      <c r="O37" s="2"/>
      <c r="P37" s="2"/>
      <c r="Q37" s="2"/>
    </row>
    <row r="38" ht="24.75" customHeight="1">
      <c r="A38" s="44">
        <v>22.0</v>
      </c>
      <c r="B38" s="55" t="s">
        <v>79</v>
      </c>
      <c r="C38" s="46" t="s">
        <v>81</v>
      </c>
      <c r="D38" s="56" t="s">
        <v>82</v>
      </c>
      <c r="E38" s="48">
        <v>7.1</v>
      </c>
      <c r="F38" s="48">
        <v>2.0</v>
      </c>
      <c r="G38" s="49"/>
      <c r="H38" s="49">
        <f t="shared" si="1"/>
        <v>9.1</v>
      </c>
      <c r="I38" s="60">
        <v>0.0</v>
      </c>
      <c r="J38" s="51">
        <f t="shared" si="2"/>
        <v>9</v>
      </c>
      <c r="K38" s="44"/>
      <c r="L38" s="53">
        <f t="shared" si="3"/>
        <v>9</v>
      </c>
      <c r="M38" s="1"/>
      <c r="N38" s="1"/>
      <c r="O38" s="2"/>
      <c r="P38" s="2"/>
      <c r="Q38" s="2"/>
    </row>
    <row r="39" ht="24.75" customHeight="1">
      <c r="A39" s="44">
        <v>23.0</v>
      </c>
      <c r="B39" s="55" t="s">
        <v>79</v>
      </c>
      <c r="C39" s="46" t="s">
        <v>83</v>
      </c>
      <c r="D39" s="56" t="s">
        <v>84</v>
      </c>
      <c r="E39" s="48">
        <v>7.3</v>
      </c>
      <c r="F39" s="48">
        <v>2.0</v>
      </c>
      <c r="G39" s="49"/>
      <c r="H39" s="49">
        <f t="shared" si="1"/>
        <v>9.3</v>
      </c>
      <c r="I39" s="60">
        <v>0.0</v>
      </c>
      <c r="J39" s="51">
        <f t="shared" si="2"/>
        <v>9</v>
      </c>
      <c r="K39" s="44"/>
      <c r="L39" s="53">
        <f t="shared" si="3"/>
        <v>9</v>
      </c>
      <c r="M39" s="1"/>
      <c r="N39" s="1"/>
      <c r="O39" s="2"/>
      <c r="P39" s="2"/>
      <c r="Q39" s="2"/>
    </row>
    <row r="40" ht="24.75" customHeight="1">
      <c r="A40" s="44">
        <v>24.0</v>
      </c>
      <c r="B40" s="55" t="s">
        <v>85</v>
      </c>
      <c r="C40" s="46" t="s">
        <v>54</v>
      </c>
      <c r="D40" s="56" t="s">
        <v>86</v>
      </c>
      <c r="E40" s="48">
        <v>2.2</v>
      </c>
      <c r="F40" s="48">
        <v>1.9</v>
      </c>
      <c r="G40" s="49"/>
      <c r="H40" s="49">
        <f t="shared" si="1"/>
        <v>4.1</v>
      </c>
      <c r="I40" s="60">
        <v>0.0</v>
      </c>
      <c r="J40" s="51">
        <f t="shared" si="2"/>
        <v>5</v>
      </c>
      <c r="K40" s="44"/>
      <c r="L40" s="53">
        <f t="shared" si="3"/>
        <v>4</v>
      </c>
      <c r="M40" s="1"/>
      <c r="N40" s="1"/>
      <c r="O40" s="2"/>
      <c r="P40" s="2"/>
      <c r="Q40" s="2"/>
    </row>
    <row r="41" ht="24.75" customHeight="1">
      <c r="A41" s="44">
        <v>25.0</v>
      </c>
      <c r="B41" s="55" t="s">
        <v>87</v>
      </c>
      <c r="C41" s="46" t="s">
        <v>88</v>
      </c>
      <c r="D41" s="56" t="s">
        <v>89</v>
      </c>
      <c r="E41" s="48">
        <v>5.8</v>
      </c>
      <c r="F41" s="48">
        <v>1.4</v>
      </c>
      <c r="G41" s="49"/>
      <c r="H41" s="49">
        <f t="shared" si="1"/>
        <v>7.2</v>
      </c>
      <c r="I41" s="60">
        <v>0.0</v>
      </c>
      <c r="J41" s="51">
        <f t="shared" si="2"/>
        <v>7</v>
      </c>
      <c r="K41" s="44"/>
      <c r="L41" s="53">
        <f t="shared" si="3"/>
        <v>7</v>
      </c>
      <c r="M41" s="1"/>
      <c r="N41" s="1"/>
      <c r="O41" s="2"/>
      <c r="P41" s="2"/>
      <c r="Q41" s="2"/>
    </row>
    <row r="42" ht="24.75" customHeight="1">
      <c r="A42" s="44">
        <v>26.0</v>
      </c>
      <c r="B42" s="55" t="s">
        <v>90</v>
      </c>
      <c r="C42" s="46" t="s">
        <v>91</v>
      </c>
      <c r="D42" s="56" t="s">
        <v>62</v>
      </c>
      <c r="E42" s="48">
        <v>3.5</v>
      </c>
      <c r="F42" s="48">
        <v>1.8</v>
      </c>
      <c r="G42" s="49"/>
      <c r="H42" s="49">
        <f t="shared" si="1"/>
        <v>5.3</v>
      </c>
      <c r="I42" s="60">
        <v>5.0</v>
      </c>
      <c r="J42" s="51">
        <f t="shared" si="2"/>
        <v>5</v>
      </c>
      <c r="K42" s="44"/>
      <c r="L42" s="53">
        <f t="shared" si="3"/>
        <v>5</v>
      </c>
      <c r="M42" s="1"/>
      <c r="N42" s="1"/>
      <c r="O42" s="2"/>
      <c r="P42" s="2"/>
      <c r="Q42" s="2"/>
    </row>
    <row r="43" ht="24.75" customHeight="1">
      <c r="A43" s="44">
        <v>27.0</v>
      </c>
      <c r="B43" s="55" t="s">
        <v>90</v>
      </c>
      <c r="C43" s="46" t="s">
        <v>92</v>
      </c>
      <c r="D43" s="56" t="s">
        <v>93</v>
      </c>
      <c r="E43" s="48">
        <v>6.5</v>
      </c>
      <c r="F43" s="48">
        <v>1.4</v>
      </c>
      <c r="G43" s="59">
        <v>1.0</v>
      </c>
      <c r="H43" s="49">
        <f t="shared" si="1"/>
        <v>8.9</v>
      </c>
      <c r="I43" s="60">
        <v>0.0</v>
      </c>
      <c r="J43" s="51">
        <f t="shared" si="2"/>
        <v>9</v>
      </c>
      <c r="K43" s="44"/>
      <c r="L43" s="53">
        <f t="shared" si="3"/>
        <v>9</v>
      </c>
      <c r="M43" s="1"/>
      <c r="N43" s="1"/>
      <c r="O43" s="2"/>
      <c r="P43" s="2"/>
      <c r="Q43" s="2"/>
    </row>
    <row r="44" ht="24.75" customHeight="1">
      <c r="A44" s="44">
        <v>28.0</v>
      </c>
      <c r="B44" s="55" t="s">
        <v>94</v>
      </c>
      <c r="C44" s="46" t="s">
        <v>22</v>
      </c>
      <c r="D44" s="56" t="s">
        <v>95</v>
      </c>
      <c r="E44" s="48">
        <v>4.7</v>
      </c>
      <c r="F44" s="48">
        <v>1.6</v>
      </c>
      <c r="G44" s="49"/>
      <c r="H44" s="49">
        <f t="shared" si="1"/>
        <v>6.3</v>
      </c>
      <c r="I44" s="60">
        <v>0.0</v>
      </c>
      <c r="J44" s="51">
        <f t="shared" si="2"/>
        <v>6</v>
      </c>
      <c r="K44" s="44"/>
      <c r="L44" s="53">
        <f t="shared" si="3"/>
        <v>6</v>
      </c>
      <c r="M44" s="1"/>
      <c r="N44" s="1"/>
      <c r="O44" s="2"/>
      <c r="P44" s="2"/>
      <c r="Q44" s="2"/>
    </row>
    <row r="45" ht="24.75" customHeight="1">
      <c r="A45" s="44">
        <v>29.0</v>
      </c>
      <c r="B45" s="55" t="s">
        <v>96</v>
      </c>
      <c r="C45" s="46" t="s">
        <v>97</v>
      </c>
      <c r="D45" s="56" t="s">
        <v>98</v>
      </c>
      <c r="E45" s="48">
        <v>6.7</v>
      </c>
      <c r="F45" s="48">
        <v>1.4</v>
      </c>
      <c r="G45" s="49"/>
      <c r="H45" s="49">
        <f t="shared" si="1"/>
        <v>8.1</v>
      </c>
      <c r="I45" s="60">
        <v>0.0</v>
      </c>
      <c r="J45" s="51">
        <f t="shared" si="2"/>
        <v>8</v>
      </c>
      <c r="K45" s="44"/>
      <c r="L45" s="53">
        <f t="shared" si="3"/>
        <v>8</v>
      </c>
      <c r="M45" s="1"/>
      <c r="N45" s="1"/>
      <c r="O45" s="2"/>
      <c r="P45" s="2"/>
      <c r="Q45" s="2"/>
    </row>
    <row r="46" ht="24.75" customHeight="1">
      <c r="A46" s="44">
        <v>30.0</v>
      </c>
      <c r="B46" s="55" t="s">
        <v>99</v>
      </c>
      <c r="C46" s="46" t="s">
        <v>92</v>
      </c>
      <c r="D46" s="56" t="s">
        <v>100</v>
      </c>
      <c r="E46" s="48">
        <v>6.0</v>
      </c>
      <c r="F46" s="48">
        <v>1.6</v>
      </c>
      <c r="G46" s="49"/>
      <c r="H46" s="49">
        <f t="shared" si="1"/>
        <v>7.6</v>
      </c>
      <c r="I46" s="60">
        <v>0.0</v>
      </c>
      <c r="J46" s="51">
        <f t="shared" si="2"/>
        <v>8</v>
      </c>
      <c r="K46" s="44"/>
      <c r="L46" s="53">
        <f t="shared" si="3"/>
        <v>8</v>
      </c>
      <c r="M46" s="1"/>
      <c r="N46" s="1"/>
      <c r="O46" s="2"/>
      <c r="P46" s="2"/>
      <c r="Q46" s="2"/>
    </row>
    <row r="47" ht="24.75" customHeight="1">
      <c r="A47" s="44">
        <v>31.0</v>
      </c>
      <c r="B47" s="55" t="s">
        <v>92</v>
      </c>
      <c r="C47" s="46" t="s">
        <v>101</v>
      </c>
      <c r="D47" s="56" t="s">
        <v>102</v>
      </c>
      <c r="E47" s="48">
        <v>6.7</v>
      </c>
      <c r="F47" s="48">
        <v>1.8</v>
      </c>
      <c r="G47" s="59">
        <v>1.0</v>
      </c>
      <c r="H47" s="49">
        <f t="shared" si="1"/>
        <v>9.5</v>
      </c>
      <c r="I47" s="60">
        <v>0.0</v>
      </c>
      <c r="J47" s="51">
        <f t="shared" si="2"/>
        <v>10</v>
      </c>
      <c r="K47" s="44"/>
      <c r="L47" s="53">
        <f t="shared" si="3"/>
        <v>10</v>
      </c>
      <c r="M47" s="1"/>
      <c r="N47" s="1"/>
      <c r="O47" s="2"/>
      <c r="P47" s="2"/>
      <c r="Q47" s="2"/>
    </row>
    <row r="48" ht="24.75" customHeight="1">
      <c r="A48" s="44">
        <v>32.0</v>
      </c>
      <c r="B48" s="55" t="s">
        <v>103</v>
      </c>
      <c r="C48" s="52" t="s">
        <v>104</v>
      </c>
      <c r="D48" s="56" t="s">
        <v>105</v>
      </c>
      <c r="E48" s="48">
        <v>6.3</v>
      </c>
      <c r="F48" s="48">
        <v>1.6</v>
      </c>
      <c r="G48" s="59">
        <v>1.0</v>
      </c>
      <c r="H48" s="49">
        <f t="shared" si="1"/>
        <v>8.9</v>
      </c>
      <c r="I48" s="60">
        <v>0.0</v>
      </c>
      <c r="J48" s="51">
        <f t="shared" si="2"/>
        <v>9</v>
      </c>
      <c r="K48" s="44"/>
      <c r="L48" s="53">
        <f t="shared" si="3"/>
        <v>9</v>
      </c>
      <c r="M48" s="1"/>
      <c r="N48" s="1"/>
      <c r="O48" s="2"/>
      <c r="P48" s="2"/>
      <c r="Q48" s="2"/>
    </row>
    <row r="49" ht="24.75" customHeight="1">
      <c r="A49" s="44">
        <v>33.0</v>
      </c>
      <c r="B49" s="55" t="s">
        <v>103</v>
      </c>
      <c r="C49" s="52" t="s">
        <v>106</v>
      </c>
      <c r="D49" s="56" t="s">
        <v>107</v>
      </c>
      <c r="E49" s="48">
        <v>6.9</v>
      </c>
      <c r="F49" s="48">
        <v>1.9</v>
      </c>
      <c r="G49" s="49"/>
      <c r="H49" s="49">
        <f t="shared" si="1"/>
        <v>8.8</v>
      </c>
      <c r="I49" s="60">
        <v>0.0</v>
      </c>
      <c r="J49" s="51">
        <f t="shared" si="2"/>
        <v>9</v>
      </c>
      <c r="K49" s="44"/>
      <c r="L49" s="53">
        <f t="shared" si="3"/>
        <v>9</v>
      </c>
      <c r="M49" s="1"/>
      <c r="N49" s="1"/>
      <c r="O49" s="2"/>
      <c r="P49" s="2"/>
      <c r="Q49" s="2"/>
    </row>
    <row r="50" ht="24.75" customHeight="1">
      <c r="A50" s="44">
        <v>34.0</v>
      </c>
      <c r="B50" s="55" t="s">
        <v>103</v>
      </c>
      <c r="C50" s="52" t="s">
        <v>108</v>
      </c>
      <c r="D50" s="56" t="s">
        <v>102</v>
      </c>
      <c r="E50" s="48">
        <v>6.6</v>
      </c>
      <c r="F50" s="48">
        <v>1.9</v>
      </c>
      <c r="G50" s="49"/>
      <c r="H50" s="49">
        <f t="shared" si="1"/>
        <v>8.5</v>
      </c>
      <c r="I50" s="60">
        <v>0.0</v>
      </c>
      <c r="J50" s="51">
        <f t="shared" si="2"/>
        <v>9</v>
      </c>
      <c r="K50" s="44"/>
      <c r="L50" s="53">
        <f t="shared" si="3"/>
        <v>9</v>
      </c>
      <c r="M50" s="1"/>
      <c r="N50" s="1"/>
      <c r="O50" s="2"/>
      <c r="P50" s="2"/>
      <c r="Q50" s="2"/>
    </row>
    <row r="51" ht="24.75" customHeight="1">
      <c r="A51" s="44">
        <v>35.0</v>
      </c>
      <c r="B51" s="55" t="s">
        <v>109</v>
      </c>
      <c r="C51" s="52" t="s">
        <v>110</v>
      </c>
      <c r="D51" s="56" t="s">
        <v>111</v>
      </c>
      <c r="E51" s="48">
        <v>7.1</v>
      </c>
      <c r="F51" s="48">
        <v>1.4</v>
      </c>
      <c r="G51" s="49"/>
      <c r="H51" s="49">
        <f t="shared" si="1"/>
        <v>8.5</v>
      </c>
      <c r="I51" s="60">
        <v>0.0</v>
      </c>
      <c r="J51" s="51">
        <f t="shared" si="2"/>
        <v>9</v>
      </c>
      <c r="K51" s="44"/>
      <c r="L51" s="52">
        <f t="shared" si="3"/>
        <v>9</v>
      </c>
      <c r="M51" s="1"/>
      <c r="N51" s="1"/>
      <c r="O51" s="2"/>
      <c r="P51" s="2"/>
      <c r="Q51" s="2"/>
    </row>
    <row r="52" ht="24.75" customHeight="1">
      <c r="A52" s="44">
        <v>36.0</v>
      </c>
      <c r="B52" s="55" t="s">
        <v>63</v>
      </c>
      <c r="C52" s="52" t="s">
        <v>112</v>
      </c>
      <c r="D52" s="56" t="s">
        <v>113</v>
      </c>
      <c r="E52" s="48">
        <v>7.8</v>
      </c>
      <c r="F52" s="48">
        <v>1.8</v>
      </c>
      <c r="G52" s="49"/>
      <c r="H52" s="49">
        <f t="shared" si="1"/>
        <v>9.6</v>
      </c>
      <c r="I52" s="60">
        <v>0.0</v>
      </c>
      <c r="J52" s="51">
        <f t="shared" si="2"/>
        <v>10</v>
      </c>
      <c r="K52" s="44"/>
      <c r="L52" s="52">
        <f t="shared" si="3"/>
        <v>10</v>
      </c>
      <c r="M52" s="1"/>
      <c r="N52" s="1"/>
      <c r="O52" s="2"/>
      <c r="P52" s="2"/>
      <c r="Q52" s="2"/>
    </row>
    <row r="53" ht="24.75" customHeight="1">
      <c r="A53" s="44">
        <v>37.0</v>
      </c>
      <c r="B53" s="55" t="s">
        <v>114</v>
      </c>
      <c r="C53" s="52" t="s">
        <v>104</v>
      </c>
      <c r="D53" s="56" t="s">
        <v>115</v>
      </c>
      <c r="E53" s="48">
        <v>1.8</v>
      </c>
      <c r="F53" s="48">
        <v>1.4</v>
      </c>
      <c r="G53" s="49"/>
      <c r="H53" s="49">
        <f t="shared" si="1"/>
        <v>3.2</v>
      </c>
      <c r="I53" s="60">
        <v>5.0</v>
      </c>
      <c r="J53" s="51">
        <f t="shared" si="2"/>
        <v>5</v>
      </c>
      <c r="K53" s="44"/>
      <c r="L53" s="52">
        <f t="shared" si="3"/>
        <v>3</v>
      </c>
      <c r="M53" s="1"/>
      <c r="N53" s="1"/>
      <c r="O53" s="2"/>
      <c r="P53" s="2"/>
      <c r="Q53" s="2"/>
    </row>
    <row r="54" ht="24.75" customHeight="1">
      <c r="A54" s="44">
        <v>38.0</v>
      </c>
      <c r="B54" s="55" t="s">
        <v>114</v>
      </c>
      <c r="C54" s="52" t="s">
        <v>22</v>
      </c>
      <c r="D54" s="56" t="s">
        <v>116</v>
      </c>
      <c r="E54" s="48">
        <v>6.6</v>
      </c>
      <c r="F54" s="48">
        <v>0.0</v>
      </c>
      <c r="G54" s="49"/>
      <c r="H54" s="49">
        <f t="shared" si="1"/>
        <v>6.6</v>
      </c>
      <c r="I54" s="60">
        <v>1.0</v>
      </c>
      <c r="J54" s="51">
        <f t="shared" si="2"/>
        <v>7</v>
      </c>
      <c r="K54" s="44"/>
      <c r="L54" s="52">
        <f t="shared" si="3"/>
        <v>7</v>
      </c>
      <c r="M54" s="1"/>
      <c r="N54" s="1"/>
      <c r="O54" s="2"/>
      <c r="P54" s="2"/>
      <c r="Q54" s="2"/>
    </row>
    <row r="55" ht="24.75" customHeight="1">
      <c r="A55" s="44">
        <v>39.0</v>
      </c>
      <c r="B55" s="55" t="s">
        <v>114</v>
      </c>
      <c r="C55" s="52" t="s">
        <v>117</v>
      </c>
      <c r="D55" s="56" t="s">
        <v>118</v>
      </c>
      <c r="E55" s="48">
        <v>6.3</v>
      </c>
      <c r="F55" s="48">
        <v>1.8</v>
      </c>
      <c r="G55" s="49"/>
      <c r="H55" s="49">
        <f t="shared" si="1"/>
        <v>8.1</v>
      </c>
      <c r="I55" s="60">
        <v>0.0</v>
      </c>
      <c r="J55" s="51">
        <f t="shared" si="2"/>
        <v>8</v>
      </c>
      <c r="K55" s="44"/>
      <c r="L55" s="52">
        <f t="shared" si="3"/>
        <v>8</v>
      </c>
      <c r="M55" s="1"/>
      <c r="N55" s="1"/>
      <c r="O55" s="2"/>
      <c r="P55" s="2"/>
      <c r="Q55" s="2"/>
    </row>
    <row r="56" ht="24.75" customHeight="1">
      <c r="A56" s="44">
        <v>40.0</v>
      </c>
      <c r="B56" s="55" t="s">
        <v>55</v>
      </c>
      <c r="C56" s="52" t="s">
        <v>81</v>
      </c>
      <c r="D56" s="56" t="s">
        <v>119</v>
      </c>
      <c r="E56" s="48">
        <v>7.5</v>
      </c>
      <c r="F56" s="48">
        <v>1.8</v>
      </c>
      <c r="G56" s="59">
        <v>1.0</v>
      </c>
      <c r="H56" s="49">
        <f t="shared" si="1"/>
        <v>10.3</v>
      </c>
      <c r="I56" s="60">
        <v>0.0</v>
      </c>
      <c r="J56" s="51">
        <f t="shared" si="2"/>
        <v>10</v>
      </c>
      <c r="K56" s="44"/>
      <c r="L56" s="52">
        <f t="shared" si="3"/>
        <v>10</v>
      </c>
      <c r="M56" s="1"/>
      <c r="N56" s="1"/>
      <c r="O56" s="2"/>
      <c r="P56" s="2"/>
      <c r="Q56" s="2"/>
    </row>
    <row r="57" ht="24.75" customHeight="1">
      <c r="A57" s="44">
        <v>41.0</v>
      </c>
      <c r="B57" s="55" t="s">
        <v>120</v>
      </c>
      <c r="C57" s="52" t="s">
        <v>121</v>
      </c>
      <c r="D57" s="56" t="s">
        <v>27</v>
      </c>
      <c r="E57" s="48">
        <v>7.6</v>
      </c>
      <c r="F57" s="48">
        <v>1.9</v>
      </c>
      <c r="G57" s="49"/>
      <c r="H57" s="49">
        <f t="shared" si="1"/>
        <v>9.5</v>
      </c>
      <c r="I57" s="60">
        <v>0.0</v>
      </c>
      <c r="J57" s="51">
        <f t="shared" si="2"/>
        <v>10</v>
      </c>
      <c r="K57" s="44"/>
      <c r="L57" s="52">
        <f t="shared" si="3"/>
        <v>10</v>
      </c>
      <c r="M57" s="1"/>
      <c r="N57" s="1"/>
      <c r="O57" s="2"/>
      <c r="P57" s="2"/>
      <c r="Q57" s="2"/>
    </row>
    <row r="58" ht="24.75" customHeight="1">
      <c r="A58" s="44">
        <v>42.0</v>
      </c>
      <c r="B58" s="55" t="s">
        <v>122</v>
      </c>
      <c r="C58" s="52" t="s">
        <v>123</v>
      </c>
      <c r="D58" s="56" t="s">
        <v>124</v>
      </c>
      <c r="E58" s="48">
        <v>5.4</v>
      </c>
      <c r="F58" s="48">
        <v>1.8</v>
      </c>
      <c r="G58" s="49"/>
      <c r="H58" s="49">
        <f t="shared" si="1"/>
        <v>7.2</v>
      </c>
      <c r="I58" s="60">
        <v>0.0</v>
      </c>
      <c r="J58" s="51">
        <f t="shared" si="2"/>
        <v>7</v>
      </c>
      <c r="K58" s="44"/>
      <c r="L58" s="52">
        <f t="shared" si="3"/>
        <v>7</v>
      </c>
      <c r="M58" s="1"/>
      <c r="N58" s="1"/>
      <c r="O58" s="2"/>
      <c r="P58" s="2"/>
      <c r="Q58" s="2"/>
    </row>
    <row r="59" ht="24.75" customHeight="1">
      <c r="A59" s="44">
        <v>43.0</v>
      </c>
      <c r="B59" s="55" t="s">
        <v>26</v>
      </c>
      <c r="C59" s="52" t="s">
        <v>125</v>
      </c>
      <c r="D59" s="56" t="s">
        <v>126</v>
      </c>
      <c r="E59" s="48">
        <v>7.2</v>
      </c>
      <c r="F59" s="48">
        <v>1.8</v>
      </c>
      <c r="G59" s="49"/>
      <c r="H59" s="49">
        <f t="shared" si="1"/>
        <v>9</v>
      </c>
      <c r="I59" s="60">
        <v>0.0</v>
      </c>
      <c r="J59" s="51">
        <f t="shared" si="2"/>
        <v>9</v>
      </c>
      <c r="K59" s="44"/>
      <c r="L59" s="52">
        <f t="shared" si="3"/>
        <v>9</v>
      </c>
      <c r="M59" s="1"/>
      <c r="N59" s="1"/>
      <c r="O59" s="2"/>
      <c r="P59" s="2"/>
      <c r="Q59" s="2"/>
    </row>
    <row r="60" ht="24.75" customHeight="1">
      <c r="A60" s="44">
        <v>44.0</v>
      </c>
      <c r="B60" s="55" t="s">
        <v>49</v>
      </c>
      <c r="C60" s="52" t="s">
        <v>79</v>
      </c>
      <c r="D60" s="56" t="s">
        <v>127</v>
      </c>
      <c r="E60" s="48">
        <v>6.6</v>
      </c>
      <c r="F60" s="48">
        <v>1.4</v>
      </c>
      <c r="G60" s="49"/>
      <c r="H60" s="49">
        <f t="shared" si="1"/>
        <v>8</v>
      </c>
      <c r="I60" s="60">
        <v>0.0</v>
      </c>
      <c r="J60" s="51">
        <f t="shared" si="2"/>
        <v>8</v>
      </c>
      <c r="K60" s="44"/>
      <c r="L60" s="52">
        <f t="shared" si="3"/>
        <v>8</v>
      </c>
      <c r="M60" s="1"/>
      <c r="N60" s="1"/>
      <c r="O60" s="2"/>
      <c r="P60" s="2"/>
      <c r="Q60" s="2"/>
    </row>
    <row r="61" ht="24.75" customHeight="1">
      <c r="A61" s="44">
        <v>45.0</v>
      </c>
      <c r="B61" s="55" t="s">
        <v>128</v>
      </c>
      <c r="C61" s="52" t="s">
        <v>129</v>
      </c>
      <c r="D61" s="56" t="s">
        <v>130</v>
      </c>
      <c r="E61" s="48">
        <v>5.5</v>
      </c>
      <c r="F61" s="48">
        <v>1.8</v>
      </c>
      <c r="G61" s="49"/>
      <c r="H61" s="49">
        <f t="shared" si="1"/>
        <v>7.3</v>
      </c>
      <c r="I61" s="60">
        <v>0.0</v>
      </c>
      <c r="J61" s="51">
        <f t="shared" si="2"/>
        <v>7</v>
      </c>
      <c r="K61" s="44"/>
      <c r="L61" s="52">
        <f t="shared" si="3"/>
        <v>7</v>
      </c>
      <c r="M61" s="1"/>
      <c r="N61" s="1"/>
      <c r="O61" s="2"/>
      <c r="P61" s="2"/>
      <c r="Q61" s="2"/>
    </row>
    <row r="62" ht="24.75" customHeight="1">
      <c r="A62" s="44">
        <v>46.0</v>
      </c>
      <c r="B62" s="55" t="s">
        <v>131</v>
      </c>
      <c r="C62" s="52" t="s">
        <v>132</v>
      </c>
      <c r="D62" s="56" t="s">
        <v>133</v>
      </c>
      <c r="E62" s="48">
        <v>6.4</v>
      </c>
      <c r="F62" s="48">
        <v>1.8</v>
      </c>
      <c r="G62" s="59">
        <v>1.0</v>
      </c>
      <c r="H62" s="49">
        <f t="shared" si="1"/>
        <v>9.2</v>
      </c>
      <c r="I62" s="60">
        <v>0.0</v>
      </c>
      <c r="J62" s="51">
        <f t="shared" si="2"/>
        <v>9</v>
      </c>
      <c r="K62" s="44"/>
      <c r="L62" s="52">
        <f t="shared" si="3"/>
        <v>9</v>
      </c>
      <c r="M62" s="1"/>
      <c r="N62" s="1"/>
      <c r="O62" s="2"/>
      <c r="P62" s="2"/>
      <c r="Q62" s="2"/>
    </row>
    <row r="63" ht="24.75" customHeight="1">
      <c r="A63" s="44">
        <v>47.0</v>
      </c>
      <c r="B63" s="55" t="s">
        <v>134</v>
      </c>
      <c r="C63" s="52" t="s">
        <v>63</v>
      </c>
      <c r="D63" s="56" t="s">
        <v>58</v>
      </c>
      <c r="E63" s="48">
        <v>4.2</v>
      </c>
      <c r="F63" s="48">
        <v>1.4</v>
      </c>
      <c r="G63" s="49"/>
      <c r="H63" s="49">
        <f t="shared" si="1"/>
        <v>5.6</v>
      </c>
      <c r="I63" s="60">
        <v>0.0</v>
      </c>
      <c r="J63" s="51">
        <f t="shared" si="2"/>
        <v>5</v>
      </c>
      <c r="K63" s="44"/>
      <c r="L63" s="52">
        <f t="shared" si="3"/>
        <v>5</v>
      </c>
      <c r="M63" s="1"/>
      <c r="N63" s="1"/>
      <c r="O63" s="2"/>
      <c r="P63" s="2"/>
      <c r="Q63" s="2"/>
    </row>
    <row r="64" ht="24.75" customHeight="1">
      <c r="A64" s="6"/>
      <c r="B64" s="62"/>
      <c r="C64" s="62"/>
      <c r="D64" s="11"/>
      <c r="E64" s="63"/>
      <c r="F64" s="63"/>
      <c r="G64" s="63"/>
      <c r="H64" s="63"/>
      <c r="I64" s="11"/>
      <c r="J64" s="62"/>
      <c r="K64" s="7"/>
      <c r="L64" s="62"/>
      <c r="M64" s="1"/>
      <c r="N64" s="1"/>
      <c r="O64" s="2"/>
      <c r="P64" s="2"/>
      <c r="Q64" s="2"/>
    </row>
    <row r="65" ht="24.75" customHeight="1">
      <c r="A65" s="1"/>
      <c r="B65" s="64" t="s">
        <v>135</v>
      </c>
      <c r="C65" s="65"/>
      <c r="D65" s="66">
        <f>COUNT(A17:A63)</f>
        <v>47</v>
      </c>
      <c r="E65" s="63"/>
      <c r="F65" s="67" t="s">
        <v>136</v>
      </c>
      <c r="G65" s="63"/>
      <c r="H65" s="67" t="s">
        <v>137</v>
      </c>
      <c r="J65" s="68" t="s">
        <v>138</v>
      </c>
      <c r="K65" s="69" t="s">
        <v>139</v>
      </c>
      <c r="L65" s="62"/>
      <c r="M65" s="1"/>
      <c r="N65" s="1"/>
      <c r="O65" s="2"/>
      <c r="P65" s="2"/>
      <c r="Q65" s="2"/>
    </row>
    <row r="66" ht="24.75" customHeight="1">
      <c r="A66" s="1"/>
      <c r="B66" s="70" t="s">
        <v>140</v>
      </c>
      <c r="C66" s="71"/>
      <c r="D66" s="72">
        <f>COUNTIF(J17:J63,"BAJA")</f>
        <v>0</v>
      </c>
      <c r="E66" s="63"/>
      <c r="G66" s="63"/>
      <c r="K66" s="9"/>
      <c r="L66" s="62"/>
      <c r="M66" s="1"/>
      <c r="N66" s="1"/>
      <c r="O66" s="2"/>
      <c r="P66" s="2"/>
      <c r="Q66" s="2"/>
    </row>
    <row r="67" ht="24.75" customHeight="1">
      <c r="A67" s="1"/>
      <c r="B67" s="70" t="s">
        <v>141</v>
      </c>
      <c r="C67" s="71"/>
      <c r="D67" s="73">
        <f>D65-D66</f>
        <v>47</v>
      </c>
      <c r="E67" s="63"/>
      <c r="F67" s="63"/>
      <c r="G67" s="63"/>
      <c r="H67" s="63"/>
      <c r="I67" s="11"/>
      <c r="J67" s="62"/>
      <c r="K67" s="7"/>
      <c r="L67" s="62"/>
      <c r="M67" s="1"/>
      <c r="N67" s="1"/>
      <c r="O67" s="2"/>
      <c r="P67" s="2"/>
      <c r="Q67" s="2"/>
    </row>
    <row r="68" ht="24.75" customHeight="1">
      <c r="A68" s="1"/>
      <c r="B68" s="70" t="s">
        <v>142</v>
      </c>
      <c r="C68" s="71"/>
      <c r="D68" s="74">
        <f>COUNTIF(J17:J63,"&gt;=6")</f>
        <v>39</v>
      </c>
      <c r="E68" s="63"/>
      <c r="F68" s="63"/>
      <c r="G68" s="63"/>
      <c r="H68" s="63"/>
      <c r="I68" s="11"/>
      <c r="J68" s="62"/>
      <c r="K68" s="7"/>
      <c r="L68" s="62"/>
      <c r="M68" s="1"/>
      <c r="N68" s="1"/>
      <c r="O68" s="2"/>
      <c r="P68" s="2"/>
      <c r="Q68" s="2"/>
    </row>
    <row r="69" ht="24.75" customHeight="1">
      <c r="A69" s="1"/>
      <c r="B69" s="70" t="s">
        <v>143</v>
      </c>
      <c r="C69" s="71"/>
      <c r="D69" s="74">
        <f>D67-D68</f>
        <v>8</v>
      </c>
      <c r="E69" s="63"/>
      <c r="F69" s="75"/>
      <c r="G69" s="63"/>
      <c r="H69" s="75"/>
      <c r="I69" s="76"/>
      <c r="J69" s="77"/>
      <c r="K69" s="78"/>
      <c r="L69" s="62"/>
      <c r="M69" s="1"/>
      <c r="N69" s="1"/>
      <c r="O69" s="2"/>
      <c r="P69" s="2"/>
      <c r="Q69" s="2"/>
    </row>
    <row r="70" ht="36.0" customHeight="1">
      <c r="A70" s="1"/>
      <c r="B70" s="70" t="s">
        <v>144</v>
      </c>
      <c r="C70" s="71"/>
      <c r="D70" s="79">
        <f>D68*100/D67</f>
        <v>82.9787234</v>
      </c>
      <c r="E70" s="63"/>
      <c r="F70" s="80" t="s">
        <v>145</v>
      </c>
      <c r="G70" s="63"/>
      <c r="H70" s="81" t="s">
        <v>146</v>
      </c>
      <c r="J70" s="82" t="s">
        <v>147</v>
      </c>
      <c r="K70" s="83" t="s">
        <v>148</v>
      </c>
      <c r="L70" s="62"/>
      <c r="M70" s="1"/>
      <c r="N70" s="1"/>
      <c r="O70" s="2"/>
      <c r="P70" s="2"/>
      <c r="Q70" s="2"/>
    </row>
    <row r="71" ht="21.75" customHeight="1">
      <c r="A71" s="84"/>
      <c r="B71" s="85" t="s">
        <v>149</v>
      </c>
      <c r="C71" s="86"/>
      <c r="D71" s="87">
        <f>AVERAGE(J17:J63)</f>
        <v>8.085106383</v>
      </c>
      <c r="E71" s="1"/>
      <c r="G71" s="1"/>
      <c r="K71" s="9"/>
      <c r="L71" s="1"/>
      <c r="M71" s="1"/>
      <c r="N71" s="1"/>
      <c r="O71" s="2"/>
      <c r="P71" s="2"/>
      <c r="Q71" s="2"/>
    </row>
    <row r="72" ht="21.75" customHeight="1">
      <c r="A72" s="88"/>
      <c r="B72" s="2"/>
      <c r="C72" s="2"/>
      <c r="D72" s="2"/>
      <c r="E72" s="2"/>
      <c r="F72" s="2"/>
      <c r="G72" s="2"/>
      <c r="H72" s="2"/>
      <c r="I72" s="2"/>
      <c r="J72" s="2"/>
      <c r="K72" s="89"/>
      <c r="L72" s="2"/>
      <c r="M72" s="2"/>
      <c r="N72" s="2"/>
      <c r="O72" s="2"/>
      <c r="P72" s="2"/>
      <c r="Q72" s="2"/>
    </row>
    <row r="73" ht="21.75" customHeight="1">
      <c r="A73" s="90"/>
      <c r="B73" s="91"/>
      <c r="C73" s="92"/>
      <c r="D73" s="93"/>
      <c r="E73" s="94"/>
      <c r="G73" s="94"/>
      <c r="H73" s="94"/>
      <c r="I73" s="94"/>
      <c r="J73" s="94"/>
      <c r="K73" s="95"/>
      <c r="L73" s="94"/>
      <c r="M73" s="2"/>
      <c r="N73" s="2"/>
      <c r="O73" s="2"/>
      <c r="P73" s="2"/>
      <c r="Q73" s="2"/>
    </row>
    <row r="74" ht="21.75" customHeight="1">
      <c r="A74" s="96"/>
      <c r="B74" s="94"/>
      <c r="C74" s="94"/>
      <c r="D74" s="97"/>
      <c r="E74" s="94"/>
      <c r="F74" s="2"/>
      <c r="G74" s="2"/>
      <c r="H74" s="2"/>
      <c r="I74" s="2"/>
      <c r="J74" s="2"/>
      <c r="K74" s="89"/>
      <c r="L74" s="2"/>
      <c r="M74" s="2"/>
      <c r="N74" s="2"/>
      <c r="O74" s="2"/>
      <c r="P74" s="2"/>
      <c r="Q74" s="2"/>
    </row>
    <row r="75" ht="21.75" customHeight="1">
      <c r="A75" s="96"/>
      <c r="B75" s="94"/>
      <c r="C75" s="94"/>
      <c r="D75" s="98"/>
      <c r="E75" s="94"/>
      <c r="F75" s="2"/>
      <c r="G75" s="2"/>
      <c r="H75" s="2"/>
      <c r="I75" s="2"/>
      <c r="J75" s="2"/>
      <c r="K75" s="89"/>
      <c r="L75" s="2"/>
      <c r="M75" s="2"/>
      <c r="N75" s="2"/>
      <c r="O75" s="2"/>
      <c r="P75" s="2"/>
      <c r="Q75" s="2"/>
    </row>
    <row r="76" ht="27.75" customHeight="1">
      <c r="A76" s="99"/>
      <c r="B76" s="100"/>
      <c r="C76" s="100"/>
      <c r="D76" s="101"/>
      <c r="E76" s="100"/>
      <c r="F76" s="102"/>
      <c r="G76" s="103"/>
      <c r="H76" s="102"/>
      <c r="I76" s="102"/>
      <c r="J76" s="102"/>
      <c r="K76" s="104"/>
      <c r="L76" s="2"/>
      <c r="M76" s="2"/>
      <c r="N76" s="2"/>
      <c r="O76" s="2"/>
      <c r="P76" s="2"/>
      <c r="Q76" s="2"/>
    </row>
    <row r="77" ht="21.75" customHeight="1">
      <c r="A77" s="105"/>
      <c r="B77" s="106"/>
      <c r="C77" s="106"/>
      <c r="D77" s="98"/>
      <c r="E77" s="94"/>
      <c r="F77" s="107"/>
      <c r="G77" s="2"/>
      <c r="H77" s="107"/>
      <c r="I77" s="107"/>
      <c r="J77" s="108"/>
      <c r="K77" s="108"/>
      <c r="L77" s="109"/>
      <c r="M77" s="2"/>
      <c r="N77" s="2"/>
      <c r="O77" s="2"/>
      <c r="P77" s="2"/>
      <c r="Q77" s="2"/>
    </row>
    <row r="78" ht="13.5" customHeight="1">
      <c r="A78" s="2"/>
      <c r="B78" s="94"/>
      <c r="C78" s="94"/>
      <c r="D78" s="98"/>
      <c r="E78" s="94"/>
      <c r="F78" s="107"/>
      <c r="G78" s="2"/>
      <c r="H78" s="107"/>
      <c r="I78" s="107"/>
      <c r="J78" s="108"/>
      <c r="K78" s="108"/>
      <c r="L78" s="109"/>
      <c r="M78" s="2"/>
      <c r="N78" s="2"/>
      <c r="O78" s="2"/>
      <c r="P78" s="2"/>
      <c r="Q78" s="2"/>
    </row>
  </sheetData>
  <mergeCells count="29">
    <mergeCell ref="I13:K14"/>
    <mergeCell ref="I15:K15"/>
    <mergeCell ref="M17:N17"/>
    <mergeCell ref="A9:K9"/>
    <mergeCell ref="E10:K10"/>
    <mergeCell ref="A13:B13"/>
    <mergeCell ref="C13:D13"/>
    <mergeCell ref="G13:G15"/>
    <mergeCell ref="H13:H14"/>
    <mergeCell ref="F14:F15"/>
    <mergeCell ref="B14:D14"/>
    <mergeCell ref="E14:E15"/>
    <mergeCell ref="B16:D16"/>
    <mergeCell ref="F65:F66"/>
    <mergeCell ref="H65:I66"/>
    <mergeCell ref="J65:J66"/>
    <mergeCell ref="K65:K66"/>
    <mergeCell ref="H70:I71"/>
    <mergeCell ref="J70:J71"/>
    <mergeCell ref="K70:K71"/>
    <mergeCell ref="F70:F71"/>
    <mergeCell ref="E73:F73"/>
    <mergeCell ref="B65:C65"/>
    <mergeCell ref="B66:C66"/>
    <mergeCell ref="B67:C67"/>
    <mergeCell ref="B68:C68"/>
    <mergeCell ref="B69:C69"/>
    <mergeCell ref="B70:C70"/>
    <mergeCell ref="B71:C71"/>
  </mergeCells>
  <conditionalFormatting sqref="E17:G63">
    <cfRule type="expression" dxfId="0" priority="1" stopIfTrue="1">
      <formula>TRUE</formula>
    </cfRule>
  </conditionalFormatting>
  <conditionalFormatting sqref="J17:J63">
    <cfRule type="cellIs" dxfId="1" priority="2" stopIfTrue="1" operator="equal">
      <formula>5</formula>
    </cfRule>
  </conditionalFormatting>
  <conditionalFormatting sqref="J17:J63">
    <cfRule type="cellIs" dxfId="0" priority="3" stopIfTrue="1" operator="greaterThan">
      <formula>5</formula>
    </cfRule>
  </conditionalFormatting>
  <conditionalFormatting sqref="B29:D30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9:D30">
    <cfRule type="cellIs" dxfId="2" priority="5" operator="equal">
      <formula>1</formula>
    </cfRule>
  </conditionalFormatting>
  <conditionalFormatting sqref="B30:D30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0:D30">
    <cfRule type="cellIs" dxfId="2" priority="7" operator="equal">
      <formula>1</formula>
    </cfRule>
  </conditionalFormatting>
  <conditionalFormatting sqref="B31:D31">
    <cfRule type="colorScale" priority="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1:D31">
    <cfRule type="cellIs" dxfId="2" priority="9" operator="equal">
      <formula>1</formula>
    </cfRule>
  </conditionalFormatting>
  <conditionalFormatting sqref="J17:J70 K18:K69">
    <cfRule type="cellIs" dxfId="3" priority="10" operator="equal">
      <formula>5</formula>
    </cfRule>
  </conditionalFormatting>
  <printOptions/>
  <pageMargins bottom="0.1968503937007874" footer="0.0" header="0.0" left="0.7480314960629921" right="0.1968503937007874" top="0.1968503937007874"/>
  <pageSetup scale="37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14"/>
    <col customWidth="1" min="2" max="2" width="28.14"/>
    <col customWidth="1" min="3" max="3" width="25.43"/>
    <col customWidth="1" min="4" max="4" width="28.14"/>
    <col customWidth="1" min="5" max="5" width="16.71"/>
    <col customWidth="1" min="6" max="6" width="14.57"/>
    <col customWidth="1" min="7" max="9" width="13.71"/>
    <col customWidth="1" min="10" max="10" width="19.71"/>
    <col customWidth="1" min="11" max="11" width="36.43"/>
    <col customWidth="1" min="12" max="12" width="0.43"/>
    <col customWidth="1" min="13" max="17" width="10.71"/>
  </cols>
  <sheetData>
    <row r="1" ht="13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2"/>
      <c r="P1" s="2"/>
      <c r="Q1" s="2"/>
    </row>
    <row r="2" ht="15.0" customHeight="1">
      <c r="A2" s="3"/>
      <c r="B2" s="4"/>
      <c r="C2" s="4"/>
      <c r="D2" s="4"/>
      <c r="E2" s="4"/>
      <c r="F2" s="4"/>
      <c r="G2" s="4"/>
      <c r="H2" s="4"/>
      <c r="I2" s="4"/>
      <c r="J2" s="4"/>
      <c r="K2" s="5"/>
      <c r="L2" s="1"/>
      <c r="M2" s="1"/>
      <c r="N2" s="1"/>
      <c r="O2" s="2"/>
      <c r="P2" s="2"/>
      <c r="Q2" s="2"/>
    </row>
    <row r="3" ht="15.0" customHeight="1">
      <c r="A3" s="6"/>
      <c r="B3" s="1"/>
      <c r="C3" s="1"/>
      <c r="D3" s="1"/>
      <c r="E3" s="1"/>
      <c r="F3" s="1"/>
      <c r="G3" s="1"/>
      <c r="H3" s="1"/>
      <c r="I3" s="1"/>
      <c r="J3" s="1"/>
      <c r="K3" s="7"/>
      <c r="L3" s="1"/>
      <c r="M3" s="1"/>
      <c r="N3" s="1"/>
      <c r="O3" s="2"/>
      <c r="P3" s="2"/>
      <c r="Q3" s="2"/>
    </row>
    <row r="4" ht="15.0" customHeight="1">
      <c r="A4" s="6"/>
      <c r="B4" s="1"/>
      <c r="C4" s="1"/>
      <c r="D4" s="1"/>
      <c r="E4" s="1"/>
      <c r="F4" s="1"/>
      <c r="G4" s="1"/>
      <c r="H4" s="1"/>
      <c r="I4" s="1"/>
      <c r="J4" s="1"/>
      <c r="K4" s="7"/>
      <c r="L4" s="1"/>
      <c r="M4" s="1"/>
      <c r="N4" s="1"/>
      <c r="O4" s="2"/>
      <c r="P4" s="2"/>
      <c r="Q4" s="2"/>
    </row>
    <row r="5" ht="15.0" customHeight="1">
      <c r="A5" s="6"/>
      <c r="B5" s="1"/>
      <c r="C5" s="1"/>
      <c r="D5" s="1"/>
      <c r="E5" s="1"/>
      <c r="F5" s="1"/>
      <c r="G5" s="1"/>
      <c r="H5" s="1"/>
      <c r="I5" s="1"/>
      <c r="J5" s="1"/>
      <c r="K5" s="7"/>
      <c r="L5" s="1"/>
      <c r="M5" s="1"/>
      <c r="N5" s="1"/>
      <c r="O5" s="2"/>
      <c r="P5" s="2"/>
      <c r="Q5" s="2"/>
    </row>
    <row r="6" ht="15.0" customHeight="1">
      <c r="A6" s="6"/>
      <c r="B6" s="1"/>
      <c r="C6" s="1"/>
      <c r="D6" s="1"/>
      <c r="E6" s="1"/>
      <c r="F6" s="1"/>
      <c r="G6" s="1"/>
      <c r="H6" s="1"/>
      <c r="I6" s="1"/>
      <c r="J6" s="1"/>
      <c r="K6" s="7"/>
      <c r="L6" s="1"/>
      <c r="M6" s="1"/>
      <c r="N6" s="1"/>
      <c r="O6" s="2"/>
      <c r="P6" s="2"/>
      <c r="Q6" s="2"/>
    </row>
    <row r="7" ht="15.0" customHeight="1">
      <c r="A7" s="6"/>
      <c r="B7" s="1"/>
      <c r="C7" s="1"/>
      <c r="D7" s="1"/>
      <c r="E7" s="1"/>
      <c r="F7" s="1"/>
      <c r="G7" s="1"/>
      <c r="H7" s="1"/>
      <c r="I7" s="1"/>
      <c r="J7" s="1"/>
      <c r="K7" s="7"/>
      <c r="L7" s="1"/>
      <c r="M7" s="1"/>
      <c r="N7" s="1"/>
      <c r="O7" s="2"/>
      <c r="P7" s="2"/>
      <c r="Q7" s="2"/>
    </row>
    <row r="8" ht="9.75" customHeight="1">
      <c r="A8" s="6"/>
      <c r="B8" s="1"/>
      <c r="C8" s="1"/>
      <c r="D8" s="1"/>
      <c r="E8" s="1"/>
      <c r="F8" s="1"/>
      <c r="G8" s="1"/>
      <c r="H8" s="1"/>
      <c r="I8" s="1"/>
      <c r="J8" s="1"/>
      <c r="K8" s="7"/>
      <c r="L8" s="1"/>
      <c r="M8" s="1"/>
      <c r="N8" s="1"/>
      <c r="O8" s="2"/>
      <c r="P8" s="2"/>
      <c r="Q8" s="2"/>
    </row>
    <row r="9" ht="23.25" customHeight="1">
      <c r="A9" s="8" t="s">
        <v>0</v>
      </c>
      <c r="K9" s="9"/>
      <c r="L9" s="1"/>
      <c r="M9" s="1"/>
      <c r="N9" s="1"/>
      <c r="O9" s="2"/>
      <c r="P9" s="2"/>
      <c r="Q9" s="2"/>
    </row>
    <row r="10" ht="9.75" customHeight="1">
      <c r="A10" s="6"/>
      <c r="B10" s="1"/>
      <c r="C10" s="1"/>
      <c r="D10" s="1"/>
      <c r="E10" s="1"/>
      <c r="K10" s="9"/>
      <c r="L10" s="1"/>
      <c r="M10" s="1"/>
      <c r="N10" s="1"/>
      <c r="O10" s="2"/>
      <c r="P10" s="2"/>
      <c r="Q10" s="2"/>
    </row>
    <row r="11" ht="19.5" customHeight="1">
      <c r="A11" s="6"/>
      <c r="B11" s="10" t="s">
        <v>1</v>
      </c>
      <c r="C11" s="11"/>
      <c r="D11" s="11"/>
      <c r="E11" s="1"/>
      <c r="F11" s="1"/>
      <c r="G11" s="1"/>
      <c r="H11" s="1"/>
      <c r="I11" s="1"/>
      <c r="J11" s="1"/>
      <c r="K11" s="7"/>
      <c r="L11" s="1"/>
      <c r="M11" s="1"/>
      <c r="N11" s="1"/>
      <c r="O11" s="2"/>
      <c r="P11" s="2"/>
      <c r="Q11" s="2"/>
    </row>
    <row r="12" ht="12.75" customHeight="1">
      <c r="A12" s="6"/>
      <c r="B12" s="1"/>
      <c r="C12" s="1"/>
      <c r="D12" s="1"/>
      <c r="E12" s="1"/>
      <c r="F12" s="1"/>
      <c r="G12" s="1"/>
      <c r="H12" s="1"/>
      <c r="I12" s="1"/>
      <c r="J12" s="1"/>
      <c r="K12" s="7"/>
      <c r="L12" s="1"/>
      <c r="M12" s="1"/>
      <c r="N12" s="1"/>
      <c r="O12" s="2"/>
      <c r="P12" s="2"/>
      <c r="Q12" s="2"/>
    </row>
    <row r="13" ht="32.25" customHeight="1">
      <c r="A13" s="12" t="s">
        <v>2</v>
      </c>
      <c r="B13" s="13"/>
      <c r="C13" s="14" t="s">
        <v>150</v>
      </c>
      <c r="D13" s="13"/>
      <c r="E13" s="15" t="s">
        <v>4</v>
      </c>
      <c r="F13" s="15" t="s">
        <v>5</v>
      </c>
      <c r="G13" s="16" t="s">
        <v>6</v>
      </c>
      <c r="H13" s="17">
        <v>1.0</v>
      </c>
      <c r="I13" s="18" t="s">
        <v>7</v>
      </c>
      <c r="J13" s="19"/>
      <c r="K13" s="20"/>
      <c r="L13" s="1"/>
      <c r="M13" s="1"/>
      <c r="N13" s="1"/>
      <c r="O13" s="2"/>
      <c r="P13" s="2"/>
      <c r="Q13" s="2"/>
    </row>
    <row r="14" ht="35.25" customHeight="1">
      <c r="A14" s="21" t="s">
        <v>8</v>
      </c>
      <c r="B14" s="22" t="s">
        <v>9</v>
      </c>
      <c r="C14" s="23"/>
      <c r="D14" s="24"/>
      <c r="E14" s="25" t="s">
        <v>10</v>
      </c>
      <c r="F14" s="25" t="s">
        <v>11</v>
      </c>
      <c r="G14" s="26"/>
      <c r="H14" s="27"/>
      <c r="I14" s="28"/>
      <c r="J14" s="29"/>
      <c r="K14" s="30"/>
      <c r="L14" s="1"/>
      <c r="M14" s="1"/>
      <c r="N14" s="1"/>
      <c r="O14" s="2"/>
      <c r="P14" s="2"/>
      <c r="Q14" s="2"/>
    </row>
    <row r="15" ht="24.75" customHeight="1">
      <c r="A15" s="31" t="s">
        <v>12</v>
      </c>
      <c r="B15" s="32" t="s">
        <v>13</v>
      </c>
      <c r="C15" s="33" t="s">
        <v>14</v>
      </c>
      <c r="D15" s="33">
        <v>2.0</v>
      </c>
      <c r="E15" s="27"/>
      <c r="F15" s="27"/>
      <c r="G15" s="34"/>
      <c r="H15" s="35"/>
      <c r="I15" s="36"/>
      <c r="J15" s="23"/>
      <c r="K15" s="37"/>
      <c r="L15" s="1"/>
      <c r="M15" s="1"/>
      <c r="N15" s="1"/>
      <c r="O15" s="2"/>
      <c r="P15" s="2"/>
      <c r="Q15" s="2"/>
    </row>
    <row r="16" ht="40.5" customHeight="1">
      <c r="A16" s="38" t="s">
        <v>15</v>
      </c>
      <c r="B16" s="39" t="s">
        <v>16</v>
      </c>
      <c r="C16" s="23"/>
      <c r="D16" s="24"/>
      <c r="E16" s="40"/>
      <c r="F16" s="40"/>
      <c r="G16" s="40"/>
      <c r="H16" s="41" t="s">
        <v>17</v>
      </c>
      <c r="I16" s="42" t="s">
        <v>18</v>
      </c>
      <c r="J16" s="42" t="s">
        <v>19</v>
      </c>
      <c r="K16" s="43" t="s">
        <v>20</v>
      </c>
      <c r="L16" s="42" t="s">
        <v>19</v>
      </c>
      <c r="M16" s="1"/>
      <c r="N16" s="1"/>
      <c r="O16" s="2"/>
      <c r="P16" s="2"/>
      <c r="Q16" s="2"/>
    </row>
    <row r="17" ht="24.75" customHeight="1">
      <c r="A17" s="44">
        <v>1.0</v>
      </c>
      <c r="B17" s="52" t="s">
        <v>151</v>
      </c>
      <c r="C17" s="52" t="s">
        <v>152</v>
      </c>
      <c r="D17" s="110" t="s">
        <v>153</v>
      </c>
      <c r="E17" s="48">
        <v>7.2</v>
      </c>
      <c r="F17" s="48">
        <v>1.9</v>
      </c>
      <c r="G17" s="59">
        <v>1.0</v>
      </c>
      <c r="H17" s="49">
        <f t="shared" ref="H17:H65" si="1">SUM(E17:G17)</f>
        <v>10.1</v>
      </c>
      <c r="I17" s="50">
        <v>0.0</v>
      </c>
      <c r="J17" s="51">
        <f t="shared" ref="J17:J65" si="2">IF(H17&lt;6, 5, MIN(10, ROUND(H17, 0)))</f>
        <v>10</v>
      </c>
      <c r="K17" s="52"/>
      <c r="L17" s="53">
        <f t="shared" ref="L17:L65" si="3">IF(H17&gt;=6,ROUND(H17,0),TRUNC(H17,0))</f>
        <v>10</v>
      </c>
      <c r="M17" s="54" t="s">
        <v>24</v>
      </c>
      <c r="N17" s="24"/>
      <c r="O17" s="2"/>
      <c r="P17" s="2"/>
      <c r="Q17" s="2"/>
    </row>
    <row r="18" ht="24.75" customHeight="1">
      <c r="A18" s="44">
        <v>2.0</v>
      </c>
      <c r="B18" s="52" t="s">
        <v>154</v>
      </c>
      <c r="C18" s="52" t="s">
        <v>155</v>
      </c>
      <c r="D18" s="110" t="s">
        <v>156</v>
      </c>
      <c r="E18" s="48">
        <v>4.7</v>
      </c>
      <c r="F18" s="48">
        <v>1.4</v>
      </c>
      <c r="G18" s="59">
        <v>1.0</v>
      </c>
      <c r="H18" s="49">
        <f t="shared" si="1"/>
        <v>7.1</v>
      </c>
      <c r="I18" s="50">
        <v>0.0</v>
      </c>
      <c r="J18" s="51">
        <f t="shared" si="2"/>
        <v>7</v>
      </c>
      <c r="K18" s="44"/>
      <c r="L18" s="53">
        <f t="shared" si="3"/>
        <v>7</v>
      </c>
      <c r="M18" s="57" t="s">
        <v>28</v>
      </c>
      <c r="N18" s="58">
        <v>7.0</v>
      </c>
      <c r="O18" s="2"/>
      <c r="P18" s="2"/>
      <c r="Q18" s="2"/>
    </row>
    <row r="19" ht="24.75" customHeight="1">
      <c r="A19" s="44">
        <v>3.0</v>
      </c>
      <c r="B19" s="52" t="s">
        <v>157</v>
      </c>
      <c r="C19" s="52" t="s">
        <v>158</v>
      </c>
      <c r="D19" s="110" t="s">
        <v>98</v>
      </c>
      <c r="E19" s="48">
        <v>7.4</v>
      </c>
      <c r="F19" s="48">
        <v>1.8</v>
      </c>
      <c r="G19" s="49"/>
      <c r="H19" s="49">
        <f t="shared" si="1"/>
        <v>9.2</v>
      </c>
      <c r="I19" s="50">
        <v>0.0</v>
      </c>
      <c r="J19" s="51">
        <f t="shared" si="2"/>
        <v>9</v>
      </c>
      <c r="K19" s="44"/>
      <c r="L19" s="53">
        <f t="shared" si="3"/>
        <v>9</v>
      </c>
      <c r="M19" s="57" t="s">
        <v>32</v>
      </c>
      <c r="N19" s="58">
        <v>12.0</v>
      </c>
      <c r="O19" s="2"/>
      <c r="P19" s="2"/>
      <c r="Q19" s="2"/>
    </row>
    <row r="20" ht="24.75" customHeight="1">
      <c r="A20" s="44">
        <v>4.0</v>
      </c>
      <c r="B20" s="52" t="s">
        <v>159</v>
      </c>
      <c r="C20" s="52" t="s">
        <v>61</v>
      </c>
      <c r="D20" s="110" t="s">
        <v>160</v>
      </c>
      <c r="E20" s="48">
        <v>4.3</v>
      </c>
      <c r="F20" s="48">
        <v>1.9</v>
      </c>
      <c r="G20" s="49"/>
      <c r="H20" s="49">
        <f t="shared" si="1"/>
        <v>6.2</v>
      </c>
      <c r="I20" s="50">
        <v>0.0</v>
      </c>
      <c r="J20" s="51">
        <f t="shared" si="2"/>
        <v>6</v>
      </c>
      <c r="K20" s="44"/>
      <c r="L20" s="53">
        <f t="shared" si="3"/>
        <v>6</v>
      </c>
      <c r="M20" s="57" t="s">
        <v>35</v>
      </c>
      <c r="N20" s="58">
        <v>9.0</v>
      </c>
      <c r="O20" s="2"/>
      <c r="P20" s="2"/>
      <c r="Q20" s="2"/>
    </row>
    <row r="21" ht="24.75" customHeight="1">
      <c r="A21" s="44">
        <v>5.0</v>
      </c>
      <c r="B21" s="52" t="s">
        <v>161</v>
      </c>
      <c r="C21" s="52" t="s">
        <v>106</v>
      </c>
      <c r="D21" s="110" t="s">
        <v>162</v>
      </c>
      <c r="E21" s="48">
        <v>4.8</v>
      </c>
      <c r="F21" s="48">
        <v>1.9</v>
      </c>
      <c r="G21" s="49"/>
      <c r="H21" s="49">
        <f t="shared" si="1"/>
        <v>6.7</v>
      </c>
      <c r="I21" s="50">
        <v>0.0</v>
      </c>
      <c r="J21" s="51">
        <f t="shared" si="2"/>
        <v>7</v>
      </c>
      <c r="K21" s="44"/>
      <c r="L21" s="53">
        <f t="shared" si="3"/>
        <v>7</v>
      </c>
      <c r="M21" s="57" t="s">
        <v>39</v>
      </c>
      <c r="N21" s="58">
        <v>10.0</v>
      </c>
      <c r="O21" s="2"/>
      <c r="P21" s="2"/>
      <c r="Q21" s="2"/>
    </row>
    <row r="22" ht="24.75" customHeight="1">
      <c r="A22" s="44">
        <v>6.0</v>
      </c>
      <c r="B22" s="52" t="s">
        <v>110</v>
      </c>
      <c r="C22" s="52" t="s">
        <v>163</v>
      </c>
      <c r="D22" s="110" t="s">
        <v>164</v>
      </c>
      <c r="E22" s="48">
        <v>5.5</v>
      </c>
      <c r="F22" s="48">
        <v>1.0</v>
      </c>
      <c r="G22" s="49"/>
      <c r="H22" s="49">
        <f t="shared" si="1"/>
        <v>6.5</v>
      </c>
      <c r="I22" s="50">
        <v>1.0</v>
      </c>
      <c r="J22" s="51">
        <f t="shared" si="2"/>
        <v>7</v>
      </c>
      <c r="K22" s="44"/>
      <c r="L22" s="53">
        <f t="shared" si="3"/>
        <v>7</v>
      </c>
      <c r="M22" s="57" t="s">
        <v>43</v>
      </c>
      <c r="N22" s="58">
        <v>14.0</v>
      </c>
      <c r="O22" s="2"/>
      <c r="P22" s="2"/>
      <c r="Q22" s="2"/>
    </row>
    <row r="23" ht="24.75" customHeight="1">
      <c r="A23" s="44">
        <v>7.0</v>
      </c>
      <c r="B23" s="52" t="s">
        <v>165</v>
      </c>
      <c r="C23" s="52" t="s">
        <v>79</v>
      </c>
      <c r="D23" s="110" t="s">
        <v>166</v>
      </c>
      <c r="E23" s="48">
        <v>8.0</v>
      </c>
      <c r="F23" s="48">
        <v>1.9</v>
      </c>
      <c r="G23" s="59">
        <v>1.0</v>
      </c>
      <c r="H23" s="49">
        <f t="shared" si="1"/>
        <v>10.9</v>
      </c>
      <c r="I23" s="50">
        <v>0.0</v>
      </c>
      <c r="J23" s="51">
        <f t="shared" si="2"/>
        <v>10</v>
      </c>
      <c r="K23" s="44"/>
      <c r="L23" s="53">
        <f t="shared" si="3"/>
        <v>11</v>
      </c>
      <c r="M23" s="57" t="s">
        <v>47</v>
      </c>
      <c r="N23" s="58">
        <v>6.0</v>
      </c>
      <c r="O23" s="2"/>
      <c r="P23" s="2"/>
      <c r="Q23" s="2"/>
    </row>
    <row r="24" ht="24.75" customHeight="1">
      <c r="A24" s="44">
        <v>8.0</v>
      </c>
      <c r="B24" s="52" t="s">
        <v>167</v>
      </c>
      <c r="C24" s="52" t="s">
        <v>37</v>
      </c>
      <c r="D24" s="110" t="s">
        <v>168</v>
      </c>
      <c r="E24" s="48">
        <v>5.7</v>
      </c>
      <c r="F24" s="48">
        <v>2.0</v>
      </c>
      <c r="G24" s="49"/>
      <c r="H24" s="49">
        <f t="shared" si="1"/>
        <v>7.7</v>
      </c>
      <c r="I24" s="50">
        <v>1.0</v>
      </c>
      <c r="J24" s="51">
        <f t="shared" si="2"/>
        <v>8</v>
      </c>
      <c r="K24" s="44"/>
      <c r="L24" s="53">
        <f t="shared" si="3"/>
        <v>8</v>
      </c>
      <c r="M24" s="57" t="s">
        <v>51</v>
      </c>
      <c r="N24" s="57">
        <f>SUM(N18:N23)</f>
        <v>58</v>
      </c>
      <c r="O24" s="2"/>
      <c r="P24" s="2"/>
      <c r="Q24" s="2"/>
    </row>
    <row r="25" ht="24.75" customHeight="1">
      <c r="A25" s="44">
        <v>9.0</v>
      </c>
      <c r="B25" s="52" t="s">
        <v>129</v>
      </c>
      <c r="C25" s="52" t="s">
        <v>61</v>
      </c>
      <c r="D25" s="110" t="s">
        <v>169</v>
      </c>
      <c r="E25" s="48">
        <v>4.0</v>
      </c>
      <c r="F25" s="48">
        <v>1.9</v>
      </c>
      <c r="G25" s="59"/>
      <c r="H25" s="49">
        <f t="shared" si="1"/>
        <v>5.9</v>
      </c>
      <c r="I25" s="50">
        <v>0.0</v>
      </c>
      <c r="J25" s="51">
        <f t="shared" si="2"/>
        <v>5</v>
      </c>
      <c r="K25" s="44"/>
      <c r="L25" s="53">
        <f t="shared" si="3"/>
        <v>5</v>
      </c>
      <c r="M25" s="1"/>
      <c r="N25" s="1"/>
      <c r="O25" s="2"/>
      <c r="P25" s="2"/>
      <c r="Q25" s="2"/>
    </row>
    <row r="26" ht="24.75" customHeight="1">
      <c r="A26" s="44">
        <v>10.0</v>
      </c>
      <c r="B26" s="52" t="s">
        <v>170</v>
      </c>
      <c r="C26" s="52" t="s">
        <v>171</v>
      </c>
      <c r="D26" s="110" t="s">
        <v>172</v>
      </c>
      <c r="E26" s="48">
        <v>2.6</v>
      </c>
      <c r="F26" s="48">
        <v>1.9</v>
      </c>
      <c r="G26" s="49"/>
      <c r="H26" s="49">
        <f t="shared" si="1"/>
        <v>4.5</v>
      </c>
      <c r="I26" s="50">
        <v>0.0</v>
      </c>
      <c r="J26" s="51">
        <f t="shared" si="2"/>
        <v>5</v>
      </c>
      <c r="K26" s="44"/>
      <c r="L26" s="53">
        <f t="shared" si="3"/>
        <v>4</v>
      </c>
      <c r="M26" s="1"/>
      <c r="N26" s="1"/>
      <c r="O26" s="2"/>
      <c r="P26" s="2"/>
      <c r="Q26" s="2"/>
    </row>
    <row r="27" ht="24.75" customHeight="1">
      <c r="A27" s="44">
        <v>11.0</v>
      </c>
      <c r="B27" s="52" t="s">
        <v>173</v>
      </c>
      <c r="C27" s="52" t="s">
        <v>55</v>
      </c>
      <c r="D27" s="52" t="s">
        <v>174</v>
      </c>
      <c r="E27" s="48">
        <v>6.4</v>
      </c>
      <c r="F27" s="48">
        <v>1.3</v>
      </c>
      <c r="G27" s="59">
        <v>1.0</v>
      </c>
      <c r="H27" s="49">
        <f t="shared" si="1"/>
        <v>8.7</v>
      </c>
      <c r="I27" s="50">
        <v>0.0</v>
      </c>
      <c r="J27" s="51">
        <f t="shared" si="2"/>
        <v>9</v>
      </c>
      <c r="K27" s="44"/>
      <c r="L27" s="53">
        <f t="shared" si="3"/>
        <v>9</v>
      </c>
      <c r="M27" s="1"/>
      <c r="N27" s="1"/>
      <c r="O27" s="2"/>
      <c r="P27" s="2"/>
      <c r="Q27" s="2"/>
    </row>
    <row r="28" ht="24.75" customHeight="1">
      <c r="A28" s="44">
        <v>12.0</v>
      </c>
      <c r="B28" s="52" t="s">
        <v>175</v>
      </c>
      <c r="C28" s="52" t="s">
        <v>176</v>
      </c>
      <c r="D28" s="110" t="s">
        <v>177</v>
      </c>
      <c r="E28" s="48">
        <v>3.2</v>
      </c>
      <c r="F28" s="48">
        <v>1.2</v>
      </c>
      <c r="G28" s="49"/>
      <c r="H28" s="49">
        <f t="shared" si="1"/>
        <v>4.4</v>
      </c>
      <c r="I28" s="50">
        <v>1.0</v>
      </c>
      <c r="J28" s="51">
        <f t="shared" si="2"/>
        <v>5</v>
      </c>
      <c r="K28" s="44"/>
      <c r="L28" s="53">
        <f t="shared" si="3"/>
        <v>4</v>
      </c>
      <c r="M28" s="1"/>
      <c r="N28" s="1"/>
      <c r="O28" s="2"/>
      <c r="P28" s="2"/>
      <c r="Q28" s="2"/>
    </row>
    <row r="29" ht="24.75" customHeight="1">
      <c r="A29" s="44">
        <v>13.0</v>
      </c>
      <c r="B29" s="52" t="s">
        <v>178</v>
      </c>
      <c r="C29" s="52" t="s">
        <v>22</v>
      </c>
      <c r="D29" s="110" t="s">
        <v>179</v>
      </c>
      <c r="E29" s="48">
        <v>5.0</v>
      </c>
      <c r="F29" s="48">
        <v>1.4</v>
      </c>
      <c r="G29" s="49"/>
      <c r="H29" s="49">
        <f t="shared" si="1"/>
        <v>6.4</v>
      </c>
      <c r="I29" s="50">
        <v>0.0</v>
      </c>
      <c r="J29" s="51">
        <f t="shared" si="2"/>
        <v>6</v>
      </c>
      <c r="K29" s="44"/>
      <c r="L29" s="53">
        <f t="shared" si="3"/>
        <v>6</v>
      </c>
      <c r="M29" s="1"/>
      <c r="N29" s="1"/>
      <c r="O29" s="2"/>
      <c r="P29" s="2"/>
      <c r="Q29" s="2"/>
    </row>
    <row r="30" ht="24.75" customHeight="1">
      <c r="A30" s="44">
        <v>14.0</v>
      </c>
      <c r="B30" s="52" t="s">
        <v>180</v>
      </c>
      <c r="C30" s="52" t="s">
        <v>157</v>
      </c>
      <c r="D30" s="110" t="s">
        <v>181</v>
      </c>
      <c r="E30" s="48">
        <v>7.8</v>
      </c>
      <c r="F30" s="48">
        <v>1.3</v>
      </c>
      <c r="G30" s="49"/>
      <c r="H30" s="49">
        <f t="shared" si="1"/>
        <v>9.1</v>
      </c>
      <c r="I30" s="50">
        <v>0.0</v>
      </c>
      <c r="J30" s="51">
        <f t="shared" si="2"/>
        <v>9</v>
      </c>
      <c r="K30" s="44"/>
      <c r="L30" s="53">
        <f t="shared" si="3"/>
        <v>9</v>
      </c>
      <c r="M30" s="1"/>
      <c r="N30" s="1"/>
      <c r="O30" s="2"/>
      <c r="P30" s="2"/>
      <c r="Q30" s="2"/>
    </row>
    <row r="31" ht="24.75" customHeight="1">
      <c r="A31" s="44">
        <v>15.0</v>
      </c>
      <c r="B31" s="52" t="s">
        <v>182</v>
      </c>
      <c r="C31" s="52" t="s">
        <v>92</v>
      </c>
      <c r="D31" s="110" t="s">
        <v>183</v>
      </c>
      <c r="E31" s="48">
        <v>5.4</v>
      </c>
      <c r="F31" s="48">
        <v>1.4</v>
      </c>
      <c r="G31" s="49"/>
      <c r="H31" s="49">
        <f t="shared" si="1"/>
        <v>6.8</v>
      </c>
      <c r="I31" s="50">
        <v>0.0</v>
      </c>
      <c r="J31" s="51">
        <f t="shared" si="2"/>
        <v>7</v>
      </c>
      <c r="K31" s="44"/>
      <c r="L31" s="53">
        <f t="shared" si="3"/>
        <v>7</v>
      </c>
      <c r="M31" s="1"/>
      <c r="N31" s="1"/>
      <c r="O31" s="2"/>
      <c r="P31" s="2"/>
      <c r="Q31" s="2"/>
    </row>
    <row r="32" ht="24.75" customHeight="1">
      <c r="A32" s="44">
        <v>16.0</v>
      </c>
      <c r="B32" s="52" t="s">
        <v>184</v>
      </c>
      <c r="C32" s="52" t="s">
        <v>185</v>
      </c>
      <c r="D32" s="110" t="s">
        <v>186</v>
      </c>
      <c r="E32" s="48">
        <v>7.9</v>
      </c>
      <c r="F32" s="48">
        <v>1.3</v>
      </c>
      <c r="G32" s="59">
        <v>1.0</v>
      </c>
      <c r="H32" s="49">
        <f t="shared" si="1"/>
        <v>10.2</v>
      </c>
      <c r="I32" s="50">
        <v>0.0</v>
      </c>
      <c r="J32" s="51">
        <f t="shared" si="2"/>
        <v>10</v>
      </c>
      <c r="K32" s="44"/>
      <c r="L32" s="53">
        <f t="shared" si="3"/>
        <v>10</v>
      </c>
      <c r="M32" s="1"/>
      <c r="N32" s="1"/>
      <c r="O32" s="2"/>
      <c r="P32" s="2"/>
      <c r="Q32" s="2"/>
    </row>
    <row r="33" ht="24.75" customHeight="1">
      <c r="A33" s="44">
        <v>17.0</v>
      </c>
      <c r="B33" s="52" t="s">
        <v>61</v>
      </c>
      <c r="C33" s="52" t="s">
        <v>63</v>
      </c>
      <c r="D33" s="110" t="s">
        <v>187</v>
      </c>
      <c r="E33" s="48">
        <v>3.8</v>
      </c>
      <c r="F33" s="48">
        <v>1.7</v>
      </c>
      <c r="G33" s="49"/>
      <c r="H33" s="49">
        <f t="shared" si="1"/>
        <v>5.5</v>
      </c>
      <c r="I33" s="50">
        <v>0.0</v>
      </c>
      <c r="J33" s="51">
        <f t="shared" si="2"/>
        <v>5</v>
      </c>
      <c r="K33" s="44"/>
      <c r="L33" s="53">
        <f t="shared" si="3"/>
        <v>5</v>
      </c>
      <c r="M33" s="1"/>
      <c r="N33" s="1"/>
      <c r="O33" s="2"/>
      <c r="P33" s="2"/>
      <c r="Q33" s="2"/>
    </row>
    <row r="34" ht="24.75" customHeight="1">
      <c r="A34" s="44">
        <v>18.0</v>
      </c>
      <c r="B34" s="52" t="s">
        <v>188</v>
      </c>
      <c r="C34" s="52" t="s">
        <v>189</v>
      </c>
      <c r="D34" s="110" t="s">
        <v>190</v>
      </c>
      <c r="E34" s="48">
        <v>3.9</v>
      </c>
      <c r="F34" s="48">
        <v>1.7</v>
      </c>
      <c r="G34" s="59"/>
      <c r="H34" s="49">
        <f t="shared" si="1"/>
        <v>5.6</v>
      </c>
      <c r="I34" s="50">
        <v>0.0</v>
      </c>
      <c r="J34" s="51">
        <f t="shared" si="2"/>
        <v>5</v>
      </c>
      <c r="K34" s="44"/>
      <c r="L34" s="53">
        <f t="shared" si="3"/>
        <v>5</v>
      </c>
      <c r="M34" s="1"/>
      <c r="N34" s="1"/>
      <c r="O34" s="2"/>
      <c r="P34" s="2"/>
      <c r="Q34" s="2"/>
    </row>
    <row r="35" ht="24.75" customHeight="1">
      <c r="A35" s="44">
        <v>19.0</v>
      </c>
      <c r="B35" s="52" t="s">
        <v>188</v>
      </c>
      <c r="C35" s="52" t="s">
        <v>191</v>
      </c>
      <c r="D35" s="110" t="s">
        <v>192</v>
      </c>
      <c r="E35" s="48">
        <v>7.9</v>
      </c>
      <c r="F35" s="48">
        <v>1.3</v>
      </c>
      <c r="G35" s="59">
        <v>1.0</v>
      </c>
      <c r="H35" s="49">
        <f t="shared" si="1"/>
        <v>10.2</v>
      </c>
      <c r="I35" s="50">
        <v>0.0</v>
      </c>
      <c r="J35" s="51">
        <f t="shared" si="2"/>
        <v>10</v>
      </c>
      <c r="K35" s="44"/>
      <c r="L35" s="53">
        <f t="shared" si="3"/>
        <v>10</v>
      </c>
      <c r="M35" s="1"/>
      <c r="N35" s="1"/>
      <c r="O35" s="2"/>
      <c r="P35" s="2"/>
      <c r="Q35" s="2"/>
    </row>
    <row r="36" ht="24.75" customHeight="1">
      <c r="A36" s="44">
        <v>20.0</v>
      </c>
      <c r="B36" s="52" t="s">
        <v>37</v>
      </c>
      <c r="C36" s="52" t="s">
        <v>193</v>
      </c>
      <c r="D36" s="110" t="s">
        <v>194</v>
      </c>
      <c r="E36" s="48">
        <v>5.5</v>
      </c>
      <c r="F36" s="48">
        <v>1.3</v>
      </c>
      <c r="G36" s="59">
        <v>1.0</v>
      </c>
      <c r="H36" s="49">
        <f t="shared" si="1"/>
        <v>7.8</v>
      </c>
      <c r="I36" s="50">
        <v>0.0</v>
      </c>
      <c r="J36" s="51">
        <f t="shared" si="2"/>
        <v>8</v>
      </c>
      <c r="K36" s="44"/>
      <c r="L36" s="53">
        <f t="shared" si="3"/>
        <v>8</v>
      </c>
      <c r="M36" s="1"/>
      <c r="N36" s="1"/>
      <c r="O36" s="2"/>
      <c r="P36" s="2"/>
      <c r="Q36" s="2"/>
    </row>
    <row r="37" ht="24.75" customHeight="1">
      <c r="A37" s="44">
        <v>21.0</v>
      </c>
      <c r="B37" s="52" t="s">
        <v>112</v>
      </c>
      <c r="C37" s="52" t="s">
        <v>41</v>
      </c>
      <c r="D37" s="110" t="s">
        <v>195</v>
      </c>
      <c r="E37" s="48">
        <v>1.7</v>
      </c>
      <c r="F37" s="48">
        <v>1.1</v>
      </c>
      <c r="G37" s="49"/>
      <c r="H37" s="49">
        <f t="shared" si="1"/>
        <v>2.8</v>
      </c>
      <c r="I37" s="50">
        <v>4.0</v>
      </c>
      <c r="J37" s="51">
        <f t="shared" si="2"/>
        <v>5</v>
      </c>
      <c r="K37" s="44"/>
      <c r="L37" s="53">
        <f t="shared" si="3"/>
        <v>2</v>
      </c>
      <c r="M37" s="1"/>
      <c r="N37" s="1"/>
      <c r="O37" s="2"/>
      <c r="P37" s="2"/>
      <c r="Q37" s="2"/>
    </row>
    <row r="38" ht="24.75" customHeight="1">
      <c r="A38" s="44">
        <v>22.0</v>
      </c>
      <c r="B38" s="52" t="s">
        <v>41</v>
      </c>
      <c r="C38" s="52" t="s">
        <v>196</v>
      </c>
      <c r="D38" s="110" t="s">
        <v>197</v>
      </c>
      <c r="E38" s="48">
        <v>7.9</v>
      </c>
      <c r="F38" s="48">
        <v>1.8</v>
      </c>
      <c r="G38" s="59">
        <v>1.0</v>
      </c>
      <c r="H38" s="49">
        <f t="shared" si="1"/>
        <v>10.7</v>
      </c>
      <c r="I38" s="50">
        <v>0.0</v>
      </c>
      <c r="J38" s="51">
        <f t="shared" si="2"/>
        <v>10</v>
      </c>
      <c r="K38" s="44"/>
      <c r="L38" s="53">
        <f t="shared" si="3"/>
        <v>11</v>
      </c>
      <c r="M38" s="1"/>
      <c r="N38" s="1"/>
      <c r="O38" s="2"/>
      <c r="P38" s="2"/>
      <c r="Q38" s="2"/>
    </row>
    <row r="39" ht="24.75" customHeight="1">
      <c r="A39" s="44">
        <v>23.0</v>
      </c>
      <c r="B39" s="52" t="s">
        <v>41</v>
      </c>
      <c r="C39" s="52" t="s">
        <v>61</v>
      </c>
      <c r="D39" s="110" t="s">
        <v>198</v>
      </c>
      <c r="E39" s="48">
        <v>7.6</v>
      </c>
      <c r="F39" s="48">
        <v>1.4</v>
      </c>
      <c r="G39" s="49"/>
      <c r="H39" s="49">
        <f t="shared" si="1"/>
        <v>9</v>
      </c>
      <c r="I39" s="50">
        <v>0.0</v>
      </c>
      <c r="J39" s="51">
        <f t="shared" si="2"/>
        <v>9</v>
      </c>
      <c r="K39" s="44"/>
      <c r="L39" s="53">
        <f t="shared" si="3"/>
        <v>9</v>
      </c>
      <c r="M39" s="1"/>
      <c r="N39" s="1"/>
      <c r="O39" s="2"/>
      <c r="P39" s="2"/>
      <c r="Q39" s="2"/>
    </row>
    <row r="40" ht="24.75" customHeight="1">
      <c r="A40" s="44">
        <v>24.0</v>
      </c>
      <c r="B40" s="52" t="s">
        <v>199</v>
      </c>
      <c r="C40" s="52" t="s">
        <v>200</v>
      </c>
      <c r="D40" s="110" t="s">
        <v>201</v>
      </c>
      <c r="E40" s="48">
        <v>7.9</v>
      </c>
      <c r="F40" s="48">
        <v>1.7</v>
      </c>
      <c r="G40" s="59">
        <v>1.0</v>
      </c>
      <c r="H40" s="49">
        <f t="shared" si="1"/>
        <v>10.6</v>
      </c>
      <c r="I40" s="50">
        <v>0.0</v>
      </c>
      <c r="J40" s="51">
        <f t="shared" si="2"/>
        <v>10</v>
      </c>
      <c r="K40" s="44"/>
      <c r="L40" s="53">
        <f t="shared" si="3"/>
        <v>11</v>
      </c>
      <c r="M40" s="1"/>
      <c r="N40" s="1"/>
      <c r="O40" s="2"/>
      <c r="P40" s="2"/>
      <c r="Q40" s="2"/>
    </row>
    <row r="41" ht="24.75" customHeight="1">
      <c r="A41" s="44">
        <v>25.0</v>
      </c>
      <c r="B41" s="52" t="s">
        <v>79</v>
      </c>
      <c r="C41" s="52" t="s">
        <v>112</v>
      </c>
      <c r="D41" s="110" t="s">
        <v>202</v>
      </c>
      <c r="E41" s="48">
        <v>7.6</v>
      </c>
      <c r="F41" s="48">
        <v>1.4</v>
      </c>
      <c r="G41" s="59">
        <v>1.0</v>
      </c>
      <c r="H41" s="49">
        <f t="shared" si="1"/>
        <v>10</v>
      </c>
      <c r="I41" s="50">
        <v>0.0</v>
      </c>
      <c r="J41" s="51">
        <f t="shared" si="2"/>
        <v>10</v>
      </c>
      <c r="K41" s="44"/>
      <c r="L41" s="53">
        <f t="shared" si="3"/>
        <v>10</v>
      </c>
      <c r="M41" s="1"/>
      <c r="N41" s="1"/>
      <c r="O41" s="2"/>
      <c r="P41" s="2"/>
      <c r="Q41" s="2"/>
    </row>
    <row r="42" ht="24.75" customHeight="1">
      <c r="A42" s="44">
        <v>26.0</v>
      </c>
      <c r="B42" s="52" t="s">
        <v>203</v>
      </c>
      <c r="C42" s="52" t="s">
        <v>37</v>
      </c>
      <c r="D42" s="110" t="s">
        <v>204</v>
      </c>
      <c r="E42" s="48">
        <v>4.8</v>
      </c>
      <c r="F42" s="48">
        <v>1.4</v>
      </c>
      <c r="G42" s="59">
        <v>1.0</v>
      </c>
      <c r="H42" s="49">
        <f t="shared" si="1"/>
        <v>7.2</v>
      </c>
      <c r="I42" s="50">
        <v>0.0</v>
      </c>
      <c r="J42" s="51">
        <f t="shared" si="2"/>
        <v>7</v>
      </c>
      <c r="K42" s="44"/>
      <c r="L42" s="53">
        <f t="shared" si="3"/>
        <v>7</v>
      </c>
      <c r="M42" s="1"/>
      <c r="N42" s="1"/>
      <c r="O42" s="2"/>
      <c r="P42" s="2"/>
      <c r="Q42" s="2"/>
    </row>
    <row r="43" ht="24.75" customHeight="1">
      <c r="A43" s="44">
        <v>27.0</v>
      </c>
      <c r="B43" s="52" t="s">
        <v>205</v>
      </c>
      <c r="C43" s="52" t="s">
        <v>81</v>
      </c>
      <c r="D43" s="110" t="s">
        <v>206</v>
      </c>
      <c r="E43" s="48">
        <v>3.8</v>
      </c>
      <c r="F43" s="48">
        <v>1.4</v>
      </c>
      <c r="G43" s="59"/>
      <c r="H43" s="49">
        <f t="shared" si="1"/>
        <v>5.2</v>
      </c>
      <c r="I43" s="50">
        <v>4.0</v>
      </c>
      <c r="J43" s="51">
        <f t="shared" si="2"/>
        <v>5</v>
      </c>
      <c r="K43" s="44"/>
      <c r="L43" s="53">
        <f t="shared" si="3"/>
        <v>5</v>
      </c>
      <c r="M43" s="1"/>
      <c r="N43" s="1"/>
      <c r="O43" s="2"/>
      <c r="P43" s="2"/>
      <c r="Q43" s="2"/>
    </row>
    <row r="44" ht="24.75" customHeight="1">
      <c r="A44" s="44">
        <v>28.0</v>
      </c>
      <c r="B44" s="52" t="s">
        <v>90</v>
      </c>
      <c r="C44" s="52" t="s">
        <v>207</v>
      </c>
      <c r="D44" s="110" t="s">
        <v>208</v>
      </c>
      <c r="E44" s="48">
        <v>5.0</v>
      </c>
      <c r="F44" s="48">
        <v>1.4</v>
      </c>
      <c r="G44" s="59">
        <v>1.0</v>
      </c>
      <c r="H44" s="49">
        <f t="shared" si="1"/>
        <v>7.4</v>
      </c>
      <c r="I44" s="50">
        <v>4.0</v>
      </c>
      <c r="J44" s="51">
        <f t="shared" si="2"/>
        <v>7</v>
      </c>
      <c r="K44" s="44"/>
      <c r="L44" s="53">
        <f t="shared" si="3"/>
        <v>7</v>
      </c>
      <c r="M44" s="1"/>
      <c r="N44" s="1"/>
      <c r="O44" s="2"/>
      <c r="P44" s="2"/>
      <c r="Q44" s="2"/>
    </row>
    <row r="45" ht="24.75" customHeight="1">
      <c r="A45" s="44">
        <v>29.0</v>
      </c>
      <c r="B45" s="52" t="s">
        <v>209</v>
      </c>
      <c r="C45" s="52" t="s">
        <v>210</v>
      </c>
      <c r="D45" s="110" t="s">
        <v>211</v>
      </c>
      <c r="E45" s="48">
        <v>5.2</v>
      </c>
      <c r="F45" s="48">
        <v>1.4</v>
      </c>
      <c r="G45" s="49"/>
      <c r="H45" s="49">
        <f t="shared" si="1"/>
        <v>6.6</v>
      </c>
      <c r="I45" s="50">
        <v>0.0</v>
      </c>
      <c r="J45" s="51">
        <f t="shared" si="2"/>
        <v>7</v>
      </c>
      <c r="K45" s="44"/>
      <c r="L45" s="53">
        <f t="shared" si="3"/>
        <v>7</v>
      </c>
      <c r="M45" s="1"/>
      <c r="N45" s="1"/>
      <c r="O45" s="2"/>
      <c r="P45" s="2"/>
      <c r="Q45" s="2"/>
    </row>
    <row r="46" ht="24.75" customHeight="1">
      <c r="A46" s="44">
        <v>30.0</v>
      </c>
      <c r="B46" s="52" t="s">
        <v>212</v>
      </c>
      <c r="C46" s="52" t="s">
        <v>55</v>
      </c>
      <c r="D46" s="110" t="s">
        <v>213</v>
      </c>
      <c r="E46" s="48">
        <v>7.4</v>
      </c>
      <c r="F46" s="48">
        <v>1.9</v>
      </c>
      <c r="G46" s="59">
        <v>1.0</v>
      </c>
      <c r="H46" s="49">
        <f t="shared" si="1"/>
        <v>10.3</v>
      </c>
      <c r="I46" s="50">
        <v>0.0</v>
      </c>
      <c r="J46" s="51">
        <f t="shared" si="2"/>
        <v>10</v>
      </c>
      <c r="K46" s="44"/>
      <c r="L46" s="53">
        <f t="shared" si="3"/>
        <v>10</v>
      </c>
      <c r="M46" s="1"/>
      <c r="N46" s="1"/>
      <c r="O46" s="2"/>
      <c r="P46" s="2"/>
      <c r="Q46" s="2"/>
    </row>
    <row r="47" ht="24.75" customHeight="1">
      <c r="A47" s="44">
        <v>31.0</v>
      </c>
      <c r="B47" s="52" t="s">
        <v>214</v>
      </c>
      <c r="C47" s="52" t="s">
        <v>188</v>
      </c>
      <c r="D47" s="110" t="s">
        <v>215</v>
      </c>
      <c r="E47" s="48">
        <v>0.0</v>
      </c>
      <c r="F47" s="48">
        <v>1.7</v>
      </c>
      <c r="G47" s="49"/>
      <c r="H47" s="49">
        <f t="shared" si="1"/>
        <v>1.7</v>
      </c>
      <c r="I47" s="50">
        <v>0.0</v>
      </c>
      <c r="J47" s="51">
        <f t="shared" si="2"/>
        <v>5</v>
      </c>
      <c r="K47" s="44"/>
      <c r="L47" s="53">
        <f t="shared" si="3"/>
        <v>1</v>
      </c>
      <c r="M47" s="1"/>
      <c r="N47" s="1"/>
      <c r="O47" s="2"/>
      <c r="P47" s="2"/>
      <c r="Q47" s="2"/>
    </row>
    <row r="48" ht="24.75" customHeight="1">
      <c r="A48" s="44">
        <v>32.0</v>
      </c>
      <c r="B48" s="52" t="s">
        <v>81</v>
      </c>
      <c r="C48" s="52" t="s">
        <v>216</v>
      </c>
      <c r="D48" s="110" t="s">
        <v>217</v>
      </c>
      <c r="E48" s="48">
        <v>4.3</v>
      </c>
      <c r="F48" s="48">
        <v>1.7</v>
      </c>
      <c r="G48" s="59">
        <v>1.0</v>
      </c>
      <c r="H48" s="49">
        <f t="shared" si="1"/>
        <v>7</v>
      </c>
      <c r="I48" s="50">
        <v>1.0</v>
      </c>
      <c r="J48" s="51">
        <f t="shared" si="2"/>
        <v>7</v>
      </c>
      <c r="K48" s="44"/>
      <c r="L48" s="53">
        <f t="shared" si="3"/>
        <v>7</v>
      </c>
      <c r="M48" s="1"/>
      <c r="N48" s="1"/>
      <c r="O48" s="2"/>
      <c r="P48" s="2"/>
      <c r="Q48" s="2"/>
    </row>
    <row r="49" ht="24.75" customHeight="1">
      <c r="A49" s="44">
        <v>33.0</v>
      </c>
      <c r="B49" s="52" t="s">
        <v>123</v>
      </c>
      <c r="C49" s="52" t="s">
        <v>218</v>
      </c>
      <c r="D49" s="110" t="s">
        <v>219</v>
      </c>
      <c r="E49" s="48">
        <v>3.8</v>
      </c>
      <c r="F49" s="48">
        <v>1.8</v>
      </c>
      <c r="G49" s="59"/>
      <c r="H49" s="49">
        <f t="shared" si="1"/>
        <v>5.6</v>
      </c>
      <c r="I49" s="50">
        <v>0.0</v>
      </c>
      <c r="J49" s="51">
        <f t="shared" si="2"/>
        <v>5</v>
      </c>
      <c r="K49" s="44"/>
      <c r="L49" s="53">
        <f t="shared" si="3"/>
        <v>5</v>
      </c>
      <c r="M49" s="1"/>
      <c r="N49" s="1"/>
      <c r="O49" s="2"/>
      <c r="P49" s="2"/>
      <c r="Q49" s="2"/>
    </row>
    <row r="50" ht="24.75" customHeight="1">
      <c r="A50" s="44">
        <v>34.0</v>
      </c>
      <c r="B50" s="52" t="s">
        <v>99</v>
      </c>
      <c r="C50" s="52" t="s">
        <v>44</v>
      </c>
      <c r="D50" s="110" t="s">
        <v>220</v>
      </c>
      <c r="E50" s="48">
        <v>7.9</v>
      </c>
      <c r="F50" s="48">
        <v>1.7</v>
      </c>
      <c r="G50" s="59">
        <v>1.0</v>
      </c>
      <c r="H50" s="49">
        <f t="shared" si="1"/>
        <v>10.6</v>
      </c>
      <c r="I50" s="50">
        <v>0.0</v>
      </c>
      <c r="J50" s="51">
        <f t="shared" si="2"/>
        <v>10</v>
      </c>
      <c r="K50" s="44"/>
      <c r="L50" s="53">
        <f t="shared" si="3"/>
        <v>11</v>
      </c>
      <c r="M50" s="1"/>
      <c r="N50" s="1"/>
      <c r="O50" s="2"/>
      <c r="P50" s="2"/>
      <c r="Q50" s="2"/>
    </row>
    <row r="51" ht="24.75" customHeight="1">
      <c r="A51" s="44">
        <v>35.0</v>
      </c>
      <c r="B51" s="52" t="s">
        <v>92</v>
      </c>
      <c r="C51" s="52" t="s">
        <v>221</v>
      </c>
      <c r="D51" s="110" t="s">
        <v>222</v>
      </c>
      <c r="E51" s="48">
        <v>3.8</v>
      </c>
      <c r="F51" s="48">
        <v>1.4</v>
      </c>
      <c r="G51" s="59"/>
      <c r="H51" s="49">
        <f t="shared" si="1"/>
        <v>5.2</v>
      </c>
      <c r="I51" s="50">
        <v>2.0</v>
      </c>
      <c r="J51" s="51">
        <f t="shared" si="2"/>
        <v>5</v>
      </c>
      <c r="K51" s="44"/>
      <c r="L51" s="53">
        <f t="shared" si="3"/>
        <v>5</v>
      </c>
      <c r="M51" s="1"/>
      <c r="N51" s="1"/>
      <c r="O51" s="2"/>
      <c r="P51" s="2"/>
      <c r="Q51" s="2"/>
    </row>
    <row r="52" ht="24.75" customHeight="1">
      <c r="A52" s="44">
        <v>36.0</v>
      </c>
      <c r="B52" s="52" t="s">
        <v>103</v>
      </c>
      <c r="C52" s="52" t="s">
        <v>223</v>
      </c>
      <c r="D52" s="110" t="s">
        <v>224</v>
      </c>
      <c r="E52" s="48">
        <v>7.6</v>
      </c>
      <c r="F52" s="48">
        <v>1.4</v>
      </c>
      <c r="G52" s="49"/>
      <c r="H52" s="49">
        <f t="shared" si="1"/>
        <v>9</v>
      </c>
      <c r="I52" s="50">
        <v>0.0</v>
      </c>
      <c r="J52" s="51">
        <f t="shared" si="2"/>
        <v>9</v>
      </c>
      <c r="K52" s="44"/>
      <c r="L52" s="52">
        <f t="shared" si="3"/>
        <v>9</v>
      </c>
      <c r="M52" s="1"/>
      <c r="N52" s="1"/>
      <c r="O52" s="2"/>
      <c r="P52" s="2"/>
      <c r="Q52" s="2"/>
    </row>
    <row r="53" ht="24.75" customHeight="1">
      <c r="A53" s="44">
        <v>37.0</v>
      </c>
      <c r="B53" s="52" t="s">
        <v>103</v>
      </c>
      <c r="C53" s="52" t="s">
        <v>225</v>
      </c>
      <c r="D53" s="110" t="s">
        <v>226</v>
      </c>
      <c r="E53" s="48">
        <v>3.4</v>
      </c>
      <c r="F53" s="48">
        <v>1.7</v>
      </c>
      <c r="G53" s="49"/>
      <c r="H53" s="49">
        <f t="shared" si="1"/>
        <v>5.1</v>
      </c>
      <c r="I53" s="50">
        <v>0.0</v>
      </c>
      <c r="J53" s="51">
        <f t="shared" si="2"/>
        <v>5</v>
      </c>
      <c r="K53" s="44"/>
      <c r="L53" s="52">
        <f t="shared" si="3"/>
        <v>5</v>
      </c>
      <c r="M53" s="1"/>
      <c r="N53" s="1"/>
      <c r="O53" s="2"/>
      <c r="P53" s="2"/>
      <c r="Q53" s="2"/>
    </row>
    <row r="54" ht="24.75" customHeight="1">
      <c r="A54" s="44">
        <v>38.0</v>
      </c>
      <c r="B54" s="52" t="s">
        <v>103</v>
      </c>
      <c r="C54" s="52" t="s">
        <v>112</v>
      </c>
      <c r="D54" s="110" t="s">
        <v>227</v>
      </c>
      <c r="E54" s="48">
        <v>5.7</v>
      </c>
      <c r="F54" s="48">
        <v>1.7</v>
      </c>
      <c r="G54" s="49"/>
      <c r="H54" s="49">
        <f t="shared" si="1"/>
        <v>7.4</v>
      </c>
      <c r="I54" s="50">
        <v>3.0</v>
      </c>
      <c r="J54" s="51">
        <f t="shared" si="2"/>
        <v>7</v>
      </c>
      <c r="K54" s="44"/>
      <c r="L54" s="52">
        <f t="shared" si="3"/>
        <v>7</v>
      </c>
      <c r="M54" s="1"/>
      <c r="N54" s="1"/>
      <c r="O54" s="2"/>
      <c r="P54" s="2"/>
      <c r="Q54" s="2"/>
    </row>
    <row r="55" ht="24.75" customHeight="1">
      <c r="A55" s="44">
        <v>39.0</v>
      </c>
      <c r="B55" s="52" t="s">
        <v>228</v>
      </c>
      <c r="C55" s="52" t="s">
        <v>229</v>
      </c>
      <c r="D55" s="110" t="s">
        <v>230</v>
      </c>
      <c r="E55" s="48">
        <v>2.3</v>
      </c>
      <c r="F55" s="48">
        <v>0.0</v>
      </c>
      <c r="G55" s="49"/>
      <c r="H55" s="49">
        <f t="shared" si="1"/>
        <v>2.3</v>
      </c>
      <c r="I55" s="50">
        <v>1.0</v>
      </c>
      <c r="J55" s="51">
        <f t="shared" si="2"/>
        <v>5</v>
      </c>
      <c r="K55" s="44"/>
      <c r="L55" s="52">
        <f t="shared" si="3"/>
        <v>2</v>
      </c>
      <c r="M55" s="1"/>
      <c r="N55" s="1"/>
      <c r="O55" s="2"/>
      <c r="P55" s="2"/>
      <c r="Q55" s="2"/>
    </row>
    <row r="56" ht="24.75" customHeight="1">
      <c r="A56" s="44">
        <v>40.0</v>
      </c>
      <c r="B56" s="52" t="s">
        <v>109</v>
      </c>
      <c r="C56" s="52" t="s">
        <v>231</v>
      </c>
      <c r="D56" s="110" t="s">
        <v>232</v>
      </c>
      <c r="E56" s="48">
        <v>7.9</v>
      </c>
      <c r="F56" s="48">
        <v>1.3</v>
      </c>
      <c r="G56" s="49"/>
      <c r="H56" s="49">
        <f t="shared" si="1"/>
        <v>9.2</v>
      </c>
      <c r="I56" s="50">
        <v>0.0</v>
      </c>
      <c r="J56" s="51">
        <f t="shared" si="2"/>
        <v>9</v>
      </c>
      <c r="K56" s="44"/>
      <c r="L56" s="52">
        <f t="shared" si="3"/>
        <v>9</v>
      </c>
      <c r="M56" s="1"/>
      <c r="N56" s="1"/>
      <c r="O56" s="2"/>
      <c r="P56" s="2"/>
      <c r="Q56" s="2"/>
    </row>
    <row r="57" ht="24.75" customHeight="1">
      <c r="A57" s="44">
        <v>41.0</v>
      </c>
      <c r="B57" s="52" t="s">
        <v>233</v>
      </c>
      <c r="C57" s="52" t="s">
        <v>234</v>
      </c>
      <c r="D57" s="110" t="s">
        <v>235</v>
      </c>
      <c r="E57" s="48">
        <v>7.8</v>
      </c>
      <c r="F57" s="48">
        <v>1.3</v>
      </c>
      <c r="G57" s="59">
        <v>1.0</v>
      </c>
      <c r="H57" s="49">
        <f t="shared" si="1"/>
        <v>10.1</v>
      </c>
      <c r="I57" s="50">
        <v>0.0</v>
      </c>
      <c r="J57" s="51">
        <f t="shared" si="2"/>
        <v>10</v>
      </c>
      <c r="K57" s="44"/>
      <c r="L57" s="52">
        <f t="shared" si="3"/>
        <v>10</v>
      </c>
      <c r="M57" s="1"/>
      <c r="N57" s="1"/>
      <c r="O57" s="2"/>
      <c r="P57" s="2"/>
      <c r="Q57" s="2"/>
    </row>
    <row r="58" ht="24.75" customHeight="1">
      <c r="A58" s="44">
        <v>42.0</v>
      </c>
      <c r="B58" s="52" t="s">
        <v>55</v>
      </c>
      <c r="C58" s="52" t="s">
        <v>236</v>
      </c>
      <c r="D58" s="110" t="s">
        <v>237</v>
      </c>
      <c r="E58" s="48">
        <v>5.4</v>
      </c>
      <c r="F58" s="48">
        <v>1.7</v>
      </c>
      <c r="G58" s="49"/>
      <c r="H58" s="49">
        <f t="shared" si="1"/>
        <v>7.1</v>
      </c>
      <c r="I58" s="50">
        <v>0.0</v>
      </c>
      <c r="J58" s="51">
        <f t="shared" si="2"/>
        <v>7</v>
      </c>
      <c r="K58" s="44"/>
      <c r="L58" s="52">
        <f t="shared" si="3"/>
        <v>7</v>
      </c>
      <c r="M58" s="1"/>
      <c r="N58" s="1"/>
      <c r="O58" s="2"/>
      <c r="P58" s="2"/>
      <c r="Q58" s="2"/>
    </row>
    <row r="59" ht="24.75" customHeight="1">
      <c r="A59" s="44">
        <v>43.0</v>
      </c>
      <c r="B59" s="52" t="s">
        <v>55</v>
      </c>
      <c r="C59" s="52" t="s">
        <v>238</v>
      </c>
      <c r="D59" s="110" t="s">
        <v>239</v>
      </c>
      <c r="E59" s="48">
        <v>5.1</v>
      </c>
      <c r="F59" s="48">
        <v>1.7</v>
      </c>
      <c r="G59" s="49"/>
      <c r="H59" s="49">
        <f t="shared" si="1"/>
        <v>6.8</v>
      </c>
      <c r="I59" s="50">
        <v>1.0</v>
      </c>
      <c r="J59" s="51">
        <f t="shared" si="2"/>
        <v>7</v>
      </c>
      <c r="K59" s="44"/>
      <c r="L59" s="52">
        <f t="shared" si="3"/>
        <v>7</v>
      </c>
      <c r="M59" s="1"/>
      <c r="N59" s="1"/>
      <c r="O59" s="2"/>
      <c r="P59" s="2"/>
      <c r="Q59" s="2"/>
    </row>
    <row r="60" ht="24.75" customHeight="1">
      <c r="A60" s="44">
        <v>44.0</v>
      </c>
      <c r="B60" s="52" t="s">
        <v>49</v>
      </c>
      <c r="C60" s="52" t="s">
        <v>240</v>
      </c>
      <c r="D60" s="110" t="s">
        <v>241</v>
      </c>
      <c r="E60" s="48">
        <v>6.9</v>
      </c>
      <c r="F60" s="48">
        <v>1.9</v>
      </c>
      <c r="G60" s="59">
        <v>1.0</v>
      </c>
      <c r="H60" s="49">
        <f t="shared" si="1"/>
        <v>9.8</v>
      </c>
      <c r="I60" s="50">
        <v>0.0</v>
      </c>
      <c r="J60" s="51">
        <f t="shared" si="2"/>
        <v>10</v>
      </c>
      <c r="K60" s="44"/>
      <c r="L60" s="52">
        <f t="shared" si="3"/>
        <v>10</v>
      </c>
      <c r="M60" s="1"/>
      <c r="N60" s="1"/>
      <c r="O60" s="2"/>
      <c r="P60" s="2"/>
      <c r="Q60" s="2"/>
    </row>
    <row r="61" ht="24.75" customHeight="1">
      <c r="A61" s="44">
        <v>45.0</v>
      </c>
      <c r="B61" s="52" t="s">
        <v>49</v>
      </c>
      <c r="C61" s="52" t="s">
        <v>72</v>
      </c>
      <c r="D61" s="110" t="s">
        <v>242</v>
      </c>
      <c r="E61" s="48">
        <v>4.8</v>
      </c>
      <c r="F61" s="48">
        <v>1.2</v>
      </c>
      <c r="G61" s="49"/>
      <c r="H61" s="49">
        <f t="shared" si="1"/>
        <v>6</v>
      </c>
      <c r="I61" s="50">
        <v>1.0</v>
      </c>
      <c r="J61" s="51">
        <f t="shared" si="2"/>
        <v>6</v>
      </c>
      <c r="K61" s="44"/>
      <c r="L61" s="52">
        <f t="shared" si="3"/>
        <v>6</v>
      </c>
      <c r="M61" s="1"/>
      <c r="N61" s="1"/>
      <c r="O61" s="2"/>
      <c r="P61" s="2"/>
      <c r="Q61" s="2"/>
    </row>
    <row r="62" ht="24.75" customHeight="1">
      <c r="A62" s="44">
        <v>46.0</v>
      </c>
      <c r="B62" s="52" t="s">
        <v>243</v>
      </c>
      <c r="C62" s="52" t="s">
        <v>244</v>
      </c>
      <c r="D62" s="110" t="s">
        <v>245</v>
      </c>
      <c r="E62" s="48">
        <v>6.9</v>
      </c>
      <c r="F62" s="48">
        <v>1.3</v>
      </c>
      <c r="G62" s="59">
        <v>1.0</v>
      </c>
      <c r="H62" s="49">
        <f t="shared" si="1"/>
        <v>9.2</v>
      </c>
      <c r="I62" s="50">
        <v>0.0</v>
      </c>
      <c r="J62" s="51">
        <f t="shared" si="2"/>
        <v>9</v>
      </c>
      <c r="K62" s="44"/>
      <c r="L62" s="52">
        <f t="shared" si="3"/>
        <v>9</v>
      </c>
      <c r="M62" s="1"/>
      <c r="N62" s="1"/>
      <c r="O62" s="2"/>
      <c r="P62" s="2"/>
      <c r="Q62" s="2"/>
    </row>
    <row r="63" ht="24.75" customHeight="1">
      <c r="A63" s="44">
        <v>47.0</v>
      </c>
      <c r="B63" s="52" t="s">
        <v>246</v>
      </c>
      <c r="C63" s="52" t="s">
        <v>247</v>
      </c>
      <c r="D63" s="110" t="s">
        <v>248</v>
      </c>
      <c r="E63" s="48">
        <v>5.9</v>
      </c>
      <c r="F63" s="48">
        <v>1.8</v>
      </c>
      <c r="G63" s="59">
        <v>1.0</v>
      </c>
      <c r="H63" s="49">
        <f t="shared" si="1"/>
        <v>8.7</v>
      </c>
      <c r="I63" s="111">
        <v>0.0</v>
      </c>
      <c r="J63" s="51">
        <f t="shared" si="2"/>
        <v>9</v>
      </c>
      <c r="K63" s="44"/>
      <c r="L63" s="52">
        <f t="shared" si="3"/>
        <v>9</v>
      </c>
      <c r="M63" s="1"/>
      <c r="N63" s="1"/>
      <c r="O63" s="2"/>
      <c r="P63" s="2"/>
      <c r="Q63" s="2"/>
    </row>
    <row r="64" ht="24.75" customHeight="1">
      <c r="A64" s="44">
        <v>48.0</v>
      </c>
      <c r="B64" s="52" t="s">
        <v>249</v>
      </c>
      <c r="C64" s="52" t="s">
        <v>250</v>
      </c>
      <c r="D64" s="110" t="s">
        <v>251</v>
      </c>
      <c r="E64" s="48">
        <v>7.6</v>
      </c>
      <c r="F64" s="48">
        <v>1.4</v>
      </c>
      <c r="G64" s="59">
        <v>1.0</v>
      </c>
      <c r="H64" s="49">
        <f t="shared" si="1"/>
        <v>10</v>
      </c>
      <c r="I64" s="111">
        <v>0.0</v>
      </c>
      <c r="J64" s="51">
        <f t="shared" si="2"/>
        <v>10</v>
      </c>
      <c r="K64" s="44"/>
      <c r="L64" s="52">
        <f t="shared" si="3"/>
        <v>10</v>
      </c>
      <c r="M64" s="1"/>
      <c r="N64" s="1"/>
      <c r="O64" s="2"/>
      <c r="P64" s="2"/>
      <c r="Q64" s="2"/>
    </row>
    <row r="65" ht="24.75" customHeight="1">
      <c r="A65" s="44">
        <v>49.0</v>
      </c>
      <c r="B65" s="52" t="s">
        <v>249</v>
      </c>
      <c r="C65" s="52" t="s">
        <v>252</v>
      </c>
      <c r="D65" s="110" t="s">
        <v>253</v>
      </c>
      <c r="E65" s="48">
        <v>4.1</v>
      </c>
      <c r="F65" s="48">
        <v>0.0</v>
      </c>
      <c r="G65" s="49"/>
      <c r="H65" s="49">
        <f t="shared" si="1"/>
        <v>4.1</v>
      </c>
      <c r="I65" s="50">
        <v>1.0</v>
      </c>
      <c r="J65" s="51">
        <f t="shared" si="2"/>
        <v>5</v>
      </c>
      <c r="K65" s="44"/>
      <c r="L65" s="52">
        <f t="shared" si="3"/>
        <v>4</v>
      </c>
      <c r="M65" s="1"/>
      <c r="N65" s="1"/>
      <c r="O65" s="2"/>
      <c r="P65" s="2"/>
      <c r="Q65" s="2"/>
    </row>
    <row r="66" ht="24.75" customHeight="1">
      <c r="A66" s="6"/>
      <c r="B66" s="62"/>
      <c r="C66" s="62"/>
      <c r="D66" s="62"/>
      <c r="E66" s="63"/>
      <c r="F66" s="63"/>
      <c r="G66" s="63"/>
      <c r="H66" s="63"/>
      <c r="I66" s="63"/>
      <c r="J66" s="62"/>
      <c r="K66" s="7"/>
      <c r="L66" s="62"/>
      <c r="M66" s="1"/>
      <c r="N66" s="1"/>
      <c r="O66" s="2"/>
      <c r="P66" s="2"/>
      <c r="Q66" s="2"/>
    </row>
    <row r="67" ht="24.75" customHeight="1">
      <c r="A67" s="1"/>
      <c r="B67" s="64" t="s">
        <v>135</v>
      </c>
      <c r="C67" s="65"/>
      <c r="D67" s="112">
        <f>COUNT(A17:A65)</f>
        <v>49</v>
      </c>
      <c r="E67" s="63"/>
      <c r="F67" s="67" t="s">
        <v>136</v>
      </c>
      <c r="G67" s="63"/>
      <c r="H67" s="67" t="s">
        <v>137</v>
      </c>
      <c r="J67" s="68" t="s">
        <v>138</v>
      </c>
      <c r="K67" s="69" t="s">
        <v>139</v>
      </c>
      <c r="L67" s="62"/>
      <c r="M67" s="1"/>
      <c r="N67" s="1"/>
      <c r="O67" s="2"/>
      <c r="P67" s="2"/>
      <c r="Q67" s="2"/>
    </row>
    <row r="68" ht="24.75" customHeight="1">
      <c r="A68" s="1"/>
      <c r="B68" s="70" t="s">
        <v>140</v>
      </c>
      <c r="C68" s="71"/>
      <c r="D68" s="113">
        <f>COUNTIF(J17:J65,"BAJA")</f>
        <v>0</v>
      </c>
      <c r="E68" s="63"/>
      <c r="G68" s="63"/>
      <c r="K68" s="9"/>
      <c r="L68" s="62"/>
      <c r="M68" s="1"/>
      <c r="N68" s="1"/>
      <c r="O68" s="2"/>
      <c r="P68" s="2"/>
      <c r="Q68" s="2"/>
    </row>
    <row r="69" ht="24.75" customHeight="1">
      <c r="A69" s="1"/>
      <c r="B69" s="70" t="s">
        <v>141</v>
      </c>
      <c r="C69" s="71"/>
      <c r="D69" s="79">
        <f>D67-D68</f>
        <v>49</v>
      </c>
      <c r="E69" s="63"/>
      <c r="F69" s="63"/>
      <c r="G69" s="63"/>
      <c r="H69" s="63"/>
      <c r="I69" s="63"/>
      <c r="J69" s="62"/>
      <c r="K69" s="7"/>
      <c r="L69" s="62"/>
      <c r="M69" s="1"/>
      <c r="N69" s="1"/>
      <c r="O69" s="2"/>
      <c r="P69" s="2"/>
      <c r="Q69" s="2"/>
    </row>
    <row r="70" ht="24.75" customHeight="1">
      <c r="A70" s="1"/>
      <c r="B70" s="70" t="s">
        <v>142</v>
      </c>
      <c r="C70" s="71"/>
      <c r="D70" s="74">
        <f>COUNTIF(J17:J65,"&gt;=6")</f>
        <v>36</v>
      </c>
      <c r="E70" s="63"/>
      <c r="F70" s="63"/>
      <c r="G70" s="63"/>
      <c r="H70" s="63"/>
      <c r="I70" s="11"/>
      <c r="J70" s="62"/>
      <c r="K70" s="7"/>
      <c r="L70" s="62"/>
      <c r="M70" s="1"/>
      <c r="N70" s="1"/>
      <c r="O70" s="2"/>
      <c r="P70" s="2"/>
      <c r="Q70" s="2"/>
    </row>
    <row r="71" ht="24.75" customHeight="1">
      <c r="A71" s="1"/>
      <c r="B71" s="70" t="s">
        <v>143</v>
      </c>
      <c r="C71" s="71"/>
      <c r="D71" s="74">
        <f>D69-D70</f>
        <v>13</v>
      </c>
      <c r="E71" s="63"/>
      <c r="F71" s="75"/>
      <c r="G71" s="63"/>
      <c r="H71" s="75"/>
      <c r="I71" s="75"/>
      <c r="J71" s="77"/>
      <c r="K71" s="78"/>
      <c r="L71" s="62"/>
      <c r="M71" s="1"/>
      <c r="N71" s="1"/>
      <c r="O71" s="2"/>
      <c r="P71" s="2"/>
      <c r="Q71" s="2"/>
    </row>
    <row r="72" ht="36.0" customHeight="1">
      <c r="A72" s="84"/>
      <c r="B72" s="114" t="s">
        <v>144</v>
      </c>
      <c r="C72" s="71"/>
      <c r="D72" s="79">
        <f>D70*100/D69</f>
        <v>73.46938776</v>
      </c>
      <c r="E72" s="1"/>
      <c r="F72" s="80" t="s">
        <v>145</v>
      </c>
      <c r="G72" s="1"/>
      <c r="H72" s="81" t="s">
        <v>146</v>
      </c>
      <c r="J72" s="82" t="s">
        <v>147</v>
      </c>
      <c r="K72" s="83" t="s">
        <v>148</v>
      </c>
      <c r="L72" s="1"/>
      <c r="M72" s="1"/>
      <c r="N72" s="1"/>
      <c r="O72" s="2"/>
      <c r="P72" s="2"/>
      <c r="Q72" s="2"/>
    </row>
    <row r="73" ht="21.75" customHeight="1">
      <c r="A73" s="84"/>
      <c r="B73" s="115" t="s">
        <v>149</v>
      </c>
      <c r="C73" s="86"/>
      <c r="D73" s="87">
        <f>AVERAGE(J17:J65)</f>
        <v>7.510204082</v>
      </c>
      <c r="E73" s="1"/>
      <c r="G73" s="1"/>
      <c r="K73" s="9"/>
      <c r="L73" s="1"/>
      <c r="M73" s="1"/>
      <c r="N73" s="1"/>
      <c r="O73" s="2"/>
      <c r="P73" s="2"/>
      <c r="Q73" s="2"/>
    </row>
    <row r="74" ht="21.75" customHeight="1">
      <c r="A74" s="88"/>
      <c r="B74" s="2"/>
      <c r="C74" s="2"/>
      <c r="D74" s="116"/>
      <c r="E74" s="2"/>
      <c r="F74" s="2"/>
      <c r="G74" s="2"/>
      <c r="H74" s="2"/>
      <c r="I74" s="2"/>
      <c r="J74" s="2"/>
      <c r="K74" s="89"/>
      <c r="L74" s="2"/>
      <c r="M74" s="2"/>
      <c r="N74" s="2"/>
      <c r="O74" s="2"/>
      <c r="P74" s="2"/>
      <c r="Q74" s="2"/>
    </row>
    <row r="75" ht="21.75" customHeight="1">
      <c r="A75" s="90"/>
      <c r="B75" s="91"/>
      <c r="C75" s="92"/>
      <c r="D75" s="93"/>
      <c r="E75" s="94"/>
      <c r="G75" s="94"/>
      <c r="H75" s="94"/>
      <c r="I75" s="94"/>
      <c r="J75" s="94"/>
      <c r="K75" s="95"/>
      <c r="L75" s="94"/>
      <c r="M75" s="2"/>
      <c r="N75" s="2"/>
      <c r="O75" s="2"/>
      <c r="P75" s="2"/>
      <c r="Q75" s="2"/>
    </row>
    <row r="76" ht="21.75" customHeight="1">
      <c r="A76" s="96"/>
      <c r="B76" s="94"/>
      <c r="C76" s="94"/>
      <c r="D76" s="98"/>
      <c r="E76" s="94"/>
      <c r="F76" s="2"/>
      <c r="G76" s="2"/>
      <c r="H76" s="2"/>
      <c r="I76" s="2"/>
      <c r="J76" s="2"/>
      <c r="K76" s="89"/>
      <c r="L76" s="2"/>
      <c r="M76" s="2"/>
      <c r="N76" s="2"/>
      <c r="O76" s="2"/>
      <c r="P76" s="2"/>
      <c r="Q76" s="2"/>
    </row>
    <row r="77" ht="27.75" customHeight="1">
      <c r="A77" s="96"/>
      <c r="B77" s="94"/>
      <c r="C77" s="94"/>
      <c r="D77" s="98"/>
      <c r="E77" s="94"/>
      <c r="F77" s="107"/>
      <c r="G77" s="2"/>
      <c r="H77" s="107"/>
      <c r="I77" s="107"/>
      <c r="J77" s="107"/>
      <c r="K77" s="117"/>
      <c r="L77" s="2"/>
      <c r="M77" s="2"/>
      <c r="N77" s="2"/>
      <c r="O77" s="2"/>
      <c r="P77" s="2"/>
      <c r="Q77" s="2"/>
    </row>
    <row r="78" ht="21.75" customHeight="1">
      <c r="A78" s="99"/>
      <c r="B78" s="118"/>
      <c r="C78" s="118"/>
      <c r="D78" s="101"/>
      <c r="E78" s="100"/>
      <c r="F78" s="102"/>
      <c r="G78" s="103"/>
      <c r="H78" s="102"/>
      <c r="I78" s="102"/>
      <c r="J78" s="102"/>
      <c r="K78" s="104"/>
      <c r="L78" s="2"/>
      <c r="M78" s="2"/>
      <c r="N78" s="2"/>
      <c r="O78" s="2"/>
      <c r="P78" s="2"/>
      <c r="Q78" s="2"/>
    </row>
    <row r="79" ht="13.5" customHeight="1">
      <c r="A79" s="2"/>
      <c r="B79" s="94"/>
      <c r="C79" s="94"/>
      <c r="D79" s="98"/>
      <c r="E79" s="94"/>
      <c r="F79" s="107"/>
      <c r="G79" s="2"/>
      <c r="H79" s="107"/>
      <c r="I79" s="107"/>
      <c r="J79" s="108"/>
      <c r="K79" s="108"/>
      <c r="L79" s="109"/>
      <c r="M79" s="2"/>
      <c r="N79" s="2"/>
      <c r="O79" s="2"/>
      <c r="P79" s="2"/>
      <c r="Q79" s="2"/>
    </row>
    <row r="80" ht="13.5" customHeight="1">
      <c r="A80" s="2"/>
      <c r="B80" s="94"/>
      <c r="C80" s="94"/>
      <c r="D80" s="94"/>
      <c r="E80" s="94"/>
      <c r="F80" s="2"/>
      <c r="G80" s="2"/>
      <c r="H80" s="2"/>
      <c r="I80" s="2"/>
      <c r="J80" s="109"/>
      <c r="K80" s="119"/>
      <c r="L80" s="109"/>
      <c r="M80" s="2"/>
      <c r="N80" s="2"/>
      <c r="O80" s="2"/>
      <c r="P80" s="2"/>
      <c r="Q80" s="2"/>
    </row>
  </sheetData>
  <mergeCells count="29">
    <mergeCell ref="I13:K14"/>
    <mergeCell ref="I15:K15"/>
    <mergeCell ref="M17:N17"/>
    <mergeCell ref="A9:K9"/>
    <mergeCell ref="E10:K10"/>
    <mergeCell ref="A13:B13"/>
    <mergeCell ref="C13:D13"/>
    <mergeCell ref="G13:G15"/>
    <mergeCell ref="H13:H14"/>
    <mergeCell ref="F14:F15"/>
    <mergeCell ref="B14:D14"/>
    <mergeCell ref="E14:E15"/>
    <mergeCell ref="B16:D16"/>
    <mergeCell ref="F67:F68"/>
    <mergeCell ref="H67:I68"/>
    <mergeCell ref="J67:J68"/>
    <mergeCell ref="K67:K68"/>
    <mergeCell ref="H72:I73"/>
    <mergeCell ref="J72:J73"/>
    <mergeCell ref="K72:K73"/>
    <mergeCell ref="F72:F73"/>
    <mergeCell ref="E75:F75"/>
    <mergeCell ref="B67:C67"/>
    <mergeCell ref="B68:C68"/>
    <mergeCell ref="B69:C69"/>
    <mergeCell ref="B70:C70"/>
    <mergeCell ref="B71:C71"/>
    <mergeCell ref="B72:C72"/>
    <mergeCell ref="B73:C73"/>
  </mergeCells>
  <conditionalFormatting sqref="J17:J65">
    <cfRule type="cellIs" dxfId="0" priority="1" stopIfTrue="1" operator="greaterThan">
      <formula>5</formula>
    </cfRule>
  </conditionalFormatting>
  <conditionalFormatting sqref="E17:G65">
    <cfRule type="expression" dxfId="0" priority="2" stopIfTrue="1">
      <formula>TRUE</formula>
    </cfRule>
  </conditionalFormatting>
  <conditionalFormatting sqref="J17:J65">
    <cfRule type="cellIs" dxfId="1" priority="3" stopIfTrue="1" operator="equal">
      <formula>5</formula>
    </cfRule>
  </conditionalFormatting>
  <conditionalFormatting sqref="B29:D30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9:D30">
    <cfRule type="cellIs" dxfId="2" priority="5" operator="equal">
      <formula>1</formula>
    </cfRule>
  </conditionalFormatting>
  <conditionalFormatting sqref="B30:D30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0:D30">
    <cfRule type="cellIs" dxfId="2" priority="7" operator="equal">
      <formula>1</formula>
    </cfRule>
  </conditionalFormatting>
  <conditionalFormatting sqref="B31:D31">
    <cfRule type="colorScale" priority="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1:D31">
    <cfRule type="cellIs" dxfId="2" priority="9" operator="equal">
      <formula>1</formula>
    </cfRule>
  </conditionalFormatting>
  <conditionalFormatting sqref="J17:J71 K18:K70">
    <cfRule type="cellIs" dxfId="3" priority="10" operator="equal">
      <formula>5</formula>
    </cfRule>
  </conditionalFormatting>
  <printOptions/>
  <pageMargins bottom="0.1968503937007874" footer="0.0" header="0.0" left="0.7480314960629921" right="0.1968503937007874" top="0.1968503937007874"/>
  <pageSetup scale="37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14"/>
    <col customWidth="1" min="2" max="2" width="28.14"/>
    <col customWidth="1" min="3" max="3" width="25.43"/>
    <col customWidth="1" min="4" max="4" width="28.14"/>
    <col customWidth="1" min="5" max="5" width="16.71"/>
    <col customWidth="1" min="6" max="6" width="14.57"/>
    <col customWidth="1" min="7" max="9" width="13.71"/>
    <col customWidth="1" min="10" max="10" width="19.71"/>
    <col customWidth="1" min="11" max="11" width="36.43"/>
    <col customWidth="1" min="12" max="12" width="0.43"/>
    <col customWidth="1" min="13" max="17" width="10.71"/>
  </cols>
  <sheetData>
    <row r="1" ht="13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2"/>
      <c r="P1" s="2"/>
      <c r="Q1" s="2"/>
    </row>
    <row r="2" ht="15.0" customHeight="1">
      <c r="A2" s="3"/>
      <c r="B2" s="4"/>
      <c r="C2" s="4"/>
      <c r="D2" s="4"/>
      <c r="E2" s="4"/>
      <c r="F2" s="4"/>
      <c r="G2" s="4"/>
      <c r="H2" s="4"/>
      <c r="I2" s="4"/>
      <c r="J2" s="4"/>
      <c r="K2" s="5"/>
      <c r="L2" s="1"/>
      <c r="M2" s="1"/>
      <c r="N2" s="1"/>
      <c r="O2" s="2"/>
      <c r="P2" s="2"/>
      <c r="Q2" s="2"/>
    </row>
    <row r="3" ht="15.0" customHeight="1">
      <c r="A3" s="6"/>
      <c r="B3" s="1"/>
      <c r="C3" s="1"/>
      <c r="D3" s="1"/>
      <c r="E3" s="1"/>
      <c r="F3" s="1"/>
      <c r="G3" s="1"/>
      <c r="H3" s="1"/>
      <c r="I3" s="1"/>
      <c r="J3" s="1"/>
      <c r="K3" s="7"/>
      <c r="L3" s="1"/>
      <c r="M3" s="1"/>
      <c r="N3" s="1"/>
      <c r="O3" s="2"/>
      <c r="P3" s="2"/>
      <c r="Q3" s="2"/>
    </row>
    <row r="4" ht="15.0" customHeight="1">
      <c r="A4" s="6"/>
      <c r="B4" s="1"/>
      <c r="C4" s="1"/>
      <c r="D4" s="1"/>
      <c r="E4" s="1"/>
      <c r="F4" s="1"/>
      <c r="G4" s="1"/>
      <c r="H4" s="1"/>
      <c r="I4" s="1"/>
      <c r="J4" s="1"/>
      <c r="K4" s="7"/>
      <c r="L4" s="1"/>
      <c r="M4" s="1"/>
      <c r="N4" s="1"/>
      <c r="O4" s="2"/>
      <c r="P4" s="2"/>
      <c r="Q4" s="2"/>
    </row>
    <row r="5" ht="15.0" customHeight="1">
      <c r="A5" s="6"/>
      <c r="B5" s="1"/>
      <c r="C5" s="1"/>
      <c r="D5" s="1"/>
      <c r="E5" s="1"/>
      <c r="F5" s="1"/>
      <c r="G5" s="1"/>
      <c r="H5" s="1"/>
      <c r="I5" s="1"/>
      <c r="J5" s="1"/>
      <c r="K5" s="7"/>
      <c r="L5" s="1"/>
      <c r="M5" s="1"/>
      <c r="N5" s="1"/>
      <c r="O5" s="2"/>
      <c r="P5" s="2"/>
      <c r="Q5" s="2"/>
    </row>
    <row r="6" ht="15.0" customHeight="1">
      <c r="A6" s="6"/>
      <c r="B6" s="1"/>
      <c r="C6" s="1"/>
      <c r="D6" s="1"/>
      <c r="E6" s="1"/>
      <c r="F6" s="1"/>
      <c r="G6" s="1"/>
      <c r="H6" s="1"/>
      <c r="I6" s="1"/>
      <c r="J6" s="1"/>
      <c r="K6" s="7"/>
      <c r="L6" s="1"/>
      <c r="M6" s="1"/>
      <c r="N6" s="1"/>
      <c r="O6" s="2"/>
      <c r="P6" s="2"/>
      <c r="Q6" s="2"/>
    </row>
    <row r="7" ht="15.0" customHeight="1">
      <c r="A7" s="6"/>
      <c r="B7" s="1"/>
      <c r="C7" s="1"/>
      <c r="D7" s="1"/>
      <c r="E7" s="1"/>
      <c r="F7" s="1"/>
      <c r="G7" s="1"/>
      <c r="H7" s="1"/>
      <c r="I7" s="1"/>
      <c r="J7" s="1"/>
      <c r="K7" s="7"/>
      <c r="L7" s="1"/>
      <c r="M7" s="1"/>
      <c r="N7" s="1"/>
      <c r="O7" s="2"/>
      <c r="P7" s="2"/>
      <c r="Q7" s="2"/>
    </row>
    <row r="8" ht="9.75" customHeight="1">
      <c r="A8" s="6"/>
      <c r="B8" s="1"/>
      <c r="C8" s="1"/>
      <c r="D8" s="1"/>
      <c r="E8" s="1"/>
      <c r="F8" s="1"/>
      <c r="G8" s="1"/>
      <c r="H8" s="1"/>
      <c r="I8" s="1"/>
      <c r="J8" s="1"/>
      <c r="K8" s="7"/>
      <c r="L8" s="1"/>
      <c r="M8" s="1"/>
      <c r="N8" s="1"/>
      <c r="O8" s="2"/>
      <c r="P8" s="2"/>
      <c r="Q8" s="2"/>
    </row>
    <row r="9" ht="23.25" customHeight="1">
      <c r="A9" s="8" t="s">
        <v>0</v>
      </c>
      <c r="K9" s="9"/>
      <c r="L9" s="1"/>
      <c r="M9" s="1"/>
      <c r="N9" s="1"/>
      <c r="O9" s="2"/>
      <c r="P9" s="2"/>
      <c r="Q9" s="2"/>
    </row>
    <row r="10" ht="9.75" customHeight="1">
      <c r="A10" s="6"/>
      <c r="B10" s="1"/>
      <c r="C10" s="1"/>
      <c r="D10" s="1"/>
      <c r="E10" s="1"/>
      <c r="K10" s="9"/>
      <c r="L10" s="1"/>
      <c r="M10" s="1"/>
      <c r="N10" s="1"/>
      <c r="O10" s="2"/>
      <c r="P10" s="2"/>
      <c r="Q10" s="2"/>
    </row>
    <row r="11" ht="19.5" customHeight="1">
      <c r="A11" s="6"/>
      <c r="B11" s="10" t="s">
        <v>1</v>
      </c>
      <c r="C11" s="11"/>
      <c r="D11" s="11"/>
      <c r="E11" s="1"/>
      <c r="F11" s="1"/>
      <c r="G11" s="1"/>
      <c r="H11" s="1"/>
      <c r="I11" s="1"/>
      <c r="J11" s="1"/>
      <c r="K11" s="7"/>
      <c r="L11" s="1"/>
      <c r="M11" s="1"/>
      <c r="N11" s="1"/>
      <c r="O11" s="2"/>
      <c r="P11" s="2"/>
      <c r="Q11" s="2"/>
    </row>
    <row r="12" ht="12.75" customHeight="1">
      <c r="A12" s="6"/>
      <c r="B12" s="1"/>
      <c r="C12" s="1"/>
      <c r="D12" s="1"/>
      <c r="E12" s="1"/>
      <c r="F12" s="1"/>
      <c r="G12" s="1"/>
      <c r="H12" s="1"/>
      <c r="I12" s="1"/>
      <c r="J12" s="1"/>
      <c r="K12" s="7"/>
      <c r="L12" s="1"/>
      <c r="M12" s="1"/>
      <c r="N12" s="1"/>
      <c r="O12" s="2"/>
      <c r="P12" s="2"/>
      <c r="Q12" s="2"/>
    </row>
    <row r="13" ht="32.25" customHeight="1">
      <c r="A13" s="12" t="s">
        <v>2</v>
      </c>
      <c r="B13" s="13"/>
      <c r="C13" s="14" t="s">
        <v>150</v>
      </c>
      <c r="D13" s="13"/>
      <c r="E13" s="15" t="s">
        <v>4</v>
      </c>
      <c r="F13" s="15" t="s">
        <v>5</v>
      </c>
      <c r="G13" s="16" t="s">
        <v>6</v>
      </c>
      <c r="H13" s="17">
        <v>1.0</v>
      </c>
      <c r="I13" s="18" t="s">
        <v>7</v>
      </c>
      <c r="J13" s="19"/>
      <c r="K13" s="20"/>
      <c r="L13" s="1"/>
      <c r="M13" s="1"/>
      <c r="N13" s="1"/>
      <c r="O13" s="2"/>
      <c r="P13" s="2"/>
      <c r="Q13" s="2"/>
    </row>
    <row r="14" ht="35.25" customHeight="1">
      <c r="A14" s="21" t="s">
        <v>8</v>
      </c>
      <c r="B14" s="22" t="s">
        <v>9</v>
      </c>
      <c r="C14" s="23"/>
      <c r="D14" s="24"/>
      <c r="E14" s="25" t="s">
        <v>10</v>
      </c>
      <c r="F14" s="25" t="s">
        <v>11</v>
      </c>
      <c r="G14" s="26"/>
      <c r="H14" s="27"/>
      <c r="I14" s="28"/>
      <c r="J14" s="29"/>
      <c r="K14" s="30"/>
      <c r="L14" s="1"/>
      <c r="M14" s="1"/>
      <c r="N14" s="1"/>
      <c r="O14" s="2"/>
      <c r="P14" s="2"/>
      <c r="Q14" s="2"/>
    </row>
    <row r="15" ht="24.75" customHeight="1">
      <c r="A15" s="31" t="s">
        <v>12</v>
      </c>
      <c r="B15" s="32" t="s">
        <v>13</v>
      </c>
      <c r="C15" s="33" t="s">
        <v>14</v>
      </c>
      <c r="D15" s="33">
        <v>3.0</v>
      </c>
      <c r="E15" s="27"/>
      <c r="F15" s="27"/>
      <c r="G15" s="34"/>
      <c r="H15" s="35"/>
      <c r="I15" s="36"/>
      <c r="J15" s="23"/>
      <c r="K15" s="37"/>
      <c r="L15" s="1"/>
      <c r="M15" s="1"/>
      <c r="N15" s="1"/>
      <c r="O15" s="2"/>
      <c r="P15" s="2"/>
      <c r="Q15" s="2"/>
    </row>
    <row r="16" ht="40.5" customHeight="1">
      <c r="A16" s="38" t="s">
        <v>15</v>
      </c>
      <c r="B16" s="39" t="s">
        <v>16</v>
      </c>
      <c r="C16" s="23"/>
      <c r="D16" s="24"/>
      <c r="E16" s="40"/>
      <c r="F16" s="40"/>
      <c r="G16" s="40"/>
      <c r="H16" s="41" t="s">
        <v>17</v>
      </c>
      <c r="I16" s="42" t="s">
        <v>18</v>
      </c>
      <c r="J16" s="42" t="s">
        <v>19</v>
      </c>
      <c r="K16" s="43" t="s">
        <v>20</v>
      </c>
      <c r="L16" s="42" t="s">
        <v>19</v>
      </c>
      <c r="M16" s="1"/>
      <c r="N16" s="1"/>
      <c r="O16" s="2"/>
      <c r="P16" s="2"/>
      <c r="Q16" s="2"/>
    </row>
    <row r="17" ht="24.75" customHeight="1">
      <c r="A17" s="44">
        <v>1.0</v>
      </c>
      <c r="B17" s="46" t="s">
        <v>254</v>
      </c>
      <c r="C17" s="46" t="s">
        <v>123</v>
      </c>
      <c r="D17" s="56" t="s">
        <v>255</v>
      </c>
      <c r="E17" s="48">
        <v>7.8</v>
      </c>
      <c r="F17" s="48">
        <v>1.4</v>
      </c>
      <c r="G17" s="59">
        <v>1.0</v>
      </c>
      <c r="H17" s="49">
        <f t="shared" ref="H17:H64" si="1">SUM(E17:G17)</f>
        <v>10.2</v>
      </c>
      <c r="I17" s="50">
        <v>0.0</v>
      </c>
      <c r="J17" s="51">
        <f t="shared" ref="J17:J64" si="2">IF(H17&lt;6, 5, MIN(10, ROUND(H17, 0)))</f>
        <v>10</v>
      </c>
      <c r="K17" s="52"/>
      <c r="L17" s="53">
        <f t="shared" ref="L17:L64" si="3">IF(H17&gt;=6,ROUND(H17,0),TRUNC(H17,0))</f>
        <v>10</v>
      </c>
      <c r="M17" s="54" t="s">
        <v>24</v>
      </c>
      <c r="N17" s="24"/>
      <c r="O17" s="2"/>
      <c r="P17" s="2"/>
      <c r="Q17" s="2"/>
    </row>
    <row r="18" ht="24.75" customHeight="1">
      <c r="A18" s="44">
        <v>2.0</v>
      </c>
      <c r="B18" s="52" t="s">
        <v>229</v>
      </c>
      <c r="C18" s="52" t="s">
        <v>37</v>
      </c>
      <c r="D18" s="56" t="s">
        <v>256</v>
      </c>
      <c r="E18" s="48">
        <v>7.9</v>
      </c>
      <c r="F18" s="48">
        <v>1.9</v>
      </c>
      <c r="G18" s="59">
        <v>1.0</v>
      </c>
      <c r="H18" s="49">
        <f t="shared" si="1"/>
        <v>10.8</v>
      </c>
      <c r="I18" s="50">
        <v>0.0</v>
      </c>
      <c r="J18" s="51">
        <f t="shared" si="2"/>
        <v>10</v>
      </c>
      <c r="K18" s="44"/>
      <c r="L18" s="53">
        <f t="shared" si="3"/>
        <v>11</v>
      </c>
      <c r="M18" s="57" t="s">
        <v>28</v>
      </c>
      <c r="N18" s="58">
        <v>7.0</v>
      </c>
      <c r="O18" s="2"/>
      <c r="P18" s="2"/>
      <c r="Q18" s="2"/>
    </row>
    <row r="19" ht="24.75" customHeight="1">
      <c r="A19" s="44">
        <v>3.0</v>
      </c>
      <c r="B19" s="52" t="s">
        <v>257</v>
      </c>
      <c r="C19" s="52" t="s">
        <v>61</v>
      </c>
      <c r="D19" s="56" t="s">
        <v>258</v>
      </c>
      <c r="E19" s="48">
        <v>4.7</v>
      </c>
      <c r="F19" s="48">
        <v>1.9</v>
      </c>
      <c r="G19" s="49"/>
      <c r="H19" s="49">
        <f t="shared" si="1"/>
        <v>6.6</v>
      </c>
      <c r="I19" s="50">
        <v>0.0</v>
      </c>
      <c r="J19" s="51">
        <f t="shared" si="2"/>
        <v>7</v>
      </c>
      <c r="K19" s="44"/>
      <c r="L19" s="53">
        <f t="shared" si="3"/>
        <v>7</v>
      </c>
      <c r="M19" s="57" t="s">
        <v>32</v>
      </c>
      <c r="N19" s="58">
        <v>12.0</v>
      </c>
      <c r="O19" s="2"/>
      <c r="P19" s="2"/>
      <c r="Q19" s="2"/>
    </row>
    <row r="20" ht="24.75" customHeight="1">
      <c r="A20" s="44">
        <v>4.0</v>
      </c>
      <c r="B20" s="52" t="s">
        <v>259</v>
      </c>
      <c r="C20" s="52" t="s">
        <v>260</v>
      </c>
      <c r="D20" s="56" t="s">
        <v>261</v>
      </c>
      <c r="E20" s="48">
        <v>7.3</v>
      </c>
      <c r="F20" s="48">
        <v>1.0</v>
      </c>
      <c r="G20" s="49"/>
      <c r="H20" s="49">
        <f t="shared" si="1"/>
        <v>8.3</v>
      </c>
      <c r="I20" s="50">
        <v>0.0</v>
      </c>
      <c r="J20" s="51">
        <f t="shared" si="2"/>
        <v>8</v>
      </c>
      <c r="K20" s="44"/>
      <c r="L20" s="53">
        <f t="shared" si="3"/>
        <v>8</v>
      </c>
      <c r="M20" s="57" t="s">
        <v>35</v>
      </c>
      <c r="N20" s="58">
        <v>9.0</v>
      </c>
      <c r="O20" s="2"/>
      <c r="P20" s="2"/>
      <c r="Q20" s="2"/>
    </row>
    <row r="21" ht="24.75" customHeight="1">
      <c r="A21" s="44">
        <v>5.0</v>
      </c>
      <c r="B21" s="52" t="s">
        <v>262</v>
      </c>
      <c r="C21" s="52" t="s">
        <v>22</v>
      </c>
      <c r="D21" s="56" t="s">
        <v>263</v>
      </c>
      <c r="E21" s="120"/>
      <c r="F21" s="120"/>
      <c r="G21" s="49"/>
      <c r="H21" s="49">
        <f t="shared" si="1"/>
        <v>0</v>
      </c>
      <c r="I21" s="50">
        <v>0.0</v>
      </c>
      <c r="J21" s="51">
        <f t="shared" si="2"/>
        <v>5</v>
      </c>
      <c r="K21" s="44"/>
      <c r="L21" s="53">
        <f t="shared" si="3"/>
        <v>0</v>
      </c>
      <c r="M21" s="57" t="s">
        <v>39</v>
      </c>
      <c r="N21" s="58">
        <v>10.0</v>
      </c>
      <c r="O21" s="2"/>
      <c r="P21" s="2"/>
      <c r="Q21" s="2"/>
    </row>
    <row r="22" ht="24.75" customHeight="1">
      <c r="A22" s="44">
        <v>6.0</v>
      </c>
      <c r="B22" s="52" t="s">
        <v>264</v>
      </c>
      <c r="C22" s="52" t="s">
        <v>265</v>
      </c>
      <c r="D22" s="56" t="s">
        <v>266</v>
      </c>
      <c r="E22" s="48">
        <v>7.2</v>
      </c>
      <c r="F22" s="48">
        <v>1.3</v>
      </c>
      <c r="G22" s="49"/>
      <c r="H22" s="49">
        <f t="shared" si="1"/>
        <v>8.5</v>
      </c>
      <c r="I22" s="50">
        <v>0.0</v>
      </c>
      <c r="J22" s="51">
        <f t="shared" si="2"/>
        <v>9</v>
      </c>
      <c r="K22" s="44"/>
      <c r="L22" s="53">
        <f t="shared" si="3"/>
        <v>9</v>
      </c>
      <c r="M22" s="57" t="s">
        <v>43</v>
      </c>
      <c r="N22" s="58">
        <v>14.0</v>
      </c>
      <c r="O22" s="2"/>
      <c r="P22" s="2"/>
      <c r="Q22" s="2"/>
    </row>
    <row r="23" ht="24.75" customHeight="1">
      <c r="A23" s="44">
        <v>7.0</v>
      </c>
      <c r="B23" s="52" t="s">
        <v>267</v>
      </c>
      <c r="C23" s="52" t="s">
        <v>268</v>
      </c>
      <c r="D23" s="56" t="s">
        <v>269</v>
      </c>
      <c r="E23" s="48">
        <v>1.8</v>
      </c>
      <c r="F23" s="48">
        <v>1.9</v>
      </c>
      <c r="G23" s="49"/>
      <c r="H23" s="49">
        <f t="shared" si="1"/>
        <v>3.7</v>
      </c>
      <c r="I23" s="50">
        <v>0.0</v>
      </c>
      <c r="J23" s="51">
        <f t="shared" si="2"/>
        <v>5</v>
      </c>
      <c r="K23" s="44"/>
      <c r="L23" s="53">
        <f t="shared" si="3"/>
        <v>3</v>
      </c>
      <c r="M23" s="57" t="s">
        <v>47</v>
      </c>
      <c r="N23" s="58">
        <v>6.0</v>
      </c>
      <c r="O23" s="2"/>
      <c r="P23" s="2"/>
      <c r="Q23" s="2"/>
    </row>
    <row r="24" ht="24.75" customHeight="1">
      <c r="A24" s="44">
        <v>8.0</v>
      </c>
      <c r="B24" s="52" t="s">
        <v>270</v>
      </c>
      <c r="C24" s="52" t="s">
        <v>271</v>
      </c>
      <c r="D24" s="56" t="s">
        <v>272</v>
      </c>
      <c r="E24" s="48">
        <v>7.7</v>
      </c>
      <c r="F24" s="48">
        <v>1.5</v>
      </c>
      <c r="G24" s="49"/>
      <c r="H24" s="49">
        <f t="shared" si="1"/>
        <v>9.2</v>
      </c>
      <c r="I24" s="50">
        <v>0.0</v>
      </c>
      <c r="J24" s="51">
        <f t="shared" si="2"/>
        <v>9</v>
      </c>
      <c r="K24" s="44"/>
      <c r="L24" s="53">
        <f t="shared" si="3"/>
        <v>9</v>
      </c>
      <c r="M24" s="57" t="s">
        <v>51</v>
      </c>
      <c r="N24" s="57">
        <f>SUM(N18:N23)</f>
        <v>58</v>
      </c>
      <c r="O24" s="2"/>
      <c r="P24" s="2"/>
      <c r="Q24" s="2"/>
    </row>
    <row r="25" ht="24.75" customHeight="1">
      <c r="A25" s="44">
        <v>9.0</v>
      </c>
      <c r="B25" s="52" t="s">
        <v>152</v>
      </c>
      <c r="C25" s="52" t="s">
        <v>92</v>
      </c>
      <c r="D25" s="56" t="s">
        <v>273</v>
      </c>
      <c r="E25" s="48">
        <v>4.6</v>
      </c>
      <c r="F25" s="48">
        <v>1.9</v>
      </c>
      <c r="G25" s="49"/>
      <c r="H25" s="49">
        <f t="shared" si="1"/>
        <v>6.5</v>
      </c>
      <c r="I25" s="50">
        <v>0.0</v>
      </c>
      <c r="J25" s="51">
        <f t="shared" si="2"/>
        <v>7</v>
      </c>
      <c r="K25" s="44"/>
      <c r="L25" s="53">
        <f t="shared" si="3"/>
        <v>7</v>
      </c>
      <c r="M25" s="1"/>
      <c r="N25" s="1"/>
      <c r="O25" s="2"/>
      <c r="P25" s="2"/>
      <c r="Q25" s="2"/>
    </row>
    <row r="26" ht="24.75" customHeight="1">
      <c r="A26" s="44">
        <v>10.0</v>
      </c>
      <c r="B26" s="52" t="s">
        <v>274</v>
      </c>
      <c r="C26" s="52" t="s">
        <v>275</v>
      </c>
      <c r="D26" s="56" t="s">
        <v>276</v>
      </c>
      <c r="E26" s="48">
        <v>7.6</v>
      </c>
      <c r="F26" s="48">
        <v>1.7</v>
      </c>
      <c r="G26" s="59">
        <v>1.0</v>
      </c>
      <c r="H26" s="49">
        <f t="shared" si="1"/>
        <v>10.3</v>
      </c>
      <c r="I26" s="50">
        <v>0.0</v>
      </c>
      <c r="J26" s="51">
        <f t="shared" si="2"/>
        <v>10</v>
      </c>
      <c r="K26" s="44"/>
      <c r="L26" s="53">
        <f t="shared" si="3"/>
        <v>10</v>
      </c>
      <c r="M26" s="1"/>
      <c r="N26" s="1"/>
      <c r="O26" s="2"/>
      <c r="P26" s="2"/>
      <c r="Q26" s="2"/>
    </row>
    <row r="27" ht="24.75" customHeight="1">
      <c r="A27" s="44">
        <v>11.0</v>
      </c>
      <c r="B27" s="52" t="s">
        <v>44</v>
      </c>
      <c r="C27" s="52" t="s">
        <v>277</v>
      </c>
      <c r="D27" s="46" t="s">
        <v>278</v>
      </c>
      <c r="E27" s="48">
        <v>7.3</v>
      </c>
      <c r="F27" s="48">
        <v>1.5</v>
      </c>
      <c r="G27" s="49"/>
      <c r="H27" s="49">
        <f t="shared" si="1"/>
        <v>8.8</v>
      </c>
      <c r="I27" s="50">
        <v>0.0</v>
      </c>
      <c r="J27" s="51">
        <f t="shared" si="2"/>
        <v>9</v>
      </c>
      <c r="K27" s="44"/>
      <c r="L27" s="53">
        <f t="shared" si="3"/>
        <v>9</v>
      </c>
      <c r="M27" s="1"/>
      <c r="N27" s="1"/>
      <c r="O27" s="2"/>
      <c r="P27" s="2"/>
      <c r="Q27" s="2"/>
    </row>
    <row r="28" ht="24.75" customHeight="1">
      <c r="A28" s="44">
        <v>12.0</v>
      </c>
      <c r="B28" s="52" t="s">
        <v>279</v>
      </c>
      <c r="C28" s="52" t="s">
        <v>280</v>
      </c>
      <c r="D28" s="56" t="s">
        <v>211</v>
      </c>
      <c r="E28" s="48">
        <v>6.9</v>
      </c>
      <c r="F28" s="48">
        <v>1.0</v>
      </c>
      <c r="G28" s="49"/>
      <c r="H28" s="49">
        <f t="shared" si="1"/>
        <v>7.9</v>
      </c>
      <c r="I28" s="50">
        <v>0.0</v>
      </c>
      <c r="J28" s="51">
        <f t="shared" si="2"/>
        <v>8</v>
      </c>
      <c r="K28" s="44"/>
      <c r="L28" s="53">
        <f t="shared" si="3"/>
        <v>8</v>
      </c>
      <c r="M28" s="1"/>
      <c r="N28" s="1"/>
      <c r="O28" s="2"/>
      <c r="P28" s="2"/>
      <c r="Q28" s="2"/>
    </row>
    <row r="29" ht="24.75" customHeight="1">
      <c r="A29" s="44">
        <v>13.0</v>
      </c>
      <c r="B29" s="52" t="s">
        <v>281</v>
      </c>
      <c r="C29" s="52" t="s">
        <v>282</v>
      </c>
      <c r="D29" s="56" t="s">
        <v>86</v>
      </c>
      <c r="E29" s="48">
        <v>5.0</v>
      </c>
      <c r="F29" s="48">
        <v>1.5</v>
      </c>
      <c r="G29" s="49"/>
      <c r="H29" s="49">
        <f t="shared" si="1"/>
        <v>6.5</v>
      </c>
      <c r="I29" s="50">
        <v>0.0</v>
      </c>
      <c r="J29" s="51">
        <f t="shared" si="2"/>
        <v>7</v>
      </c>
      <c r="K29" s="44"/>
      <c r="L29" s="53">
        <f t="shared" si="3"/>
        <v>7</v>
      </c>
      <c r="M29" s="1"/>
      <c r="N29" s="1"/>
      <c r="O29" s="2"/>
      <c r="P29" s="2"/>
      <c r="Q29" s="2"/>
    </row>
    <row r="30" ht="24.75" customHeight="1">
      <c r="A30" s="44">
        <v>14.0</v>
      </c>
      <c r="B30" s="52" t="s">
        <v>283</v>
      </c>
      <c r="C30" s="52" t="s">
        <v>284</v>
      </c>
      <c r="D30" s="56" t="s">
        <v>285</v>
      </c>
      <c r="E30" s="48">
        <v>7.9</v>
      </c>
      <c r="F30" s="48">
        <v>1.5</v>
      </c>
      <c r="G30" s="49"/>
      <c r="H30" s="49">
        <f t="shared" si="1"/>
        <v>9.4</v>
      </c>
      <c r="I30" s="50">
        <v>0.0</v>
      </c>
      <c r="J30" s="51">
        <f t="shared" si="2"/>
        <v>9</v>
      </c>
      <c r="K30" s="44"/>
      <c r="L30" s="53">
        <f t="shared" si="3"/>
        <v>9</v>
      </c>
      <c r="M30" s="1"/>
      <c r="N30" s="1"/>
      <c r="O30" s="2"/>
      <c r="P30" s="2"/>
      <c r="Q30" s="2"/>
    </row>
    <row r="31" ht="24.75" customHeight="1">
      <c r="A31" s="44">
        <v>15.0</v>
      </c>
      <c r="B31" s="52" t="s">
        <v>30</v>
      </c>
      <c r="C31" s="52" t="s">
        <v>30</v>
      </c>
      <c r="D31" s="56" t="s">
        <v>286</v>
      </c>
      <c r="E31" s="48">
        <v>6.0</v>
      </c>
      <c r="F31" s="48">
        <v>1.6</v>
      </c>
      <c r="G31" s="49"/>
      <c r="H31" s="49">
        <f t="shared" si="1"/>
        <v>7.6</v>
      </c>
      <c r="I31" s="50">
        <v>0.0</v>
      </c>
      <c r="J31" s="51">
        <f t="shared" si="2"/>
        <v>8</v>
      </c>
      <c r="K31" s="44"/>
      <c r="L31" s="53">
        <f t="shared" si="3"/>
        <v>8</v>
      </c>
      <c r="M31" s="1"/>
      <c r="N31" s="1"/>
      <c r="O31" s="2"/>
      <c r="P31" s="2"/>
      <c r="Q31" s="2"/>
    </row>
    <row r="32" ht="24.75" customHeight="1">
      <c r="A32" s="44">
        <v>16.0</v>
      </c>
      <c r="B32" s="52" t="s">
        <v>184</v>
      </c>
      <c r="C32" s="52" t="s">
        <v>79</v>
      </c>
      <c r="D32" s="56" t="s">
        <v>287</v>
      </c>
      <c r="E32" s="48">
        <v>7.3</v>
      </c>
      <c r="F32" s="48">
        <v>1.6</v>
      </c>
      <c r="G32" s="49"/>
      <c r="H32" s="49">
        <f t="shared" si="1"/>
        <v>8.9</v>
      </c>
      <c r="I32" s="50">
        <v>0.0</v>
      </c>
      <c r="J32" s="51">
        <f t="shared" si="2"/>
        <v>9</v>
      </c>
      <c r="K32" s="44"/>
      <c r="L32" s="53">
        <f t="shared" si="3"/>
        <v>9</v>
      </c>
      <c r="M32" s="1"/>
      <c r="N32" s="1"/>
      <c r="O32" s="2"/>
      <c r="P32" s="2"/>
      <c r="Q32" s="2"/>
    </row>
    <row r="33" ht="24.75" customHeight="1">
      <c r="A33" s="44">
        <v>17.0</v>
      </c>
      <c r="B33" s="52" t="s">
        <v>184</v>
      </c>
      <c r="C33" s="52" t="s">
        <v>288</v>
      </c>
      <c r="D33" s="56" t="s">
        <v>289</v>
      </c>
      <c r="E33" s="48">
        <v>2.4</v>
      </c>
      <c r="F33" s="48">
        <v>1.5</v>
      </c>
      <c r="G33" s="49"/>
      <c r="H33" s="49">
        <f t="shared" si="1"/>
        <v>3.9</v>
      </c>
      <c r="I33" s="50">
        <v>3.0</v>
      </c>
      <c r="J33" s="51">
        <f t="shared" si="2"/>
        <v>5</v>
      </c>
      <c r="K33" s="44"/>
      <c r="L33" s="53">
        <f t="shared" si="3"/>
        <v>3</v>
      </c>
      <c r="M33" s="1"/>
      <c r="N33" s="1"/>
      <c r="O33" s="2"/>
      <c r="P33" s="2"/>
      <c r="Q33" s="2"/>
    </row>
    <row r="34" ht="24.75" customHeight="1">
      <c r="A34" s="44">
        <v>18.0</v>
      </c>
      <c r="B34" s="52" t="s">
        <v>184</v>
      </c>
      <c r="C34" s="52" t="s">
        <v>290</v>
      </c>
      <c r="D34" s="56" t="s">
        <v>291</v>
      </c>
      <c r="E34" s="48">
        <v>7.8</v>
      </c>
      <c r="F34" s="48">
        <v>1.0</v>
      </c>
      <c r="G34" s="49"/>
      <c r="H34" s="49">
        <f t="shared" si="1"/>
        <v>8.8</v>
      </c>
      <c r="I34" s="50">
        <v>0.0</v>
      </c>
      <c r="J34" s="51">
        <f t="shared" si="2"/>
        <v>9</v>
      </c>
      <c r="K34" s="44"/>
      <c r="L34" s="53">
        <f t="shared" si="3"/>
        <v>9</v>
      </c>
      <c r="M34" s="1"/>
      <c r="N34" s="1"/>
      <c r="O34" s="2"/>
      <c r="P34" s="2"/>
      <c r="Q34" s="2"/>
    </row>
    <row r="35" ht="24.75" customHeight="1">
      <c r="A35" s="44">
        <v>19.0</v>
      </c>
      <c r="B35" s="52" t="s">
        <v>61</v>
      </c>
      <c r="C35" s="52" t="s">
        <v>55</v>
      </c>
      <c r="D35" s="56" t="s">
        <v>292</v>
      </c>
      <c r="E35" s="48">
        <v>4.1</v>
      </c>
      <c r="F35" s="48">
        <v>1.9</v>
      </c>
      <c r="G35" s="59">
        <v>1.0</v>
      </c>
      <c r="H35" s="49">
        <f t="shared" si="1"/>
        <v>7</v>
      </c>
      <c r="I35" s="50">
        <v>0.0</v>
      </c>
      <c r="J35" s="51">
        <f t="shared" si="2"/>
        <v>7</v>
      </c>
      <c r="K35" s="44"/>
      <c r="L35" s="53">
        <f t="shared" si="3"/>
        <v>7</v>
      </c>
      <c r="M35" s="1"/>
      <c r="N35" s="1"/>
      <c r="O35" s="2"/>
      <c r="P35" s="2"/>
      <c r="Q35" s="2"/>
    </row>
    <row r="36" ht="24.75" customHeight="1">
      <c r="A36" s="44">
        <v>20.0</v>
      </c>
      <c r="B36" s="52" t="s">
        <v>293</v>
      </c>
      <c r="C36" s="52" t="s">
        <v>88</v>
      </c>
      <c r="D36" s="56" t="s">
        <v>294</v>
      </c>
      <c r="E36" s="48">
        <v>7.9</v>
      </c>
      <c r="F36" s="48">
        <v>1.7</v>
      </c>
      <c r="G36" s="49"/>
      <c r="H36" s="49">
        <f t="shared" si="1"/>
        <v>9.6</v>
      </c>
      <c r="I36" s="50">
        <v>0.0</v>
      </c>
      <c r="J36" s="51">
        <f t="shared" si="2"/>
        <v>10</v>
      </c>
      <c r="K36" s="44"/>
      <c r="L36" s="53">
        <f t="shared" si="3"/>
        <v>10</v>
      </c>
      <c r="M36" s="1"/>
      <c r="N36" s="1"/>
      <c r="O36" s="2"/>
      <c r="P36" s="2"/>
      <c r="Q36" s="2"/>
    </row>
    <row r="37" ht="24.75" customHeight="1">
      <c r="A37" s="44">
        <v>21.0</v>
      </c>
      <c r="B37" s="52" t="s">
        <v>188</v>
      </c>
      <c r="C37" s="52" t="s">
        <v>295</v>
      </c>
      <c r="D37" s="56" t="s">
        <v>296</v>
      </c>
      <c r="E37" s="48">
        <v>6.7</v>
      </c>
      <c r="F37" s="48">
        <v>1.9</v>
      </c>
      <c r="G37" s="59">
        <v>1.0</v>
      </c>
      <c r="H37" s="49">
        <f t="shared" si="1"/>
        <v>9.6</v>
      </c>
      <c r="I37" s="50">
        <v>0.0</v>
      </c>
      <c r="J37" s="51">
        <f t="shared" si="2"/>
        <v>10</v>
      </c>
      <c r="K37" s="44"/>
      <c r="L37" s="53">
        <f t="shared" si="3"/>
        <v>10</v>
      </c>
      <c r="M37" s="1"/>
      <c r="N37" s="1"/>
      <c r="O37" s="2"/>
      <c r="P37" s="2"/>
      <c r="Q37" s="2"/>
    </row>
    <row r="38" ht="24.75" customHeight="1">
      <c r="A38" s="44">
        <v>22.0</v>
      </c>
      <c r="B38" s="52" t="s">
        <v>188</v>
      </c>
      <c r="C38" s="52" t="s">
        <v>22</v>
      </c>
      <c r="D38" s="56" t="s">
        <v>297</v>
      </c>
      <c r="E38" s="48">
        <v>3.3</v>
      </c>
      <c r="F38" s="48">
        <v>1.7</v>
      </c>
      <c r="G38" s="59"/>
      <c r="H38" s="49">
        <f t="shared" si="1"/>
        <v>5</v>
      </c>
      <c r="I38" s="50">
        <v>0.0</v>
      </c>
      <c r="J38" s="51">
        <f t="shared" si="2"/>
        <v>5</v>
      </c>
      <c r="K38" s="44"/>
      <c r="L38" s="53">
        <f t="shared" si="3"/>
        <v>5</v>
      </c>
      <c r="M38" s="1"/>
      <c r="N38" s="1"/>
      <c r="O38" s="2"/>
      <c r="P38" s="2"/>
      <c r="Q38" s="2"/>
    </row>
    <row r="39" ht="24.75" customHeight="1">
      <c r="A39" s="44">
        <v>23.0</v>
      </c>
      <c r="B39" s="52" t="s">
        <v>37</v>
      </c>
      <c r="C39" s="52" t="s">
        <v>298</v>
      </c>
      <c r="D39" s="56" t="s">
        <v>299</v>
      </c>
      <c r="E39" s="48">
        <v>4.7</v>
      </c>
      <c r="F39" s="48">
        <v>1.9</v>
      </c>
      <c r="G39" s="49"/>
      <c r="H39" s="49">
        <f t="shared" si="1"/>
        <v>6.6</v>
      </c>
      <c r="I39" s="50">
        <v>0.0</v>
      </c>
      <c r="J39" s="51">
        <f t="shared" si="2"/>
        <v>7</v>
      </c>
      <c r="K39" s="44"/>
      <c r="L39" s="53">
        <f t="shared" si="3"/>
        <v>7</v>
      </c>
      <c r="M39" s="1"/>
      <c r="N39" s="1"/>
      <c r="O39" s="2"/>
      <c r="P39" s="2"/>
      <c r="Q39" s="2"/>
    </row>
    <row r="40" ht="24.75" customHeight="1">
      <c r="A40" s="44">
        <v>24.0</v>
      </c>
      <c r="B40" s="52" t="s">
        <v>112</v>
      </c>
      <c r="C40" s="52" t="s">
        <v>184</v>
      </c>
      <c r="D40" s="56" t="s">
        <v>300</v>
      </c>
      <c r="E40" s="48">
        <v>3.7</v>
      </c>
      <c r="F40" s="48">
        <v>1.9</v>
      </c>
      <c r="G40" s="49"/>
      <c r="H40" s="49">
        <f t="shared" si="1"/>
        <v>5.6</v>
      </c>
      <c r="I40" s="50">
        <v>5.0</v>
      </c>
      <c r="J40" s="51">
        <f t="shared" si="2"/>
        <v>5</v>
      </c>
      <c r="K40" s="44"/>
      <c r="L40" s="53">
        <f t="shared" si="3"/>
        <v>5</v>
      </c>
      <c r="M40" s="1"/>
      <c r="N40" s="1"/>
      <c r="O40" s="2"/>
      <c r="P40" s="2"/>
      <c r="Q40" s="2"/>
    </row>
    <row r="41" ht="24.75" customHeight="1">
      <c r="A41" s="44">
        <v>25.0</v>
      </c>
      <c r="B41" s="52" t="s">
        <v>41</v>
      </c>
      <c r="C41" s="52" t="s">
        <v>26</v>
      </c>
      <c r="D41" s="56" t="s">
        <v>301</v>
      </c>
      <c r="E41" s="48">
        <v>3.6</v>
      </c>
      <c r="F41" s="48">
        <v>1.7</v>
      </c>
      <c r="G41" s="49"/>
      <c r="H41" s="49">
        <f t="shared" si="1"/>
        <v>5.3</v>
      </c>
      <c r="I41" s="50">
        <v>0.0</v>
      </c>
      <c r="J41" s="51">
        <f t="shared" si="2"/>
        <v>5</v>
      </c>
      <c r="K41" s="44"/>
      <c r="L41" s="53">
        <f t="shared" si="3"/>
        <v>5</v>
      </c>
      <c r="M41" s="1"/>
      <c r="N41" s="1"/>
      <c r="O41" s="2"/>
      <c r="P41" s="2"/>
      <c r="Q41" s="2"/>
    </row>
    <row r="42" ht="24.75" customHeight="1">
      <c r="A42" s="44">
        <v>26.0</v>
      </c>
      <c r="B42" s="52" t="s">
        <v>79</v>
      </c>
      <c r="C42" s="52" t="s">
        <v>260</v>
      </c>
      <c r="D42" s="56" t="s">
        <v>302</v>
      </c>
      <c r="E42" s="48">
        <v>4.7</v>
      </c>
      <c r="F42" s="48">
        <v>1.7</v>
      </c>
      <c r="G42" s="59">
        <v>1.0</v>
      </c>
      <c r="H42" s="49">
        <f t="shared" si="1"/>
        <v>7.4</v>
      </c>
      <c r="I42" s="50">
        <v>0.0</v>
      </c>
      <c r="J42" s="51">
        <f t="shared" si="2"/>
        <v>7</v>
      </c>
      <c r="K42" s="44"/>
      <c r="L42" s="53">
        <f t="shared" si="3"/>
        <v>7</v>
      </c>
      <c r="M42" s="1"/>
      <c r="N42" s="1"/>
      <c r="O42" s="2"/>
      <c r="P42" s="2"/>
      <c r="Q42" s="2"/>
    </row>
    <row r="43" ht="24.75" customHeight="1">
      <c r="A43" s="44">
        <v>27.0</v>
      </c>
      <c r="B43" s="52" t="s">
        <v>79</v>
      </c>
      <c r="C43" s="52" t="s">
        <v>26</v>
      </c>
      <c r="D43" s="56" t="s">
        <v>303</v>
      </c>
      <c r="E43" s="48">
        <v>7.9</v>
      </c>
      <c r="F43" s="48">
        <v>1.4</v>
      </c>
      <c r="G43" s="59">
        <v>1.0</v>
      </c>
      <c r="H43" s="49">
        <f t="shared" si="1"/>
        <v>10.3</v>
      </c>
      <c r="I43" s="50">
        <v>0.0</v>
      </c>
      <c r="J43" s="51">
        <f t="shared" si="2"/>
        <v>10</v>
      </c>
      <c r="K43" s="44"/>
      <c r="L43" s="53">
        <f t="shared" si="3"/>
        <v>10</v>
      </c>
      <c r="M43" s="1"/>
      <c r="N43" s="1"/>
      <c r="O43" s="2"/>
      <c r="P43" s="2"/>
      <c r="Q43" s="2"/>
    </row>
    <row r="44" ht="24.75" customHeight="1">
      <c r="A44" s="44">
        <v>28.0</v>
      </c>
      <c r="B44" s="52" t="s">
        <v>304</v>
      </c>
      <c r="C44" s="52" t="s">
        <v>61</v>
      </c>
      <c r="D44" s="56" t="s">
        <v>305</v>
      </c>
      <c r="E44" s="48">
        <v>5.3</v>
      </c>
      <c r="F44" s="48">
        <v>1.9</v>
      </c>
      <c r="G44" s="49"/>
      <c r="H44" s="49">
        <f t="shared" si="1"/>
        <v>7.2</v>
      </c>
      <c r="I44" s="50">
        <v>0.0</v>
      </c>
      <c r="J44" s="51">
        <f t="shared" si="2"/>
        <v>7</v>
      </c>
      <c r="K44" s="44"/>
      <c r="L44" s="53">
        <f t="shared" si="3"/>
        <v>7</v>
      </c>
      <c r="M44" s="1"/>
      <c r="N44" s="1"/>
      <c r="O44" s="2"/>
      <c r="P44" s="2"/>
      <c r="Q44" s="2"/>
    </row>
    <row r="45" ht="24.75" customHeight="1">
      <c r="A45" s="44">
        <v>29.0</v>
      </c>
      <c r="B45" s="52" t="s">
        <v>306</v>
      </c>
      <c r="C45" s="52" t="s">
        <v>307</v>
      </c>
      <c r="D45" s="56" t="s">
        <v>308</v>
      </c>
      <c r="E45" s="48">
        <v>2.5</v>
      </c>
      <c r="F45" s="48">
        <v>1.7</v>
      </c>
      <c r="G45" s="49"/>
      <c r="H45" s="49">
        <f t="shared" si="1"/>
        <v>4.2</v>
      </c>
      <c r="I45" s="50">
        <v>5.0</v>
      </c>
      <c r="J45" s="51">
        <f t="shared" si="2"/>
        <v>5</v>
      </c>
      <c r="K45" s="44"/>
      <c r="L45" s="53">
        <f t="shared" si="3"/>
        <v>4</v>
      </c>
      <c r="M45" s="1"/>
      <c r="N45" s="1"/>
      <c r="O45" s="2"/>
      <c r="P45" s="2"/>
      <c r="Q45" s="2"/>
    </row>
    <row r="46" ht="24.75" customHeight="1">
      <c r="A46" s="44">
        <v>30.0</v>
      </c>
      <c r="B46" s="52" t="s">
        <v>90</v>
      </c>
      <c r="C46" s="52" t="s">
        <v>49</v>
      </c>
      <c r="D46" s="56" t="s">
        <v>309</v>
      </c>
      <c r="E46" s="48">
        <v>6.0</v>
      </c>
      <c r="F46" s="48">
        <v>1.7</v>
      </c>
      <c r="G46" s="49"/>
      <c r="H46" s="49">
        <f t="shared" si="1"/>
        <v>7.7</v>
      </c>
      <c r="I46" s="50">
        <v>1.0</v>
      </c>
      <c r="J46" s="51">
        <f t="shared" si="2"/>
        <v>8</v>
      </c>
      <c r="K46" s="44"/>
      <c r="L46" s="53">
        <f t="shared" si="3"/>
        <v>8</v>
      </c>
      <c r="M46" s="1"/>
      <c r="N46" s="1"/>
      <c r="O46" s="2"/>
      <c r="P46" s="2"/>
      <c r="Q46" s="2"/>
    </row>
    <row r="47" ht="24.75" customHeight="1">
      <c r="A47" s="44">
        <v>31.0</v>
      </c>
      <c r="B47" s="52" t="s">
        <v>310</v>
      </c>
      <c r="C47" s="52" t="s">
        <v>26</v>
      </c>
      <c r="D47" s="56" t="s">
        <v>311</v>
      </c>
      <c r="E47" s="48">
        <v>4.7</v>
      </c>
      <c r="F47" s="48">
        <v>1.3</v>
      </c>
      <c r="G47" s="49"/>
      <c r="H47" s="49">
        <f t="shared" si="1"/>
        <v>6</v>
      </c>
      <c r="I47" s="50">
        <v>0.0</v>
      </c>
      <c r="J47" s="51">
        <f t="shared" si="2"/>
        <v>6</v>
      </c>
      <c r="K47" s="44"/>
      <c r="L47" s="53">
        <f t="shared" si="3"/>
        <v>6</v>
      </c>
      <c r="M47" s="1"/>
      <c r="N47" s="1"/>
      <c r="O47" s="2"/>
      <c r="P47" s="2"/>
      <c r="Q47" s="2"/>
    </row>
    <row r="48" ht="24.75" customHeight="1">
      <c r="A48" s="44">
        <v>32.0</v>
      </c>
      <c r="B48" s="52" t="s">
        <v>312</v>
      </c>
      <c r="C48" s="52" t="s">
        <v>55</v>
      </c>
      <c r="D48" s="56" t="s">
        <v>313</v>
      </c>
      <c r="E48" s="48">
        <v>7.8</v>
      </c>
      <c r="F48" s="48">
        <v>1.4</v>
      </c>
      <c r="G48" s="59">
        <v>1.0</v>
      </c>
      <c r="H48" s="49">
        <f t="shared" si="1"/>
        <v>10.2</v>
      </c>
      <c r="I48" s="50">
        <v>0.0</v>
      </c>
      <c r="J48" s="51">
        <f t="shared" si="2"/>
        <v>10</v>
      </c>
      <c r="K48" s="44"/>
      <c r="L48" s="53">
        <f t="shared" si="3"/>
        <v>10</v>
      </c>
      <c r="M48" s="1"/>
      <c r="N48" s="1"/>
      <c r="O48" s="2"/>
      <c r="P48" s="2"/>
      <c r="Q48" s="2"/>
    </row>
    <row r="49" ht="24.75" customHeight="1">
      <c r="A49" s="44">
        <v>33.0</v>
      </c>
      <c r="B49" s="52" t="s">
        <v>81</v>
      </c>
      <c r="C49" s="52" t="s">
        <v>79</v>
      </c>
      <c r="D49" s="56" t="s">
        <v>314</v>
      </c>
      <c r="E49" s="48">
        <v>5.7</v>
      </c>
      <c r="F49" s="48">
        <v>1.2</v>
      </c>
      <c r="G49" s="49"/>
      <c r="H49" s="49">
        <f t="shared" si="1"/>
        <v>6.9</v>
      </c>
      <c r="I49" s="50">
        <v>2.0</v>
      </c>
      <c r="J49" s="51">
        <f t="shared" si="2"/>
        <v>7</v>
      </c>
      <c r="K49" s="44"/>
      <c r="L49" s="53">
        <f t="shared" si="3"/>
        <v>7</v>
      </c>
      <c r="M49" s="1"/>
      <c r="N49" s="1"/>
      <c r="O49" s="2"/>
      <c r="P49" s="2"/>
      <c r="Q49" s="2"/>
    </row>
    <row r="50" ht="24.75" customHeight="1">
      <c r="A50" s="44">
        <v>34.0</v>
      </c>
      <c r="B50" s="52" t="s">
        <v>315</v>
      </c>
      <c r="C50" s="52" t="s">
        <v>30</v>
      </c>
      <c r="D50" s="56" t="s">
        <v>316</v>
      </c>
      <c r="E50" s="48">
        <v>2.5</v>
      </c>
      <c r="F50" s="48">
        <v>1.7</v>
      </c>
      <c r="G50" s="49"/>
      <c r="H50" s="49">
        <f t="shared" si="1"/>
        <v>4.2</v>
      </c>
      <c r="I50" s="50">
        <v>5.0</v>
      </c>
      <c r="J50" s="51">
        <f t="shared" si="2"/>
        <v>5</v>
      </c>
      <c r="K50" s="44"/>
      <c r="L50" s="53">
        <f t="shared" si="3"/>
        <v>4</v>
      </c>
      <c r="M50" s="1"/>
      <c r="N50" s="1"/>
      <c r="O50" s="2"/>
      <c r="P50" s="2"/>
      <c r="Q50" s="2"/>
    </row>
    <row r="51" ht="24.75" customHeight="1">
      <c r="A51" s="44">
        <v>35.0</v>
      </c>
      <c r="B51" s="52" t="s">
        <v>123</v>
      </c>
      <c r="C51" s="52" t="s">
        <v>182</v>
      </c>
      <c r="D51" s="56" t="s">
        <v>317</v>
      </c>
      <c r="E51" s="48">
        <v>7.9</v>
      </c>
      <c r="F51" s="48">
        <v>1.0</v>
      </c>
      <c r="G51" s="49"/>
      <c r="H51" s="49">
        <f t="shared" si="1"/>
        <v>8.9</v>
      </c>
      <c r="I51" s="50">
        <v>0.0</v>
      </c>
      <c r="J51" s="51">
        <f t="shared" si="2"/>
        <v>9</v>
      </c>
      <c r="K51" s="44"/>
      <c r="L51" s="53">
        <f t="shared" si="3"/>
        <v>9</v>
      </c>
      <c r="M51" s="1"/>
      <c r="N51" s="1"/>
      <c r="O51" s="2"/>
      <c r="P51" s="2"/>
      <c r="Q51" s="2"/>
    </row>
    <row r="52" ht="24.75" customHeight="1">
      <c r="A52" s="44">
        <v>36.0</v>
      </c>
      <c r="B52" s="52" t="s">
        <v>99</v>
      </c>
      <c r="C52" s="52" t="s">
        <v>55</v>
      </c>
      <c r="D52" s="56" t="s">
        <v>318</v>
      </c>
      <c r="E52" s="48">
        <v>4.9</v>
      </c>
      <c r="F52" s="48">
        <v>1.7</v>
      </c>
      <c r="G52" s="49"/>
      <c r="H52" s="49">
        <f t="shared" si="1"/>
        <v>6.6</v>
      </c>
      <c r="I52" s="50">
        <v>0.0</v>
      </c>
      <c r="J52" s="51">
        <f t="shared" si="2"/>
        <v>7</v>
      </c>
      <c r="K52" s="44"/>
      <c r="L52" s="52">
        <f t="shared" si="3"/>
        <v>7</v>
      </c>
      <c r="M52" s="1"/>
      <c r="N52" s="1"/>
      <c r="O52" s="2"/>
      <c r="P52" s="2"/>
      <c r="Q52" s="2"/>
    </row>
    <row r="53" ht="24.75" customHeight="1">
      <c r="A53" s="44">
        <v>37.0</v>
      </c>
      <c r="B53" s="52" t="s">
        <v>99</v>
      </c>
      <c r="C53" s="52" t="s">
        <v>319</v>
      </c>
      <c r="D53" s="56" t="s">
        <v>320</v>
      </c>
      <c r="E53" s="48">
        <v>2.6</v>
      </c>
      <c r="F53" s="48">
        <v>1.9</v>
      </c>
      <c r="G53" s="49"/>
      <c r="H53" s="49">
        <f t="shared" si="1"/>
        <v>4.5</v>
      </c>
      <c r="I53" s="50">
        <v>0.0</v>
      </c>
      <c r="J53" s="51">
        <f t="shared" si="2"/>
        <v>5</v>
      </c>
      <c r="K53" s="44"/>
      <c r="L53" s="52">
        <f t="shared" si="3"/>
        <v>4</v>
      </c>
      <c r="M53" s="1"/>
      <c r="N53" s="1"/>
      <c r="O53" s="2"/>
      <c r="P53" s="2"/>
      <c r="Q53" s="2"/>
    </row>
    <row r="54" ht="24.75" customHeight="1">
      <c r="A54" s="44">
        <v>38.0</v>
      </c>
      <c r="B54" s="52" t="s">
        <v>92</v>
      </c>
      <c r="C54" s="52" t="s">
        <v>103</v>
      </c>
      <c r="D54" s="56" t="s">
        <v>321</v>
      </c>
      <c r="E54" s="48">
        <v>1.9</v>
      </c>
      <c r="F54" s="48">
        <v>0.0</v>
      </c>
      <c r="G54" s="49"/>
      <c r="H54" s="49">
        <f t="shared" si="1"/>
        <v>1.9</v>
      </c>
      <c r="I54" s="50">
        <v>6.0</v>
      </c>
      <c r="J54" s="51">
        <f t="shared" si="2"/>
        <v>5</v>
      </c>
      <c r="K54" s="44"/>
      <c r="L54" s="52">
        <f t="shared" si="3"/>
        <v>1</v>
      </c>
      <c r="M54" s="1"/>
      <c r="N54" s="1"/>
      <c r="O54" s="2"/>
      <c r="P54" s="2"/>
      <c r="Q54" s="2"/>
    </row>
    <row r="55" ht="24.75" customHeight="1">
      <c r="A55" s="44">
        <v>39.0</v>
      </c>
      <c r="B55" s="52" t="s">
        <v>55</v>
      </c>
      <c r="C55" s="52" t="s">
        <v>81</v>
      </c>
      <c r="D55" s="56" t="s">
        <v>322</v>
      </c>
      <c r="E55" s="48">
        <v>7.9</v>
      </c>
      <c r="F55" s="48">
        <v>1.7</v>
      </c>
      <c r="G55" s="49"/>
      <c r="H55" s="49">
        <f t="shared" si="1"/>
        <v>9.6</v>
      </c>
      <c r="I55" s="50">
        <v>0.0</v>
      </c>
      <c r="J55" s="51">
        <f t="shared" si="2"/>
        <v>10</v>
      </c>
      <c r="K55" s="44"/>
      <c r="L55" s="52">
        <f t="shared" si="3"/>
        <v>10</v>
      </c>
      <c r="M55" s="1"/>
      <c r="N55" s="1"/>
      <c r="O55" s="2"/>
      <c r="P55" s="2"/>
      <c r="Q55" s="2"/>
    </row>
    <row r="56" ht="24.75" customHeight="1">
      <c r="A56" s="44">
        <v>40.0</v>
      </c>
      <c r="B56" s="52" t="s">
        <v>323</v>
      </c>
      <c r="C56" s="52" t="s">
        <v>324</v>
      </c>
      <c r="D56" s="56" t="s">
        <v>325</v>
      </c>
      <c r="E56" s="48">
        <v>4.0</v>
      </c>
      <c r="F56" s="48">
        <v>1.7</v>
      </c>
      <c r="G56" s="49"/>
      <c r="H56" s="49">
        <f t="shared" si="1"/>
        <v>5.7</v>
      </c>
      <c r="I56" s="50">
        <v>6.0</v>
      </c>
      <c r="J56" s="51">
        <f t="shared" si="2"/>
        <v>5</v>
      </c>
      <c r="K56" s="44"/>
      <c r="L56" s="52">
        <f t="shared" si="3"/>
        <v>5</v>
      </c>
      <c r="M56" s="1"/>
      <c r="N56" s="1"/>
      <c r="O56" s="2"/>
      <c r="P56" s="2"/>
      <c r="Q56" s="2"/>
    </row>
    <row r="57" ht="24.75" customHeight="1">
      <c r="A57" s="44">
        <v>41.0</v>
      </c>
      <c r="B57" s="52" t="s">
        <v>326</v>
      </c>
      <c r="C57" s="52" t="s">
        <v>327</v>
      </c>
      <c r="D57" s="56" t="s">
        <v>328</v>
      </c>
      <c r="E57" s="48">
        <v>3.8</v>
      </c>
      <c r="F57" s="48">
        <v>1.7</v>
      </c>
      <c r="G57" s="49"/>
      <c r="H57" s="49">
        <f t="shared" si="1"/>
        <v>5.5</v>
      </c>
      <c r="I57" s="50">
        <v>0.0</v>
      </c>
      <c r="J57" s="51">
        <f t="shared" si="2"/>
        <v>5</v>
      </c>
      <c r="K57" s="44"/>
      <c r="L57" s="52">
        <f t="shared" si="3"/>
        <v>5</v>
      </c>
      <c r="M57" s="1"/>
      <c r="N57" s="1"/>
      <c r="O57" s="2"/>
      <c r="P57" s="2"/>
      <c r="Q57" s="2"/>
    </row>
    <row r="58" ht="24.75" customHeight="1">
      <c r="A58" s="44">
        <v>42.0</v>
      </c>
      <c r="B58" s="52" t="s">
        <v>329</v>
      </c>
      <c r="C58" s="52" t="s">
        <v>79</v>
      </c>
      <c r="D58" s="56" t="s">
        <v>330</v>
      </c>
      <c r="E58" s="48">
        <v>4.7</v>
      </c>
      <c r="F58" s="48">
        <v>1.3</v>
      </c>
      <c r="G58" s="49"/>
      <c r="H58" s="49">
        <f t="shared" si="1"/>
        <v>6</v>
      </c>
      <c r="I58" s="50">
        <v>0.0</v>
      </c>
      <c r="J58" s="51">
        <f t="shared" si="2"/>
        <v>6</v>
      </c>
      <c r="K58" s="44"/>
      <c r="L58" s="52">
        <f t="shared" si="3"/>
        <v>6</v>
      </c>
      <c r="M58" s="1"/>
      <c r="N58" s="1"/>
      <c r="O58" s="2"/>
      <c r="P58" s="2"/>
      <c r="Q58" s="2"/>
    </row>
    <row r="59" ht="24.75" customHeight="1">
      <c r="A59" s="44">
        <v>43.0</v>
      </c>
      <c r="B59" s="52" t="s">
        <v>331</v>
      </c>
      <c r="C59" s="52" t="s">
        <v>61</v>
      </c>
      <c r="D59" s="56" t="s">
        <v>332</v>
      </c>
      <c r="E59" s="48">
        <v>1.8</v>
      </c>
      <c r="F59" s="48">
        <v>1.3</v>
      </c>
      <c r="G59" s="49"/>
      <c r="H59" s="49">
        <f t="shared" si="1"/>
        <v>3.1</v>
      </c>
      <c r="I59" s="50">
        <v>6.0</v>
      </c>
      <c r="J59" s="51">
        <f t="shared" si="2"/>
        <v>5</v>
      </c>
      <c r="K59" s="44"/>
      <c r="L59" s="52">
        <f t="shared" si="3"/>
        <v>3</v>
      </c>
      <c r="M59" s="1"/>
      <c r="N59" s="1"/>
      <c r="O59" s="2"/>
      <c r="P59" s="2"/>
      <c r="Q59" s="2"/>
    </row>
    <row r="60" ht="24.75" customHeight="1">
      <c r="A60" s="44">
        <v>44.0</v>
      </c>
      <c r="B60" s="52" t="s">
        <v>333</v>
      </c>
      <c r="C60" s="52" t="s">
        <v>90</v>
      </c>
      <c r="D60" s="56" t="s">
        <v>334</v>
      </c>
      <c r="E60" s="48">
        <v>2.8</v>
      </c>
      <c r="F60" s="48">
        <v>0.0</v>
      </c>
      <c r="G60" s="59"/>
      <c r="H60" s="49">
        <f t="shared" si="1"/>
        <v>2.8</v>
      </c>
      <c r="I60" s="50">
        <v>2.0</v>
      </c>
      <c r="J60" s="51">
        <f t="shared" si="2"/>
        <v>5</v>
      </c>
      <c r="K60" s="44"/>
      <c r="L60" s="52">
        <f t="shared" si="3"/>
        <v>2</v>
      </c>
      <c r="M60" s="1"/>
      <c r="N60" s="1"/>
      <c r="O60" s="2"/>
      <c r="P60" s="2"/>
      <c r="Q60" s="2"/>
    </row>
    <row r="61" ht="24.75" customHeight="1">
      <c r="A61" s="44">
        <v>45.0</v>
      </c>
      <c r="B61" s="52" t="s">
        <v>335</v>
      </c>
      <c r="C61" s="52" t="s">
        <v>103</v>
      </c>
      <c r="D61" s="56" t="s">
        <v>336</v>
      </c>
      <c r="E61" s="48">
        <v>4.6</v>
      </c>
      <c r="F61" s="48">
        <v>1.9</v>
      </c>
      <c r="G61" s="49"/>
      <c r="H61" s="49">
        <f t="shared" si="1"/>
        <v>6.5</v>
      </c>
      <c r="I61" s="50">
        <v>0.0</v>
      </c>
      <c r="J61" s="51">
        <f t="shared" si="2"/>
        <v>7</v>
      </c>
      <c r="K61" s="44"/>
      <c r="L61" s="52">
        <f t="shared" si="3"/>
        <v>7</v>
      </c>
      <c r="M61" s="1"/>
      <c r="N61" s="1"/>
      <c r="O61" s="2"/>
      <c r="P61" s="2"/>
      <c r="Q61" s="2"/>
    </row>
    <row r="62" ht="24.75" customHeight="1">
      <c r="A62" s="44">
        <v>46.0</v>
      </c>
      <c r="B62" s="52" t="s">
        <v>337</v>
      </c>
      <c r="C62" s="52" t="s">
        <v>338</v>
      </c>
      <c r="D62" s="56" t="s">
        <v>339</v>
      </c>
      <c r="E62" s="48">
        <v>7.8</v>
      </c>
      <c r="F62" s="48">
        <v>1.4</v>
      </c>
      <c r="G62" s="59">
        <v>1.0</v>
      </c>
      <c r="H62" s="49">
        <f t="shared" si="1"/>
        <v>10.2</v>
      </c>
      <c r="I62" s="50">
        <v>0.0</v>
      </c>
      <c r="J62" s="51">
        <f t="shared" si="2"/>
        <v>10</v>
      </c>
      <c r="K62" s="44"/>
      <c r="L62" s="52">
        <f t="shared" si="3"/>
        <v>10</v>
      </c>
      <c r="M62" s="1"/>
      <c r="N62" s="1"/>
      <c r="O62" s="2"/>
      <c r="P62" s="2"/>
      <c r="Q62" s="2"/>
    </row>
    <row r="63" ht="24.75" customHeight="1">
      <c r="A63" s="44">
        <v>47.0</v>
      </c>
      <c r="B63" s="52" t="s">
        <v>340</v>
      </c>
      <c r="C63" s="52" t="s">
        <v>341</v>
      </c>
      <c r="D63" s="56" t="s">
        <v>342</v>
      </c>
      <c r="E63" s="48">
        <v>5.1</v>
      </c>
      <c r="F63" s="48">
        <v>1.6</v>
      </c>
      <c r="G63" s="59">
        <v>1.0</v>
      </c>
      <c r="H63" s="49">
        <f t="shared" si="1"/>
        <v>7.7</v>
      </c>
      <c r="I63" s="111">
        <v>0.0</v>
      </c>
      <c r="J63" s="51">
        <f t="shared" si="2"/>
        <v>8</v>
      </c>
      <c r="K63" s="44"/>
      <c r="L63" s="52">
        <f t="shared" si="3"/>
        <v>8</v>
      </c>
      <c r="M63" s="1"/>
      <c r="N63" s="1"/>
      <c r="O63" s="2"/>
      <c r="P63" s="2"/>
      <c r="Q63" s="2"/>
    </row>
    <row r="64" ht="24.75" customHeight="1">
      <c r="A64" s="44">
        <v>48.0</v>
      </c>
      <c r="B64" s="52" t="s">
        <v>340</v>
      </c>
      <c r="C64" s="52" t="s">
        <v>244</v>
      </c>
      <c r="D64" s="56" t="s">
        <v>343</v>
      </c>
      <c r="E64" s="48">
        <v>5.3</v>
      </c>
      <c r="F64" s="48">
        <v>1.6</v>
      </c>
      <c r="G64" s="59">
        <v>1.0</v>
      </c>
      <c r="H64" s="49">
        <f t="shared" si="1"/>
        <v>7.9</v>
      </c>
      <c r="I64" s="111">
        <v>1.0</v>
      </c>
      <c r="J64" s="51">
        <f t="shared" si="2"/>
        <v>8</v>
      </c>
      <c r="K64" s="44"/>
      <c r="L64" s="52">
        <f t="shared" si="3"/>
        <v>8</v>
      </c>
      <c r="M64" s="1"/>
      <c r="N64" s="1"/>
      <c r="O64" s="2"/>
      <c r="P64" s="2"/>
      <c r="Q64" s="2"/>
    </row>
    <row r="65" ht="24.75" customHeight="1">
      <c r="A65" s="6"/>
      <c r="B65" s="62"/>
      <c r="C65" s="62"/>
      <c r="D65" s="11"/>
      <c r="E65" s="63"/>
      <c r="F65" s="63"/>
      <c r="G65" s="63"/>
      <c r="H65" s="63"/>
      <c r="I65" s="11"/>
      <c r="J65" s="62"/>
      <c r="K65" s="7"/>
      <c r="L65" s="62"/>
      <c r="M65" s="1"/>
      <c r="N65" s="1"/>
      <c r="O65" s="2"/>
      <c r="P65" s="2"/>
      <c r="Q65" s="2"/>
    </row>
    <row r="66" ht="24.75" customHeight="1">
      <c r="A66" s="1"/>
      <c r="B66" s="64" t="s">
        <v>135</v>
      </c>
      <c r="C66" s="65"/>
      <c r="D66" s="112">
        <f>COUNT(A17:A64)</f>
        <v>48</v>
      </c>
      <c r="E66" s="63"/>
      <c r="F66" s="67" t="s">
        <v>136</v>
      </c>
      <c r="G66" s="63"/>
      <c r="H66" s="67" t="s">
        <v>137</v>
      </c>
      <c r="J66" s="68" t="s">
        <v>138</v>
      </c>
      <c r="K66" s="69" t="s">
        <v>139</v>
      </c>
      <c r="L66" s="62"/>
      <c r="M66" s="1"/>
      <c r="N66" s="1"/>
      <c r="O66" s="2"/>
      <c r="P66" s="2"/>
      <c r="Q66" s="2"/>
    </row>
    <row r="67" ht="24.75" customHeight="1">
      <c r="A67" s="1"/>
      <c r="B67" s="70" t="s">
        <v>140</v>
      </c>
      <c r="C67" s="71"/>
      <c r="D67" s="121">
        <f>COUNTIF(J17:J64,"BAJA")</f>
        <v>0</v>
      </c>
      <c r="E67" s="63"/>
      <c r="G67" s="63"/>
      <c r="K67" s="9"/>
      <c r="L67" s="62"/>
      <c r="M67" s="1"/>
      <c r="N67" s="1"/>
      <c r="O67" s="2"/>
      <c r="P67" s="2"/>
      <c r="Q67" s="2"/>
    </row>
    <row r="68" ht="24.75" customHeight="1">
      <c r="A68" s="1"/>
      <c r="B68" s="70" t="s">
        <v>141</v>
      </c>
      <c r="C68" s="71"/>
      <c r="D68" s="79">
        <f>D66-D67</f>
        <v>48</v>
      </c>
      <c r="E68" s="63"/>
      <c r="F68" s="63"/>
      <c r="G68" s="63"/>
      <c r="H68" s="63"/>
      <c r="I68" s="63"/>
      <c r="J68" s="62"/>
      <c r="K68" s="7"/>
      <c r="L68" s="62"/>
      <c r="M68" s="1"/>
      <c r="N68" s="1"/>
      <c r="O68" s="2"/>
      <c r="P68" s="2"/>
      <c r="Q68" s="2"/>
    </row>
    <row r="69" ht="24.75" customHeight="1">
      <c r="A69" s="1"/>
      <c r="B69" s="70" t="s">
        <v>142</v>
      </c>
      <c r="C69" s="71"/>
      <c r="D69" s="74">
        <f>COUNTIF(J17:J64,"&gt;=6")</f>
        <v>34</v>
      </c>
      <c r="E69" s="63"/>
      <c r="F69" s="63"/>
      <c r="G69" s="63"/>
      <c r="H69" s="63"/>
      <c r="I69" s="63"/>
      <c r="J69" s="62"/>
      <c r="K69" s="7"/>
      <c r="L69" s="62"/>
      <c r="M69" s="1"/>
      <c r="N69" s="1"/>
      <c r="O69" s="2"/>
      <c r="P69" s="2"/>
      <c r="Q69" s="2"/>
    </row>
    <row r="70" ht="24.75" customHeight="1">
      <c r="A70" s="1"/>
      <c r="B70" s="70" t="s">
        <v>143</v>
      </c>
      <c r="C70" s="71"/>
      <c r="D70" s="74">
        <f>D68-D69</f>
        <v>14</v>
      </c>
      <c r="E70" s="63"/>
      <c r="F70" s="75"/>
      <c r="G70" s="63"/>
      <c r="H70" s="75"/>
      <c r="I70" s="76"/>
      <c r="J70" s="77"/>
      <c r="K70" s="78"/>
      <c r="L70" s="62"/>
      <c r="M70" s="1"/>
      <c r="N70" s="1"/>
      <c r="O70" s="2"/>
      <c r="P70" s="2"/>
      <c r="Q70" s="2"/>
    </row>
    <row r="71" ht="36.0" customHeight="1">
      <c r="A71" s="1"/>
      <c r="B71" s="70" t="s">
        <v>144</v>
      </c>
      <c r="C71" s="71"/>
      <c r="D71" s="79">
        <f>D69*100/D68</f>
        <v>70.83333333</v>
      </c>
      <c r="E71" s="63"/>
      <c r="F71" s="80" t="s">
        <v>145</v>
      </c>
      <c r="G71" s="63"/>
      <c r="H71" s="81" t="s">
        <v>344</v>
      </c>
      <c r="J71" s="82" t="s">
        <v>147</v>
      </c>
      <c r="K71" s="83" t="s">
        <v>148</v>
      </c>
      <c r="L71" s="62"/>
      <c r="M71" s="1"/>
      <c r="N71" s="1"/>
      <c r="O71" s="2"/>
      <c r="P71" s="2"/>
      <c r="Q71" s="2"/>
    </row>
    <row r="72" ht="21.75" customHeight="1">
      <c r="A72" s="84"/>
      <c r="B72" s="85" t="s">
        <v>149</v>
      </c>
      <c r="C72" s="86"/>
      <c r="D72" s="87">
        <f>AVERAGE(J17:J64)</f>
        <v>7.354166667</v>
      </c>
      <c r="E72" s="1"/>
      <c r="G72" s="1"/>
      <c r="K72" s="9"/>
      <c r="L72" s="1"/>
      <c r="M72" s="1"/>
      <c r="N72" s="1"/>
      <c r="O72" s="2"/>
      <c r="P72" s="2"/>
      <c r="Q72" s="2"/>
    </row>
    <row r="73" ht="21.75" customHeight="1">
      <c r="A73" s="88"/>
      <c r="B73" s="2"/>
      <c r="C73" s="2"/>
      <c r="D73" s="2"/>
      <c r="E73" s="2"/>
      <c r="F73" s="2"/>
      <c r="G73" s="2"/>
      <c r="H73" s="2"/>
      <c r="I73" s="2"/>
      <c r="J73" s="2"/>
      <c r="K73" s="89"/>
      <c r="L73" s="2"/>
      <c r="M73" s="2"/>
      <c r="N73" s="2"/>
      <c r="O73" s="2"/>
      <c r="P73" s="2"/>
      <c r="Q73" s="2"/>
    </row>
    <row r="74" ht="21.75" customHeight="1">
      <c r="A74" s="90"/>
      <c r="B74" s="91"/>
      <c r="C74" s="92"/>
      <c r="D74" s="93"/>
      <c r="E74" s="94"/>
      <c r="G74" s="94"/>
      <c r="H74" s="94"/>
      <c r="I74" s="94"/>
      <c r="J74" s="94"/>
      <c r="K74" s="95"/>
      <c r="L74" s="94"/>
      <c r="M74" s="2"/>
      <c r="N74" s="2"/>
      <c r="O74" s="2"/>
      <c r="P74" s="2"/>
      <c r="Q74" s="2"/>
    </row>
    <row r="75" ht="21.75" customHeight="1">
      <c r="A75" s="96"/>
      <c r="B75" s="94"/>
      <c r="C75" s="94"/>
      <c r="D75" s="97"/>
      <c r="E75" s="94"/>
      <c r="F75" s="2"/>
      <c r="G75" s="2"/>
      <c r="H75" s="2"/>
      <c r="I75" s="2"/>
      <c r="J75" s="2"/>
      <c r="K75" s="89"/>
      <c r="L75" s="2"/>
      <c r="M75" s="2"/>
      <c r="N75" s="2"/>
      <c r="O75" s="2"/>
      <c r="P75" s="2"/>
      <c r="Q75" s="2"/>
    </row>
    <row r="76" ht="21.75" customHeight="1">
      <c r="A76" s="96"/>
      <c r="B76" s="94"/>
      <c r="C76" s="94"/>
      <c r="D76" s="98"/>
      <c r="E76" s="94"/>
      <c r="F76" s="2"/>
      <c r="G76" s="2"/>
      <c r="H76" s="2"/>
      <c r="I76" s="2"/>
      <c r="J76" s="2"/>
      <c r="K76" s="89"/>
      <c r="L76" s="2"/>
      <c r="M76" s="2"/>
      <c r="N76" s="2"/>
      <c r="O76" s="2"/>
      <c r="P76" s="2"/>
      <c r="Q76" s="2"/>
    </row>
    <row r="77" ht="27.75" customHeight="1">
      <c r="A77" s="99"/>
      <c r="B77" s="100"/>
      <c r="C77" s="100"/>
      <c r="D77" s="101"/>
      <c r="E77" s="100"/>
      <c r="F77" s="102"/>
      <c r="G77" s="103"/>
      <c r="H77" s="102"/>
      <c r="I77" s="102"/>
      <c r="J77" s="102"/>
      <c r="K77" s="104"/>
      <c r="L77" s="2"/>
      <c r="M77" s="2"/>
      <c r="N77" s="2"/>
      <c r="O77" s="2"/>
      <c r="P77" s="2"/>
      <c r="Q77" s="2"/>
    </row>
    <row r="78" ht="21.75" customHeight="1">
      <c r="A78" s="105"/>
      <c r="B78" s="106"/>
      <c r="C78" s="106"/>
      <c r="D78" s="98"/>
      <c r="E78" s="94"/>
      <c r="F78" s="107"/>
      <c r="G78" s="2"/>
      <c r="H78" s="107"/>
      <c r="I78" s="107"/>
      <c r="J78" s="108"/>
      <c r="K78" s="108"/>
      <c r="L78" s="109"/>
      <c r="M78" s="2"/>
      <c r="N78" s="2"/>
      <c r="O78" s="2"/>
      <c r="P78" s="2"/>
      <c r="Q78" s="2"/>
    </row>
    <row r="79" ht="13.5" customHeight="1">
      <c r="A79" s="2"/>
      <c r="B79" s="94"/>
      <c r="C79" s="94"/>
      <c r="D79" s="98"/>
      <c r="E79" s="94"/>
      <c r="F79" s="107"/>
      <c r="G79" s="2"/>
      <c r="H79" s="107"/>
      <c r="I79" s="107"/>
      <c r="J79" s="108"/>
      <c r="K79" s="108"/>
      <c r="L79" s="109"/>
      <c r="M79" s="2"/>
      <c r="N79" s="2"/>
      <c r="O79" s="2"/>
      <c r="P79" s="2"/>
      <c r="Q79" s="2"/>
    </row>
  </sheetData>
  <mergeCells count="29">
    <mergeCell ref="I13:K14"/>
    <mergeCell ref="I15:K15"/>
    <mergeCell ref="M17:N17"/>
    <mergeCell ref="A9:K9"/>
    <mergeCell ref="E10:K10"/>
    <mergeCell ref="A13:B13"/>
    <mergeCell ref="C13:D13"/>
    <mergeCell ref="G13:G15"/>
    <mergeCell ref="H13:H14"/>
    <mergeCell ref="F14:F15"/>
    <mergeCell ref="B14:D14"/>
    <mergeCell ref="E14:E15"/>
    <mergeCell ref="B16:D16"/>
    <mergeCell ref="F66:F67"/>
    <mergeCell ref="H66:I67"/>
    <mergeCell ref="J66:J67"/>
    <mergeCell ref="K66:K67"/>
    <mergeCell ref="H71:I72"/>
    <mergeCell ref="J71:J72"/>
    <mergeCell ref="K71:K72"/>
    <mergeCell ref="F71:F72"/>
    <mergeCell ref="E74:F74"/>
    <mergeCell ref="B66:C66"/>
    <mergeCell ref="B67:C67"/>
    <mergeCell ref="B68:C68"/>
    <mergeCell ref="B69:C69"/>
    <mergeCell ref="B70:C70"/>
    <mergeCell ref="B71:C71"/>
    <mergeCell ref="B72:C72"/>
  </mergeCells>
  <conditionalFormatting sqref="E17:G64">
    <cfRule type="expression" dxfId="0" priority="1" stopIfTrue="1">
      <formula>TRUE</formula>
    </cfRule>
  </conditionalFormatting>
  <conditionalFormatting sqref="J17:J64">
    <cfRule type="cellIs" dxfId="0" priority="2" stopIfTrue="1" operator="greaterThan">
      <formula>5</formula>
    </cfRule>
  </conditionalFormatting>
  <conditionalFormatting sqref="J17:J64">
    <cfRule type="cellIs" dxfId="1" priority="3" stopIfTrue="1" operator="equal">
      <formula>5</formula>
    </cfRule>
  </conditionalFormatting>
  <conditionalFormatting sqref="B29:D30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9:D30">
    <cfRule type="cellIs" dxfId="2" priority="5" operator="equal">
      <formula>1</formula>
    </cfRule>
  </conditionalFormatting>
  <conditionalFormatting sqref="B30:D30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0:D30">
    <cfRule type="cellIs" dxfId="2" priority="7" operator="equal">
      <formula>1</formula>
    </cfRule>
  </conditionalFormatting>
  <conditionalFormatting sqref="B31:D31">
    <cfRule type="colorScale" priority="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1:D31">
    <cfRule type="cellIs" dxfId="2" priority="9" operator="equal">
      <formula>1</formula>
    </cfRule>
  </conditionalFormatting>
  <conditionalFormatting sqref="J17:J71 K18:K70">
    <cfRule type="cellIs" dxfId="3" priority="10" operator="equal">
      <formula>5</formula>
    </cfRule>
  </conditionalFormatting>
  <printOptions/>
  <pageMargins bottom="0.1968503937007874" footer="0.0" header="0.0" left="0.7480314960629921" right="0.0" top="0.1968503937007874"/>
  <pageSetup scale="37" orientation="portrait"/>
  <drawing r:id="rId1"/>
</worksheet>
</file>