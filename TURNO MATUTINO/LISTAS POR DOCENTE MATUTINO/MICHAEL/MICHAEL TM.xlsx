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actividades fisicas y depor" sheetId="1" r:id="rId5"/>
    <sheet state="visible" name="1-2 actividades fisicas y depor" sheetId="2" r:id="rId6"/>
    <sheet state="visible" name="1-3 actividades fisicas y depor" sheetId="3" r:id="rId7"/>
  </sheets>
  <definedNames/>
  <calcPr/>
</workbook>
</file>

<file path=xl/sharedStrings.xml><?xml version="1.0" encoding="utf-8"?>
<sst xmlns="http://schemas.openxmlformats.org/spreadsheetml/2006/main" count="622" uniqueCount="371">
  <si>
    <t>ESCUELA PREPARATORIA OFICIAL NÚM. 67</t>
  </si>
  <si>
    <t xml:space="preserve">CONTROL PRIMER PARCIAL </t>
  </si>
  <si>
    <t xml:space="preserve">PROFESOR (A): </t>
  </si>
  <si>
    <t>MICHAEL GOMEZ GUZMAN</t>
  </si>
  <si>
    <t>II</t>
  </si>
  <si>
    <t>III</t>
  </si>
  <si>
    <t>PUNTAJE EXTRA</t>
  </si>
  <si>
    <t>SEGUNDO SEMESTRE
MATUTINO</t>
  </si>
  <si>
    <t>UAC</t>
  </si>
  <si>
    <t>ACTIVIDADES FÍSICAS Y DEPORTIVAS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</si>
  <si>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</si>
  <si>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</si>
  <si>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</si>
  <si>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</si>
  <si>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</si>
  <si>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</si>
  <si>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</si>
  <si>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</si>
  <si>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</si>
  <si>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</si>
  <si>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</si>
  <si>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</si>
  <si>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</si>
  <si>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</si>
  <si>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</si>
  <si>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</si>
  <si>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</si>
  <si>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</si>
  <si>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</si>
  <si>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</si>
  <si>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</si>
  <si>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</si>
  <si>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</si>
  <si>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</si>
  <si>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</si>
  <si>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</si>
  <si>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</si>
  <si>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</si>
  <si>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</si>
  <si>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</si>
  <si>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</si>
  <si>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</si>
  <si>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</si>
  <si>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</si>
  <si>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</si>
  <si>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</si>
  <si>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</si>
  <si>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</si>
  <si>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</si>
  <si>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</si>
  <si>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</si>
  <si>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</si>
  <si>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</si>
  <si>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</si>
  <si>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</si>
  <si>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</si>
  <si>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</si>
  <si>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</si>
  <si>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</si>
  <si>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</si>
  <si>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</si>
  <si>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</si>
  <si>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</si>
  <si>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</si>
  <si>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</si>
  <si>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</si>
  <si>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</si>
  <si>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</si>
  <si>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</si>
  <si>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</si>
  <si>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</si>
  <si>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</si>
  <si>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</si>
  <si>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</si>
  <si>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</si>
  <si>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</si>
  <si>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</si>
  <si>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</si>
  <si>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</si>
  <si>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</si>
  <si>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</si>
  <si>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</si>
  <si>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</si>
  <si>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</si>
  <si>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</si>
  <si>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</si>
  <si>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</si>
  <si>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</si>
  <si>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</si>
  <si>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</si>
  <si>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</si>
  <si>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</si>
  <si>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</si>
  <si>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</si>
  <si>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</si>
  <si>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</si>
  <si>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</si>
  <si>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</si>
  <si>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</si>
  <si>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</si>
  <si>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</si>
  <si>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</si>
  <si>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</si>
  <si>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</si>
  <si>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</si>
  <si>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</si>
  <si>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</si>
  <si>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</si>
  <si>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</si>
  <si>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</si>
  <si>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</si>
  <si>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</si>
  <si>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</si>
  <si>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</si>
  <si>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</si>
  <si>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</si>
  <si>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</si>
  <si>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</si>
  <si>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</si>
  <si>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</si>
  <si>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</si>
  <si>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</si>
  <si>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</si>
  <si>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</si>
  <si>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</si>
  <si>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</si>
  <si>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</si>
  <si>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</si>
  <si>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</si>
  <si>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</si>
  <si>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</si>
  <si>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</si>
  <si>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</si>
  <si>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</si>
  <si>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</si>
  <si>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</si>
  <si>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</si>
  <si>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</si>
  <si>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</si>
  <si>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</si>
  <si>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</si>
  <si>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</si>
  <si>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</si>
  <si>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</si>
  <si>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</si>
  <si>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</si>
  <si>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</si>
  <si>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</si>
  <si>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</si>
  <si>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</si>
  <si>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</si>
  <si>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</si>
  <si>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</si>
  <si>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</si>
  <si>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</si>
  <si>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</si>
  <si>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</si>
  <si>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</si>
  <si>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</si>
  <si>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</si>
  <si>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</si>
  <si>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</si>
  <si>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</si>
  <si>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</si>
  <si>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</si>
  <si>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</si>
  <si>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</si>
  <si>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</si>
  <si>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</si>
  <si>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</si>
  <si>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</si>
  <si>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</si>
  <si>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</si>
  <si>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</si>
  <si>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</si>
  <si>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</si>
  <si>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</si>
  <si>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</si>
  <si>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</si>
  <si>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</si>
  <si>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</si>
  <si>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</si>
  <si>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</si>
  <si>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</si>
  <si>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</si>
  <si>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</si>
  <si>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</si>
  <si>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</si>
  <si>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</si>
  <si>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</si>
  <si>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</si>
  <si>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</si>
  <si>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</si>
  <si>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</si>
  <si>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</si>
  <si>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</si>
  <si>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</si>
  <si>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</si>
  <si>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</si>
  <si>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</si>
  <si>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</si>
  <si>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</si>
  <si>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</si>
  <si>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</si>
  <si>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</si>
  <si>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</si>
  <si>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</si>
  <si>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</si>
  <si>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</si>
  <si>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</si>
  <si>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</si>
  <si>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</si>
  <si>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</si>
  <si>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</si>
  <si>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</si>
  <si>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</si>
  <si>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</si>
  <si>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</si>
  <si>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</si>
  <si>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</si>
  <si>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</si>
  <si>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</si>
  <si>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</si>
  <si>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</si>
  <si>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</si>
  <si>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</si>
  <si>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</si>
  <si>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</si>
  <si>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</si>
  <si>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</si>
  <si>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</si>
  <si>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</si>
  <si>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</si>
  <si>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</si>
  <si>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</si>
  <si>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</si>
  <si>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</si>
  <si>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</si>
  <si>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</si>
  <si>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</si>
  <si>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</si>
  <si>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</si>
  <si>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</si>
  <si>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</si>
  <si>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</si>
  <si>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</si>
  <si>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</si>
  <si>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</si>
  <si>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</si>
  <si>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</si>
  <si>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</si>
  <si>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</si>
  <si>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</si>
  <si>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</si>
  <si>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</si>
  <si>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</si>
  <si>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</si>
  <si>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</si>
  <si>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</si>
  <si>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</si>
  <si>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</si>
  <si>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</si>
  <si>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</si>
  <si>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</si>
  <si>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</si>
  <si>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</si>
  <si>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</si>
  <si>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</si>
  <si>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</si>
  <si>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</si>
  <si>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</si>
  <si>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</si>
  <si>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</si>
  <si>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</si>
  <si>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</si>
  <si>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</si>
  <si>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</si>
  <si>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</si>
  <si>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</si>
  <si>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</si>
  <si>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VARELA</t>
  </si>
  <si>
    <t>ISAIAS HAZAEL</t>
  </si>
  <si>
    <t>ANDRADE</t>
  </si>
  <si>
    <t>DAVID EMILIANO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</si>
  <si>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</si>
  <si>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</si>
  <si>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</si>
  <si>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</si>
  <si>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</si>
  <si>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</si>
  <si>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</si>
  <si>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</si>
  <si>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</si>
  <si>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</si>
  <si>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</si>
  <si>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</si>
  <si>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</si>
  <si>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</si>
  <si>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</si>
  <si>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</si>
  <si>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</si>
  <si>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</si>
  <si>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</si>
  <si>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</si>
  <si>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</si>
  <si>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</si>
  <si>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</si>
  <si>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</si>
  <si>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</si>
  <si>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</si>
  <si>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</si>
  <si>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</si>
  <si>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</si>
  <si>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</si>
  <si>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</si>
  <si>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</si>
  <si>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</si>
  <si>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</si>
  <si>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</si>
  <si>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</si>
  <si>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</si>
  <si>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ZARA</t>
  </si>
  <si>
    <t>CANCHOLA</t>
  </si>
  <si>
    <t>MELANIE</t>
  </si>
  <si>
    <t>ESPARRAGOZA</t>
  </si>
  <si>
    <t>DANTE ALEXANDER</t>
  </si>
  <si>
    <t>MARIA JOSE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</si>
  <si>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</si>
  <si>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</si>
  <si>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</si>
  <si>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</si>
  <si>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</si>
  <si>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</si>
  <si>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</si>
  <si>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</si>
  <si>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</si>
  <si>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</si>
  <si>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</si>
  <si>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</si>
  <si>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</si>
  <si>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</si>
  <si>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VALENZUELA</t>
  </si>
  <si>
    <t>SANTIAGO ISMAEL</t>
  </si>
  <si>
    <t>ANDREA MAYARI</t>
  </si>
  <si>
    <t>ORNELAS</t>
  </si>
  <si>
    <t>LENA VIKTORIA</t>
  </si>
  <si>
    <t>GUILLERMO</t>
  </si>
  <si>
    <t>OLIVARES</t>
  </si>
  <si>
    <t>ANDRES</t>
  </si>
  <si>
    <t>SUAREZ</t>
  </si>
  <si>
    <t>DAVETH OSIEL</t>
  </si>
  <si>
    <t>PUC</t>
  </si>
  <si>
    <t>XIMENA DANIELA</t>
  </si>
  <si>
    <t>ROMAN</t>
  </si>
  <si>
    <t>HUGO DASTAN</t>
  </si>
  <si>
    <t>XOCHITL</t>
  </si>
  <si>
    <t>MACIEL ALEJANDRA</t>
  </si>
  <si>
    <t>SANTANA</t>
  </si>
  <si>
    <t>IRVING WILLIAM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</si>
  <si>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</si>
  <si>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</si>
  <si>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</si>
  <si>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</si>
  <si>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</si>
  <si>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</si>
  <si>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</si>
  <si>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</si>
  <si>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</si>
  <si>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</si>
  <si>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SEPULVEDA</t>
  </si>
  <si>
    <t>PROFRA. SANDRA DIAZ CAMARENA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</si>
</sst>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81</xdr:row>
      <xdr:rowOff>104775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161925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80</xdr:row>
      <xdr:rowOff>104775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161925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80</xdr:row>
      <xdr:rowOff>104775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161925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7.0</v>
      </c>
      <c r="F17" s="48">
        <v>1.0</v>
      </c>
      <c r="G17" s="49"/>
      <c r="H17" s="49">
        <f t="shared" ref="H17:H71" si="1">SUM(E17:G17)</f>
        <v>8</v>
      </c>
      <c r="I17" s="50">
        <v>0.0</v>
      </c>
      <c r="J17" s="51">
        <f t="shared" ref="J17:J71" si="2">IF(H17&lt;6, 5, MIN(ROUND(H17, 0), 10))</f>
        <v>8</v>
      </c>
      <c r="K17" s="46"/>
      <c r="L17" s="52">
        <f t="shared" ref="L17:L69" si="3">IF(H17&gt;=6,ROUND(H17,0),TRUNC(H17,0))</f>
        <v>8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8.0</v>
      </c>
      <c r="F18" s="48">
        <v>2.0</v>
      </c>
      <c r="G18" s="48"/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6.0</v>
      </c>
      <c r="F19" s="48">
        <v>2.0</v>
      </c>
      <c r="G19" s="48"/>
      <c r="H19" s="49">
        <f t="shared" si="1"/>
        <v>8</v>
      </c>
      <c r="I19" s="50">
        <v>0.0</v>
      </c>
      <c r="J19" s="51">
        <f t="shared" si="2"/>
        <v>8</v>
      </c>
      <c r="K19" s="44"/>
      <c r="L19" s="52">
        <f t="shared" si="3"/>
        <v>8</v>
      </c>
      <c r="M19" s="54" t="s">
        <v>32</v>
      </c>
      <c r="N19" s="50">
        <v>6.0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8.0</v>
      </c>
      <c r="F20" s="48">
        <v>2.0</v>
      </c>
      <c r="G20" s="48"/>
      <c r="H20" s="49">
        <f t="shared" si="1"/>
        <v>10</v>
      </c>
      <c r="I20" s="50">
        <v>1.0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50">
        <v>6.0</v>
      </c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8.0</v>
      </c>
      <c r="F21" s="48">
        <v>2.0</v>
      </c>
      <c r="G21" s="48"/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50">
        <v>8.0</v>
      </c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8.0</v>
      </c>
      <c r="F22" s="48">
        <v>2.0</v>
      </c>
      <c r="G22" s="48"/>
      <c r="H22" s="49">
        <f t="shared" si="1"/>
        <v>10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50">
        <v>8.0</v>
      </c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7.0</v>
      </c>
      <c r="F23" s="48">
        <v>2.0</v>
      </c>
      <c r="G23" s="48"/>
      <c r="H23" s="49">
        <f t="shared" si="1"/>
        <v>9</v>
      </c>
      <c r="I23" s="50">
        <v>0.0</v>
      </c>
      <c r="J23" s="51">
        <f t="shared" si="2"/>
        <v>9</v>
      </c>
      <c r="K23" s="44"/>
      <c r="L23" s="52">
        <f t="shared" si="3"/>
        <v>9</v>
      </c>
      <c r="M23" s="54" t="s">
        <v>48</v>
      </c>
      <c r="N23" s="50">
        <v>4.0</v>
      </c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6.0</v>
      </c>
      <c r="F24" s="48">
        <v>0.0</v>
      </c>
      <c r="G24" s="49"/>
      <c r="H24" s="49">
        <f t="shared" si="1"/>
        <v>6</v>
      </c>
      <c r="I24" s="50">
        <v>0.0</v>
      </c>
      <c r="J24" s="51">
        <f t="shared" si="2"/>
        <v>6</v>
      </c>
      <c r="K24" s="44"/>
      <c r="L24" s="52">
        <f t="shared" si="3"/>
        <v>6</v>
      </c>
      <c r="M24" s="54" t="s">
        <v>52</v>
      </c>
      <c r="N24" s="54">
        <f>SUM(N18:N23)</f>
        <v>38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8.0</v>
      </c>
      <c r="F25" s="48">
        <v>2.0</v>
      </c>
      <c r="G25" s="49"/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6.0</v>
      </c>
      <c r="F28" s="48">
        <v>2.0</v>
      </c>
      <c r="G28" s="49"/>
      <c r="H28" s="49">
        <f t="shared" si="1"/>
        <v>8</v>
      </c>
      <c r="I28" s="50">
        <v>0.0</v>
      </c>
      <c r="J28" s="51">
        <f t="shared" si="2"/>
        <v>8</v>
      </c>
      <c r="K28" s="44"/>
      <c r="L28" s="52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6.0</v>
      </c>
      <c r="F29" s="48">
        <v>0.0</v>
      </c>
      <c r="G29" s="49"/>
      <c r="H29" s="49">
        <f t="shared" si="1"/>
        <v>6</v>
      </c>
      <c r="I29" s="50">
        <v>2.0</v>
      </c>
      <c r="J29" s="51">
        <f t="shared" si="2"/>
        <v>6</v>
      </c>
      <c r="K29" s="44"/>
      <c r="L29" s="52">
        <f t="shared" si="3"/>
        <v>6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7.0</v>
      </c>
      <c r="F30" s="48">
        <v>2.0</v>
      </c>
      <c r="G30" s="49"/>
      <c r="H30" s="49">
        <f t="shared" si="1"/>
        <v>9</v>
      </c>
      <c r="I30" s="50">
        <v>0.0</v>
      </c>
      <c r="J30" s="51">
        <f t="shared" si="2"/>
        <v>9</v>
      </c>
      <c r="K30" s="4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6.0</v>
      </c>
      <c r="F34" s="48">
        <v>1.0</v>
      </c>
      <c r="G34" s="49"/>
      <c r="H34" s="49">
        <f t="shared" si="1"/>
        <v>7</v>
      </c>
      <c r="I34" s="50">
        <v>1.0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2.0</v>
      </c>
      <c r="G38" s="48"/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7.0</v>
      </c>
      <c r="F40" s="48">
        <v>0.0</v>
      </c>
      <c r="G40" s="49"/>
      <c r="H40" s="49">
        <f t="shared" si="1"/>
        <v>7</v>
      </c>
      <c r="I40" s="50">
        <v>0.0</v>
      </c>
      <c r="J40" s="51">
        <f t="shared" si="2"/>
        <v>7</v>
      </c>
      <c r="K40" s="44"/>
      <c r="L40" s="52">
        <f t="shared" si="3"/>
        <v>7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7.0</v>
      </c>
      <c r="F42" s="48">
        <v>2.0</v>
      </c>
      <c r="G42" s="49"/>
      <c r="H42" s="49">
        <f t="shared" si="1"/>
        <v>9</v>
      </c>
      <c r="I42" s="50">
        <v>2.0</v>
      </c>
      <c r="J42" s="51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6.0</v>
      </c>
      <c r="F43" s="48">
        <v>2.0</v>
      </c>
      <c r="G43" s="49"/>
      <c r="H43" s="49">
        <f t="shared" si="1"/>
        <v>8</v>
      </c>
      <c r="I43" s="50">
        <v>0.0</v>
      </c>
      <c r="J43" s="51">
        <f t="shared" si="2"/>
        <v>8</v>
      </c>
      <c r="K43" s="44"/>
      <c r="L43" s="52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7.0</v>
      </c>
      <c r="F44" s="48">
        <v>0.0</v>
      </c>
      <c r="G44" s="49"/>
      <c r="H44" s="49">
        <f t="shared" si="1"/>
        <v>7</v>
      </c>
      <c r="I44" s="50">
        <v>1.0</v>
      </c>
      <c r="J44" s="51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8.0</v>
      </c>
      <c r="F45" s="48">
        <v>2.0</v>
      </c>
      <c r="G45" s="49"/>
      <c r="H45" s="49">
        <f t="shared" si="1"/>
        <v>10</v>
      </c>
      <c r="I45" s="50">
        <v>1.0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6.0</v>
      </c>
      <c r="F46" s="48">
        <v>0.0</v>
      </c>
      <c r="G46" s="49"/>
      <c r="H46" s="49">
        <f t="shared" si="1"/>
        <v>6</v>
      </c>
      <c r="I46" s="50">
        <v>1.0</v>
      </c>
      <c r="J46" s="51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8.0</v>
      </c>
      <c r="F47" s="48">
        <v>0.0</v>
      </c>
      <c r="G47" s="49"/>
      <c r="H47" s="49">
        <f t="shared" si="1"/>
        <v>8</v>
      </c>
      <c r="I47" s="50">
        <v>0.0</v>
      </c>
      <c r="J47" s="51">
        <f t="shared" si="2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7.0</v>
      </c>
      <c r="F48" s="48">
        <v>0.0</v>
      </c>
      <c r="G48" s="49"/>
      <c r="H48" s="49">
        <f t="shared" si="1"/>
        <v>7</v>
      </c>
      <c r="I48" s="50">
        <v>0.0</v>
      </c>
      <c r="J48" s="51">
        <f t="shared" si="2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8.0</v>
      </c>
      <c r="F49" s="48">
        <v>1.0</v>
      </c>
      <c r="G49" s="49"/>
      <c r="H49" s="49">
        <f t="shared" si="1"/>
        <v>9</v>
      </c>
      <c r="I49" s="50">
        <v>0.0</v>
      </c>
      <c r="J49" s="51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6.0</v>
      </c>
      <c r="F50" s="48">
        <v>2.0</v>
      </c>
      <c r="G50" s="49"/>
      <c r="H50" s="49">
        <f t="shared" si="1"/>
        <v>8</v>
      </c>
      <c r="I50" s="50">
        <v>0.0</v>
      </c>
      <c r="J50" s="51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7.0</v>
      </c>
      <c r="F51" s="48">
        <v>2.0</v>
      </c>
      <c r="G51" s="49"/>
      <c r="H51" s="49">
        <f t="shared" si="1"/>
        <v>9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6.0</v>
      </c>
      <c r="F53" s="48">
        <v>0.0</v>
      </c>
      <c r="G53" s="49"/>
      <c r="H53" s="49">
        <f t="shared" si="1"/>
        <v>6</v>
      </c>
      <c r="I53" s="50">
        <v>1.0</v>
      </c>
      <c r="J53" s="51">
        <f t="shared" si="2"/>
        <v>6</v>
      </c>
      <c r="K53" s="44"/>
      <c r="L53" s="46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8.0</v>
      </c>
      <c r="F54" s="48">
        <v>0.0</v>
      </c>
      <c r="G54" s="49"/>
      <c r="H54" s="49">
        <f t="shared" si="1"/>
        <v>8</v>
      </c>
      <c r="I54" s="50">
        <v>0.0</v>
      </c>
      <c r="J54" s="51">
        <f t="shared" si="2"/>
        <v>8</v>
      </c>
      <c r="K54" s="44"/>
      <c r="L54" s="46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8.0</v>
      </c>
      <c r="F55" s="48">
        <v>0.0</v>
      </c>
      <c r="G55" s="49"/>
      <c r="H55" s="49">
        <f t="shared" si="1"/>
        <v>8</v>
      </c>
      <c r="I55" s="50">
        <v>0.0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6.0</v>
      </c>
      <c r="F58" s="48">
        <v>2.0</v>
      </c>
      <c r="G58" s="49"/>
      <c r="H58" s="49">
        <f t="shared" si="1"/>
        <v>8</v>
      </c>
      <c r="I58" s="50">
        <v>0.0</v>
      </c>
      <c r="J58" s="51">
        <f t="shared" si="2"/>
        <v>8</v>
      </c>
      <c r="K58" s="44"/>
      <c r="L58" s="46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8.0</v>
      </c>
      <c r="F59" s="48">
        <v>0.0</v>
      </c>
      <c r="G59" s="49"/>
      <c r="H59" s="49">
        <f t="shared" si="1"/>
        <v>8</v>
      </c>
      <c r="I59" s="50">
        <v>0.0</v>
      </c>
      <c r="J59" s="51">
        <f t="shared" si="2"/>
        <v>8</v>
      </c>
      <c r="K59" s="44"/>
      <c r="L59" s="46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6.0</v>
      </c>
      <c r="F60" s="48">
        <v>0.0</v>
      </c>
      <c r="G60" s="49"/>
      <c r="H60" s="49">
        <f t="shared" si="1"/>
        <v>6</v>
      </c>
      <c r="I60" s="50">
        <v>0.0</v>
      </c>
      <c r="J60" s="51">
        <f t="shared" si="2"/>
        <v>6</v>
      </c>
      <c r="K60" s="44"/>
      <c r="L60" s="46">
        <f t="shared" si="3"/>
        <v>6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8"/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8.0</v>
      </c>
      <c r="F62" s="48">
        <v>2.0</v>
      </c>
      <c r="G62" s="48"/>
      <c r="H62" s="49">
        <f t="shared" si="1"/>
        <v>10</v>
      </c>
      <c r="I62" s="50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8.0</v>
      </c>
      <c r="F63" s="48">
        <v>2.0</v>
      </c>
      <c r="G63" s="48"/>
      <c r="H63" s="49">
        <f t="shared" si="1"/>
        <v>10</v>
      </c>
      <c r="I63" s="48">
        <v>0.0</v>
      </c>
      <c r="J63" s="51">
        <f t="shared" si="2"/>
        <v>10</v>
      </c>
      <c r="K63" s="44"/>
      <c r="L63" s="46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8.0</v>
      </c>
      <c r="F64" s="48">
        <v>1.0</v>
      </c>
      <c r="G64" s="49"/>
      <c r="H64" s="49">
        <f t="shared" si="1"/>
        <v>9</v>
      </c>
      <c r="I64" s="48">
        <v>1.0</v>
      </c>
      <c r="J64" s="51">
        <f t="shared" si="2"/>
        <v>9</v>
      </c>
      <c r="K64" s="44"/>
      <c r="L64" s="46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9"/>
      <c r="H65" s="49">
        <f t="shared" si="1"/>
        <v>10</v>
      </c>
      <c r="I65" s="50">
        <v>1.0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5" t="s">
        <v>151</v>
      </c>
      <c r="E66" s="48">
        <v>8.0</v>
      </c>
      <c r="F66" s="48">
        <v>2.0</v>
      </c>
      <c r="G66" s="48"/>
      <c r="H66" s="49">
        <f t="shared" si="1"/>
        <v>10</v>
      </c>
      <c r="I66" s="48">
        <v>1.0</v>
      </c>
      <c r="J66" s="51">
        <f t="shared" si="2"/>
        <v>10</v>
      </c>
      <c r="K66" s="44"/>
      <c r="L66" s="46">
        <f t="shared" si="3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5" t="s">
        <v>110</v>
      </c>
      <c r="E67" s="48">
        <v>7.0</v>
      </c>
      <c r="F67" s="48">
        <v>0.0</v>
      </c>
      <c r="G67" s="49"/>
      <c r="H67" s="49">
        <f t="shared" si="1"/>
        <v>7</v>
      </c>
      <c r="I67" s="48">
        <v>0.0</v>
      </c>
      <c r="J67" s="51">
        <f t="shared" si="2"/>
        <v>7</v>
      </c>
      <c r="K67" s="44"/>
      <c r="L67" s="46">
        <f t="shared" si="3"/>
        <v>7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55" t="s">
        <v>155</v>
      </c>
      <c r="E68" s="48">
        <v>8.0</v>
      </c>
      <c r="F68" s="48">
        <v>1.0</v>
      </c>
      <c r="G68" s="49"/>
      <c r="H68" s="49">
        <f t="shared" si="1"/>
        <v>9</v>
      </c>
      <c r="I68" s="48">
        <v>0.0</v>
      </c>
      <c r="J68" s="51">
        <f t="shared" si="2"/>
        <v>9</v>
      </c>
      <c r="K68" s="44"/>
      <c r="L68" s="46">
        <f t="shared" si="3"/>
        <v>9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55" t="s">
        <v>158</v>
      </c>
      <c r="E69" s="48">
        <v>6.0</v>
      </c>
      <c r="F69" s="48">
        <v>2.0</v>
      </c>
      <c r="G69" s="49"/>
      <c r="H69" s="49">
        <f t="shared" si="1"/>
        <v>8</v>
      </c>
      <c r="I69" s="48">
        <v>0.0</v>
      </c>
      <c r="J69" s="51">
        <f t="shared" si="2"/>
        <v>8</v>
      </c>
      <c r="K69" s="44"/>
      <c r="L69" s="46">
        <f t="shared" si="3"/>
        <v>8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8.0</v>
      </c>
      <c r="F70" s="48">
        <v>2.0</v>
      </c>
      <c r="G70" s="49"/>
      <c r="H70" s="49">
        <f t="shared" si="1"/>
        <v>10</v>
      </c>
      <c r="I70" s="50">
        <v>0.0</v>
      </c>
      <c r="J70" s="51">
        <f t="shared" si="2"/>
        <v>10</v>
      </c>
      <c r="K70" s="44"/>
      <c r="L70" s="56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45" t="s">
        <v>161</v>
      </c>
      <c r="E71" s="48">
        <v>8.0</v>
      </c>
      <c r="F71" s="48">
        <v>2.0</v>
      </c>
      <c r="G71" s="49"/>
      <c r="H71" s="49">
        <f t="shared" si="1"/>
        <v>10</v>
      </c>
      <c r="I71" s="48">
        <v>0.0</v>
      </c>
      <c r="J71" s="51">
        <f t="shared" si="2"/>
        <v>10</v>
      </c>
      <c r="K71" s="44"/>
      <c r="L71" s="56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6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5" t="s">
        <v>165</v>
      </c>
      <c r="K73" s="66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7" t="s">
        <v>167</v>
      </c>
      <c r="C74" s="68"/>
      <c r="D74" s="69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168</v>
      </c>
      <c r="C75" s="68"/>
      <c r="D75" s="70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7" t="s">
        <v>169</v>
      </c>
      <c r="C76" s="68"/>
      <c r="D76" s="70">
        <f>COUNTIF(J17:J71,"&gt;=6")</f>
        <v>55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7" t="s">
        <v>170</v>
      </c>
      <c r="C77" s="68"/>
      <c r="D77" s="70">
        <f>D75-D76</f>
        <v>0</v>
      </c>
      <c r="E77" s="1"/>
      <c r="F77" s="71"/>
      <c r="G77" s="1"/>
      <c r="H77" s="71"/>
      <c r="I77" s="71"/>
      <c r="J77" s="71"/>
      <c r="K77" s="72"/>
      <c r="L77" s="1"/>
      <c r="M77" s="1"/>
      <c r="N77" s="1"/>
      <c r="O77" s="2"/>
      <c r="P77" s="2"/>
      <c r="Q77" s="2"/>
    </row>
    <row r="78" ht="36.0" customHeight="1">
      <c r="A78" s="60"/>
      <c r="B78" s="73" t="s">
        <v>171</v>
      </c>
      <c r="C78" s="68"/>
      <c r="D78" s="74">
        <f>D76*100/D75</f>
        <v>100</v>
      </c>
      <c r="E78" s="1"/>
      <c r="F78" s="75" t="s">
        <v>172</v>
      </c>
      <c r="G78" s="1"/>
      <c r="H78" s="76" t="s">
        <v>173</v>
      </c>
      <c r="J78" s="77" t="s">
        <v>174</v>
      </c>
      <c r="K78" s="78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9" t="s">
        <v>176</v>
      </c>
      <c r="C79" s="80"/>
      <c r="D79" s="81">
        <f>AVERAGE(J17:J71)</f>
        <v>8.836363636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2"/>
      <c r="B80" s="2"/>
      <c r="C80" s="2"/>
      <c r="D80" s="2"/>
      <c r="E80" s="2"/>
      <c r="F80" s="2"/>
      <c r="G80" s="2"/>
      <c r="H80" s="2"/>
      <c r="I80" s="2"/>
      <c r="J80" s="2"/>
      <c r="K80" s="83"/>
      <c r="L80" s="2"/>
      <c r="M80" s="2"/>
      <c r="N80" s="2"/>
      <c r="O80" s="2"/>
      <c r="P80" s="2"/>
      <c r="Q80" s="2"/>
    </row>
    <row r="81" ht="13.5" customHeight="1">
      <c r="A81" s="84"/>
      <c r="B81" s="85"/>
      <c r="C81" s="86"/>
      <c r="D81" s="86"/>
      <c r="E81" s="87"/>
      <c r="G81" s="87"/>
      <c r="H81" s="87"/>
      <c r="I81" s="87"/>
      <c r="J81" s="87"/>
      <c r="K81" s="88"/>
      <c r="L81" s="87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3.5" customHeight="1">
      <c r="A83" s="89"/>
      <c r="B83" s="87"/>
      <c r="C83" s="87"/>
      <c r="D83" s="87"/>
      <c r="E83" s="87"/>
      <c r="F83" s="2"/>
      <c r="G83" s="2"/>
      <c r="H83" s="2"/>
      <c r="I83" s="2"/>
      <c r="J83" s="2"/>
      <c r="K83" s="83"/>
      <c r="L83" s="2"/>
      <c r="M83" s="2"/>
      <c r="N83" s="2"/>
      <c r="O83" s="2"/>
      <c r="P83" s="2"/>
      <c r="Q83" s="2"/>
    </row>
    <row r="84" ht="14.25" customHeight="1">
      <c r="A84" s="91"/>
      <c r="B84" s="92"/>
      <c r="C84" s="92"/>
      <c r="D84" s="92"/>
      <c r="E84" s="92"/>
      <c r="F84" s="93"/>
      <c r="G84" s="93"/>
      <c r="H84" s="93"/>
      <c r="I84" s="93"/>
      <c r="J84" s="93"/>
      <c r="K84" s="94"/>
      <c r="L84" s="2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  <row r="86" ht="14.25" customHeight="1">
      <c r="A86" s="2"/>
      <c r="B86" s="87"/>
      <c r="C86" s="87"/>
      <c r="D86" s="87"/>
      <c r="E86" s="87"/>
      <c r="F86" s="2"/>
      <c r="G86" s="2"/>
      <c r="H86" s="2"/>
      <c r="I86" s="2"/>
      <c r="J86" s="95"/>
      <c r="K86" s="95"/>
      <c r="L86" s="95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1" priority="2" stopIfTrue="1" operator="equal">
      <formula>5</formula>
    </cfRule>
  </conditionalFormatting>
  <conditionalFormatting sqref="J17:J7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6" t="s">
        <v>177</v>
      </c>
      <c r="C17" s="46" t="s">
        <v>138</v>
      </c>
      <c r="D17" s="96" t="s">
        <v>178</v>
      </c>
      <c r="E17" s="48">
        <v>7.0</v>
      </c>
      <c r="F17" s="48">
        <v>0.0</v>
      </c>
      <c r="G17" s="49"/>
      <c r="H17" s="49">
        <f t="shared" ref="H17:H70" si="1">SUM(E17:G17)</f>
        <v>7</v>
      </c>
      <c r="I17" s="50">
        <v>1.0</v>
      </c>
      <c r="J17" s="51">
        <f t="shared" ref="J17:J70" si="2">IF(H17&lt;6, 5, MIN(ROUND(H17, 0), 10))</f>
        <v>7</v>
      </c>
      <c r="K17" s="44"/>
      <c r="L17" s="52">
        <f t="shared" ref="L17:L68" si="3">IF(H17&gt;=6,ROUND(H17,0),TRUNC(H17,0))</f>
        <v>7</v>
      </c>
      <c r="M17" s="54" t="s">
        <v>28</v>
      </c>
      <c r="N17" s="50">
        <v>4.0</v>
      </c>
      <c r="O17" s="2"/>
      <c r="P17" s="2"/>
      <c r="Q17" s="2"/>
    </row>
    <row r="18" ht="24.75" customHeight="1">
      <c r="A18" s="50">
        <v>2.0</v>
      </c>
      <c r="B18" s="46" t="s">
        <v>179</v>
      </c>
      <c r="C18" s="46" t="s">
        <v>56</v>
      </c>
      <c r="D18" s="96" t="s">
        <v>180</v>
      </c>
      <c r="E18" s="48">
        <v>6.0</v>
      </c>
      <c r="F18" s="48">
        <v>0.0</v>
      </c>
      <c r="G18" s="49"/>
      <c r="H18" s="49">
        <f t="shared" si="1"/>
        <v>6</v>
      </c>
      <c r="I18" s="50">
        <v>3.0</v>
      </c>
      <c r="J18" s="51">
        <f t="shared" si="2"/>
        <v>6</v>
      </c>
      <c r="K18" s="44"/>
      <c r="L18" s="52">
        <f t="shared" si="3"/>
        <v>6</v>
      </c>
      <c r="M18" s="54" t="s">
        <v>32</v>
      </c>
      <c r="N18" s="50">
        <v>8.0</v>
      </c>
      <c r="O18" s="2"/>
      <c r="P18" s="2"/>
      <c r="Q18" s="2"/>
    </row>
    <row r="19" ht="24.75" customHeight="1">
      <c r="A19" s="50">
        <v>3.0</v>
      </c>
      <c r="B19" s="46" t="s">
        <v>179</v>
      </c>
      <c r="C19" s="46" t="s">
        <v>138</v>
      </c>
      <c r="D19" s="96" t="s">
        <v>110</v>
      </c>
      <c r="E19" s="48">
        <v>8.0</v>
      </c>
      <c r="F19" s="48">
        <v>1.0</v>
      </c>
      <c r="G19" s="49"/>
      <c r="H19" s="49">
        <f t="shared" si="1"/>
        <v>9</v>
      </c>
      <c r="I19" s="50">
        <v>1.0</v>
      </c>
      <c r="J19" s="51">
        <f t="shared" si="2"/>
        <v>9</v>
      </c>
      <c r="K19" s="44"/>
      <c r="L19" s="52">
        <f t="shared" si="3"/>
        <v>9</v>
      </c>
      <c r="M19" s="54" t="s">
        <v>36</v>
      </c>
      <c r="N19" s="50">
        <v>6.0</v>
      </c>
      <c r="O19" s="2"/>
      <c r="P19" s="2"/>
      <c r="Q19" s="2"/>
    </row>
    <row r="20" ht="24.75" customHeight="1">
      <c r="A20" s="50">
        <v>4.0</v>
      </c>
      <c r="B20" s="46" t="s">
        <v>181</v>
      </c>
      <c r="C20" s="46" t="s">
        <v>182</v>
      </c>
      <c r="D20" s="96" t="s">
        <v>183</v>
      </c>
      <c r="E20" s="48">
        <v>8.0</v>
      </c>
      <c r="F20" s="48">
        <v>2.0</v>
      </c>
      <c r="G20" s="48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40</v>
      </c>
      <c r="N20" s="50">
        <v>6.0</v>
      </c>
      <c r="O20" s="2"/>
      <c r="P20" s="2"/>
      <c r="Q20" s="2"/>
    </row>
    <row r="21" ht="24.75" customHeight="1">
      <c r="A21" s="50">
        <v>5.0</v>
      </c>
      <c r="B21" s="46" t="s">
        <v>184</v>
      </c>
      <c r="C21" s="46" t="s">
        <v>75</v>
      </c>
      <c r="D21" s="96" t="s">
        <v>185</v>
      </c>
      <c r="E21" s="48">
        <v>8.0</v>
      </c>
      <c r="F21" s="48">
        <v>2.0</v>
      </c>
      <c r="G21" s="48"/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44</v>
      </c>
      <c r="N21" s="50">
        <v>8.0</v>
      </c>
      <c r="O21" s="2"/>
      <c r="P21" s="2"/>
      <c r="Q21" s="2"/>
    </row>
    <row r="22" ht="24.75" customHeight="1">
      <c r="A22" s="50">
        <v>6.0</v>
      </c>
      <c r="B22" s="46" t="s">
        <v>186</v>
      </c>
      <c r="C22" s="46" t="s">
        <v>187</v>
      </c>
      <c r="D22" s="47" t="s">
        <v>188</v>
      </c>
      <c r="E22" s="48">
        <v>7.0</v>
      </c>
      <c r="F22" s="48">
        <v>1.0</v>
      </c>
      <c r="G22" s="49"/>
      <c r="H22" s="49">
        <f t="shared" si="1"/>
        <v>8</v>
      </c>
      <c r="I22" s="50">
        <v>0.0</v>
      </c>
      <c r="J22" s="51">
        <f t="shared" si="2"/>
        <v>8</v>
      </c>
      <c r="K22" s="44"/>
      <c r="L22" s="52">
        <f t="shared" si="3"/>
        <v>8</v>
      </c>
      <c r="M22" s="54" t="s">
        <v>48</v>
      </c>
      <c r="N22" s="50">
        <v>4.0</v>
      </c>
      <c r="O22" s="2"/>
      <c r="P22" s="2"/>
      <c r="Q22" s="2"/>
    </row>
    <row r="23" ht="24.75" customHeight="1">
      <c r="A23" s="50">
        <v>7.0</v>
      </c>
      <c r="B23" s="46" t="s">
        <v>189</v>
      </c>
      <c r="C23" s="46" t="s">
        <v>82</v>
      </c>
      <c r="D23" s="96" t="s">
        <v>190</v>
      </c>
      <c r="E23" s="48">
        <v>7.0</v>
      </c>
      <c r="F23" s="48">
        <v>1.0</v>
      </c>
      <c r="G23" s="49"/>
      <c r="H23" s="49">
        <f t="shared" si="1"/>
        <v>8</v>
      </c>
      <c r="I23" s="50">
        <v>0.0</v>
      </c>
      <c r="J23" s="51">
        <f t="shared" si="2"/>
        <v>8</v>
      </c>
      <c r="K23" s="44"/>
      <c r="L23" s="52">
        <f t="shared" si="3"/>
        <v>8</v>
      </c>
      <c r="M23" s="54" t="s">
        <v>52</v>
      </c>
      <c r="N23" s="54">
        <f>SUM(N17:N22)</f>
        <v>36</v>
      </c>
      <c r="O23" s="2"/>
      <c r="P23" s="2"/>
      <c r="Q23" s="2"/>
    </row>
    <row r="24" ht="24.75" customHeight="1">
      <c r="A24" s="50">
        <v>8.0</v>
      </c>
      <c r="B24" s="46" t="s">
        <v>191</v>
      </c>
      <c r="C24" s="46" t="s">
        <v>99</v>
      </c>
      <c r="D24" s="96" t="s">
        <v>192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f t="shared" si="2"/>
        <v>10</v>
      </c>
      <c r="K24" s="44"/>
      <c r="L24" s="52">
        <f t="shared" si="3"/>
        <v>10</v>
      </c>
      <c r="M24" s="1"/>
      <c r="N24" s="1"/>
      <c r="O24" s="2"/>
      <c r="P24" s="2"/>
      <c r="Q24" s="2"/>
    </row>
    <row r="25" ht="24.75" customHeight="1">
      <c r="A25" s="50">
        <v>9.0</v>
      </c>
      <c r="B25" s="46" t="s">
        <v>193</v>
      </c>
      <c r="C25" s="46" t="s">
        <v>82</v>
      </c>
      <c r="D25" s="96" t="s">
        <v>194</v>
      </c>
      <c r="E25" s="48">
        <v>6.0</v>
      </c>
      <c r="F25" s="48">
        <v>0.0</v>
      </c>
      <c r="G25" s="48"/>
      <c r="H25" s="49">
        <f t="shared" si="1"/>
        <v>6</v>
      </c>
      <c r="I25" s="50">
        <v>1.0</v>
      </c>
      <c r="J25" s="51">
        <f t="shared" si="2"/>
        <v>6</v>
      </c>
      <c r="K25" s="44"/>
      <c r="L25" s="52">
        <f t="shared" si="3"/>
        <v>6</v>
      </c>
      <c r="M25" s="1"/>
      <c r="N25" s="1"/>
      <c r="O25" s="2"/>
      <c r="P25" s="2"/>
      <c r="Q25" s="2"/>
    </row>
    <row r="26" ht="24.75" customHeight="1">
      <c r="A26" s="50">
        <v>10.0</v>
      </c>
      <c r="B26" s="46" t="s">
        <v>58</v>
      </c>
      <c r="C26" s="46" t="s">
        <v>195</v>
      </c>
      <c r="D26" s="46" t="s">
        <v>196</v>
      </c>
      <c r="E26" s="48">
        <v>6.0</v>
      </c>
      <c r="F26" s="48">
        <v>0.0</v>
      </c>
      <c r="G26" s="49"/>
      <c r="H26" s="49">
        <f t="shared" si="1"/>
        <v>6</v>
      </c>
      <c r="I26" s="50">
        <v>0.0</v>
      </c>
      <c r="J26" s="51">
        <f t="shared" si="2"/>
        <v>6</v>
      </c>
      <c r="K26" s="44"/>
      <c r="L26" s="52">
        <f t="shared" si="3"/>
        <v>6</v>
      </c>
      <c r="M26" s="1"/>
      <c r="N26" s="1"/>
      <c r="O26" s="2"/>
      <c r="P26" s="2"/>
      <c r="Q26" s="2"/>
    </row>
    <row r="27" ht="24.75" customHeight="1">
      <c r="A27" s="50">
        <v>11.0</v>
      </c>
      <c r="B27" s="46" t="s">
        <v>197</v>
      </c>
      <c r="C27" s="46" t="s">
        <v>42</v>
      </c>
      <c r="D27" s="96" t="s">
        <v>198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6" t="s">
        <v>61</v>
      </c>
      <c r="C28" s="46" t="s">
        <v>199</v>
      </c>
      <c r="D28" s="96" t="s">
        <v>200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6" t="s">
        <v>61</v>
      </c>
      <c r="C29" s="46" t="s">
        <v>201</v>
      </c>
      <c r="D29" s="96" t="s">
        <v>202</v>
      </c>
      <c r="E29" s="48">
        <v>8.0</v>
      </c>
      <c r="F29" s="48">
        <v>1.0</v>
      </c>
      <c r="G29" s="49"/>
      <c r="H29" s="49">
        <f t="shared" si="1"/>
        <v>9</v>
      </c>
      <c r="I29" s="50">
        <v>0.0</v>
      </c>
      <c r="J29" s="51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50">
        <v>14.0</v>
      </c>
      <c r="B30" s="46" t="s">
        <v>203</v>
      </c>
      <c r="C30" s="46" t="s">
        <v>67</v>
      </c>
      <c r="D30" s="96" t="s">
        <v>204</v>
      </c>
      <c r="E30" s="48">
        <v>8.0</v>
      </c>
      <c r="F30" s="48">
        <v>2.0</v>
      </c>
      <c r="G30" s="48"/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50">
        <v>15.0</v>
      </c>
      <c r="B31" s="46" t="s">
        <v>205</v>
      </c>
      <c r="C31" s="46" t="s">
        <v>46</v>
      </c>
      <c r="D31" s="96" t="s">
        <v>206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6" t="s">
        <v>72</v>
      </c>
      <c r="C32" s="46" t="s">
        <v>76</v>
      </c>
      <c r="D32" s="96" t="s">
        <v>207</v>
      </c>
      <c r="E32" s="48">
        <v>8.0</v>
      </c>
      <c r="F32" s="48">
        <v>0.0</v>
      </c>
      <c r="G32" s="49"/>
      <c r="H32" s="49">
        <f t="shared" si="1"/>
        <v>8</v>
      </c>
      <c r="I32" s="50">
        <v>1.0</v>
      </c>
      <c r="J32" s="51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50">
        <v>17.0</v>
      </c>
      <c r="B33" s="46" t="s">
        <v>208</v>
      </c>
      <c r="C33" s="46" t="s">
        <v>138</v>
      </c>
      <c r="D33" s="96" t="s">
        <v>209</v>
      </c>
      <c r="E33" s="48">
        <v>8.0</v>
      </c>
      <c r="F33" s="48">
        <v>2.0</v>
      </c>
      <c r="G33" s="48"/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50">
        <v>18.0</v>
      </c>
      <c r="B34" s="46" t="s">
        <v>75</v>
      </c>
      <c r="C34" s="46" t="s">
        <v>210</v>
      </c>
      <c r="D34" s="96" t="s">
        <v>211</v>
      </c>
      <c r="E34" s="48">
        <v>8.0</v>
      </c>
      <c r="F34" s="48">
        <v>0.0</v>
      </c>
      <c r="G34" s="49"/>
      <c r="H34" s="49">
        <f t="shared" si="1"/>
        <v>8</v>
      </c>
      <c r="I34" s="50">
        <v>0.0</v>
      </c>
      <c r="J34" s="51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50">
        <v>19.0</v>
      </c>
      <c r="B35" s="46" t="s">
        <v>75</v>
      </c>
      <c r="C35" s="46" t="s">
        <v>46</v>
      </c>
      <c r="D35" s="96" t="s">
        <v>212</v>
      </c>
      <c r="E35" s="48">
        <v>8.0</v>
      </c>
      <c r="F35" s="48">
        <v>0.0</v>
      </c>
      <c r="G35" s="48"/>
      <c r="H35" s="49">
        <f t="shared" si="1"/>
        <v>8</v>
      </c>
      <c r="I35" s="50">
        <v>0.0</v>
      </c>
      <c r="J35" s="51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50">
        <v>20.0</v>
      </c>
      <c r="B36" s="46" t="s">
        <v>95</v>
      </c>
      <c r="C36" s="46" t="s">
        <v>95</v>
      </c>
      <c r="D36" s="96" t="s">
        <v>213</v>
      </c>
      <c r="E36" s="48">
        <v>8.0</v>
      </c>
      <c r="F36" s="48">
        <v>2.0</v>
      </c>
      <c r="G36" s="48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50">
        <v>21.0</v>
      </c>
      <c r="B37" s="46" t="s">
        <v>95</v>
      </c>
      <c r="C37" s="46" t="s">
        <v>156</v>
      </c>
      <c r="D37" s="96" t="s">
        <v>214</v>
      </c>
      <c r="E37" s="48">
        <v>6.0</v>
      </c>
      <c r="F37" s="48">
        <v>2.0</v>
      </c>
      <c r="G37" s="48"/>
      <c r="H37" s="49">
        <f t="shared" si="1"/>
        <v>8</v>
      </c>
      <c r="I37" s="50">
        <v>0.0</v>
      </c>
      <c r="J37" s="51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50">
        <v>22.0</v>
      </c>
      <c r="B38" s="46" t="s">
        <v>22</v>
      </c>
      <c r="C38" s="46" t="s">
        <v>82</v>
      </c>
      <c r="D38" s="96" t="s">
        <v>215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50">
        <v>23.0</v>
      </c>
      <c r="B39" s="46" t="s">
        <v>22</v>
      </c>
      <c r="C39" s="46" t="s">
        <v>82</v>
      </c>
      <c r="D39" s="47" t="s">
        <v>216</v>
      </c>
      <c r="E39" s="48">
        <v>6.0</v>
      </c>
      <c r="F39" s="48">
        <v>0.0</v>
      </c>
      <c r="G39" s="49"/>
      <c r="H39" s="49">
        <f t="shared" si="1"/>
        <v>6</v>
      </c>
      <c r="I39" s="50">
        <v>1.0</v>
      </c>
      <c r="J39" s="51">
        <f t="shared" si="2"/>
        <v>6</v>
      </c>
      <c r="K39" s="44"/>
      <c r="L39" s="52">
        <f t="shared" si="3"/>
        <v>6</v>
      </c>
      <c r="M39" s="1"/>
      <c r="N39" s="1"/>
      <c r="O39" s="2"/>
      <c r="P39" s="2"/>
      <c r="Q39" s="2"/>
    </row>
    <row r="40" ht="24.75" customHeight="1">
      <c r="A40" s="50">
        <v>24.0</v>
      </c>
      <c r="B40" s="46" t="s">
        <v>217</v>
      </c>
      <c r="C40" s="46" t="s">
        <v>147</v>
      </c>
      <c r="D40" s="96" t="s">
        <v>218</v>
      </c>
      <c r="E40" s="48">
        <v>7.0</v>
      </c>
      <c r="F40" s="48">
        <v>0.0</v>
      </c>
      <c r="G40" s="49"/>
      <c r="H40" s="49">
        <f t="shared" si="1"/>
        <v>7</v>
      </c>
      <c r="I40" s="50">
        <v>0.0</v>
      </c>
      <c r="J40" s="51">
        <f t="shared" si="2"/>
        <v>7</v>
      </c>
      <c r="K40" s="44"/>
      <c r="L40" s="52">
        <f t="shared" si="3"/>
        <v>7</v>
      </c>
      <c r="M40" s="1"/>
      <c r="N40" s="1"/>
      <c r="O40" s="2"/>
      <c r="P40" s="2"/>
      <c r="Q40" s="2"/>
    </row>
    <row r="41" ht="24.75" customHeight="1">
      <c r="A41" s="50">
        <v>25.0</v>
      </c>
      <c r="B41" s="46" t="s">
        <v>22</v>
      </c>
      <c r="C41" s="46" t="s">
        <v>219</v>
      </c>
      <c r="D41" s="47" t="s">
        <v>220</v>
      </c>
      <c r="E41" s="48">
        <v>6.0</v>
      </c>
      <c r="F41" s="48">
        <v>0.0</v>
      </c>
      <c r="G41" s="49"/>
      <c r="H41" s="49">
        <f t="shared" si="1"/>
        <v>6</v>
      </c>
      <c r="I41" s="50">
        <v>2.0</v>
      </c>
      <c r="J41" s="51">
        <f t="shared" si="2"/>
        <v>6</v>
      </c>
      <c r="K41" s="44"/>
      <c r="L41" s="52">
        <f t="shared" si="3"/>
        <v>6</v>
      </c>
      <c r="M41" s="1"/>
      <c r="N41" s="1"/>
      <c r="O41" s="2"/>
      <c r="P41" s="2"/>
      <c r="Q41" s="2"/>
    </row>
    <row r="42" ht="24.75" customHeight="1">
      <c r="A42" s="50">
        <v>26.0</v>
      </c>
      <c r="B42" s="46" t="s">
        <v>147</v>
      </c>
      <c r="C42" s="46" t="s">
        <v>221</v>
      </c>
      <c r="D42" s="96" t="s">
        <v>222</v>
      </c>
      <c r="E42" s="48">
        <v>8.0</v>
      </c>
      <c r="F42" s="48">
        <v>1.0</v>
      </c>
      <c r="G42" s="49"/>
      <c r="H42" s="49">
        <f t="shared" si="1"/>
        <v>9</v>
      </c>
      <c r="I42" s="50">
        <v>0.0</v>
      </c>
      <c r="J42" s="51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50">
        <v>27.0</v>
      </c>
      <c r="B43" s="46" t="s">
        <v>223</v>
      </c>
      <c r="C43" s="46" t="s">
        <v>22</v>
      </c>
      <c r="D43" s="96" t="s">
        <v>224</v>
      </c>
      <c r="E43" s="48">
        <v>6.0</v>
      </c>
      <c r="F43" s="48">
        <v>0.0</v>
      </c>
      <c r="G43" s="48"/>
      <c r="H43" s="49">
        <f t="shared" si="1"/>
        <v>6</v>
      </c>
      <c r="I43" s="50">
        <v>0.0</v>
      </c>
      <c r="J43" s="51">
        <f t="shared" si="2"/>
        <v>6</v>
      </c>
      <c r="K43" s="44"/>
      <c r="L43" s="52">
        <f t="shared" si="3"/>
        <v>6</v>
      </c>
      <c r="M43" s="1"/>
      <c r="N43" s="1"/>
      <c r="O43" s="2"/>
      <c r="P43" s="2"/>
      <c r="Q43" s="2"/>
    </row>
    <row r="44" ht="24.75" customHeight="1">
      <c r="A44" s="50">
        <v>28.0</v>
      </c>
      <c r="B44" s="46" t="s">
        <v>225</v>
      </c>
      <c r="C44" s="46" t="s">
        <v>22</v>
      </c>
      <c r="D44" s="96" t="s">
        <v>226</v>
      </c>
      <c r="E44" s="48">
        <v>7.0</v>
      </c>
      <c r="F44" s="48">
        <v>0.0</v>
      </c>
      <c r="G44" s="49"/>
      <c r="H44" s="49">
        <f t="shared" si="1"/>
        <v>7</v>
      </c>
      <c r="I44" s="50">
        <v>0.0</v>
      </c>
      <c r="J44" s="51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50">
        <v>29.0</v>
      </c>
      <c r="B45" s="46" t="s">
        <v>227</v>
      </c>
      <c r="C45" s="46" t="s">
        <v>228</v>
      </c>
      <c r="D45" s="96" t="s">
        <v>229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6" t="s">
        <v>160</v>
      </c>
      <c r="C46" s="45" t="s">
        <v>230</v>
      </c>
      <c r="D46" s="96" t="s">
        <v>231</v>
      </c>
      <c r="E46" s="48">
        <v>6.0</v>
      </c>
      <c r="F46" s="48">
        <v>0.0</v>
      </c>
      <c r="G46" s="48"/>
      <c r="H46" s="49">
        <f t="shared" si="1"/>
        <v>6</v>
      </c>
      <c r="I46" s="50">
        <v>1.0</v>
      </c>
      <c r="J46" s="51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50">
        <v>31.0</v>
      </c>
      <c r="B47" s="46" t="s">
        <v>232</v>
      </c>
      <c r="C47" s="46" t="s">
        <v>233</v>
      </c>
      <c r="D47" s="96" t="s">
        <v>234</v>
      </c>
      <c r="E47" s="48">
        <v>7.0</v>
      </c>
      <c r="F47" s="48">
        <v>2.0</v>
      </c>
      <c r="G47" s="49"/>
      <c r="H47" s="49">
        <f t="shared" si="1"/>
        <v>9</v>
      </c>
      <c r="I47" s="50">
        <v>0.0</v>
      </c>
      <c r="J47" s="51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50">
        <v>32.0</v>
      </c>
      <c r="B48" s="46" t="s">
        <v>90</v>
      </c>
      <c r="C48" s="46" t="s">
        <v>235</v>
      </c>
      <c r="D48" s="96" t="s">
        <v>236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50">
        <v>33.0</v>
      </c>
      <c r="B49" s="46" t="s">
        <v>90</v>
      </c>
      <c r="C49" s="46" t="s">
        <v>237</v>
      </c>
      <c r="D49" s="96" t="s">
        <v>238</v>
      </c>
      <c r="E49" s="48">
        <v>7.0</v>
      </c>
      <c r="F49" s="48">
        <v>0.0</v>
      </c>
      <c r="G49" s="49"/>
      <c r="H49" s="49">
        <f t="shared" si="1"/>
        <v>7</v>
      </c>
      <c r="I49" s="50">
        <v>0.0</v>
      </c>
      <c r="J49" s="51">
        <f t="shared" si="2"/>
        <v>7</v>
      </c>
      <c r="K49" s="44"/>
      <c r="L49" s="52">
        <f t="shared" si="3"/>
        <v>7</v>
      </c>
      <c r="M49" s="1"/>
      <c r="N49" s="1"/>
      <c r="O49" s="2"/>
      <c r="P49" s="2"/>
      <c r="Q49" s="2"/>
    </row>
    <row r="50" ht="24.75" customHeight="1">
      <c r="A50" s="50">
        <v>34.0</v>
      </c>
      <c r="B50" s="46" t="s">
        <v>56</v>
      </c>
      <c r="C50" s="46" t="s">
        <v>239</v>
      </c>
      <c r="D50" s="96" t="s">
        <v>240</v>
      </c>
      <c r="E50" s="48">
        <v>6.0</v>
      </c>
      <c r="F50" s="48">
        <v>2.0</v>
      </c>
      <c r="G50" s="49"/>
      <c r="H50" s="49">
        <f t="shared" si="1"/>
        <v>8</v>
      </c>
      <c r="I50" s="50">
        <v>1.0</v>
      </c>
      <c r="J50" s="51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50">
        <v>35.0</v>
      </c>
      <c r="B51" s="46" t="s">
        <v>56</v>
      </c>
      <c r="C51" s="46" t="s">
        <v>241</v>
      </c>
      <c r="D51" s="96" t="s">
        <v>242</v>
      </c>
      <c r="E51" s="48">
        <v>7.0</v>
      </c>
      <c r="F51" s="48">
        <v>0.0</v>
      </c>
      <c r="G51" s="49"/>
      <c r="H51" s="49">
        <f t="shared" si="1"/>
        <v>7</v>
      </c>
      <c r="I51" s="50">
        <v>2.0</v>
      </c>
      <c r="J51" s="51">
        <f t="shared" si="2"/>
        <v>7</v>
      </c>
      <c r="K51" s="44"/>
      <c r="L51" s="46">
        <f t="shared" si="3"/>
        <v>7</v>
      </c>
      <c r="M51" s="1"/>
      <c r="N51" s="1"/>
      <c r="O51" s="2"/>
      <c r="P51" s="2"/>
      <c r="Q51" s="2"/>
    </row>
    <row r="52" ht="24.75" customHeight="1">
      <c r="A52" s="50">
        <v>36.0</v>
      </c>
      <c r="B52" s="46" t="s">
        <v>243</v>
      </c>
      <c r="C52" s="46" t="s">
        <v>244</v>
      </c>
      <c r="D52" s="96" t="s">
        <v>245</v>
      </c>
      <c r="E52" s="48">
        <v>6.0</v>
      </c>
      <c r="F52" s="48">
        <v>2.0</v>
      </c>
      <c r="G52" s="49"/>
      <c r="H52" s="49">
        <f t="shared" si="1"/>
        <v>8</v>
      </c>
      <c r="I52" s="50">
        <v>0.0</v>
      </c>
      <c r="J52" s="51">
        <f t="shared" si="2"/>
        <v>8</v>
      </c>
      <c r="K52" s="44"/>
      <c r="L52" s="46">
        <f t="shared" si="3"/>
        <v>8</v>
      </c>
      <c r="M52" s="1"/>
      <c r="N52" s="1"/>
      <c r="O52" s="2"/>
      <c r="P52" s="2"/>
      <c r="Q52" s="2"/>
    </row>
    <row r="53" ht="24.75" customHeight="1">
      <c r="A53" s="50">
        <v>37.0</v>
      </c>
      <c r="B53" s="46" t="s">
        <v>129</v>
      </c>
      <c r="C53" s="46" t="s">
        <v>246</v>
      </c>
      <c r="D53" s="96" t="s">
        <v>247</v>
      </c>
      <c r="E53" s="48">
        <v>6.0</v>
      </c>
      <c r="F53" s="48">
        <v>0.0</v>
      </c>
      <c r="G53" s="48"/>
      <c r="H53" s="49">
        <f t="shared" si="1"/>
        <v>6</v>
      </c>
      <c r="I53" s="50">
        <v>1.0</v>
      </c>
      <c r="J53" s="51">
        <f t="shared" si="2"/>
        <v>6</v>
      </c>
      <c r="K53" s="44"/>
      <c r="L53" s="46">
        <f t="shared" si="3"/>
        <v>6</v>
      </c>
      <c r="M53" s="1"/>
      <c r="N53" s="1"/>
      <c r="O53" s="2"/>
      <c r="P53" s="2"/>
      <c r="Q53" s="2"/>
    </row>
    <row r="54" ht="24.75" customHeight="1">
      <c r="A54" s="50">
        <v>38.0</v>
      </c>
      <c r="B54" s="46" t="s">
        <v>99</v>
      </c>
      <c r="C54" s="46" t="s">
        <v>248</v>
      </c>
      <c r="D54" s="96" t="s">
        <v>249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50">
        <v>39.0</v>
      </c>
      <c r="B55" s="46" t="s">
        <v>250</v>
      </c>
      <c r="C55" s="46" t="s">
        <v>251</v>
      </c>
      <c r="D55" s="96" t="s">
        <v>252</v>
      </c>
      <c r="E55" s="48">
        <v>8.0</v>
      </c>
      <c r="F55" s="48">
        <v>0.0</v>
      </c>
      <c r="G55" s="49"/>
      <c r="H55" s="49">
        <f t="shared" si="1"/>
        <v>8</v>
      </c>
      <c r="I55" s="50">
        <v>1.0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50">
        <v>40.0</v>
      </c>
      <c r="B56" s="46" t="s">
        <v>210</v>
      </c>
      <c r="C56" s="46" t="s">
        <v>22</v>
      </c>
      <c r="D56" s="96" t="s">
        <v>253</v>
      </c>
      <c r="E56" s="48">
        <v>7.0</v>
      </c>
      <c r="F56" s="48">
        <v>2.0</v>
      </c>
      <c r="G56" s="49"/>
      <c r="H56" s="49">
        <f t="shared" si="1"/>
        <v>9</v>
      </c>
      <c r="I56" s="50">
        <v>1.0</v>
      </c>
      <c r="J56" s="51">
        <f t="shared" si="2"/>
        <v>9</v>
      </c>
      <c r="K56" s="44"/>
      <c r="L56" s="46">
        <f t="shared" si="3"/>
        <v>9</v>
      </c>
      <c r="M56" s="1"/>
      <c r="N56" s="1"/>
      <c r="O56" s="2"/>
      <c r="P56" s="2"/>
      <c r="Q56" s="2"/>
    </row>
    <row r="57" ht="24.75" customHeight="1">
      <c r="A57" s="50">
        <v>41.0</v>
      </c>
      <c r="B57" s="46" t="s">
        <v>254</v>
      </c>
      <c r="C57" s="46" t="s">
        <v>255</v>
      </c>
      <c r="D57" s="96" t="s">
        <v>256</v>
      </c>
      <c r="E57" s="48">
        <v>8.0</v>
      </c>
      <c r="F57" s="48">
        <v>1.0</v>
      </c>
      <c r="G57" s="49"/>
      <c r="H57" s="49">
        <f t="shared" si="1"/>
        <v>9</v>
      </c>
      <c r="I57" s="50">
        <v>0.0</v>
      </c>
      <c r="J57" s="51">
        <f t="shared" si="2"/>
        <v>9</v>
      </c>
      <c r="K57" s="44"/>
      <c r="L57" s="46">
        <f t="shared" si="3"/>
        <v>9</v>
      </c>
      <c r="M57" s="1"/>
      <c r="N57" s="1"/>
      <c r="O57" s="2"/>
      <c r="P57" s="2"/>
      <c r="Q57" s="2"/>
    </row>
    <row r="58" ht="24.75" customHeight="1">
      <c r="A58" s="50">
        <v>42.0</v>
      </c>
      <c r="B58" s="46" t="s">
        <v>138</v>
      </c>
      <c r="C58" s="46" t="s">
        <v>66</v>
      </c>
      <c r="D58" s="96" t="s">
        <v>257</v>
      </c>
      <c r="E58" s="48">
        <v>8.0</v>
      </c>
      <c r="F58" s="48">
        <v>2.0</v>
      </c>
      <c r="G58" s="48"/>
      <c r="H58" s="49">
        <f t="shared" si="1"/>
        <v>10</v>
      </c>
      <c r="I58" s="50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50">
        <v>43.0</v>
      </c>
      <c r="B59" s="46" t="s">
        <v>138</v>
      </c>
      <c r="C59" s="46" t="s">
        <v>258</v>
      </c>
      <c r="D59" s="96" t="s">
        <v>259</v>
      </c>
      <c r="E59" s="48">
        <v>6.0</v>
      </c>
      <c r="F59" s="48">
        <v>1.0</v>
      </c>
      <c r="G59" s="49"/>
      <c r="H59" s="49">
        <f t="shared" si="1"/>
        <v>7</v>
      </c>
      <c r="I59" s="50">
        <v>1.0</v>
      </c>
      <c r="J59" s="51">
        <f t="shared" si="2"/>
        <v>7</v>
      </c>
      <c r="K59" s="44"/>
      <c r="L59" s="46">
        <f t="shared" si="3"/>
        <v>7</v>
      </c>
      <c r="M59" s="1"/>
      <c r="N59" s="1"/>
      <c r="O59" s="2"/>
      <c r="P59" s="2"/>
      <c r="Q59" s="2"/>
    </row>
    <row r="60" ht="24.75" customHeight="1">
      <c r="A60" s="50">
        <v>44.0</v>
      </c>
      <c r="B60" s="46" t="s">
        <v>87</v>
      </c>
      <c r="C60" s="46" t="s">
        <v>147</v>
      </c>
      <c r="D60" s="47" t="s">
        <v>260</v>
      </c>
      <c r="E60" s="48">
        <v>8.0</v>
      </c>
      <c r="F60" s="48">
        <v>2.0</v>
      </c>
      <c r="G60" s="48"/>
      <c r="H60" s="49">
        <f t="shared" si="1"/>
        <v>10</v>
      </c>
      <c r="I60" s="50">
        <v>0.0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50">
        <v>45.0</v>
      </c>
      <c r="B61" s="46" t="s">
        <v>261</v>
      </c>
      <c r="C61" s="46" t="s">
        <v>82</v>
      </c>
      <c r="D61" s="96" t="s">
        <v>262</v>
      </c>
      <c r="E61" s="48">
        <v>8.0</v>
      </c>
      <c r="F61" s="48">
        <v>1.0</v>
      </c>
      <c r="G61" s="49"/>
      <c r="H61" s="49">
        <f t="shared" si="1"/>
        <v>9</v>
      </c>
      <c r="I61" s="50">
        <v>1.0</v>
      </c>
      <c r="J61" s="51">
        <f t="shared" si="2"/>
        <v>9</v>
      </c>
      <c r="K61" s="44"/>
      <c r="L61" s="46">
        <f t="shared" si="3"/>
        <v>9</v>
      </c>
      <c r="M61" s="1"/>
      <c r="N61" s="1"/>
      <c r="O61" s="2"/>
      <c r="P61" s="2"/>
      <c r="Q61" s="2"/>
    </row>
    <row r="62" ht="24.75" customHeight="1">
      <c r="A62" s="50">
        <v>46.0</v>
      </c>
      <c r="B62" s="46" t="s">
        <v>46</v>
      </c>
      <c r="C62" s="46" t="s">
        <v>263</v>
      </c>
      <c r="D62" s="96" t="s">
        <v>264</v>
      </c>
      <c r="E62" s="48">
        <v>6.0</v>
      </c>
      <c r="F62" s="48">
        <v>1.0</v>
      </c>
      <c r="G62" s="49"/>
      <c r="H62" s="49">
        <f t="shared" si="1"/>
        <v>7</v>
      </c>
      <c r="I62" s="48">
        <v>1.0</v>
      </c>
      <c r="J62" s="51">
        <f t="shared" si="2"/>
        <v>7</v>
      </c>
      <c r="K62" s="44"/>
      <c r="L62" s="46">
        <f t="shared" si="3"/>
        <v>7</v>
      </c>
      <c r="M62" s="1"/>
      <c r="N62" s="1"/>
      <c r="O62" s="2"/>
      <c r="P62" s="2"/>
      <c r="Q62" s="2"/>
    </row>
    <row r="63" ht="24.75" customHeight="1">
      <c r="A63" s="50">
        <v>47.0</v>
      </c>
      <c r="B63" s="46" t="s">
        <v>46</v>
      </c>
      <c r="C63" s="46" t="s">
        <v>265</v>
      </c>
      <c r="D63" s="96" t="s">
        <v>266</v>
      </c>
      <c r="E63" s="48">
        <v>7.0</v>
      </c>
      <c r="F63" s="48">
        <v>2.0</v>
      </c>
      <c r="G63" s="48"/>
      <c r="H63" s="49">
        <f t="shared" si="1"/>
        <v>9</v>
      </c>
      <c r="I63" s="48">
        <v>0.0</v>
      </c>
      <c r="J63" s="51">
        <f t="shared" si="2"/>
        <v>9</v>
      </c>
      <c r="K63" s="44"/>
      <c r="L63" s="46">
        <f t="shared" si="3"/>
        <v>9</v>
      </c>
      <c r="M63" s="1"/>
      <c r="N63" s="1"/>
      <c r="O63" s="2"/>
      <c r="P63" s="2"/>
      <c r="Q63" s="2"/>
    </row>
    <row r="64" ht="24.75" customHeight="1">
      <c r="A64" s="50">
        <v>48.0</v>
      </c>
      <c r="B64" s="46" t="s">
        <v>132</v>
      </c>
      <c r="C64" s="46" t="s">
        <v>267</v>
      </c>
      <c r="D64" s="96" t="s">
        <v>268</v>
      </c>
      <c r="E64" s="48">
        <v>8.0</v>
      </c>
      <c r="F64" s="48">
        <v>2.0</v>
      </c>
      <c r="G64" s="49"/>
      <c r="H64" s="49">
        <f t="shared" si="1"/>
        <v>10</v>
      </c>
      <c r="I64" s="50">
        <v>1.0</v>
      </c>
      <c r="J64" s="51">
        <f t="shared" si="2"/>
        <v>10</v>
      </c>
      <c r="K64" s="44"/>
      <c r="L64" s="46">
        <f t="shared" si="3"/>
        <v>10</v>
      </c>
      <c r="M64" s="1"/>
      <c r="N64" s="1"/>
      <c r="O64" s="2"/>
      <c r="P64" s="2"/>
      <c r="Q64" s="2"/>
    </row>
    <row r="65" ht="24.75" customHeight="1">
      <c r="A65" s="50">
        <v>49.0</v>
      </c>
      <c r="B65" s="46" t="s">
        <v>132</v>
      </c>
      <c r="C65" s="46" t="s">
        <v>157</v>
      </c>
      <c r="D65" s="46" t="s">
        <v>269</v>
      </c>
      <c r="E65" s="48">
        <v>8.0</v>
      </c>
      <c r="F65" s="48">
        <v>2.0</v>
      </c>
      <c r="G65" s="49"/>
      <c r="H65" s="49">
        <f t="shared" si="1"/>
        <v>10</v>
      </c>
      <c r="I65" s="48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50">
        <v>50.0</v>
      </c>
      <c r="B66" s="46" t="s">
        <v>156</v>
      </c>
      <c r="C66" s="46" t="s">
        <v>270</v>
      </c>
      <c r="D66" s="46" t="s">
        <v>271</v>
      </c>
      <c r="E66" s="48">
        <v>6.0</v>
      </c>
      <c r="F66" s="48">
        <v>0.0</v>
      </c>
      <c r="G66" s="49"/>
      <c r="H66" s="49">
        <f t="shared" si="1"/>
        <v>6</v>
      </c>
      <c r="I66" s="48">
        <v>2.0</v>
      </c>
      <c r="J66" s="51">
        <f t="shared" si="2"/>
        <v>6</v>
      </c>
      <c r="K66" s="44"/>
      <c r="L66" s="46">
        <f t="shared" si="3"/>
        <v>6</v>
      </c>
      <c r="M66" s="1"/>
      <c r="N66" s="1"/>
      <c r="O66" s="2"/>
      <c r="P66" s="2"/>
      <c r="Q66" s="2"/>
    </row>
    <row r="67" ht="24.75" customHeight="1">
      <c r="A67" s="50">
        <v>51.0</v>
      </c>
      <c r="B67" s="46" t="s">
        <v>156</v>
      </c>
      <c r="C67" s="46" t="s">
        <v>210</v>
      </c>
      <c r="D67" s="97" t="s">
        <v>272</v>
      </c>
      <c r="E67" s="48">
        <v>8.0</v>
      </c>
      <c r="F67" s="48">
        <v>2.0</v>
      </c>
      <c r="G67" s="48"/>
      <c r="H67" s="49">
        <f t="shared" si="1"/>
        <v>10</v>
      </c>
      <c r="I67" s="48">
        <v>0.0</v>
      </c>
      <c r="J67" s="51">
        <f t="shared" si="2"/>
        <v>10</v>
      </c>
      <c r="K67" s="44"/>
      <c r="L67" s="46">
        <f t="shared" si="3"/>
        <v>10</v>
      </c>
      <c r="M67" s="1"/>
      <c r="N67" s="1"/>
      <c r="O67" s="2"/>
      <c r="P67" s="2"/>
      <c r="Q67" s="2"/>
    </row>
    <row r="68" ht="24.75" customHeight="1">
      <c r="A68" s="50">
        <v>52.0</v>
      </c>
      <c r="B68" s="46" t="s">
        <v>273</v>
      </c>
      <c r="C68" s="46" t="s">
        <v>274</v>
      </c>
      <c r="D68" s="97" t="s">
        <v>275</v>
      </c>
      <c r="E68" s="48">
        <v>7.0</v>
      </c>
      <c r="F68" s="48">
        <v>2.0</v>
      </c>
      <c r="G68" s="49"/>
      <c r="H68" s="49">
        <f t="shared" si="1"/>
        <v>9</v>
      </c>
      <c r="I68" s="48">
        <v>0.0</v>
      </c>
      <c r="J68" s="51">
        <f t="shared" si="2"/>
        <v>9</v>
      </c>
      <c r="K68" s="44"/>
      <c r="L68" s="46">
        <f t="shared" si="3"/>
        <v>9</v>
      </c>
      <c r="M68" s="1"/>
      <c r="N68" s="1"/>
      <c r="O68" s="2"/>
      <c r="P68" s="2"/>
      <c r="Q68" s="2"/>
    </row>
    <row r="69" ht="24.75" customHeight="1">
      <c r="A69" s="50">
        <v>53.0</v>
      </c>
      <c r="B69" s="46" t="s">
        <v>276</v>
      </c>
      <c r="C69" s="46" t="s">
        <v>132</v>
      </c>
      <c r="D69" s="46" t="s">
        <v>277</v>
      </c>
      <c r="E69" s="48">
        <v>8.0</v>
      </c>
      <c r="F69" s="48">
        <v>0.0</v>
      </c>
      <c r="G69" s="49"/>
      <c r="H69" s="49">
        <f t="shared" si="1"/>
        <v>8</v>
      </c>
      <c r="I69" s="50">
        <v>0.0</v>
      </c>
      <c r="J69" s="51">
        <f t="shared" si="2"/>
        <v>8</v>
      </c>
      <c r="K69" s="44"/>
      <c r="L69" s="56"/>
      <c r="M69" s="1"/>
      <c r="N69" s="1"/>
      <c r="O69" s="2"/>
      <c r="P69" s="2"/>
      <c r="Q69" s="2"/>
    </row>
    <row r="70" ht="24.75" customHeight="1">
      <c r="A70" s="50">
        <v>54.0</v>
      </c>
      <c r="B70" s="46" t="s">
        <v>278</v>
      </c>
      <c r="C70" s="46" t="s">
        <v>279</v>
      </c>
      <c r="D70" s="46" t="s">
        <v>110</v>
      </c>
      <c r="E70" s="48">
        <v>8.0</v>
      </c>
      <c r="F70" s="48">
        <v>0.0</v>
      </c>
      <c r="G70" s="49"/>
      <c r="H70" s="49">
        <f t="shared" si="1"/>
        <v>8</v>
      </c>
      <c r="I70" s="48">
        <v>1.0</v>
      </c>
      <c r="J70" s="51">
        <f t="shared" si="2"/>
        <v>8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5" t="s">
        <v>165</v>
      </c>
      <c r="K72" s="66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7" t="s">
        <v>167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7" t="s">
        <v>168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169</v>
      </c>
      <c r="C75" s="68"/>
      <c r="D75" s="70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7" t="s">
        <v>170</v>
      </c>
      <c r="C76" s="68"/>
      <c r="D76" s="70">
        <f>D74-D75</f>
        <v>0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0"/>
      <c r="B77" s="73" t="s">
        <v>171</v>
      </c>
      <c r="C77" s="68"/>
      <c r="D77" s="74">
        <f>D75*100/D74</f>
        <v>100</v>
      </c>
      <c r="E77" s="1"/>
      <c r="F77" s="75" t="s">
        <v>172</v>
      </c>
      <c r="G77" s="1"/>
      <c r="H77" s="76" t="s">
        <v>173</v>
      </c>
      <c r="J77" s="77" t="s">
        <v>174</v>
      </c>
      <c r="K77" s="78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176</v>
      </c>
      <c r="C78" s="80"/>
      <c r="D78" s="81">
        <f>AVERAGE(J17:J70)</f>
        <v>8.37037037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90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1" priority="2" stopIfTrue="1" operator="equal">
      <formula>5</formula>
    </cfRule>
  </conditionalFormatting>
  <conditionalFormatting sqref="J17:J70">
    <cfRule type="cellIs" dxfId="0" priority="3" stopIfTrue="1" operator="greaterThan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21</v>
      </c>
      <c r="C17" s="46" t="s">
        <v>280</v>
      </c>
      <c r="D17" s="47" t="s">
        <v>281</v>
      </c>
      <c r="E17" s="48">
        <v>8.0</v>
      </c>
      <c r="F17" s="48">
        <v>2.0</v>
      </c>
      <c r="G17" s="49"/>
      <c r="H17" s="49">
        <f t="shared" ref="H17:H70" si="1">SUM(E17:G17)</f>
        <v>10</v>
      </c>
      <c r="I17" s="50">
        <v>0.0</v>
      </c>
      <c r="J17" s="51">
        <f t="shared" ref="J17:J70" si="2">IF(H17&lt;6, 5, MIN(ROUND(H17, 0), 10))</f>
        <v>10</v>
      </c>
      <c r="K17" s="46"/>
      <c r="L17" s="52">
        <f t="shared" ref="L17:L68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282</v>
      </c>
      <c r="C18" s="46" t="s">
        <v>225</v>
      </c>
      <c r="D18" s="47" t="s">
        <v>283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4.0</v>
      </c>
      <c r="O18" s="2"/>
      <c r="P18" s="2"/>
      <c r="Q18" s="2"/>
    </row>
    <row r="19" ht="24.75" customHeight="1">
      <c r="A19" s="44">
        <v>3.0</v>
      </c>
      <c r="B19" s="46" t="s">
        <v>83</v>
      </c>
      <c r="C19" s="46" t="s">
        <v>138</v>
      </c>
      <c r="D19" s="47" t="s">
        <v>126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2">
        <f t="shared" si="3"/>
        <v>10</v>
      </c>
      <c r="M19" s="54" t="s">
        <v>32</v>
      </c>
      <c r="N19" s="50">
        <v>8.0</v>
      </c>
      <c r="O19" s="2"/>
      <c r="P19" s="2"/>
      <c r="Q19" s="2"/>
    </row>
    <row r="20" ht="24.75" customHeight="1">
      <c r="A20" s="44">
        <v>4.0</v>
      </c>
      <c r="B20" s="46" t="s">
        <v>179</v>
      </c>
      <c r="C20" s="46" t="s">
        <v>82</v>
      </c>
      <c r="D20" s="47" t="s">
        <v>284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50">
        <v>6.0</v>
      </c>
      <c r="O20" s="2"/>
      <c r="P20" s="2"/>
      <c r="Q20" s="2"/>
    </row>
    <row r="21" ht="24.75" customHeight="1">
      <c r="A21" s="44">
        <v>5.0</v>
      </c>
      <c r="B21" s="46" t="s">
        <v>285</v>
      </c>
      <c r="C21" s="46"/>
      <c r="D21" s="47" t="s">
        <v>286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50">
        <v>6.0</v>
      </c>
      <c r="O21" s="2"/>
      <c r="P21" s="2"/>
      <c r="Q21" s="2"/>
    </row>
    <row r="22" ht="24.75" customHeight="1">
      <c r="A22" s="44">
        <v>6.0</v>
      </c>
      <c r="B22" s="46" t="s">
        <v>287</v>
      </c>
      <c r="C22" s="46" t="s">
        <v>288</v>
      </c>
      <c r="D22" s="47" t="s">
        <v>289</v>
      </c>
      <c r="E22" s="48">
        <v>8.0</v>
      </c>
      <c r="F22" s="48">
        <v>2.0</v>
      </c>
      <c r="G22" s="48"/>
      <c r="H22" s="49">
        <f t="shared" si="1"/>
        <v>10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50">
        <v>8.0</v>
      </c>
      <c r="O22" s="2"/>
      <c r="P22" s="2"/>
      <c r="Q22" s="2"/>
    </row>
    <row r="23" ht="24.75" customHeight="1">
      <c r="A23" s="44">
        <v>7.0</v>
      </c>
      <c r="B23" s="46" t="s">
        <v>290</v>
      </c>
      <c r="C23" s="46" t="s">
        <v>291</v>
      </c>
      <c r="D23" s="47" t="s">
        <v>292</v>
      </c>
      <c r="E23" s="48">
        <v>8.0</v>
      </c>
      <c r="F23" s="48">
        <v>2.0</v>
      </c>
      <c r="G23" s="48"/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50">
        <v>4.0</v>
      </c>
      <c r="O23" s="2"/>
      <c r="P23" s="2"/>
      <c r="Q23" s="2"/>
    </row>
    <row r="24" ht="24.75" customHeight="1">
      <c r="A24" s="44">
        <v>8.0</v>
      </c>
      <c r="B24" s="46" t="s">
        <v>293</v>
      </c>
      <c r="C24" s="46" t="s">
        <v>22</v>
      </c>
      <c r="D24" s="47" t="s">
        <v>35</v>
      </c>
      <c r="E24" s="48">
        <v>8.0</v>
      </c>
      <c r="F24" s="48">
        <v>2.0</v>
      </c>
      <c r="G24" s="48"/>
      <c r="H24" s="49">
        <f t="shared" si="1"/>
        <v>10</v>
      </c>
      <c r="I24" s="50">
        <v>0.0</v>
      </c>
      <c r="J24" s="51">
        <f t="shared" si="2"/>
        <v>10</v>
      </c>
      <c r="K24" s="44"/>
      <c r="L24" s="52">
        <f t="shared" si="3"/>
        <v>10</v>
      </c>
      <c r="M24" s="54" t="s">
        <v>52</v>
      </c>
      <c r="N24" s="54">
        <f>SUM(N18:N23)</f>
        <v>36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6" t="s">
        <v>294</v>
      </c>
      <c r="D25" s="47" t="s">
        <v>295</v>
      </c>
      <c r="E25" s="48">
        <v>8.0</v>
      </c>
      <c r="F25" s="48">
        <v>2.0</v>
      </c>
      <c r="G25" s="48"/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296</v>
      </c>
      <c r="C26" s="46" t="s">
        <v>297</v>
      </c>
      <c r="D26" s="47" t="s">
        <v>298</v>
      </c>
      <c r="E26" s="48">
        <v>8.0</v>
      </c>
      <c r="F26" s="48">
        <v>2.0</v>
      </c>
      <c r="G26" s="48"/>
      <c r="H26" s="49">
        <f t="shared" si="1"/>
        <v>10</v>
      </c>
      <c r="I26" s="50">
        <v>0.0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299</v>
      </c>
      <c r="C27" s="46" t="s">
        <v>273</v>
      </c>
      <c r="D27" s="46" t="s">
        <v>300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6" t="s">
        <v>301</v>
      </c>
      <c r="D28" s="47" t="s">
        <v>302</v>
      </c>
      <c r="E28" s="48">
        <v>8.0</v>
      </c>
      <c r="F28" s="48">
        <v>2.0</v>
      </c>
      <c r="G28" s="48"/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6" t="s">
        <v>303</v>
      </c>
      <c r="D29" s="47" t="s">
        <v>304</v>
      </c>
      <c r="E29" s="48">
        <v>8.0</v>
      </c>
      <c r="F29" s="48">
        <v>2.0</v>
      </c>
      <c r="G29" s="48"/>
      <c r="H29" s="49">
        <f t="shared" si="1"/>
        <v>10</v>
      </c>
      <c r="I29" s="50">
        <v>0.0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305</v>
      </c>
      <c r="C30" s="46" t="s">
        <v>95</v>
      </c>
      <c r="D30" s="47" t="s">
        <v>306</v>
      </c>
      <c r="E30" s="48">
        <v>8.0</v>
      </c>
      <c r="F30" s="48">
        <v>2.0</v>
      </c>
      <c r="G30" s="48"/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307</v>
      </c>
      <c r="C31" s="46" t="s">
        <v>132</v>
      </c>
      <c r="D31" s="47" t="s">
        <v>308</v>
      </c>
      <c r="E31" s="48">
        <v>8.0</v>
      </c>
      <c r="F31" s="48">
        <v>2.0</v>
      </c>
      <c r="G31" s="48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294</v>
      </c>
      <c r="C32" s="46" t="s">
        <v>46</v>
      </c>
      <c r="D32" s="47" t="s">
        <v>309</v>
      </c>
      <c r="E32" s="48">
        <v>8.0</v>
      </c>
      <c r="F32" s="48">
        <v>2.0</v>
      </c>
      <c r="G32" s="48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310</v>
      </c>
      <c r="C33" s="46" t="s">
        <v>311</v>
      </c>
      <c r="D33" s="47" t="s">
        <v>312</v>
      </c>
      <c r="E33" s="48">
        <v>8.0</v>
      </c>
      <c r="F33" s="48">
        <v>2.0</v>
      </c>
      <c r="G33" s="48"/>
      <c r="H33" s="49">
        <f t="shared" si="1"/>
        <v>10</v>
      </c>
      <c r="I33" s="50">
        <v>1.0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75</v>
      </c>
      <c r="C34" s="46" t="s">
        <v>82</v>
      </c>
      <c r="D34" s="47" t="s">
        <v>313</v>
      </c>
      <c r="E34" s="48">
        <v>8.0</v>
      </c>
      <c r="F34" s="48">
        <v>2.0</v>
      </c>
      <c r="G34" s="48"/>
      <c r="H34" s="49">
        <f t="shared" si="1"/>
        <v>10</v>
      </c>
      <c r="I34" s="50">
        <v>0.0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82</v>
      </c>
      <c r="C35" s="46" t="s">
        <v>314</v>
      </c>
      <c r="D35" s="47" t="s">
        <v>315</v>
      </c>
      <c r="E35" s="48">
        <v>8.0</v>
      </c>
      <c r="F35" s="48">
        <v>2.0</v>
      </c>
      <c r="G35" s="48"/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95</v>
      </c>
      <c r="C36" s="46" t="s">
        <v>316</v>
      </c>
      <c r="D36" s="47" t="s">
        <v>317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95</v>
      </c>
      <c r="C37" s="46" t="s">
        <v>318</v>
      </c>
      <c r="D37" s="47" t="s">
        <v>319</v>
      </c>
      <c r="E37" s="48">
        <v>8.0</v>
      </c>
      <c r="F37" s="48">
        <v>2.0</v>
      </c>
      <c r="G37" s="48"/>
      <c r="H37" s="49">
        <f t="shared" si="1"/>
        <v>10</v>
      </c>
      <c r="I37" s="50">
        <v>0.0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320</v>
      </c>
      <c r="C38" s="46" t="s">
        <v>98</v>
      </c>
      <c r="D38" s="47" t="s">
        <v>321</v>
      </c>
      <c r="E38" s="48">
        <v>7.0</v>
      </c>
      <c r="F38" s="48">
        <v>2.0</v>
      </c>
      <c r="G38" s="49"/>
      <c r="H38" s="49">
        <f t="shared" si="1"/>
        <v>9</v>
      </c>
      <c r="I38" s="50">
        <v>0.0</v>
      </c>
      <c r="J38" s="51">
        <f t="shared" si="2"/>
        <v>9</v>
      </c>
      <c r="K38" s="44"/>
      <c r="L38" s="52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22</v>
      </c>
      <c r="C39" s="45" t="s">
        <v>322</v>
      </c>
      <c r="D39" s="47" t="s">
        <v>323</v>
      </c>
      <c r="E39" s="48">
        <v>8.0</v>
      </c>
      <c r="F39" s="48">
        <v>2.0</v>
      </c>
      <c r="G39" s="48"/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</v>
      </c>
      <c r="C40" s="46" t="s">
        <v>324</v>
      </c>
      <c r="D40" s="47" t="s">
        <v>325</v>
      </c>
      <c r="E40" s="48">
        <v>6.0</v>
      </c>
      <c r="F40" s="48">
        <v>2.0</v>
      </c>
      <c r="G40" s="49"/>
      <c r="H40" s="49">
        <f t="shared" si="1"/>
        <v>8</v>
      </c>
      <c r="I40" s="50">
        <v>0.0</v>
      </c>
      <c r="J40" s="51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22</v>
      </c>
      <c r="C41" s="46" t="s">
        <v>125</v>
      </c>
      <c r="D41" s="47" t="s">
        <v>326</v>
      </c>
      <c r="E41" s="48">
        <v>8.0</v>
      </c>
      <c r="F41" s="48">
        <v>2.0</v>
      </c>
      <c r="G41" s="48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288</v>
      </c>
      <c r="C42" s="46" t="s">
        <v>121</v>
      </c>
      <c r="D42" s="47" t="s">
        <v>327</v>
      </c>
      <c r="E42" s="48">
        <v>8.0</v>
      </c>
      <c r="F42" s="48">
        <v>2.0</v>
      </c>
      <c r="G42" s="48"/>
      <c r="H42" s="49">
        <f t="shared" si="1"/>
        <v>10</v>
      </c>
      <c r="I42" s="50">
        <v>1.0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328</v>
      </c>
      <c r="C43" s="46" t="s">
        <v>179</v>
      </c>
      <c r="D43" s="47" t="s">
        <v>329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225</v>
      </c>
      <c r="C44" s="46" t="s">
        <v>129</v>
      </c>
      <c r="D44" s="47" t="s">
        <v>330</v>
      </c>
      <c r="E44" s="48">
        <v>8.0</v>
      </c>
      <c r="F44" s="48">
        <v>2.0</v>
      </c>
      <c r="G44" s="48"/>
      <c r="H44" s="49">
        <f t="shared" si="1"/>
        <v>10</v>
      </c>
      <c r="I44" s="50">
        <v>0.0</v>
      </c>
      <c r="J44" s="51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225</v>
      </c>
      <c r="C45" s="46" t="s">
        <v>331</v>
      </c>
      <c r="D45" s="47" t="s">
        <v>332</v>
      </c>
      <c r="E45" s="48">
        <v>8.0</v>
      </c>
      <c r="F45" s="48">
        <v>2.0</v>
      </c>
      <c r="G45" s="48"/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160</v>
      </c>
      <c r="C46" s="46" t="s">
        <v>22</v>
      </c>
      <c r="D46" s="47" t="s">
        <v>333</v>
      </c>
      <c r="E46" s="48">
        <v>8.0</v>
      </c>
      <c r="F46" s="48">
        <v>2.0</v>
      </c>
      <c r="G46" s="48"/>
      <c r="H46" s="49">
        <f t="shared" si="1"/>
        <v>10</v>
      </c>
      <c r="I46" s="50">
        <v>0.0</v>
      </c>
      <c r="J46" s="51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334</v>
      </c>
      <c r="C47" s="46" t="s">
        <v>95</v>
      </c>
      <c r="D47" s="47" t="s">
        <v>335</v>
      </c>
      <c r="E47" s="48">
        <v>8.0</v>
      </c>
      <c r="F47" s="48">
        <v>2.0</v>
      </c>
      <c r="G47" s="48"/>
      <c r="H47" s="49">
        <f t="shared" si="1"/>
        <v>10</v>
      </c>
      <c r="I47" s="50">
        <v>0.0</v>
      </c>
      <c r="J47" s="51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90</v>
      </c>
      <c r="C48" s="46" t="s">
        <v>279</v>
      </c>
      <c r="D48" s="47" t="s">
        <v>336</v>
      </c>
      <c r="E48" s="48">
        <v>8.0</v>
      </c>
      <c r="F48" s="48">
        <v>2.0</v>
      </c>
      <c r="G48" s="48"/>
      <c r="H48" s="49">
        <f t="shared" si="1"/>
        <v>10</v>
      </c>
      <c r="I48" s="50">
        <v>0.0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90</v>
      </c>
      <c r="C49" s="46" t="s">
        <v>157</v>
      </c>
      <c r="D49" s="47" t="s">
        <v>337</v>
      </c>
      <c r="E49" s="48">
        <v>8.0</v>
      </c>
      <c r="F49" s="48">
        <v>2.0</v>
      </c>
      <c r="G49" s="49"/>
      <c r="H49" s="49">
        <f t="shared" si="1"/>
        <v>10</v>
      </c>
      <c r="I49" s="50">
        <v>0.0</v>
      </c>
      <c r="J49" s="51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338</v>
      </c>
      <c r="C50" s="46" t="s">
        <v>339</v>
      </c>
      <c r="D50" s="47" t="s">
        <v>340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50</v>
      </c>
      <c r="C51" s="46" t="s">
        <v>341</v>
      </c>
      <c r="D51" s="47" t="s">
        <v>342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46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303</v>
      </c>
      <c r="C52" s="46" t="s">
        <v>75</v>
      </c>
      <c r="D52" s="47" t="s">
        <v>343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344</v>
      </c>
      <c r="C53" s="46" t="s">
        <v>225</v>
      </c>
      <c r="D53" s="96" t="s">
        <v>345</v>
      </c>
      <c r="E53" s="48">
        <v>8.0</v>
      </c>
      <c r="F53" s="48">
        <v>2.0</v>
      </c>
      <c r="G53" s="48"/>
      <c r="H53" s="49">
        <f t="shared" si="1"/>
        <v>10</v>
      </c>
      <c r="I53" s="50">
        <v>0.0</v>
      </c>
      <c r="J53" s="51">
        <f t="shared" si="2"/>
        <v>10</v>
      </c>
      <c r="K53" s="44"/>
      <c r="L53" s="46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99</v>
      </c>
      <c r="C54" s="46" t="s">
        <v>46</v>
      </c>
      <c r="D54" s="47" t="s">
        <v>346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134</v>
      </c>
      <c r="C55" s="46" t="s">
        <v>347</v>
      </c>
      <c r="D55" s="47" t="s">
        <v>348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210</v>
      </c>
      <c r="C56" s="46" t="s">
        <v>349</v>
      </c>
      <c r="D56" s="47" t="s">
        <v>350</v>
      </c>
      <c r="E56" s="48">
        <v>8.0</v>
      </c>
      <c r="F56" s="48">
        <v>2.0</v>
      </c>
      <c r="G56" s="48"/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351</v>
      </c>
      <c r="C57" s="46" t="s">
        <v>147</v>
      </c>
      <c r="D57" s="47" t="s">
        <v>352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138</v>
      </c>
      <c r="C58" s="45" t="s">
        <v>353</v>
      </c>
      <c r="D58" s="47" t="s">
        <v>128</v>
      </c>
      <c r="E58" s="48">
        <v>8.0</v>
      </c>
      <c r="F58" s="48">
        <v>2.0</v>
      </c>
      <c r="G58" s="48"/>
      <c r="H58" s="49">
        <f t="shared" si="1"/>
        <v>10</v>
      </c>
      <c r="I58" s="50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279</v>
      </c>
      <c r="C59" s="46" t="s">
        <v>156</v>
      </c>
      <c r="D59" s="47" t="s">
        <v>354</v>
      </c>
      <c r="E59" s="48">
        <v>8.0</v>
      </c>
      <c r="F59" s="48">
        <v>2.0</v>
      </c>
      <c r="G59" s="48"/>
      <c r="H59" s="49">
        <f t="shared" si="1"/>
        <v>10</v>
      </c>
      <c r="I59" s="50">
        <v>0.0</v>
      </c>
      <c r="J59" s="51">
        <f t="shared" si="2"/>
        <v>10</v>
      </c>
      <c r="K59" s="44"/>
      <c r="L59" s="46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46</v>
      </c>
      <c r="C60" s="46" t="s">
        <v>265</v>
      </c>
      <c r="D60" s="47" t="s">
        <v>355</v>
      </c>
      <c r="E60" s="48">
        <v>8.0</v>
      </c>
      <c r="F60" s="48">
        <v>2.0</v>
      </c>
      <c r="G60" s="48"/>
      <c r="H60" s="49">
        <f t="shared" si="1"/>
        <v>10</v>
      </c>
      <c r="I60" s="50">
        <v>0.0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142</v>
      </c>
      <c r="C61" s="46" t="s">
        <v>22</v>
      </c>
      <c r="D61" s="47" t="s">
        <v>356</v>
      </c>
      <c r="E61" s="48">
        <v>8.0</v>
      </c>
      <c r="F61" s="48">
        <v>2.0</v>
      </c>
      <c r="G61" s="48"/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357</v>
      </c>
      <c r="C62" s="46" t="s">
        <v>255</v>
      </c>
      <c r="D62" s="47" t="s">
        <v>358</v>
      </c>
      <c r="E62" s="48">
        <v>8.0</v>
      </c>
      <c r="F62" s="48">
        <v>2.0</v>
      </c>
      <c r="G62" s="49"/>
      <c r="H62" s="49">
        <f t="shared" si="1"/>
        <v>10</v>
      </c>
      <c r="I62" s="48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149</v>
      </c>
      <c r="C63" s="46" t="s">
        <v>95</v>
      </c>
      <c r="D63" s="47" t="s">
        <v>359</v>
      </c>
      <c r="E63" s="48">
        <v>8.0</v>
      </c>
      <c r="F63" s="48">
        <v>2.0</v>
      </c>
      <c r="G63" s="48"/>
      <c r="H63" s="49">
        <f t="shared" si="1"/>
        <v>10</v>
      </c>
      <c r="I63" s="48">
        <v>0.0</v>
      </c>
      <c r="J63" s="51">
        <f t="shared" si="2"/>
        <v>10</v>
      </c>
      <c r="K63" s="44"/>
      <c r="L63" s="46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349</v>
      </c>
      <c r="C64" s="46" t="s">
        <v>125</v>
      </c>
      <c r="D64" s="47" t="s">
        <v>360</v>
      </c>
      <c r="E64" s="48">
        <v>8.0</v>
      </c>
      <c r="F64" s="48">
        <v>2.0</v>
      </c>
      <c r="G64" s="48"/>
      <c r="H64" s="49">
        <f t="shared" si="1"/>
        <v>10</v>
      </c>
      <c r="I64" s="50">
        <v>0.0</v>
      </c>
      <c r="J64" s="51">
        <f t="shared" si="2"/>
        <v>10</v>
      </c>
      <c r="K64" s="44"/>
      <c r="L64" s="46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258</v>
      </c>
      <c r="C65" s="46" t="s">
        <v>361</v>
      </c>
      <c r="D65" s="45" t="s">
        <v>362</v>
      </c>
      <c r="E65" s="48">
        <v>8.0</v>
      </c>
      <c r="F65" s="48">
        <v>2.0</v>
      </c>
      <c r="G65" s="48"/>
      <c r="H65" s="49">
        <f t="shared" si="1"/>
        <v>10</v>
      </c>
      <c r="I65" s="48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363</v>
      </c>
      <c r="C66" s="46" t="s">
        <v>233</v>
      </c>
      <c r="D66" s="45" t="s">
        <v>364</v>
      </c>
      <c r="E66" s="48">
        <v>8.0</v>
      </c>
      <c r="F66" s="48">
        <v>2.0</v>
      </c>
      <c r="G66" s="48"/>
      <c r="H66" s="49">
        <f t="shared" si="1"/>
        <v>10</v>
      </c>
      <c r="I66" s="48">
        <v>0.0</v>
      </c>
      <c r="J66" s="51">
        <f t="shared" si="2"/>
        <v>10</v>
      </c>
      <c r="K66" s="44"/>
      <c r="L66" s="46">
        <f t="shared" si="3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76</v>
      </c>
      <c r="C67" s="46" t="s">
        <v>365</v>
      </c>
      <c r="D67" s="55" t="s">
        <v>366</v>
      </c>
      <c r="E67" s="48">
        <v>7.0</v>
      </c>
      <c r="F67" s="48">
        <v>2.0</v>
      </c>
      <c r="G67" s="48"/>
      <c r="H67" s="49">
        <f t="shared" si="1"/>
        <v>9</v>
      </c>
      <c r="I67" s="48">
        <v>1.0</v>
      </c>
      <c r="J67" s="51">
        <f t="shared" si="2"/>
        <v>9</v>
      </c>
      <c r="K67" s="44"/>
      <c r="L67" s="46">
        <f t="shared" si="3"/>
        <v>9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157</v>
      </c>
      <c r="C68" s="46" t="s">
        <v>367</v>
      </c>
      <c r="D68" s="55" t="s">
        <v>368</v>
      </c>
      <c r="E68" s="48">
        <v>8.0</v>
      </c>
      <c r="F68" s="48">
        <v>2.0</v>
      </c>
      <c r="G68" s="49"/>
      <c r="H68" s="49">
        <f t="shared" si="1"/>
        <v>10</v>
      </c>
      <c r="I68" s="48">
        <v>0.0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73</v>
      </c>
      <c r="C69" s="46" t="s">
        <v>95</v>
      </c>
      <c r="D69" s="45" t="s">
        <v>110</v>
      </c>
      <c r="E69" s="48">
        <v>8.0</v>
      </c>
      <c r="F69" s="48">
        <v>2.0</v>
      </c>
      <c r="G69" s="48"/>
      <c r="H69" s="49">
        <f t="shared" si="1"/>
        <v>10</v>
      </c>
      <c r="I69" s="50">
        <v>0.0</v>
      </c>
      <c r="J69" s="51">
        <f t="shared" si="2"/>
        <v>10</v>
      </c>
      <c r="K69" s="44"/>
      <c r="L69" s="56"/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278</v>
      </c>
      <c r="C70" s="46" t="s">
        <v>369</v>
      </c>
      <c r="D70" s="45" t="s">
        <v>158</v>
      </c>
      <c r="E70" s="48">
        <v>8.0</v>
      </c>
      <c r="F70" s="48">
        <v>2.0</v>
      </c>
      <c r="G70" s="49"/>
      <c r="H70" s="49">
        <f t="shared" si="1"/>
        <v>10</v>
      </c>
      <c r="I70" s="48">
        <v>1.0</v>
      </c>
      <c r="J70" s="51">
        <f t="shared" si="2"/>
        <v>10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5" t="s">
        <v>165</v>
      </c>
      <c r="K72" s="66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7" t="s">
        <v>167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7" t="s">
        <v>168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169</v>
      </c>
      <c r="C75" s="68"/>
      <c r="D75" s="70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7" t="s">
        <v>170</v>
      </c>
      <c r="C76" s="68"/>
      <c r="D76" s="70">
        <f>D74-D75</f>
        <v>0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0"/>
      <c r="B77" s="73" t="s">
        <v>171</v>
      </c>
      <c r="C77" s="68"/>
      <c r="D77" s="74">
        <f>D75*100/D74</f>
        <v>100</v>
      </c>
      <c r="E77" s="1"/>
      <c r="F77" s="75" t="s">
        <v>172</v>
      </c>
      <c r="G77" s="1"/>
      <c r="H77" s="76" t="s">
        <v>370</v>
      </c>
      <c r="J77" s="77" t="s">
        <v>174</v>
      </c>
      <c r="K77" s="78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176</v>
      </c>
      <c r="C78" s="80"/>
      <c r="D78" s="81">
        <f>AVERAGE(J17:J70)</f>
        <v>9.925925926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98"/>
      <c r="B80" s="99"/>
      <c r="C80" s="100"/>
      <c r="D80" s="100"/>
      <c r="E80" s="2"/>
      <c r="G80" s="2"/>
      <c r="H80" s="2"/>
      <c r="I80" s="2"/>
      <c r="J80" s="2"/>
      <c r="K80" s="90"/>
      <c r="L80" s="2"/>
      <c r="M80" s="2"/>
      <c r="N80" s="2"/>
      <c r="O80" s="2"/>
      <c r="P80" s="2"/>
      <c r="Q80" s="2"/>
    </row>
    <row r="81" ht="13.5" customHeight="1">
      <c r="A81" s="82"/>
      <c r="B81" s="2"/>
      <c r="C81" s="2"/>
      <c r="D81" s="2"/>
      <c r="E81" s="2"/>
      <c r="F81" s="2"/>
      <c r="G81" s="2"/>
      <c r="H81" s="2"/>
      <c r="I81" s="2"/>
      <c r="J81" s="2"/>
      <c r="K81" s="90"/>
      <c r="L81" s="2"/>
      <c r="M81" s="2"/>
      <c r="N81" s="2"/>
      <c r="O81" s="2"/>
      <c r="P81" s="2"/>
      <c r="Q81" s="2"/>
    </row>
    <row r="82" ht="13.5" customHeight="1">
      <c r="A82" s="82"/>
      <c r="B82" s="2"/>
      <c r="C82" s="2"/>
      <c r="D82" s="2"/>
      <c r="E82" s="2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101"/>
      <c r="B83" s="93"/>
      <c r="C83" s="93"/>
      <c r="D83" s="93"/>
      <c r="E83" s="93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