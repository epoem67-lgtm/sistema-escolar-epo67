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ingles ii" sheetId="1" r:id="rId5"/>
    <sheet state="visible" name="3-2 temas selectos de ingles ii" sheetId="2" r:id="rId6"/>
  </sheets>
  <definedNames/>
  <calcPr/>
</workbook>
</file>

<file path=xl/sharedStrings.xml><?xml version="1.0" encoding="utf-8"?>
<sst xmlns="http://schemas.openxmlformats.org/spreadsheetml/2006/main" count="345" uniqueCount="249">
  <si>
    <t>ESCUELA PREPARATORIA OFICIAL NÚM. 67</t>
  </si>
  <si>
    <t xml:space="preserve">CONTROL PRIMER PARCIAL </t>
  </si>
  <si>
    <t xml:space="preserve">PROFESOR (A): </t>
  </si>
  <si>
    <t>Jéssica N. Alcántara Colín</t>
  </si>
  <si>
    <t>II</t>
  </si>
  <si>
    <t>III</t>
  </si>
  <si>
    <t>PUNTAJE EXTRA</t>
  </si>
  <si>
    <t>SEXTO SEMESTRE
MATUTINO</t>
  </si>
  <si>
    <t>UAC</t>
  </si>
  <si>
    <t>TEMAS SELECTOS DE INGLÉS II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</si>
  <si>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</si>
  <si>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</si>
  <si>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</si>
  <si>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</si>
  <si>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</si>
  <si>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</si>
  <si>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</si>
  <si>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</si>
  <si>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</si>
  <si>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</si>
  <si>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</si>
  <si>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</si>
  <si>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</si>
  <si>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</si>
  <si>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</si>
  <si>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</si>
  <si>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</si>
  <si>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</si>
  <si>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</si>
  <si>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</si>
  <si>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</si>
  <si>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</si>
  <si>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</si>
  <si>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</si>
  <si>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</si>
  <si>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</si>
  <si>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</si>
  <si>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</si>
  <si>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</si>
  <si>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</si>
  <si>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</si>
  <si>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</si>
  <si>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</si>
  <si>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</si>
  <si>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</si>
  <si>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</si>
  <si>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</si>
  <si>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</si>
  <si>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</si>
  <si>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</si>
  <si>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</si>
  <si>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</si>
  <si>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</si>
  <si>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</si>
  <si>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</si>
  <si>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</si>
  <si>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</si>
  <si>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</si>
  <si>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</si>
  <si>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</si>
  <si>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</si>
  <si>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</si>
  <si>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</si>
  <si>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</si>
  <si>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</si>
  <si>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</si>
  <si>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</si>
  <si>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</si>
  <si>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</si>
  <si>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</si>
  <si>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</si>
  <si>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</si>
  <si>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</si>
  <si>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</si>
  <si>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</si>
  <si>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</si>
  <si>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</si>
  <si>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</si>
  <si>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</si>
  <si>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</si>
  <si>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</si>
  <si>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</si>
  <si>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</si>
  <si>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</si>
  <si>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</si>
  <si>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</si>
  <si>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</si>
  <si>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</si>
  <si>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</si>
  <si>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</si>
  <si>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</si>
  <si>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</si>
  <si>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</si>
  <si>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</si>
  <si>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</si>
  <si>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</si>
  <si>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</si>
  <si>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</si>
  <si>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</si>
  <si>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</si>
  <si>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</si>
  <si>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</si>
  <si>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</si>
  <si>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</si>
  <si>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</si>
  <si>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</si>
  <si>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</si>
  <si>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</si>
  <si>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</si>
  <si>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</si>
  <si>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</si>
  <si>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</si>
  <si>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</si>
  <si>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</si>
  <si>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</si>
  <si>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</si>
  <si>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</si>
  <si>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</si>
  <si>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</si>
  <si>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</si>
  <si>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</si>
  <si>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</si>
  <si>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</si>
  <si>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</si>
  <si>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</si>
  <si>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</si>
  <si>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</si>
  <si>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</si>
  <si>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</si>
  <si>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</si>
  <si>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</si>
  <si>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</si>
  <si>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</si>
  <si>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</si>
  <si>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</si>
  <si>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</si>
  <si>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</si>
  <si>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</si>
  <si>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</si>
  <si>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</si>
  <si>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</si>
  <si>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</si>
  <si>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</si>
  <si>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</si>
  <si>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</si>
  <si>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</si>
  <si>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</si>
  <si>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</si>
  <si>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</si>
  <si>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</si>
  <si>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</si>
  <si>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</si>
  <si>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</si>
  <si>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</si>
  <si>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</si>
  <si>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</si>
  <si>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</si>
  <si>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</si>
  <si>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</si>
  <si>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</si>
  <si>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</si>
  <si>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</si>
  <si>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Jéssica Alcántara</t>
  </si>
  <si>
    <t>TEMAS SELECTOS DE INGLES 2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</si>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</sst>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70</xdr:row>
      <xdr:rowOff>295275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9525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6.4</v>
      </c>
      <c r="F17" s="47">
        <v>1.8</v>
      </c>
      <c r="G17" s="48"/>
      <c r="H17" s="48">
        <f t="shared" ref="H17:H61" si="1">SUM(E17:G17)</f>
        <v>8.2</v>
      </c>
      <c r="I17" s="49">
        <v>1.0</v>
      </c>
      <c r="J17" s="50">
        <f t="shared" ref="J17:J61" si="2">IF(H17&lt;6, 5, MIN(ROUND(H17, 0), 10))</f>
        <v>8</v>
      </c>
      <c r="K17" s="51"/>
      <c r="L17" s="52">
        <f t="shared" ref="L17:L61" si="3">IF(H17&gt;=6,ROUND(H17,0),TRUNC(H17,0))</f>
        <v>8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6.4</v>
      </c>
      <c r="F18" s="47">
        <v>2.0</v>
      </c>
      <c r="G18" s="47">
        <v>1.0</v>
      </c>
      <c r="H18" s="48">
        <f t="shared" si="1"/>
        <v>9.4</v>
      </c>
      <c r="I18" s="49">
        <v>1.0</v>
      </c>
      <c r="J18" s="50">
        <f t="shared" si="2"/>
        <v>9</v>
      </c>
      <c r="K18" s="44"/>
      <c r="L18" s="52">
        <f t="shared" si="3"/>
        <v>9</v>
      </c>
      <c r="M18" s="54" t="s">
        <v>28</v>
      </c>
      <c r="N18" s="49">
        <v>12.0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7.5</v>
      </c>
      <c r="F19" s="47">
        <v>1.2</v>
      </c>
      <c r="G19" s="48"/>
      <c r="H19" s="48">
        <f t="shared" si="1"/>
        <v>8.7</v>
      </c>
      <c r="I19" s="49">
        <v>1.0</v>
      </c>
      <c r="J19" s="50">
        <f t="shared" si="2"/>
        <v>9</v>
      </c>
      <c r="K19" s="44"/>
      <c r="L19" s="52">
        <f t="shared" si="3"/>
        <v>9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>
        <v>1.0</v>
      </c>
      <c r="H20" s="48">
        <f t="shared" si="1"/>
        <v>11</v>
      </c>
      <c r="I20" s="49">
        <v>1.0</v>
      </c>
      <c r="J20" s="50">
        <f t="shared" si="2"/>
        <v>10</v>
      </c>
      <c r="K20" s="44"/>
      <c r="L20" s="52">
        <f t="shared" si="3"/>
        <v>11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3.8</v>
      </c>
      <c r="F21" s="47">
        <v>1.8</v>
      </c>
      <c r="G21" s="47">
        <v>1.0</v>
      </c>
      <c r="H21" s="48">
        <f t="shared" si="1"/>
        <v>6.6</v>
      </c>
      <c r="I21" s="44"/>
      <c r="J21" s="50">
        <f t="shared" si="2"/>
        <v>7</v>
      </c>
      <c r="K21" s="44"/>
      <c r="L21" s="52">
        <f t="shared" si="3"/>
        <v>7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8.0</v>
      </c>
      <c r="F22" s="47">
        <v>1.5</v>
      </c>
      <c r="G22" s="48"/>
      <c r="H22" s="48">
        <f t="shared" si="1"/>
        <v>9.5</v>
      </c>
      <c r="I22" s="49">
        <v>1.0</v>
      </c>
      <c r="J22" s="50">
        <f t="shared" si="2"/>
        <v>10</v>
      </c>
      <c r="K22" s="44"/>
      <c r="L22" s="52">
        <f t="shared" si="3"/>
        <v>10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7.2</v>
      </c>
      <c r="F23" s="47">
        <v>1.6</v>
      </c>
      <c r="G23" s="48"/>
      <c r="H23" s="48">
        <f t="shared" si="1"/>
        <v>8.8</v>
      </c>
      <c r="I23" s="44"/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5.2</v>
      </c>
      <c r="F24" s="47">
        <v>1.8</v>
      </c>
      <c r="G24" s="48"/>
      <c r="H24" s="48">
        <f t="shared" si="1"/>
        <v>7</v>
      </c>
      <c r="I24" s="44"/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65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6.0</v>
      </c>
      <c r="F25" s="47">
        <v>1.8</v>
      </c>
      <c r="G25" s="48"/>
      <c r="H25" s="48">
        <f t="shared" si="1"/>
        <v>7.8</v>
      </c>
      <c r="I25" s="49">
        <v>1.0</v>
      </c>
      <c r="J25" s="50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4"/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7.0</v>
      </c>
      <c r="F27" s="47">
        <v>2.0</v>
      </c>
      <c r="G27" s="48"/>
      <c r="H27" s="48">
        <f t="shared" si="1"/>
        <v>9</v>
      </c>
      <c r="I27" s="44"/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7.6</v>
      </c>
      <c r="F28" s="47">
        <v>1.8</v>
      </c>
      <c r="G28" s="48"/>
      <c r="H28" s="48">
        <f t="shared" si="1"/>
        <v>9.4</v>
      </c>
      <c r="I28" s="44"/>
      <c r="J28" s="50">
        <f t="shared" si="2"/>
        <v>9</v>
      </c>
      <c r="K28" s="44"/>
      <c r="L28" s="52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1.8</v>
      </c>
      <c r="G29" s="47">
        <v>1.0</v>
      </c>
      <c r="H29" s="48">
        <f t="shared" si="1"/>
        <v>10.8</v>
      </c>
      <c r="I29" s="49">
        <v>1.0</v>
      </c>
      <c r="J29" s="50">
        <f t="shared" si="2"/>
        <v>10</v>
      </c>
      <c r="K29" s="44"/>
      <c r="L29" s="52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7.4</v>
      </c>
      <c r="F30" s="47">
        <v>1.8</v>
      </c>
      <c r="G30" s="47">
        <v>1.0</v>
      </c>
      <c r="H30" s="48">
        <f t="shared" si="1"/>
        <v>10.2</v>
      </c>
      <c r="I30" s="49">
        <v>1.0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3.4</v>
      </c>
      <c r="F31" s="47">
        <v>1.8</v>
      </c>
      <c r="G31" s="48"/>
      <c r="H31" s="48">
        <f t="shared" si="1"/>
        <v>5.2</v>
      </c>
      <c r="I31" s="49">
        <v>1.0</v>
      </c>
      <c r="J31" s="50">
        <f t="shared" si="2"/>
        <v>5</v>
      </c>
      <c r="K31" s="44"/>
      <c r="L31" s="52">
        <f t="shared" si="3"/>
        <v>5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6.0</v>
      </c>
      <c r="F32" s="47">
        <v>2.0</v>
      </c>
      <c r="G32" s="48"/>
      <c r="H32" s="48">
        <f t="shared" si="1"/>
        <v>8</v>
      </c>
      <c r="I32" s="44"/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7.9</v>
      </c>
      <c r="F33" s="47">
        <v>2.0</v>
      </c>
      <c r="G33" s="48"/>
      <c r="H33" s="48">
        <f t="shared" si="1"/>
        <v>9.9</v>
      </c>
      <c r="I33" s="44"/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6.4</v>
      </c>
      <c r="F34" s="47">
        <v>1.9</v>
      </c>
      <c r="G34" s="48"/>
      <c r="H34" s="48">
        <f t="shared" si="1"/>
        <v>8.3</v>
      </c>
      <c r="I34" s="44"/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7.5</v>
      </c>
      <c r="F35" s="47">
        <v>1.4</v>
      </c>
      <c r="G35" s="48"/>
      <c r="H35" s="48">
        <f t="shared" si="1"/>
        <v>8.9</v>
      </c>
      <c r="I35" s="44"/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4.1</v>
      </c>
      <c r="F36" s="47">
        <v>2.0</v>
      </c>
      <c r="G36" s="48"/>
      <c r="H36" s="48">
        <f t="shared" si="1"/>
        <v>6.1</v>
      </c>
      <c r="I36" s="44"/>
      <c r="J36" s="50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8.0</v>
      </c>
      <c r="F37" s="47">
        <v>1.6</v>
      </c>
      <c r="G37" s="48"/>
      <c r="H37" s="48">
        <f t="shared" si="1"/>
        <v>9.6</v>
      </c>
      <c r="I37" s="44"/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6.9</v>
      </c>
      <c r="F38" s="47">
        <v>2.0</v>
      </c>
      <c r="G38" s="48"/>
      <c r="H38" s="48">
        <f t="shared" si="1"/>
        <v>8.9</v>
      </c>
      <c r="I38" s="44"/>
      <c r="J38" s="50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5.1</v>
      </c>
      <c r="F39" s="47">
        <v>2.0</v>
      </c>
      <c r="G39" s="48"/>
      <c r="H39" s="48">
        <f t="shared" si="1"/>
        <v>7.1</v>
      </c>
      <c r="I39" s="44"/>
      <c r="J39" s="50">
        <f t="shared" si="2"/>
        <v>7</v>
      </c>
      <c r="K39" s="44"/>
      <c r="L39" s="52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7.1</v>
      </c>
      <c r="F40" s="47">
        <v>1.8</v>
      </c>
      <c r="G40" s="48"/>
      <c r="H40" s="48">
        <f t="shared" si="1"/>
        <v>8.9</v>
      </c>
      <c r="I40" s="44"/>
      <c r="J40" s="50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5.8</v>
      </c>
      <c r="F41" s="47">
        <v>1.8</v>
      </c>
      <c r="G41" s="48"/>
      <c r="H41" s="48">
        <f t="shared" si="1"/>
        <v>7.6</v>
      </c>
      <c r="I41" s="44"/>
      <c r="J41" s="50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5.9</v>
      </c>
      <c r="F42" s="47">
        <v>1.8</v>
      </c>
      <c r="G42" s="48"/>
      <c r="H42" s="48">
        <f t="shared" si="1"/>
        <v>7.7</v>
      </c>
      <c r="I42" s="49">
        <v>1.0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6.2</v>
      </c>
      <c r="F43" s="47">
        <v>1.4</v>
      </c>
      <c r="G43" s="48"/>
      <c r="H43" s="48">
        <f t="shared" si="1"/>
        <v>7.6</v>
      </c>
      <c r="I43" s="44"/>
      <c r="J43" s="50">
        <f t="shared" si="2"/>
        <v>8</v>
      </c>
      <c r="K43" s="44"/>
      <c r="L43" s="52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5.5</v>
      </c>
      <c r="F44" s="47">
        <v>1.8</v>
      </c>
      <c r="G44" s="48"/>
      <c r="H44" s="48">
        <f t="shared" si="1"/>
        <v>7.3</v>
      </c>
      <c r="I44" s="49">
        <v>1.0</v>
      </c>
      <c r="J44" s="50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1.9</v>
      </c>
      <c r="G45" s="48"/>
      <c r="H45" s="48">
        <f t="shared" si="1"/>
        <v>9.9</v>
      </c>
      <c r="I45" s="49">
        <v>1.0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5.2</v>
      </c>
      <c r="F46" s="47">
        <v>1.7</v>
      </c>
      <c r="G46" s="47">
        <v>1.0</v>
      </c>
      <c r="H46" s="48">
        <f t="shared" si="1"/>
        <v>7.9</v>
      </c>
      <c r="I46" s="49">
        <v>1.0</v>
      </c>
      <c r="J46" s="50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4.5</v>
      </c>
      <c r="F47" s="47">
        <v>1.6</v>
      </c>
      <c r="G47" s="47">
        <v>1.0</v>
      </c>
      <c r="H47" s="48">
        <f t="shared" si="1"/>
        <v>7.1</v>
      </c>
      <c r="I47" s="44"/>
      <c r="J47" s="50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5.8</v>
      </c>
      <c r="F48" s="47">
        <v>1.5</v>
      </c>
      <c r="G48" s="48"/>
      <c r="H48" s="48">
        <f t="shared" si="1"/>
        <v>7.3</v>
      </c>
      <c r="I48" s="44"/>
      <c r="J48" s="50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7.5</v>
      </c>
      <c r="F49" s="47">
        <v>1.8</v>
      </c>
      <c r="G49" s="48"/>
      <c r="H49" s="48">
        <f t="shared" si="1"/>
        <v>9.3</v>
      </c>
      <c r="I49" s="44"/>
      <c r="J49" s="50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5.3</v>
      </c>
      <c r="F50" s="47">
        <v>1.7</v>
      </c>
      <c r="G50" s="48"/>
      <c r="H50" s="48">
        <f t="shared" si="1"/>
        <v>7</v>
      </c>
      <c r="I50" s="49">
        <v>3.0</v>
      </c>
      <c r="J50" s="50">
        <f t="shared" si="2"/>
        <v>7</v>
      </c>
      <c r="K50" s="44"/>
      <c r="L50" s="52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6.8</v>
      </c>
      <c r="F51" s="47">
        <v>2.0</v>
      </c>
      <c r="G51" s="48"/>
      <c r="H51" s="48">
        <f t="shared" si="1"/>
        <v>8.8</v>
      </c>
      <c r="I51" s="44"/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5.8</v>
      </c>
      <c r="F52" s="47">
        <v>2.0</v>
      </c>
      <c r="G52" s="48"/>
      <c r="H52" s="48">
        <f t="shared" si="1"/>
        <v>7.8</v>
      </c>
      <c r="I52" s="44"/>
      <c r="J52" s="50">
        <f t="shared" si="2"/>
        <v>8</v>
      </c>
      <c r="K52" s="44"/>
      <c r="L52" s="51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7.0</v>
      </c>
      <c r="F53" s="47">
        <v>2.0</v>
      </c>
      <c r="G53" s="48"/>
      <c r="H53" s="48">
        <f t="shared" si="1"/>
        <v>9</v>
      </c>
      <c r="I53" s="44"/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5.4</v>
      </c>
      <c r="F54" s="47">
        <v>1.5</v>
      </c>
      <c r="G54" s="48"/>
      <c r="H54" s="48">
        <f t="shared" si="1"/>
        <v>6.9</v>
      </c>
      <c r="I54" s="44"/>
      <c r="J54" s="50">
        <f t="shared" si="2"/>
        <v>7</v>
      </c>
      <c r="K54" s="44"/>
      <c r="L54" s="51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6.5</v>
      </c>
      <c r="F55" s="47">
        <v>1.2</v>
      </c>
      <c r="G55" s="48"/>
      <c r="H55" s="48">
        <f t="shared" si="1"/>
        <v>7.7</v>
      </c>
      <c r="I55" s="49">
        <v>1.0</v>
      </c>
      <c r="J55" s="50">
        <f t="shared" si="2"/>
        <v>8</v>
      </c>
      <c r="K55" s="44"/>
      <c r="L55" s="51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8.0</v>
      </c>
      <c r="F56" s="47">
        <v>1.8</v>
      </c>
      <c r="G56" s="48"/>
      <c r="H56" s="48">
        <f t="shared" si="1"/>
        <v>9.8</v>
      </c>
      <c r="I56" s="55"/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6" t="s">
        <v>134</v>
      </c>
      <c r="C57" s="45" t="s">
        <v>90</v>
      </c>
      <c r="D57" s="57" t="s">
        <v>135</v>
      </c>
      <c r="E57" s="47">
        <v>6.1</v>
      </c>
      <c r="F57" s="47">
        <v>1.5</v>
      </c>
      <c r="G57" s="47">
        <v>1.0</v>
      </c>
      <c r="H57" s="48">
        <f t="shared" si="1"/>
        <v>8.6</v>
      </c>
      <c r="I57" s="55"/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6" t="s">
        <v>136</v>
      </c>
      <c r="C58" s="45" t="s">
        <v>137</v>
      </c>
      <c r="D58" s="58" t="s">
        <v>138</v>
      </c>
      <c r="E58" s="47">
        <v>8.0</v>
      </c>
      <c r="F58" s="47">
        <v>1.6</v>
      </c>
      <c r="G58" s="47">
        <v>1.0</v>
      </c>
      <c r="H58" s="48">
        <f t="shared" si="1"/>
        <v>10.6</v>
      </c>
      <c r="I58" s="55"/>
      <c r="J58" s="50">
        <f t="shared" si="2"/>
        <v>10</v>
      </c>
      <c r="K58" s="44"/>
      <c r="L58" s="51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56" t="s">
        <v>136</v>
      </c>
      <c r="C59" s="45" t="s">
        <v>139</v>
      </c>
      <c r="D59" s="58" t="s">
        <v>140</v>
      </c>
      <c r="E59" s="47">
        <v>6.2</v>
      </c>
      <c r="F59" s="47">
        <v>1.8</v>
      </c>
      <c r="G59" s="47">
        <v>1.0</v>
      </c>
      <c r="H59" s="48">
        <f t="shared" si="1"/>
        <v>9</v>
      </c>
      <c r="I59" s="55"/>
      <c r="J59" s="50">
        <f t="shared" si="2"/>
        <v>9</v>
      </c>
      <c r="K59" s="44"/>
      <c r="L59" s="51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6" t="s">
        <v>141</v>
      </c>
      <c r="C60" s="45" t="s">
        <v>142</v>
      </c>
      <c r="D60" s="58" t="s">
        <v>143</v>
      </c>
      <c r="E60" s="47">
        <v>6.6</v>
      </c>
      <c r="F60" s="47">
        <v>1.5</v>
      </c>
      <c r="G60" s="47">
        <v>1.0</v>
      </c>
      <c r="H60" s="48">
        <f t="shared" si="1"/>
        <v>9.1</v>
      </c>
      <c r="I60" s="55"/>
      <c r="J60" s="50">
        <f t="shared" si="2"/>
        <v>9</v>
      </c>
      <c r="K60" s="44"/>
      <c r="L60" s="51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6" t="s">
        <v>144</v>
      </c>
      <c r="C61" s="45" t="s">
        <v>145</v>
      </c>
      <c r="D61" s="58" t="s">
        <v>146</v>
      </c>
      <c r="E61" s="47">
        <v>5.3</v>
      </c>
      <c r="F61" s="47">
        <v>2.0</v>
      </c>
      <c r="G61" s="48"/>
      <c r="H61" s="48">
        <f t="shared" si="1"/>
        <v>7.3</v>
      </c>
      <c r="I61" s="55"/>
      <c r="J61" s="50">
        <f t="shared" si="2"/>
        <v>7</v>
      </c>
      <c r="K61" s="44"/>
      <c r="L61" s="51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11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63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69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0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44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1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97.77777778</v>
      </c>
      <c r="E68" s="60"/>
      <c r="F68" s="76" t="s">
        <v>157</v>
      </c>
      <c r="G68" s="60"/>
      <c r="H68" s="77" t="s">
        <v>158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8.444444444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1"/>
      <c r="E71" s="92"/>
      <c r="G71" s="92"/>
      <c r="H71" s="92"/>
      <c r="I71" s="92"/>
      <c r="J71" s="93"/>
      <c r="K71" s="94"/>
      <c r="L71" s="93"/>
      <c r="M71" s="2"/>
      <c r="N71" s="2"/>
      <c r="O71" s="2"/>
      <c r="P71" s="2"/>
      <c r="Q71" s="2"/>
    </row>
    <row r="72" ht="21.75" customHeight="1">
      <c r="A72" s="95"/>
      <c r="B72" s="96"/>
      <c r="C72" s="96"/>
      <c r="D72" s="97"/>
      <c r="E72" s="98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5"/>
      <c r="B73" s="98"/>
      <c r="C73" s="98"/>
      <c r="D73" s="98"/>
      <c r="E73" s="98"/>
      <c r="F73" s="2"/>
      <c r="G73" s="2"/>
      <c r="H73" s="2"/>
      <c r="I73" s="2"/>
      <c r="J73" s="2"/>
      <c r="K73" s="87"/>
      <c r="L73" s="2"/>
      <c r="M73" s="2"/>
      <c r="N73" s="2"/>
      <c r="O73" s="2"/>
      <c r="P73" s="2"/>
      <c r="Q73" s="2"/>
    </row>
    <row r="74" ht="21.75" customHeight="1">
      <c r="A74" s="99"/>
      <c r="B74" s="100"/>
      <c r="C74" s="100"/>
      <c r="D74" s="101"/>
      <c r="E74" s="100"/>
      <c r="F74" s="102"/>
      <c r="G74" s="102"/>
      <c r="H74" s="102"/>
      <c r="I74" s="102"/>
      <c r="J74" s="102"/>
      <c r="K74" s="103"/>
      <c r="L74" s="2"/>
      <c r="M74" s="2"/>
      <c r="N74" s="2"/>
      <c r="O74" s="2"/>
      <c r="P74" s="2"/>
      <c r="Q74" s="2"/>
    </row>
    <row r="75" ht="21.75" customHeight="1">
      <c r="A75" s="104"/>
      <c r="B75" s="98"/>
      <c r="C75" s="98"/>
      <c r="D75" s="93"/>
      <c r="E75" s="98"/>
      <c r="F75" s="2"/>
      <c r="G75" s="2"/>
      <c r="H75" s="2"/>
      <c r="I75" s="2"/>
      <c r="J75" s="105"/>
      <c r="K75" s="105"/>
      <c r="L75" s="105"/>
      <c r="M75" s="2"/>
      <c r="N75" s="2"/>
      <c r="O75" s="2"/>
      <c r="P75" s="2"/>
      <c r="Q75" s="2"/>
    </row>
    <row r="76" ht="21.75" customHeight="1">
      <c r="A76" s="104"/>
      <c r="B76" s="98"/>
      <c r="C76" s="98"/>
      <c r="D76" s="97"/>
      <c r="E76" s="98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notContainsBlanks" dxfId="0" priority="1" stopIfTrue="1">
      <formula>LEN(TRIM(E17))&gt;0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162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06" t="s">
        <v>163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164</v>
      </c>
      <c r="C17" s="45" t="s">
        <v>134</v>
      </c>
      <c r="D17" s="46" t="s">
        <v>165</v>
      </c>
      <c r="E17" s="47">
        <v>4.3</v>
      </c>
      <c r="F17" s="47">
        <v>2.0</v>
      </c>
      <c r="G17" s="48"/>
      <c r="H17" s="48">
        <f t="shared" ref="H17:H56" si="1">SUM(E17:G17)</f>
        <v>6.3</v>
      </c>
      <c r="I17" s="49">
        <v>1.0</v>
      </c>
      <c r="J17" s="50">
        <f t="shared" ref="J17:J56" si="2">IF(H17&lt;6, 5, MIN(ROUND(H17, 0), 10))</f>
        <v>6</v>
      </c>
      <c r="K17" s="51"/>
      <c r="L17" s="52">
        <f t="shared" ref="L17:L56" si="3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166</v>
      </c>
      <c r="C18" s="45" t="s">
        <v>167</v>
      </c>
      <c r="D18" s="46" t="s">
        <v>168</v>
      </c>
      <c r="E18" s="47">
        <v>0.8</v>
      </c>
      <c r="F18" s="47">
        <v>1.0</v>
      </c>
      <c r="G18" s="48"/>
      <c r="H18" s="48">
        <f t="shared" si="1"/>
        <v>1.8</v>
      </c>
      <c r="I18" s="49">
        <v>2.0</v>
      </c>
      <c r="J18" s="50">
        <f t="shared" si="2"/>
        <v>5</v>
      </c>
      <c r="K18" s="44"/>
      <c r="L18" s="52">
        <f t="shared" si="3"/>
        <v>1</v>
      </c>
      <c r="M18" s="54" t="s">
        <v>28</v>
      </c>
      <c r="N18" s="49">
        <v>12.0</v>
      </c>
      <c r="O18" s="2"/>
      <c r="P18" s="2"/>
      <c r="Q18" s="2"/>
    </row>
    <row r="19" ht="24.75" customHeight="1">
      <c r="A19" s="44">
        <v>3.0</v>
      </c>
      <c r="B19" s="45" t="s">
        <v>169</v>
      </c>
      <c r="C19" s="45" t="s">
        <v>170</v>
      </c>
      <c r="D19" s="46" t="s">
        <v>171</v>
      </c>
      <c r="E19" s="47">
        <v>6.7</v>
      </c>
      <c r="F19" s="47">
        <v>1.8</v>
      </c>
      <c r="G19" s="48"/>
      <c r="H19" s="48">
        <f t="shared" si="1"/>
        <v>8.5</v>
      </c>
      <c r="I19" s="49">
        <v>0.0</v>
      </c>
      <c r="J19" s="50">
        <f t="shared" si="2"/>
        <v>9</v>
      </c>
      <c r="K19" s="44"/>
      <c r="L19" s="52">
        <f t="shared" si="3"/>
        <v>9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172</v>
      </c>
      <c r="C20" s="45" t="s">
        <v>69</v>
      </c>
      <c r="D20" s="46" t="s">
        <v>173</v>
      </c>
      <c r="E20" s="47">
        <v>1.1</v>
      </c>
      <c r="F20" s="47">
        <v>0.0</v>
      </c>
      <c r="G20" s="47">
        <v>1.0</v>
      </c>
      <c r="H20" s="48">
        <f t="shared" si="1"/>
        <v>2.1</v>
      </c>
      <c r="I20" s="49">
        <v>4.0</v>
      </c>
      <c r="J20" s="50">
        <f t="shared" si="2"/>
        <v>5</v>
      </c>
      <c r="K20" s="44"/>
      <c r="L20" s="52">
        <f t="shared" si="3"/>
        <v>2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174</v>
      </c>
      <c r="C21" s="45" t="s">
        <v>175</v>
      </c>
      <c r="D21" s="46" t="s">
        <v>176</v>
      </c>
      <c r="E21" s="47">
        <v>6.9</v>
      </c>
      <c r="F21" s="47">
        <v>2.0</v>
      </c>
      <c r="G21" s="48"/>
      <c r="H21" s="48">
        <f t="shared" si="1"/>
        <v>8.9</v>
      </c>
      <c r="I21" s="49">
        <v>0.0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177</v>
      </c>
      <c r="C22" s="45" t="s">
        <v>79</v>
      </c>
      <c r="D22" s="46" t="s">
        <v>178</v>
      </c>
      <c r="E22" s="47">
        <v>3.4</v>
      </c>
      <c r="F22" s="47">
        <v>1.8</v>
      </c>
      <c r="G22" s="48"/>
      <c r="H22" s="48">
        <f t="shared" si="1"/>
        <v>5.2</v>
      </c>
      <c r="I22" s="49">
        <v>3.0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179</v>
      </c>
      <c r="C23" s="45" t="s">
        <v>180</v>
      </c>
      <c r="D23" s="46" t="s">
        <v>181</v>
      </c>
      <c r="E23" s="47">
        <v>7.3</v>
      </c>
      <c r="F23" s="47">
        <v>1.8</v>
      </c>
      <c r="G23" s="48"/>
      <c r="H23" s="48">
        <f t="shared" si="1"/>
        <v>9.1</v>
      </c>
      <c r="I23" s="49">
        <v>1.0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182</v>
      </c>
      <c r="C24" s="45" t="s">
        <v>110</v>
      </c>
      <c r="D24" s="46" t="s">
        <v>183</v>
      </c>
      <c r="E24" s="47">
        <v>3.5</v>
      </c>
      <c r="F24" s="47">
        <v>2.0</v>
      </c>
      <c r="G24" s="47">
        <v>1.0</v>
      </c>
      <c r="H24" s="48">
        <f t="shared" si="1"/>
        <v>6.5</v>
      </c>
      <c r="I24" s="49">
        <v>1.0</v>
      </c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65</v>
      </c>
      <c r="O24" s="2"/>
      <c r="P24" s="2"/>
      <c r="Q24" s="2"/>
    </row>
    <row r="25" ht="24.75" customHeight="1">
      <c r="A25" s="44">
        <v>9.0</v>
      </c>
      <c r="B25" s="45" t="s">
        <v>184</v>
      </c>
      <c r="C25" s="45" t="s">
        <v>102</v>
      </c>
      <c r="D25" s="46" t="s">
        <v>185</v>
      </c>
      <c r="E25" s="47">
        <v>6.5</v>
      </c>
      <c r="F25" s="47">
        <v>2.0</v>
      </c>
      <c r="G25" s="47">
        <v>1.0</v>
      </c>
      <c r="H25" s="48">
        <f t="shared" si="1"/>
        <v>9.5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186</v>
      </c>
      <c r="C26" s="45" t="s">
        <v>187</v>
      </c>
      <c r="D26" s="46" t="s">
        <v>188</v>
      </c>
      <c r="E26" s="47">
        <v>5.6</v>
      </c>
      <c r="F26" s="47">
        <v>2.0</v>
      </c>
      <c r="G26" s="48"/>
      <c r="H26" s="48">
        <f t="shared" si="1"/>
        <v>7.6</v>
      </c>
      <c r="I26" s="49">
        <v>1.0</v>
      </c>
      <c r="J26" s="50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189</v>
      </c>
      <c r="C27" s="45" t="s">
        <v>190</v>
      </c>
      <c r="D27" s="45" t="s">
        <v>191</v>
      </c>
      <c r="E27" s="47">
        <v>1.9</v>
      </c>
      <c r="F27" s="47">
        <v>1.5</v>
      </c>
      <c r="G27" s="48"/>
      <c r="H27" s="48">
        <f t="shared" si="1"/>
        <v>3.4</v>
      </c>
      <c r="I27" s="49">
        <v>3.0</v>
      </c>
      <c r="J27" s="50">
        <f t="shared" si="2"/>
        <v>5</v>
      </c>
      <c r="K27" s="44"/>
      <c r="L27" s="52">
        <f t="shared" si="3"/>
        <v>3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192</v>
      </c>
      <c r="C28" s="45" t="s">
        <v>90</v>
      </c>
      <c r="D28" s="46" t="s">
        <v>193</v>
      </c>
      <c r="E28" s="47">
        <v>7.4</v>
      </c>
      <c r="F28" s="47">
        <v>2.0</v>
      </c>
      <c r="G28" s="47">
        <v>1.0</v>
      </c>
      <c r="H28" s="48">
        <f t="shared" si="1"/>
        <v>10.4</v>
      </c>
      <c r="I28" s="49">
        <v>2.0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194</v>
      </c>
      <c r="D29" s="46" t="s">
        <v>195</v>
      </c>
      <c r="E29" s="47">
        <v>6.0</v>
      </c>
      <c r="F29" s="47">
        <v>2.0</v>
      </c>
      <c r="G29" s="48"/>
      <c r="H29" s="48">
        <f t="shared" si="1"/>
        <v>8</v>
      </c>
      <c r="I29" s="49">
        <v>0.0</v>
      </c>
      <c r="J29" s="50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196</v>
      </c>
      <c r="D30" s="46" t="s">
        <v>197</v>
      </c>
      <c r="E30" s="47">
        <v>3.0</v>
      </c>
      <c r="F30" s="47">
        <v>1.0</v>
      </c>
      <c r="G30" s="48"/>
      <c r="H30" s="48">
        <f t="shared" si="1"/>
        <v>4</v>
      </c>
      <c r="I30" s="49">
        <v>2.0</v>
      </c>
      <c r="J30" s="50">
        <f t="shared" si="2"/>
        <v>5</v>
      </c>
      <c r="K30" s="44"/>
      <c r="L30" s="52">
        <f t="shared" si="3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198</v>
      </c>
      <c r="D31" s="46" t="s">
        <v>199</v>
      </c>
      <c r="E31" s="47">
        <v>4.4</v>
      </c>
      <c r="F31" s="47">
        <v>1.8</v>
      </c>
      <c r="G31" s="48"/>
      <c r="H31" s="48">
        <f t="shared" si="1"/>
        <v>6.2</v>
      </c>
      <c r="I31" s="49">
        <v>1.0</v>
      </c>
      <c r="J31" s="50">
        <f t="shared" si="2"/>
        <v>6</v>
      </c>
      <c r="K31" s="44"/>
      <c r="L31" s="52">
        <f t="shared" si="3"/>
        <v>6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200</v>
      </c>
      <c r="D32" s="46" t="s">
        <v>201</v>
      </c>
      <c r="E32" s="47">
        <v>3.7</v>
      </c>
      <c r="F32" s="47">
        <v>1.0</v>
      </c>
      <c r="G32" s="48"/>
      <c r="H32" s="48">
        <f t="shared" si="1"/>
        <v>4.7</v>
      </c>
      <c r="I32" s="49">
        <v>2.0</v>
      </c>
      <c r="J32" s="50">
        <f t="shared" si="2"/>
        <v>5</v>
      </c>
      <c r="K32" s="44"/>
      <c r="L32" s="52">
        <f t="shared" si="3"/>
        <v>4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202</v>
      </c>
      <c r="C33" s="45" t="s">
        <v>90</v>
      </c>
      <c r="D33" s="46" t="s">
        <v>203</v>
      </c>
      <c r="E33" s="47">
        <v>5.0</v>
      </c>
      <c r="F33" s="47">
        <v>1.0</v>
      </c>
      <c r="G33" s="48"/>
      <c r="H33" s="48">
        <f t="shared" si="1"/>
        <v>6</v>
      </c>
      <c r="I33" s="49">
        <v>1.0</v>
      </c>
      <c r="J33" s="50">
        <f t="shared" si="2"/>
        <v>6</v>
      </c>
      <c r="K33" s="44"/>
      <c r="L33" s="52">
        <f t="shared" si="3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204</v>
      </c>
      <c r="C34" s="45" t="s">
        <v>137</v>
      </c>
      <c r="D34" s="46" t="s">
        <v>205</v>
      </c>
      <c r="E34" s="47">
        <v>1.3</v>
      </c>
      <c r="F34" s="47">
        <v>2.0</v>
      </c>
      <c r="G34" s="48"/>
      <c r="H34" s="48">
        <f t="shared" si="1"/>
        <v>3.3</v>
      </c>
      <c r="I34" s="49">
        <v>0.0</v>
      </c>
      <c r="J34" s="50">
        <f t="shared" si="2"/>
        <v>5</v>
      </c>
      <c r="K34" s="44"/>
      <c r="L34" s="52">
        <f t="shared" si="3"/>
        <v>3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206</v>
      </c>
      <c r="C35" s="45" t="s">
        <v>207</v>
      </c>
      <c r="D35" s="46" t="s">
        <v>197</v>
      </c>
      <c r="E35" s="47">
        <v>4.1</v>
      </c>
      <c r="F35" s="47">
        <v>1.9</v>
      </c>
      <c r="G35" s="48"/>
      <c r="H35" s="48">
        <f t="shared" si="1"/>
        <v>6</v>
      </c>
      <c r="I35" s="49">
        <v>3.0</v>
      </c>
      <c r="J35" s="50">
        <f t="shared" si="2"/>
        <v>6</v>
      </c>
      <c r="K35" s="44"/>
      <c r="L35" s="52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208</v>
      </c>
      <c r="D36" s="46" t="s">
        <v>209</v>
      </c>
      <c r="E36" s="47">
        <v>6.3</v>
      </c>
      <c r="F36" s="47">
        <v>1.9</v>
      </c>
      <c r="G36" s="48"/>
      <c r="H36" s="48">
        <f t="shared" si="1"/>
        <v>8.2</v>
      </c>
      <c r="I36" s="49">
        <v>2.0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210</v>
      </c>
      <c r="E37" s="47">
        <v>5.8</v>
      </c>
      <c r="F37" s="47">
        <v>2.0</v>
      </c>
      <c r="G37" s="48"/>
      <c r="H37" s="48">
        <f t="shared" si="1"/>
        <v>7.8</v>
      </c>
      <c r="I37" s="49">
        <v>1.0</v>
      </c>
      <c r="J37" s="50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211</v>
      </c>
      <c r="D38" s="46" t="s">
        <v>212</v>
      </c>
      <c r="E38" s="47">
        <v>9.0</v>
      </c>
      <c r="F38" s="47">
        <v>2.0</v>
      </c>
      <c r="G38" s="48"/>
      <c r="H38" s="48">
        <f t="shared" si="1"/>
        <v>11</v>
      </c>
      <c r="I38" s="49">
        <v>0.0</v>
      </c>
      <c r="J38" s="50">
        <f t="shared" si="2"/>
        <v>10</v>
      </c>
      <c r="K38" s="44"/>
      <c r="L38" s="52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213</v>
      </c>
      <c r="C39" s="45" t="s">
        <v>214</v>
      </c>
      <c r="D39" s="46" t="s">
        <v>215</v>
      </c>
      <c r="E39" s="47">
        <v>6.7</v>
      </c>
      <c r="F39" s="47">
        <v>2.0</v>
      </c>
      <c r="G39" s="48"/>
      <c r="H39" s="48">
        <f t="shared" si="1"/>
        <v>8.7</v>
      </c>
      <c r="I39" s="49">
        <v>1.0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198</v>
      </c>
      <c r="C40" s="45" t="s">
        <v>33</v>
      </c>
      <c r="D40" s="46" t="s">
        <v>216</v>
      </c>
      <c r="E40" s="47">
        <v>2.1</v>
      </c>
      <c r="F40" s="47">
        <v>1.8</v>
      </c>
      <c r="G40" s="48"/>
      <c r="H40" s="48">
        <f t="shared" si="1"/>
        <v>3.9</v>
      </c>
      <c r="I40" s="49">
        <v>1.0</v>
      </c>
      <c r="J40" s="50">
        <f t="shared" si="2"/>
        <v>5</v>
      </c>
      <c r="K40" s="44"/>
      <c r="L40" s="52">
        <f t="shared" si="3"/>
        <v>3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167</v>
      </c>
      <c r="C41" s="45" t="s">
        <v>217</v>
      </c>
      <c r="D41" s="46" t="s">
        <v>193</v>
      </c>
      <c r="E41" s="47">
        <v>7.4</v>
      </c>
      <c r="F41" s="47">
        <v>1.5</v>
      </c>
      <c r="G41" s="48"/>
      <c r="H41" s="48">
        <f t="shared" si="1"/>
        <v>8.9</v>
      </c>
      <c r="I41" s="49">
        <v>0.0</v>
      </c>
      <c r="J41" s="50">
        <f t="shared" si="2"/>
        <v>9</v>
      </c>
      <c r="K41" s="44"/>
      <c r="L41" s="52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218</v>
      </c>
      <c r="C42" s="45" t="s">
        <v>219</v>
      </c>
      <c r="D42" s="46" t="s">
        <v>220</v>
      </c>
      <c r="E42" s="47">
        <v>5.6</v>
      </c>
      <c r="F42" s="47">
        <v>1.5</v>
      </c>
      <c r="G42" s="48"/>
      <c r="H42" s="48">
        <f t="shared" si="1"/>
        <v>7.1</v>
      </c>
      <c r="I42" s="49">
        <v>3.0</v>
      </c>
      <c r="J42" s="50">
        <f t="shared" si="2"/>
        <v>7</v>
      </c>
      <c r="K42" s="44"/>
      <c r="L42" s="52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187</v>
      </c>
      <c r="C43" s="45" t="s">
        <v>221</v>
      </c>
      <c r="D43" s="46" t="s">
        <v>222</v>
      </c>
      <c r="E43" s="47">
        <v>5.3</v>
      </c>
      <c r="F43" s="47">
        <v>2.0</v>
      </c>
      <c r="G43" s="48"/>
      <c r="H43" s="48">
        <f t="shared" si="1"/>
        <v>7.3</v>
      </c>
      <c r="I43" s="49">
        <v>1.0</v>
      </c>
      <c r="J43" s="50">
        <f t="shared" si="2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223</v>
      </c>
      <c r="C44" s="45" t="s">
        <v>224</v>
      </c>
      <c r="D44" s="46" t="s">
        <v>225</v>
      </c>
      <c r="E44" s="47">
        <v>7.0</v>
      </c>
      <c r="F44" s="47">
        <v>1.8</v>
      </c>
      <c r="G44" s="48"/>
      <c r="H44" s="48">
        <f t="shared" si="1"/>
        <v>8.8</v>
      </c>
      <c r="I44" s="49">
        <v>1.0</v>
      </c>
      <c r="J44" s="50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226</v>
      </c>
      <c r="E45" s="47">
        <v>6.5</v>
      </c>
      <c r="F45" s="47">
        <v>2.0</v>
      </c>
      <c r="G45" s="48"/>
      <c r="H45" s="48">
        <f t="shared" si="1"/>
        <v>8.5</v>
      </c>
      <c r="I45" s="49">
        <v>0.0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227</v>
      </c>
      <c r="C46" s="45" t="s">
        <v>206</v>
      </c>
      <c r="D46" s="46" t="s">
        <v>143</v>
      </c>
      <c r="E46" s="47">
        <v>7.9</v>
      </c>
      <c r="F46" s="47">
        <v>2.0</v>
      </c>
      <c r="G46" s="47">
        <v>1.0</v>
      </c>
      <c r="H46" s="48">
        <f t="shared" si="1"/>
        <v>10.9</v>
      </c>
      <c r="I46" s="49">
        <v>1.0</v>
      </c>
      <c r="J46" s="50">
        <f t="shared" si="2"/>
        <v>10</v>
      </c>
      <c r="K46" s="44"/>
      <c r="L46" s="52">
        <f t="shared" si="3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228</v>
      </c>
      <c r="D47" s="46" t="s">
        <v>229</v>
      </c>
      <c r="E47" s="47">
        <v>6.2</v>
      </c>
      <c r="F47" s="47">
        <v>1.8</v>
      </c>
      <c r="G47" s="47">
        <v>1.0</v>
      </c>
      <c r="H47" s="48">
        <f t="shared" si="1"/>
        <v>9</v>
      </c>
      <c r="I47" s="49">
        <v>2.0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230</v>
      </c>
      <c r="C48" s="45" t="s">
        <v>137</v>
      </c>
      <c r="D48" s="46" t="s">
        <v>231</v>
      </c>
      <c r="E48" s="47">
        <v>8.0</v>
      </c>
      <c r="F48" s="47">
        <v>1.8</v>
      </c>
      <c r="G48" s="47">
        <v>1.0</v>
      </c>
      <c r="H48" s="48">
        <f t="shared" si="1"/>
        <v>10.8</v>
      </c>
      <c r="I48" s="49">
        <v>1.0</v>
      </c>
      <c r="J48" s="50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232</v>
      </c>
      <c r="C49" s="45" t="s">
        <v>233</v>
      </c>
      <c r="D49" s="46" t="s">
        <v>234</v>
      </c>
      <c r="E49" s="47">
        <v>7.5</v>
      </c>
      <c r="F49" s="47">
        <v>2.0</v>
      </c>
      <c r="G49" s="47">
        <v>1.0</v>
      </c>
      <c r="H49" s="48">
        <f t="shared" si="1"/>
        <v>10.5</v>
      </c>
      <c r="I49" s="49">
        <v>1.0</v>
      </c>
      <c r="J49" s="50">
        <f t="shared" si="2"/>
        <v>10</v>
      </c>
      <c r="K49" s="44"/>
      <c r="L49" s="52">
        <f t="shared" si="3"/>
        <v>11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235</v>
      </c>
      <c r="C50" s="45" t="s">
        <v>236</v>
      </c>
      <c r="D50" s="46" t="s">
        <v>237</v>
      </c>
      <c r="E50" s="47">
        <v>6.3</v>
      </c>
      <c r="F50" s="47">
        <v>1.8</v>
      </c>
      <c r="G50" s="47">
        <v>1.0</v>
      </c>
      <c r="H50" s="48">
        <f t="shared" si="1"/>
        <v>9.1</v>
      </c>
      <c r="I50" s="49">
        <v>3.0</v>
      </c>
      <c r="J50" s="50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238</v>
      </c>
      <c r="D51" s="46" t="s">
        <v>239</v>
      </c>
      <c r="E51" s="47">
        <v>6.0</v>
      </c>
      <c r="F51" s="47">
        <v>1.5</v>
      </c>
      <c r="G51" s="47">
        <v>1.0</v>
      </c>
      <c r="H51" s="48">
        <f t="shared" si="1"/>
        <v>8.5</v>
      </c>
      <c r="I51" s="49">
        <v>1.0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175</v>
      </c>
      <c r="D52" s="46" t="s">
        <v>240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241</v>
      </c>
      <c r="C53" s="45" t="s">
        <v>242</v>
      </c>
      <c r="D53" s="46" t="s">
        <v>243</v>
      </c>
      <c r="E53" s="47">
        <v>5.3</v>
      </c>
      <c r="F53" s="47">
        <v>2.0</v>
      </c>
      <c r="G53" s="48"/>
      <c r="H53" s="48">
        <f t="shared" si="1"/>
        <v>7.3</v>
      </c>
      <c r="I53" s="49">
        <v>0.0</v>
      </c>
      <c r="J53" s="50">
        <f t="shared" si="2"/>
        <v>7</v>
      </c>
      <c r="K53" s="44"/>
      <c r="L53" s="51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218</v>
      </c>
      <c r="D54" s="46" t="s">
        <v>244</v>
      </c>
      <c r="E54" s="47">
        <v>7.2</v>
      </c>
      <c r="F54" s="47">
        <v>2.0</v>
      </c>
      <c r="G54" s="48"/>
      <c r="H54" s="48">
        <f t="shared" si="1"/>
        <v>9.2</v>
      </c>
      <c r="I54" s="49">
        <v>2.0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245</v>
      </c>
      <c r="C55" s="45" t="s">
        <v>177</v>
      </c>
      <c r="D55" s="46" t="s">
        <v>71</v>
      </c>
      <c r="E55" s="47">
        <v>5.6</v>
      </c>
      <c r="F55" s="47">
        <v>2.0</v>
      </c>
      <c r="G55" s="48"/>
      <c r="H55" s="48">
        <f t="shared" si="1"/>
        <v>7.6</v>
      </c>
      <c r="I55" s="49">
        <v>0.0</v>
      </c>
      <c r="J55" s="50">
        <f t="shared" si="2"/>
        <v>8</v>
      </c>
      <c r="K55" s="44"/>
      <c r="L55" s="51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246</v>
      </c>
      <c r="C56" s="45" t="s">
        <v>247</v>
      </c>
      <c r="D56" s="46" t="s">
        <v>248</v>
      </c>
      <c r="E56" s="47">
        <v>8.4</v>
      </c>
      <c r="F56" s="47">
        <v>2.0</v>
      </c>
      <c r="G56" s="47">
        <v>1.0</v>
      </c>
      <c r="H56" s="48">
        <f t="shared" si="1"/>
        <v>11.4</v>
      </c>
      <c r="I56" s="49">
        <v>1.0</v>
      </c>
      <c r="J56" s="50">
        <f t="shared" si="2"/>
        <v>10</v>
      </c>
      <c r="K56" s="44"/>
      <c r="L56" s="51">
        <f t="shared" si="3"/>
        <v>11</v>
      </c>
      <c r="M56" s="1"/>
      <c r="N56" s="1"/>
      <c r="O56" s="2"/>
      <c r="P56" s="2"/>
      <c r="Q56" s="2"/>
    </row>
    <row r="57" ht="24.75" customHeight="1">
      <c r="A57" s="6"/>
      <c r="B57" s="59"/>
      <c r="C57" s="59"/>
      <c r="D57" s="11"/>
      <c r="E57" s="60"/>
      <c r="F57" s="60"/>
      <c r="G57" s="60"/>
      <c r="H57" s="60"/>
      <c r="I57" s="11"/>
      <c r="J57" s="59"/>
      <c r="K57" s="7"/>
      <c r="L57" s="59"/>
      <c r="M57" s="1"/>
      <c r="N57" s="1"/>
      <c r="O57" s="2"/>
      <c r="P57" s="2"/>
      <c r="Q57" s="2"/>
    </row>
    <row r="58" ht="24.75" customHeight="1">
      <c r="A58" s="1"/>
      <c r="B58" s="61" t="s">
        <v>147</v>
      </c>
      <c r="C58" s="62"/>
      <c r="D58" s="63">
        <f>COUNT(A17:A56)</f>
        <v>40</v>
      </c>
      <c r="E58" s="60"/>
      <c r="F58" s="64" t="s">
        <v>148</v>
      </c>
      <c r="G58" s="60"/>
      <c r="H58" s="64" t="s">
        <v>149</v>
      </c>
      <c r="J58" s="65" t="s">
        <v>150</v>
      </c>
      <c r="K58" s="66" t="s">
        <v>151</v>
      </c>
      <c r="L58" s="59"/>
      <c r="M58" s="1"/>
      <c r="N58" s="1"/>
      <c r="O58" s="2"/>
      <c r="P58" s="2"/>
      <c r="Q58" s="2"/>
    </row>
    <row r="59" ht="24.75" customHeight="1">
      <c r="A59" s="1"/>
      <c r="B59" s="67" t="s">
        <v>152</v>
      </c>
      <c r="C59" s="68"/>
      <c r="D59" s="69">
        <f>COUNTIF(J17:J56,"BAJA")</f>
        <v>0</v>
      </c>
      <c r="E59" s="60"/>
      <c r="G59" s="60"/>
      <c r="K59" s="9"/>
      <c r="L59" s="59"/>
      <c r="M59" s="1"/>
      <c r="N59" s="1"/>
      <c r="O59" s="2"/>
      <c r="P59" s="2"/>
      <c r="Q59" s="2"/>
    </row>
    <row r="60" ht="24.75" customHeight="1">
      <c r="A60" s="1"/>
      <c r="B60" s="67" t="s">
        <v>153</v>
      </c>
      <c r="C60" s="68"/>
      <c r="D60" s="70">
        <f>D58-D59</f>
        <v>40</v>
      </c>
      <c r="E60" s="60"/>
      <c r="F60" s="60"/>
      <c r="G60" s="60"/>
      <c r="H60" s="60"/>
      <c r="I60" s="11"/>
      <c r="J60" s="59"/>
      <c r="K60" s="7"/>
      <c r="L60" s="59"/>
      <c r="M60" s="1"/>
      <c r="N60" s="1"/>
      <c r="O60" s="2"/>
      <c r="P60" s="2"/>
      <c r="Q60" s="2"/>
    </row>
    <row r="61" ht="24.75" customHeight="1">
      <c r="A61" s="1"/>
      <c r="B61" s="67" t="s">
        <v>154</v>
      </c>
      <c r="C61" s="68"/>
      <c r="D61" s="71">
        <f>COUNTIF(J17:J56,"&gt;=6")</f>
        <v>32</v>
      </c>
      <c r="E61" s="60"/>
      <c r="F61" s="60"/>
      <c r="G61" s="60"/>
      <c r="H61" s="60"/>
      <c r="I61" s="11"/>
      <c r="J61" s="59"/>
      <c r="K61" s="7"/>
      <c r="L61" s="59"/>
      <c r="M61" s="1"/>
      <c r="N61" s="1"/>
      <c r="O61" s="2"/>
      <c r="P61" s="2"/>
      <c r="Q61" s="2"/>
    </row>
    <row r="62" ht="24.75" customHeight="1">
      <c r="A62" s="1"/>
      <c r="B62" s="67" t="s">
        <v>155</v>
      </c>
      <c r="C62" s="68"/>
      <c r="D62" s="71">
        <f>D60-D61</f>
        <v>8</v>
      </c>
      <c r="E62" s="60"/>
      <c r="F62" s="72"/>
      <c r="G62" s="60"/>
      <c r="H62" s="72"/>
      <c r="I62" s="107"/>
      <c r="J62" s="73"/>
      <c r="K62" s="74"/>
      <c r="L62" s="59"/>
      <c r="M62" s="1"/>
      <c r="N62" s="1"/>
      <c r="O62" s="2"/>
      <c r="P62" s="2"/>
      <c r="Q62" s="2"/>
    </row>
    <row r="63" ht="36.0" customHeight="1">
      <c r="A63" s="1"/>
      <c r="B63" s="67" t="s">
        <v>156</v>
      </c>
      <c r="C63" s="68"/>
      <c r="D63" s="75">
        <f>D61*100/D60</f>
        <v>80</v>
      </c>
      <c r="E63" s="60"/>
      <c r="F63" s="76" t="s">
        <v>157</v>
      </c>
      <c r="G63" s="60"/>
      <c r="H63" s="77" t="s">
        <v>158</v>
      </c>
      <c r="J63" s="78" t="s">
        <v>159</v>
      </c>
      <c r="K63" s="79" t="s">
        <v>160</v>
      </c>
      <c r="L63" s="59"/>
      <c r="M63" s="1"/>
      <c r="N63" s="1"/>
      <c r="O63" s="2"/>
      <c r="P63" s="2"/>
      <c r="Q63" s="2"/>
    </row>
    <row r="64" ht="24.75" customHeight="1">
      <c r="A64" s="1"/>
      <c r="B64" s="80" t="s">
        <v>161</v>
      </c>
      <c r="C64" s="81"/>
      <c r="D64" s="82">
        <f>AVERAGE(J17:J56)</f>
        <v>7.775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83"/>
      <c r="B65" s="84"/>
      <c r="C65" s="84"/>
      <c r="D65" s="86"/>
      <c r="E65" s="85"/>
      <c r="F65" s="85"/>
      <c r="G65" s="85"/>
      <c r="H65" s="85"/>
      <c r="I65" s="86"/>
      <c r="J65" s="84"/>
      <c r="K65" s="87"/>
      <c r="L65" s="84"/>
      <c r="M65" s="2"/>
      <c r="N65" s="2"/>
      <c r="O65" s="2"/>
      <c r="P65" s="2"/>
      <c r="Q65" s="2"/>
    </row>
    <row r="66" ht="24.75" customHeight="1">
      <c r="A66" s="88"/>
      <c r="B66" s="89"/>
      <c r="C66" s="90"/>
      <c r="D66" s="90"/>
      <c r="E66" s="92"/>
      <c r="G66" s="92"/>
      <c r="H66" s="92"/>
      <c r="I66" s="92"/>
      <c r="J66" s="93"/>
      <c r="K66" s="94"/>
      <c r="L66" s="93"/>
      <c r="M66" s="2"/>
      <c r="N66" s="2"/>
      <c r="O66" s="2"/>
      <c r="P66" s="2"/>
      <c r="Q66" s="2"/>
    </row>
    <row r="67" ht="24.75" customHeight="1">
      <c r="A67" s="108"/>
      <c r="B67" s="93"/>
      <c r="C67" s="93"/>
      <c r="D67" s="93"/>
      <c r="E67" s="92"/>
      <c r="F67" s="85"/>
      <c r="G67" s="85"/>
      <c r="H67" s="85"/>
      <c r="I67" s="85"/>
      <c r="J67" s="84"/>
      <c r="K67" s="87"/>
      <c r="L67" s="84"/>
      <c r="M67" s="2"/>
      <c r="N67" s="2"/>
      <c r="O67" s="2"/>
      <c r="P67" s="2"/>
      <c r="Q67" s="2"/>
    </row>
    <row r="68" ht="24.75" customHeight="1">
      <c r="A68" s="108"/>
      <c r="B68" s="93"/>
      <c r="C68" s="93"/>
      <c r="D68" s="97"/>
      <c r="E68" s="92"/>
      <c r="F68" s="85"/>
      <c r="G68" s="85"/>
      <c r="H68" s="85"/>
      <c r="I68" s="85"/>
      <c r="J68" s="84"/>
      <c r="K68" s="87"/>
      <c r="L68" s="84"/>
      <c r="M68" s="2"/>
      <c r="N68" s="2"/>
      <c r="O68" s="2"/>
      <c r="P68" s="2"/>
      <c r="Q68" s="2"/>
    </row>
    <row r="69" ht="24.75" customHeight="1">
      <c r="A69" s="109"/>
      <c r="B69" s="101"/>
      <c r="C69" s="101"/>
      <c r="D69" s="110"/>
      <c r="E69" s="111"/>
      <c r="F69" s="112"/>
      <c r="G69" s="112"/>
      <c r="H69" s="112"/>
      <c r="I69" s="112"/>
      <c r="J69" s="113"/>
      <c r="K69" s="103"/>
      <c r="L69" s="84"/>
      <c r="M69" s="2"/>
      <c r="N69" s="2"/>
      <c r="O69" s="2"/>
      <c r="P69" s="2"/>
      <c r="Q69" s="2"/>
    </row>
    <row r="70" ht="24.75" customHeight="1">
      <c r="A70" s="2"/>
      <c r="B70" s="93"/>
      <c r="C70" s="93"/>
      <c r="D70" s="93"/>
      <c r="E70" s="92"/>
      <c r="F70" s="85"/>
      <c r="G70" s="85"/>
      <c r="H70" s="85"/>
      <c r="I70" s="86"/>
      <c r="J70" s="114"/>
      <c r="K70" s="105"/>
      <c r="L70" s="114"/>
      <c r="M70" s="2"/>
      <c r="N70" s="2"/>
      <c r="O70" s="2"/>
      <c r="P70" s="2"/>
      <c r="Q70" s="2"/>
    </row>
    <row r="71" ht="24.75" customHeight="1">
      <c r="A71" s="2"/>
      <c r="B71" s="93"/>
      <c r="C71" s="93"/>
      <c r="D71" s="93"/>
      <c r="E71" s="92"/>
      <c r="F71" s="85"/>
      <c r="G71" s="85"/>
      <c r="H71" s="85"/>
      <c r="I71" s="85"/>
      <c r="J71" s="114"/>
      <c r="K71" s="105"/>
      <c r="L71" s="114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notContainsBlanks" dxfId="0" priority="1" stopIfTrue="1">
      <formula>LEN(TRIM(E17))&gt;0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