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temas selectos de igualdad " sheetId="1" r:id="rId5"/>
    <sheet state="visible" name="2-2 temas selectos de igualdad " sheetId="2" r:id="rId6"/>
    <sheet state="visible" name="2-3 temas selectos de igualdad " sheetId="3" r:id="rId7"/>
  </sheets>
  <definedNames/>
  <calcPr/>
</workbook>
</file>

<file path=xl/sharedStrings.xml><?xml version="1.0" encoding="utf-8"?>
<sst xmlns="http://schemas.openxmlformats.org/spreadsheetml/2006/main" count="583" uniqueCount="365">
  <si>
    <t>ESCUELA PREPARATORIA OFICIAL NÚM. 67</t>
  </si>
  <si>
    <t xml:space="preserve">CONTROL PRIMER PARCIAL </t>
  </si>
  <si>
    <t xml:space="preserve">PROFESOR (A): </t>
  </si>
  <si>
    <t>ALEJANDRA GONZÁLEZ CORTÉS</t>
  </si>
  <si>
    <t>II</t>
  </si>
  <si>
    <t>III</t>
  </si>
  <si>
    <t>PUNTAJE EXTRA</t>
  </si>
  <si>
    <t>SEGUNDO SEMESTRE
MATUTINO</t>
  </si>
  <si>
    <t>UAC</t>
  </si>
  <si>
    <t>TEMAS SELECTOS DE IGUALDAD Y DERECHOS HUMANOS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</si>
  <si>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</si>
  <si>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</si>
  <si>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</si>
  <si>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</si>
  <si>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</si>
  <si>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</si>
  <si>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</si>
  <si>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</si>
  <si>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</si>
  <si>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</si>
  <si>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</si>
  <si>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</si>
  <si>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VARELA</t>
  </si>
  <si>
    <t>ISAIAS HAZAEL</t>
  </si>
  <si>
    <t>HORAS IMPARTIDAS</t>
  </si>
  <si>
    <t>ANDRADE</t>
  </si>
  <si>
    <t>LOPEZ</t>
  </si>
  <si>
    <t>DAVID EMILIANO</t>
  </si>
  <si>
    <t>Febrero</t>
  </si>
  <si>
    <t>ARELLANO</t>
  </si>
  <si>
    <t>RAMIREZ</t>
  </si>
  <si>
    <t>ALEJANDRO</t>
  </si>
  <si>
    <t>Marzo</t>
  </si>
  <si>
    <t>AVILA</t>
  </si>
  <si>
    <t>GARCIA</t>
  </si>
  <si>
    <t>PARIS PAOLETTE</t>
  </si>
  <si>
    <t>Abril</t>
  </si>
  <si>
    <t>BARRERA</t>
  </si>
  <si>
    <t>NAEEM</t>
  </si>
  <si>
    <t>Mayo</t>
  </si>
  <si>
    <t>BLANCO</t>
  </si>
  <si>
    <t>JARAMILLO</t>
  </si>
  <si>
    <t>INGRID NATALIA</t>
  </si>
  <si>
    <t>Junio</t>
  </si>
  <si>
    <t>CARLOS</t>
  </si>
  <si>
    <t>DE LA CRUZ</t>
  </si>
  <si>
    <t>JAVIER</t>
  </si>
  <si>
    <t>Julio</t>
  </si>
  <si>
    <t>CARRICHE</t>
  </si>
  <si>
    <t>HERNANDEZ</t>
  </si>
  <si>
    <t>DIEGO IVAN</t>
  </si>
  <si>
    <t>TOTAL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</si>
  <si>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</si>
  <si>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</si>
  <si>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</si>
  <si>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</si>
  <si>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</si>
  <si>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</si>
  <si>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</si>
  <si>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</si>
  <si>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</si>
  <si>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</si>
  <si>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</si>
  <si>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</si>
  <si>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</si>
  <si>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</si>
  <si>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</si>
  <si>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</si>
  <si>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</si>
  <si>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</si>
  <si>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</si>
  <si>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</si>
  <si>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</si>
  <si>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</si>
  <si>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</si>
  <si>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</si>
  <si>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</si>
  <si>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FLORES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</si>
  <si>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</si>
  <si>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</si>
  <si>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</si>
  <si>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</si>
  <si>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</si>
  <si>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</si>
  <si>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</si>
  <si>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</si>
  <si>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</si>
  <si>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</si>
  <si>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</si>
  <si>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</si>
  <si>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</si>
  <si>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</si>
  <si>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</si>
  <si>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</si>
  <si>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</si>
  <si>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</si>
  <si>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</si>
  <si>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</si>
  <si>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</si>
  <si>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</si>
  <si>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</si>
  <si>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</si>
  <si>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</si>
  <si>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</si>
  <si>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</si>
  <si>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</si>
  <si>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</si>
  <si>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</si>
  <si>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</si>
  <si>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</si>
  <si>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</si>
  <si>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</si>
  <si>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</si>
  <si>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</si>
  <si>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</si>
  <si>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</si>
  <si>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</si>
  <si>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</si>
  <si>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</si>
  <si>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</si>
  <si>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</si>
  <si>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</si>
  <si>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</si>
  <si>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</si>
  <si>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</si>
  <si>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</si>
  <si>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</si>
  <si>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</si>
  <si>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</si>
  <si>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</si>
  <si>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</si>
  <si>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ROMAN</t>
  </si>
  <si>
    <t>XIMENA</t>
  </si>
  <si>
    <t>TREJO</t>
  </si>
  <si>
    <t>HUGO DASTAN</t>
  </si>
  <si>
    <t>ROSAS</t>
  </si>
  <si>
    <t>XOCHITL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</si>
  <si>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</si>
  <si>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</si>
  <si>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</si>
  <si>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</si>
  <si>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</si>
  <si>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</si>
  <si>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</si>
  <si>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</si>
  <si>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</si>
  <si>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</si>
  <si>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</si>
  <si>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</si>
  <si>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</si>
  <si>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</si>
  <si>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</si>
  <si>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</si>
  <si>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</si>
  <si>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</si>
  <si>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</si>
  <si>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</si>
  <si>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</si>
  <si>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</si>
  <si>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</si>
  <si>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</si>
  <si>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</si>
  <si>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</si>
  <si>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</si>
  <si>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</si>
  <si>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</si>
  <si>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</si>
  <si>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</si>
  <si>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</si>
  <si>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</si>
  <si>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</si>
  <si>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</si>
  <si>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SANDRA DIAZ CAMARENA</t>
  </si>
  <si>
    <t>PROFR. OCTAVIO VÁZQUEZ BARRETO</t>
  </si>
  <si>
    <t xml:space="preserve">PROFR. ROBERTO PALOMARES MEJÍA </t>
  </si>
  <si>
    <t>PROMEDIO</t>
  </si>
  <si>
    <t>CUARTO SEMESTRE
MATUTINO</t>
  </si>
  <si>
    <t>TEMAS SELECTOS DE IGUALDAD Y DERECHOS HUMANOS IV</t>
  </si>
  <si>
    <t>2°</t>
  </si>
  <si>
    <t>ALDANA</t>
  </si>
  <si>
    <t>AMANDA</t>
  </si>
  <si>
    <t>ALTAMIRANO</t>
  </si>
  <si>
    <t>JONATHAN JESUS</t>
  </si>
  <si>
    <t>ARREOLA</t>
  </si>
  <si>
    <t>CORONADO</t>
  </si>
  <si>
    <t>EMILIANO</t>
  </si>
  <si>
    <t>BARCENAS</t>
  </si>
  <si>
    <t>ERICK SANTIAGO</t>
  </si>
  <si>
    <t>BERNABE</t>
  </si>
  <si>
    <t>GABRIEL</t>
  </si>
  <si>
    <t>CAMACHO</t>
  </si>
  <si>
    <t>GAMEZ</t>
  </si>
  <si>
    <t>VANIA ELI</t>
  </si>
  <si>
    <t>CARMONA</t>
  </si>
  <si>
    <t>PAOLA MONTSERRAT</t>
  </si>
  <si>
    <t>CASTAÑEDA</t>
  </si>
  <si>
    <t>SELENE AGUSTINA</t>
  </si>
  <si>
    <t>CHAVEZ</t>
  </si>
  <si>
    <t>YOHAN ZAID</t>
  </si>
  <si>
    <t>DE HOYOS</t>
  </si>
  <si>
    <t>MANCILLA</t>
  </si>
  <si>
    <t>JESUS EMILIANO</t>
  </si>
  <si>
    <t>OMAR</t>
  </si>
  <si>
    <t>DEL OLMO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</si>
  <si>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</si>
  <si>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</si>
  <si>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</si>
  <si>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</si>
  <si>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</si>
  <si>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</si>
  <si>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</si>
  <si>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</si>
  <si>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</si>
  <si>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</si>
  <si>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</si>
  <si>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</si>
  <si>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</si>
  <si>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</si>
  <si>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</si>
  <si>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</si>
  <si>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</si>
  <si>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</si>
  <si>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</si>
  <si>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</si>
  <si>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</si>
  <si>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</si>
  <si>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</si>
  <si>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</si>
  <si>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</si>
  <si>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</si>
  <si>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</si>
  <si>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</si>
  <si>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</si>
  <si>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</si>
  <si>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</si>
  <si>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MORALES</t>
  </si>
  <si>
    <t>BACA</t>
  </si>
  <si>
    <t>JUANA DULEYN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</si>
  <si>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</si>
  <si>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</si>
  <si>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</si>
  <si>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</si>
  <si>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</si>
  <si>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</si>
  <si>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</si>
  <si>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</si>
  <si>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</si>
  <si>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</si>
  <si>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</si>
  <si>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</si>
  <si>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</si>
  <si>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</si>
  <si>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</si>
  <si>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</si>
  <si>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</si>
  <si>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</si>
  <si>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</si>
  <si>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</si>
  <si>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</si>
  <si>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</si>
  <si>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</si>
  <si>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</si>
  <si>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</si>
  <si>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</si>
  <si>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</si>
  <si>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</si>
  <si>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</si>
  <si>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</si>
  <si>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</si>
  <si>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</si>
  <si>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</si>
  <si>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PADILLA</t>
  </si>
  <si>
    <t>DANIELA</t>
  </si>
  <si>
    <t>NAVARRETE</t>
  </si>
  <si>
    <t>PAOLA QUETZAL</t>
  </si>
  <si>
    <t>VALENCIA</t>
  </si>
  <si>
    <t>TRINIDAD</t>
  </si>
  <si>
    <t>CINTHYA XIMENA</t>
  </si>
  <si>
    <t>MANZANARES</t>
  </si>
  <si>
    <t>DANIEL</t>
  </si>
  <si>
    <t>TOLEDO</t>
  </si>
  <si>
    <t>YOAV EMMANUEL</t>
  </si>
  <si>
    <t>PROFRA. ANA ISABEL CORREA SALGADO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</si>
  <si>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</si>
  <si>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</si>
  <si>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</si>
  <si>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</si>
  <si>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</si>
  <si>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</si>
  <si>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</si>
  <si>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</si>
  <si>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</si>
  <si>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</si>
  <si>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</si>
  <si>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</si>
  <si>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</si>
  <si>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</si>
  <si>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</si>
  <si>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</si>
  <si>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</si>
  <si>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</si>
  <si>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</si>
  <si>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</si>
  <si>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</si>
  <si>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</si>
  <si>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</si>
  <si>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</si>
  <si>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</si>
  <si>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</si>
  <si>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</si>
  <si>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</si>
  <si>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</si>
  <si>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</si>
  <si>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</si>
  <si>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</si>
  <si>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</si>
  <si>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</si>
  <si>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</si>
  <si>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</si>
  <si>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</si>
  <si>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</si>
  <si>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</si>
  <si>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</si>
  <si>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</si>
  <si>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</si>
  <si>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</si>
  <si>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</si>
  <si>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</si>
  <si>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</si>
  <si>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</si>
  <si>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</si>
  <si>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</si>
  <si>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</si>
  <si>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</si>
  <si>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</si>
  <si>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</si>
  <si>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</si>
  <si>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</si>
  <si>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</si>
  <si>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</si>
  <si>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</si>
  <si>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</si>
  <si>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</si>
  <si>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</si>
  <si>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</si>
  <si>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</si>
  <si>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</si>
  <si>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</si>
  <si>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</si>
  <si>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</si>
  <si>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</si>
  <si>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</si>
  <si>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</si>
  <si>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</si>
  <si>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</si>
  <si>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</si>
  <si>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</si>
  <si>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</si>
  <si>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</si>
  <si>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</si>
  <si>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</si>
  <si>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</si>
  <si>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</si>
  <si>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</si>
  <si>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 xml:space="preserve">PROFA. JUANA RANGEL PALACIOS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</si>
</sst>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readingOrder="0" shrinkToFit="0" vertical="center" wrapText="0"/>
    </xf>
    <xf borderId="23" fillId="3" fontId="1" numFmtId="0" xfId="0" applyAlignment="1" applyBorder="1" applyFill="1" applyFont="1">
      <alignment horizontal="center" readingOrder="0" shrinkToFit="0" vertical="center" wrapText="0"/>
    </xf>
    <xf borderId="23" fillId="3" fontId="1" numFmtId="164" xfId="0" applyAlignment="1" applyBorder="1" applyFont="1" applyNumberFormat="1">
      <alignment horizontal="center" readingOrder="0" vertical="center"/>
    </xf>
    <xf borderId="23" fillId="3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3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" xfId="0" applyAlignment="1" applyBorder="1" applyFont="1" applyNumberFormat="1">
      <alignment horizontal="center" shrinkToFit="0" vertical="center" wrapText="0"/>
    </xf>
    <xf borderId="23" fillId="3" fontId="1" numFmtId="1" xfId="0" applyAlignment="1" applyBorder="1" applyFont="1" applyNumberFormat="1">
      <alignment horizontal="center" readingOrder="0" shrinkToFit="0" vertical="center" wrapText="0"/>
    </xf>
    <xf borderId="23" fillId="0" fontId="1" numFmtId="0" xfId="0" applyAlignment="1" applyBorder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12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3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3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74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257175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9">
        <f t="shared" ref="H17:H70" si="1">SUM(E17:G17)</f>
        <v>10</v>
      </c>
      <c r="I17" s="50">
        <v>0.0</v>
      </c>
      <c r="J17" s="51">
        <f t="shared" ref="J17:J70" si="2">MIN(10, IF(H17 &lt; 6, 5, ROUND(H17, 0)))</f>
        <v>10</v>
      </c>
      <c r="K17" s="52"/>
      <c r="L17" s="53">
        <f t="shared" ref="L17:L68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8"/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7.2</v>
      </c>
      <c r="F19" s="47">
        <v>2.0</v>
      </c>
      <c r="G19" s="48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8.0</v>
      </c>
      <c r="F20" s="47">
        <v>2.0</v>
      </c>
      <c r="G20" s="48"/>
      <c r="H20" s="49">
        <f t="shared" si="1"/>
        <v>10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37</v>
      </c>
      <c r="C21" s="56"/>
      <c r="D21" s="46" t="s">
        <v>38</v>
      </c>
      <c r="E21" s="47">
        <v>8.0</v>
      </c>
      <c r="F21" s="47">
        <v>2.0</v>
      </c>
      <c r="G21" s="48"/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5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8.0</v>
      </c>
      <c r="F22" s="47">
        <v>2.0</v>
      </c>
      <c r="G22" s="47"/>
      <c r="H22" s="49">
        <f t="shared" si="1"/>
        <v>10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5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7.2</v>
      </c>
      <c r="F23" s="47">
        <v>2.0</v>
      </c>
      <c r="G23" s="47"/>
      <c r="H23" s="49">
        <f t="shared" si="1"/>
        <v>9.2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5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7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5" t="s">
        <v>51</v>
      </c>
      <c r="N24" s="55">
        <f>SUM(N18:N23)</f>
        <v>5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7"/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6.4</v>
      </c>
      <c r="F26" s="47">
        <v>2.0</v>
      </c>
      <c r="G26" s="47"/>
      <c r="H26" s="49">
        <f t="shared" si="1"/>
        <v>8.4</v>
      </c>
      <c r="I26" s="50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8.0</v>
      </c>
      <c r="F27" s="47">
        <v>2.0</v>
      </c>
      <c r="G27" s="48"/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8.0</v>
      </c>
      <c r="F28" s="47">
        <v>2.0</v>
      </c>
      <c r="G28" s="48"/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61</v>
      </c>
      <c r="C29" s="45" t="s">
        <v>64</v>
      </c>
      <c r="D29" s="46" t="s">
        <v>65</v>
      </c>
      <c r="E29" s="47">
        <v>8.0</v>
      </c>
      <c r="F29" s="47">
        <v>2.0</v>
      </c>
      <c r="G29" s="47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7"/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8.0</v>
      </c>
      <c r="F31" s="47">
        <v>2.0</v>
      </c>
      <c r="G31" s="47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53</v>
      </c>
      <c r="C32" s="45" t="s">
        <v>72</v>
      </c>
      <c r="D32" s="46" t="s">
        <v>73</v>
      </c>
      <c r="E32" s="47">
        <v>8.0</v>
      </c>
      <c r="F32" s="47">
        <v>2.0</v>
      </c>
      <c r="G32" s="47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74</v>
      </c>
      <c r="C33" s="45" t="s">
        <v>75</v>
      </c>
      <c r="D33" s="46" t="s">
        <v>76</v>
      </c>
      <c r="E33" s="47">
        <v>7.2</v>
      </c>
      <c r="F33" s="47">
        <v>2.0</v>
      </c>
      <c r="G33" s="47"/>
      <c r="H33" s="49">
        <f t="shared" si="1"/>
        <v>9.2</v>
      </c>
      <c r="I33" s="50">
        <v>0.0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34</v>
      </c>
      <c r="D34" s="46" t="s">
        <v>78</v>
      </c>
      <c r="E34" s="47">
        <v>8.0</v>
      </c>
      <c r="F34" s="47">
        <v>2.0</v>
      </c>
      <c r="G34" s="47"/>
      <c r="H34" s="49">
        <f t="shared" si="1"/>
        <v>10</v>
      </c>
      <c r="I34" s="50">
        <v>0.0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34</v>
      </c>
      <c r="C35" s="45" t="s">
        <v>79</v>
      </c>
      <c r="D35" s="46" t="s">
        <v>80</v>
      </c>
      <c r="E35" s="47">
        <v>8.0</v>
      </c>
      <c r="F35" s="47">
        <v>2.0</v>
      </c>
      <c r="G35" s="47"/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67</v>
      </c>
      <c r="C36" s="45" t="s">
        <v>81</v>
      </c>
      <c r="D36" s="46" t="s">
        <v>82</v>
      </c>
      <c r="E36" s="47">
        <v>7.2</v>
      </c>
      <c r="F36" s="47">
        <v>2.0</v>
      </c>
      <c r="G36" s="48"/>
      <c r="H36" s="49">
        <f t="shared" si="1"/>
        <v>9.2</v>
      </c>
      <c r="I36" s="50">
        <v>0.0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67</v>
      </c>
      <c r="C37" s="45" t="s">
        <v>83</v>
      </c>
      <c r="D37" s="46" t="s">
        <v>84</v>
      </c>
      <c r="E37" s="47">
        <v>7.2</v>
      </c>
      <c r="F37" s="47">
        <v>2.0</v>
      </c>
      <c r="G37" s="47"/>
      <c r="H37" s="49">
        <f t="shared" si="1"/>
        <v>9.2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86</v>
      </c>
      <c r="D38" s="46" t="s">
        <v>87</v>
      </c>
      <c r="E38" s="47">
        <v>8.0</v>
      </c>
      <c r="F38" s="47">
        <v>2.0</v>
      </c>
      <c r="G38" s="48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7" t="s">
        <v>49</v>
      </c>
      <c r="C39" s="57" t="s">
        <v>88</v>
      </c>
      <c r="D39" s="46" t="s">
        <v>89</v>
      </c>
      <c r="E39" s="47">
        <v>7.2</v>
      </c>
      <c r="F39" s="47">
        <v>2.0</v>
      </c>
      <c r="G39" s="47"/>
      <c r="H39" s="49">
        <f t="shared" si="1"/>
        <v>9.2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49</v>
      </c>
      <c r="C40" s="45" t="s">
        <v>90</v>
      </c>
      <c r="D40" s="46" t="s">
        <v>91</v>
      </c>
      <c r="E40" s="47">
        <v>8.0</v>
      </c>
      <c r="F40" s="47">
        <v>2.0</v>
      </c>
      <c r="G40" s="48"/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49</v>
      </c>
      <c r="C41" s="45" t="s">
        <v>92</v>
      </c>
      <c r="D41" s="46" t="s">
        <v>93</v>
      </c>
      <c r="E41" s="47">
        <v>8.0</v>
      </c>
      <c r="F41" s="47">
        <v>2.0</v>
      </c>
      <c r="G41" s="47"/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41</v>
      </c>
      <c r="C42" s="45" t="s">
        <v>94</v>
      </c>
      <c r="D42" s="46" t="s">
        <v>95</v>
      </c>
      <c r="E42" s="47">
        <v>7.2</v>
      </c>
      <c r="F42" s="47">
        <v>2.0</v>
      </c>
      <c r="G42" s="47"/>
      <c r="H42" s="49">
        <f t="shared" si="1"/>
        <v>9.2</v>
      </c>
      <c r="I42" s="50">
        <v>0.0</v>
      </c>
      <c r="J42" s="51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33</v>
      </c>
      <c r="D43" s="46" t="s">
        <v>97</v>
      </c>
      <c r="E43" s="47">
        <v>8.0</v>
      </c>
      <c r="F43" s="47">
        <v>2.0</v>
      </c>
      <c r="G43" s="48"/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26</v>
      </c>
      <c r="C44" s="45" t="s">
        <v>98</v>
      </c>
      <c r="D44" s="46" t="s">
        <v>99</v>
      </c>
      <c r="E44" s="47">
        <v>7.2</v>
      </c>
      <c r="F44" s="47">
        <v>2.0</v>
      </c>
      <c r="G44" s="47"/>
      <c r="H44" s="49">
        <f t="shared" si="1"/>
        <v>9.2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26</v>
      </c>
      <c r="C45" s="45" t="s">
        <v>100</v>
      </c>
      <c r="D45" s="46" t="s">
        <v>101</v>
      </c>
      <c r="E45" s="47">
        <v>8.0</v>
      </c>
      <c r="F45" s="47">
        <v>2.0</v>
      </c>
      <c r="G45" s="47"/>
      <c r="H45" s="49">
        <f t="shared" si="1"/>
        <v>10</v>
      </c>
      <c r="I45" s="50">
        <v>0.0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102</v>
      </c>
      <c r="C46" s="45" t="s">
        <v>49</v>
      </c>
      <c r="D46" s="46" t="s">
        <v>103</v>
      </c>
      <c r="E46" s="47">
        <v>8.0</v>
      </c>
      <c r="F46" s="47">
        <v>2.0</v>
      </c>
      <c r="G46" s="47"/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104</v>
      </c>
      <c r="C47" s="45" t="s">
        <v>67</v>
      </c>
      <c r="D47" s="46" t="s">
        <v>105</v>
      </c>
      <c r="E47" s="47">
        <v>8.0</v>
      </c>
      <c r="F47" s="47">
        <v>2.0</v>
      </c>
      <c r="G47" s="47"/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8.0</v>
      </c>
      <c r="F48" s="47">
        <v>2.0</v>
      </c>
      <c r="G48" s="47"/>
      <c r="H48" s="49">
        <f t="shared" si="1"/>
        <v>10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106</v>
      </c>
      <c r="C49" s="45" t="s">
        <v>109</v>
      </c>
      <c r="D49" s="46" t="s">
        <v>110</v>
      </c>
      <c r="E49" s="47">
        <v>8.0</v>
      </c>
      <c r="F49" s="47">
        <v>2.0</v>
      </c>
      <c r="G49" s="48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112</v>
      </c>
      <c r="D50" s="46" t="s">
        <v>113</v>
      </c>
      <c r="E50" s="47">
        <v>8.0</v>
      </c>
      <c r="F50" s="47">
        <v>2.0</v>
      </c>
      <c r="G50" s="48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115</v>
      </c>
      <c r="D51" s="46" t="s">
        <v>116</v>
      </c>
      <c r="E51" s="47">
        <v>8.0</v>
      </c>
      <c r="F51" s="47">
        <v>2.0</v>
      </c>
      <c r="G51" s="48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64</v>
      </c>
      <c r="C52" s="45" t="s">
        <v>77</v>
      </c>
      <c r="D52" s="46" t="s">
        <v>117</v>
      </c>
      <c r="E52" s="47">
        <v>7.2</v>
      </c>
      <c r="F52" s="47">
        <v>2.0</v>
      </c>
      <c r="G52" s="48"/>
      <c r="H52" s="49">
        <f t="shared" si="1"/>
        <v>9.2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118</v>
      </c>
      <c r="C53" s="45" t="s">
        <v>26</v>
      </c>
      <c r="D53" s="58" t="s">
        <v>119</v>
      </c>
      <c r="E53" s="47">
        <v>8.0</v>
      </c>
      <c r="F53" s="47">
        <v>2.0</v>
      </c>
      <c r="G53" s="47"/>
      <c r="H53" s="49">
        <f t="shared" si="1"/>
        <v>10</v>
      </c>
      <c r="I53" s="50">
        <v>0.0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120</v>
      </c>
      <c r="C54" s="45" t="s">
        <v>72</v>
      </c>
      <c r="D54" s="46" t="s">
        <v>121</v>
      </c>
      <c r="E54" s="47">
        <v>7.2</v>
      </c>
      <c r="F54" s="47">
        <v>2.0</v>
      </c>
      <c r="G54" s="48"/>
      <c r="H54" s="49">
        <f t="shared" si="1"/>
        <v>9.2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122</v>
      </c>
      <c r="C55" s="45" t="s">
        <v>123</v>
      </c>
      <c r="D55" s="46" t="s">
        <v>124</v>
      </c>
      <c r="E55" s="47">
        <v>7.2</v>
      </c>
      <c r="F55" s="47">
        <v>2.0</v>
      </c>
      <c r="G55" s="48"/>
      <c r="H55" s="49">
        <f t="shared" si="1"/>
        <v>9.2</v>
      </c>
      <c r="I55" s="50">
        <v>0.0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8.0</v>
      </c>
      <c r="F56" s="47">
        <v>2.0</v>
      </c>
      <c r="G56" s="47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8.0</v>
      </c>
      <c r="F57" s="47">
        <v>2.0</v>
      </c>
      <c r="G57" s="48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7" t="s">
        <v>30</v>
      </c>
      <c r="C58" s="57" t="s">
        <v>131</v>
      </c>
      <c r="D58" s="46" t="s">
        <v>132</v>
      </c>
      <c r="E58" s="47">
        <v>8.0</v>
      </c>
      <c r="F58" s="47">
        <v>2.0</v>
      </c>
      <c r="G58" s="47"/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107</v>
      </c>
      <c r="C59" s="45" t="s">
        <v>133</v>
      </c>
      <c r="D59" s="46" t="s">
        <v>134</v>
      </c>
      <c r="E59" s="47">
        <v>7.2</v>
      </c>
      <c r="F59" s="47">
        <v>2.0</v>
      </c>
      <c r="G59" s="47"/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72</v>
      </c>
      <c r="C60" s="45" t="s">
        <v>135</v>
      </c>
      <c r="D60" s="46" t="s">
        <v>136</v>
      </c>
      <c r="E60" s="47">
        <v>8.0</v>
      </c>
      <c r="F60" s="47">
        <v>2.0</v>
      </c>
      <c r="G60" s="47"/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137</v>
      </c>
      <c r="C61" s="45" t="s">
        <v>49</v>
      </c>
      <c r="D61" s="46" t="s">
        <v>138</v>
      </c>
      <c r="E61" s="47">
        <v>8.0</v>
      </c>
      <c r="F61" s="47">
        <v>2.0</v>
      </c>
      <c r="G61" s="47"/>
      <c r="H61" s="49">
        <f t="shared" si="1"/>
        <v>10</v>
      </c>
      <c r="I61" s="50">
        <v>0.0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139</v>
      </c>
      <c r="C62" s="45" t="s">
        <v>140</v>
      </c>
      <c r="D62" s="46" t="s">
        <v>141</v>
      </c>
      <c r="E62" s="47">
        <v>7.2</v>
      </c>
      <c r="F62" s="47">
        <v>2.0</v>
      </c>
      <c r="G62" s="48"/>
      <c r="H62" s="49">
        <f t="shared" si="1"/>
        <v>9.2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142</v>
      </c>
      <c r="C63" s="45" t="s">
        <v>67</v>
      </c>
      <c r="D63" s="46" t="s">
        <v>143</v>
      </c>
      <c r="E63" s="47">
        <v>8.0</v>
      </c>
      <c r="F63" s="47">
        <v>2.0</v>
      </c>
      <c r="G63" s="47"/>
      <c r="H63" s="49">
        <f t="shared" si="1"/>
        <v>10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126</v>
      </c>
      <c r="C64" s="45" t="s">
        <v>92</v>
      </c>
      <c r="D64" s="46" t="s">
        <v>144</v>
      </c>
      <c r="E64" s="47">
        <v>8.0</v>
      </c>
      <c r="F64" s="47">
        <v>2.0</v>
      </c>
      <c r="G64" s="47"/>
      <c r="H64" s="49">
        <f t="shared" si="1"/>
        <v>10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145</v>
      </c>
      <c r="C65" s="45" t="s">
        <v>146</v>
      </c>
      <c r="D65" s="46" t="s">
        <v>147</v>
      </c>
      <c r="E65" s="47">
        <v>8.0</v>
      </c>
      <c r="F65" s="47">
        <v>2.0</v>
      </c>
      <c r="G65" s="47"/>
      <c r="H65" s="49">
        <f t="shared" si="1"/>
        <v>10</v>
      </c>
      <c r="I65" s="50">
        <v>0.0</v>
      </c>
      <c r="J65" s="51">
        <f t="shared" si="2"/>
        <v>10</v>
      </c>
      <c r="K65" s="44"/>
      <c r="L65" s="52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148</v>
      </c>
      <c r="C66" s="45" t="s">
        <v>149</v>
      </c>
      <c r="D66" s="46" t="s">
        <v>150</v>
      </c>
      <c r="E66" s="47">
        <v>6.4</v>
      </c>
      <c r="F66" s="47">
        <v>2.0</v>
      </c>
      <c r="G66" s="47"/>
      <c r="H66" s="49">
        <f t="shared" si="1"/>
        <v>8.4</v>
      </c>
      <c r="I66" s="50">
        <v>0.0</v>
      </c>
      <c r="J66" s="51">
        <f t="shared" si="2"/>
        <v>8</v>
      </c>
      <c r="K66" s="44"/>
      <c r="L66" s="52">
        <f t="shared" si="3"/>
        <v>8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151</v>
      </c>
      <c r="C67" s="45" t="s">
        <v>152</v>
      </c>
      <c r="D67" s="46" t="s">
        <v>153</v>
      </c>
      <c r="E67" s="47">
        <v>7.2</v>
      </c>
      <c r="F67" s="47">
        <v>2.0</v>
      </c>
      <c r="G67" s="47"/>
      <c r="H67" s="49">
        <f t="shared" si="1"/>
        <v>9.2</v>
      </c>
      <c r="I67" s="50">
        <v>0.0</v>
      </c>
      <c r="J67" s="51">
        <f t="shared" si="2"/>
        <v>9</v>
      </c>
      <c r="K67" s="44"/>
      <c r="L67" s="52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109</v>
      </c>
      <c r="C68" s="45" t="s">
        <v>154</v>
      </c>
      <c r="D68" s="46" t="s">
        <v>155</v>
      </c>
      <c r="E68" s="47">
        <v>8.0</v>
      </c>
      <c r="F68" s="47">
        <v>2.0</v>
      </c>
      <c r="G68" s="48"/>
      <c r="H68" s="49">
        <f t="shared" si="1"/>
        <v>10</v>
      </c>
      <c r="I68" s="50">
        <v>0.0</v>
      </c>
      <c r="J68" s="51">
        <f t="shared" si="2"/>
        <v>10</v>
      </c>
      <c r="K68" s="44"/>
      <c r="L68" s="52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156</v>
      </c>
      <c r="C69" s="45" t="s">
        <v>67</v>
      </c>
      <c r="D69" s="46" t="s">
        <v>157</v>
      </c>
      <c r="E69" s="47">
        <v>7.2</v>
      </c>
      <c r="F69" s="47">
        <v>2.0</v>
      </c>
      <c r="G69" s="47"/>
      <c r="H69" s="49">
        <f t="shared" si="1"/>
        <v>9.2</v>
      </c>
      <c r="I69" s="50">
        <v>0.0</v>
      </c>
      <c r="J69" s="51">
        <f t="shared" si="2"/>
        <v>9</v>
      </c>
      <c r="K69" s="44"/>
      <c r="L69" s="59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158</v>
      </c>
      <c r="C70" s="45" t="s">
        <v>159</v>
      </c>
      <c r="D70" s="46" t="s">
        <v>160</v>
      </c>
      <c r="E70" s="47">
        <v>8.0</v>
      </c>
      <c r="F70" s="47">
        <v>2.0</v>
      </c>
      <c r="G70" s="48"/>
      <c r="H70" s="49">
        <f t="shared" si="1"/>
        <v>10</v>
      </c>
      <c r="I70" s="50">
        <v>0.0</v>
      </c>
      <c r="J70" s="51">
        <f t="shared" si="2"/>
        <v>10</v>
      </c>
      <c r="K70" s="44"/>
      <c r="L70" s="59"/>
      <c r="M70" s="1"/>
      <c r="N70" s="1"/>
      <c r="O70" s="2"/>
      <c r="P70" s="2"/>
      <c r="Q70" s="2"/>
    </row>
    <row r="71" ht="21.75" customHeight="1">
      <c r="A71" s="60"/>
      <c r="B71" s="11"/>
      <c r="C71" s="1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161</v>
      </c>
      <c r="C72" s="63"/>
      <c r="D72" s="64">
        <f>COUNT(A17:A70)</f>
        <v>54</v>
      </c>
      <c r="E72" s="1"/>
      <c r="F72" s="65" t="s">
        <v>162</v>
      </c>
      <c r="G72" s="1"/>
      <c r="H72" s="65" t="s">
        <v>163</v>
      </c>
      <c r="J72" s="65" t="s">
        <v>164</v>
      </c>
      <c r="K72" s="66" t="s">
        <v>165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166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167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168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169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170</v>
      </c>
      <c r="C77" s="68"/>
      <c r="D77" s="74">
        <f>D75*100/D74</f>
        <v>100</v>
      </c>
      <c r="E77" s="1"/>
      <c r="F77" s="75" t="s">
        <v>171</v>
      </c>
      <c r="G77" s="1"/>
      <c r="H77" s="76" t="s">
        <v>172</v>
      </c>
      <c r="J77" s="77" t="s">
        <v>173</v>
      </c>
      <c r="K77" s="78" t="s">
        <v>174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175</v>
      </c>
      <c r="C78" s="80"/>
      <c r="D78" s="81">
        <f>AVERAGE(J17:J70)</f>
        <v>9.648148148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notContainsBlanks" dxfId="0" priority="2" stopIfTrue="1">
      <formula>LEN(TRIM(E17))&gt;0</formula>
    </cfRule>
  </conditionalFormatting>
  <conditionalFormatting sqref="J17:J70">
    <cfRule type="cellIs" dxfId="1" priority="3" stopIfTrue="1" operator="equal">
      <formula>5</formula>
    </cfRule>
  </conditionalFormatting>
  <conditionalFormatting sqref="J17:J70">
    <cfRule type="cellIs" dxfId="1" priority="4" stopIfTrue="1" operator="equal">
      <formula>5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0">
    <cfRule type="cellIs" dxfId="1" priority="11" stopIfTrue="1" operator="equal">
      <formula>5</formula>
    </cfRule>
  </conditionalFormatting>
  <printOptions/>
  <pageMargins bottom="0.1968503937007874" footer="0.0" header="0.0" left="0.7480314960629921" right="0.1968503937007874" top="0.196850393700787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95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179</v>
      </c>
      <c r="C17" s="52" t="s">
        <v>52</v>
      </c>
      <c r="D17" s="97" t="s">
        <v>180</v>
      </c>
      <c r="E17" s="98">
        <v>8.0</v>
      </c>
      <c r="F17" s="98">
        <v>2.0</v>
      </c>
      <c r="G17" s="49"/>
      <c r="H17" s="49">
        <f t="shared" ref="H17:H65" si="1">SUM(E17:G17)</f>
        <v>10</v>
      </c>
      <c r="I17" s="50">
        <v>0.0</v>
      </c>
      <c r="J17" s="99">
        <f t="shared" ref="J17:J65" si="2">MIN(10, IF(H17 &lt; 6, 5,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181</v>
      </c>
      <c r="C18" s="52" t="s">
        <v>122</v>
      </c>
      <c r="D18" s="97" t="s">
        <v>182</v>
      </c>
      <c r="E18" s="98">
        <v>8.0</v>
      </c>
      <c r="F18" s="98">
        <v>2.0</v>
      </c>
      <c r="G18" s="49"/>
      <c r="H18" s="49">
        <f t="shared" si="1"/>
        <v>10</v>
      </c>
      <c r="I18" s="50">
        <v>0.0</v>
      </c>
      <c r="J18" s="99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52" t="s">
        <v>183</v>
      </c>
      <c r="C19" s="52" t="s">
        <v>184</v>
      </c>
      <c r="D19" s="97" t="s">
        <v>185</v>
      </c>
      <c r="E19" s="98">
        <v>8.0</v>
      </c>
      <c r="F19" s="98">
        <v>2.0</v>
      </c>
      <c r="G19" s="49"/>
      <c r="H19" s="49">
        <f t="shared" si="1"/>
        <v>10</v>
      </c>
      <c r="I19" s="50">
        <v>0.0</v>
      </c>
      <c r="J19" s="99">
        <f t="shared" si="2"/>
        <v>10</v>
      </c>
      <c r="K19" s="44"/>
      <c r="L19" s="53">
        <f t="shared" si="3"/>
        <v>10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52" t="s">
        <v>186</v>
      </c>
      <c r="C20" s="52" t="s">
        <v>67</v>
      </c>
      <c r="D20" s="97" t="s">
        <v>187</v>
      </c>
      <c r="E20" s="98">
        <v>7.2</v>
      </c>
      <c r="F20" s="98">
        <v>2.0</v>
      </c>
      <c r="G20" s="49"/>
      <c r="H20" s="49">
        <f t="shared" si="1"/>
        <v>9.2</v>
      </c>
      <c r="I20" s="50">
        <v>0.0</v>
      </c>
      <c r="J20" s="99">
        <f t="shared" si="2"/>
        <v>9</v>
      </c>
      <c r="K20" s="44"/>
      <c r="L20" s="53">
        <f t="shared" si="3"/>
        <v>9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52" t="s">
        <v>188</v>
      </c>
      <c r="C21" s="52" t="s">
        <v>120</v>
      </c>
      <c r="D21" s="97" t="s">
        <v>189</v>
      </c>
      <c r="E21" s="98">
        <v>8.0</v>
      </c>
      <c r="F21" s="98">
        <v>2.0</v>
      </c>
      <c r="G21" s="49"/>
      <c r="H21" s="49">
        <f t="shared" si="1"/>
        <v>10</v>
      </c>
      <c r="I21" s="50">
        <v>0.0</v>
      </c>
      <c r="J21" s="99">
        <f t="shared" si="2"/>
        <v>10</v>
      </c>
      <c r="K21" s="44"/>
      <c r="L21" s="53">
        <f t="shared" si="3"/>
        <v>10</v>
      </c>
      <c r="M21" s="55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190</v>
      </c>
      <c r="C22" s="52" t="s">
        <v>191</v>
      </c>
      <c r="D22" s="97" t="s">
        <v>192</v>
      </c>
      <c r="E22" s="98">
        <v>6.4</v>
      </c>
      <c r="F22" s="98">
        <v>0.0</v>
      </c>
      <c r="G22" s="49"/>
      <c r="H22" s="49">
        <f t="shared" si="1"/>
        <v>6.4</v>
      </c>
      <c r="I22" s="50">
        <v>0.0</v>
      </c>
      <c r="J22" s="99">
        <f t="shared" si="2"/>
        <v>6</v>
      </c>
      <c r="K22" s="44"/>
      <c r="L22" s="53">
        <f t="shared" si="3"/>
        <v>6</v>
      </c>
      <c r="M22" s="55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193</v>
      </c>
      <c r="C23" s="52" t="s">
        <v>106</v>
      </c>
      <c r="D23" s="97" t="s">
        <v>194</v>
      </c>
      <c r="E23" s="98">
        <v>8.0</v>
      </c>
      <c r="F23" s="98">
        <v>2.0</v>
      </c>
      <c r="G23" s="49"/>
      <c r="H23" s="49">
        <f t="shared" si="1"/>
        <v>10</v>
      </c>
      <c r="I23" s="50">
        <v>0.0</v>
      </c>
      <c r="J23" s="99">
        <f t="shared" si="2"/>
        <v>10</v>
      </c>
      <c r="K23" s="44"/>
      <c r="L23" s="53">
        <f t="shared" si="3"/>
        <v>10</v>
      </c>
      <c r="M23" s="55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195</v>
      </c>
      <c r="C24" s="52" t="s">
        <v>49</v>
      </c>
      <c r="D24" s="97" t="s">
        <v>196</v>
      </c>
      <c r="E24" s="98">
        <v>7.2</v>
      </c>
      <c r="F24" s="98">
        <v>2.0</v>
      </c>
      <c r="G24" s="49"/>
      <c r="H24" s="49">
        <f t="shared" si="1"/>
        <v>9.2</v>
      </c>
      <c r="I24" s="50">
        <v>0.0</v>
      </c>
      <c r="J24" s="99">
        <f t="shared" si="2"/>
        <v>9</v>
      </c>
      <c r="K24" s="44"/>
      <c r="L24" s="53">
        <f t="shared" si="3"/>
        <v>9</v>
      </c>
      <c r="M24" s="55" t="s">
        <v>51</v>
      </c>
      <c r="N24" s="55">
        <f>SUM(N18:N23)</f>
        <v>5</v>
      </c>
      <c r="O24" s="2"/>
      <c r="P24" s="2"/>
      <c r="Q24" s="2"/>
    </row>
    <row r="25" ht="24.75" customHeight="1">
      <c r="A25" s="44">
        <v>9.0</v>
      </c>
      <c r="B25" s="52" t="s">
        <v>197</v>
      </c>
      <c r="C25" s="52" t="s">
        <v>67</v>
      </c>
      <c r="D25" s="97" t="s">
        <v>198</v>
      </c>
      <c r="E25" s="98">
        <v>0.0</v>
      </c>
      <c r="F25" s="98">
        <v>0.0</v>
      </c>
      <c r="G25" s="49"/>
      <c r="H25" s="49">
        <f t="shared" si="1"/>
        <v>0</v>
      </c>
      <c r="I25" s="50">
        <v>0.0</v>
      </c>
      <c r="J25" s="99">
        <f t="shared" si="2"/>
        <v>5</v>
      </c>
      <c r="K25" s="44"/>
      <c r="L25" s="53">
        <f t="shared" si="3"/>
        <v>0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199</v>
      </c>
      <c r="C26" s="52" t="s">
        <v>200</v>
      </c>
      <c r="D26" s="97" t="s">
        <v>201</v>
      </c>
      <c r="E26" s="98">
        <v>8.0</v>
      </c>
      <c r="F26" s="98">
        <v>0.0</v>
      </c>
      <c r="G26" s="49"/>
      <c r="H26" s="49">
        <f t="shared" si="1"/>
        <v>8</v>
      </c>
      <c r="I26" s="50">
        <v>0.0</v>
      </c>
      <c r="J26" s="99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69</v>
      </c>
      <c r="C27" s="52" t="s">
        <v>70</v>
      </c>
      <c r="D27" s="52" t="s">
        <v>202</v>
      </c>
      <c r="E27" s="98">
        <v>8.0</v>
      </c>
      <c r="F27" s="98">
        <v>2.0</v>
      </c>
      <c r="G27" s="49"/>
      <c r="H27" s="49">
        <f t="shared" si="1"/>
        <v>10</v>
      </c>
      <c r="I27" s="50">
        <v>0.0</v>
      </c>
      <c r="J27" s="99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203</v>
      </c>
      <c r="C28" s="52" t="s">
        <v>140</v>
      </c>
      <c r="D28" s="97" t="s">
        <v>204</v>
      </c>
      <c r="E28" s="98">
        <v>8.0</v>
      </c>
      <c r="F28" s="98">
        <v>0.0</v>
      </c>
      <c r="G28" s="49"/>
      <c r="H28" s="49">
        <f t="shared" si="1"/>
        <v>8</v>
      </c>
      <c r="I28" s="50">
        <v>0.0</v>
      </c>
      <c r="J28" s="99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205</v>
      </c>
      <c r="C29" s="52" t="s">
        <v>34</v>
      </c>
      <c r="D29" s="97" t="s">
        <v>206</v>
      </c>
      <c r="E29" s="98">
        <v>6.4</v>
      </c>
      <c r="F29" s="98">
        <v>2.0</v>
      </c>
      <c r="G29" s="49"/>
      <c r="H29" s="49">
        <f t="shared" si="1"/>
        <v>8.4</v>
      </c>
      <c r="I29" s="50">
        <v>0.0</v>
      </c>
      <c r="J29" s="99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207</v>
      </c>
      <c r="C30" s="52" t="s">
        <v>183</v>
      </c>
      <c r="D30" s="97" t="s">
        <v>208</v>
      </c>
      <c r="E30" s="98">
        <v>8.0</v>
      </c>
      <c r="F30" s="98">
        <v>2.0</v>
      </c>
      <c r="G30" s="49"/>
      <c r="H30" s="49">
        <f t="shared" si="1"/>
        <v>10</v>
      </c>
      <c r="I30" s="50">
        <v>0.0</v>
      </c>
      <c r="J30" s="99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209</v>
      </c>
      <c r="C31" s="52" t="s">
        <v>107</v>
      </c>
      <c r="D31" s="97" t="s">
        <v>210</v>
      </c>
      <c r="E31" s="98">
        <v>8.0</v>
      </c>
      <c r="F31" s="98">
        <v>2.0</v>
      </c>
      <c r="G31" s="49"/>
      <c r="H31" s="49">
        <f t="shared" si="1"/>
        <v>10</v>
      </c>
      <c r="I31" s="50">
        <v>0.0</v>
      </c>
      <c r="J31" s="99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211</v>
      </c>
      <c r="C32" s="52" t="s">
        <v>212</v>
      </c>
      <c r="D32" s="97" t="s">
        <v>213</v>
      </c>
      <c r="E32" s="98">
        <v>8.0</v>
      </c>
      <c r="F32" s="98">
        <v>2.0</v>
      </c>
      <c r="G32" s="49"/>
      <c r="H32" s="49">
        <f t="shared" si="1"/>
        <v>10</v>
      </c>
      <c r="I32" s="50">
        <v>0.0</v>
      </c>
      <c r="J32" s="99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67</v>
      </c>
      <c r="C33" s="52" t="s">
        <v>214</v>
      </c>
      <c r="D33" s="97" t="s">
        <v>215</v>
      </c>
      <c r="E33" s="98">
        <v>7.2</v>
      </c>
      <c r="F33" s="98">
        <v>2.0</v>
      </c>
      <c r="G33" s="49"/>
      <c r="H33" s="49">
        <f t="shared" si="1"/>
        <v>9.2</v>
      </c>
      <c r="I33" s="50">
        <v>0.0</v>
      </c>
      <c r="J33" s="99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216</v>
      </c>
      <c r="C34" s="52" t="s">
        <v>217</v>
      </c>
      <c r="D34" s="97" t="s">
        <v>218</v>
      </c>
      <c r="E34" s="98">
        <v>0.0</v>
      </c>
      <c r="F34" s="98">
        <v>0.0</v>
      </c>
      <c r="G34" s="49"/>
      <c r="H34" s="49">
        <f t="shared" si="1"/>
        <v>0</v>
      </c>
      <c r="I34" s="50">
        <v>0.0</v>
      </c>
      <c r="J34" s="99">
        <f t="shared" si="2"/>
        <v>5</v>
      </c>
      <c r="K34" s="44"/>
      <c r="L34" s="53">
        <f t="shared" si="3"/>
        <v>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216</v>
      </c>
      <c r="C35" s="52" t="s">
        <v>219</v>
      </c>
      <c r="D35" s="97" t="s">
        <v>220</v>
      </c>
      <c r="E35" s="98">
        <v>8.0</v>
      </c>
      <c r="F35" s="98">
        <v>2.0</v>
      </c>
      <c r="G35" s="49"/>
      <c r="H35" s="49">
        <f t="shared" si="1"/>
        <v>10</v>
      </c>
      <c r="I35" s="50">
        <v>0.0</v>
      </c>
      <c r="J35" s="99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49</v>
      </c>
      <c r="C36" s="52" t="s">
        <v>221</v>
      </c>
      <c r="D36" s="97" t="s">
        <v>222</v>
      </c>
      <c r="E36" s="98">
        <v>8.0</v>
      </c>
      <c r="F36" s="98">
        <v>2.0</v>
      </c>
      <c r="G36" s="49"/>
      <c r="H36" s="49">
        <f t="shared" si="1"/>
        <v>10</v>
      </c>
      <c r="I36" s="50">
        <v>0.0</v>
      </c>
      <c r="J36" s="99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129</v>
      </c>
      <c r="C37" s="52" t="s">
        <v>26</v>
      </c>
      <c r="D37" s="97" t="s">
        <v>223</v>
      </c>
      <c r="E37" s="98">
        <v>7.2</v>
      </c>
      <c r="F37" s="98">
        <v>0.0</v>
      </c>
      <c r="G37" s="49"/>
      <c r="H37" s="49">
        <f t="shared" si="1"/>
        <v>7.2</v>
      </c>
      <c r="I37" s="50">
        <v>0.0</v>
      </c>
      <c r="J37" s="99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26</v>
      </c>
      <c r="C38" s="52" t="s">
        <v>224</v>
      </c>
      <c r="D38" s="97" t="s">
        <v>225</v>
      </c>
      <c r="E38" s="98">
        <v>8.0</v>
      </c>
      <c r="F38" s="98">
        <v>2.0</v>
      </c>
      <c r="G38" s="49"/>
      <c r="H38" s="49">
        <f t="shared" si="1"/>
        <v>10</v>
      </c>
      <c r="I38" s="50">
        <v>0.0</v>
      </c>
      <c r="J38" s="99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26</v>
      </c>
      <c r="C39" s="52" t="s">
        <v>67</v>
      </c>
      <c r="D39" s="97" t="s">
        <v>226</v>
      </c>
      <c r="E39" s="98">
        <v>8.0</v>
      </c>
      <c r="F39" s="98">
        <v>2.0</v>
      </c>
      <c r="G39" s="49"/>
      <c r="H39" s="49">
        <f t="shared" si="1"/>
        <v>10</v>
      </c>
      <c r="I39" s="50">
        <v>0.0</v>
      </c>
      <c r="J39" s="99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227</v>
      </c>
      <c r="C40" s="52" t="s">
        <v>228</v>
      </c>
      <c r="D40" s="97" t="s">
        <v>229</v>
      </c>
      <c r="E40" s="98">
        <v>8.0</v>
      </c>
      <c r="F40" s="98">
        <v>2.0</v>
      </c>
      <c r="G40" s="49"/>
      <c r="H40" s="49">
        <f t="shared" si="1"/>
        <v>10</v>
      </c>
      <c r="I40" s="50">
        <v>0.0</v>
      </c>
      <c r="J40" s="99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106</v>
      </c>
      <c r="C41" s="52" t="s">
        <v>129</v>
      </c>
      <c r="D41" s="97" t="s">
        <v>230</v>
      </c>
      <c r="E41" s="98">
        <v>8.0</v>
      </c>
      <c r="F41" s="98">
        <v>0.0</v>
      </c>
      <c r="G41" s="49"/>
      <c r="H41" s="49">
        <f t="shared" si="1"/>
        <v>8</v>
      </c>
      <c r="I41" s="50">
        <v>0.0</v>
      </c>
      <c r="J41" s="99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231</v>
      </c>
      <c r="C42" s="52" t="s">
        <v>49</v>
      </c>
      <c r="D42" s="97" t="s">
        <v>232</v>
      </c>
      <c r="E42" s="98">
        <v>8.0</v>
      </c>
      <c r="F42" s="98">
        <v>2.0</v>
      </c>
      <c r="G42" s="49"/>
      <c r="H42" s="49">
        <f t="shared" si="1"/>
        <v>10</v>
      </c>
      <c r="I42" s="50">
        <v>0.0</v>
      </c>
      <c r="J42" s="99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233</v>
      </c>
      <c r="C43" s="52" t="s">
        <v>125</v>
      </c>
      <c r="D43" s="97" t="s">
        <v>234</v>
      </c>
      <c r="E43" s="98">
        <v>8.0</v>
      </c>
      <c r="F43" s="98">
        <v>2.0</v>
      </c>
      <c r="G43" s="49"/>
      <c r="H43" s="49">
        <f t="shared" si="1"/>
        <v>10</v>
      </c>
      <c r="I43" s="50">
        <v>0.0</v>
      </c>
      <c r="J43" s="99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235</v>
      </c>
      <c r="C44" s="52" t="s">
        <v>236</v>
      </c>
      <c r="D44" s="97" t="s">
        <v>237</v>
      </c>
      <c r="E44" s="98">
        <v>8.0</v>
      </c>
      <c r="F44" s="98">
        <v>2.0</v>
      </c>
      <c r="G44" s="49"/>
      <c r="H44" s="49">
        <f t="shared" si="1"/>
        <v>10</v>
      </c>
      <c r="I44" s="50">
        <v>0.0</v>
      </c>
      <c r="J44" s="99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114</v>
      </c>
      <c r="C45" s="52" t="s">
        <v>238</v>
      </c>
      <c r="D45" s="97" t="s">
        <v>239</v>
      </c>
      <c r="E45" s="98">
        <v>6.4</v>
      </c>
      <c r="F45" s="98">
        <v>2.0</v>
      </c>
      <c r="G45" s="49"/>
      <c r="H45" s="49">
        <f t="shared" si="1"/>
        <v>8.4</v>
      </c>
      <c r="I45" s="50">
        <v>0.0</v>
      </c>
      <c r="J45" s="99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240</v>
      </c>
      <c r="C46" s="52" t="s">
        <v>70</v>
      </c>
      <c r="D46" s="97" t="s">
        <v>241</v>
      </c>
      <c r="E46" s="98">
        <v>8.0</v>
      </c>
      <c r="F46" s="98">
        <v>2.0</v>
      </c>
      <c r="G46" s="49"/>
      <c r="H46" s="49">
        <f t="shared" si="1"/>
        <v>10</v>
      </c>
      <c r="I46" s="50">
        <v>0.0</v>
      </c>
      <c r="J46" s="99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242</v>
      </c>
      <c r="C47" s="52" t="s">
        <v>216</v>
      </c>
      <c r="D47" s="97" t="s">
        <v>243</v>
      </c>
      <c r="E47" s="98">
        <v>0.0</v>
      </c>
      <c r="F47" s="98">
        <v>0.0</v>
      </c>
      <c r="G47" s="49"/>
      <c r="H47" s="49">
        <f t="shared" si="1"/>
        <v>0</v>
      </c>
      <c r="I47" s="50">
        <v>0.0</v>
      </c>
      <c r="J47" s="99">
        <f t="shared" si="2"/>
        <v>5</v>
      </c>
      <c r="K47" s="44"/>
      <c r="L47" s="53">
        <f t="shared" si="3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125</v>
      </c>
      <c r="C48" s="52" t="s">
        <v>244</v>
      </c>
      <c r="D48" s="97" t="s">
        <v>245</v>
      </c>
      <c r="E48" s="98">
        <v>8.0</v>
      </c>
      <c r="F48" s="98">
        <v>2.0</v>
      </c>
      <c r="G48" s="49"/>
      <c r="H48" s="49">
        <f t="shared" si="1"/>
        <v>10</v>
      </c>
      <c r="I48" s="50">
        <v>0.0</v>
      </c>
      <c r="J48" s="99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30</v>
      </c>
      <c r="C49" s="52" t="s">
        <v>246</v>
      </c>
      <c r="D49" s="97" t="s">
        <v>247</v>
      </c>
      <c r="E49" s="98">
        <v>8.0</v>
      </c>
      <c r="F49" s="98">
        <v>0.0</v>
      </c>
      <c r="G49" s="49"/>
      <c r="H49" s="49">
        <f t="shared" si="1"/>
        <v>8</v>
      </c>
      <c r="I49" s="50">
        <v>0.0</v>
      </c>
      <c r="J49" s="99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248</v>
      </c>
      <c r="C50" s="52" t="s">
        <v>249</v>
      </c>
      <c r="D50" s="97" t="s">
        <v>250</v>
      </c>
      <c r="E50" s="98">
        <v>8.0</v>
      </c>
      <c r="F50" s="98">
        <v>2.0</v>
      </c>
      <c r="G50" s="49"/>
      <c r="H50" s="49">
        <f t="shared" si="1"/>
        <v>10</v>
      </c>
      <c r="I50" s="50">
        <v>0.0</v>
      </c>
      <c r="J50" s="99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107</v>
      </c>
      <c r="C51" s="52" t="s">
        <v>251</v>
      </c>
      <c r="D51" s="97" t="s">
        <v>252</v>
      </c>
      <c r="E51" s="98">
        <v>6.4</v>
      </c>
      <c r="F51" s="98">
        <v>0.0</v>
      </c>
      <c r="G51" s="49"/>
      <c r="H51" s="49">
        <f t="shared" si="1"/>
        <v>6.4</v>
      </c>
      <c r="I51" s="50">
        <v>0.0</v>
      </c>
      <c r="J51" s="99">
        <f t="shared" si="2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72</v>
      </c>
      <c r="C52" s="52" t="s">
        <v>253</v>
      </c>
      <c r="D52" s="97" t="s">
        <v>254</v>
      </c>
      <c r="E52" s="98">
        <v>8.0</v>
      </c>
      <c r="F52" s="98">
        <v>2.0</v>
      </c>
      <c r="G52" s="49"/>
      <c r="H52" s="49">
        <f t="shared" si="1"/>
        <v>10</v>
      </c>
      <c r="I52" s="50">
        <v>0.0</v>
      </c>
      <c r="J52" s="99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72</v>
      </c>
      <c r="C53" s="52" t="s">
        <v>255</v>
      </c>
      <c r="D53" s="97" t="s">
        <v>256</v>
      </c>
      <c r="E53" s="98">
        <v>8.0</v>
      </c>
      <c r="F53" s="98">
        <v>2.0</v>
      </c>
      <c r="G53" s="49"/>
      <c r="H53" s="49">
        <f t="shared" si="1"/>
        <v>10</v>
      </c>
      <c r="I53" s="50">
        <v>0.0</v>
      </c>
      <c r="J53" s="99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72</v>
      </c>
      <c r="C54" s="52" t="s">
        <v>129</v>
      </c>
      <c r="D54" s="97" t="s">
        <v>257</v>
      </c>
      <c r="E54" s="98">
        <v>8.0</v>
      </c>
      <c r="F54" s="98">
        <v>2.0</v>
      </c>
      <c r="G54" s="49"/>
      <c r="H54" s="49">
        <f t="shared" si="1"/>
        <v>10</v>
      </c>
      <c r="I54" s="50">
        <v>0.0</v>
      </c>
      <c r="J54" s="99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258</v>
      </c>
      <c r="C55" s="52" t="s">
        <v>259</v>
      </c>
      <c r="D55" s="97" t="s">
        <v>260</v>
      </c>
      <c r="E55" s="98">
        <v>6.4</v>
      </c>
      <c r="F55" s="98">
        <v>2.0</v>
      </c>
      <c r="G55" s="49"/>
      <c r="H55" s="49">
        <f t="shared" si="1"/>
        <v>8.4</v>
      </c>
      <c r="I55" s="50">
        <v>0.0</v>
      </c>
      <c r="J55" s="99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261</v>
      </c>
      <c r="C56" s="52" t="s">
        <v>262</v>
      </c>
      <c r="D56" s="97" t="s">
        <v>263</v>
      </c>
      <c r="E56" s="98">
        <v>8.0</v>
      </c>
      <c r="F56" s="98">
        <v>0.0</v>
      </c>
      <c r="G56" s="49"/>
      <c r="H56" s="49">
        <f t="shared" si="1"/>
        <v>8</v>
      </c>
      <c r="I56" s="50">
        <v>0.0</v>
      </c>
      <c r="J56" s="99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135</v>
      </c>
      <c r="C57" s="52" t="s">
        <v>56</v>
      </c>
      <c r="D57" s="97" t="s">
        <v>264</v>
      </c>
      <c r="E57" s="98">
        <v>7.2</v>
      </c>
      <c r="F57" s="98">
        <v>2.0</v>
      </c>
      <c r="G57" s="49"/>
      <c r="H57" s="49">
        <f t="shared" si="1"/>
        <v>9.2</v>
      </c>
      <c r="I57" s="50">
        <v>0.0</v>
      </c>
      <c r="J57" s="99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70</v>
      </c>
      <c r="C58" s="52" t="s">
        <v>265</v>
      </c>
      <c r="D58" s="97" t="s">
        <v>266</v>
      </c>
      <c r="E58" s="98">
        <v>6.4</v>
      </c>
      <c r="F58" s="98">
        <v>2.0</v>
      </c>
      <c r="G58" s="49"/>
      <c r="H58" s="49">
        <f t="shared" si="1"/>
        <v>8.4</v>
      </c>
      <c r="I58" s="50">
        <v>0.0</v>
      </c>
      <c r="J58" s="99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70</v>
      </c>
      <c r="C59" s="52" t="s">
        <v>267</v>
      </c>
      <c r="D59" s="97" t="s">
        <v>268</v>
      </c>
      <c r="E59" s="98">
        <v>7.2</v>
      </c>
      <c r="F59" s="98">
        <v>2.0</v>
      </c>
      <c r="G59" s="49"/>
      <c r="H59" s="49">
        <f t="shared" si="1"/>
        <v>9.2</v>
      </c>
      <c r="I59" s="50">
        <v>0.0</v>
      </c>
      <c r="J59" s="99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133</v>
      </c>
      <c r="C60" s="52" t="s">
        <v>269</v>
      </c>
      <c r="D60" s="97" t="s">
        <v>270</v>
      </c>
      <c r="E60" s="98">
        <v>8.0</v>
      </c>
      <c r="F60" s="98">
        <v>2.0</v>
      </c>
      <c r="G60" s="49"/>
      <c r="H60" s="49">
        <f t="shared" si="1"/>
        <v>10</v>
      </c>
      <c r="I60" s="50">
        <v>0.0</v>
      </c>
      <c r="J60" s="99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133</v>
      </c>
      <c r="C61" s="52" t="s">
        <v>271</v>
      </c>
      <c r="D61" s="97" t="s">
        <v>272</v>
      </c>
      <c r="E61" s="98">
        <v>8.0</v>
      </c>
      <c r="F61" s="98">
        <v>2.0</v>
      </c>
      <c r="G61" s="49"/>
      <c r="H61" s="49">
        <f t="shared" si="1"/>
        <v>10</v>
      </c>
      <c r="I61" s="50">
        <v>0.0</v>
      </c>
      <c r="J61" s="99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148</v>
      </c>
      <c r="C62" s="52" t="s">
        <v>273</v>
      </c>
      <c r="D62" s="97" t="s">
        <v>274</v>
      </c>
      <c r="E62" s="98">
        <v>8.0</v>
      </c>
      <c r="F62" s="98">
        <v>2.0</v>
      </c>
      <c r="G62" s="49"/>
      <c r="H62" s="49">
        <f t="shared" si="1"/>
        <v>10</v>
      </c>
      <c r="I62" s="50">
        <v>0.0</v>
      </c>
      <c r="J62" s="99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275</v>
      </c>
      <c r="C63" s="52" t="s">
        <v>276</v>
      </c>
      <c r="D63" s="97" t="s">
        <v>277</v>
      </c>
      <c r="E63" s="98">
        <v>8.0</v>
      </c>
      <c r="F63" s="98">
        <v>2.0</v>
      </c>
      <c r="G63" s="49"/>
      <c r="H63" s="49">
        <f t="shared" si="1"/>
        <v>10</v>
      </c>
      <c r="I63" s="50">
        <v>0.0</v>
      </c>
      <c r="J63" s="99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151</v>
      </c>
      <c r="C64" s="52" t="s">
        <v>278</v>
      </c>
      <c r="D64" s="97" t="s">
        <v>279</v>
      </c>
      <c r="E64" s="98">
        <v>8.0</v>
      </c>
      <c r="F64" s="98">
        <v>2.0</v>
      </c>
      <c r="G64" s="49"/>
      <c r="H64" s="49">
        <f t="shared" si="1"/>
        <v>10</v>
      </c>
      <c r="I64" s="50">
        <v>0.0</v>
      </c>
      <c r="J64" s="99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151</v>
      </c>
      <c r="C65" s="52" t="s">
        <v>280</v>
      </c>
      <c r="D65" s="97" t="s">
        <v>281</v>
      </c>
      <c r="E65" s="98">
        <v>6.4</v>
      </c>
      <c r="F65" s="98">
        <v>0.0</v>
      </c>
      <c r="G65" s="49"/>
      <c r="H65" s="49">
        <f t="shared" si="1"/>
        <v>6.4</v>
      </c>
      <c r="I65" s="50">
        <v>0.0</v>
      </c>
      <c r="J65" s="99">
        <f t="shared" si="2"/>
        <v>6</v>
      </c>
      <c r="K65" s="44"/>
      <c r="L65" s="52">
        <f t="shared" si="3"/>
        <v>6</v>
      </c>
      <c r="M65" s="1"/>
      <c r="N65" s="1"/>
      <c r="O65" s="2"/>
      <c r="P65" s="2"/>
      <c r="Q65" s="2"/>
    </row>
    <row r="66" ht="24.75" customHeight="1">
      <c r="A66" s="6"/>
      <c r="B66" s="59"/>
      <c r="C66" s="59"/>
      <c r="D66" s="11"/>
      <c r="E66" s="100"/>
      <c r="F66" s="100"/>
      <c r="G66" s="100"/>
      <c r="H66" s="100"/>
      <c r="I66" s="10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101" t="s">
        <v>161</v>
      </c>
      <c r="C67" s="63"/>
      <c r="D67" s="102">
        <f>COUNT(A17:A65)</f>
        <v>49</v>
      </c>
      <c r="E67" s="100"/>
      <c r="F67" s="103" t="s">
        <v>162</v>
      </c>
      <c r="G67" s="100"/>
      <c r="H67" s="103" t="s">
        <v>163</v>
      </c>
      <c r="J67" s="104" t="s">
        <v>164</v>
      </c>
      <c r="K67" s="66" t="s">
        <v>165</v>
      </c>
      <c r="L67" s="59"/>
      <c r="M67" s="1"/>
      <c r="N67" s="1"/>
      <c r="O67" s="2"/>
      <c r="P67" s="2"/>
      <c r="Q67" s="2"/>
    </row>
    <row r="68" ht="24.75" customHeight="1">
      <c r="A68" s="1"/>
      <c r="B68" s="105" t="s">
        <v>166</v>
      </c>
      <c r="C68" s="68"/>
      <c r="D68" s="106">
        <f>COUNTIF(J17:J65,"BAJA")</f>
        <v>0</v>
      </c>
      <c r="E68" s="100"/>
      <c r="G68" s="100"/>
      <c r="K68" s="9"/>
      <c r="L68" s="59"/>
      <c r="M68" s="1"/>
      <c r="N68" s="1"/>
      <c r="O68" s="2"/>
      <c r="P68" s="2"/>
      <c r="Q68" s="2"/>
    </row>
    <row r="69" ht="24.75" customHeight="1">
      <c r="A69" s="1"/>
      <c r="B69" s="105" t="s">
        <v>167</v>
      </c>
      <c r="C69" s="68"/>
      <c r="D69" s="70">
        <f>D67-D68</f>
        <v>49</v>
      </c>
      <c r="E69" s="100"/>
      <c r="F69" s="100"/>
      <c r="G69" s="100"/>
      <c r="H69" s="100"/>
      <c r="I69" s="11"/>
      <c r="J69" s="59"/>
      <c r="K69" s="7"/>
      <c r="L69" s="59"/>
      <c r="M69" s="1"/>
      <c r="N69" s="1"/>
      <c r="O69" s="2"/>
      <c r="P69" s="2"/>
      <c r="Q69" s="2"/>
    </row>
    <row r="70" ht="24.75" customHeight="1">
      <c r="A70" s="1"/>
      <c r="B70" s="105" t="s">
        <v>168</v>
      </c>
      <c r="C70" s="68"/>
      <c r="D70" s="70">
        <f>COUNTIF(J17:J65,"&gt;=6")</f>
        <v>46</v>
      </c>
      <c r="E70" s="100"/>
      <c r="F70" s="100"/>
      <c r="G70" s="100"/>
      <c r="H70" s="100"/>
      <c r="I70" s="11"/>
      <c r="J70" s="59"/>
      <c r="K70" s="7"/>
      <c r="L70" s="59"/>
      <c r="M70" s="1"/>
      <c r="N70" s="1"/>
      <c r="O70" s="2"/>
      <c r="P70" s="2"/>
      <c r="Q70" s="2"/>
    </row>
    <row r="71" ht="24.75" customHeight="1">
      <c r="A71" s="1"/>
      <c r="B71" s="105" t="s">
        <v>169</v>
      </c>
      <c r="C71" s="68"/>
      <c r="D71" s="70">
        <f>D69-D70</f>
        <v>3</v>
      </c>
      <c r="E71" s="100"/>
      <c r="F71" s="107"/>
      <c r="G71" s="100"/>
      <c r="H71" s="107"/>
      <c r="I71" s="107"/>
      <c r="J71" s="108"/>
      <c r="K71" s="109"/>
      <c r="L71" s="59"/>
      <c r="M71" s="1"/>
      <c r="N71" s="1"/>
      <c r="O71" s="2"/>
      <c r="P71" s="2"/>
      <c r="Q71" s="2"/>
    </row>
    <row r="72" ht="36.0" customHeight="1">
      <c r="A72" s="61"/>
      <c r="B72" s="73" t="s">
        <v>170</v>
      </c>
      <c r="C72" s="68"/>
      <c r="D72" s="74">
        <f>D70*100/D69</f>
        <v>93.87755102</v>
      </c>
      <c r="E72" s="1"/>
      <c r="F72" s="110" t="s">
        <v>171</v>
      </c>
      <c r="G72" s="1"/>
      <c r="H72" s="111" t="s">
        <v>282</v>
      </c>
      <c r="J72" s="112" t="s">
        <v>173</v>
      </c>
      <c r="K72" s="113" t="s">
        <v>174</v>
      </c>
      <c r="L72" s="1"/>
      <c r="M72" s="1"/>
      <c r="N72" s="1"/>
      <c r="O72" s="2"/>
      <c r="P72" s="2"/>
      <c r="Q72" s="2"/>
    </row>
    <row r="73" ht="21.75" customHeight="1">
      <c r="A73" s="61"/>
      <c r="B73" s="79" t="s">
        <v>175</v>
      </c>
      <c r="C73" s="80"/>
      <c r="D73" s="81">
        <f>AVERAGE(J17:J65)</f>
        <v>8.918367347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114"/>
      <c r="B74" s="2"/>
      <c r="C74" s="2"/>
      <c r="D74" s="115"/>
      <c r="E74" s="2"/>
      <c r="F74" s="2"/>
      <c r="G74" s="2"/>
      <c r="H74" s="2"/>
      <c r="I74" s="2"/>
      <c r="J74" s="2"/>
      <c r="K74" s="83"/>
      <c r="L74" s="2"/>
      <c r="M74" s="2"/>
      <c r="N74" s="2"/>
      <c r="O74" s="2"/>
      <c r="P74" s="2"/>
      <c r="Q74" s="2"/>
    </row>
    <row r="75" ht="21.75" customHeight="1">
      <c r="A75" s="116"/>
      <c r="B75" s="117"/>
      <c r="C75" s="118"/>
      <c r="D75" s="119"/>
      <c r="E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1.75" customHeight="1">
      <c r="A76" s="114"/>
      <c r="B76" s="2"/>
      <c r="C76" s="2"/>
      <c r="D76" s="115"/>
      <c r="E76" s="2"/>
      <c r="F76" s="2"/>
      <c r="G76" s="2"/>
      <c r="H76" s="2"/>
      <c r="I76" s="2"/>
      <c r="J76" s="2"/>
      <c r="K76" s="83"/>
      <c r="L76" s="2"/>
      <c r="M76" s="2"/>
      <c r="N76" s="2"/>
      <c r="O76" s="2"/>
      <c r="P76" s="2"/>
      <c r="Q76" s="2"/>
    </row>
    <row r="77" ht="27.75" customHeight="1">
      <c r="A77" s="114"/>
      <c r="B77" s="2"/>
      <c r="C77" s="2"/>
      <c r="D77" s="120"/>
      <c r="E77" s="2"/>
      <c r="F77" s="121"/>
      <c r="G77" s="2"/>
      <c r="H77" s="121"/>
      <c r="I77" s="121"/>
      <c r="J77" s="121"/>
      <c r="K77" s="122"/>
      <c r="L77" s="2"/>
      <c r="M77" s="2"/>
      <c r="N77" s="2"/>
      <c r="O77" s="2"/>
      <c r="P77" s="2"/>
      <c r="Q77" s="2"/>
    </row>
    <row r="78" ht="21.75" customHeight="1">
      <c r="A78" s="123"/>
      <c r="B78" s="124"/>
      <c r="C78" s="124"/>
      <c r="D78" s="125"/>
      <c r="E78" s="92"/>
      <c r="F78" s="124"/>
      <c r="G78" s="92"/>
      <c r="H78" s="124"/>
      <c r="I78" s="124"/>
      <c r="J78" s="124"/>
      <c r="K78" s="12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20"/>
      <c r="E79" s="2"/>
      <c r="F79" s="121"/>
      <c r="G79" s="2"/>
      <c r="H79" s="121"/>
      <c r="I79" s="121"/>
      <c r="J79" s="127"/>
      <c r="K79" s="127"/>
      <c r="L79" s="94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94"/>
      <c r="K80" s="94"/>
      <c r="L80" s="94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95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28" t="s">
        <v>283</v>
      </c>
      <c r="C17" s="128" t="s">
        <v>30</v>
      </c>
      <c r="D17" s="129" t="s">
        <v>284</v>
      </c>
      <c r="E17" s="98">
        <v>8.0</v>
      </c>
      <c r="F17" s="98">
        <v>1.8</v>
      </c>
      <c r="G17" s="49"/>
      <c r="H17" s="49">
        <f t="shared" ref="H17:H63" si="1">SUM(E17:G17)</f>
        <v>9.8</v>
      </c>
      <c r="I17" s="50">
        <v>0.0</v>
      </c>
      <c r="J17" s="99">
        <f t="shared" ref="J17:J63" si="2">MIN(10, IF(H17 &lt; 6, 5, ROUND(H17, 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259</v>
      </c>
      <c r="C18" s="52" t="s">
        <v>49</v>
      </c>
      <c r="D18" s="129" t="s">
        <v>285</v>
      </c>
      <c r="E18" s="98">
        <v>8.0</v>
      </c>
      <c r="F18" s="98">
        <v>2.0</v>
      </c>
      <c r="G18" s="49"/>
      <c r="H18" s="49">
        <f t="shared" si="1"/>
        <v>10</v>
      </c>
      <c r="I18" s="50">
        <v>0.0</v>
      </c>
      <c r="J18" s="99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52" t="s">
        <v>286</v>
      </c>
      <c r="C19" s="52" t="s">
        <v>67</v>
      </c>
      <c r="D19" s="129" t="s">
        <v>287</v>
      </c>
      <c r="E19" s="98">
        <v>8.0</v>
      </c>
      <c r="F19" s="98">
        <v>8.0</v>
      </c>
      <c r="G19" s="49"/>
      <c r="H19" s="49">
        <f t="shared" si="1"/>
        <v>16</v>
      </c>
      <c r="I19" s="50">
        <v>0.0</v>
      </c>
      <c r="J19" s="99">
        <f t="shared" si="2"/>
        <v>10</v>
      </c>
      <c r="K19" s="44"/>
      <c r="L19" s="53">
        <f t="shared" si="3"/>
        <v>16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52" t="s">
        <v>288</v>
      </c>
      <c r="C20" s="52" t="s">
        <v>289</v>
      </c>
      <c r="D20" s="129" t="s">
        <v>290</v>
      </c>
      <c r="E20" s="98">
        <v>8.0</v>
      </c>
      <c r="F20" s="98">
        <v>2.0</v>
      </c>
      <c r="G20" s="49"/>
      <c r="H20" s="49">
        <f t="shared" si="1"/>
        <v>10</v>
      </c>
      <c r="I20" s="50">
        <v>0.0</v>
      </c>
      <c r="J20" s="99">
        <f t="shared" si="2"/>
        <v>10</v>
      </c>
      <c r="K20" s="44"/>
      <c r="L20" s="53">
        <f t="shared" si="3"/>
        <v>10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52" t="s">
        <v>291</v>
      </c>
      <c r="C21" s="52" t="s">
        <v>292</v>
      </c>
      <c r="D21" s="129" t="s">
        <v>293</v>
      </c>
      <c r="E21" s="98">
        <v>8.0</v>
      </c>
      <c r="F21" s="98">
        <v>2.0</v>
      </c>
      <c r="G21" s="49"/>
      <c r="H21" s="49">
        <f t="shared" si="1"/>
        <v>10</v>
      </c>
      <c r="I21" s="50">
        <v>0.0</v>
      </c>
      <c r="J21" s="99">
        <f t="shared" si="2"/>
        <v>10</v>
      </c>
      <c r="K21" s="44"/>
      <c r="L21" s="53">
        <f t="shared" si="3"/>
        <v>10</v>
      </c>
      <c r="M21" s="55" t="s">
        <v>43</v>
      </c>
      <c r="N21" s="44"/>
      <c r="O21" s="2"/>
      <c r="P21" s="2"/>
      <c r="Q21" s="2"/>
    </row>
    <row r="22" ht="24.75" customHeight="1">
      <c r="A22" s="44">
        <v>6.0</v>
      </c>
      <c r="B22" s="52" t="s">
        <v>294</v>
      </c>
      <c r="C22" s="52" t="s">
        <v>295</v>
      </c>
      <c r="D22" s="129" t="s">
        <v>296</v>
      </c>
      <c r="E22" s="98">
        <v>7.2</v>
      </c>
      <c r="F22" s="98">
        <v>0.0</v>
      </c>
      <c r="G22" s="49"/>
      <c r="H22" s="49">
        <f t="shared" si="1"/>
        <v>7.2</v>
      </c>
      <c r="I22" s="50">
        <v>0.0</v>
      </c>
      <c r="J22" s="99">
        <f t="shared" si="2"/>
        <v>7</v>
      </c>
      <c r="K22" s="44"/>
      <c r="L22" s="53">
        <f t="shared" si="3"/>
        <v>7</v>
      </c>
      <c r="M22" s="55" t="s">
        <v>47</v>
      </c>
      <c r="N22" s="44"/>
      <c r="O22" s="2"/>
      <c r="P22" s="2"/>
      <c r="Q22" s="2"/>
    </row>
    <row r="23" ht="24.75" customHeight="1">
      <c r="A23" s="44">
        <v>7.0</v>
      </c>
      <c r="B23" s="52" t="s">
        <v>297</v>
      </c>
      <c r="C23" s="52" t="s">
        <v>298</v>
      </c>
      <c r="D23" s="129" t="s">
        <v>299</v>
      </c>
      <c r="E23" s="98">
        <v>8.0</v>
      </c>
      <c r="F23" s="98">
        <v>1.8</v>
      </c>
      <c r="G23" s="49"/>
      <c r="H23" s="49">
        <f t="shared" si="1"/>
        <v>9.8</v>
      </c>
      <c r="I23" s="50">
        <v>0.0</v>
      </c>
      <c r="J23" s="99">
        <f t="shared" si="2"/>
        <v>10</v>
      </c>
      <c r="K23" s="44"/>
      <c r="L23" s="53">
        <f t="shared" si="3"/>
        <v>10</v>
      </c>
      <c r="M23" s="55" t="s">
        <v>51</v>
      </c>
      <c r="N23" s="55">
        <f>SUM(N18:N22)</f>
        <v>5</v>
      </c>
      <c r="O23" s="2"/>
      <c r="P23" s="2"/>
      <c r="Q23" s="2"/>
    </row>
    <row r="24" ht="24.75" customHeight="1">
      <c r="A24" s="44">
        <v>8.0</v>
      </c>
      <c r="B24" s="52" t="s">
        <v>52</v>
      </c>
      <c r="C24" s="52" t="s">
        <v>107</v>
      </c>
      <c r="D24" s="129" t="s">
        <v>300</v>
      </c>
      <c r="E24" s="98">
        <v>0.0</v>
      </c>
      <c r="F24" s="98">
        <v>1.8</v>
      </c>
      <c r="G24" s="49"/>
      <c r="H24" s="49">
        <f t="shared" si="1"/>
        <v>1.8</v>
      </c>
      <c r="I24" s="50">
        <v>0.0</v>
      </c>
      <c r="J24" s="99">
        <f t="shared" si="2"/>
        <v>5</v>
      </c>
      <c r="K24" s="44"/>
      <c r="L24" s="53">
        <f t="shared" si="3"/>
        <v>1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301</v>
      </c>
      <c r="C25" s="52" t="s">
        <v>302</v>
      </c>
      <c r="D25" s="129" t="s">
        <v>303</v>
      </c>
      <c r="E25" s="98">
        <v>0.0</v>
      </c>
      <c r="F25" s="98">
        <v>1.8</v>
      </c>
      <c r="G25" s="49"/>
      <c r="H25" s="49">
        <f t="shared" si="1"/>
        <v>1.8</v>
      </c>
      <c r="I25" s="50">
        <v>0.0</v>
      </c>
      <c r="J25" s="99">
        <f t="shared" si="2"/>
        <v>5</v>
      </c>
      <c r="K25" s="44"/>
      <c r="L25" s="53">
        <f t="shared" si="3"/>
        <v>1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249</v>
      </c>
      <c r="C26" s="52" t="s">
        <v>304</v>
      </c>
      <c r="D26" s="128" t="s">
        <v>305</v>
      </c>
      <c r="E26" s="98">
        <v>8.0</v>
      </c>
      <c r="F26" s="98">
        <v>0.0</v>
      </c>
      <c r="G26" s="49"/>
      <c r="H26" s="49">
        <f t="shared" si="1"/>
        <v>8</v>
      </c>
      <c r="I26" s="50">
        <v>0.0</v>
      </c>
      <c r="J26" s="99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306</v>
      </c>
      <c r="C27" s="52" t="s">
        <v>62</v>
      </c>
      <c r="D27" s="129" t="s">
        <v>239</v>
      </c>
      <c r="E27" s="98">
        <v>8.0</v>
      </c>
      <c r="F27" s="98">
        <v>2.0</v>
      </c>
      <c r="G27" s="49"/>
      <c r="H27" s="49">
        <f t="shared" si="1"/>
        <v>10</v>
      </c>
      <c r="I27" s="50">
        <v>0.0</v>
      </c>
      <c r="J27" s="99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307</v>
      </c>
      <c r="C28" s="52" t="s">
        <v>308</v>
      </c>
      <c r="D28" s="129" t="s">
        <v>157</v>
      </c>
      <c r="E28" s="98">
        <v>5.6</v>
      </c>
      <c r="F28" s="98">
        <v>2.0</v>
      </c>
      <c r="G28" s="49"/>
      <c r="H28" s="49">
        <f t="shared" si="1"/>
        <v>7.6</v>
      </c>
      <c r="I28" s="50">
        <v>0.0</v>
      </c>
      <c r="J28" s="99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309</v>
      </c>
      <c r="C29" s="52" t="s">
        <v>310</v>
      </c>
      <c r="D29" s="129" t="s">
        <v>311</v>
      </c>
      <c r="E29" s="98">
        <v>8.0</v>
      </c>
      <c r="F29" s="98">
        <v>2.0</v>
      </c>
      <c r="G29" s="49"/>
      <c r="H29" s="49">
        <f t="shared" si="1"/>
        <v>10</v>
      </c>
      <c r="I29" s="50">
        <v>0.0</v>
      </c>
      <c r="J29" s="99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77</v>
      </c>
      <c r="C30" s="52" t="s">
        <v>77</v>
      </c>
      <c r="D30" s="129" t="s">
        <v>312</v>
      </c>
      <c r="E30" s="98">
        <v>8.0</v>
      </c>
      <c r="F30" s="98">
        <v>1.8</v>
      </c>
      <c r="G30" s="49"/>
      <c r="H30" s="49">
        <f t="shared" si="1"/>
        <v>9.8</v>
      </c>
      <c r="I30" s="50">
        <v>0.0</v>
      </c>
      <c r="J30" s="99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211</v>
      </c>
      <c r="C31" s="52" t="s">
        <v>106</v>
      </c>
      <c r="D31" s="129" t="s">
        <v>313</v>
      </c>
      <c r="E31" s="98">
        <v>8.0</v>
      </c>
      <c r="F31" s="98">
        <v>2.0</v>
      </c>
      <c r="G31" s="49"/>
      <c r="H31" s="49">
        <f t="shared" si="1"/>
        <v>10</v>
      </c>
      <c r="I31" s="50">
        <v>0.0</v>
      </c>
      <c r="J31" s="99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211</v>
      </c>
      <c r="C32" s="52" t="s">
        <v>314</v>
      </c>
      <c r="D32" s="129" t="s">
        <v>315</v>
      </c>
      <c r="E32" s="98">
        <v>8.0</v>
      </c>
      <c r="F32" s="98">
        <v>0.0</v>
      </c>
      <c r="G32" s="49"/>
      <c r="H32" s="49">
        <f t="shared" si="1"/>
        <v>8</v>
      </c>
      <c r="I32" s="50">
        <v>0.0</v>
      </c>
      <c r="J32" s="99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211</v>
      </c>
      <c r="C33" s="52" t="s">
        <v>316</v>
      </c>
      <c r="D33" s="129" t="s">
        <v>317</v>
      </c>
      <c r="E33" s="98">
        <v>8.0</v>
      </c>
      <c r="F33" s="98">
        <v>1.8</v>
      </c>
      <c r="G33" s="49"/>
      <c r="H33" s="49">
        <f t="shared" si="1"/>
        <v>9.8</v>
      </c>
      <c r="I33" s="50">
        <v>0.0</v>
      </c>
      <c r="J33" s="99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67</v>
      </c>
      <c r="C34" s="52" t="s">
        <v>70</v>
      </c>
      <c r="D34" s="129" t="s">
        <v>318</v>
      </c>
      <c r="E34" s="98">
        <v>8.0</v>
      </c>
      <c r="F34" s="98">
        <v>2.0</v>
      </c>
      <c r="G34" s="49"/>
      <c r="H34" s="49">
        <f t="shared" si="1"/>
        <v>10</v>
      </c>
      <c r="I34" s="50">
        <v>0.0</v>
      </c>
      <c r="J34" s="99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86</v>
      </c>
      <c r="C35" s="52" t="s">
        <v>21</v>
      </c>
      <c r="D35" s="129" t="s">
        <v>319</v>
      </c>
      <c r="E35" s="98">
        <v>8.0</v>
      </c>
      <c r="F35" s="98">
        <v>2.0</v>
      </c>
      <c r="G35" s="49"/>
      <c r="H35" s="49">
        <f t="shared" si="1"/>
        <v>10</v>
      </c>
      <c r="I35" s="50">
        <v>0.0</v>
      </c>
      <c r="J35" s="99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216</v>
      </c>
      <c r="C36" s="52" t="s">
        <v>320</v>
      </c>
      <c r="D36" s="129" t="s">
        <v>321</v>
      </c>
      <c r="E36" s="98">
        <v>8.0</v>
      </c>
      <c r="F36" s="98">
        <v>2.0</v>
      </c>
      <c r="G36" s="49"/>
      <c r="H36" s="49">
        <f t="shared" si="1"/>
        <v>10</v>
      </c>
      <c r="I36" s="50">
        <v>0.0</v>
      </c>
      <c r="J36" s="99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216</v>
      </c>
      <c r="C37" s="52" t="s">
        <v>34</v>
      </c>
      <c r="D37" s="129" t="s">
        <v>132</v>
      </c>
      <c r="E37" s="98">
        <v>8.0</v>
      </c>
      <c r="F37" s="98">
        <v>2.0</v>
      </c>
      <c r="G37" s="49"/>
      <c r="H37" s="49">
        <f t="shared" si="1"/>
        <v>10</v>
      </c>
      <c r="I37" s="50">
        <v>0.0</v>
      </c>
      <c r="J37" s="99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49</v>
      </c>
      <c r="C38" s="52" t="s">
        <v>322</v>
      </c>
      <c r="D38" s="129" t="s">
        <v>323</v>
      </c>
      <c r="E38" s="98">
        <v>7.2</v>
      </c>
      <c r="F38" s="98">
        <v>1.8</v>
      </c>
      <c r="G38" s="49"/>
      <c r="H38" s="49">
        <f t="shared" si="1"/>
        <v>9</v>
      </c>
      <c r="I38" s="50">
        <v>0.0</v>
      </c>
      <c r="J38" s="99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129</v>
      </c>
      <c r="C39" s="52" t="s">
        <v>211</v>
      </c>
      <c r="D39" s="129" t="s">
        <v>324</v>
      </c>
      <c r="E39" s="98">
        <v>0.0</v>
      </c>
      <c r="F39" s="98">
        <v>1.8</v>
      </c>
      <c r="G39" s="49"/>
      <c r="H39" s="49">
        <f t="shared" si="1"/>
        <v>1.8</v>
      </c>
      <c r="I39" s="50">
        <v>0.0</v>
      </c>
      <c r="J39" s="99">
        <f t="shared" si="2"/>
        <v>5</v>
      </c>
      <c r="K39" s="44"/>
      <c r="L39" s="53">
        <f t="shared" si="3"/>
        <v>1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26</v>
      </c>
      <c r="C40" s="52" t="s">
        <v>145</v>
      </c>
      <c r="D40" s="129" t="s">
        <v>325</v>
      </c>
      <c r="E40" s="98">
        <v>6.4</v>
      </c>
      <c r="F40" s="98">
        <v>1.8</v>
      </c>
      <c r="G40" s="49"/>
      <c r="H40" s="49">
        <f t="shared" si="1"/>
        <v>8.2</v>
      </c>
      <c r="I40" s="50">
        <v>0.0</v>
      </c>
      <c r="J40" s="99">
        <f t="shared" si="2"/>
        <v>8</v>
      </c>
      <c r="K40" s="44"/>
      <c r="L40" s="53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106</v>
      </c>
      <c r="C41" s="52" t="s">
        <v>289</v>
      </c>
      <c r="D41" s="129" t="s">
        <v>326</v>
      </c>
      <c r="E41" s="98">
        <v>8.0</v>
      </c>
      <c r="F41" s="98">
        <v>2.0</v>
      </c>
      <c r="G41" s="49"/>
      <c r="H41" s="49">
        <f t="shared" si="1"/>
        <v>10</v>
      </c>
      <c r="I41" s="50">
        <v>0.0</v>
      </c>
      <c r="J41" s="99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106</v>
      </c>
      <c r="C42" s="52" t="s">
        <v>145</v>
      </c>
      <c r="D42" s="129" t="s">
        <v>327</v>
      </c>
      <c r="E42" s="98">
        <v>8.0</v>
      </c>
      <c r="F42" s="98">
        <v>1.8</v>
      </c>
      <c r="G42" s="49"/>
      <c r="H42" s="49">
        <f t="shared" si="1"/>
        <v>9.8</v>
      </c>
      <c r="I42" s="50">
        <v>0.0</v>
      </c>
      <c r="J42" s="99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328</v>
      </c>
      <c r="C43" s="52" t="s">
        <v>67</v>
      </c>
      <c r="D43" s="129" t="s">
        <v>329</v>
      </c>
      <c r="E43" s="98">
        <v>7.2</v>
      </c>
      <c r="F43" s="98">
        <v>1.8</v>
      </c>
      <c r="G43" s="49"/>
      <c r="H43" s="49">
        <f t="shared" si="1"/>
        <v>9</v>
      </c>
      <c r="I43" s="50">
        <v>0.0</v>
      </c>
      <c r="J43" s="99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330</v>
      </c>
      <c r="C44" s="52" t="s">
        <v>331</v>
      </c>
      <c r="D44" s="129" t="s">
        <v>332</v>
      </c>
      <c r="E44" s="98">
        <v>0.0</v>
      </c>
      <c r="F44" s="98">
        <v>2.0</v>
      </c>
      <c r="G44" s="49"/>
      <c r="H44" s="49">
        <f t="shared" si="1"/>
        <v>2</v>
      </c>
      <c r="I44" s="50">
        <v>0.0</v>
      </c>
      <c r="J44" s="99">
        <f t="shared" si="2"/>
        <v>5</v>
      </c>
      <c r="K44" s="44"/>
      <c r="L44" s="53">
        <f t="shared" si="3"/>
        <v>2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235</v>
      </c>
      <c r="C45" s="52" t="s">
        <v>133</v>
      </c>
      <c r="D45" s="129" t="s">
        <v>333</v>
      </c>
      <c r="E45" s="98">
        <v>7.2</v>
      </c>
      <c r="F45" s="98">
        <v>0.0</v>
      </c>
      <c r="G45" s="49"/>
      <c r="H45" s="49">
        <f t="shared" si="1"/>
        <v>7.2</v>
      </c>
      <c r="I45" s="50">
        <v>0.0</v>
      </c>
      <c r="J45" s="99">
        <f t="shared" si="2"/>
        <v>7</v>
      </c>
      <c r="K45" s="44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334</v>
      </c>
      <c r="C46" s="52" t="s">
        <v>145</v>
      </c>
      <c r="D46" s="129" t="s">
        <v>335</v>
      </c>
      <c r="E46" s="98">
        <v>6.4</v>
      </c>
      <c r="F46" s="98">
        <v>1.8</v>
      </c>
      <c r="G46" s="49"/>
      <c r="H46" s="49">
        <f t="shared" si="1"/>
        <v>8.2</v>
      </c>
      <c r="I46" s="50">
        <v>0.0</v>
      </c>
      <c r="J46" s="99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336</v>
      </c>
      <c r="C47" s="52" t="s">
        <v>70</v>
      </c>
      <c r="D47" s="129" t="s">
        <v>337</v>
      </c>
      <c r="E47" s="98">
        <v>8.0</v>
      </c>
      <c r="F47" s="98">
        <v>1.8</v>
      </c>
      <c r="G47" s="49"/>
      <c r="H47" s="49">
        <f t="shared" si="1"/>
        <v>9.8</v>
      </c>
      <c r="I47" s="50">
        <v>0.0</v>
      </c>
      <c r="J47" s="99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125</v>
      </c>
      <c r="C48" s="52" t="s">
        <v>106</v>
      </c>
      <c r="D48" s="129" t="s">
        <v>338</v>
      </c>
      <c r="E48" s="98">
        <v>8.0</v>
      </c>
      <c r="F48" s="98">
        <v>1.8</v>
      </c>
      <c r="G48" s="49"/>
      <c r="H48" s="49">
        <f t="shared" si="1"/>
        <v>9.8</v>
      </c>
      <c r="I48" s="50">
        <v>0.0</v>
      </c>
      <c r="J48" s="99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339</v>
      </c>
      <c r="C49" s="52" t="s">
        <v>77</v>
      </c>
      <c r="D49" s="129" t="s">
        <v>340</v>
      </c>
      <c r="E49" s="98">
        <v>7.2</v>
      </c>
      <c r="F49" s="98">
        <v>0.0</v>
      </c>
      <c r="G49" s="49"/>
      <c r="H49" s="49">
        <f t="shared" si="1"/>
        <v>7.2</v>
      </c>
      <c r="I49" s="50">
        <v>0.0</v>
      </c>
      <c r="J49" s="99">
        <f t="shared" si="2"/>
        <v>7</v>
      </c>
      <c r="K49" s="44"/>
      <c r="L49" s="53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30</v>
      </c>
      <c r="C50" s="52" t="s">
        <v>209</v>
      </c>
      <c r="D50" s="129" t="s">
        <v>341</v>
      </c>
      <c r="E50" s="98">
        <v>8.0</v>
      </c>
      <c r="F50" s="98">
        <v>2.0</v>
      </c>
      <c r="G50" s="49"/>
      <c r="H50" s="49">
        <f t="shared" si="1"/>
        <v>10</v>
      </c>
      <c r="I50" s="50">
        <v>0.0</v>
      </c>
      <c r="J50" s="99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248</v>
      </c>
      <c r="C51" s="52" t="s">
        <v>70</v>
      </c>
      <c r="D51" s="129" t="s">
        <v>342</v>
      </c>
      <c r="E51" s="98">
        <v>8.0</v>
      </c>
      <c r="F51" s="98">
        <v>2.0</v>
      </c>
      <c r="G51" s="49"/>
      <c r="H51" s="49">
        <f t="shared" si="1"/>
        <v>10</v>
      </c>
      <c r="I51" s="50">
        <v>0.0</v>
      </c>
      <c r="J51" s="99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248</v>
      </c>
      <c r="C52" s="52" t="s">
        <v>343</v>
      </c>
      <c r="D52" s="129" t="s">
        <v>344</v>
      </c>
      <c r="E52" s="98">
        <v>7.2</v>
      </c>
      <c r="F52" s="98">
        <v>2.0</v>
      </c>
      <c r="G52" s="49"/>
      <c r="H52" s="49">
        <f t="shared" si="1"/>
        <v>9.2</v>
      </c>
      <c r="I52" s="50">
        <v>0.0</v>
      </c>
      <c r="J52" s="99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107</v>
      </c>
      <c r="C53" s="52" t="s">
        <v>72</v>
      </c>
      <c r="D53" s="129" t="s">
        <v>345</v>
      </c>
      <c r="E53" s="98">
        <v>7.2</v>
      </c>
      <c r="F53" s="98">
        <v>0.0</v>
      </c>
      <c r="G53" s="49"/>
      <c r="H53" s="49">
        <f t="shared" si="1"/>
        <v>7.2</v>
      </c>
      <c r="I53" s="50">
        <v>0.0</v>
      </c>
      <c r="J53" s="99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70</v>
      </c>
      <c r="C54" s="52" t="s">
        <v>125</v>
      </c>
      <c r="D54" s="129" t="s">
        <v>346</v>
      </c>
      <c r="E54" s="98">
        <v>8.0</v>
      </c>
      <c r="F54" s="98">
        <v>2.0</v>
      </c>
      <c r="G54" s="49"/>
      <c r="H54" s="49">
        <f t="shared" si="1"/>
        <v>10</v>
      </c>
      <c r="I54" s="50">
        <v>0.0</v>
      </c>
      <c r="J54" s="99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139</v>
      </c>
      <c r="C55" s="52" t="s">
        <v>347</v>
      </c>
      <c r="D55" s="129" t="s">
        <v>348</v>
      </c>
      <c r="E55" s="98">
        <v>8.0</v>
      </c>
      <c r="F55" s="98">
        <v>0.0</v>
      </c>
      <c r="G55" s="49"/>
      <c r="H55" s="49">
        <f t="shared" si="1"/>
        <v>8</v>
      </c>
      <c r="I55" s="50">
        <v>0.0</v>
      </c>
      <c r="J55" s="99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142</v>
      </c>
      <c r="C56" s="52" t="s">
        <v>349</v>
      </c>
      <c r="D56" s="129" t="s">
        <v>350</v>
      </c>
      <c r="E56" s="98">
        <v>6.4</v>
      </c>
      <c r="F56" s="98">
        <v>1.8</v>
      </c>
      <c r="G56" s="49"/>
      <c r="H56" s="49">
        <f t="shared" si="1"/>
        <v>8.2</v>
      </c>
      <c r="I56" s="50">
        <v>0.0</v>
      </c>
      <c r="J56" s="99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351</v>
      </c>
      <c r="C57" s="52" t="s">
        <v>106</v>
      </c>
      <c r="D57" s="129" t="s">
        <v>352</v>
      </c>
      <c r="E57" s="98">
        <v>8.0</v>
      </c>
      <c r="F57" s="98">
        <v>1.8</v>
      </c>
      <c r="G57" s="49"/>
      <c r="H57" s="49">
        <f t="shared" si="1"/>
        <v>9.8</v>
      </c>
      <c r="I57" s="50">
        <v>0.0</v>
      </c>
      <c r="J57" s="99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126</v>
      </c>
      <c r="C58" s="52" t="s">
        <v>67</v>
      </c>
      <c r="D58" s="129" t="s">
        <v>353</v>
      </c>
      <c r="E58" s="98">
        <v>6.4</v>
      </c>
      <c r="F58" s="98">
        <v>1.8</v>
      </c>
      <c r="G58" s="49"/>
      <c r="H58" s="49">
        <f t="shared" si="1"/>
        <v>8.2</v>
      </c>
      <c r="I58" s="50">
        <v>0.0</v>
      </c>
      <c r="J58" s="99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354</v>
      </c>
      <c r="C59" s="52" t="s">
        <v>235</v>
      </c>
      <c r="D59" s="129" t="s">
        <v>31</v>
      </c>
      <c r="E59" s="98">
        <v>7.2</v>
      </c>
      <c r="F59" s="98">
        <v>2.0</v>
      </c>
      <c r="G59" s="49"/>
      <c r="H59" s="49">
        <f t="shared" si="1"/>
        <v>9.2</v>
      </c>
      <c r="I59" s="50">
        <v>0.0</v>
      </c>
      <c r="J59" s="99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355</v>
      </c>
      <c r="C60" s="52" t="s">
        <v>72</v>
      </c>
      <c r="D60" s="129" t="s">
        <v>356</v>
      </c>
      <c r="E60" s="98">
        <v>6.4</v>
      </c>
      <c r="F60" s="98">
        <v>1.8</v>
      </c>
      <c r="G60" s="49"/>
      <c r="H60" s="49">
        <f t="shared" si="1"/>
        <v>8.2</v>
      </c>
      <c r="I60" s="50">
        <v>0.0</v>
      </c>
      <c r="J60" s="99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357</v>
      </c>
      <c r="C61" s="52" t="s">
        <v>358</v>
      </c>
      <c r="D61" s="129" t="s">
        <v>359</v>
      </c>
      <c r="E61" s="98">
        <v>8.0</v>
      </c>
      <c r="F61" s="98">
        <v>1.8</v>
      </c>
      <c r="G61" s="49"/>
      <c r="H61" s="49">
        <f t="shared" si="1"/>
        <v>9.8</v>
      </c>
      <c r="I61" s="50">
        <v>0.0</v>
      </c>
      <c r="J61" s="99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360</v>
      </c>
      <c r="C62" s="52" t="s">
        <v>361</v>
      </c>
      <c r="D62" s="129" t="s">
        <v>362</v>
      </c>
      <c r="E62" s="98">
        <v>8.0</v>
      </c>
      <c r="F62" s="98">
        <v>1.8</v>
      </c>
      <c r="G62" s="49"/>
      <c r="H62" s="49">
        <f t="shared" si="1"/>
        <v>9.8</v>
      </c>
      <c r="I62" s="50">
        <v>0.0</v>
      </c>
      <c r="J62" s="99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360</v>
      </c>
      <c r="C63" s="52" t="s">
        <v>273</v>
      </c>
      <c r="D63" s="129" t="s">
        <v>363</v>
      </c>
      <c r="E63" s="98">
        <v>8.0</v>
      </c>
      <c r="F63" s="98">
        <v>1.8</v>
      </c>
      <c r="G63" s="49"/>
      <c r="H63" s="49">
        <f t="shared" si="1"/>
        <v>9.8</v>
      </c>
      <c r="I63" s="50">
        <v>0.0</v>
      </c>
      <c r="J63" s="99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100"/>
      <c r="F64" s="100"/>
      <c r="G64" s="100"/>
      <c r="H64" s="10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101" t="s">
        <v>161</v>
      </c>
      <c r="C65" s="63"/>
      <c r="D65" s="102">
        <f>COUNT(A17:A63)</f>
        <v>47</v>
      </c>
      <c r="E65" s="100"/>
      <c r="F65" s="103" t="s">
        <v>162</v>
      </c>
      <c r="G65" s="100"/>
      <c r="H65" s="103" t="s">
        <v>163</v>
      </c>
      <c r="J65" s="104" t="s">
        <v>164</v>
      </c>
      <c r="K65" s="66" t="s">
        <v>165</v>
      </c>
      <c r="L65" s="59"/>
      <c r="M65" s="1"/>
      <c r="N65" s="1"/>
      <c r="O65" s="2"/>
      <c r="P65" s="2"/>
      <c r="Q65" s="2"/>
    </row>
    <row r="66" ht="24.75" customHeight="1">
      <c r="A66" s="1"/>
      <c r="B66" s="105" t="s">
        <v>166</v>
      </c>
      <c r="C66" s="68"/>
      <c r="D66" s="106">
        <f>COUNTIF(J17:J63,"BAJA")</f>
        <v>0</v>
      </c>
      <c r="E66" s="100"/>
      <c r="G66" s="10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105" t="s">
        <v>167</v>
      </c>
      <c r="C67" s="68"/>
      <c r="D67" s="130">
        <f>D65-D66</f>
        <v>47</v>
      </c>
      <c r="E67" s="100"/>
      <c r="F67" s="100"/>
      <c r="G67" s="100"/>
      <c r="H67" s="100"/>
      <c r="I67" s="11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105" t="s">
        <v>168</v>
      </c>
      <c r="C68" s="68"/>
      <c r="D68" s="70">
        <f>COUNTIF(J17:J63,"&gt;=6")</f>
        <v>43</v>
      </c>
      <c r="E68" s="100"/>
      <c r="F68" s="100"/>
      <c r="G68" s="100"/>
      <c r="H68" s="100"/>
      <c r="I68" s="11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105" t="s">
        <v>169</v>
      </c>
      <c r="C69" s="68"/>
      <c r="D69" s="70">
        <f>D67-D68</f>
        <v>4</v>
      </c>
      <c r="E69" s="100"/>
      <c r="F69" s="107"/>
      <c r="G69" s="100"/>
      <c r="H69" s="107"/>
      <c r="I69" s="71"/>
      <c r="J69" s="108"/>
      <c r="K69" s="109"/>
      <c r="L69" s="59"/>
      <c r="M69" s="1"/>
      <c r="N69" s="1"/>
      <c r="O69" s="2"/>
      <c r="P69" s="2"/>
      <c r="Q69" s="2"/>
    </row>
    <row r="70" ht="36.0" customHeight="1">
      <c r="A70" s="1"/>
      <c r="B70" s="105" t="s">
        <v>170</v>
      </c>
      <c r="C70" s="68"/>
      <c r="D70" s="74">
        <f>D68*100/D67</f>
        <v>91.4893617</v>
      </c>
      <c r="E70" s="100"/>
      <c r="F70" s="110" t="s">
        <v>171</v>
      </c>
      <c r="G70" s="100"/>
      <c r="H70" s="131" t="s">
        <v>364</v>
      </c>
      <c r="J70" s="112" t="s">
        <v>173</v>
      </c>
      <c r="K70" s="113" t="s">
        <v>174</v>
      </c>
      <c r="L70" s="59"/>
      <c r="M70" s="1"/>
      <c r="N70" s="1"/>
      <c r="O70" s="2"/>
      <c r="P70" s="2"/>
      <c r="Q70" s="2"/>
    </row>
    <row r="71" ht="21.75" customHeight="1">
      <c r="A71" s="61"/>
      <c r="B71" s="132" t="s">
        <v>175</v>
      </c>
      <c r="C71" s="80"/>
      <c r="D71" s="81">
        <f>AVERAGE(J17:J63)</f>
        <v>8.85106383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4"/>
      <c r="B72" s="2"/>
      <c r="C72" s="2"/>
      <c r="D72" s="2"/>
      <c r="E72" s="2"/>
      <c r="F72" s="2"/>
      <c r="G72" s="2"/>
      <c r="H72" s="2"/>
      <c r="I72" s="2"/>
      <c r="J72" s="2"/>
      <c r="K72" s="83"/>
      <c r="L72" s="2"/>
      <c r="M72" s="2"/>
      <c r="N72" s="2"/>
      <c r="O72" s="2"/>
      <c r="P72" s="2"/>
      <c r="Q72" s="2"/>
    </row>
    <row r="73" ht="21.75" customHeight="1">
      <c r="A73" s="116"/>
      <c r="B73" s="117"/>
      <c r="C73" s="118"/>
      <c r="D73" s="119"/>
      <c r="E73" s="2"/>
      <c r="G73" s="2"/>
      <c r="H73" s="2"/>
      <c r="I73" s="2"/>
      <c r="J73" s="2"/>
      <c r="K73" s="83"/>
      <c r="L73" s="2"/>
      <c r="M73" s="2"/>
      <c r="N73" s="2"/>
      <c r="O73" s="2"/>
      <c r="P73" s="2"/>
      <c r="Q73" s="2"/>
    </row>
    <row r="74" ht="21.75" customHeight="1">
      <c r="A74" s="114"/>
      <c r="B74" s="2"/>
      <c r="C74" s="2"/>
      <c r="D74" s="115"/>
      <c r="E74" s="2"/>
      <c r="F74" s="2"/>
      <c r="G74" s="2"/>
      <c r="H74" s="2"/>
      <c r="I74" s="2"/>
      <c r="J74" s="2"/>
      <c r="K74" s="83"/>
      <c r="L74" s="2"/>
      <c r="M74" s="2"/>
      <c r="N74" s="2"/>
      <c r="O74" s="2"/>
      <c r="P74" s="2"/>
      <c r="Q74" s="2"/>
    </row>
    <row r="75" ht="21.75" customHeight="1">
      <c r="A75" s="114"/>
      <c r="B75" s="2"/>
      <c r="C75" s="2"/>
      <c r="D75" s="120"/>
      <c r="E75" s="2"/>
      <c r="F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7.75" customHeight="1">
      <c r="A76" s="123"/>
      <c r="B76" s="92"/>
      <c r="C76" s="92"/>
      <c r="D76" s="125"/>
      <c r="E76" s="92"/>
      <c r="F76" s="124"/>
      <c r="G76" s="92"/>
      <c r="H76" s="124"/>
      <c r="I76" s="124"/>
      <c r="J76" s="124"/>
      <c r="K76" s="126"/>
      <c r="L76" s="2"/>
      <c r="M76" s="2"/>
      <c r="N76" s="2"/>
      <c r="O76" s="2"/>
      <c r="P76" s="2"/>
      <c r="Q76" s="2"/>
    </row>
    <row r="77" ht="21.75" customHeight="1">
      <c r="A77" s="133"/>
      <c r="B77" s="121"/>
      <c r="C77" s="121"/>
      <c r="D77" s="120"/>
      <c r="E77" s="2"/>
      <c r="F77" s="121"/>
      <c r="G77" s="2"/>
      <c r="H77" s="121"/>
      <c r="I77" s="121"/>
      <c r="J77" s="127"/>
      <c r="K77" s="127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20"/>
      <c r="E78" s="2"/>
      <c r="F78" s="121"/>
      <c r="G78" s="2"/>
      <c r="H78" s="121"/>
      <c r="I78" s="121"/>
      <c r="J78" s="127"/>
      <c r="K78" s="127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